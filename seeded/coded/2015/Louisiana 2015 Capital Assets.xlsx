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ehingl4\Documents\AG CENTER WORK\"/>
    </mc:Choice>
  </mc:AlternateContent>
  <xr:revisionPtr revIDLastSave="574" documentId="7102779F4D92431CBBF56EFD5541999CEF09CE71" xr6:coauthVersionLast="47" xr6:coauthVersionMax="47" xr10:uidLastSave="{E2AEF6D3-AF6D-4D65-A801-273B42F3BAE0}"/>
  <bookViews>
    <workbookView xWindow="0" yWindow="0" windowWidth="14385" windowHeight="12390" tabRatio="884" firstSheet="3" activeTab="29" xr2:uid="{00000000-000D-0000-FFFF-FFFF00000000}"/>
  </bookViews>
  <sheets>
    <sheet name="Acadia" sheetId="115" r:id="rId1"/>
    <sheet name="Allen" sheetId="111" r:id="rId2"/>
    <sheet name="Ascension" sheetId="137" r:id="rId3"/>
    <sheet name="Assumption" sheetId="117" r:id="rId4"/>
    <sheet name="Avoyelles" sheetId="171" r:id="rId5"/>
    <sheet name="Beauregard" sheetId="172" r:id="rId6"/>
    <sheet name="Bienville" sheetId="118" r:id="rId7"/>
    <sheet name="Bossier" sheetId="119" r:id="rId8"/>
    <sheet name="Caddo" sheetId="173" r:id="rId9"/>
    <sheet name="Calcasieu" sheetId="120" r:id="rId10"/>
    <sheet name="Caldwell" sheetId="121" r:id="rId11"/>
    <sheet name="Cameron" sheetId="122" r:id="rId12"/>
    <sheet name="Catahoula" sheetId="123" r:id="rId13"/>
    <sheet name="Claiborne" sheetId="124" r:id="rId14"/>
    <sheet name="Concordia" sheetId="126" r:id="rId15"/>
    <sheet name="DeSoto" sheetId="129" r:id="rId16"/>
    <sheet name="East Baton Rouge" sheetId="136" r:id="rId17"/>
    <sheet name="East Carroll" sheetId="130" r:id="rId18"/>
    <sheet name="East Feliciana" sheetId="131" r:id="rId19"/>
    <sheet name="Evangeline" sheetId="132" r:id="rId20"/>
    <sheet name="Franklin" sheetId="133" r:id="rId21"/>
    <sheet name="Grant" sheetId="134" r:id="rId22"/>
    <sheet name="Iberia" sheetId="138" r:id="rId23"/>
    <sheet name="Iberville" sheetId="139" r:id="rId24"/>
    <sheet name="Jackson" sheetId="135" r:id="rId25"/>
    <sheet name="Jefferson Davis" sheetId="140" r:id="rId26"/>
    <sheet name="Jefferson" sheetId="141" r:id="rId27"/>
    <sheet name="Lafayette" sheetId="142" r:id="rId28"/>
    <sheet name="Lafourche" sheetId="143" state="hidden" r:id="rId29"/>
    <sheet name="Laforche" sheetId="170" r:id="rId30"/>
    <sheet name="LaSalle" sheetId="144" r:id="rId31"/>
    <sheet name="Lincoln" sheetId="179" r:id="rId32"/>
    <sheet name="Livingston" sheetId="145" r:id="rId33"/>
    <sheet name="Madison" sheetId="146" r:id="rId34"/>
    <sheet name="Morehouse" sheetId="147" r:id="rId35"/>
    <sheet name="Natchitoches" sheetId="148" r:id="rId36"/>
    <sheet name="Orleans" sheetId="149" r:id="rId37"/>
    <sheet name="Ouachita" sheetId="150" r:id="rId38"/>
    <sheet name="Plaquemines" sheetId="151" r:id="rId39"/>
    <sheet name="Pointe Coupee" sheetId="174" r:id="rId40"/>
    <sheet name="Rapides" sheetId="152" r:id="rId41"/>
    <sheet name="Red River" sheetId="153" r:id="rId42"/>
    <sheet name="Richland" sheetId="154" r:id="rId43"/>
    <sheet name="Sabine" sheetId="155" r:id="rId44"/>
    <sheet name="St. Bernard" sheetId="156" r:id="rId45"/>
    <sheet name="St. Charles" sheetId="157" r:id="rId46"/>
    <sheet name="St. Helena" sheetId="175" r:id="rId47"/>
    <sheet name="St. James" sheetId="158" r:id="rId48"/>
    <sheet name="St. John the Baptist" sheetId="159" r:id="rId49"/>
    <sheet name="St. Landry" sheetId="160" r:id="rId50"/>
    <sheet name="St. Martin" sheetId="161" r:id="rId51"/>
    <sheet name="St Mary" sheetId="178" r:id="rId52"/>
    <sheet name="St. Tammany" sheetId="162" r:id="rId53"/>
    <sheet name="Tangipahoa" sheetId="163" r:id="rId54"/>
    <sheet name="Tensas" sheetId="164" r:id="rId55"/>
    <sheet name="Terrebonne" sheetId="165" r:id="rId56"/>
    <sheet name="Union" sheetId="176" r:id="rId57"/>
    <sheet name="Vermillion" sheetId="166" r:id="rId58"/>
    <sheet name="Vernon" sheetId="167" r:id="rId59"/>
    <sheet name="Washington" sheetId="180" r:id="rId60"/>
    <sheet name="Webster" sheetId="169" r:id="rId61"/>
    <sheet name="West Baton Rouge" sheetId="128" r:id="rId62"/>
    <sheet name="West Carroll" sheetId="127" r:id="rId63"/>
    <sheet name="West Feliciana" sheetId="177" r:id="rId64"/>
    <sheet name="Winn" sheetId="125" r:id="rId65"/>
    <sheet name="Cross Sectional" sheetId="109" r:id="rId66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0" i="117" l="1"/>
  <c r="K20" i="117"/>
  <c r="L20" i="117"/>
  <c r="M20" i="117"/>
  <c r="I20" i="117"/>
  <c r="M18" i="117"/>
  <c r="L16" i="117"/>
  <c r="M13" i="117"/>
  <c r="M14" i="117"/>
  <c r="I16" i="117"/>
  <c r="I36" i="137"/>
  <c r="I32" i="137"/>
  <c r="I34" i="137"/>
  <c r="M15" i="117"/>
  <c r="G8" i="109" s="1"/>
  <c r="M10" i="117"/>
  <c r="M11" i="117"/>
  <c r="E8" i="109" s="1"/>
  <c r="M12" i="117"/>
  <c r="J8" i="109" s="1"/>
  <c r="J16" i="117"/>
  <c r="K16" i="117"/>
  <c r="L29" i="153" l="1"/>
  <c r="I148" i="148"/>
  <c r="I135" i="148"/>
  <c r="M142" i="148"/>
  <c r="M144" i="148"/>
  <c r="M51" i="144"/>
  <c r="M46" i="144"/>
  <c r="M42" i="144"/>
  <c r="M41" i="144"/>
  <c r="M29" i="144"/>
  <c r="M40" i="144"/>
  <c r="L46" i="144"/>
  <c r="L34" i="170"/>
  <c r="M20" i="132"/>
  <c r="AE63" i="109"/>
  <c r="AH22" i="109"/>
  <c r="AF22" i="109"/>
  <c r="O22" i="109"/>
  <c r="N22" i="109"/>
  <c r="I22" i="109"/>
  <c r="K22" i="109"/>
  <c r="G22" i="109"/>
  <c r="J22" i="109"/>
  <c r="E22" i="109"/>
  <c r="C22" i="109"/>
  <c r="B22" i="109"/>
  <c r="M22" i="130"/>
  <c r="L41" i="130"/>
  <c r="L43" i="130"/>
  <c r="M38" i="130"/>
  <c r="M37" i="130"/>
  <c r="M36" i="130"/>
  <c r="M35" i="130"/>
  <c r="M29" i="130"/>
  <c r="M30" i="130"/>
  <c r="M31" i="130"/>
  <c r="M32" i="130"/>
  <c r="M33" i="130"/>
  <c r="M34" i="130"/>
  <c r="M28" i="130"/>
  <c r="M43" i="130"/>
  <c r="M17" i="136"/>
  <c r="AH20" i="109"/>
  <c r="AE20" i="109"/>
  <c r="R20" i="109"/>
  <c r="O20" i="109"/>
  <c r="N20" i="109"/>
  <c r="I20" i="109"/>
  <c r="F20" i="109"/>
  <c r="E20" i="109"/>
  <c r="C20" i="109"/>
  <c r="B20" i="109"/>
  <c r="M49" i="129"/>
  <c r="J26" i="126"/>
  <c r="K26" i="126"/>
  <c r="L26" i="126"/>
  <c r="I26" i="126"/>
  <c r="J24" i="126"/>
  <c r="K24" i="126"/>
  <c r="L24" i="126"/>
  <c r="I24" i="126"/>
  <c r="L22" i="126"/>
  <c r="AH63" i="109"/>
  <c r="W63" i="109"/>
  <c r="O63" i="109"/>
  <c r="O62" i="109"/>
  <c r="M39" i="180"/>
  <c r="F63" i="109"/>
  <c r="L63" i="109"/>
  <c r="I63" i="109"/>
  <c r="G63" i="109"/>
  <c r="E63" i="109"/>
  <c r="C63" i="109"/>
  <c r="B63" i="109"/>
  <c r="K39" i="180"/>
  <c r="J39" i="180"/>
  <c r="I39" i="180"/>
  <c r="L38" i="180"/>
  <c r="L37" i="180"/>
  <c r="L23" i="180"/>
  <c r="L24" i="180"/>
  <c r="L25" i="180"/>
  <c r="L26" i="180"/>
  <c r="L27" i="180"/>
  <c r="L39" i="180" l="1"/>
  <c r="L17" i="180"/>
  <c r="M26" i="180" s="1"/>
  <c r="L15" i="180"/>
  <c r="M24" i="180" s="1"/>
  <c r="L16" i="180"/>
  <c r="M25" i="180" s="1"/>
  <c r="L8" i="180"/>
  <c r="L9" i="180"/>
  <c r="L10" i="180"/>
  <c r="K28" i="180"/>
  <c r="J28" i="180"/>
  <c r="I28" i="180"/>
  <c r="L22" i="180"/>
  <c r="L28" i="180" s="1"/>
  <c r="K19" i="180"/>
  <c r="K30" i="180" s="1"/>
  <c r="J19" i="180"/>
  <c r="J30" i="180" s="1"/>
  <c r="I19" i="180"/>
  <c r="I30" i="180" s="1"/>
  <c r="L18" i="180"/>
  <c r="M27" i="180" s="1"/>
  <c r="L14" i="180"/>
  <c r="M23" i="180" s="1"/>
  <c r="L13" i="180"/>
  <c r="M22" i="180" s="1"/>
  <c r="K10" i="180"/>
  <c r="K31" i="180" s="1"/>
  <c r="J10" i="180"/>
  <c r="J31" i="180" s="1"/>
  <c r="I10" i="180"/>
  <c r="I31" i="180" s="1"/>
  <c r="M9" i="180"/>
  <c r="M45" i="144"/>
  <c r="M8" i="180" l="1"/>
  <c r="M31" i="180" s="1"/>
  <c r="L19" i="180"/>
  <c r="L30" i="180" s="1"/>
  <c r="L10" i="147"/>
  <c r="M10" i="147"/>
  <c r="L13" i="147"/>
  <c r="M13" i="147"/>
  <c r="D38" i="109"/>
  <c r="L9" i="147"/>
  <c r="M9" i="147"/>
  <c r="B38" i="109"/>
  <c r="L14" i="147"/>
  <c r="L19" i="147"/>
  <c r="M19" i="147"/>
  <c r="E38" i="109"/>
  <c r="L15" i="147"/>
  <c r="L20" i="147"/>
  <c r="M20" i="147"/>
  <c r="G38" i="109"/>
  <c r="L16" i="147"/>
  <c r="L21" i="147"/>
  <c r="M21" i="147"/>
  <c r="I38" i="109"/>
  <c r="J38" i="109"/>
  <c r="P38" i="109"/>
  <c r="M24" i="147"/>
  <c r="O38" i="109"/>
  <c r="L9" i="146"/>
  <c r="M9" i="146"/>
  <c r="L10" i="146"/>
  <c r="M10" i="146"/>
  <c r="L12" i="146"/>
  <c r="M12" i="146"/>
  <c r="L13" i="146"/>
  <c r="L18" i="146"/>
  <c r="M18" i="146"/>
  <c r="L14" i="146"/>
  <c r="L19" i="146"/>
  <c r="M19" i="146"/>
  <c r="L15" i="146"/>
  <c r="L20" i="146"/>
  <c r="M20" i="146"/>
  <c r="M22" i="146"/>
  <c r="J17" i="147"/>
  <c r="J22" i="147"/>
  <c r="J11" i="147"/>
  <c r="J24" i="147"/>
  <c r="K17" i="147"/>
  <c r="K22" i="147"/>
  <c r="K11" i="147"/>
  <c r="K24" i="147"/>
  <c r="L17" i="147"/>
  <c r="L22" i="147"/>
  <c r="L11" i="147"/>
  <c r="L24" i="147"/>
  <c r="I17" i="147"/>
  <c r="I22" i="147"/>
  <c r="I11" i="147"/>
  <c r="I24" i="147"/>
  <c r="L14" i="150"/>
  <c r="L26" i="150"/>
  <c r="M26" i="150"/>
  <c r="L15" i="150"/>
  <c r="L27" i="150"/>
  <c r="M27" i="150"/>
  <c r="L16" i="150"/>
  <c r="L28" i="150"/>
  <c r="M28" i="150"/>
  <c r="L18" i="150"/>
  <c r="L30" i="150"/>
  <c r="M30" i="150"/>
  <c r="L19" i="150"/>
  <c r="L31" i="150"/>
  <c r="M31" i="150"/>
  <c r="L20" i="150"/>
  <c r="L32" i="150"/>
  <c r="M32" i="150"/>
  <c r="L9" i="150"/>
  <c r="M9" i="150"/>
  <c r="L10" i="150"/>
  <c r="M10" i="150"/>
  <c r="M34" i="150"/>
  <c r="O41" i="109"/>
  <c r="AI41" i="109"/>
  <c r="L14" i="151"/>
  <c r="L21" i="151"/>
  <c r="M21" i="151"/>
  <c r="M13" i="149"/>
  <c r="M20" i="149"/>
  <c r="N20" i="149"/>
  <c r="J21" i="150"/>
  <c r="J11" i="150"/>
  <c r="J23" i="150"/>
  <c r="J33" i="150"/>
  <c r="J34" i="150"/>
  <c r="K21" i="150"/>
  <c r="K11" i="150"/>
  <c r="K23" i="150"/>
  <c r="K33" i="150"/>
  <c r="K34" i="150"/>
  <c r="L21" i="150"/>
  <c r="L11" i="150"/>
  <c r="L23" i="150"/>
  <c r="L33" i="150"/>
  <c r="L34" i="150"/>
  <c r="I21" i="150"/>
  <c r="I11" i="150"/>
  <c r="I23" i="150"/>
  <c r="I33" i="150"/>
  <c r="I34" i="150"/>
  <c r="I16" i="146"/>
  <c r="I21" i="146"/>
  <c r="I22" i="146"/>
  <c r="AG10" i="109"/>
  <c r="M20" i="172"/>
  <c r="M14" i="172"/>
  <c r="N20" i="172"/>
  <c r="M21" i="172"/>
  <c r="M15" i="172"/>
  <c r="N21" i="172"/>
  <c r="M16" i="172"/>
  <c r="M22" i="172"/>
  <c r="N22" i="172"/>
  <c r="M9" i="172"/>
  <c r="N9" i="172"/>
  <c r="M10" i="172"/>
  <c r="N10" i="172"/>
  <c r="N25" i="172"/>
  <c r="O10" i="109"/>
  <c r="AH10" i="109"/>
  <c r="AI10" i="109"/>
  <c r="AJ10" i="109"/>
  <c r="L16" i="127"/>
  <c r="L28" i="127"/>
  <c r="M28" i="127"/>
  <c r="L17" i="127"/>
  <c r="L29" i="127"/>
  <c r="M29" i="127"/>
  <c r="L18" i="127"/>
  <c r="L30" i="127"/>
  <c r="M30" i="127"/>
  <c r="L19" i="127"/>
  <c r="L31" i="127"/>
  <c r="M31" i="127"/>
  <c r="L20" i="127"/>
  <c r="L32" i="127"/>
  <c r="M32" i="127"/>
  <c r="L21" i="127"/>
  <c r="L33" i="127"/>
  <c r="M33" i="127"/>
  <c r="L22" i="127"/>
  <c r="L34" i="127"/>
  <c r="M34" i="127"/>
  <c r="L15" i="127"/>
  <c r="L27" i="127"/>
  <c r="M27" i="127"/>
  <c r="K35" i="127"/>
  <c r="L9" i="176"/>
  <c r="M9" i="176"/>
  <c r="C60" i="109"/>
  <c r="L8" i="176"/>
  <c r="M8" i="176"/>
  <c r="B60" i="109"/>
  <c r="L14" i="176"/>
  <c r="L29" i="176"/>
  <c r="M29" i="176"/>
  <c r="E60" i="109"/>
  <c r="L13" i="176"/>
  <c r="L28" i="176"/>
  <c r="M28" i="176"/>
  <c r="L15" i="176"/>
  <c r="L30" i="176"/>
  <c r="M30" i="176"/>
  <c r="L16" i="176"/>
  <c r="L31" i="176"/>
  <c r="M31" i="176"/>
  <c r="F60" i="109"/>
  <c r="L17" i="176"/>
  <c r="L32" i="176"/>
  <c r="M32" i="176"/>
  <c r="L19" i="176"/>
  <c r="L34" i="176"/>
  <c r="M34" i="176"/>
  <c r="G60" i="109"/>
  <c r="L21" i="176"/>
  <c r="L36" i="176"/>
  <c r="M36" i="176"/>
  <c r="L22" i="176"/>
  <c r="L37" i="176"/>
  <c r="M37" i="176"/>
  <c r="L24" i="176"/>
  <c r="L39" i="176"/>
  <c r="M39" i="176"/>
  <c r="L23" i="176"/>
  <c r="L38" i="176"/>
  <c r="M38" i="176"/>
  <c r="I60" i="109"/>
  <c r="L18" i="176"/>
  <c r="L33" i="176"/>
  <c r="M33" i="176"/>
  <c r="K60" i="109"/>
  <c r="P60" i="109"/>
  <c r="L10" i="176"/>
  <c r="L25" i="176"/>
  <c r="L40" i="176"/>
  <c r="L42" i="176"/>
  <c r="L43" i="176"/>
  <c r="O60" i="109"/>
  <c r="K40" i="176"/>
  <c r="I40" i="176"/>
  <c r="I25" i="176"/>
  <c r="I42" i="176"/>
  <c r="L9" i="161"/>
  <c r="M9" i="161"/>
  <c r="B54" i="109"/>
  <c r="L10" i="161"/>
  <c r="M10" i="161"/>
  <c r="C54" i="109"/>
  <c r="L14" i="161"/>
  <c r="L21" i="161"/>
  <c r="M21" i="161"/>
  <c r="E54" i="109"/>
  <c r="L16" i="161"/>
  <c r="L23" i="161"/>
  <c r="M23" i="161"/>
  <c r="F54" i="109"/>
  <c r="L15" i="161"/>
  <c r="L22" i="161"/>
  <c r="M22" i="161"/>
  <c r="G54" i="109"/>
  <c r="L17" i="161"/>
  <c r="L24" i="161"/>
  <c r="M24" i="161"/>
  <c r="L54" i="109"/>
  <c r="P54" i="109"/>
  <c r="M8" i="175"/>
  <c r="M9" i="175"/>
  <c r="M10" i="175"/>
  <c r="M13" i="175"/>
  <c r="M14" i="175"/>
  <c r="M15" i="175"/>
  <c r="M16" i="175"/>
  <c r="M19" i="175"/>
  <c r="M20" i="175"/>
  <c r="M21" i="175"/>
  <c r="M22" i="175"/>
  <c r="M24" i="175"/>
  <c r="M25" i="175"/>
  <c r="AH50" i="109"/>
  <c r="N21" i="175"/>
  <c r="N50" i="109"/>
  <c r="N8" i="175"/>
  <c r="N9" i="175"/>
  <c r="N19" i="175"/>
  <c r="N20" i="175"/>
  <c r="N25" i="175"/>
  <c r="O50" i="109"/>
  <c r="AI50" i="109"/>
  <c r="J10" i="175"/>
  <c r="J16" i="175"/>
  <c r="J22" i="175"/>
  <c r="J24" i="175"/>
  <c r="J25" i="175"/>
  <c r="K10" i="175"/>
  <c r="K16" i="175"/>
  <c r="K22" i="175"/>
  <c r="K24" i="175"/>
  <c r="K25" i="175"/>
  <c r="L10" i="175"/>
  <c r="L16" i="175"/>
  <c r="L22" i="175"/>
  <c r="L24" i="175"/>
  <c r="L25" i="175"/>
  <c r="I10" i="175"/>
  <c r="I16" i="175"/>
  <c r="I22" i="175"/>
  <c r="I24" i="175"/>
  <c r="I25" i="175"/>
  <c r="L8" i="156"/>
  <c r="M8" i="156"/>
  <c r="L9" i="156"/>
  <c r="M9" i="156"/>
  <c r="L13" i="156"/>
  <c r="M22" i="156"/>
  <c r="L14" i="156"/>
  <c r="M23" i="156"/>
  <c r="L15" i="156"/>
  <c r="M24" i="156"/>
  <c r="L16" i="156"/>
  <c r="M25" i="156"/>
  <c r="L17" i="156"/>
  <c r="M26" i="156"/>
  <c r="L18" i="156"/>
  <c r="M27" i="156"/>
  <c r="M31" i="156"/>
  <c r="L36" i="156"/>
  <c r="M36" i="156"/>
  <c r="L37" i="156"/>
  <c r="M37" i="156"/>
  <c r="L41" i="156"/>
  <c r="M48" i="156"/>
  <c r="L42" i="156"/>
  <c r="M49" i="156"/>
  <c r="L43" i="156"/>
  <c r="M50" i="156"/>
  <c r="L44" i="156"/>
  <c r="M51" i="156"/>
  <c r="M55" i="156"/>
  <c r="L8" i="153"/>
  <c r="M8" i="153"/>
  <c r="L9" i="153"/>
  <c r="M9" i="153"/>
  <c r="L13" i="153"/>
  <c r="L14" i="153"/>
  <c r="M14" i="153"/>
  <c r="L17" i="153"/>
  <c r="L18" i="153"/>
  <c r="M18" i="153"/>
  <c r="L21" i="153"/>
  <c r="L22" i="153"/>
  <c r="M22" i="153"/>
  <c r="L25" i="153"/>
  <c r="L26" i="153"/>
  <c r="M26" i="153"/>
  <c r="M31" i="153"/>
  <c r="L35" i="153"/>
  <c r="M35" i="153"/>
  <c r="L40" i="153"/>
  <c r="L41" i="153"/>
  <c r="M41" i="153"/>
  <c r="M49" i="153"/>
  <c r="L8" i="163"/>
  <c r="M8" i="163"/>
  <c r="L9" i="163"/>
  <c r="M9" i="163"/>
  <c r="L10" i="163"/>
  <c r="M10" i="163"/>
  <c r="L14" i="163"/>
  <c r="L20" i="163"/>
  <c r="M20" i="163"/>
  <c r="L15" i="163"/>
  <c r="L21" i="163"/>
  <c r="M21" i="163"/>
  <c r="L16" i="163"/>
  <c r="L22" i="163"/>
  <c r="M22" i="163"/>
  <c r="M26" i="163"/>
  <c r="N31" i="178"/>
  <c r="O31" i="178"/>
  <c r="N32" i="178"/>
  <c r="O32" i="178"/>
  <c r="N33" i="178"/>
  <c r="O33" i="178"/>
  <c r="N43" i="178"/>
  <c r="N37" i="178"/>
  <c r="O43" i="178"/>
  <c r="N44" i="178"/>
  <c r="N38" i="178"/>
  <c r="O44" i="178"/>
  <c r="N45" i="178"/>
  <c r="N39" i="178"/>
  <c r="O45" i="178"/>
  <c r="O48" i="178"/>
  <c r="K42" i="153"/>
  <c r="K44" i="153"/>
  <c r="K36" i="153"/>
  <c r="K47" i="153"/>
  <c r="L42" i="153"/>
  <c r="L44" i="153"/>
  <c r="L36" i="153"/>
  <c r="L47" i="153"/>
  <c r="I42" i="153"/>
  <c r="I44" i="153"/>
  <c r="I36" i="153"/>
  <c r="I47" i="153"/>
  <c r="M44" i="153"/>
  <c r="J42" i="153"/>
  <c r="J44" i="153"/>
  <c r="J36" i="153"/>
  <c r="J47" i="153"/>
  <c r="L33" i="174"/>
  <c r="M33" i="174"/>
  <c r="L36" i="174"/>
  <c r="L37" i="174"/>
  <c r="L39" i="174"/>
  <c r="M39" i="174"/>
  <c r="M41" i="174"/>
  <c r="AF43" i="109"/>
  <c r="I39" i="174"/>
  <c r="I41" i="174"/>
  <c r="W43" i="109"/>
  <c r="AE43" i="109"/>
  <c r="L32" i="174"/>
  <c r="M32" i="174"/>
  <c r="S43" i="109"/>
  <c r="J39" i="174"/>
  <c r="J41" i="174"/>
  <c r="K39" i="174"/>
  <c r="K41" i="174"/>
  <c r="L41" i="174"/>
  <c r="L9" i="145"/>
  <c r="M9" i="145"/>
  <c r="B36" i="109"/>
  <c r="L10" i="145"/>
  <c r="M10" i="145"/>
  <c r="C36" i="109"/>
  <c r="L21" i="145"/>
  <c r="L13" i="145"/>
  <c r="M21" i="145"/>
  <c r="E36" i="109"/>
  <c r="L23" i="145"/>
  <c r="L15" i="145"/>
  <c r="M23" i="145"/>
  <c r="G36" i="109"/>
  <c r="L24" i="145"/>
  <c r="L16" i="145"/>
  <c r="M24" i="145"/>
  <c r="L22" i="145"/>
  <c r="L14" i="145"/>
  <c r="M22" i="145"/>
  <c r="H36" i="109"/>
  <c r="L26" i="145"/>
  <c r="L18" i="145"/>
  <c r="M26" i="145"/>
  <c r="J36" i="109"/>
  <c r="L25" i="145"/>
  <c r="L17" i="145"/>
  <c r="M25" i="145"/>
  <c r="N36" i="109"/>
  <c r="P36" i="109"/>
  <c r="L13" i="170"/>
  <c r="L14" i="170"/>
  <c r="L15" i="170"/>
  <c r="L16" i="170"/>
  <c r="L17" i="170"/>
  <c r="L18" i="170"/>
  <c r="L19" i="170"/>
  <c r="L8" i="170"/>
  <c r="L9" i="170"/>
  <c r="L10" i="170"/>
  <c r="L21" i="170"/>
  <c r="K19" i="170"/>
  <c r="K10" i="170"/>
  <c r="K21" i="170"/>
  <c r="L24" i="170"/>
  <c r="L25" i="170"/>
  <c r="L26" i="170"/>
  <c r="L27" i="170"/>
  <c r="L28" i="170"/>
  <c r="L29" i="170"/>
  <c r="L30" i="170"/>
  <c r="I10" i="170"/>
  <c r="J10" i="170"/>
  <c r="I19" i="170"/>
  <c r="I21" i="170"/>
  <c r="I30" i="170"/>
  <c r="I34" i="170"/>
  <c r="J19" i="170"/>
  <c r="J21" i="170"/>
  <c r="J30" i="170"/>
  <c r="J34" i="170"/>
  <c r="K30" i="170"/>
  <c r="K34" i="170"/>
  <c r="L10" i="132"/>
  <c r="M10" i="132"/>
  <c r="L11" i="132"/>
  <c r="M11" i="132"/>
  <c r="L13" i="132"/>
  <c r="L14" i="132"/>
  <c r="L15" i="132"/>
  <c r="L16" i="132"/>
  <c r="L20" i="132"/>
  <c r="L21" i="132"/>
  <c r="M21" i="132"/>
  <c r="L22" i="132"/>
  <c r="M22" i="132"/>
  <c r="L23" i="132"/>
  <c r="M23" i="132"/>
  <c r="M26" i="132"/>
  <c r="L17" i="132"/>
  <c r="L24" i="132"/>
  <c r="L26" i="132"/>
  <c r="L9" i="131"/>
  <c r="M9" i="131"/>
  <c r="B23" i="109"/>
  <c r="L13" i="131"/>
  <c r="L14" i="131"/>
  <c r="M15" i="131"/>
  <c r="L17" i="131"/>
  <c r="L18" i="131"/>
  <c r="M19" i="131"/>
  <c r="L21" i="131"/>
  <c r="L22" i="131"/>
  <c r="M23" i="131"/>
  <c r="M25" i="131"/>
  <c r="J15" i="131"/>
  <c r="K15" i="131"/>
  <c r="L15" i="131"/>
  <c r="I15" i="131"/>
  <c r="I19" i="131"/>
  <c r="I23" i="131"/>
  <c r="I24" i="131"/>
  <c r="J19" i="131"/>
  <c r="K19" i="131"/>
  <c r="L19" i="131"/>
  <c r="J23" i="131"/>
  <c r="J24" i="131"/>
  <c r="K23" i="131"/>
  <c r="K24" i="131"/>
  <c r="L23" i="131"/>
  <c r="L24" i="131"/>
  <c r="J10" i="131"/>
  <c r="K10" i="131"/>
  <c r="L10" i="131"/>
  <c r="I10" i="131"/>
  <c r="L28" i="130"/>
  <c r="L13" i="130"/>
  <c r="L29" i="130"/>
  <c r="L14" i="130"/>
  <c r="L30" i="130"/>
  <c r="L15" i="130"/>
  <c r="L31" i="130"/>
  <c r="L16" i="130"/>
  <c r="L32" i="130"/>
  <c r="L17" i="130"/>
  <c r="L18" i="130"/>
  <c r="L33" i="130"/>
  <c r="L19" i="130"/>
  <c r="L34" i="130"/>
  <c r="L20" i="130"/>
  <c r="L35" i="130"/>
  <c r="L21" i="130"/>
  <c r="L36" i="130"/>
  <c r="L23" i="130"/>
  <c r="L37" i="130"/>
  <c r="L38" i="130"/>
  <c r="N10" i="117"/>
  <c r="C8" i="109" s="1"/>
  <c r="M9" i="117"/>
  <c r="M16" i="117" s="1"/>
  <c r="L21" i="125"/>
  <c r="M21" i="125"/>
  <c r="C68" i="109"/>
  <c r="L10" i="125"/>
  <c r="M10" i="125"/>
  <c r="L11" i="125"/>
  <c r="L25" i="125"/>
  <c r="M25" i="125"/>
  <c r="L12" i="125"/>
  <c r="L26" i="125"/>
  <c r="M26" i="125"/>
  <c r="L13" i="125"/>
  <c r="L27" i="125"/>
  <c r="M27" i="125"/>
  <c r="L14" i="125"/>
  <c r="L28" i="125"/>
  <c r="M28" i="125"/>
  <c r="L15" i="125"/>
  <c r="L29" i="125"/>
  <c r="M29" i="125"/>
  <c r="L19" i="125"/>
  <c r="L33" i="125"/>
  <c r="M33" i="125"/>
  <c r="M37" i="125"/>
  <c r="L16" i="125"/>
  <c r="L22" i="125"/>
  <c r="L30" i="125"/>
  <c r="L35" i="125"/>
  <c r="L37" i="125"/>
  <c r="I30" i="125"/>
  <c r="J30" i="125"/>
  <c r="J16" i="125"/>
  <c r="J22" i="125"/>
  <c r="K16" i="125"/>
  <c r="K22" i="125"/>
  <c r="I16" i="125"/>
  <c r="I22" i="125"/>
  <c r="M40" i="177"/>
  <c r="N40" i="177"/>
  <c r="S67" i="109"/>
  <c r="M17" i="177"/>
  <c r="M27" i="177"/>
  <c r="N27" i="177"/>
  <c r="N67" i="109"/>
  <c r="M19" i="177"/>
  <c r="M29" i="177"/>
  <c r="N29" i="177"/>
  <c r="K67" i="109"/>
  <c r="M15" i="177"/>
  <c r="M25" i="177"/>
  <c r="N25" i="177"/>
  <c r="J67" i="109"/>
  <c r="M16" i="177"/>
  <c r="M26" i="177"/>
  <c r="N26" i="177"/>
  <c r="I67" i="109"/>
  <c r="M14" i="177"/>
  <c r="M24" i="177"/>
  <c r="N24" i="177"/>
  <c r="G67" i="109"/>
  <c r="M13" i="177"/>
  <c r="M23" i="177"/>
  <c r="N23" i="177"/>
  <c r="M18" i="177"/>
  <c r="N28" i="177"/>
  <c r="E67" i="109"/>
  <c r="M44" i="177"/>
  <c r="M50" i="177"/>
  <c r="N50" i="177"/>
  <c r="M45" i="177"/>
  <c r="M51" i="177"/>
  <c r="N51" i="177"/>
  <c r="M46" i="177"/>
  <c r="M52" i="177"/>
  <c r="N52" i="177"/>
  <c r="N57" i="177"/>
  <c r="J41" i="177"/>
  <c r="J47" i="177"/>
  <c r="J53" i="177"/>
  <c r="J55" i="177"/>
  <c r="J57" i="177"/>
  <c r="K41" i="177"/>
  <c r="K47" i="177"/>
  <c r="K53" i="177"/>
  <c r="K55" i="177"/>
  <c r="K57" i="177"/>
  <c r="L41" i="177"/>
  <c r="L57" i="177"/>
  <c r="M41" i="177"/>
  <c r="M47" i="177"/>
  <c r="M53" i="177"/>
  <c r="M55" i="177"/>
  <c r="M57" i="177"/>
  <c r="I41" i="177"/>
  <c r="I47" i="177"/>
  <c r="I53" i="177"/>
  <c r="I55" i="177"/>
  <c r="I57" i="177"/>
  <c r="M8" i="177"/>
  <c r="N8" i="177"/>
  <c r="M9" i="177"/>
  <c r="N9" i="177"/>
  <c r="N34" i="177"/>
  <c r="J10" i="177"/>
  <c r="J20" i="177"/>
  <c r="J30" i="177"/>
  <c r="J32" i="177"/>
  <c r="J34" i="177"/>
  <c r="K10" i="177"/>
  <c r="K20" i="177"/>
  <c r="K30" i="177"/>
  <c r="K32" i="177"/>
  <c r="K34" i="177"/>
  <c r="L10" i="177"/>
  <c r="L20" i="177"/>
  <c r="L30" i="177"/>
  <c r="L32" i="177"/>
  <c r="L34" i="177"/>
  <c r="M20" i="177"/>
  <c r="M30" i="177"/>
  <c r="M32" i="177"/>
  <c r="M10" i="177"/>
  <c r="M34" i="177"/>
  <c r="I17" i="169"/>
  <c r="N10" i="162"/>
  <c r="O10" i="162"/>
  <c r="N11" i="162"/>
  <c r="O11" i="162"/>
  <c r="N12" i="162"/>
  <c r="O12" i="162"/>
  <c r="N14" i="162"/>
  <c r="O14" i="162"/>
  <c r="N15" i="162"/>
  <c r="O15" i="162"/>
  <c r="N16" i="162"/>
  <c r="O16" i="162"/>
  <c r="N19" i="162"/>
  <c r="N31" i="162"/>
  <c r="O31" i="162"/>
  <c r="N20" i="162"/>
  <c r="N32" i="162"/>
  <c r="O32" i="162"/>
  <c r="N21" i="162"/>
  <c r="N33" i="162"/>
  <c r="O33" i="162"/>
  <c r="N22" i="162"/>
  <c r="N34" i="162"/>
  <c r="O34" i="162"/>
  <c r="N23" i="162"/>
  <c r="N35" i="162"/>
  <c r="O35" i="162"/>
  <c r="N24" i="162"/>
  <c r="N36" i="162"/>
  <c r="O36" i="162"/>
  <c r="N25" i="162"/>
  <c r="N37" i="162"/>
  <c r="O37" i="162"/>
  <c r="N27" i="162"/>
  <c r="N39" i="162"/>
  <c r="O39" i="162"/>
  <c r="N28" i="162"/>
  <c r="N40" i="162"/>
  <c r="O40" i="162"/>
  <c r="N46" i="162"/>
  <c r="O46" i="162"/>
  <c r="N49" i="162"/>
  <c r="N57" i="162"/>
  <c r="O57" i="162"/>
  <c r="N50" i="162"/>
  <c r="N58" i="162"/>
  <c r="O58" i="162"/>
  <c r="N51" i="162"/>
  <c r="N59" i="162"/>
  <c r="O59" i="162"/>
  <c r="N52" i="162"/>
  <c r="N60" i="162"/>
  <c r="O60" i="162"/>
  <c r="N53" i="162"/>
  <c r="N61" i="162"/>
  <c r="O61" i="162"/>
  <c r="N54" i="162"/>
  <c r="N62" i="162"/>
  <c r="O62" i="162"/>
  <c r="O66" i="162"/>
  <c r="O56" i="109"/>
  <c r="N70" i="162"/>
  <c r="O70" i="162"/>
  <c r="N71" i="162"/>
  <c r="O71" i="162"/>
  <c r="N84" i="162"/>
  <c r="N74" i="162"/>
  <c r="O84" i="162"/>
  <c r="N85" i="162"/>
  <c r="N75" i="162"/>
  <c r="O85" i="162"/>
  <c r="N86" i="162"/>
  <c r="N76" i="162"/>
  <c r="O86" i="162"/>
  <c r="N87" i="162"/>
  <c r="N77" i="162"/>
  <c r="O87" i="162"/>
  <c r="N88" i="162"/>
  <c r="N78" i="162"/>
  <c r="O88" i="162"/>
  <c r="N79" i="162"/>
  <c r="O89" i="162"/>
  <c r="N90" i="162"/>
  <c r="N80" i="162"/>
  <c r="O90" i="162"/>
  <c r="N91" i="162"/>
  <c r="N81" i="162"/>
  <c r="O91" i="162"/>
  <c r="O94" i="162"/>
  <c r="AE56" i="109"/>
  <c r="AH56" i="109"/>
  <c r="AD56" i="109"/>
  <c r="AA56" i="109"/>
  <c r="W56" i="109"/>
  <c r="V56" i="109"/>
  <c r="U56" i="109"/>
  <c r="R56" i="109"/>
  <c r="S56" i="109"/>
  <c r="D56" i="109"/>
  <c r="N56" i="109"/>
  <c r="K56" i="109"/>
  <c r="H56" i="109"/>
  <c r="G56" i="109"/>
  <c r="F56" i="109"/>
  <c r="E56" i="109"/>
  <c r="C56" i="109"/>
  <c r="B56" i="109"/>
  <c r="J17" i="162"/>
  <c r="J41" i="162"/>
  <c r="J29" i="162"/>
  <c r="J42" i="162"/>
  <c r="J47" i="162"/>
  <c r="J55" i="162"/>
  <c r="J63" i="162"/>
  <c r="J66" i="162"/>
  <c r="J18" i="178"/>
  <c r="J25" i="178"/>
  <c r="J26" i="178"/>
  <c r="L16" i="160"/>
  <c r="L22" i="160"/>
  <c r="M22" i="160"/>
  <c r="L33" i="159"/>
  <c r="M33" i="159"/>
  <c r="L34" i="159"/>
  <c r="M34" i="159"/>
  <c r="L38" i="159"/>
  <c r="L45" i="159"/>
  <c r="M45" i="159"/>
  <c r="L39" i="159"/>
  <c r="L46" i="159"/>
  <c r="M46" i="159"/>
  <c r="L40" i="159"/>
  <c r="L47" i="159"/>
  <c r="M47" i="159"/>
  <c r="L41" i="159"/>
  <c r="L48" i="159"/>
  <c r="M48" i="159"/>
  <c r="M51" i="159"/>
  <c r="AE52" i="109"/>
  <c r="L8" i="159"/>
  <c r="M8" i="159"/>
  <c r="L9" i="159"/>
  <c r="M9" i="159"/>
  <c r="L13" i="159"/>
  <c r="L21" i="159"/>
  <c r="M21" i="159"/>
  <c r="L14" i="159"/>
  <c r="L22" i="159"/>
  <c r="M22" i="159"/>
  <c r="L15" i="159"/>
  <c r="L23" i="159"/>
  <c r="M23" i="159"/>
  <c r="L16" i="159"/>
  <c r="L24" i="159"/>
  <c r="M24" i="159"/>
  <c r="L17" i="159"/>
  <c r="L25" i="159"/>
  <c r="M25" i="159"/>
  <c r="M28" i="159"/>
  <c r="O52" i="109"/>
  <c r="AH52" i="109"/>
  <c r="R52" i="109"/>
  <c r="S52" i="109"/>
  <c r="U52" i="109"/>
  <c r="W52" i="109"/>
  <c r="X52" i="109"/>
  <c r="AA52" i="109"/>
  <c r="AF52" i="109"/>
  <c r="K11" i="157"/>
  <c r="K18" i="157"/>
  <c r="K25" i="157"/>
  <c r="K27" i="157"/>
  <c r="K29" i="157"/>
  <c r="J11" i="157"/>
  <c r="J18" i="157"/>
  <c r="J25" i="157"/>
  <c r="J27" i="157"/>
  <c r="J29" i="157"/>
  <c r="I18" i="157"/>
  <c r="I25" i="157"/>
  <c r="I27" i="157"/>
  <c r="M21" i="157"/>
  <c r="M143" i="148"/>
  <c r="I144" i="148"/>
  <c r="I122" i="148"/>
  <c r="I109" i="148"/>
  <c r="I100" i="148"/>
  <c r="I91" i="148"/>
  <c r="I76" i="148"/>
  <c r="I63" i="148"/>
  <c r="I48" i="148"/>
  <c r="I35" i="148"/>
  <c r="I24" i="148"/>
  <c r="J144" i="148"/>
  <c r="J122" i="148"/>
  <c r="J109" i="148"/>
  <c r="J100" i="148"/>
  <c r="J91" i="148"/>
  <c r="J76" i="148"/>
  <c r="J63" i="148"/>
  <c r="J48" i="148"/>
  <c r="J35" i="148"/>
  <c r="J24" i="148"/>
  <c r="J148" i="148"/>
  <c r="K144" i="148"/>
  <c r="K122" i="148"/>
  <c r="K109" i="148"/>
  <c r="K100" i="148"/>
  <c r="K91" i="148"/>
  <c r="K76" i="148"/>
  <c r="K63" i="148"/>
  <c r="K48" i="148"/>
  <c r="K35" i="148"/>
  <c r="K24" i="148"/>
  <c r="K148" i="148"/>
  <c r="L144" i="148"/>
  <c r="L122" i="148"/>
  <c r="L100" i="148"/>
  <c r="L91" i="148"/>
  <c r="L76" i="148"/>
  <c r="L63" i="148"/>
  <c r="L48" i="148"/>
  <c r="L35" i="148"/>
  <c r="L24" i="148"/>
  <c r="L148" i="148"/>
  <c r="M148" i="148"/>
  <c r="M59" i="148"/>
  <c r="M60" i="148"/>
  <c r="M61" i="148"/>
  <c r="M62" i="148"/>
  <c r="M63" i="148"/>
  <c r="L30" i="148"/>
  <c r="L17" i="148"/>
  <c r="J135" i="148"/>
  <c r="J116" i="148"/>
  <c r="J105" i="148"/>
  <c r="J96" i="148"/>
  <c r="J84" i="148"/>
  <c r="J70" i="148"/>
  <c r="J56" i="148"/>
  <c r="J42" i="148"/>
  <c r="J30" i="148"/>
  <c r="J17" i="148"/>
  <c r="J146" i="148"/>
  <c r="J150" i="148"/>
  <c r="K135" i="148"/>
  <c r="K116" i="148"/>
  <c r="K105" i="148"/>
  <c r="K96" i="148"/>
  <c r="K84" i="148"/>
  <c r="K70" i="148"/>
  <c r="K56" i="148"/>
  <c r="K42" i="148"/>
  <c r="K30" i="148"/>
  <c r="K17" i="148"/>
  <c r="K146" i="148"/>
  <c r="K150" i="148"/>
  <c r="L135" i="148"/>
  <c r="L116" i="148"/>
  <c r="L105" i="148"/>
  <c r="L96" i="148"/>
  <c r="L84" i="148"/>
  <c r="L70" i="148"/>
  <c r="L56" i="148"/>
  <c r="L42" i="148"/>
  <c r="L146" i="148"/>
  <c r="L150" i="148"/>
  <c r="M126" i="148"/>
  <c r="M129" i="148"/>
  <c r="M130" i="148"/>
  <c r="M131" i="148"/>
  <c r="M132" i="148"/>
  <c r="M133" i="148"/>
  <c r="M134" i="148"/>
  <c r="M135" i="148"/>
  <c r="M113" i="148"/>
  <c r="M114" i="148"/>
  <c r="M115" i="148"/>
  <c r="M116" i="148"/>
  <c r="M104" i="148"/>
  <c r="M105" i="148"/>
  <c r="M95" i="148"/>
  <c r="M96" i="148"/>
  <c r="M80" i="148"/>
  <c r="M81" i="148"/>
  <c r="M82" i="148"/>
  <c r="M83" i="148"/>
  <c r="M84" i="148"/>
  <c r="M67" i="148"/>
  <c r="M68" i="148"/>
  <c r="M69" i="148"/>
  <c r="M70" i="148"/>
  <c r="M52" i="148"/>
  <c r="M53" i="148"/>
  <c r="M54" i="148"/>
  <c r="M55" i="148"/>
  <c r="M56" i="148"/>
  <c r="M39" i="148"/>
  <c r="M40" i="148"/>
  <c r="M41" i="148"/>
  <c r="M42" i="148"/>
  <c r="M28" i="148"/>
  <c r="M29" i="148"/>
  <c r="M30" i="148"/>
  <c r="M10" i="148"/>
  <c r="M11" i="148"/>
  <c r="M13" i="148"/>
  <c r="M14" i="148"/>
  <c r="M15" i="148"/>
  <c r="M16" i="148"/>
  <c r="M17" i="148"/>
  <c r="M146" i="148"/>
  <c r="M150" i="148"/>
  <c r="I116" i="148"/>
  <c r="I105" i="148"/>
  <c r="I96" i="148"/>
  <c r="I84" i="148"/>
  <c r="I70" i="148"/>
  <c r="I56" i="148"/>
  <c r="I42" i="148"/>
  <c r="I30" i="148"/>
  <c r="I17" i="148"/>
  <c r="I146" i="148"/>
  <c r="I150" i="148"/>
  <c r="I18" i="151"/>
  <c r="I25" i="151"/>
  <c r="I27" i="151"/>
  <c r="I42" i="151"/>
  <c r="I49" i="151"/>
  <c r="I51" i="151"/>
  <c r="I13" i="138"/>
  <c r="I21" i="138"/>
  <c r="I28" i="138"/>
  <c r="I30" i="138"/>
  <c r="I11" i="179"/>
  <c r="I20" i="179"/>
  <c r="I29" i="179"/>
  <c r="I31" i="179"/>
  <c r="I33" i="179"/>
  <c r="L12" i="154"/>
  <c r="L13" i="154"/>
  <c r="L14" i="154"/>
  <c r="L17" i="154"/>
  <c r="L18" i="154"/>
  <c r="L19" i="154"/>
  <c r="L21" i="154"/>
  <c r="K49" i="151"/>
  <c r="M16" i="149"/>
  <c r="M23" i="149"/>
  <c r="N23" i="149"/>
  <c r="M15" i="149"/>
  <c r="M22" i="149"/>
  <c r="N22" i="149"/>
  <c r="M14" i="149"/>
  <c r="M21" i="149"/>
  <c r="N21" i="149"/>
  <c r="I47" i="144"/>
  <c r="I19" i="144"/>
  <c r="I10" i="144"/>
  <c r="I20" i="144"/>
  <c r="I33" i="144"/>
  <c r="I26" i="144"/>
  <c r="I34" i="144"/>
  <c r="I37" i="144"/>
  <c r="I51" i="144"/>
  <c r="M138" i="148"/>
  <c r="N138" i="148"/>
  <c r="M139" i="148"/>
  <c r="N139" i="148"/>
  <c r="M140" i="148"/>
  <c r="N140" i="148"/>
  <c r="M141" i="148"/>
  <c r="N141" i="148"/>
  <c r="N142" i="148"/>
  <c r="N143" i="148"/>
  <c r="M121" i="148"/>
  <c r="N121" i="148"/>
  <c r="M120" i="148"/>
  <c r="N120" i="148"/>
  <c r="M119" i="148"/>
  <c r="N119" i="148"/>
  <c r="M99" i="148"/>
  <c r="N99" i="148"/>
  <c r="M100" i="148"/>
  <c r="M87" i="148"/>
  <c r="M88" i="148"/>
  <c r="M89" i="148"/>
  <c r="M90" i="148"/>
  <c r="M91" i="148"/>
  <c r="N87" i="148"/>
  <c r="N88" i="148"/>
  <c r="N89" i="148"/>
  <c r="N90" i="148"/>
  <c r="M73" i="148"/>
  <c r="N73" i="148"/>
  <c r="M74" i="148"/>
  <c r="N74" i="148"/>
  <c r="M75" i="148"/>
  <c r="N75" i="148"/>
  <c r="N61" i="148"/>
  <c r="N60" i="148"/>
  <c r="N59" i="148"/>
  <c r="N62" i="148"/>
  <c r="M46" i="148"/>
  <c r="N46" i="148"/>
  <c r="M47" i="148"/>
  <c r="N47" i="148"/>
  <c r="M122" i="148"/>
  <c r="M108" i="148"/>
  <c r="N108" i="148"/>
  <c r="M109" i="148"/>
  <c r="M76" i="148"/>
  <c r="M23" i="148"/>
  <c r="N11" i="148"/>
  <c r="L8" i="179"/>
  <c r="M8" i="179"/>
  <c r="L14" i="179"/>
  <c r="L23" i="179"/>
  <c r="M23" i="179"/>
  <c r="L15" i="179"/>
  <c r="L24" i="179"/>
  <c r="M24" i="179"/>
  <c r="L16" i="179"/>
  <c r="L25" i="179"/>
  <c r="M25" i="179"/>
  <c r="L17" i="179"/>
  <c r="L26" i="179"/>
  <c r="M26" i="179"/>
  <c r="L18" i="179"/>
  <c r="L27" i="179"/>
  <c r="M27" i="179"/>
  <c r="L19" i="179"/>
  <c r="L28" i="179"/>
  <c r="M28" i="179"/>
  <c r="M33" i="179"/>
  <c r="O35" i="109"/>
  <c r="AH35" i="109"/>
  <c r="N35" i="109"/>
  <c r="K35" i="109"/>
  <c r="J35" i="109"/>
  <c r="G35" i="109"/>
  <c r="E35" i="109"/>
  <c r="B35" i="109"/>
  <c r="J11" i="179"/>
  <c r="J20" i="179"/>
  <c r="J29" i="179"/>
  <c r="J31" i="179"/>
  <c r="J33" i="179"/>
  <c r="K11" i="179"/>
  <c r="K20" i="179"/>
  <c r="K29" i="179"/>
  <c r="K31" i="179"/>
  <c r="K33" i="179"/>
  <c r="L11" i="179"/>
  <c r="L20" i="179"/>
  <c r="L29" i="179"/>
  <c r="L31" i="179"/>
  <c r="L33" i="179"/>
  <c r="L45" i="144"/>
  <c r="L18" i="144"/>
  <c r="L44" i="144"/>
  <c r="L17" i="144"/>
  <c r="M44" i="144"/>
  <c r="L42" i="144"/>
  <c r="L15" i="144"/>
  <c r="L41" i="144"/>
  <c r="L14" i="144"/>
  <c r="L40" i="144"/>
  <c r="L13" i="144"/>
  <c r="L8" i="144"/>
  <c r="M8" i="144"/>
  <c r="L9" i="144"/>
  <c r="M9" i="144"/>
  <c r="L24" i="144"/>
  <c r="M24" i="144"/>
  <c r="L28" i="144"/>
  <c r="M28" i="144"/>
  <c r="L29" i="144"/>
  <c r="L30" i="144"/>
  <c r="M30" i="144"/>
  <c r="L31" i="144"/>
  <c r="M31" i="144"/>
  <c r="L32" i="144"/>
  <c r="M32" i="144"/>
  <c r="L43" i="144"/>
  <c r="L16" i="144"/>
  <c r="M43" i="144"/>
  <c r="J47" i="144"/>
  <c r="J19" i="144"/>
  <c r="J10" i="144"/>
  <c r="J20" i="144"/>
  <c r="J33" i="144"/>
  <c r="J26" i="144"/>
  <c r="J34" i="144"/>
  <c r="J37" i="144"/>
  <c r="J51" i="144"/>
  <c r="I36" i="144"/>
  <c r="J36" i="144"/>
  <c r="K19" i="144"/>
  <c r="K33" i="144"/>
  <c r="K36" i="144"/>
  <c r="L36" i="144"/>
  <c r="L11" i="142"/>
  <c r="N22" i="141"/>
  <c r="N14" i="141"/>
  <c r="O22" i="141"/>
  <c r="N23" i="141"/>
  <c r="N15" i="141"/>
  <c r="O23" i="141"/>
  <c r="N24" i="141"/>
  <c r="N16" i="141"/>
  <c r="O24" i="141"/>
  <c r="N17" i="141"/>
  <c r="N25" i="141"/>
  <c r="O25" i="141"/>
  <c r="N18" i="141"/>
  <c r="N26" i="141"/>
  <c r="O26" i="141"/>
  <c r="N9" i="141"/>
  <c r="O9" i="141"/>
  <c r="N10" i="141"/>
  <c r="O10" i="141"/>
  <c r="O31" i="141"/>
  <c r="O30" i="109"/>
  <c r="N43" i="141"/>
  <c r="N52" i="141"/>
  <c r="O52" i="141"/>
  <c r="U30" i="109"/>
  <c r="N46" i="141"/>
  <c r="N55" i="141"/>
  <c r="O55" i="141"/>
  <c r="V30" i="109"/>
  <c r="N47" i="141"/>
  <c r="N56" i="141"/>
  <c r="O56" i="141"/>
  <c r="W30" i="109"/>
  <c r="N44" i="141"/>
  <c r="N53" i="141"/>
  <c r="O53" i="141"/>
  <c r="N45" i="141"/>
  <c r="N54" i="141"/>
  <c r="O54" i="141"/>
  <c r="X30" i="109"/>
  <c r="N48" i="141"/>
  <c r="N57" i="141"/>
  <c r="O57" i="141"/>
  <c r="AA30" i="109"/>
  <c r="AE30" i="109"/>
  <c r="AH30" i="109"/>
  <c r="AI30" i="109"/>
  <c r="I30" i="139"/>
  <c r="I31" i="139"/>
  <c r="I32" i="139"/>
  <c r="I33" i="139"/>
  <c r="I34" i="139"/>
  <c r="I38" i="139"/>
  <c r="I39" i="139"/>
  <c r="I40" i="139"/>
  <c r="I41" i="139"/>
  <c r="I43" i="139"/>
  <c r="I47" i="139"/>
  <c r="I50" i="139"/>
  <c r="AE28" i="109"/>
  <c r="AE29" i="109"/>
  <c r="AE31" i="109"/>
  <c r="N49" i="141"/>
  <c r="N58" i="141"/>
  <c r="N60" i="141"/>
  <c r="N38" i="141"/>
  <c r="N39" i="141"/>
  <c r="N40" i="141"/>
  <c r="N61" i="141"/>
  <c r="L11" i="135"/>
  <c r="L10" i="135"/>
  <c r="L12" i="135"/>
  <c r="L15" i="135"/>
  <c r="L16" i="135"/>
  <c r="L17" i="135"/>
  <c r="L18" i="135"/>
  <c r="L19" i="135"/>
  <c r="L22" i="135"/>
  <c r="L23" i="135"/>
  <c r="L24" i="135"/>
  <c r="L25" i="135"/>
  <c r="L26" i="135"/>
  <c r="L27" i="135"/>
  <c r="L29" i="135"/>
  <c r="I26" i="135"/>
  <c r="H43" i="139"/>
  <c r="E11" i="139"/>
  <c r="E19" i="139"/>
  <c r="E24" i="139"/>
  <c r="F11" i="139"/>
  <c r="F19" i="139"/>
  <c r="F24" i="139"/>
  <c r="J17" i="139"/>
  <c r="J15" i="139"/>
  <c r="J16" i="139"/>
  <c r="I44" i="134"/>
  <c r="L36" i="134"/>
  <c r="J37" i="134"/>
  <c r="I37" i="134"/>
  <c r="L30" i="134"/>
  <c r="M30" i="134"/>
  <c r="L14" i="134"/>
  <c r="L15" i="134"/>
  <c r="L16" i="134"/>
  <c r="L17" i="134"/>
  <c r="L18" i="134"/>
  <c r="L19" i="134"/>
  <c r="L20" i="134"/>
  <c r="L10" i="134"/>
  <c r="L11" i="134"/>
  <c r="L12" i="134"/>
  <c r="L23" i="134"/>
  <c r="J12" i="134"/>
  <c r="K12" i="134"/>
  <c r="M53" i="136"/>
  <c r="M46" i="136"/>
  <c r="N53" i="136"/>
  <c r="W21" i="109"/>
  <c r="M52" i="136"/>
  <c r="M45" i="136"/>
  <c r="N52" i="136"/>
  <c r="V21" i="109"/>
  <c r="M22" i="136"/>
  <c r="M24" i="136"/>
  <c r="M25" i="136"/>
  <c r="M26" i="136"/>
  <c r="M15" i="136"/>
  <c r="M18" i="136"/>
  <c r="M19" i="136"/>
  <c r="M28" i="136" s="1"/>
  <c r="AF23" i="109"/>
  <c r="M50" i="136"/>
  <c r="M43" i="136"/>
  <c r="N50" i="136"/>
  <c r="M51" i="136"/>
  <c r="N51" i="136"/>
  <c r="M37" i="136"/>
  <c r="N37" i="136"/>
  <c r="M38" i="136"/>
  <c r="N38" i="136"/>
  <c r="M39" i="136"/>
  <c r="N39" i="136"/>
  <c r="N58" i="136"/>
  <c r="L54" i="136"/>
  <c r="M54" i="136"/>
  <c r="K54" i="136"/>
  <c r="J54" i="136"/>
  <c r="I54" i="136"/>
  <c r="L47" i="136"/>
  <c r="M47" i="136"/>
  <c r="K47" i="136"/>
  <c r="J47" i="136"/>
  <c r="I47" i="136"/>
  <c r="G21" i="111"/>
  <c r="G30" i="111"/>
  <c r="G32" i="111"/>
  <c r="G12" i="111"/>
  <c r="G35" i="111"/>
  <c r="I53" i="137"/>
  <c r="I61" i="137"/>
  <c r="I63" i="137"/>
  <c r="I45" i="137"/>
  <c r="I65" i="137"/>
  <c r="G12" i="171"/>
  <c r="G20" i="171"/>
  <c r="G28" i="171"/>
  <c r="G30" i="171"/>
  <c r="I35" i="118"/>
  <c r="I23" i="118"/>
  <c r="I11" i="118"/>
  <c r="I39" i="118"/>
  <c r="I16" i="124"/>
  <c r="I42" i="124"/>
  <c r="I68" i="124"/>
  <c r="I70" i="124"/>
  <c r="I72" i="124"/>
  <c r="I41" i="129"/>
  <c r="I47" i="129"/>
  <c r="I49" i="129"/>
  <c r="L38" i="129"/>
  <c r="L44" i="129"/>
  <c r="M44" i="129"/>
  <c r="L15" i="129"/>
  <c r="L22" i="129"/>
  <c r="M22" i="129"/>
  <c r="L39" i="129"/>
  <c r="L45" i="129"/>
  <c r="M45" i="129"/>
  <c r="J41" i="129"/>
  <c r="J47" i="129"/>
  <c r="J49" i="129"/>
  <c r="K41" i="129"/>
  <c r="K47" i="129"/>
  <c r="K49" i="129"/>
  <c r="L35" i="129"/>
  <c r="M35" i="129"/>
  <c r="L49" i="129"/>
  <c r="L41" i="129"/>
  <c r="L47" i="129"/>
  <c r="L9" i="126"/>
  <c r="L10" i="126"/>
  <c r="L11" i="126"/>
  <c r="M10" i="126"/>
  <c r="J11" i="126"/>
  <c r="I11" i="126"/>
  <c r="L50" i="120"/>
  <c r="L43" i="120"/>
  <c r="L42" i="120"/>
  <c r="K47" i="120"/>
  <c r="M38" i="119"/>
  <c r="N38" i="119"/>
  <c r="L27" i="118"/>
  <c r="L15" i="118"/>
  <c r="M27" i="118"/>
  <c r="L28" i="118"/>
  <c r="L16" i="118"/>
  <c r="M28" i="118"/>
  <c r="N11" i="109"/>
  <c r="L32" i="118"/>
  <c r="L20" i="118"/>
  <c r="M32" i="118"/>
  <c r="K11" i="109"/>
  <c r="L30" i="118"/>
  <c r="L18" i="118"/>
  <c r="M30" i="118"/>
  <c r="L31" i="118"/>
  <c r="L19" i="118"/>
  <c r="M31" i="118"/>
  <c r="L33" i="118"/>
  <c r="L21" i="118"/>
  <c r="M33" i="118"/>
  <c r="G11" i="109"/>
  <c r="L29" i="118"/>
  <c r="L17" i="118"/>
  <c r="M29" i="118"/>
  <c r="E11" i="109"/>
  <c r="L9" i="118"/>
  <c r="M9" i="118"/>
  <c r="B11" i="109"/>
  <c r="J15" i="171"/>
  <c r="J23" i="171"/>
  <c r="K23" i="171"/>
  <c r="J16" i="171"/>
  <c r="J24" i="171"/>
  <c r="K24" i="171"/>
  <c r="J17" i="171"/>
  <c r="J25" i="171"/>
  <c r="K25" i="171"/>
  <c r="J18" i="171"/>
  <c r="J26" i="171"/>
  <c r="K26" i="171"/>
  <c r="J9" i="171"/>
  <c r="K9" i="171"/>
  <c r="J10" i="171"/>
  <c r="K10" i="171"/>
  <c r="K30" i="171"/>
  <c r="O9" i="109"/>
  <c r="N9" i="109"/>
  <c r="E9" i="109"/>
  <c r="J9" i="109"/>
  <c r="G9" i="109"/>
  <c r="C9" i="109"/>
  <c r="B9" i="109"/>
  <c r="L25" i="137"/>
  <c r="L15" i="137"/>
  <c r="M25" i="137"/>
  <c r="L26" i="137"/>
  <c r="L16" i="137"/>
  <c r="M26" i="137"/>
  <c r="L27" i="137"/>
  <c r="L17" i="137"/>
  <c r="M27" i="137"/>
  <c r="L28" i="137"/>
  <c r="L18" i="137"/>
  <c r="M28" i="137"/>
  <c r="L29" i="137"/>
  <c r="L19" i="137"/>
  <c r="M29" i="137"/>
  <c r="L30" i="137"/>
  <c r="L20" i="137"/>
  <c r="M30" i="137"/>
  <c r="L9" i="137"/>
  <c r="M9" i="137"/>
  <c r="L10" i="137"/>
  <c r="M10" i="137"/>
  <c r="M36" i="137"/>
  <c r="O7" i="109"/>
  <c r="L42" i="137"/>
  <c r="M42" i="137"/>
  <c r="R7" i="109"/>
  <c r="L59" i="137"/>
  <c r="L51" i="137"/>
  <c r="M59" i="137"/>
  <c r="U7" i="109"/>
  <c r="L58" i="137"/>
  <c r="L50" i="137"/>
  <c r="M58" i="137"/>
  <c r="W7" i="109"/>
  <c r="L56" i="137"/>
  <c r="L48" i="137"/>
  <c r="M56" i="137"/>
  <c r="L57" i="137"/>
  <c r="L49" i="137"/>
  <c r="M57" i="137"/>
  <c r="X7" i="109"/>
  <c r="AE7" i="109"/>
  <c r="AH7" i="109"/>
  <c r="H21" i="111"/>
  <c r="H30" i="111"/>
  <c r="H32" i="111"/>
  <c r="H12" i="111"/>
  <c r="H35" i="111"/>
  <c r="I21" i="111"/>
  <c r="I30" i="111"/>
  <c r="I32" i="111"/>
  <c r="I12" i="111"/>
  <c r="I35" i="111"/>
  <c r="J35" i="111"/>
  <c r="AH6" i="109"/>
  <c r="AI7" i="109"/>
  <c r="AJ7" i="109"/>
  <c r="L53" i="137"/>
  <c r="L61" i="137"/>
  <c r="L63" i="137"/>
  <c r="L43" i="137"/>
  <c r="L45" i="137"/>
  <c r="L65" i="137"/>
  <c r="K53" i="137"/>
  <c r="K61" i="137"/>
  <c r="K63" i="137"/>
  <c r="K45" i="137"/>
  <c r="K65" i="137"/>
  <c r="AF7" i="109"/>
  <c r="AG7" i="109"/>
  <c r="M43" i="137"/>
  <c r="M65" i="137"/>
  <c r="N7" i="109"/>
  <c r="K7" i="109"/>
  <c r="J7" i="109"/>
  <c r="I7" i="109"/>
  <c r="G7" i="109"/>
  <c r="E7" i="109"/>
  <c r="B7" i="109"/>
  <c r="C7" i="109"/>
  <c r="P7" i="109"/>
  <c r="Q7" i="109"/>
  <c r="O6" i="109"/>
  <c r="J10" i="111"/>
  <c r="K10" i="111"/>
  <c r="B6" i="109"/>
  <c r="J9" i="111"/>
  <c r="K9" i="111"/>
  <c r="C6" i="109"/>
  <c r="J15" i="111"/>
  <c r="J24" i="111"/>
  <c r="K24" i="111"/>
  <c r="E6" i="109"/>
  <c r="J16" i="111"/>
  <c r="J25" i="111"/>
  <c r="K25" i="111"/>
  <c r="F6" i="109"/>
  <c r="J19" i="111"/>
  <c r="J28" i="111"/>
  <c r="K28" i="111"/>
  <c r="G6" i="109"/>
  <c r="J17" i="111"/>
  <c r="J26" i="111"/>
  <c r="K26" i="111"/>
  <c r="J6" i="109"/>
  <c r="J18" i="111"/>
  <c r="J27" i="111"/>
  <c r="K27" i="111"/>
  <c r="K6" i="109"/>
  <c r="J20" i="111"/>
  <c r="J29" i="111"/>
  <c r="K29" i="111"/>
  <c r="N6" i="109"/>
  <c r="P6" i="109"/>
  <c r="J32" i="111"/>
  <c r="L25" i="158"/>
  <c r="L8" i="155"/>
  <c r="L9" i="155"/>
  <c r="L35" i="145"/>
  <c r="I43" i="134"/>
  <c r="L43" i="134"/>
  <c r="L12" i="133"/>
  <c r="J40" i="132"/>
  <c r="K40" i="132"/>
  <c r="I40" i="132"/>
  <c r="L39" i="132"/>
  <c r="L40" i="132"/>
  <c r="L38" i="132"/>
  <c r="K25" i="131"/>
  <c r="I25" i="131"/>
  <c r="J25" i="131"/>
  <c r="J30" i="122"/>
  <c r="K30" i="122"/>
  <c r="L19" i="122"/>
  <c r="L20" i="122"/>
  <c r="L21" i="122"/>
  <c r="L22" i="122"/>
  <c r="L23" i="122"/>
  <c r="L24" i="122"/>
  <c r="L25" i="122"/>
  <c r="L26" i="122"/>
  <c r="L27" i="122"/>
  <c r="L28" i="122"/>
  <c r="L29" i="122"/>
  <c r="L30" i="122"/>
  <c r="I30" i="122"/>
  <c r="L32" i="122"/>
  <c r="I12" i="121"/>
  <c r="L53" i="120"/>
  <c r="L45" i="120"/>
  <c r="L11" i="120"/>
  <c r="J11" i="111"/>
  <c r="M20" i="148"/>
  <c r="M21" i="148"/>
  <c r="M22" i="148"/>
  <c r="M24" i="148"/>
  <c r="M33" i="148"/>
  <c r="M34" i="148"/>
  <c r="M35" i="148"/>
  <c r="M45" i="148"/>
  <c r="M48" i="148"/>
  <c r="AH67" i="109"/>
  <c r="AE67" i="109"/>
  <c r="AA67" i="109"/>
  <c r="X67" i="109"/>
  <c r="W67" i="109"/>
  <c r="O67" i="109"/>
  <c r="AF66" i="109"/>
  <c r="C67" i="109"/>
  <c r="B67" i="109"/>
  <c r="I30" i="177"/>
  <c r="I20" i="177"/>
  <c r="I10" i="177"/>
  <c r="I32" i="177"/>
  <c r="I34" i="177"/>
  <c r="N9" i="178"/>
  <c r="O9" i="178"/>
  <c r="N10" i="178"/>
  <c r="O10" i="178"/>
  <c r="N14" i="178"/>
  <c r="N21" i="178"/>
  <c r="O21" i="178"/>
  <c r="N15" i="178"/>
  <c r="N22" i="178"/>
  <c r="O22" i="178"/>
  <c r="N16" i="178"/>
  <c r="N23" i="178"/>
  <c r="O23" i="178"/>
  <c r="N17" i="178"/>
  <c r="N24" i="178"/>
  <c r="O24" i="178"/>
  <c r="O27" i="178"/>
  <c r="AH55" i="109"/>
  <c r="AE55" i="109"/>
  <c r="W55" i="109"/>
  <c r="V55" i="109"/>
  <c r="U55" i="109"/>
  <c r="S55" i="109"/>
  <c r="R55" i="109"/>
  <c r="O55" i="109"/>
  <c r="N55" i="109"/>
  <c r="F55" i="109"/>
  <c r="G55" i="109"/>
  <c r="E55" i="109"/>
  <c r="C55" i="109"/>
  <c r="B55" i="109"/>
  <c r="K11" i="178"/>
  <c r="K18" i="178"/>
  <c r="K25" i="178"/>
  <c r="K26" i="178"/>
  <c r="K27" i="178"/>
  <c r="L11" i="178"/>
  <c r="L18" i="178"/>
  <c r="L25" i="178"/>
  <c r="L26" i="178"/>
  <c r="L27" i="178"/>
  <c r="M11" i="178"/>
  <c r="M18" i="178"/>
  <c r="M25" i="178"/>
  <c r="N11" i="178"/>
  <c r="N25" i="178"/>
  <c r="N18" i="178"/>
  <c r="N26" i="178"/>
  <c r="N27" i="178"/>
  <c r="J11" i="178"/>
  <c r="J27" i="178"/>
  <c r="N34" i="178"/>
  <c r="N40" i="178"/>
  <c r="N46" i="178"/>
  <c r="N47" i="178"/>
  <c r="N48" i="178"/>
  <c r="M34" i="178"/>
  <c r="M40" i="178"/>
  <c r="M47" i="178"/>
  <c r="M48" i="178"/>
  <c r="L34" i="178"/>
  <c r="L40" i="178"/>
  <c r="L46" i="178"/>
  <c r="L47" i="178"/>
  <c r="L48" i="178"/>
  <c r="K34" i="178"/>
  <c r="K40" i="178"/>
  <c r="K46" i="178"/>
  <c r="K47" i="178"/>
  <c r="K48" i="178"/>
  <c r="J34" i="178"/>
  <c r="J40" i="178"/>
  <c r="J46" i="178"/>
  <c r="J47" i="178"/>
  <c r="J48" i="178"/>
  <c r="N21" i="148"/>
  <c r="M43" i="176"/>
  <c r="AH60" i="109"/>
  <c r="J40" i="176"/>
  <c r="K25" i="176"/>
  <c r="J25" i="176"/>
  <c r="K10" i="176"/>
  <c r="J10" i="176"/>
  <c r="I10" i="176"/>
  <c r="G50" i="109"/>
  <c r="E50" i="109"/>
  <c r="C50" i="109"/>
  <c r="B50" i="109"/>
  <c r="L8" i="174"/>
  <c r="M8" i="174"/>
  <c r="L9" i="174"/>
  <c r="M9" i="174"/>
  <c r="L13" i="174"/>
  <c r="L20" i="174"/>
  <c r="M20" i="174"/>
  <c r="L14" i="174"/>
  <c r="L21" i="174"/>
  <c r="M21" i="174"/>
  <c r="L15" i="174"/>
  <c r="L22" i="174"/>
  <c r="M22" i="174"/>
  <c r="L16" i="174"/>
  <c r="L23" i="174"/>
  <c r="M23" i="174"/>
  <c r="M27" i="174"/>
  <c r="AH43" i="109"/>
  <c r="L33" i="151"/>
  <c r="M33" i="151"/>
  <c r="L34" i="151"/>
  <c r="M34" i="151"/>
  <c r="L38" i="151"/>
  <c r="L45" i="151"/>
  <c r="M45" i="151"/>
  <c r="L39" i="151"/>
  <c r="L46" i="151"/>
  <c r="M46" i="151"/>
  <c r="L40" i="151"/>
  <c r="L47" i="151"/>
  <c r="M47" i="151"/>
  <c r="L41" i="151"/>
  <c r="L48" i="151"/>
  <c r="M48" i="151"/>
  <c r="M53" i="151"/>
  <c r="L8" i="151"/>
  <c r="M8" i="151"/>
  <c r="L9" i="151"/>
  <c r="M9" i="151"/>
  <c r="L10" i="151"/>
  <c r="M10" i="151"/>
  <c r="L15" i="151"/>
  <c r="L22" i="151"/>
  <c r="M22" i="151"/>
  <c r="L16" i="151"/>
  <c r="L23" i="151"/>
  <c r="M23" i="151"/>
  <c r="L17" i="151"/>
  <c r="L24" i="151"/>
  <c r="M24" i="151"/>
  <c r="M28" i="151"/>
  <c r="AH42" i="109"/>
  <c r="X43" i="109"/>
  <c r="R43" i="109"/>
  <c r="O43" i="109"/>
  <c r="O42" i="109"/>
  <c r="I43" i="109"/>
  <c r="N43" i="109"/>
  <c r="G43" i="109"/>
  <c r="E43" i="109"/>
  <c r="C43" i="109"/>
  <c r="B43" i="109"/>
  <c r="K24" i="174"/>
  <c r="J24" i="174"/>
  <c r="I24" i="174"/>
  <c r="K17" i="174"/>
  <c r="J17" i="174"/>
  <c r="I17" i="174"/>
  <c r="K10" i="174"/>
  <c r="J10" i="174"/>
  <c r="I10" i="174"/>
  <c r="M20" i="173"/>
  <c r="M14" i="173"/>
  <c r="N20" i="173"/>
  <c r="M21" i="173"/>
  <c r="M15" i="173"/>
  <c r="N21" i="173"/>
  <c r="M16" i="173"/>
  <c r="M22" i="173"/>
  <c r="N22" i="173"/>
  <c r="M9" i="173"/>
  <c r="N9" i="173"/>
  <c r="M10" i="173"/>
  <c r="N10" i="173"/>
  <c r="N25" i="173"/>
  <c r="AH13" i="109"/>
  <c r="O13" i="109"/>
  <c r="AI13" i="109"/>
  <c r="AJ13" i="109"/>
  <c r="AF13" i="109"/>
  <c r="AG13" i="109" s="1"/>
  <c r="B13" i="109"/>
  <c r="C13" i="109"/>
  <c r="E13" i="109"/>
  <c r="G13" i="109"/>
  <c r="N13" i="109"/>
  <c r="P13" i="109"/>
  <c r="Q13" i="109"/>
  <c r="L23" i="173"/>
  <c r="J23" i="173"/>
  <c r="I23" i="173"/>
  <c r="L17" i="173"/>
  <c r="J17" i="173"/>
  <c r="I17" i="173"/>
  <c r="L11" i="173"/>
  <c r="J11" i="173"/>
  <c r="I11" i="173"/>
  <c r="K42" i="176"/>
  <c r="K43" i="176"/>
  <c r="J42" i="176"/>
  <c r="J43" i="176"/>
  <c r="I43" i="176"/>
  <c r="K26" i="174"/>
  <c r="K27" i="174"/>
  <c r="L24" i="174"/>
  <c r="J26" i="174"/>
  <c r="J27" i="174"/>
  <c r="I26" i="174"/>
  <c r="I27" i="174"/>
  <c r="L17" i="174"/>
  <c r="L10" i="174"/>
  <c r="I24" i="173"/>
  <c r="I25" i="173"/>
  <c r="M17" i="173"/>
  <c r="M11" i="173"/>
  <c r="J24" i="173"/>
  <c r="J25" i="173"/>
  <c r="L24" i="173"/>
  <c r="L25" i="173"/>
  <c r="M23" i="173"/>
  <c r="L26" i="174"/>
  <c r="L27" i="174"/>
  <c r="M24" i="173"/>
  <c r="M25" i="173"/>
  <c r="E10" i="109"/>
  <c r="J10" i="109"/>
  <c r="N10" i="109"/>
  <c r="C10" i="109"/>
  <c r="B10" i="109"/>
  <c r="L23" i="172"/>
  <c r="K23" i="172"/>
  <c r="J23" i="172"/>
  <c r="I23" i="172"/>
  <c r="L17" i="172"/>
  <c r="K17" i="172"/>
  <c r="J17" i="172"/>
  <c r="I17" i="172"/>
  <c r="L11" i="172"/>
  <c r="K11" i="172"/>
  <c r="J11" i="172"/>
  <c r="I11" i="172"/>
  <c r="AH9" i="109"/>
  <c r="N9" i="117"/>
  <c r="AF9" i="109"/>
  <c r="AG9" i="109" s="1"/>
  <c r="P9" i="109"/>
  <c r="H12" i="171"/>
  <c r="H20" i="171"/>
  <c r="H28" i="171"/>
  <c r="H30" i="171"/>
  <c r="I12" i="171"/>
  <c r="I20" i="171"/>
  <c r="I28" i="171"/>
  <c r="I30" i="171"/>
  <c r="J12" i="171"/>
  <c r="J20" i="171"/>
  <c r="J28" i="171"/>
  <c r="J30" i="171"/>
  <c r="I35" i="125"/>
  <c r="I37" i="125"/>
  <c r="P10" i="109"/>
  <c r="Q10" i="109"/>
  <c r="Q9" i="109"/>
  <c r="AI9" i="109"/>
  <c r="AJ9" i="109"/>
  <c r="K24" i="172"/>
  <c r="K25" i="172"/>
  <c r="I24" i="172"/>
  <c r="I25" i="172"/>
  <c r="M17" i="172"/>
  <c r="M23" i="172"/>
  <c r="J24" i="172"/>
  <c r="J25" i="172"/>
  <c r="L24" i="172"/>
  <c r="L25" i="172"/>
  <c r="M11" i="172"/>
  <c r="M24" i="172"/>
  <c r="M25" i="172"/>
  <c r="N10" i="148"/>
  <c r="N20" i="148"/>
  <c r="N22" i="148"/>
  <c r="N23" i="148"/>
  <c r="N33" i="148"/>
  <c r="N34" i="148"/>
  <c r="N45" i="148"/>
  <c r="I19" i="156"/>
  <c r="I30" i="156"/>
  <c r="L28" i="156"/>
  <c r="L19" i="156"/>
  <c r="L30" i="156"/>
  <c r="L10" i="156"/>
  <c r="L31" i="156"/>
  <c r="I45" i="109"/>
  <c r="H34" i="139"/>
  <c r="E34" i="139"/>
  <c r="E43" i="139"/>
  <c r="E47" i="139"/>
  <c r="E50" i="139"/>
  <c r="R28" i="109"/>
  <c r="F34" i="139"/>
  <c r="F43" i="139"/>
  <c r="F47" i="139"/>
  <c r="F50" i="139"/>
  <c r="S28" i="109"/>
  <c r="G34" i="139"/>
  <c r="G43" i="139"/>
  <c r="G47" i="139"/>
  <c r="G50" i="139"/>
  <c r="U28" i="109"/>
  <c r="F26" i="139"/>
  <c r="E26" i="139"/>
  <c r="J7" i="139"/>
  <c r="J8" i="139"/>
  <c r="J10" i="139"/>
  <c r="J11" i="139"/>
  <c r="J19" i="139"/>
  <c r="J24" i="139"/>
  <c r="J26" i="139"/>
  <c r="I11" i="139"/>
  <c r="I19" i="139"/>
  <c r="I24" i="139"/>
  <c r="I26" i="139"/>
  <c r="J28" i="109"/>
  <c r="H11" i="139"/>
  <c r="H19" i="139"/>
  <c r="H24" i="139"/>
  <c r="H26" i="139"/>
  <c r="G11" i="139"/>
  <c r="G19" i="139"/>
  <c r="G24" i="139"/>
  <c r="G26" i="139"/>
  <c r="L9" i="130"/>
  <c r="L25" i="131"/>
  <c r="M29" i="170"/>
  <c r="M26" i="170"/>
  <c r="M25" i="170"/>
  <c r="M9" i="170"/>
  <c r="I32" i="170"/>
  <c r="AE45" i="109"/>
  <c r="K36" i="165"/>
  <c r="K44" i="165"/>
  <c r="K45" i="165"/>
  <c r="J11" i="160"/>
  <c r="K11" i="160"/>
  <c r="I11" i="160"/>
  <c r="J40" i="157"/>
  <c r="J45" i="157"/>
  <c r="J47" i="157"/>
  <c r="K40" i="157"/>
  <c r="K45" i="157"/>
  <c r="K47" i="157"/>
  <c r="C45" i="109"/>
  <c r="J10" i="153"/>
  <c r="J15" i="153"/>
  <c r="J19" i="153"/>
  <c r="J23" i="153"/>
  <c r="J27" i="153"/>
  <c r="J29" i="153"/>
  <c r="J31" i="153"/>
  <c r="J49" i="153"/>
  <c r="K10" i="153"/>
  <c r="K23" i="153"/>
  <c r="F45" i="109"/>
  <c r="L19" i="153"/>
  <c r="L23" i="153"/>
  <c r="L27" i="153"/>
  <c r="I10" i="153"/>
  <c r="I15" i="153"/>
  <c r="I19" i="153"/>
  <c r="I23" i="153"/>
  <c r="I27" i="153"/>
  <c r="L55" i="162"/>
  <c r="L63" i="162"/>
  <c r="L65" i="162"/>
  <c r="K55" i="162"/>
  <c r="K63" i="162"/>
  <c r="K64" i="162"/>
  <c r="L64" i="162"/>
  <c r="J64" i="162"/>
  <c r="M29" i="162"/>
  <c r="M41" i="162"/>
  <c r="M42" i="162"/>
  <c r="I35" i="158"/>
  <c r="I43" i="158"/>
  <c r="I51" i="158"/>
  <c r="I53" i="158"/>
  <c r="I55" i="158"/>
  <c r="L18" i="166"/>
  <c r="L27" i="166"/>
  <c r="M27" i="166"/>
  <c r="L19" i="166"/>
  <c r="L28" i="166"/>
  <c r="M28" i="166"/>
  <c r="N61" i="109"/>
  <c r="L15" i="166"/>
  <c r="L24" i="166"/>
  <c r="M24" i="166"/>
  <c r="E61" i="109"/>
  <c r="L38" i="158"/>
  <c r="L46" i="158"/>
  <c r="M46" i="158"/>
  <c r="U51" i="109"/>
  <c r="L33" i="158"/>
  <c r="M33" i="158"/>
  <c r="R51" i="109"/>
  <c r="O48" i="109"/>
  <c r="H10" i="152"/>
  <c r="H16" i="152"/>
  <c r="H20" i="152"/>
  <c r="J44" i="109"/>
  <c r="G42" i="109"/>
  <c r="AI35" i="109"/>
  <c r="AJ35" i="109"/>
  <c r="L16" i="155"/>
  <c r="M16" i="155"/>
  <c r="L10" i="155"/>
  <c r="L17" i="155"/>
  <c r="M17" i="155"/>
  <c r="AI43" i="109"/>
  <c r="AI55" i="109"/>
  <c r="AI60" i="109"/>
  <c r="AJ43" i="109"/>
  <c r="AJ50" i="109"/>
  <c r="AJ55" i="109"/>
  <c r="AJ60" i="109"/>
  <c r="AI67" i="109"/>
  <c r="AJ67" i="109"/>
  <c r="AG23" i="109"/>
  <c r="AF29" i="109"/>
  <c r="AG29" i="109"/>
  <c r="AF31" i="109"/>
  <c r="AG31" i="109"/>
  <c r="AF41" i="109"/>
  <c r="AG41" i="109"/>
  <c r="AG43" i="109"/>
  <c r="AF55" i="109"/>
  <c r="AG55" i="109"/>
  <c r="AG61" i="109"/>
  <c r="L8" i="128"/>
  <c r="M8" i="128"/>
  <c r="B65" i="109"/>
  <c r="B57" i="109"/>
  <c r="J51" i="158"/>
  <c r="K51" i="158"/>
  <c r="L47" i="158"/>
  <c r="L48" i="158"/>
  <c r="L49" i="158"/>
  <c r="L50" i="158"/>
  <c r="L51" i="158"/>
  <c r="J43" i="158"/>
  <c r="K43" i="158"/>
  <c r="K53" i="158"/>
  <c r="K35" i="158"/>
  <c r="K55" i="158"/>
  <c r="L39" i="158"/>
  <c r="M47" i="158"/>
  <c r="L40" i="158"/>
  <c r="M48" i="158"/>
  <c r="X51" i="109"/>
  <c r="L41" i="158"/>
  <c r="M49" i="158"/>
  <c r="Z51" i="109"/>
  <c r="L42" i="158"/>
  <c r="J35" i="158"/>
  <c r="L34" i="158"/>
  <c r="M34" i="158"/>
  <c r="S51" i="109"/>
  <c r="AD48" i="109"/>
  <c r="W48" i="109"/>
  <c r="Z48" i="109"/>
  <c r="U48" i="109"/>
  <c r="D48" i="109"/>
  <c r="L48" i="109"/>
  <c r="G48" i="109"/>
  <c r="J48" i="109"/>
  <c r="E48" i="109"/>
  <c r="G47" i="109"/>
  <c r="J47" i="109"/>
  <c r="S42" i="109"/>
  <c r="E41" i="109"/>
  <c r="K22" i="128"/>
  <c r="J22" i="128"/>
  <c r="I22" i="128"/>
  <c r="I16" i="128"/>
  <c r="I24" i="128"/>
  <c r="L21" i="128"/>
  <c r="L20" i="128"/>
  <c r="L19" i="128"/>
  <c r="L22" i="128"/>
  <c r="K16" i="128"/>
  <c r="J16" i="128"/>
  <c r="J24" i="128"/>
  <c r="L15" i="128"/>
  <c r="L14" i="128"/>
  <c r="L13" i="128"/>
  <c r="K10" i="128"/>
  <c r="J10" i="128"/>
  <c r="J25" i="128"/>
  <c r="I10" i="128"/>
  <c r="I25" i="128"/>
  <c r="L9" i="128"/>
  <c r="M9" i="128"/>
  <c r="C65" i="109"/>
  <c r="I24" i="169"/>
  <c r="K24" i="169"/>
  <c r="J24" i="169"/>
  <c r="J17" i="169"/>
  <c r="J26" i="169"/>
  <c r="L23" i="169"/>
  <c r="L22" i="169"/>
  <c r="L21" i="169"/>
  <c r="L20" i="169"/>
  <c r="K17" i="169"/>
  <c r="K26" i="169"/>
  <c r="L16" i="169"/>
  <c r="L15" i="169"/>
  <c r="M22" i="169"/>
  <c r="J64" i="109"/>
  <c r="L14" i="169"/>
  <c r="L13" i="169"/>
  <c r="M20" i="169"/>
  <c r="E64" i="109"/>
  <c r="K10" i="169"/>
  <c r="J10" i="169"/>
  <c r="I10" i="169"/>
  <c r="L9" i="169"/>
  <c r="M9" i="169"/>
  <c r="C64" i="109"/>
  <c r="L8" i="169"/>
  <c r="M20" i="128"/>
  <c r="G65" i="109"/>
  <c r="M21" i="128"/>
  <c r="N65" i="109"/>
  <c r="L16" i="128"/>
  <c r="L24" i="128"/>
  <c r="M19" i="128"/>
  <c r="E65" i="109"/>
  <c r="I26" i="169"/>
  <c r="I27" i="169"/>
  <c r="K27" i="169"/>
  <c r="D10" i="167"/>
  <c r="I12" i="167"/>
  <c r="H10" i="167"/>
  <c r="G10" i="167"/>
  <c r="G14" i="167"/>
  <c r="F10" i="167"/>
  <c r="F14" i="167"/>
  <c r="E10" i="167"/>
  <c r="C10" i="167"/>
  <c r="I10" i="167"/>
  <c r="I16" i="167"/>
  <c r="C14" i="167"/>
  <c r="I9" i="167"/>
  <c r="I8" i="167"/>
  <c r="I7" i="167"/>
  <c r="L10" i="166"/>
  <c r="M10" i="166"/>
  <c r="C61" i="109"/>
  <c r="K29" i="166"/>
  <c r="J29" i="166"/>
  <c r="I29" i="166"/>
  <c r="L25" i="166"/>
  <c r="K20" i="166"/>
  <c r="K31" i="166"/>
  <c r="K11" i="166"/>
  <c r="K32" i="166"/>
  <c r="J20" i="166"/>
  <c r="I20" i="166"/>
  <c r="I31" i="166"/>
  <c r="L16" i="166"/>
  <c r="J11" i="166"/>
  <c r="I11" i="166"/>
  <c r="I32" i="166"/>
  <c r="L9" i="166"/>
  <c r="M9" i="166"/>
  <c r="L44" i="165"/>
  <c r="J44" i="165"/>
  <c r="M43" i="165"/>
  <c r="M42" i="165"/>
  <c r="M41" i="165"/>
  <c r="M33" i="165"/>
  <c r="N41" i="165"/>
  <c r="M40" i="165"/>
  <c r="M39" i="165"/>
  <c r="M38" i="165"/>
  <c r="L36" i="165"/>
  <c r="J36" i="165"/>
  <c r="J45" i="165"/>
  <c r="M35" i="165"/>
  <c r="M30" i="165"/>
  <c r="M31" i="165"/>
  <c r="M32" i="165"/>
  <c r="M34" i="165"/>
  <c r="M36" i="165"/>
  <c r="L28" i="165"/>
  <c r="L46" i="165"/>
  <c r="K28" i="165"/>
  <c r="K46" i="165"/>
  <c r="J28" i="165"/>
  <c r="M27" i="165"/>
  <c r="N27" i="165"/>
  <c r="S59" i="109"/>
  <c r="M26" i="165"/>
  <c r="N26" i="165"/>
  <c r="L19" i="165"/>
  <c r="K19" i="165"/>
  <c r="J19" i="165"/>
  <c r="J9" i="165"/>
  <c r="J14" i="165"/>
  <c r="J21" i="165"/>
  <c r="M18" i="165"/>
  <c r="M16" i="165"/>
  <c r="M17" i="165"/>
  <c r="M19" i="165"/>
  <c r="L14" i="165"/>
  <c r="L20" i="165"/>
  <c r="K14" i="165"/>
  <c r="J20" i="165"/>
  <c r="M13" i="165"/>
  <c r="N18" i="165"/>
  <c r="N59" i="109"/>
  <c r="M12" i="165"/>
  <c r="N17" i="165"/>
  <c r="G59" i="109"/>
  <c r="M11" i="165"/>
  <c r="L9" i="165"/>
  <c r="L21" i="165"/>
  <c r="K9" i="165"/>
  <c r="M8" i="165"/>
  <c r="N8" i="165"/>
  <c r="C59" i="109"/>
  <c r="M7" i="165"/>
  <c r="M9" i="165"/>
  <c r="K19" i="164"/>
  <c r="J19" i="164"/>
  <c r="I19" i="164"/>
  <c r="L18" i="164"/>
  <c r="L17" i="164"/>
  <c r="K13" i="164"/>
  <c r="K21" i="164"/>
  <c r="K23" i="164"/>
  <c r="J13" i="164"/>
  <c r="J21" i="164"/>
  <c r="J23" i="164"/>
  <c r="I13" i="164"/>
  <c r="L12" i="164"/>
  <c r="L11" i="164"/>
  <c r="M17" i="164"/>
  <c r="E58" i="109"/>
  <c r="L8" i="164"/>
  <c r="M8" i="164"/>
  <c r="N57" i="109"/>
  <c r="K23" i="163"/>
  <c r="J23" i="163"/>
  <c r="I23" i="163"/>
  <c r="K17" i="163"/>
  <c r="J17" i="163"/>
  <c r="I17" i="163"/>
  <c r="I25" i="163"/>
  <c r="I11" i="163"/>
  <c r="I26" i="163"/>
  <c r="G57" i="109"/>
  <c r="K11" i="163"/>
  <c r="J11" i="163"/>
  <c r="C57" i="109"/>
  <c r="L11" i="163"/>
  <c r="K92" i="162"/>
  <c r="L92" i="162"/>
  <c r="J92" i="162"/>
  <c r="K82" i="162"/>
  <c r="K93" i="162"/>
  <c r="L82" i="162"/>
  <c r="L93" i="162"/>
  <c r="M82" i="162"/>
  <c r="M93" i="162"/>
  <c r="J82" i="162"/>
  <c r="J93" i="162"/>
  <c r="N82" i="162"/>
  <c r="N72" i="162"/>
  <c r="K72" i="162"/>
  <c r="K94" i="162"/>
  <c r="L72" i="162"/>
  <c r="M72" i="162"/>
  <c r="M94" i="162"/>
  <c r="J72" i="162"/>
  <c r="I18" i="161"/>
  <c r="I25" i="161"/>
  <c r="I27" i="161"/>
  <c r="I11" i="161"/>
  <c r="I28" i="161"/>
  <c r="M63" i="162"/>
  <c r="L17" i="162"/>
  <c r="M55" i="162"/>
  <c r="M64" i="162"/>
  <c r="M47" i="162"/>
  <c r="M65" i="162"/>
  <c r="K47" i="162"/>
  <c r="K65" i="162"/>
  <c r="J65" i="162"/>
  <c r="L41" i="162"/>
  <c r="K41" i="162"/>
  <c r="N41" i="162"/>
  <c r="L29" i="162"/>
  <c r="K29" i="162"/>
  <c r="M17" i="162"/>
  <c r="K17" i="162"/>
  <c r="K25" i="161"/>
  <c r="J25" i="161"/>
  <c r="K18" i="161"/>
  <c r="K27" i="161"/>
  <c r="J18" i="161"/>
  <c r="J27" i="161"/>
  <c r="K11" i="161"/>
  <c r="J11" i="161"/>
  <c r="L10" i="160"/>
  <c r="M10" i="160"/>
  <c r="C53" i="109"/>
  <c r="K23" i="160"/>
  <c r="J23" i="160"/>
  <c r="I23" i="160"/>
  <c r="L21" i="160"/>
  <c r="L20" i="160"/>
  <c r="L19" i="160"/>
  <c r="K17" i="160"/>
  <c r="J17" i="160"/>
  <c r="I17" i="160"/>
  <c r="L15" i="160"/>
  <c r="L14" i="160"/>
  <c r="L13" i="160"/>
  <c r="L9" i="160"/>
  <c r="M9" i="160"/>
  <c r="J26" i="159"/>
  <c r="K26" i="159"/>
  <c r="I26" i="159"/>
  <c r="K49" i="159"/>
  <c r="J49" i="159"/>
  <c r="I49" i="159"/>
  <c r="K42" i="159"/>
  <c r="K50" i="159"/>
  <c r="J42" i="159"/>
  <c r="J50" i="159"/>
  <c r="I42" i="159"/>
  <c r="I50" i="159"/>
  <c r="I35" i="159"/>
  <c r="I51" i="159"/>
  <c r="K35" i="159"/>
  <c r="K51" i="159"/>
  <c r="J35" i="159"/>
  <c r="J51" i="159"/>
  <c r="L35" i="159"/>
  <c r="K18" i="159"/>
  <c r="J18" i="159"/>
  <c r="I18" i="159"/>
  <c r="I27" i="159"/>
  <c r="K10" i="159"/>
  <c r="J10" i="159"/>
  <c r="I10" i="159"/>
  <c r="I28" i="159"/>
  <c r="I10" i="158"/>
  <c r="I18" i="158"/>
  <c r="I26" i="158"/>
  <c r="I29" i="158"/>
  <c r="J26" i="158"/>
  <c r="K26" i="158"/>
  <c r="I28" i="158"/>
  <c r="J18" i="158"/>
  <c r="J28" i="158"/>
  <c r="K18" i="158"/>
  <c r="J14" i="167"/>
  <c r="J31" i="166"/>
  <c r="J32" i="166"/>
  <c r="L20" i="166"/>
  <c r="L29" i="166"/>
  <c r="M25" i="166"/>
  <c r="J61" i="109"/>
  <c r="L11" i="166"/>
  <c r="L31" i="166"/>
  <c r="L32" i="166"/>
  <c r="N42" i="165"/>
  <c r="M44" i="165"/>
  <c r="N39" i="165"/>
  <c r="N38" i="165"/>
  <c r="N40" i="165"/>
  <c r="N16" i="165"/>
  <c r="E59" i="109"/>
  <c r="N7" i="165"/>
  <c r="B59" i="109"/>
  <c r="L19" i="164"/>
  <c r="M18" i="164"/>
  <c r="J58" i="109"/>
  <c r="E57" i="109"/>
  <c r="J25" i="163"/>
  <c r="J26" i="163"/>
  <c r="L17" i="163"/>
  <c r="N47" i="162"/>
  <c r="L25" i="161"/>
  <c r="L11" i="161"/>
  <c r="J28" i="161"/>
  <c r="F53" i="109"/>
  <c r="L23" i="160"/>
  <c r="M20" i="160"/>
  <c r="K53" i="109"/>
  <c r="M19" i="160"/>
  <c r="E53" i="109"/>
  <c r="M21" i="160"/>
  <c r="J53" i="109"/>
  <c r="L49" i="159"/>
  <c r="L42" i="159"/>
  <c r="L50" i="159"/>
  <c r="H52" i="109"/>
  <c r="N52" i="109"/>
  <c r="E52" i="109"/>
  <c r="J52" i="109"/>
  <c r="L24" i="158"/>
  <c r="L23" i="158"/>
  <c r="L22" i="158"/>
  <c r="L21" i="158"/>
  <c r="L13" i="158"/>
  <c r="M21" i="158"/>
  <c r="E51" i="109"/>
  <c r="L17" i="158"/>
  <c r="L16" i="158"/>
  <c r="L15" i="158"/>
  <c r="L14" i="158"/>
  <c r="K10" i="158"/>
  <c r="J10" i="158"/>
  <c r="L9" i="158"/>
  <c r="M9" i="158"/>
  <c r="C51" i="109"/>
  <c r="L8" i="158"/>
  <c r="L45" i="157"/>
  <c r="I45" i="157"/>
  <c r="M44" i="157"/>
  <c r="M39" i="157"/>
  <c r="N44" i="157"/>
  <c r="W49" i="109"/>
  <c r="M43" i="157"/>
  <c r="L40" i="157"/>
  <c r="L47" i="157"/>
  <c r="I40" i="157"/>
  <c r="I47" i="157"/>
  <c r="M38" i="157"/>
  <c r="L35" i="157"/>
  <c r="K35" i="157"/>
  <c r="K49" i="157"/>
  <c r="J35" i="157"/>
  <c r="J49" i="157"/>
  <c r="I35" i="157"/>
  <c r="I49" i="157"/>
  <c r="M34" i="157"/>
  <c r="N34" i="157"/>
  <c r="S49" i="109"/>
  <c r="M33" i="157"/>
  <c r="N33" i="157"/>
  <c r="R49" i="109"/>
  <c r="L25" i="157"/>
  <c r="M24" i="157"/>
  <c r="M23" i="157"/>
  <c r="M22" i="157"/>
  <c r="L18" i="157"/>
  <c r="L27" i="157"/>
  <c r="M17" i="157"/>
  <c r="M16" i="157"/>
  <c r="M15" i="157"/>
  <c r="N22" i="157"/>
  <c r="F49" i="109"/>
  <c r="M14" i="157"/>
  <c r="L11" i="157"/>
  <c r="L29" i="157"/>
  <c r="I11" i="157"/>
  <c r="I29" i="157"/>
  <c r="M10" i="157"/>
  <c r="N10" i="157"/>
  <c r="C49" i="109"/>
  <c r="M9" i="157"/>
  <c r="N9" i="157"/>
  <c r="D49" i="109"/>
  <c r="M8" i="157"/>
  <c r="K45" i="156"/>
  <c r="K54" i="156"/>
  <c r="K38" i="156"/>
  <c r="K55" i="156"/>
  <c r="J45" i="156"/>
  <c r="J54" i="156"/>
  <c r="I45" i="156"/>
  <c r="J38" i="156"/>
  <c r="J55" i="156"/>
  <c r="I38" i="156"/>
  <c r="L38" i="156"/>
  <c r="K19" i="156"/>
  <c r="K30" i="156"/>
  <c r="J19" i="156"/>
  <c r="J30" i="156"/>
  <c r="K10" i="156"/>
  <c r="J10" i="156"/>
  <c r="I10" i="156"/>
  <c r="J19" i="155"/>
  <c r="K19" i="155"/>
  <c r="I19" i="155"/>
  <c r="J12" i="155"/>
  <c r="J21" i="155"/>
  <c r="K12" i="155"/>
  <c r="K21" i="155"/>
  <c r="I12" i="155"/>
  <c r="I21" i="155"/>
  <c r="L18" i="155"/>
  <c r="L15" i="155"/>
  <c r="M15" i="155"/>
  <c r="E47" i="109"/>
  <c r="L11" i="155"/>
  <c r="L7" i="155"/>
  <c r="M7" i="155"/>
  <c r="C47" i="109"/>
  <c r="L6" i="155"/>
  <c r="K19" i="154"/>
  <c r="J19" i="154"/>
  <c r="I19" i="154"/>
  <c r="K14" i="154"/>
  <c r="K21" i="154"/>
  <c r="K23" i="154"/>
  <c r="J14" i="154"/>
  <c r="I14" i="154"/>
  <c r="L9" i="154"/>
  <c r="L49" i="151"/>
  <c r="J49" i="151"/>
  <c r="J42" i="151"/>
  <c r="J51" i="151"/>
  <c r="J35" i="151"/>
  <c r="J53" i="151"/>
  <c r="C42" i="109"/>
  <c r="K27" i="153"/>
  <c r="K19" i="153"/>
  <c r="K15" i="153"/>
  <c r="K29" i="153"/>
  <c r="K31" i="153"/>
  <c r="K49" i="153"/>
  <c r="I16" i="152"/>
  <c r="G16" i="152"/>
  <c r="G10" i="152"/>
  <c r="G18" i="152"/>
  <c r="F16" i="152"/>
  <c r="E16" i="152"/>
  <c r="J15" i="152"/>
  <c r="J14" i="152"/>
  <c r="J13" i="152"/>
  <c r="I10" i="152"/>
  <c r="I20" i="152"/>
  <c r="N44" i="109"/>
  <c r="F10" i="152"/>
  <c r="E10" i="152"/>
  <c r="E20" i="152"/>
  <c r="B44" i="109"/>
  <c r="J9" i="152"/>
  <c r="J8" i="152"/>
  <c r="J7" i="152"/>
  <c r="K42" i="151"/>
  <c r="W42" i="109"/>
  <c r="U42" i="109"/>
  <c r="K35" i="151"/>
  <c r="I35" i="151"/>
  <c r="K25" i="151"/>
  <c r="K18" i="151"/>
  <c r="K27" i="151"/>
  <c r="J25" i="151"/>
  <c r="E42" i="109"/>
  <c r="J18" i="151"/>
  <c r="N42" i="109"/>
  <c r="F42" i="109"/>
  <c r="K11" i="151"/>
  <c r="J11" i="151"/>
  <c r="I11" i="151"/>
  <c r="I28" i="151"/>
  <c r="C41" i="109"/>
  <c r="M22" i="158"/>
  <c r="F51" i="109"/>
  <c r="M8" i="158"/>
  <c r="L10" i="158"/>
  <c r="M24" i="158"/>
  <c r="I51" i="109"/>
  <c r="M23" i="158"/>
  <c r="G51" i="109"/>
  <c r="M40" i="157"/>
  <c r="N24" i="157"/>
  <c r="N49" i="109"/>
  <c r="N23" i="157"/>
  <c r="G49" i="109"/>
  <c r="M11" i="157"/>
  <c r="M25" i="157"/>
  <c r="M35" i="157"/>
  <c r="N8" i="157"/>
  <c r="B49" i="109"/>
  <c r="I21" i="154"/>
  <c r="I23" i="154"/>
  <c r="M18" i="154"/>
  <c r="G46" i="109"/>
  <c r="J21" i="154"/>
  <c r="J23" i="154"/>
  <c r="M9" i="154"/>
  <c r="B46" i="109"/>
  <c r="H18" i="152"/>
  <c r="J16" i="152"/>
  <c r="E18" i="152"/>
  <c r="K51" i="151"/>
  <c r="K53" i="151"/>
  <c r="L42" i="151"/>
  <c r="L25" i="151"/>
  <c r="K28" i="151"/>
  <c r="J27" i="151"/>
  <c r="J28" i="151"/>
  <c r="L18" i="151"/>
  <c r="L27" i="151"/>
  <c r="L11" i="151"/>
  <c r="L28" i="151"/>
  <c r="B42" i="109"/>
  <c r="J41" i="109"/>
  <c r="I41" i="109"/>
  <c r="B41" i="109"/>
  <c r="I18" i="152"/>
  <c r="L35" i="151"/>
  <c r="L24" i="149"/>
  <c r="K24" i="149"/>
  <c r="J24" i="149"/>
  <c r="I24" i="149"/>
  <c r="L17" i="149"/>
  <c r="L25" i="149"/>
  <c r="L10" i="149"/>
  <c r="L26" i="149"/>
  <c r="K17" i="149"/>
  <c r="J17" i="149"/>
  <c r="I17" i="149"/>
  <c r="E40" i="109"/>
  <c r="K10" i="149"/>
  <c r="J10" i="149"/>
  <c r="I10" i="149"/>
  <c r="M9" i="149"/>
  <c r="N9" i="149"/>
  <c r="C40" i="109"/>
  <c r="M8" i="149"/>
  <c r="M10" i="149"/>
  <c r="I22" i="140"/>
  <c r="J16" i="146"/>
  <c r="J21" i="146"/>
  <c r="J22" i="146"/>
  <c r="K16" i="146"/>
  <c r="K21" i="146"/>
  <c r="K22" i="146"/>
  <c r="I37" i="109"/>
  <c r="J37" i="109"/>
  <c r="H37" i="109"/>
  <c r="D37" i="109"/>
  <c r="I27" i="145"/>
  <c r="I19" i="145"/>
  <c r="I28" i="145"/>
  <c r="J27" i="145"/>
  <c r="J19" i="145"/>
  <c r="J28" i="145"/>
  <c r="K42" i="145"/>
  <c r="J42" i="145"/>
  <c r="I42" i="145"/>
  <c r="L41" i="145"/>
  <c r="L42" i="145"/>
  <c r="K39" i="145"/>
  <c r="K43" i="145"/>
  <c r="J39" i="145"/>
  <c r="J43" i="145"/>
  <c r="J36" i="145"/>
  <c r="J44" i="145"/>
  <c r="I39" i="145"/>
  <c r="I43" i="145"/>
  <c r="L38" i="145"/>
  <c r="L39" i="145"/>
  <c r="K36" i="145"/>
  <c r="K44" i="145"/>
  <c r="I36" i="145"/>
  <c r="I44" i="145"/>
  <c r="M35" i="145"/>
  <c r="S36" i="109"/>
  <c r="L34" i="145"/>
  <c r="K27" i="145"/>
  <c r="K19" i="145"/>
  <c r="K28" i="145"/>
  <c r="K11" i="145"/>
  <c r="K29" i="145"/>
  <c r="J11" i="145"/>
  <c r="I11" i="145"/>
  <c r="I29" i="145"/>
  <c r="K25" i="149"/>
  <c r="K26" i="149"/>
  <c r="J25" i="149"/>
  <c r="J26" i="149"/>
  <c r="K40" i="109"/>
  <c r="M24" i="149"/>
  <c r="I25" i="149"/>
  <c r="I26" i="149"/>
  <c r="H40" i="109"/>
  <c r="L21" i="146"/>
  <c r="M41" i="145"/>
  <c r="L36" i="145"/>
  <c r="L11" i="145"/>
  <c r="M34" i="145"/>
  <c r="R36" i="109"/>
  <c r="L18" i="143"/>
  <c r="L29" i="143"/>
  <c r="M29" i="143"/>
  <c r="L19" i="143"/>
  <c r="L30" i="143"/>
  <c r="M30" i="143"/>
  <c r="J49" i="144"/>
  <c r="K47" i="144"/>
  <c r="K49" i="144"/>
  <c r="I49" i="144"/>
  <c r="K26" i="144"/>
  <c r="L25" i="144"/>
  <c r="L26" i="144"/>
  <c r="K10" i="144"/>
  <c r="K20" i="144"/>
  <c r="L33" i="134"/>
  <c r="L34" i="134"/>
  <c r="L35" i="134"/>
  <c r="L37" i="134"/>
  <c r="M37" i="134"/>
  <c r="M11" i="134"/>
  <c r="M10" i="134"/>
  <c r="M9" i="126"/>
  <c r="M12" i="126"/>
  <c r="M13" i="126"/>
  <c r="M19" i="126"/>
  <c r="L14" i="126"/>
  <c r="L15" i="126"/>
  <c r="L16" i="126"/>
  <c r="L17" i="126"/>
  <c r="L18" i="126"/>
  <c r="L20" i="126"/>
  <c r="L38" i="142"/>
  <c r="L39" i="142"/>
  <c r="L40" i="142"/>
  <c r="M39" i="142"/>
  <c r="L43" i="142"/>
  <c r="L52" i="142"/>
  <c r="M52" i="142"/>
  <c r="U32" i="109"/>
  <c r="L44" i="142"/>
  <c r="L53" i="142"/>
  <c r="M53" i="142"/>
  <c r="L45" i="142"/>
  <c r="L54" i="142"/>
  <c r="M54" i="142"/>
  <c r="L46" i="142"/>
  <c r="L55" i="142"/>
  <c r="M55" i="142"/>
  <c r="L47" i="142"/>
  <c r="L56" i="142"/>
  <c r="L48" i="142"/>
  <c r="L57" i="142"/>
  <c r="M57" i="142"/>
  <c r="W32" i="109"/>
  <c r="L10" i="142"/>
  <c r="M10" i="142"/>
  <c r="M11" i="142"/>
  <c r="C32" i="109"/>
  <c r="L15" i="142"/>
  <c r="L23" i="142"/>
  <c r="M23" i="142"/>
  <c r="F32" i="109"/>
  <c r="L16" i="142"/>
  <c r="L24" i="142"/>
  <c r="M24" i="142"/>
  <c r="E32" i="109"/>
  <c r="L17" i="142"/>
  <c r="L25" i="142"/>
  <c r="M25" i="142"/>
  <c r="K32" i="109"/>
  <c r="L18" i="142"/>
  <c r="L26" i="142"/>
  <c r="M26" i="142"/>
  <c r="J32" i="109"/>
  <c r="L19" i="142"/>
  <c r="L27" i="142"/>
  <c r="M27" i="142"/>
  <c r="N32" i="109"/>
  <c r="S32" i="109"/>
  <c r="AF34" i="109"/>
  <c r="AG34" i="109" s="1"/>
  <c r="L16" i="143"/>
  <c r="L27" i="143"/>
  <c r="M27" i="143"/>
  <c r="L17" i="143"/>
  <c r="L28" i="143"/>
  <c r="L20" i="143"/>
  <c r="L31" i="143"/>
  <c r="M31" i="143"/>
  <c r="L15" i="143"/>
  <c r="L21" i="143"/>
  <c r="L26" i="143"/>
  <c r="L32" i="143"/>
  <c r="L10" i="143"/>
  <c r="L11" i="143"/>
  <c r="M11" i="143"/>
  <c r="I21" i="143"/>
  <c r="I32" i="143"/>
  <c r="I34" i="143"/>
  <c r="K21" i="143"/>
  <c r="K12" i="143"/>
  <c r="K23" i="143"/>
  <c r="J21" i="143"/>
  <c r="J12" i="143"/>
  <c r="J23" i="143"/>
  <c r="I12" i="143"/>
  <c r="I23" i="143"/>
  <c r="J32" i="143"/>
  <c r="K32" i="143"/>
  <c r="J40" i="142"/>
  <c r="J49" i="142"/>
  <c r="J58" i="142"/>
  <c r="J60" i="142"/>
  <c r="K40" i="142"/>
  <c r="K49" i="142"/>
  <c r="L49" i="142"/>
  <c r="I40" i="142"/>
  <c r="I49" i="142"/>
  <c r="I58" i="142"/>
  <c r="I60" i="142"/>
  <c r="J12" i="142"/>
  <c r="J20" i="142"/>
  <c r="J28" i="142"/>
  <c r="J30" i="142"/>
  <c r="K12" i="142"/>
  <c r="K20" i="142"/>
  <c r="I12" i="142"/>
  <c r="I20" i="142"/>
  <c r="I28" i="142"/>
  <c r="I30" i="142"/>
  <c r="K58" i="142"/>
  <c r="K60" i="142"/>
  <c r="K28" i="142"/>
  <c r="K30" i="142"/>
  <c r="N19" i="141"/>
  <c r="G30" i="109"/>
  <c r="N30" i="109"/>
  <c r="B30" i="109"/>
  <c r="N11" i="141"/>
  <c r="O38" i="141"/>
  <c r="O39" i="141"/>
  <c r="K30" i="109"/>
  <c r="M15" i="140"/>
  <c r="M25" i="140"/>
  <c r="N25" i="140"/>
  <c r="M16" i="140"/>
  <c r="M26" i="140"/>
  <c r="M27" i="140"/>
  <c r="M28" i="140"/>
  <c r="M29" i="140"/>
  <c r="M30" i="140"/>
  <c r="M31" i="140"/>
  <c r="M32" i="140"/>
  <c r="M17" i="140"/>
  <c r="N27" i="140"/>
  <c r="M18" i="140"/>
  <c r="N28" i="140"/>
  <c r="M19" i="140"/>
  <c r="N29" i="140"/>
  <c r="J31" i="109"/>
  <c r="M20" i="140"/>
  <c r="N30" i="140"/>
  <c r="M21" i="140"/>
  <c r="N31" i="140"/>
  <c r="M10" i="140"/>
  <c r="N10" i="140"/>
  <c r="M11" i="140"/>
  <c r="N11" i="140"/>
  <c r="C31" i="109"/>
  <c r="N31" i="109"/>
  <c r="O28" i="109"/>
  <c r="N28" i="109"/>
  <c r="E28" i="109"/>
  <c r="C28" i="109"/>
  <c r="B28" i="109"/>
  <c r="B31" i="109"/>
  <c r="L40" i="141"/>
  <c r="M40" i="141"/>
  <c r="J49" i="141"/>
  <c r="J58" i="141"/>
  <c r="J60" i="141"/>
  <c r="J40" i="141"/>
  <c r="J61" i="141"/>
  <c r="K49" i="141"/>
  <c r="K58" i="141"/>
  <c r="K60" i="141"/>
  <c r="K40" i="141"/>
  <c r="K61" i="141"/>
  <c r="L49" i="141"/>
  <c r="L58" i="141"/>
  <c r="L60" i="141"/>
  <c r="L61" i="141"/>
  <c r="M49" i="141"/>
  <c r="M58" i="141"/>
  <c r="M60" i="141"/>
  <c r="M61" i="141"/>
  <c r="I49" i="141"/>
  <c r="I58" i="141"/>
  <c r="I60" i="141"/>
  <c r="I40" i="141"/>
  <c r="I61" i="141"/>
  <c r="L11" i="141"/>
  <c r="M11" i="141"/>
  <c r="L27" i="141"/>
  <c r="L19" i="141"/>
  <c r="L29" i="141"/>
  <c r="L31" i="141"/>
  <c r="M27" i="141"/>
  <c r="M19" i="141"/>
  <c r="M29" i="141"/>
  <c r="K27" i="141"/>
  <c r="J27" i="141"/>
  <c r="I27" i="141"/>
  <c r="K19" i="141"/>
  <c r="K29" i="141"/>
  <c r="K11" i="141"/>
  <c r="K31" i="141"/>
  <c r="J19" i="141"/>
  <c r="J29" i="141"/>
  <c r="J11" i="141"/>
  <c r="J31" i="141"/>
  <c r="I19" i="141"/>
  <c r="I29" i="141"/>
  <c r="I11" i="141"/>
  <c r="I31" i="141"/>
  <c r="K12" i="140"/>
  <c r="L32" i="140"/>
  <c r="K32" i="140"/>
  <c r="K22" i="140"/>
  <c r="K34" i="140"/>
  <c r="K36" i="140"/>
  <c r="J32" i="140"/>
  <c r="J22" i="140"/>
  <c r="J34" i="140"/>
  <c r="J12" i="140"/>
  <c r="J36" i="140"/>
  <c r="I32" i="140"/>
  <c r="I34" i="140"/>
  <c r="L22" i="140"/>
  <c r="L12" i="140"/>
  <c r="L34" i="140"/>
  <c r="L36" i="140"/>
  <c r="I12" i="140"/>
  <c r="I36" i="140"/>
  <c r="M31" i="141"/>
  <c r="M12" i="140"/>
  <c r="L18" i="138"/>
  <c r="L25" i="138"/>
  <c r="M25" i="138"/>
  <c r="L19" i="138"/>
  <c r="L26" i="138"/>
  <c r="M26" i="138"/>
  <c r="J27" i="109"/>
  <c r="L20" i="138"/>
  <c r="L27" i="138"/>
  <c r="M27" i="138"/>
  <c r="N27" i="109"/>
  <c r="L17" i="138"/>
  <c r="L24" i="138"/>
  <c r="M24" i="138"/>
  <c r="F27" i="109"/>
  <c r="L11" i="138"/>
  <c r="M11" i="138"/>
  <c r="L12" i="138"/>
  <c r="M12" i="138"/>
  <c r="C27" i="109"/>
  <c r="E27" i="109"/>
  <c r="M14" i="134"/>
  <c r="M10" i="136"/>
  <c r="N10" i="136"/>
  <c r="B21" i="109"/>
  <c r="M11" i="136"/>
  <c r="N11" i="136"/>
  <c r="C21" i="109"/>
  <c r="N22" i="136"/>
  <c r="E21" i="109"/>
  <c r="N24" i="136"/>
  <c r="F21" i="109"/>
  <c r="N25" i="136"/>
  <c r="G21" i="109"/>
  <c r="R21" i="109"/>
  <c r="T21" i="109"/>
  <c r="S21" i="109"/>
  <c r="L33" i="132"/>
  <c r="L34" i="132"/>
  <c r="M39" i="132"/>
  <c r="J13" i="138"/>
  <c r="J21" i="138"/>
  <c r="J28" i="138"/>
  <c r="J30" i="138"/>
  <c r="K13" i="138"/>
  <c r="K21" i="138"/>
  <c r="K28" i="138"/>
  <c r="K30" i="138"/>
  <c r="L13" i="138"/>
  <c r="L21" i="138"/>
  <c r="L28" i="138"/>
  <c r="L30" i="138"/>
  <c r="J53" i="137"/>
  <c r="J61" i="137"/>
  <c r="J63" i="137"/>
  <c r="J45" i="137"/>
  <c r="J65" i="137"/>
  <c r="L12" i="137"/>
  <c r="K32" i="137"/>
  <c r="K22" i="137"/>
  <c r="K12" i="137"/>
  <c r="J32" i="137"/>
  <c r="J22" i="137"/>
  <c r="J34" i="137"/>
  <c r="J12" i="137"/>
  <c r="I22" i="137"/>
  <c r="I12" i="137"/>
  <c r="M40" i="136"/>
  <c r="L40" i="136"/>
  <c r="L56" i="136"/>
  <c r="L58" i="136"/>
  <c r="K40" i="136"/>
  <c r="K56" i="136"/>
  <c r="K58" i="136"/>
  <c r="J40" i="136"/>
  <c r="J56" i="136"/>
  <c r="J58" i="136"/>
  <c r="I40" i="136"/>
  <c r="I56" i="136"/>
  <c r="I58" i="136"/>
  <c r="M12" i="136"/>
  <c r="L12" i="136"/>
  <c r="L26" i="136"/>
  <c r="L19" i="136"/>
  <c r="L28" i="136"/>
  <c r="L30" i="136"/>
  <c r="K12" i="136"/>
  <c r="K26" i="136"/>
  <c r="K19" i="136"/>
  <c r="K28" i="136"/>
  <c r="J12" i="136"/>
  <c r="J26" i="136"/>
  <c r="J19" i="136"/>
  <c r="J28" i="136"/>
  <c r="I12" i="136"/>
  <c r="I26" i="136"/>
  <c r="I19" i="136"/>
  <c r="I28" i="136"/>
  <c r="I30" i="136"/>
  <c r="L35" i="132"/>
  <c r="L43" i="132"/>
  <c r="M11" i="135"/>
  <c r="C29" i="109"/>
  <c r="M22" i="135"/>
  <c r="E29" i="109"/>
  <c r="M24" i="135"/>
  <c r="G29" i="109"/>
  <c r="M25" i="135"/>
  <c r="N29" i="109"/>
  <c r="L23" i="133"/>
  <c r="L34" i="133"/>
  <c r="M34" i="133"/>
  <c r="K25" i="109"/>
  <c r="L20" i="133"/>
  <c r="L31" i="133"/>
  <c r="L21" i="133"/>
  <c r="L32" i="133"/>
  <c r="M32" i="133"/>
  <c r="L22" i="133"/>
  <c r="L33" i="133"/>
  <c r="M33" i="133"/>
  <c r="L19" i="133"/>
  <c r="L30" i="133"/>
  <c r="M30" i="133"/>
  <c r="F25" i="109"/>
  <c r="L18" i="133"/>
  <c r="L29" i="133"/>
  <c r="L10" i="133"/>
  <c r="M10" i="133"/>
  <c r="L11" i="133"/>
  <c r="M11" i="133"/>
  <c r="M12" i="133"/>
  <c r="L16" i="133"/>
  <c r="L27" i="133"/>
  <c r="L17" i="133"/>
  <c r="L28" i="133"/>
  <c r="M28" i="133"/>
  <c r="D25" i="109"/>
  <c r="C25" i="109"/>
  <c r="J19" i="135"/>
  <c r="J26" i="135"/>
  <c r="J27" i="135"/>
  <c r="K19" i="135"/>
  <c r="K26" i="135"/>
  <c r="K27" i="135"/>
  <c r="K12" i="135"/>
  <c r="K29" i="135"/>
  <c r="I19" i="135"/>
  <c r="I27" i="135"/>
  <c r="J12" i="135"/>
  <c r="J29" i="135"/>
  <c r="I12" i="135"/>
  <c r="I29" i="135"/>
  <c r="J45" i="134"/>
  <c r="K37" i="134"/>
  <c r="K45" i="134"/>
  <c r="L45" i="134"/>
  <c r="I45" i="134"/>
  <c r="K44" i="134"/>
  <c r="L44" i="134"/>
  <c r="I20" i="134"/>
  <c r="J20" i="134"/>
  <c r="K20" i="134"/>
  <c r="K23" i="134"/>
  <c r="M21" i="124"/>
  <c r="M47" i="124"/>
  <c r="N47" i="124"/>
  <c r="M22" i="124"/>
  <c r="M48" i="124"/>
  <c r="N48" i="124"/>
  <c r="M23" i="124"/>
  <c r="M49" i="124"/>
  <c r="N49" i="124"/>
  <c r="M24" i="124"/>
  <c r="M50" i="124"/>
  <c r="N50" i="124"/>
  <c r="M25" i="124"/>
  <c r="M51" i="124"/>
  <c r="N51" i="124"/>
  <c r="G18" i="109"/>
  <c r="M26" i="124"/>
  <c r="M52" i="124"/>
  <c r="N52" i="124"/>
  <c r="M29" i="124"/>
  <c r="M55" i="124"/>
  <c r="N55" i="124"/>
  <c r="M35" i="124"/>
  <c r="M61" i="124"/>
  <c r="N61" i="124"/>
  <c r="M39" i="124"/>
  <c r="M65" i="124"/>
  <c r="N65" i="124"/>
  <c r="K18" i="109"/>
  <c r="M27" i="124"/>
  <c r="M53" i="124"/>
  <c r="N53" i="124"/>
  <c r="M28" i="124"/>
  <c r="M54" i="124"/>
  <c r="N54" i="124"/>
  <c r="M20" i="124"/>
  <c r="M30" i="124"/>
  <c r="M31" i="124"/>
  <c r="M32" i="124"/>
  <c r="M33" i="124"/>
  <c r="M34" i="124"/>
  <c r="M36" i="124"/>
  <c r="M37" i="124"/>
  <c r="M38" i="124"/>
  <c r="M40" i="124"/>
  <c r="M41" i="124"/>
  <c r="M42" i="124"/>
  <c r="M56" i="124"/>
  <c r="N56" i="124"/>
  <c r="M57" i="124"/>
  <c r="N57" i="124"/>
  <c r="M58" i="124"/>
  <c r="M59" i="124"/>
  <c r="N59" i="124"/>
  <c r="M60" i="124"/>
  <c r="N60" i="124"/>
  <c r="M64" i="124"/>
  <c r="N64" i="124"/>
  <c r="E18" i="109"/>
  <c r="M62" i="124"/>
  <c r="N62" i="124"/>
  <c r="M63" i="124"/>
  <c r="N63" i="124"/>
  <c r="M66" i="124"/>
  <c r="N66" i="124"/>
  <c r="M67" i="124"/>
  <c r="N67" i="124"/>
  <c r="I18" i="109"/>
  <c r="M46" i="124"/>
  <c r="N46" i="124"/>
  <c r="M16" i="123"/>
  <c r="M26" i="123"/>
  <c r="N26" i="123"/>
  <c r="M17" i="123"/>
  <c r="M27" i="123"/>
  <c r="N27" i="123"/>
  <c r="M15" i="123"/>
  <c r="M25" i="123"/>
  <c r="N25" i="123"/>
  <c r="M18" i="123"/>
  <c r="M28" i="123"/>
  <c r="N28" i="123"/>
  <c r="M19" i="123"/>
  <c r="M29" i="123"/>
  <c r="N29" i="123"/>
  <c r="G17" i="109"/>
  <c r="M20" i="123"/>
  <c r="M30" i="123"/>
  <c r="M21" i="123"/>
  <c r="M31" i="123"/>
  <c r="N31" i="123"/>
  <c r="I17" i="109"/>
  <c r="M10" i="123"/>
  <c r="M11" i="123"/>
  <c r="M12" i="123"/>
  <c r="N10" i="123"/>
  <c r="N11" i="123"/>
  <c r="L22" i="130"/>
  <c r="L7" i="130"/>
  <c r="L8" i="130"/>
  <c r="L10" i="130"/>
  <c r="L24" i="130"/>
  <c r="M7" i="130"/>
  <c r="M8" i="130"/>
  <c r="M9" i="130"/>
  <c r="I35" i="132"/>
  <c r="I43" i="132"/>
  <c r="L10" i="129"/>
  <c r="L11" i="129"/>
  <c r="M11" i="129"/>
  <c r="L16" i="129"/>
  <c r="L23" i="129"/>
  <c r="L17" i="129"/>
  <c r="L24" i="129"/>
  <c r="M24" i="129"/>
  <c r="L18" i="129"/>
  <c r="L25" i="129"/>
  <c r="M12" i="118"/>
  <c r="M13" i="118"/>
  <c r="M14" i="118"/>
  <c r="J23" i="134"/>
  <c r="I12" i="134"/>
  <c r="I23" i="134"/>
  <c r="J24" i="133"/>
  <c r="J35" i="133"/>
  <c r="J36" i="133"/>
  <c r="J13" i="133"/>
  <c r="J38" i="133"/>
  <c r="K24" i="133"/>
  <c r="K35" i="133"/>
  <c r="K36" i="133"/>
  <c r="I24" i="133"/>
  <c r="I35" i="133"/>
  <c r="I36" i="133"/>
  <c r="I13" i="133"/>
  <c r="I38" i="133"/>
  <c r="K13" i="133"/>
  <c r="L13" i="133"/>
  <c r="K38" i="133"/>
  <c r="X24" i="109"/>
  <c r="J17" i="132"/>
  <c r="J24" i="132"/>
  <c r="K17" i="132"/>
  <c r="K24" i="132"/>
  <c r="I17" i="132"/>
  <c r="I24" i="132"/>
  <c r="K35" i="132"/>
  <c r="K43" i="132"/>
  <c r="J35" i="132"/>
  <c r="J43" i="132"/>
  <c r="G23" i="109"/>
  <c r="I25" i="130"/>
  <c r="I39" i="130"/>
  <c r="I41" i="130"/>
  <c r="J25" i="130"/>
  <c r="J39" i="130"/>
  <c r="J41" i="130"/>
  <c r="K25" i="130"/>
  <c r="K39" i="130"/>
  <c r="K41" i="130"/>
  <c r="K10" i="130"/>
  <c r="K43" i="130"/>
  <c r="J10" i="130"/>
  <c r="I10" i="130"/>
  <c r="I43" i="130"/>
  <c r="J19" i="129"/>
  <c r="J26" i="129"/>
  <c r="J28" i="129"/>
  <c r="K12" i="129"/>
  <c r="K19" i="129"/>
  <c r="K26" i="129"/>
  <c r="K28" i="129"/>
  <c r="J12" i="129"/>
  <c r="I12" i="129"/>
  <c r="I19" i="129"/>
  <c r="I26" i="129"/>
  <c r="I28" i="129"/>
  <c r="K20" i="126"/>
  <c r="K11" i="126"/>
  <c r="J20" i="126"/>
  <c r="I20" i="126"/>
  <c r="M11" i="124"/>
  <c r="N11" i="124"/>
  <c r="M12" i="124"/>
  <c r="N12" i="124"/>
  <c r="M13" i="124"/>
  <c r="N13" i="124"/>
  <c r="M14" i="124"/>
  <c r="N14" i="124"/>
  <c r="M15" i="124"/>
  <c r="N15" i="124"/>
  <c r="C18" i="109"/>
  <c r="J12" i="111"/>
  <c r="L8" i="127"/>
  <c r="M8" i="127"/>
  <c r="L9" i="127"/>
  <c r="M9" i="127"/>
  <c r="L10" i="127"/>
  <c r="M10" i="127"/>
  <c r="D66" i="109"/>
  <c r="C66" i="109"/>
  <c r="N66" i="109"/>
  <c r="L35" i="127"/>
  <c r="E66" i="109"/>
  <c r="F66" i="109"/>
  <c r="K66" i="109"/>
  <c r="G68" i="109"/>
  <c r="J68" i="109"/>
  <c r="I68" i="109"/>
  <c r="N68" i="109"/>
  <c r="I23" i="127"/>
  <c r="I35" i="127"/>
  <c r="J23" i="127"/>
  <c r="J35" i="127"/>
  <c r="K23" i="127"/>
  <c r="K37" i="127"/>
  <c r="K11" i="127"/>
  <c r="K39" i="127"/>
  <c r="J11" i="127"/>
  <c r="I11" i="127"/>
  <c r="J35" i="125"/>
  <c r="J37" i="125"/>
  <c r="K30" i="125"/>
  <c r="K35" i="125"/>
  <c r="J68" i="124"/>
  <c r="K68" i="124"/>
  <c r="K42" i="124"/>
  <c r="K70" i="124"/>
  <c r="K16" i="124"/>
  <c r="K72" i="124"/>
  <c r="L68" i="124"/>
  <c r="L42" i="124"/>
  <c r="L70" i="124"/>
  <c r="L16" i="124"/>
  <c r="J42" i="124"/>
  <c r="J70" i="124"/>
  <c r="J16" i="124"/>
  <c r="L10" i="122"/>
  <c r="M10" i="122"/>
  <c r="B16" i="109"/>
  <c r="L11" i="122"/>
  <c r="M11" i="122"/>
  <c r="C16" i="109"/>
  <c r="M26" i="122"/>
  <c r="E16" i="109"/>
  <c r="M28" i="122"/>
  <c r="J16" i="109"/>
  <c r="M29" i="122"/>
  <c r="N16" i="109"/>
  <c r="C17" i="109"/>
  <c r="B17" i="109"/>
  <c r="J22" i="123"/>
  <c r="J32" i="123"/>
  <c r="J34" i="123"/>
  <c r="K22" i="123"/>
  <c r="K32" i="123"/>
  <c r="K34" i="123"/>
  <c r="K12" i="123"/>
  <c r="K36" i="123"/>
  <c r="L22" i="123"/>
  <c r="L32" i="123"/>
  <c r="L34" i="123"/>
  <c r="L12" i="123"/>
  <c r="L36" i="123"/>
  <c r="I22" i="123"/>
  <c r="I32" i="123"/>
  <c r="I34" i="123"/>
  <c r="J12" i="123"/>
  <c r="I12" i="123"/>
  <c r="I36" i="123"/>
  <c r="N8" i="109"/>
  <c r="K23" i="122"/>
  <c r="J23" i="122"/>
  <c r="I23" i="122"/>
  <c r="K16" i="122"/>
  <c r="K34" i="122"/>
  <c r="J16" i="122"/>
  <c r="I16" i="122"/>
  <c r="L12" i="122"/>
  <c r="L13" i="122"/>
  <c r="L14" i="122"/>
  <c r="L15" i="122"/>
  <c r="J34" i="122"/>
  <c r="I34" i="122"/>
  <c r="M28" i="121"/>
  <c r="M16" i="121"/>
  <c r="N28" i="121"/>
  <c r="M29" i="121"/>
  <c r="M17" i="121"/>
  <c r="M30" i="121"/>
  <c r="M18" i="121"/>
  <c r="N30" i="121"/>
  <c r="E15" i="109"/>
  <c r="M31" i="121"/>
  <c r="M19" i="121"/>
  <c r="M20" i="121"/>
  <c r="M21" i="121"/>
  <c r="M22" i="121"/>
  <c r="M23" i="121"/>
  <c r="M24" i="121"/>
  <c r="N31" i="121"/>
  <c r="F15" i="109"/>
  <c r="M32" i="121"/>
  <c r="N32" i="121"/>
  <c r="M33" i="121"/>
  <c r="N33" i="121"/>
  <c r="K15" i="109"/>
  <c r="M34" i="121"/>
  <c r="M35" i="121"/>
  <c r="M10" i="121"/>
  <c r="M11" i="121"/>
  <c r="N11" i="121"/>
  <c r="C15" i="109"/>
  <c r="J24" i="121"/>
  <c r="J36" i="121"/>
  <c r="J38" i="121"/>
  <c r="J12" i="121"/>
  <c r="J40" i="121"/>
  <c r="K24" i="121"/>
  <c r="L24" i="121"/>
  <c r="L36" i="121"/>
  <c r="L38" i="121"/>
  <c r="I24" i="121"/>
  <c r="I36" i="121"/>
  <c r="I38" i="121"/>
  <c r="I40" i="121"/>
  <c r="K36" i="121"/>
  <c r="L12" i="121"/>
  <c r="K12" i="121"/>
  <c r="K38" i="121"/>
  <c r="K40" i="121"/>
  <c r="M50" i="120"/>
  <c r="L51" i="120"/>
  <c r="L44" i="120"/>
  <c r="L47" i="120"/>
  <c r="L52" i="120"/>
  <c r="L55" i="120"/>
  <c r="L57" i="120"/>
  <c r="L36" i="120"/>
  <c r="L37" i="120"/>
  <c r="L39" i="120"/>
  <c r="L59" i="120"/>
  <c r="M51" i="120"/>
  <c r="M53" i="120"/>
  <c r="M37" i="120"/>
  <c r="S14" i="109"/>
  <c r="L23" i="120"/>
  <c r="L24" i="120"/>
  <c r="L17" i="120"/>
  <c r="M24" i="120"/>
  <c r="L25" i="120"/>
  <c r="L18" i="120"/>
  <c r="M25" i="120"/>
  <c r="L16" i="120"/>
  <c r="L20" i="120"/>
  <c r="L9" i="120"/>
  <c r="M9" i="120"/>
  <c r="L10" i="120"/>
  <c r="M11" i="120"/>
  <c r="J55" i="120"/>
  <c r="K55" i="120"/>
  <c r="K57" i="120"/>
  <c r="K39" i="120"/>
  <c r="K59" i="120"/>
  <c r="I55" i="120"/>
  <c r="I47" i="120"/>
  <c r="I57" i="120"/>
  <c r="I39" i="120"/>
  <c r="I59" i="120"/>
  <c r="J47" i="120"/>
  <c r="J57" i="120"/>
  <c r="J39" i="120"/>
  <c r="J59" i="120"/>
  <c r="M10" i="120"/>
  <c r="K27" i="120"/>
  <c r="K20" i="120"/>
  <c r="K13" i="120"/>
  <c r="J27" i="120"/>
  <c r="J20" i="120"/>
  <c r="J29" i="120"/>
  <c r="J13" i="120"/>
  <c r="I27" i="120"/>
  <c r="I20" i="120"/>
  <c r="I13" i="120"/>
  <c r="I31" i="120"/>
  <c r="M22" i="119"/>
  <c r="M23" i="119"/>
  <c r="M24" i="119"/>
  <c r="M25" i="119"/>
  <c r="M26" i="119"/>
  <c r="M15" i="119"/>
  <c r="N22" i="119"/>
  <c r="E12" i="109"/>
  <c r="M16" i="119"/>
  <c r="N23" i="119"/>
  <c r="N12" i="109"/>
  <c r="M17" i="119"/>
  <c r="N24" i="119"/>
  <c r="J12" i="109"/>
  <c r="M18" i="119"/>
  <c r="N25" i="119"/>
  <c r="I12" i="109"/>
  <c r="M10" i="119"/>
  <c r="N10" i="119"/>
  <c r="B12" i="109"/>
  <c r="M11" i="119"/>
  <c r="M12" i="119"/>
  <c r="M48" i="119"/>
  <c r="M49" i="119"/>
  <c r="M50" i="119"/>
  <c r="M43" i="119"/>
  <c r="M44" i="119"/>
  <c r="M45" i="119"/>
  <c r="M52" i="119"/>
  <c r="M37" i="119"/>
  <c r="M39" i="119"/>
  <c r="M40" i="119"/>
  <c r="N39" i="119"/>
  <c r="S12" i="109"/>
  <c r="N48" i="119"/>
  <c r="Z12" i="109"/>
  <c r="N49" i="119"/>
  <c r="T12" i="109"/>
  <c r="I50" i="119"/>
  <c r="I45" i="119"/>
  <c r="I52" i="119"/>
  <c r="J50" i="119"/>
  <c r="J45" i="119"/>
  <c r="J52" i="119"/>
  <c r="K50" i="119"/>
  <c r="K45" i="119"/>
  <c r="K52" i="119"/>
  <c r="K40" i="119"/>
  <c r="K54" i="119"/>
  <c r="L50" i="119"/>
  <c r="L45" i="119"/>
  <c r="L52" i="119"/>
  <c r="L40" i="119"/>
  <c r="J40" i="119"/>
  <c r="J54" i="119"/>
  <c r="I40" i="119"/>
  <c r="M19" i="119"/>
  <c r="L12" i="119"/>
  <c r="L26" i="119"/>
  <c r="L19" i="119"/>
  <c r="L28" i="119"/>
  <c r="K12" i="119"/>
  <c r="K26" i="119"/>
  <c r="K19" i="119"/>
  <c r="J12" i="119"/>
  <c r="J26" i="119"/>
  <c r="J19" i="119"/>
  <c r="J28" i="119"/>
  <c r="I12" i="119"/>
  <c r="I26" i="119"/>
  <c r="I19" i="119"/>
  <c r="I28" i="119"/>
  <c r="L35" i="118"/>
  <c r="L23" i="118"/>
  <c r="L11" i="118"/>
  <c r="M34" i="118"/>
  <c r="M38" i="118"/>
  <c r="I37" i="118"/>
  <c r="J35" i="118"/>
  <c r="J23" i="118"/>
  <c r="J37" i="118"/>
  <c r="K35" i="118"/>
  <c r="K23" i="118"/>
  <c r="K11" i="118"/>
  <c r="J11" i="118"/>
  <c r="J15" i="115"/>
  <c r="J23" i="115"/>
  <c r="J24" i="115"/>
  <c r="J25" i="115"/>
  <c r="J26" i="115"/>
  <c r="J28" i="115"/>
  <c r="J16" i="115"/>
  <c r="J17" i="115"/>
  <c r="K25" i="115"/>
  <c r="F5" i="109"/>
  <c r="J18" i="115"/>
  <c r="J9" i="115"/>
  <c r="J10" i="115"/>
  <c r="K10" i="115"/>
  <c r="C5" i="109"/>
  <c r="H20" i="115"/>
  <c r="H28" i="115"/>
  <c r="I20" i="115"/>
  <c r="I28" i="115"/>
  <c r="I30" i="115"/>
  <c r="I12" i="115"/>
  <c r="I32" i="115"/>
  <c r="G20" i="115"/>
  <c r="G28" i="115"/>
  <c r="G30" i="115"/>
  <c r="G12" i="115"/>
  <c r="G32" i="115"/>
  <c r="H12" i="115"/>
  <c r="AF11" i="109"/>
  <c r="AF67" i="109"/>
  <c r="P67" i="109"/>
  <c r="AG67" i="109"/>
  <c r="AF16" i="109"/>
  <c r="AG16" i="109" s="1"/>
  <c r="AF19" i="109"/>
  <c r="AG19" i="109" s="1"/>
  <c r="AF68" i="109"/>
  <c r="AG66" i="109"/>
  <c r="AF64" i="109"/>
  <c r="AG64" i="109" s="1"/>
  <c r="AF60" i="109"/>
  <c r="AG60" i="109" s="1"/>
  <c r="AF58" i="109"/>
  <c r="AG58" i="109" s="1"/>
  <c r="AF54" i="109"/>
  <c r="AG54" i="109" s="1"/>
  <c r="AF47" i="109"/>
  <c r="AG47" i="109" s="1"/>
  <c r="AF44" i="109"/>
  <c r="AG44" i="109" s="1"/>
  <c r="P35" i="109"/>
  <c r="AF35" i="109"/>
  <c r="AG35" i="109" s="1"/>
  <c r="AF27" i="109"/>
  <c r="AG27" i="109" s="1"/>
  <c r="AF25" i="109"/>
  <c r="AG25" i="109" s="1"/>
  <c r="AF18" i="109"/>
  <c r="AG18" i="109" s="1"/>
  <c r="AF17" i="109"/>
  <c r="AG17" i="109" s="1"/>
  <c r="AF6" i="109"/>
  <c r="AG6" i="109"/>
  <c r="AF5" i="109"/>
  <c r="AG5" i="109"/>
  <c r="AF63" i="109"/>
  <c r="AG63" i="109" s="1"/>
  <c r="P50" i="109"/>
  <c r="Q50" i="109"/>
  <c r="P43" i="109"/>
  <c r="Q43" i="109"/>
  <c r="AF38" i="109"/>
  <c r="AG38" i="109" s="1"/>
  <c r="AF57" i="109"/>
  <c r="AG57" i="109" s="1"/>
  <c r="AF53" i="109"/>
  <c r="AG53" i="109" s="1"/>
  <c r="AF50" i="109"/>
  <c r="AG50" i="109" s="1"/>
  <c r="AF40" i="109"/>
  <c r="AG40" i="109" s="1"/>
  <c r="AF33" i="109"/>
  <c r="AG33" i="109" s="1"/>
  <c r="AF8" i="109"/>
  <c r="AG8" i="109"/>
  <c r="AF15" i="109"/>
  <c r="AG15" i="109" s="1"/>
  <c r="AF46" i="109"/>
  <c r="AG46" i="109" s="1"/>
  <c r="AG11" i="109"/>
  <c r="AF62" i="109"/>
  <c r="AG62" i="109" s="1"/>
  <c r="AG68" i="109"/>
  <c r="P55" i="109"/>
  <c r="AF65" i="109"/>
  <c r="AG65" i="109"/>
  <c r="Q67" i="109"/>
  <c r="Q60" i="109"/>
  <c r="Q55" i="109"/>
  <c r="Q35" i="109"/>
  <c r="M52" i="120"/>
  <c r="L13" i="120"/>
  <c r="F17" i="109"/>
  <c r="T24" i="109"/>
  <c r="N10" i="121"/>
  <c r="B15" i="109"/>
  <c r="M12" i="121"/>
  <c r="K9" i="115"/>
  <c r="B5" i="109"/>
  <c r="J12" i="115"/>
  <c r="L37" i="118"/>
  <c r="L39" i="118"/>
  <c r="M36" i="120"/>
  <c r="K26" i="132"/>
  <c r="I29" i="120"/>
  <c r="K31" i="120"/>
  <c r="J36" i="123"/>
  <c r="M27" i="122"/>
  <c r="I16" i="109"/>
  <c r="J30" i="111"/>
  <c r="J18" i="109"/>
  <c r="M34" i="122"/>
  <c r="K29" i="120"/>
  <c r="N35" i="121"/>
  <c r="E17" i="109"/>
  <c r="J26" i="132"/>
  <c r="I26" i="132"/>
  <c r="K24" i="115"/>
  <c r="G5" i="109"/>
  <c r="E23" i="109"/>
  <c r="L23" i="127"/>
  <c r="L37" i="127"/>
  <c r="B66" i="109"/>
  <c r="L19" i="144"/>
  <c r="J43" i="130"/>
  <c r="AF14" i="109"/>
  <c r="P42" i="109"/>
  <c r="P28" i="109"/>
  <c r="Q28" i="109"/>
  <c r="P59" i="109"/>
  <c r="P65" i="109"/>
  <c r="P21" i="109"/>
  <c r="P19" i="109"/>
  <c r="N58" i="124"/>
  <c r="N72" i="124"/>
  <c r="N18" i="109"/>
  <c r="N17" i="109"/>
  <c r="J39" i="118"/>
  <c r="K23" i="115"/>
  <c r="K28" i="119"/>
  <c r="K30" i="119"/>
  <c r="L54" i="119"/>
  <c r="U12" i="109"/>
  <c r="M28" i="119"/>
  <c r="N29" i="121"/>
  <c r="N34" i="121"/>
  <c r="N40" i="121"/>
  <c r="N15" i="109"/>
  <c r="K34" i="137"/>
  <c r="K36" i="137"/>
  <c r="L40" i="121"/>
  <c r="K24" i="160"/>
  <c r="K25" i="160"/>
  <c r="L30" i="119"/>
  <c r="N11" i="119"/>
  <c r="C12" i="109"/>
  <c r="P12" i="109"/>
  <c r="G15" i="109"/>
  <c r="L16" i="122"/>
  <c r="L34" i="122"/>
  <c r="J30" i="136"/>
  <c r="AH16" i="109"/>
  <c r="O16" i="109"/>
  <c r="O23" i="122"/>
  <c r="I30" i="119"/>
  <c r="M30" i="119"/>
  <c r="M59" i="120"/>
  <c r="AG14" i="109"/>
  <c r="P16" i="109"/>
  <c r="L23" i="109"/>
  <c r="P23" i="109"/>
  <c r="M25" i="129"/>
  <c r="L26" i="129"/>
  <c r="L25" i="130"/>
  <c r="M32" i="123"/>
  <c r="M68" i="124"/>
  <c r="M70" i="124"/>
  <c r="J20" i="115"/>
  <c r="J30" i="115"/>
  <c r="J32" i="115"/>
  <c r="K26" i="115"/>
  <c r="N5" i="109"/>
  <c r="N30" i="136"/>
  <c r="C52" i="109"/>
  <c r="L10" i="159"/>
  <c r="M25" i="160"/>
  <c r="B53" i="109"/>
  <c r="P53" i="109"/>
  <c r="M54" i="119"/>
  <c r="I54" i="119"/>
  <c r="N30" i="119"/>
  <c r="AF20" i="109"/>
  <c r="M29" i="133"/>
  <c r="E25" i="109"/>
  <c r="L34" i="143"/>
  <c r="L43" i="145"/>
  <c r="L44" i="145"/>
  <c r="K37" i="118"/>
  <c r="K39" i="118"/>
  <c r="L27" i="120"/>
  <c r="L31" i="120"/>
  <c r="M31" i="120"/>
  <c r="M23" i="120"/>
  <c r="P14" i="109"/>
  <c r="M56" i="136"/>
  <c r="L18" i="159"/>
  <c r="K52" i="109"/>
  <c r="J30" i="119"/>
  <c r="H30" i="115"/>
  <c r="H32" i="115"/>
  <c r="N37" i="119"/>
  <c r="R12" i="109"/>
  <c r="J31" i="120"/>
  <c r="M36" i="121"/>
  <c r="M38" i="121"/>
  <c r="M40" i="121"/>
  <c r="P11" i="109"/>
  <c r="L35" i="133"/>
  <c r="M44" i="145"/>
  <c r="AE36" i="109"/>
  <c r="W36" i="109"/>
  <c r="AF36" i="109"/>
  <c r="M22" i="123"/>
  <c r="M34" i="123"/>
  <c r="M36" i="123"/>
  <c r="AF48" i="109"/>
  <c r="L72" i="124"/>
  <c r="J37" i="127"/>
  <c r="J39" i="127"/>
  <c r="I30" i="129"/>
  <c r="L39" i="130"/>
  <c r="F18" i="109"/>
  <c r="M31" i="133"/>
  <c r="J25" i="109"/>
  <c r="K30" i="136"/>
  <c r="L22" i="137"/>
  <c r="L32" i="137"/>
  <c r="L34" i="137"/>
  <c r="O61" i="141"/>
  <c r="M30" i="142"/>
  <c r="O32" i="109"/>
  <c r="B32" i="109"/>
  <c r="P32" i="109"/>
  <c r="L33" i="144"/>
  <c r="L34" i="144"/>
  <c r="N43" i="165"/>
  <c r="N46" i="165"/>
  <c r="AE59" i="109"/>
  <c r="R59" i="109"/>
  <c r="AH62" i="109"/>
  <c r="J72" i="124"/>
  <c r="I37" i="127"/>
  <c r="I39" i="127"/>
  <c r="J30" i="129"/>
  <c r="M39" i="118"/>
  <c r="N27" i="141"/>
  <c r="N29" i="141"/>
  <c r="N31" i="141"/>
  <c r="F30" i="109"/>
  <c r="AG22" i="109"/>
  <c r="M30" i="136"/>
  <c r="E68" i="109"/>
  <c r="L19" i="129"/>
  <c r="L28" i="129"/>
  <c r="M23" i="129"/>
  <c r="G31" i="109"/>
  <c r="L24" i="133"/>
  <c r="L36" i="133"/>
  <c r="L38" i="133"/>
  <c r="M27" i="133"/>
  <c r="N25" i="109"/>
  <c r="M23" i="135"/>
  <c r="K29" i="109"/>
  <c r="M20" i="134"/>
  <c r="G66" i="109"/>
  <c r="P66" i="109"/>
  <c r="M16" i="124"/>
  <c r="M72" i="124"/>
  <c r="B25" i="109"/>
  <c r="M38" i="132"/>
  <c r="AD32" i="109"/>
  <c r="L10" i="144"/>
  <c r="L20" i="144"/>
  <c r="L37" i="144"/>
  <c r="L27" i="145"/>
  <c r="L19" i="145"/>
  <c r="L28" i="145"/>
  <c r="L29" i="145"/>
  <c r="L10" i="169"/>
  <c r="M8" i="169"/>
  <c r="L12" i="129"/>
  <c r="L30" i="129"/>
  <c r="M10" i="129"/>
  <c r="N30" i="123"/>
  <c r="K17" i="109"/>
  <c r="P17" i="109"/>
  <c r="B68" i="109"/>
  <c r="B18" i="109"/>
  <c r="K30" i="129"/>
  <c r="G25" i="109"/>
  <c r="M10" i="135"/>
  <c r="M58" i="136"/>
  <c r="M10" i="143"/>
  <c r="L12" i="143"/>
  <c r="L23" i="143"/>
  <c r="L36" i="143"/>
  <c r="J21" i="111"/>
  <c r="M23" i="169"/>
  <c r="I64" i="109"/>
  <c r="J44" i="134"/>
  <c r="M56" i="142"/>
  <c r="Z32" i="109"/>
  <c r="N41" i="109"/>
  <c r="P41" i="109"/>
  <c r="B52" i="109"/>
  <c r="J24" i="160"/>
  <c r="M21" i="169"/>
  <c r="N64" i="109"/>
  <c r="L17" i="169"/>
  <c r="L24" i="169"/>
  <c r="L26" i="169"/>
  <c r="N26" i="140"/>
  <c r="K31" i="109"/>
  <c r="M22" i="140"/>
  <c r="M34" i="140"/>
  <c r="M36" i="140"/>
  <c r="M26" i="143"/>
  <c r="M28" i="143"/>
  <c r="L12" i="142"/>
  <c r="L20" i="142"/>
  <c r="M26" i="126"/>
  <c r="L16" i="146"/>
  <c r="L22" i="146"/>
  <c r="N40" i="109"/>
  <c r="M17" i="149"/>
  <c r="M25" i="149"/>
  <c r="M26" i="149"/>
  <c r="B51" i="109"/>
  <c r="L45" i="156"/>
  <c r="M23" i="164"/>
  <c r="B58" i="109"/>
  <c r="P58" i="109"/>
  <c r="L10" i="153"/>
  <c r="J25" i="160"/>
  <c r="K68" i="109"/>
  <c r="J36" i="137"/>
  <c r="B27" i="109"/>
  <c r="P27" i="109"/>
  <c r="M30" i="138"/>
  <c r="E31" i="109"/>
  <c r="N36" i="140"/>
  <c r="C30" i="109"/>
  <c r="M38" i="142"/>
  <c r="J29" i="145"/>
  <c r="N8" i="149"/>
  <c r="M18" i="157"/>
  <c r="M27" i="157"/>
  <c r="M29" i="157"/>
  <c r="F20" i="152"/>
  <c r="C44" i="109"/>
  <c r="J10" i="152"/>
  <c r="J20" i="152"/>
  <c r="F18" i="152"/>
  <c r="L11" i="127"/>
  <c r="L39" i="127"/>
  <c r="L28" i="142"/>
  <c r="L47" i="144"/>
  <c r="L51" i="151"/>
  <c r="L53" i="151"/>
  <c r="N55" i="162"/>
  <c r="N63" i="162"/>
  <c r="N64" i="162"/>
  <c r="M39" i="127"/>
  <c r="L58" i="142"/>
  <c r="L60" i="142"/>
  <c r="K34" i="144"/>
  <c r="K37" i="144"/>
  <c r="R42" i="109"/>
  <c r="L18" i="158"/>
  <c r="M25" i="158"/>
  <c r="N51" i="109"/>
  <c r="N21" i="165"/>
  <c r="I24" i="160"/>
  <c r="L17" i="160"/>
  <c r="L24" i="160"/>
  <c r="L18" i="161"/>
  <c r="L27" i="161"/>
  <c r="L28" i="161"/>
  <c r="N29" i="162"/>
  <c r="N42" i="162"/>
  <c r="I14" i="167"/>
  <c r="V42" i="109"/>
  <c r="G20" i="152"/>
  <c r="E44" i="109"/>
  <c r="M45" i="157"/>
  <c r="M47" i="157"/>
  <c r="M49" i="157"/>
  <c r="N43" i="157"/>
  <c r="L26" i="158"/>
  <c r="L28" i="158"/>
  <c r="L11" i="160"/>
  <c r="L25" i="160"/>
  <c r="J94" i="162"/>
  <c r="L13" i="164"/>
  <c r="L21" i="164"/>
  <c r="L23" i="164"/>
  <c r="I21" i="164"/>
  <c r="I23" i="164"/>
  <c r="D14" i="167"/>
  <c r="D16" i="167"/>
  <c r="C62" i="109"/>
  <c r="J53" i="158"/>
  <c r="J55" i="158"/>
  <c r="N21" i="157"/>
  <c r="N29" i="157"/>
  <c r="E37" i="109"/>
  <c r="J31" i="156"/>
  <c r="E49" i="109"/>
  <c r="P49" i="109"/>
  <c r="L49" i="157"/>
  <c r="J29" i="158"/>
  <c r="K28" i="158"/>
  <c r="J27" i="159"/>
  <c r="J28" i="159"/>
  <c r="L51" i="159"/>
  <c r="K66" i="162"/>
  <c r="K95" i="162"/>
  <c r="M32" i="166"/>
  <c r="B61" i="109"/>
  <c r="P61" i="109"/>
  <c r="X45" i="109"/>
  <c r="AF45" i="109"/>
  <c r="AG45" i="109"/>
  <c r="K29" i="158"/>
  <c r="K27" i="159"/>
  <c r="K28" i="159"/>
  <c r="D57" i="109"/>
  <c r="P57" i="109"/>
  <c r="K25" i="163"/>
  <c r="K26" i="163"/>
  <c r="L23" i="163"/>
  <c r="L25" i="163"/>
  <c r="L26" i="163"/>
  <c r="M28" i="165"/>
  <c r="M46" i="165"/>
  <c r="W59" i="109"/>
  <c r="E14" i="167"/>
  <c r="E16" i="167"/>
  <c r="E62" i="109"/>
  <c r="J27" i="169"/>
  <c r="M25" i="128"/>
  <c r="O65" i="109"/>
  <c r="M50" i="158"/>
  <c r="L43" i="158"/>
  <c r="L53" i="158"/>
  <c r="J46" i="165"/>
  <c r="M24" i="170"/>
  <c r="M29" i="145"/>
  <c r="M6" i="155"/>
  <c r="L12" i="155"/>
  <c r="X59" i="109"/>
  <c r="L26" i="159"/>
  <c r="N17" i="162"/>
  <c r="L66" i="162"/>
  <c r="L94" i="162"/>
  <c r="L95" i="162"/>
  <c r="M14" i="165"/>
  <c r="M21" i="165"/>
  <c r="M45" i="165"/>
  <c r="U59" i="109"/>
  <c r="K28" i="161"/>
  <c r="L42" i="162"/>
  <c r="M20" i="165"/>
  <c r="K24" i="128"/>
  <c r="K25" i="128"/>
  <c r="AD42" i="109"/>
  <c r="E45" i="109"/>
  <c r="L15" i="153"/>
  <c r="L31" i="153"/>
  <c r="L49" i="153" s="1"/>
  <c r="I53" i="151"/>
  <c r="L23" i="154"/>
  <c r="M17" i="154"/>
  <c r="K31" i="156"/>
  <c r="M66" i="162"/>
  <c r="M95" i="162"/>
  <c r="K20" i="165"/>
  <c r="L45" i="165"/>
  <c r="L10" i="128"/>
  <c r="L25" i="128"/>
  <c r="L35" i="158"/>
  <c r="M8" i="170"/>
  <c r="M27" i="170"/>
  <c r="M28" i="170"/>
  <c r="M34" i="170"/>
  <c r="M18" i="155"/>
  <c r="N47" i="109"/>
  <c r="N65" i="162"/>
  <c r="K42" i="162"/>
  <c r="K21" i="165"/>
  <c r="N92" i="162"/>
  <c r="N93" i="162"/>
  <c r="N94" i="162"/>
  <c r="C16" i="167"/>
  <c r="B62" i="109"/>
  <c r="I31" i="156"/>
  <c r="F16" i="167"/>
  <c r="G62" i="109"/>
  <c r="I25" i="160"/>
  <c r="L19" i="155"/>
  <c r="H14" i="167"/>
  <c r="H16" i="167"/>
  <c r="I62" i="109"/>
  <c r="P48" i="109"/>
  <c r="Q48" i="109"/>
  <c r="G16" i="167"/>
  <c r="N62" i="109"/>
  <c r="I29" i="153"/>
  <c r="I31" i="153"/>
  <c r="I49" i="153"/>
  <c r="H47" i="139"/>
  <c r="H50" i="139"/>
  <c r="W28" i="109"/>
  <c r="AF28" i="109"/>
  <c r="J45" i="109"/>
  <c r="AG48" i="109"/>
  <c r="AI48" i="109"/>
  <c r="AJ48" i="109"/>
  <c r="AF42" i="109"/>
  <c r="P44" i="109"/>
  <c r="P15" i="109"/>
  <c r="AF56" i="109"/>
  <c r="AF12" i="109"/>
  <c r="AG39" i="109"/>
  <c r="P63" i="109"/>
  <c r="P52" i="109"/>
  <c r="B29" i="109"/>
  <c r="P29" i="109"/>
  <c r="M29" i="135"/>
  <c r="AE21" i="109"/>
  <c r="U21" i="109"/>
  <c r="AF21" i="109"/>
  <c r="O61" i="109"/>
  <c r="AH61" i="109"/>
  <c r="U49" i="109"/>
  <c r="AF49" i="109"/>
  <c r="N49" i="157"/>
  <c r="AE49" i="109"/>
  <c r="AH15" i="109"/>
  <c r="O15" i="109"/>
  <c r="J18" i="152"/>
  <c r="L36" i="137"/>
  <c r="P56" i="109"/>
  <c r="Q56" i="109"/>
  <c r="AH28" i="109"/>
  <c r="N66" i="162"/>
  <c r="N95" i="162"/>
  <c r="W51" i="109"/>
  <c r="AF51" i="109"/>
  <c r="M55" i="158"/>
  <c r="AH45" i="109"/>
  <c r="O59" i="109"/>
  <c r="AH59" i="109"/>
  <c r="O58" i="109"/>
  <c r="AH58" i="109"/>
  <c r="O11" i="109"/>
  <c r="AH11" i="109"/>
  <c r="Q32" i="109"/>
  <c r="N36" i="123"/>
  <c r="AH18" i="109"/>
  <c r="O18" i="109"/>
  <c r="P39" i="109"/>
  <c r="O23" i="109"/>
  <c r="AH23" i="109"/>
  <c r="E5" i="109"/>
  <c r="P5" i="109"/>
  <c r="K32" i="115"/>
  <c r="L29" i="158"/>
  <c r="R32" i="109"/>
  <c r="AF32" i="109"/>
  <c r="M60" i="142"/>
  <c r="AH21" i="109"/>
  <c r="O21" i="109"/>
  <c r="O49" i="109"/>
  <c r="O66" i="109"/>
  <c r="AH66" i="109"/>
  <c r="B37" i="109"/>
  <c r="P37" i="109"/>
  <c r="M43" i="132"/>
  <c r="AF59" i="109"/>
  <c r="AG59" i="109"/>
  <c r="AG36" i="109"/>
  <c r="B47" i="109"/>
  <c r="P47" i="109"/>
  <c r="M21" i="155"/>
  <c r="AH47" i="109"/>
  <c r="O31" i="109"/>
  <c r="AH31" i="109"/>
  <c r="O45" i="109"/>
  <c r="B45" i="109"/>
  <c r="P45" i="109"/>
  <c r="M29" i="158"/>
  <c r="O51" i="109"/>
  <c r="L27" i="169"/>
  <c r="L55" i="158"/>
  <c r="L32" i="170"/>
  <c r="J95" i="162"/>
  <c r="M28" i="161"/>
  <c r="L51" i="144"/>
  <c r="L49" i="144"/>
  <c r="N26" i="149"/>
  <c r="B40" i="109"/>
  <c r="P40" i="109"/>
  <c r="P31" i="109"/>
  <c r="P51" i="109"/>
  <c r="P18" i="109"/>
  <c r="P25" i="109"/>
  <c r="AI16" i="109"/>
  <c r="AJ16" i="109"/>
  <c r="Q16" i="109"/>
  <c r="L29" i="120"/>
  <c r="AI65" i="109"/>
  <c r="AH65" i="109"/>
  <c r="Q65" i="109"/>
  <c r="Q42" i="109"/>
  <c r="AF30" i="109"/>
  <c r="AG30" i="109"/>
  <c r="AG20" i="109"/>
  <c r="M27" i="169"/>
  <c r="B64" i="109"/>
  <c r="P64" i="109"/>
  <c r="E46" i="109"/>
  <c r="P46" i="109"/>
  <c r="M23" i="154"/>
  <c r="AH27" i="109"/>
  <c r="O27" i="109"/>
  <c r="L30" i="142"/>
  <c r="M36" i="143"/>
  <c r="P33" i="109"/>
  <c r="P68" i="109"/>
  <c r="M38" i="133"/>
  <c r="L27" i="159"/>
  <c r="L28" i="159"/>
  <c r="N54" i="119"/>
  <c r="AE12" i="109"/>
  <c r="AH36" i="109"/>
  <c r="O36" i="109"/>
  <c r="P20" i="109"/>
  <c r="M30" i="129"/>
  <c r="AI62" i="109"/>
  <c r="AJ62" i="109"/>
  <c r="AH44" i="109"/>
  <c r="O44" i="109"/>
  <c r="L21" i="155"/>
  <c r="O47" i="109"/>
  <c r="P22" i="109"/>
  <c r="E30" i="109"/>
  <c r="P30" i="109"/>
  <c r="O12" i="109"/>
  <c r="AH12" i="109"/>
  <c r="AH53" i="109"/>
  <c r="O53" i="109"/>
  <c r="AG49" i="109"/>
  <c r="AG12" i="109"/>
  <c r="AJ65" i="109"/>
  <c r="AG24" i="109"/>
  <c r="AG52" i="109"/>
  <c r="AI21" i="109"/>
  <c r="AJ21" i="109"/>
  <c r="Q21" i="109"/>
  <c r="O37" i="109"/>
  <c r="AH37" i="109"/>
  <c r="R37" i="109"/>
  <c r="AF37" i="109"/>
  <c r="AG37" i="109" s="1"/>
  <c r="AG21" i="109"/>
  <c r="AI12" i="109"/>
  <c r="AJ12" i="109"/>
  <c r="Q12" i="109"/>
  <c r="AH49" i="109"/>
  <c r="Q24" i="109"/>
  <c r="AH46" i="109"/>
  <c r="O46" i="109"/>
  <c r="AI49" i="109"/>
  <c r="Q49" i="109"/>
  <c r="AI14" i="109"/>
  <c r="AJ14" i="109"/>
  <c r="Q14" i="109"/>
  <c r="AH38" i="109"/>
  <c r="AI15" i="109"/>
  <c r="Q15" i="109"/>
  <c r="AI61" i="109"/>
  <c r="Q61" i="109"/>
  <c r="AI53" i="109"/>
  <c r="AJ53" i="109"/>
  <c r="Q53" i="109"/>
  <c r="AI31" i="109"/>
  <c r="AJ31" i="109"/>
  <c r="Q31" i="109"/>
  <c r="O5" i="109"/>
  <c r="AH5" i="109"/>
  <c r="AH51" i="109"/>
  <c r="AE51" i="109"/>
  <c r="AG51" i="109"/>
  <c r="AJ15" i="109"/>
  <c r="AJ39" i="109"/>
  <c r="Q39" i="109"/>
  <c r="AI27" i="109"/>
  <c r="AJ27" i="109"/>
  <c r="Q27" i="109"/>
  <c r="AI58" i="109"/>
  <c r="AJ58" i="109"/>
  <c r="Q58" i="109"/>
  <c r="AI19" i="109"/>
  <c r="AJ19" i="109"/>
  <c r="Q19" i="109"/>
  <c r="AE42" i="109"/>
  <c r="AH57" i="109"/>
  <c r="O57" i="109"/>
  <c r="Q20" i="109"/>
  <c r="AI20" i="109"/>
  <c r="AH64" i="109"/>
  <c r="O64" i="109"/>
  <c r="AH32" i="109"/>
  <c r="AE32" i="109"/>
  <c r="AI23" i="109"/>
  <c r="AJ23" i="109"/>
  <c r="Q23" i="109"/>
  <c r="AI11" i="109"/>
  <c r="AJ11" i="109"/>
  <c r="Q11" i="109"/>
  <c r="M45" i="134"/>
  <c r="AI44" i="109"/>
  <c r="AJ44" i="109"/>
  <c r="Q44" i="109"/>
  <c r="AI36" i="109"/>
  <c r="AJ36" i="109"/>
  <c r="Q36" i="109"/>
  <c r="AH25" i="109"/>
  <c r="O25" i="109"/>
  <c r="Q51" i="109"/>
  <c r="AG28" i="109"/>
  <c r="AI28" i="109"/>
  <c r="AJ28" i="109"/>
  <c r="AJ41" i="109"/>
  <c r="Q41" i="109"/>
  <c r="O29" i="109"/>
  <c r="AH29" i="109"/>
  <c r="AI66" i="109"/>
  <c r="AJ66" i="109"/>
  <c r="Q66" i="109"/>
  <c r="AI59" i="109"/>
  <c r="AJ59" i="109"/>
  <c r="Q59" i="109"/>
  <c r="AH54" i="109"/>
  <c r="O54" i="109"/>
  <c r="AI18" i="109"/>
  <c r="AJ18" i="109"/>
  <c r="Q18" i="109"/>
  <c r="AH40" i="109"/>
  <c r="O40" i="109"/>
  <c r="AH17" i="109"/>
  <c r="O17" i="109"/>
  <c r="O68" i="109"/>
  <c r="AH68" i="109"/>
  <c r="AI63" i="109"/>
  <c r="AJ63" i="109"/>
  <c r="Q63" i="109"/>
  <c r="AJ61" i="109"/>
  <c r="AG56" i="109"/>
  <c r="AI56" i="109"/>
  <c r="AJ56" i="109"/>
  <c r="AI47" i="109"/>
  <c r="AJ47" i="109"/>
  <c r="Q47" i="109"/>
  <c r="Q45" i="109"/>
  <c r="AI45" i="109"/>
  <c r="AJ45" i="109"/>
  <c r="AI51" i="109"/>
  <c r="Q22" i="109"/>
  <c r="AI22" i="109"/>
  <c r="AG32" i="109"/>
  <c r="AI32" i="109"/>
  <c r="AJ32" i="109"/>
  <c r="AI57" i="109"/>
  <c r="AJ57" i="109"/>
  <c r="Q57" i="109"/>
  <c r="AJ49" i="109"/>
  <c r="AI52" i="109"/>
  <c r="AJ52" i="109"/>
  <c r="Q52" i="109"/>
  <c r="AI37" i="109"/>
  <c r="AJ37" i="109"/>
  <c r="Q37" i="109"/>
  <c r="AI25" i="109"/>
  <c r="AJ25" i="109"/>
  <c r="Q25" i="109"/>
  <c r="AJ22" i="109"/>
  <c r="Q5" i="109"/>
  <c r="AI5" i="109"/>
  <c r="AJ5" i="109"/>
  <c r="AI6" i="109"/>
  <c r="AJ6" i="109"/>
  <c r="Q6" i="109"/>
  <c r="AJ20" i="109"/>
  <c r="Q68" i="109"/>
  <c r="AI68" i="109"/>
  <c r="AJ68" i="109"/>
  <c r="AI34" i="109"/>
  <c r="AJ34" i="109"/>
  <c r="Q34" i="109"/>
  <c r="AG42" i="109"/>
  <c r="AI42" i="109"/>
  <c r="AJ42" i="109"/>
  <c r="AI17" i="109"/>
  <c r="AJ17" i="109"/>
  <c r="Q17" i="109"/>
  <c r="AJ24" i="109"/>
  <c r="AI46" i="109"/>
  <c r="AJ46" i="109"/>
  <c r="Q46" i="109"/>
  <c r="AI54" i="109"/>
  <c r="AJ54" i="109"/>
  <c r="Q54" i="109"/>
  <c r="AI29" i="109"/>
  <c r="AJ29" i="109"/>
  <c r="Q29" i="109"/>
  <c r="AI64" i="109"/>
  <c r="AJ64" i="109"/>
  <c r="Q64" i="109"/>
  <c r="AJ51" i="109"/>
  <c r="AI38" i="109"/>
  <c r="AJ38" i="109"/>
  <c r="Q38" i="109"/>
  <c r="AJ30" i="109"/>
  <c r="Q30" i="109"/>
  <c r="AI40" i="109"/>
  <c r="AJ40" i="109"/>
  <c r="Q40" i="109"/>
  <c r="AI33" i="109"/>
  <c r="AJ33" i="109"/>
  <c r="Q33" i="109"/>
  <c r="AG26" i="109"/>
  <c r="AJ26" i="109"/>
  <c r="Q26" i="109"/>
  <c r="I54" i="156"/>
  <c r="I55" i="156"/>
  <c r="L52" i="156"/>
  <c r="L54" i="156"/>
  <c r="L55" i="156"/>
  <c r="P62" i="109" l="1"/>
  <c r="Q62" i="109" s="1"/>
  <c r="B8" i="109"/>
  <c r="P8" i="109" s="1"/>
  <c r="N20" i="117"/>
  <c r="L31" i="180"/>
  <c r="AH8" i="109" l="1"/>
  <c r="O8" i="109"/>
  <c r="AI8" i="109" l="1"/>
  <c r="Q8" i="109"/>
  <c r="AJ8" i="109"/>
</calcChain>
</file>

<file path=xl/sharedStrings.xml><?xml version="1.0" encoding="utf-8"?>
<sst xmlns="http://schemas.openxmlformats.org/spreadsheetml/2006/main" count="2646" uniqueCount="625">
  <si>
    <t>Acadia PARISH POLICE JURY</t>
  </si>
  <si>
    <t>Capital Assets</t>
  </si>
  <si>
    <t>For the Year Ended December 31, 2015</t>
  </si>
  <si>
    <t>Beginning Balance</t>
  </si>
  <si>
    <t>Increases</t>
  </si>
  <si>
    <t>Decreases</t>
  </si>
  <si>
    <t>Ending Balance</t>
  </si>
  <si>
    <t>Cross Sectional</t>
  </si>
  <si>
    <t>Governmental Activities:</t>
  </si>
  <si>
    <t>Capital assets, not being depreciated:</t>
  </si>
  <si>
    <t>Land</t>
  </si>
  <si>
    <t>Construction in progress</t>
  </si>
  <si>
    <t>Total capital assets, not being depreciated</t>
  </si>
  <si>
    <t>Capital assets being depreciated:</t>
  </si>
  <si>
    <t>Buildings and improvements</t>
  </si>
  <si>
    <t>Machinery and equipment</t>
  </si>
  <si>
    <t>Improvements, other than buildings</t>
  </si>
  <si>
    <t>Infrastructure</t>
  </si>
  <si>
    <t>Total capital assets being depreciated</t>
  </si>
  <si>
    <t>Less accumulated depreciation for:</t>
  </si>
  <si>
    <t>Total accumulated depreciation</t>
  </si>
  <si>
    <t>Total capital assets being depreciated, net</t>
  </si>
  <si>
    <t>Governmental activities capital assets, net</t>
  </si>
  <si>
    <t>5For the Year Ended December 31, 2015</t>
  </si>
  <si>
    <t xml:space="preserve"> Beginning Balance </t>
  </si>
  <si>
    <t xml:space="preserve"> Increases </t>
  </si>
  <si>
    <t xml:space="preserve"> Decreases </t>
  </si>
  <si>
    <t xml:space="preserve"> Ending Balance </t>
  </si>
  <si>
    <t xml:space="preserve"> Cross Sectional </t>
  </si>
  <si>
    <t xml:space="preserve">Buildings  </t>
  </si>
  <si>
    <t>Furniture and fixtures</t>
  </si>
  <si>
    <t>Vehicles</t>
  </si>
  <si>
    <t>ASCENSION PARISH POLICE JURY</t>
  </si>
  <si>
    <t>Buildings</t>
  </si>
  <si>
    <t>Equipment</t>
  </si>
  <si>
    <t>Library materials</t>
  </si>
  <si>
    <t>Business-Type Activities:</t>
  </si>
  <si>
    <t>Capital assets, depreciable:</t>
  </si>
  <si>
    <t>Sewer systems</t>
  </si>
  <si>
    <t>Water systems</t>
  </si>
  <si>
    <t xml:space="preserve">Machinery &amp; Equipment </t>
  </si>
  <si>
    <t>Lamar Dixon Expo Center</t>
  </si>
  <si>
    <t>Total capital assets, depreciable</t>
  </si>
  <si>
    <t>Total capital assets, depreciable, net</t>
  </si>
  <si>
    <t>Business-type activities capital assets, net</t>
  </si>
  <si>
    <t>Assumption PARISH POLICE JURY</t>
  </si>
  <si>
    <t>Balance 12/31/2014</t>
  </si>
  <si>
    <t>2015 Additions</t>
  </si>
  <si>
    <t>2015 Deletions</t>
  </si>
  <si>
    <t>2015 Reclassifications</t>
  </si>
  <si>
    <t>Balance 12/31/2015</t>
  </si>
  <si>
    <t>Primary Government</t>
  </si>
  <si>
    <t>Government Activities:</t>
  </si>
  <si>
    <t xml:space="preserve">Improvements other than buildings </t>
  </si>
  <si>
    <t>Roads</t>
  </si>
  <si>
    <t xml:space="preserve">Bridges </t>
  </si>
  <si>
    <t xml:space="preserve">Equipmet and other </t>
  </si>
  <si>
    <t>Totals</t>
  </si>
  <si>
    <t xml:space="preserve">Total accumulated depreciation </t>
  </si>
  <si>
    <t xml:space="preserve">only shows total accumulated depreciation </t>
  </si>
  <si>
    <t xml:space="preserve">Governmental activities, capital assets, net </t>
  </si>
  <si>
    <t>AVOYELLES PARISH POLICE JURY</t>
  </si>
  <si>
    <t>Balance 01/01/14</t>
  </si>
  <si>
    <t>Additions</t>
  </si>
  <si>
    <t>Balance 12/31/14</t>
  </si>
  <si>
    <t>Equipment, furniture and fixtures</t>
  </si>
  <si>
    <t>Heavy equipment</t>
  </si>
  <si>
    <t>BEAUREGARD PARISH POLICE JURY</t>
  </si>
  <si>
    <t>Deletions</t>
  </si>
  <si>
    <t>Transfers</t>
  </si>
  <si>
    <t>Total assets not being depreciated</t>
  </si>
  <si>
    <t>Furniture and equipment</t>
  </si>
  <si>
    <t>BIENVILLE PARISH POLICE JURY</t>
  </si>
  <si>
    <t>Bridges</t>
  </si>
  <si>
    <t>Buildings and Improvements</t>
  </si>
  <si>
    <t>Office furniture and equipment</t>
  </si>
  <si>
    <t>Heavy Equipment</t>
  </si>
  <si>
    <t>Miscellaneous equipment</t>
  </si>
  <si>
    <t>Total capital assets (net)</t>
  </si>
  <si>
    <t>BOSSIER PARISH POLICE JURY</t>
  </si>
  <si>
    <t>Furniture, equipment and vehicles</t>
  </si>
  <si>
    <t>Library books and information material</t>
  </si>
  <si>
    <t>Business-type Activities:</t>
  </si>
  <si>
    <t>Capital assets not being depreciated:</t>
  </si>
  <si>
    <t>Goodwill</t>
  </si>
  <si>
    <t>CADDO PARISH POLICE JURY</t>
  </si>
  <si>
    <t>Balance December 31, 2014</t>
  </si>
  <si>
    <t>Prior Period Adjustment</t>
  </si>
  <si>
    <t>Reductions</t>
  </si>
  <si>
    <t>Balance December 31, 2015</t>
  </si>
  <si>
    <t>Land and land improvements</t>
  </si>
  <si>
    <t xml:space="preserve">Construction in progress </t>
  </si>
  <si>
    <t>Total capital assets not being depreciated</t>
  </si>
  <si>
    <t>Buildings and structures</t>
  </si>
  <si>
    <t>Equipment and vehicles</t>
  </si>
  <si>
    <t>Capital assets, net</t>
  </si>
  <si>
    <t>CALCASIEU PARISH POLICE JURY</t>
  </si>
  <si>
    <t>Land and Right of Ways</t>
  </si>
  <si>
    <t xml:space="preserve">Roads </t>
  </si>
  <si>
    <t xml:space="preserve">Machinery and Equipment </t>
  </si>
  <si>
    <t>Bridges ++</t>
  </si>
  <si>
    <t>Non-Building Improvements</t>
  </si>
  <si>
    <t>The numbers are wrong in the source audit</t>
  </si>
  <si>
    <t>Building and Improvements</t>
  </si>
  <si>
    <t>Machinery and Equipment</t>
  </si>
  <si>
    <t>CALDWELL PARISH POLICE JURY</t>
  </si>
  <si>
    <t>Land improvements</t>
  </si>
  <si>
    <t>Public works equipment</t>
  </si>
  <si>
    <t>Cameron PARISH POLICE JURY</t>
  </si>
  <si>
    <t>Building and improvements</t>
  </si>
  <si>
    <t>Books and videos</t>
  </si>
  <si>
    <t>Equipment and furniture</t>
  </si>
  <si>
    <t>Total  capital assets at historical costs</t>
  </si>
  <si>
    <t>Capital Assets being Depreciated</t>
  </si>
  <si>
    <t>Total Capital being Depreciated</t>
  </si>
  <si>
    <t>Accumulated Depreciation</t>
  </si>
  <si>
    <t>Total Accumulated Depreciation</t>
  </si>
  <si>
    <t xml:space="preserve">Less accumulated depreciation </t>
  </si>
  <si>
    <t>Total capital assets, net</t>
  </si>
  <si>
    <t>CATAHOULA PARISH POLICE JURY</t>
  </si>
  <si>
    <t>Adjustments</t>
  </si>
  <si>
    <t>Infrastructure-roads and bridges</t>
  </si>
  <si>
    <t>Buildings </t>
  </si>
  <si>
    <t>Improvements</t>
  </si>
  <si>
    <t xml:space="preserve">Equipment </t>
  </si>
  <si>
    <t xml:space="preserve">Heavy equipment </t>
  </si>
  <si>
    <t>Books and periodicals</t>
  </si>
  <si>
    <t>Infrastructure - roads and bridges</t>
  </si>
  <si>
    <t xml:space="preserve">Buildings </t>
  </si>
  <si>
    <t>CLAIBORNE PARISH POLICE JURY</t>
  </si>
  <si>
    <t>Police Jury</t>
  </si>
  <si>
    <t>Library</t>
  </si>
  <si>
    <t>Office of Community Service</t>
  </si>
  <si>
    <t>Adjudicated property</t>
  </si>
  <si>
    <t>Public works heavy equipment</t>
  </si>
  <si>
    <t>Public works other equipment</t>
  </si>
  <si>
    <t>Other furniture and equipment</t>
  </si>
  <si>
    <t>Office of Emergency Preparedness and Homeland Security:</t>
  </si>
  <si>
    <t xml:space="preserve">Office furniture and equipment </t>
  </si>
  <si>
    <t xml:space="preserve">Library </t>
  </si>
  <si>
    <t xml:space="preserve">Building and improvement </t>
  </si>
  <si>
    <t xml:space="preserve">Infrastructure </t>
  </si>
  <si>
    <t>Office of Emergency Preparedness and Homeland Security</t>
  </si>
  <si>
    <t>Office of Community services</t>
  </si>
  <si>
    <t>Concordia PARISH POLICE JURY</t>
  </si>
  <si>
    <t>Dispositions</t>
  </si>
  <si>
    <t>Balance 12/31/15</t>
  </si>
  <si>
    <t>missing Less Accumulated depreciation for each</t>
  </si>
  <si>
    <t xml:space="preserve">capital asset, only shows total accumulated </t>
  </si>
  <si>
    <t>depreciation</t>
  </si>
  <si>
    <t xml:space="preserve">Transportation equipment </t>
  </si>
  <si>
    <t>Roads and bridges</t>
  </si>
  <si>
    <t xml:space="preserve">Accumulated depreciation </t>
  </si>
  <si>
    <t xml:space="preserve"> </t>
  </si>
  <si>
    <t>DeSoto PARISH POLICE JURY</t>
  </si>
  <si>
    <t>Land improvements - structures</t>
  </si>
  <si>
    <t xml:space="preserve">Infrastructure  </t>
  </si>
  <si>
    <t>Sewer system</t>
  </si>
  <si>
    <t>Treatment plant</t>
  </si>
  <si>
    <t>Total capital assets - net</t>
  </si>
  <si>
    <t>East Baton Rouge PARISH POLICE JURY</t>
  </si>
  <si>
    <t>Balance 1/1/2015</t>
  </si>
  <si>
    <t xml:space="preserve">Increases </t>
  </si>
  <si>
    <t>Land and right-of-way</t>
  </si>
  <si>
    <t>Construction work in progress</t>
  </si>
  <si>
    <t>Improvements (other than buildings)</t>
  </si>
  <si>
    <t xml:space="preserve">and infrastructure </t>
  </si>
  <si>
    <t>Equipment and equipment under lease</t>
  </si>
  <si>
    <t>Noise mitigation</t>
  </si>
  <si>
    <t xml:space="preserve">Equipment  </t>
  </si>
  <si>
    <t>East Carroll PARISH POLICE JURY</t>
  </si>
  <si>
    <t>Governmental Activites</t>
  </si>
  <si>
    <t>Nondepreciable capital assets:</t>
  </si>
  <si>
    <t>Airport Land</t>
  </si>
  <si>
    <t>Depreciable capital assets</t>
  </si>
  <si>
    <t>Office equipment</t>
  </si>
  <si>
    <t>Furniture &amp; fixtures</t>
  </si>
  <si>
    <t>Construction equipment</t>
  </si>
  <si>
    <t>Books, periodicals &amp; law books</t>
  </si>
  <si>
    <t>Airport hangars</t>
  </si>
  <si>
    <t>Airport runway</t>
  </si>
  <si>
    <t>Road right-of-way</t>
  </si>
  <si>
    <t>Road surface</t>
  </si>
  <si>
    <t>EAST FELICIANA PARISH POLICE JURY</t>
  </si>
  <si>
    <t> For the Year Ended December 31, 2015</t>
  </si>
  <si>
    <t>Less: accumulated depreciation</t>
  </si>
  <si>
    <t>Net Buildings</t>
  </si>
  <si>
    <t>Equipment/Vehicles</t>
  </si>
  <si>
    <t>Net Equipment/vehicles</t>
  </si>
  <si>
    <t>Streets/Bridges</t>
  </si>
  <si>
    <t>Net Furniture and fixtures</t>
  </si>
  <si>
    <t>Capital assets, being depreciated, net</t>
  </si>
  <si>
    <t>Evangeline PARISH POLICE JURY</t>
  </si>
  <si>
    <t>Other capital assets:</t>
  </si>
  <si>
    <t>Total capital assets</t>
  </si>
  <si>
    <t>Sewer System</t>
  </si>
  <si>
    <t>Wrong on audit</t>
  </si>
  <si>
    <t>Franklin PARISH POLICE JURY</t>
  </si>
  <si>
    <t>Balance January 1,2015</t>
  </si>
  <si>
    <t xml:space="preserve">Balance December 31,2015 </t>
  </si>
  <si>
    <t>Construction in progess</t>
  </si>
  <si>
    <t>Assets under Capital Lease</t>
  </si>
  <si>
    <t>Infrastructure - roads</t>
  </si>
  <si>
    <t>Infrastructure - bridges</t>
  </si>
  <si>
    <t>Improvements other than buildings</t>
  </si>
  <si>
    <t>Other equipment</t>
  </si>
  <si>
    <t>Grant PARISH POLICE JURY</t>
  </si>
  <si>
    <t>Disposals</t>
  </si>
  <si>
    <t>Total</t>
  </si>
  <si>
    <t>Depreciable Capital Assets</t>
  </si>
  <si>
    <t>Furniture, fixtures and equipment</t>
  </si>
  <si>
    <t>Solid Waste Station</t>
  </si>
  <si>
    <t>Non Depreciable Capital Assets</t>
  </si>
  <si>
    <t>Distribution System</t>
  </si>
  <si>
    <t>Total assets being depreciated</t>
  </si>
  <si>
    <t>Iberia PARISH POLICE JURY</t>
  </si>
  <si>
    <t>Capital assets, being depreciated:</t>
  </si>
  <si>
    <t>Land Improvements</t>
  </si>
  <si>
    <t>IBERVILLE PARISH POLICE JURY</t>
  </si>
  <si>
    <t>Primary Government - Governmental Activities:</t>
  </si>
  <si>
    <t>Construction               in Progress</t>
  </si>
  <si>
    <t>Buildings and Improvement</t>
  </si>
  <si>
    <t>Furniture and Equipment</t>
  </si>
  <si>
    <t>Cost at December 31, 2013</t>
  </si>
  <si>
    <t>Reclassification</t>
  </si>
  <si>
    <t>Cost at December 31, 2014</t>
  </si>
  <si>
    <t xml:space="preserve">   </t>
  </si>
  <si>
    <t>Depreciation:</t>
  </si>
  <si>
    <t xml:space="preserve">Accumulated Depreciation </t>
  </si>
  <si>
    <t xml:space="preserve">     at December 31, 2013</t>
  </si>
  <si>
    <t xml:space="preserve"> - </t>
  </si>
  <si>
    <t xml:space="preserve">     at December 31, 2014</t>
  </si>
  <si>
    <t>Capital Assets net of</t>
  </si>
  <si>
    <t xml:space="preserve">     Accumulated Depreciation</t>
  </si>
  <si>
    <t>Primary Government - Business Type Activities:</t>
  </si>
  <si>
    <t>Transfer</t>
  </si>
  <si>
    <t xml:space="preserve">     at December 31, 2012</t>
  </si>
  <si>
    <t xml:space="preserve">Capital Assets net of </t>
  </si>
  <si>
    <t xml:space="preserve">     Accumulated Depreciation </t>
  </si>
  <si>
    <t xml:space="preserve">Cross Sectional </t>
  </si>
  <si>
    <t>Jackson PARISH POLICE JURY</t>
  </si>
  <si>
    <t>Ending balance</t>
  </si>
  <si>
    <t>Equipment/machinery/furniture</t>
  </si>
  <si>
    <t>Infrastructure/Roads</t>
  </si>
  <si>
    <t>Jefferson Davis PARISH POLICE JURY</t>
  </si>
  <si>
    <t xml:space="preserve">Maintenance equipment </t>
  </si>
  <si>
    <t xml:space="preserve">Machinery and equipment </t>
  </si>
  <si>
    <t xml:space="preserve">Sewer and sewer improvements </t>
  </si>
  <si>
    <t>Maintenance equipment</t>
  </si>
  <si>
    <t xml:space="preserve">Infrastrucuture </t>
  </si>
  <si>
    <t>Jefferson PARISH POLICE JURY</t>
  </si>
  <si>
    <t>Completed Construction</t>
  </si>
  <si>
    <t>Transfers (To) From Other Funds</t>
  </si>
  <si>
    <t xml:space="preserve">Machinery &amp; equipment </t>
  </si>
  <si>
    <t>Land and Land improvements</t>
  </si>
  <si>
    <t>Collection and distribution systems</t>
  </si>
  <si>
    <t>Plants</t>
  </si>
  <si>
    <t xml:space="preserve">Plant </t>
  </si>
  <si>
    <t xml:space="preserve">Machiney &amp; equipment </t>
  </si>
  <si>
    <t xml:space="preserve">Vehicles </t>
  </si>
  <si>
    <t>Total capital assets bring depreciated, net</t>
  </si>
  <si>
    <t>Lafayette PARISH POLICE JURY</t>
  </si>
  <si>
    <t>Balance 11/01/14</t>
  </si>
  <si>
    <t>Balance 10/31/15</t>
  </si>
  <si>
    <t>Governmental activities:</t>
  </si>
  <si>
    <t>Movables</t>
  </si>
  <si>
    <t>Moveables</t>
  </si>
  <si>
    <t>Electric plant</t>
  </si>
  <si>
    <t>Water plant</t>
  </si>
  <si>
    <t>Sewer plant</t>
  </si>
  <si>
    <t>Fiber optics</t>
  </si>
  <si>
    <t xml:space="preserve">Water plant </t>
  </si>
  <si>
    <t>Laforche PARISH POLICE JURY</t>
  </si>
  <si>
    <t>For the Year Ended December 31, 2014</t>
  </si>
  <si>
    <t>Deletions &amp; Adjustments</t>
  </si>
  <si>
    <t>Drainage &amp; Other Improvements</t>
  </si>
  <si>
    <t>Pumps &amp; Sewage</t>
  </si>
  <si>
    <t>Equipment &amp; Furniture</t>
  </si>
  <si>
    <t>Vehicles &amp; Equipment</t>
  </si>
  <si>
    <t>Total Cost of Capital Assets</t>
  </si>
  <si>
    <t>Net Depreciable Capital Assets</t>
  </si>
  <si>
    <t>Net Capital Assets</t>
  </si>
  <si>
    <t>Number wrong in audit</t>
  </si>
  <si>
    <t>LaSalle  PARISH POLICE JURY</t>
  </si>
  <si>
    <t>Balance December 31,2015</t>
  </si>
  <si>
    <t xml:space="preserve">Police Jury: </t>
  </si>
  <si>
    <t>Total police jury capital assets</t>
  </si>
  <si>
    <t>Library:</t>
  </si>
  <si>
    <t xml:space="preserve">Land  </t>
  </si>
  <si>
    <t>Capital assets not being depreciated:</t>
  </si>
  <si>
    <t>Books</t>
  </si>
  <si>
    <t>Furniture</t>
  </si>
  <si>
    <t>Total library assets being depreciated</t>
  </si>
  <si>
    <t>Total library capital assets</t>
  </si>
  <si>
    <t xml:space="preserve">Total capital assets bring depreciated </t>
  </si>
  <si>
    <t xml:space="preserve">Total capital assets  </t>
  </si>
  <si>
    <t>Total capital assets being depreciated (net)</t>
  </si>
  <si>
    <t>LINCOLN PARISH POLICE JURY</t>
  </si>
  <si>
    <t>Capital Assets</t>
    <phoneticPr fontId="13" type="noConversion"/>
  </si>
  <si>
    <t>2014 Balance</t>
  </si>
  <si>
    <t xml:space="preserve">Additions </t>
    <phoneticPr fontId="13" type="noConversion"/>
  </si>
  <si>
    <t>2015 Balance</t>
  </si>
  <si>
    <t>Cross sectional</t>
  </si>
  <si>
    <t>Non-Depreciable Assets:</t>
  </si>
  <si>
    <t>Infrastructure -CIP</t>
  </si>
  <si>
    <t>Depreciable Assets</t>
  </si>
  <si>
    <t>Furniture and Fixtures</t>
  </si>
  <si>
    <t>Total capital assets, being depreciated</t>
  </si>
  <si>
    <t>Less: Accumulated Depreciation:</t>
  </si>
  <si>
    <t>Machinery and equipment</t>
    <phoneticPr fontId="13" type="noConversion"/>
  </si>
  <si>
    <t>Total Capital Assets</t>
  </si>
  <si>
    <t>LIVINGSTON PARISH POLICE JURY</t>
  </si>
  <si>
    <t>Balance January 1, 2015</t>
  </si>
  <si>
    <t>Governmental Activities</t>
  </si>
  <si>
    <t>Capital Assets Not Being Depreciated</t>
  </si>
  <si>
    <t>Total Capital assets not being depreciated</t>
  </si>
  <si>
    <t>Capital Assets Being Depreciated</t>
  </si>
  <si>
    <t>Recreational Facilities</t>
  </si>
  <si>
    <t>Total Capital Assets Being Depreciated</t>
  </si>
  <si>
    <t>Total Capital Assets Being Depreciated, Net</t>
  </si>
  <si>
    <t>Capital Assets, net</t>
  </si>
  <si>
    <t>Business-Type activities</t>
  </si>
  <si>
    <t>Utility system</t>
  </si>
  <si>
    <t>Total Capital Assets being Depreciated</t>
  </si>
  <si>
    <t>Utility System</t>
  </si>
  <si>
    <t>Total depreciable capital assets, net</t>
  </si>
  <si>
    <t>MADISON PARISH POLICE JURY</t>
  </si>
  <si>
    <t>Balance Beginning</t>
  </si>
  <si>
    <t>Balance Ending</t>
  </si>
  <si>
    <t>Not subject to depreciation</t>
  </si>
  <si>
    <t>Quebec road</t>
  </si>
  <si>
    <t>Subject to depreciation:</t>
  </si>
  <si>
    <t>Health unit</t>
  </si>
  <si>
    <t xml:space="preserve">Total </t>
  </si>
  <si>
    <t>Less accumulated depreciation</t>
  </si>
  <si>
    <t>MOREHOUSE PARISH POLICE JURY</t>
    <phoneticPr fontId="13" type="noConversion"/>
  </si>
  <si>
    <t xml:space="preserve">Deletions </t>
    <phoneticPr fontId="13" type="noConversion"/>
  </si>
  <si>
    <t>Balance December, 31, 2015</t>
  </si>
  <si>
    <t>Governmental activities</t>
  </si>
  <si>
    <t>Not subject to depreciation:</t>
  </si>
  <si>
    <t>Quebec Road</t>
  </si>
  <si>
    <t>Health Unit</t>
  </si>
  <si>
    <t>Buildings and improvements</t>
    <phoneticPr fontId="13" type="noConversion"/>
  </si>
  <si>
    <t>only the totals don’t match source</t>
  </si>
  <si>
    <t>NATCHITOCHES PARISH POLICE JURY</t>
  </si>
  <si>
    <t>General Fund:</t>
  </si>
  <si>
    <t>Capital assets; not depreciated</t>
  </si>
  <si>
    <t>CIP</t>
  </si>
  <si>
    <t>Capital assets; depreciated</t>
  </si>
  <si>
    <t>Building</t>
  </si>
  <si>
    <t xml:space="preserve">Office Equipment </t>
  </si>
  <si>
    <t>Other Equipment</t>
  </si>
  <si>
    <t>Total assets</t>
  </si>
  <si>
    <t>Accumulated depreciation:</t>
  </si>
  <si>
    <t>Office Equipment</t>
  </si>
  <si>
    <t>Civil Defense</t>
  </si>
  <si>
    <t>Capital assets; depreciated-</t>
  </si>
  <si>
    <t>Criminal Court/DA</t>
  </si>
  <si>
    <t>Capital Assets; depreciated</t>
  </si>
  <si>
    <t>Government Building:</t>
  </si>
  <si>
    <t>Head Start</t>
  </si>
  <si>
    <t>LIHEAP</t>
  </si>
  <si>
    <t>Rural Transit:</t>
  </si>
  <si>
    <t>Books, Recordings, etc.</t>
  </si>
  <si>
    <t>Road Maintenance:</t>
  </si>
  <si>
    <t>Capital Assets; not depreciated</t>
  </si>
  <si>
    <t>Number wrong on source audit</t>
  </si>
  <si>
    <t>wrong numbers in source</t>
  </si>
  <si>
    <t>Total Capital Assets, net</t>
  </si>
  <si>
    <t>ORLEANS PARISH POLICE JURY</t>
    <phoneticPr fontId="13" type="noConversion"/>
  </si>
  <si>
    <t>Transfers</t>
    <phoneticPr fontId="13" type="noConversion"/>
  </si>
  <si>
    <t>Nondepreciable capital assets</t>
  </si>
  <si>
    <t>Total nondepreciable capital assets</t>
  </si>
  <si>
    <t>Infrastructure</t>
    <phoneticPr fontId="13" type="noConversion"/>
  </si>
  <si>
    <t>Buildings and Improvements</t>
    <phoneticPr fontId="13" type="noConversion"/>
  </si>
  <si>
    <t>Equipment and vehicles</t>
    <phoneticPr fontId="13" type="noConversion"/>
  </si>
  <si>
    <t>Other</t>
    <phoneticPr fontId="13" type="noConversion"/>
  </si>
  <si>
    <t>Total depreciable capital assets</t>
  </si>
  <si>
    <t xml:space="preserve">Total </t>
    <phoneticPr fontId="13" type="noConversion"/>
  </si>
  <si>
    <t>OUACHITA PARISH POLICE JURY</t>
  </si>
  <si>
    <t>Additions and Transfers</t>
  </si>
  <si>
    <t>Deletions and Transfers</t>
  </si>
  <si>
    <t>Capital assets, not being depreciated</t>
  </si>
  <si>
    <t>Total Capital assets, not being depreciated</t>
  </si>
  <si>
    <t>Capital assets being depreciated</t>
  </si>
  <si>
    <t>Infrastructure:</t>
  </si>
  <si>
    <t>Drainage</t>
  </si>
  <si>
    <t>Total capital assets before being accumulated depreciated</t>
  </si>
  <si>
    <t>PLAQUEMINES PARISH POLICE JURY</t>
    <phoneticPr fontId="13" type="noConversion"/>
  </si>
  <si>
    <t>Deductions</t>
  </si>
  <si>
    <t>Governmental-Type Activities:</t>
  </si>
  <si>
    <t>Construction in progress</t>
    <phoneticPr fontId="13" type="noConversion"/>
  </si>
  <si>
    <t>Construction in progress-FEMA Projects</t>
    <phoneticPr fontId="13" type="noConversion"/>
  </si>
  <si>
    <t>Total capital assets not being depreciated</t>
    <phoneticPr fontId="13" type="noConversion"/>
  </si>
  <si>
    <r>
      <t>Buildings</t>
    </r>
    <r>
      <rPr>
        <sz val="14"/>
        <color indexed="8"/>
        <rFont val="Calibri"/>
        <family val="2"/>
      </rPr>
      <t xml:space="preserve"> and improvements</t>
    </r>
  </si>
  <si>
    <t>Total Capital Assets, being depreciated, net</t>
  </si>
  <si>
    <t>Governmental Activities, net</t>
  </si>
  <si>
    <t>Construction in Progress</t>
  </si>
  <si>
    <t>Less accumulated depreciation for</t>
  </si>
  <si>
    <t>Business-type activities, net</t>
  </si>
  <si>
    <t>POINTE COUPEE PARISH POLICE JURY</t>
  </si>
  <si>
    <t>Construction in progress</t>
    <phoneticPr fontId="14" type="noConversion"/>
  </si>
  <si>
    <t>Total capital assets not being depreciated</t>
    <phoneticPr fontId="14" type="noConversion"/>
  </si>
  <si>
    <t>Library collection</t>
  </si>
  <si>
    <t>Equipment, furnishings, and vehicles</t>
  </si>
  <si>
    <t>Governmental Activities capital assets, net</t>
  </si>
  <si>
    <t>Utility systems and related equipment</t>
  </si>
  <si>
    <t>RAPIDES PARISH POLICE JURY</t>
  </si>
  <si>
    <t>Beginning balance</t>
  </si>
  <si>
    <t>Ending balance, net</t>
  </si>
  <si>
    <t>RED RIVER PARISH POLICE JURY</t>
  </si>
  <si>
    <t>Balance at December 31, 2014</t>
  </si>
  <si>
    <t>Retirements</t>
  </si>
  <si>
    <t>Balance at December 31, 2015</t>
  </si>
  <si>
    <t>Buildings and building improvements</t>
  </si>
  <si>
    <t>Total buildings and building improvements</t>
  </si>
  <si>
    <t>Streets, parking lots and other improvements</t>
  </si>
  <si>
    <t>Total streets, parking lots and other improvements</t>
  </si>
  <si>
    <t>Furniture, equipment, and vehicles</t>
  </si>
  <si>
    <t>Total furniture, equipment, and vehicles</t>
  </si>
  <si>
    <t>Library books and information materials</t>
  </si>
  <si>
    <t>Total library books and information materials</t>
  </si>
  <si>
    <t>Governmental activities total capital assets, net</t>
  </si>
  <si>
    <t>Business-type Activities</t>
  </si>
  <si>
    <t>Contstruction in progress</t>
  </si>
  <si>
    <t>Capital assets, being depreciated</t>
  </si>
  <si>
    <t>Less accumulated depreciated</t>
  </si>
  <si>
    <t>Total Sewer system</t>
  </si>
  <si>
    <t>Business-type activities</t>
  </si>
  <si>
    <t>Primary government</t>
  </si>
  <si>
    <t>RICHLAND PARISH POLICE JURY</t>
  </si>
  <si>
    <t>Beginning, January 1, 2015</t>
  </si>
  <si>
    <t>Balance- Deceomber 31, 2015</t>
  </si>
  <si>
    <t>Total Capital Assets, being depreciated</t>
  </si>
  <si>
    <t>SABINE PARISH POLICE JURY</t>
  </si>
  <si>
    <r>
      <t>I</t>
    </r>
    <r>
      <rPr>
        <sz val="14"/>
        <color indexed="8"/>
        <rFont val="Calibri"/>
        <family val="2"/>
      </rPr>
      <t>nfrastructure</t>
    </r>
  </si>
  <si>
    <t>Depreciation</t>
  </si>
  <si>
    <t>Net capital assets</t>
  </si>
  <si>
    <t>ST. BERNARD PARISH POLICE JURY</t>
  </si>
  <si>
    <t>Deletions and adjustments</t>
  </si>
  <si>
    <t>Furniture, fixtures, and equipment</t>
  </si>
  <si>
    <t>Road system</t>
  </si>
  <si>
    <t>Missing in source audit</t>
  </si>
  <si>
    <t>Total governmental activities capital assets, net</t>
  </si>
  <si>
    <t>Total business-type activities capital assets, net</t>
  </si>
  <si>
    <t>ST. CHARLES PARISH</t>
  </si>
  <si>
    <t xml:space="preserve">Buildings and improvements </t>
  </si>
  <si>
    <t>Total business type  activities capital assets, net</t>
  </si>
  <si>
    <t>ST. HELENA PARISH POLICE JURY</t>
  </si>
  <si>
    <t>Governmental Activities Capital Assets:</t>
  </si>
  <si>
    <t>Machinery and Improvements</t>
  </si>
  <si>
    <t>Total Governmental activities capital assets, net</t>
  </si>
  <si>
    <t>ST. JAMES PARISH POLICE JURY</t>
  </si>
  <si>
    <t>Total capital assets, being depreciated, net</t>
  </si>
  <si>
    <t>Business-type activities:</t>
  </si>
  <si>
    <t>Gas distribution system</t>
  </si>
  <si>
    <t>Water distribution system</t>
  </si>
  <si>
    <t>Office furniture, fixtures, and equipment</t>
  </si>
  <si>
    <t>Transportation equipment</t>
  </si>
  <si>
    <t>Total capital assets, being depcreciated</t>
  </si>
  <si>
    <t>ST. JOHN THE BAPTIST PARISH POLICE JURY</t>
  </si>
  <si>
    <t>Decmber 31, 2015</t>
  </si>
  <si>
    <t>Drainage system</t>
  </si>
  <si>
    <t>Systems-water and sewer</t>
  </si>
  <si>
    <r>
      <t>Buildings</t>
    </r>
    <r>
      <rPr>
        <sz val="14"/>
        <color indexed="8"/>
        <rFont val="Calibri"/>
        <family val="2"/>
      </rPr>
      <t xml:space="preserve"> and building improvements</t>
    </r>
  </si>
  <si>
    <t>ST. LANDRY PARISH POLICE JURY</t>
  </si>
  <si>
    <t>Construction in progress- infrastructure</t>
  </si>
  <si>
    <t>Total Capital Assets being depreciated, net</t>
  </si>
  <si>
    <t>ST. MARTIN PARISH POLICE JURY</t>
  </si>
  <si>
    <t>Acquisitions</t>
  </si>
  <si>
    <t>ST. TAMMANY PARISH POLICE JURY</t>
  </si>
  <si>
    <t>Other capital assets, net</t>
  </si>
  <si>
    <t>Governmental capital assets, net</t>
  </si>
  <si>
    <t xml:space="preserve">Business-type Activities </t>
  </si>
  <si>
    <t>Other capital asets:</t>
  </si>
  <si>
    <t>Re-classes</t>
  </si>
  <si>
    <t>Land improvements-non-exhaustible</t>
  </si>
  <si>
    <t>Land Improvements-non-exhaustible</t>
  </si>
  <si>
    <t>Building improvements</t>
  </si>
  <si>
    <t>Water and sewer systems</t>
  </si>
  <si>
    <t>Office/other equipment</t>
  </si>
  <si>
    <t>Other</t>
  </si>
  <si>
    <t>Internal Service Fund</t>
  </si>
  <si>
    <t>Building Improvements</t>
  </si>
  <si>
    <t>Office/Other Equipment</t>
  </si>
  <si>
    <t>Toal accumulated depreciation</t>
  </si>
  <si>
    <t>Total Capital Assets Internal Service Funds, net</t>
  </si>
  <si>
    <t>Total Capital Assets Governmental Activities, net</t>
  </si>
  <si>
    <t xml:space="preserve">Land Improvements </t>
  </si>
  <si>
    <t>Sewer equipment, lines and pumps</t>
  </si>
  <si>
    <t>Water equipment, lines and wells</t>
  </si>
  <si>
    <t>Total capital assets business-type activities, net</t>
  </si>
  <si>
    <t>Total capital assets- primary government, net</t>
  </si>
  <si>
    <t>TANGIPAHOA PARISH POLICE JURY</t>
  </si>
  <si>
    <t>Increase</t>
  </si>
  <si>
    <t>Infrastructure (Land and Base)</t>
  </si>
  <si>
    <t>Total Governmental activities, capital assets, net</t>
  </si>
  <si>
    <t>TENSAS PARISH POLICE JURY</t>
  </si>
  <si>
    <t>Balance, beginning</t>
  </si>
  <si>
    <t>Balance, ending</t>
  </si>
  <si>
    <t>Governmental activities, capital assets, net</t>
  </si>
  <si>
    <t>TERREBONNE PARISH POLICE JURY</t>
  </si>
  <si>
    <t>Balance 01/01/15</t>
  </si>
  <si>
    <t>Adjustments and Deletions</t>
  </si>
  <si>
    <t>Electric system and buildings</t>
  </si>
  <si>
    <t>Gas distributions system and buildings</t>
  </si>
  <si>
    <t>Sewer system and buildings</t>
  </si>
  <si>
    <t>Sanitation and buildings</t>
  </si>
  <si>
    <t>Civic center buildings and equipment</t>
  </si>
  <si>
    <t xml:space="preserve">Sanitation  </t>
  </si>
  <si>
    <t>UNION PARISH POLICE JURY</t>
  </si>
  <si>
    <t>Other improvements</t>
  </si>
  <si>
    <t>Fire, sewer and water system improvements</t>
  </si>
  <si>
    <t>Vehicle</t>
  </si>
  <si>
    <t>VERMILLION PARISH POLICE JURY</t>
  </si>
  <si>
    <t xml:space="preserve"> Balance 01/01/15</t>
  </si>
  <si>
    <t xml:space="preserve"> Balance 12/31/15</t>
  </si>
  <si>
    <t>Police Jury:</t>
  </si>
  <si>
    <t>Road surfaces</t>
  </si>
  <si>
    <t>Bridges and drainage improvements</t>
  </si>
  <si>
    <t>VERNON PARISH POLICE JURY</t>
  </si>
  <si>
    <t>Library Book Collections</t>
  </si>
  <si>
    <t>WEBSTER PARISH POLICE JURY</t>
  </si>
  <si>
    <t xml:space="preserve">Other capital assets </t>
  </si>
  <si>
    <t>Asphalt roads</t>
  </si>
  <si>
    <t>3-shot roads</t>
  </si>
  <si>
    <t>Bridges and culverts</t>
  </si>
  <si>
    <t>Total Capital Assets being depreciated</t>
  </si>
  <si>
    <t xml:space="preserve">Property, plant &amp; equipment </t>
  </si>
  <si>
    <t>Balance at Ending</t>
  </si>
  <si>
    <t>WEST BATON ROUGE PARISH POLICE JURY</t>
  </si>
  <si>
    <t>West Carroll PARISH POLICE JURY</t>
  </si>
  <si>
    <t>Assets under capital lease</t>
  </si>
  <si>
    <t>Capital assets not being depreciated</t>
  </si>
  <si>
    <t>West Feliciana Parish Government</t>
  </si>
  <si>
    <t>Balance 06/30/2014</t>
  </si>
  <si>
    <t xml:space="preserve"> Balance 06/30/2015</t>
  </si>
  <si>
    <t>Cost</t>
  </si>
  <si>
    <t>Depreciable</t>
  </si>
  <si>
    <t xml:space="preserve">Library collection </t>
  </si>
  <si>
    <t>Net capital assets being depreciated</t>
  </si>
  <si>
    <t>Depreciated</t>
  </si>
  <si>
    <t>Utility systems</t>
  </si>
  <si>
    <t>Winn PARISH POLICE JURY</t>
  </si>
  <si>
    <t>Buildings and improvements</t>
  </si>
  <si>
    <t>Vehicles and trucks</t>
  </si>
  <si>
    <t>Office furniture</t>
  </si>
  <si>
    <t>Library books</t>
  </si>
  <si>
    <t>Work-in-progress</t>
  </si>
  <si>
    <t>Louisiana Counties</t>
  </si>
  <si>
    <t>2014 Capital Assets, Net of Accumulated Depreciation</t>
  </si>
  <si>
    <t>Business-Type Activities</t>
  </si>
  <si>
    <t>Grand Total</t>
  </si>
  <si>
    <t>(Governmental + Business)</t>
  </si>
  <si>
    <t>Other non-depreciable</t>
  </si>
  <si>
    <t xml:space="preserve"> Buildings and improvements</t>
  </si>
  <si>
    <t>Other depreciable</t>
  </si>
  <si>
    <t>Leased Property Under Capital Leases</t>
  </si>
  <si>
    <t>Total (Net)</t>
  </si>
  <si>
    <t>Check</t>
  </si>
  <si>
    <t>Okay?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</si>
  <si>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</si>
  <si>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</si>
  <si>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</si>
  <si>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</si>
  <si>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</si>
  <si>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</si>
  <si>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</si>
  <si>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</si>
  <si>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</si>
  <si>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</si>
  <si>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</si>
  <si>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</si>
  <si>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</si>
  <si>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</si>
  <si>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</si>
  <si>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</si>
  <si>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</si>
  <si>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</si>
  <si>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</si>
  <si>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</si>
  <si>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</si>
  <si>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</si>
  <si>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</si>
  <si>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</si>
  <si>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</si>
  <si>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</si>
  <si>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</si>
  <si>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</si>
  <si>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</si>
  <si>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</si>
  <si>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</si>
  <si>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</si>
  <si>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</si>
  <si>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</si>
  <si>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</si>
  <si>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</si>
  <si>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</si>
  <si>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</si>
  <si>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</si>
  <si>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</si>
  <si>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</si>
  <si>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</si>
  <si>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</si>
  <si>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</si>
  <si>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</si>
  <si>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</si>
  <si>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</si>
  <si>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</si>
  <si>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</si>
  <si>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</si>
  <si>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</si>
  <si>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</si>
  <si>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</si>
  <si>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</si>
  <si>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</si>
  <si>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</si>
  <si>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Vermillion</t>
  </si>
  <si>
    <t>Vernon</t>
  </si>
  <si>
    <t>Washington</t>
  </si>
  <si>
    <t>Webster</t>
  </si>
  <si>
    <t>West Baton Rouge</t>
  </si>
  <si>
    <t>West Carroll</t>
  </si>
  <si>
    <t>West Feliciana</t>
  </si>
  <si>
    <t>Winn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</si>
</sst>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indexed="8"/>
      <name val="Calibri"/>
      <family val="2"/>
    </font>
    <font>
      <u/>
      <sz val="14"/>
      <color indexed="8"/>
      <name val="Calibri"/>
      <family val="2"/>
    </font>
    <font>
      <b/>
      <u/>
      <sz val="14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indexed="8"/>
      <name val="Calibri"/>
      <family val="2"/>
    </font>
    <font>
      <b/>
      <i/>
      <u/>
      <sz val="14"/>
      <color indexed="8"/>
      <name val="Calibri"/>
      <family val="2"/>
    </font>
    <font>
      <b/>
      <i/>
      <sz val="14"/>
      <color indexed="8"/>
      <name val="Calibri"/>
      <family val="2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4"/>
      <color rgb="FF00B0F0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3">
    <xf numFmtId="0" fontId="0" fillId="0" borderId="0" xfId="0"/>
    <xf numFmtId="0" fontId="2" fillId="0" borderId="0" xfId="0" applyFont="1"/>
    <xf numFmtId="0" fontId="5" fillId="0" borderId="0" xfId="0" applyFont="1"/>
    <xf numFmtId="41" fontId="5" fillId="0" borderId="0" xfId="0" applyNumberFormat="1" applyFont="1"/>
    <xf numFmtId="41" fontId="2" fillId="0" borderId="0" xfId="0" applyNumberFormat="1" applyFont="1" applyAlignment="1">
      <alignment horizontal="center"/>
    </xf>
    <xf numFmtId="41" fontId="6" fillId="0" borderId="0" xfId="0" applyNumberFormat="1" applyFont="1" applyAlignment="1">
      <alignment horizontal="center" wrapText="1"/>
    </xf>
    <xf numFmtId="41" fontId="5" fillId="0" borderId="1" xfId="0" applyNumberFormat="1" applyFont="1" applyBorder="1"/>
    <xf numFmtId="41" fontId="2" fillId="0" borderId="1" xfId="1" applyNumberFormat="1" applyFont="1" applyFill="1" applyBorder="1"/>
    <xf numFmtId="41" fontId="2" fillId="0" borderId="1" xfId="0" applyNumberFormat="1" applyFont="1" applyBorder="1"/>
    <xf numFmtId="41" fontId="2" fillId="0" borderId="5" xfId="0" applyNumberFormat="1" applyFont="1" applyBorder="1"/>
    <xf numFmtId="41" fontId="2" fillId="0" borderId="2" xfId="1" applyNumberFormat="1" applyFont="1" applyFill="1" applyBorder="1"/>
    <xf numFmtId="41" fontId="2" fillId="0" borderId="1" xfId="0" applyNumberFormat="1" applyFont="1" applyBorder="1" applyAlignment="1">
      <alignment horizontal="center" wrapText="1"/>
    </xf>
    <xf numFmtId="41" fontId="2" fillId="0" borderId="2" xfId="0" applyNumberFormat="1" applyFont="1" applyBorder="1"/>
    <xf numFmtId="41" fontId="2" fillId="0" borderId="3" xfId="0" applyNumberFormat="1" applyFont="1" applyBorder="1"/>
    <xf numFmtId="41" fontId="2" fillId="0" borderId="4" xfId="0" applyNumberFormat="1" applyFont="1" applyBorder="1"/>
    <xf numFmtId="41" fontId="2" fillId="0" borderId="0" xfId="0" applyNumberFormat="1" applyFont="1"/>
    <xf numFmtId="41" fontId="5" fillId="0" borderId="0" xfId="0" applyNumberFormat="1" applyFont="1" applyAlignment="1">
      <alignment horizontal="center" wrapText="1"/>
    </xf>
    <xf numFmtId="37" fontId="8" fillId="0" borderId="0" xfId="0" applyNumberFormat="1" applyFont="1"/>
    <xf numFmtId="37" fontId="0" fillId="0" borderId="0" xfId="0" applyNumberFormat="1"/>
    <xf numFmtId="37" fontId="8" fillId="0" borderId="0" xfId="0" applyNumberFormat="1" applyFont="1" applyAlignment="1">
      <alignment horizontal="center"/>
    </xf>
    <xf numFmtId="37" fontId="8" fillId="0" borderId="6" xfId="0" applyNumberFormat="1" applyFont="1" applyBorder="1"/>
    <xf numFmtId="37" fontId="0" fillId="0" borderId="2" xfId="0" applyNumberFormat="1" applyBorder="1"/>
    <xf numFmtId="37" fontId="8" fillId="0" borderId="2" xfId="0" applyNumberFormat="1" applyFont="1" applyBorder="1" applyAlignment="1">
      <alignment horizontal="center"/>
    </xf>
    <xf numFmtId="37" fontId="0" fillId="0" borderId="7" xfId="0" applyNumberFormat="1" applyBorder="1"/>
    <xf numFmtId="37" fontId="0" fillId="0" borderId="0" xfId="0" applyNumberFormat="1" applyAlignment="1">
      <alignment wrapText="1"/>
    </xf>
    <xf numFmtId="37" fontId="0" fillId="0" borderId="0" xfId="0" applyNumberFormat="1" applyAlignment="1">
      <alignment horizontal="right" wrapText="1"/>
    </xf>
    <xf numFmtId="37" fontId="0" fillId="0" borderId="0" xfId="1" applyNumberFormat="1" applyFont="1" applyFill="1"/>
    <xf numFmtId="37" fontId="9" fillId="0" borderId="0" xfId="0" applyNumberFormat="1" applyFont="1"/>
    <xf numFmtId="37" fontId="0" fillId="0" borderId="0" xfId="1" applyNumberFormat="1" applyFont="1"/>
    <xf numFmtId="41" fontId="5" fillId="0" borderId="3" xfId="0" applyNumberFormat="1" applyFont="1" applyBorder="1"/>
    <xf numFmtId="41" fontId="2" fillId="0" borderId="3" xfId="1" applyNumberFormat="1" applyFont="1" applyFill="1" applyBorder="1"/>
    <xf numFmtId="41" fontId="2" fillId="0" borderId="0" xfId="1" applyNumberFormat="1" applyFont="1" applyFill="1" applyBorder="1"/>
    <xf numFmtId="164" fontId="5" fillId="0" borderId="0" xfId="0" applyNumberFormat="1" applyFont="1"/>
    <xf numFmtId="0" fontId="10" fillId="0" borderId="0" xfId="0" applyFont="1"/>
    <xf numFmtId="41" fontId="10" fillId="0" borderId="0" xfId="0" applyNumberFormat="1" applyFont="1"/>
    <xf numFmtId="164" fontId="10" fillId="0" borderId="0" xfId="0" applyNumberFormat="1" applyFont="1"/>
    <xf numFmtId="41" fontId="10" fillId="0" borderId="1" xfId="0" applyNumberFormat="1" applyFont="1" applyBorder="1"/>
    <xf numFmtId="0" fontId="8" fillId="0" borderId="0" xfId="0" applyFont="1"/>
    <xf numFmtId="3" fontId="5" fillId="0" borderId="0" xfId="0" applyNumberFormat="1" applyFont="1"/>
    <xf numFmtId="0" fontId="10" fillId="0" borderId="3" xfId="0" applyFont="1" applyBorder="1"/>
    <xf numFmtId="41" fontId="11" fillId="0" borderId="1" xfId="0" applyNumberFormat="1" applyFont="1" applyBorder="1"/>
    <xf numFmtId="43" fontId="10" fillId="0" borderId="0" xfId="0" applyNumberFormat="1" applyFont="1"/>
    <xf numFmtId="43" fontId="11" fillId="0" borderId="0" xfId="0" applyNumberFormat="1" applyFont="1" applyAlignment="1">
      <alignment horizontal="center"/>
    </xf>
    <xf numFmtId="43" fontId="11" fillId="0" borderId="0" xfId="0" applyNumberFormat="1" applyFont="1" applyAlignment="1">
      <alignment horizontal="center" vertical="center"/>
    </xf>
    <xf numFmtId="43" fontId="11" fillId="0" borderId="0" xfId="0" applyNumberFormat="1" applyFont="1"/>
    <xf numFmtId="43" fontId="11" fillId="0" borderId="3" xfId="0" applyNumberFormat="1" applyFont="1" applyBorder="1"/>
    <xf numFmtId="43" fontId="10" fillId="0" borderId="3" xfId="0" applyNumberFormat="1" applyFont="1" applyBorder="1"/>
    <xf numFmtId="43" fontId="10" fillId="0" borderId="3" xfId="0" applyNumberFormat="1" applyFont="1" applyBorder="1" applyAlignment="1">
      <alignment horizontal="center"/>
    </xf>
    <xf numFmtId="3" fontId="10" fillId="0" borderId="0" xfId="0" applyNumberFormat="1" applyFont="1"/>
    <xf numFmtId="0" fontId="11" fillId="0" borderId="0" xfId="0" applyFont="1"/>
    <xf numFmtId="3" fontId="0" fillId="0" borderId="0" xfId="0" applyNumberFormat="1"/>
    <xf numFmtId="3" fontId="0" fillId="0" borderId="2" xfId="0" applyNumberFormat="1" applyBorder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5" fontId="8" fillId="0" borderId="0" xfId="0" applyNumberFormat="1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8" fillId="0" borderId="2" xfId="0" applyNumberFormat="1" applyFont="1" applyBorder="1"/>
    <xf numFmtId="41" fontId="5" fillId="2" borderId="0" xfId="0" applyNumberFormat="1" applyFont="1" applyFill="1"/>
    <xf numFmtId="41" fontId="2" fillId="3" borderId="3" xfId="0" applyNumberFormat="1" applyFont="1" applyFill="1" applyBorder="1"/>
    <xf numFmtId="41" fontId="5" fillId="0" borderId="2" xfId="0" applyNumberFormat="1" applyFont="1" applyBorder="1"/>
    <xf numFmtId="41" fontId="0" fillId="0" borderId="0" xfId="0" applyNumberFormat="1"/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3" fontId="5" fillId="0" borderId="1" xfId="0" applyNumberFormat="1" applyFont="1" applyBorder="1"/>
    <xf numFmtId="0" fontId="5" fillId="0" borderId="1" xfId="0" applyFont="1" applyBorder="1"/>
    <xf numFmtId="0" fontId="2" fillId="0" borderId="2" xfId="0" applyFont="1" applyBorder="1"/>
    <xf numFmtId="3" fontId="2" fillId="0" borderId="2" xfId="0" applyNumberFormat="1" applyFont="1" applyBorder="1"/>
    <xf numFmtId="3" fontId="11" fillId="0" borderId="1" xfId="0" applyNumberFormat="1" applyFont="1" applyBorder="1"/>
    <xf numFmtId="0" fontId="6" fillId="0" borderId="0" xfId="0" applyFont="1" applyAlignment="1">
      <alignment horizontal="center" wrapText="1"/>
    </xf>
    <xf numFmtId="3" fontId="2" fillId="0" borderId="2" xfId="1" applyNumberFormat="1" applyFont="1" applyFill="1" applyBorder="1"/>
    <xf numFmtId="3" fontId="2" fillId="0" borderId="0" xfId="1" applyNumberFormat="1" applyFont="1" applyFill="1" applyBorder="1"/>
    <xf numFmtId="3" fontId="2" fillId="0" borderId="4" xfId="0" applyNumberFormat="1" applyFont="1" applyBorder="1"/>
    <xf numFmtId="3" fontId="2" fillId="0" borderId="3" xfId="1" applyNumberFormat="1" applyFont="1" applyFill="1" applyBorder="1"/>
    <xf numFmtId="3" fontId="2" fillId="0" borderId="3" xfId="0" applyNumberFormat="1" applyFont="1" applyBorder="1"/>
    <xf numFmtId="3" fontId="2" fillId="0" borderId="0" xfId="0" applyNumberFormat="1" applyFont="1"/>
    <xf numFmtId="3" fontId="11" fillId="0" borderId="0" xfId="0" applyNumberFormat="1" applyFont="1"/>
    <xf numFmtId="3" fontId="11" fillId="0" borderId="2" xfId="0" applyNumberFormat="1" applyFont="1" applyBorder="1"/>
    <xf numFmtId="3" fontId="11" fillId="0" borderId="8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14" fillId="0" borderId="0" xfId="0" applyFont="1"/>
    <xf numFmtId="0" fontId="15" fillId="0" borderId="0" xfId="0" applyFont="1" applyAlignment="1">
      <alignment horizontal="center"/>
    </xf>
    <xf numFmtId="3" fontId="10" fillId="0" borderId="1" xfId="0" applyNumberFormat="1" applyFont="1" applyBorder="1"/>
    <xf numFmtId="41" fontId="7" fillId="0" borderId="1" xfId="0" applyNumberFormat="1" applyFont="1" applyBorder="1" applyAlignment="1">
      <alignment wrapText="1"/>
    </xf>
    <xf numFmtId="15" fontId="7" fillId="0" borderId="0" xfId="0" applyNumberFormat="1" applyFont="1" applyAlignment="1">
      <alignment horizontal="center" wrapText="1"/>
    </xf>
    <xf numFmtId="0" fontId="16" fillId="0" borderId="0" xfId="0" applyFont="1"/>
    <xf numFmtId="0" fontId="11" fillId="0" borderId="2" xfId="0" applyFont="1" applyBorder="1"/>
    <xf numFmtId="3" fontId="11" fillId="0" borderId="4" xfId="0" applyNumberFormat="1" applyFont="1" applyBorder="1"/>
    <xf numFmtId="0" fontId="7" fillId="0" borderId="0" xfId="0" applyFont="1"/>
    <xf numFmtId="0" fontId="5" fillId="0" borderId="2" xfId="0" applyFont="1" applyBorder="1"/>
    <xf numFmtId="3" fontId="5" fillId="0" borderId="2" xfId="0" applyNumberFormat="1" applyFont="1" applyBorder="1"/>
    <xf numFmtId="37" fontId="8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left" wrapText="1"/>
    </xf>
    <xf numFmtId="3" fontId="17" fillId="0" borderId="0" xfId="0" applyNumberFormat="1" applyFont="1"/>
    <xf numFmtId="37" fontId="17" fillId="0" borderId="0" xfId="0" applyNumberFormat="1" applyFont="1"/>
    <xf numFmtId="41" fontId="5" fillId="0" borderId="2" xfId="0" applyNumberFormat="1" applyFont="1" applyBorder="1" applyAlignment="1">
      <alignment horizontal="center"/>
    </xf>
    <xf numFmtId="3" fontId="10" fillId="0" borderId="2" xfId="0" applyNumberFormat="1" applyFont="1" applyBorder="1"/>
    <xf numFmtId="0" fontId="7" fillId="0" borderId="0" xfId="0" applyFont="1" applyAlignment="1">
      <alignment vertical="center"/>
    </xf>
    <xf numFmtId="0" fontId="18" fillId="0" borderId="0" xfId="0" applyFont="1"/>
    <xf numFmtId="3" fontId="19" fillId="0" borderId="0" xfId="0" applyNumberFormat="1" applyFont="1"/>
    <xf numFmtId="164" fontId="5" fillId="0" borderId="0" xfId="1" applyNumberFormat="1" applyFont="1"/>
    <xf numFmtId="164" fontId="5" fillId="0" borderId="0" xfId="1" applyNumberFormat="1" applyFont="1" applyFill="1"/>
    <xf numFmtId="164" fontId="5" fillId="0" borderId="1" xfId="1" applyNumberFormat="1" applyFont="1" applyBorder="1"/>
    <xf numFmtId="164" fontId="5" fillId="0" borderId="1" xfId="1" applyNumberFormat="1" applyFont="1" applyFill="1" applyBorder="1"/>
    <xf numFmtId="3" fontId="20" fillId="0" borderId="0" xfId="0" applyNumberFormat="1" applyFont="1"/>
    <xf numFmtId="0" fontId="7" fillId="0" borderId="0" xfId="0" applyFont="1" applyAlignment="1">
      <alignment horizontal="center"/>
    </xf>
    <xf numFmtId="41" fontId="2" fillId="0" borderId="0" xfId="0" applyNumberFormat="1" applyFont="1" applyAlignment="1">
      <alignment horizontal="center" wrapText="1"/>
    </xf>
    <xf numFmtId="0" fontId="13" fillId="0" borderId="0" xfId="0" applyFont="1"/>
    <xf numFmtId="3" fontId="13" fillId="0" borderId="0" xfId="0" applyNumberFormat="1" applyFont="1"/>
    <xf numFmtId="0" fontId="2" fillId="0" borderId="0" xfId="0" applyFont="1" applyAlignment="1">
      <alignment horizontal="center" vertical="center"/>
    </xf>
    <xf numFmtId="3" fontId="11" fillId="0" borderId="3" xfId="0" applyNumberFormat="1" applyFont="1" applyBorder="1"/>
    <xf numFmtId="3" fontId="2" fillId="0" borderId="1" xfId="0" applyNumberFormat="1" applyFont="1" applyBorder="1"/>
    <xf numFmtId="164" fontId="10" fillId="0" borderId="0" xfId="1" applyNumberFormat="1" applyFont="1"/>
    <xf numFmtId="164" fontId="5" fillId="0" borderId="2" xfId="1" applyNumberFormat="1" applyFont="1" applyFill="1" applyBorder="1"/>
    <xf numFmtId="164" fontId="5" fillId="0" borderId="0" xfId="1" applyNumberFormat="1" applyFont="1" applyFill="1" applyBorder="1"/>
    <xf numFmtId="164" fontId="5" fillId="0" borderId="0" xfId="1" applyNumberFormat="1" applyFont="1" applyBorder="1"/>
    <xf numFmtId="164" fontId="20" fillId="0" borderId="0" xfId="1" applyNumberFormat="1" applyFont="1"/>
    <xf numFmtId="164" fontId="10" fillId="0" borderId="0" xfId="1" applyNumberFormat="1" applyFont="1" applyBorder="1"/>
    <xf numFmtId="164" fontId="10" fillId="0" borderId="1" xfId="1" applyNumberFormat="1" applyFont="1" applyFill="1" applyBorder="1"/>
    <xf numFmtId="164" fontId="0" fillId="0" borderId="0" xfId="1" applyNumberFormat="1" applyFont="1"/>
    <xf numFmtId="41" fontId="5" fillId="0" borderId="2" xfId="1" applyNumberFormat="1" applyFont="1" applyFill="1" applyBorder="1"/>
    <xf numFmtId="41" fontId="5" fillId="0" borderId="3" xfId="1" applyNumberFormat="1" applyFont="1" applyFill="1" applyBorder="1"/>
    <xf numFmtId="0" fontId="8" fillId="0" borderId="1" xfId="0" applyFont="1" applyBorder="1"/>
    <xf numFmtId="14" fontId="7" fillId="0" borderId="0" xfId="0" applyNumberFormat="1" applyFont="1" applyAlignment="1">
      <alignment horizontal="center" wrapText="1"/>
    </xf>
    <xf numFmtId="41" fontId="5" fillId="3" borderId="0" xfId="0" applyNumberFormat="1" applyFont="1" applyFill="1"/>
    <xf numFmtId="0" fontId="5" fillId="3" borderId="0" xfId="0" applyFont="1" applyFill="1"/>
    <xf numFmtId="0" fontId="0" fillId="3" borderId="0" xfId="0" applyFill="1"/>
    <xf numFmtId="41" fontId="5" fillId="3" borderId="1" xfId="0" applyNumberFormat="1" applyFont="1" applyFill="1" applyBorder="1"/>
    <xf numFmtId="41" fontId="2" fillId="3" borderId="2" xfId="1" applyNumberFormat="1" applyFont="1" applyFill="1" applyBorder="1"/>
    <xf numFmtId="0" fontId="2" fillId="3" borderId="0" xfId="0" applyFont="1" applyFill="1"/>
    <xf numFmtId="41" fontId="2" fillId="3" borderId="0" xfId="0" applyNumberFormat="1" applyFont="1" applyFill="1"/>
    <xf numFmtId="41" fontId="10" fillId="3" borderId="0" xfId="0" applyNumberFormat="1" applyFont="1" applyFill="1"/>
    <xf numFmtId="0" fontId="21" fillId="0" borderId="0" xfId="0" applyFont="1"/>
    <xf numFmtId="0" fontId="17" fillId="0" borderId="0" xfId="0" applyFont="1"/>
    <xf numFmtId="41" fontId="22" fillId="0" borderId="0" xfId="0" applyNumberFormat="1" applyFont="1"/>
    <xf numFmtId="41" fontId="2" fillId="3" borderId="1" xfId="0" applyNumberFormat="1" applyFont="1" applyFill="1" applyBorder="1"/>
    <xf numFmtId="0" fontId="2" fillId="0" borderId="1" xfId="0" applyFont="1" applyBorder="1"/>
    <xf numFmtId="41" fontId="5" fillId="0" borderId="0" xfId="1" applyNumberFormat="1" applyFont="1" applyFill="1" applyBorder="1"/>
    <xf numFmtId="164" fontId="5" fillId="3" borderId="0" xfId="0" applyNumberFormat="1" applyFont="1" applyFill="1"/>
    <xf numFmtId="41" fontId="2" fillId="3" borderId="2" xfId="0" applyNumberFormat="1" applyFont="1" applyFill="1" applyBorder="1"/>
    <xf numFmtId="164" fontId="2" fillId="3" borderId="3" xfId="0" applyNumberFormat="1" applyFont="1" applyFill="1" applyBorder="1"/>
    <xf numFmtId="43" fontId="10" fillId="0" borderId="2" xfId="0" applyNumberFormat="1" applyFont="1" applyBorder="1"/>
    <xf numFmtId="43" fontId="10" fillId="0" borderId="1" xfId="0" applyNumberFormat="1" applyFont="1" applyBorder="1"/>
    <xf numFmtId="3" fontId="20" fillId="3" borderId="0" xfId="0" applyNumberFormat="1" applyFont="1" applyFill="1"/>
    <xf numFmtId="3" fontId="2" fillId="3" borderId="0" xfId="0" applyNumberFormat="1" applyFont="1" applyFill="1"/>
    <xf numFmtId="3" fontId="11" fillId="3" borderId="0" xfId="0" applyNumberFormat="1" applyFont="1" applyFill="1"/>
    <xf numFmtId="0" fontId="2" fillId="3" borderId="2" xfId="0" applyFont="1" applyFill="1" applyBorder="1"/>
    <xf numFmtId="37" fontId="9" fillId="3" borderId="0" xfId="0" applyNumberFormat="1" applyFont="1" applyFill="1"/>
    <xf numFmtId="0" fontId="2" fillId="0" borderId="0" xfId="0" applyFont="1" applyAlignment="1">
      <alignment horizontal="center"/>
    </xf>
    <xf numFmtId="41" fontId="7" fillId="0" borderId="0" xfId="0" applyNumberFormat="1" applyFont="1" applyAlignment="1">
      <alignment horizontal="center" wrapText="1"/>
    </xf>
    <xf numFmtId="3" fontId="10" fillId="0" borderId="9" xfId="0" applyNumberFormat="1" applyFont="1" applyBorder="1"/>
    <xf numFmtId="0" fontId="8" fillId="3" borderId="0" xfId="0" applyFont="1" applyFill="1"/>
    <xf numFmtId="41" fontId="5" fillId="2" borderId="10" xfId="0" applyNumberFormat="1" applyFont="1" applyFill="1" applyBorder="1"/>
    <xf numFmtId="3" fontId="11" fillId="3" borderId="1" xfId="0" applyNumberFormat="1" applyFont="1" applyFill="1" applyBorder="1"/>
    <xf numFmtId="3" fontId="11" fillId="3" borderId="8" xfId="0" applyNumberFormat="1" applyFont="1" applyFill="1" applyBorder="1"/>
    <xf numFmtId="164" fontId="2" fillId="0" borderId="3" xfId="0" applyNumberFormat="1" applyFont="1" applyBorder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41" fontId="7" fillId="0" borderId="0" xfId="0" applyNumberFormat="1" applyFont="1" applyAlignment="1">
      <alignment horizontal="center" wrapText="1"/>
    </xf>
    <xf numFmtId="41" fontId="2" fillId="0" borderId="1" xfId="0" applyNumberFormat="1" applyFont="1" applyBorder="1" applyAlignment="1">
      <alignment horizontal="center" vertical="center" wrapText="1"/>
    </xf>
  </cellXfs>
  <cellStyles count="92">
    <cellStyle name="Comma" xfId="1" builtinId="3"/>
    <cellStyle name="Followed Hyperlink" xfId="21" builtinId="9" hidden="1"/>
    <cellStyle name="Followed Hyperlink" xfId="77" builtinId="9" hidden="1"/>
    <cellStyle name="Followed Hyperlink" xfId="81" builtinId="9" hidden="1"/>
    <cellStyle name="Followed Hyperlink" xfId="83" builtinId="9" hidden="1"/>
    <cellStyle name="Followed Hyperlink" xfId="87" builtinId="9" hidden="1"/>
    <cellStyle name="Followed Hyperlink" xfId="85" builtinId="9" hidden="1"/>
    <cellStyle name="Followed Hyperlink" xfId="11" builtinId="9" hidden="1"/>
    <cellStyle name="Followed Hyperlink" xfId="79" builtinId="9" hidden="1"/>
    <cellStyle name="Followed Hyperlink" xfId="69" builtinId="9" hidden="1"/>
    <cellStyle name="Followed Hyperlink" xfId="91" builtinId="9" hidden="1"/>
    <cellStyle name="Followed Hyperlink" xfId="73" builtinId="9" hidden="1"/>
    <cellStyle name="Followed Hyperlink" xfId="89" builtinId="9" hidden="1"/>
    <cellStyle name="Followed Hyperlink" xfId="19" builtinId="9" hidden="1"/>
    <cellStyle name="Followed Hyperlink" xfId="35" builtinId="9" hidden="1"/>
    <cellStyle name="Followed Hyperlink" xfId="17" builtinId="9" hidden="1"/>
    <cellStyle name="Followed Hyperlink" xfId="75" builtinId="9" hidden="1"/>
    <cellStyle name="Followed Hyperlink" xfId="23" builtinId="9" hidden="1"/>
    <cellStyle name="Followed Hyperlink" xfId="71" builtinId="9" hidden="1"/>
    <cellStyle name="Followed Hyperlink" xfId="7" builtinId="9" hidden="1"/>
    <cellStyle name="Followed Hyperlink" xfId="2" builtinId="9" hidden="1"/>
    <cellStyle name="Followed Hyperlink" xfId="13" builtinId="9" hidden="1"/>
    <cellStyle name="Followed Hyperlink" xfId="45" builtinId="9" hidden="1"/>
    <cellStyle name="Followed Hyperlink" xfId="61" builtinId="9" hidden="1"/>
    <cellStyle name="Followed Hyperlink" xfId="63" builtinId="9" hidden="1"/>
    <cellStyle name="Followed Hyperlink" xfId="55" builtinId="9" hidden="1"/>
    <cellStyle name="Followed Hyperlink" xfId="59" builtinId="9" hidden="1"/>
    <cellStyle name="Followed Hyperlink" xfId="51" builtinId="9" hidden="1"/>
    <cellStyle name="Followed Hyperlink" xfId="65" builtinId="9" hidden="1"/>
    <cellStyle name="Followed Hyperlink" xfId="53" builtinId="9" hidden="1"/>
    <cellStyle name="Followed Hyperlink" xfId="47" builtinId="9" hidden="1"/>
    <cellStyle name="Followed Hyperlink" xfId="49" builtinId="9" hidden="1"/>
    <cellStyle name="Followed Hyperlink" xfId="57" builtinId="9" hidden="1"/>
    <cellStyle name="Followed Hyperlink" xfId="5" builtinId="9" hidden="1"/>
    <cellStyle name="Followed Hyperlink" xfId="15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9" builtinId="9" hidden="1"/>
    <cellStyle name="Followed Hyperlink" xfId="37" builtinId="9" hidden="1"/>
    <cellStyle name="Followed Hyperlink" xfId="43" builtinId="9" hidden="1"/>
    <cellStyle name="Followed Hyperlink" xfId="9" builtinId="9" hidden="1"/>
    <cellStyle name="Followed Hyperlink" xfId="31" builtinId="9" hidden="1"/>
    <cellStyle name="Followed Hyperlink" xfId="33" builtinId="9" hidden="1"/>
    <cellStyle name="Followed Hyperlink" xfId="41" builtinId="9" hidden="1"/>
    <cellStyle name="Followed Hyperlink" xfId="67" builtinId="9" hidden="1"/>
    <cellStyle name="Hyperlink" xfId="46" builtinId="8" hidden="1"/>
    <cellStyle name="Hyperlink" xfId="90" builtinId="8" hidden="1"/>
    <cellStyle name="Hyperlink" xfId="80" builtinId="8" hidden="1"/>
    <cellStyle name="Hyperlink" xfId="10" builtinId="8" hidden="1"/>
    <cellStyle name="Hyperlink" xfId="68" builtinId="8" hidden="1"/>
    <cellStyle name="Hyperlink" xfId="70" builtinId="8" hidden="1"/>
    <cellStyle name="Hyperlink" xfId="78" builtinId="8" hidden="1"/>
    <cellStyle name="Hyperlink" xfId="82" builtinId="8" hidden="1"/>
    <cellStyle name="Hyperlink" xfId="62" builtinId="8" hidden="1"/>
    <cellStyle name="Hyperlink" xfId="32" builtinId="8" hidden="1"/>
    <cellStyle name="Hyperlink" xfId="42" builtinId="8" hidden="1"/>
    <cellStyle name="Hyperlink" xfId="86" builtinId="8" hidden="1"/>
    <cellStyle name="Hyperlink" xfId="40" builtinId="8" hidden="1"/>
    <cellStyle name="Hyperlink" xfId="36" builtinId="8" hidden="1"/>
    <cellStyle name="Hyperlink" xfId="66" builtinId="8" hidden="1"/>
    <cellStyle name="Hyperlink" xfId="76" builtinId="8" hidden="1"/>
    <cellStyle name="Hyperlink" xfId="72" builtinId="8" hidden="1"/>
    <cellStyle name="Hyperlink" xfId="54" builtinId="8" hidden="1"/>
    <cellStyle name="Hyperlink" xfId="48" builtinId="8" hidden="1"/>
    <cellStyle name="Hyperlink" xfId="50" builtinId="8" hidden="1"/>
    <cellStyle name="Hyperlink" xfId="6" builtinId="8" hidden="1"/>
    <cellStyle name="Hyperlink" xfId="8" builtinId="8" hidden="1"/>
    <cellStyle name="Hyperlink" xfId="38" builtinId="8" hidden="1"/>
    <cellStyle name="Hyperlink" xfId="64" builtinId="8" hidden="1"/>
    <cellStyle name="Hyperlink" xfId="58" builtinId="8" hidden="1"/>
    <cellStyle name="Hyperlink" xfId="84" builtinId="8" hidden="1"/>
    <cellStyle name="Hyperlink" xfId="74" builtinId="8" hidden="1"/>
    <cellStyle name="Hyperlink" xfId="44" builtinId="8" hidden="1"/>
    <cellStyle name="Hyperlink" xfId="28" builtinId="8" hidden="1"/>
    <cellStyle name="Hyperlink" xfId="14" builtinId="8" hidden="1"/>
    <cellStyle name="Hyperlink" xfId="26" builtinId="8" hidden="1"/>
    <cellStyle name="Hyperlink" xfId="4" builtinId="8" hidden="1"/>
    <cellStyle name="Hyperlink" xfId="60" builtinId="8" hidden="1"/>
    <cellStyle name="Hyperlink" xfId="30" builtinId="8" hidden="1"/>
    <cellStyle name="Hyperlink" xfId="34" builtinId="8" hidden="1"/>
    <cellStyle name="Hyperlink" xfId="24" builtinId="8" hidden="1"/>
    <cellStyle name="Hyperlink" xfId="18" builtinId="8" hidden="1"/>
    <cellStyle name="Hyperlink" xfId="12" builtinId="8" hidden="1"/>
    <cellStyle name="Hyperlink" xfId="52" builtinId="8" hidden="1"/>
    <cellStyle name="Hyperlink" xfId="22" builtinId="8" hidden="1"/>
    <cellStyle name="Hyperlink" xfId="20" builtinId="8" hidden="1"/>
    <cellStyle name="Hyperlink" xfId="88" builtinId="8" hidden="1"/>
    <cellStyle name="Hyperlink" xfId="3" builtinId="8" hidden="1"/>
    <cellStyle name="Hyperlink" xfId="16" builtinId="8" hidden="1"/>
    <cellStyle name="Hyperlink" xfId="56" builtinId="8" hidden="1"/>
    <cellStyle name="Normal" xfId="0" builtinId="0"/>
  </cellStyles>
  <dxfs count="0"/>
  <tableStyles count="0" defaultTableStyle="TableStyleMedium9" defaultPivotStyle="PivotStyleMedium4"/>
  <colors>
    <mruColors>
      <color rgb="FF66006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opLeftCell="A4" zoomScale="90" zoomScaleNormal="90" zoomScalePageLayoutView="85" workbookViewId="0">
      <selection activeCell="J26" sqref="J26"/>
    </sheetView>
  </sheetViews>
  <sheetFormatPr defaultColWidth="15.85546875" defaultRowHeight="18.75"/>
  <cols>
    <col min="1" max="1" width="7.85546875" style="2" customWidth="1"/>
    <col min="2" max="2" width="15.85546875" style="2"/>
    <col min="3" max="3" width="5.28515625" style="2" customWidth="1"/>
    <col min="4" max="4" width="15.85546875" style="2" customWidth="1"/>
    <col min="5" max="6" width="15.85546875" style="2"/>
    <col min="7" max="7" width="18.42578125" style="3" bestFit="1" customWidth="1"/>
    <col min="8" max="9" width="16.85546875" style="3" bestFit="1" customWidth="1"/>
    <col min="10" max="10" width="18.42578125" style="3" bestFit="1" customWidth="1"/>
    <col min="11" max="11" width="17.42578125" style="2" bestFit="1" customWidth="1"/>
    <col min="12" max="16384" width="15.85546875" style="2"/>
  </cols>
  <sheetData>
    <row r="1" spans="1:11">
      <c r="D1" s="159" t="s">
        <v>0</v>
      </c>
      <c r="E1" s="159"/>
      <c r="F1" s="159"/>
      <c r="G1" s="159"/>
    </row>
    <row r="2" spans="1:11">
      <c r="D2" s="159" t="s">
        <v>1</v>
      </c>
      <c r="E2" s="159"/>
      <c r="F2" s="159"/>
      <c r="G2" s="159"/>
    </row>
    <row r="3" spans="1:11">
      <c r="D3" s="159" t="s">
        <v>2</v>
      </c>
      <c r="E3" s="159"/>
      <c r="F3" s="159"/>
      <c r="G3" s="159"/>
    </row>
    <row r="4" spans="1:11">
      <c r="D4" s="151"/>
      <c r="E4" s="151"/>
      <c r="F4" s="151"/>
      <c r="G4" s="4"/>
    </row>
    <row r="5" spans="1:11" ht="37.5">
      <c r="G5" s="152" t="s">
        <v>3</v>
      </c>
      <c r="H5" s="152" t="s">
        <v>4</v>
      </c>
      <c r="I5" s="152" t="s">
        <v>5</v>
      </c>
      <c r="J5" s="152" t="s">
        <v>6</v>
      </c>
      <c r="K5" s="152" t="s">
        <v>7</v>
      </c>
    </row>
    <row r="6" spans="1:11">
      <c r="G6" s="5"/>
      <c r="H6" s="5"/>
      <c r="I6" s="5"/>
      <c r="J6" s="5"/>
    </row>
    <row r="7" spans="1:11">
      <c r="A7" s="1" t="s">
        <v>8</v>
      </c>
      <c r="B7" s="1"/>
      <c r="C7" s="1"/>
      <c r="D7" s="1"/>
      <c r="E7" s="1"/>
      <c r="F7" s="1"/>
    </row>
    <row r="8" spans="1:11">
      <c r="A8" s="1"/>
      <c r="B8" s="1" t="s">
        <v>9</v>
      </c>
      <c r="C8" s="1"/>
      <c r="D8" s="1"/>
      <c r="E8" s="1"/>
      <c r="F8" s="1"/>
    </row>
    <row r="9" spans="1:11">
      <c r="C9" s="2" t="s">
        <v>10</v>
      </c>
      <c r="G9" s="3">
        <v>1329008</v>
      </c>
      <c r="J9" s="3">
        <f>SUM(G9:I9)</f>
        <v>1329008</v>
      </c>
      <c r="K9" s="3">
        <f>SUM(J9)</f>
        <v>1329008</v>
      </c>
    </row>
    <row r="10" spans="1:11">
      <c r="C10" s="2" t="s">
        <v>11</v>
      </c>
      <c r="G10" s="6">
        <v>616503</v>
      </c>
      <c r="H10" s="6">
        <v>1825499</v>
      </c>
      <c r="I10" s="6">
        <v>-2066442</v>
      </c>
      <c r="J10" s="6">
        <f>SUM(G10:I10)</f>
        <v>375560</v>
      </c>
      <c r="K10" s="3">
        <f>SUM(J10)</f>
        <v>375560</v>
      </c>
    </row>
    <row r="12" spans="1:11">
      <c r="A12" s="1"/>
      <c r="B12" s="1"/>
      <c r="C12" s="1"/>
      <c r="D12" s="1" t="s">
        <v>12</v>
      </c>
      <c r="E12" s="1"/>
      <c r="F12" s="1"/>
      <c r="G12" s="7">
        <f>SUM(G8:G11)</f>
        <v>1945511</v>
      </c>
      <c r="H12" s="7">
        <f>SUM(H8:H11)</f>
        <v>1825499</v>
      </c>
      <c r="I12" s="7">
        <f>SUM(I8:I11)</f>
        <v>-2066442</v>
      </c>
      <c r="J12" s="7">
        <f>SUM(J8:J11)</f>
        <v>1704568</v>
      </c>
      <c r="K12" s="1"/>
    </row>
    <row r="14" spans="1:11">
      <c r="A14" s="1" t="s">
        <v>13</v>
      </c>
    </row>
    <row r="15" spans="1:11">
      <c r="B15" s="2" t="s">
        <v>14</v>
      </c>
      <c r="G15" s="3">
        <v>23688240</v>
      </c>
      <c r="H15" s="3">
        <v>54286</v>
      </c>
      <c r="I15" s="3">
        <v>-5973</v>
      </c>
      <c r="J15" s="3">
        <f>SUM(G15:I15)</f>
        <v>23736553</v>
      </c>
    </row>
    <row r="16" spans="1:11">
      <c r="B16" s="2" t="s">
        <v>15</v>
      </c>
      <c r="G16" s="3">
        <v>12080397</v>
      </c>
      <c r="H16" s="3">
        <v>1258934</v>
      </c>
      <c r="I16" s="3">
        <v>-1963756</v>
      </c>
      <c r="J16" s="3">
        <f t="shared" ref="J16:J18" si="0">SUM(G16:I16)</f>
        <v>11375575</v>
      </c>
    </row>
    <row r="17" spans="1:11">
      <c r="B17" s="2" t="s">
        <v>16</v>
      </c>
      <c r="G17" s="3">
        <v>773911</v>
      </c>
      <c r="J17" s="3">
        <f t="shared" si="0"/>
        <v>773911</v>
      </c>
    </row>
    <row r="18" spans="1:11">
      <c r="B18" s="2" t="s">
        <v>17</v>
      </c>
      <c r="G18" s="3">
        <v>48425719</v>
      </c>
      <c r="H18" s="3">
        <v>2244538</v>
      </c>
      <c r="I18" s="3">
        <v>-94604</v>
      </c>
      <c r="J18" s="3">
        <f t="shared" si="0"/>
        <v>50575653</v>
      </c>
    </row>
    <row r="19" spans="1:11">
      <c r="G19" s="29"/>
      <c r="H19" s="29"/>
      <c r="I19" s="29"/>
      <c r="J19" s="29"/>
    </row>
    <row r="20" spans="1:11">
      <c r="A20" s="1"/>
      <c r="B20" s="1"/>
      <c r="C20" s="1"/>
      <c r="D20" s="1" t="s">
        <v>18</v>
      </c>
      <c r="E20" s="1"/>
      <c r="F20" s="1"/>
      <c r="G20" s="7">
        <f>SUM(G15:G19)</f>
        <v>84968267</v>
      </c>
      <c r="H20" s="7">
        <f t="shared" ref="H20:I20" si="1">SUM(H15:H19)</f>
        <v>3557758</v>
      </c>
      <c r="I20" s="7">
        <f t="shared" si="1"/>
        <v>-2064333</v>
      </c>
      <c r="J20" s="7">
        <f>SUM(J15:J19)</f>
        <v>86461692</v>
      </c>
      <c r="K20" s="1"/>
    </row>
    <row r="22" spans="1:11">
      <c r="A22" s="1" t="s">
        <v>19</v>
      </c>
    </row>
    <row r="23" spans="1:11">
      <c r="B23" s="2" t="s">
        <v>14</v>
      </c>
      <c r="G23" s="3">
        <v>-7150978</v>
      </c>
      <c r="H23" s="3">
        <v>-448517</v>
      </c>
      <c r="I23" s="3">
        <v>5437</v>
      </c>
      <c r="J23" s="3">
        <f>SUM(G23:I23)</f>
        <v>-7594058</v>
      </c>
      <c r="K23" s="3">
        <f>J15+J23</f>
        <v>16142495</v>
      </c>
    </row>
    <row r="24" spans="1:11">
      <c r="B24" s="2" t="s">
        <v>15</v>
      </c>
      <c r="G24" s="3">
        <v>-7128864</v>
      </c>
      <c r="H24" s="3">
        <v>-746121</v>
      </c>
      <c r="I24" s="3">
        <v>1530246</v>
      </c>
      <c r="J24" s="3">
        <f t="shared" ref="J24:J26" si="2">SUM(G24:I24)</f>
        <v>-6344739</v>
      </c>
      <c r="K24" s="3">
        <f>J16+J24</f>
        <v>5030836</v>
      </c>
    </row>
    <row r="25" spans="1:11">
      <c r="B25" s="2" t="s">
        <v>16</v>
      </c>
      <c r="G25" s="3">
        <v>-414655</v>
      </c>
      <c r="H25" s="3">
        <v>-9777</v>
      </c>
      <c r="J25" s="3">
        <f t="shared" si="2"/>
        <v>-424432</v>
      </c>
      <c r="K25" s="3">
        <f t="shared" ref="K25:K26" si="3">J17+J25</f>
        <v>349479</v>
      </c>
    </row>
    <row r="26" spans="1:11">
      <c r="B26" s="2" t="s">
        <v>17</v>
      </c>
      <c r="G26" s="3">
        <v>-19905142</v>
      </c>
      <c r="H26" s="3">
        <v>-2021531</v>
      </c>
      <c r="I26" s="3">
        <v>82459</v>
      </c>
      <c r="J26" s="3">
        <f t="shared" si="2"/>
        <v>-21844214</v>
      </c>
      <c r="K26" s="3">
        <f t="shared" si="3"/>
        <v>28731439</v>
      </c>
    </row>
    <row r="27" spans="1:11">
      <c r="G27" s="29"/>
      <c r="H27" s="29"/>
      <c r="I27" s="29"/>
      <c r="J27" s="29"/>
    </row>
    <row r="28" spans="1:11">
      <c r="A28" s="1"/>
      <c r="B28" s="1"/>
      <c r="C28" s="1"/>
      <c r="D28" s="1" t="s">
        <v>20</v>
      </c>
      <c r="E28" s="1"/>
      <c r="F28" s="1"/>
      <c r="G28" s="7">
        <f>SUM(G23:G27)</f>
        <v>-34599639</v>
      </c>
      <c r="H28" s="7">
        <f>SUM(H23:H27)</f>
        <v>-3225946</v>
      </c>
      <c r="I28" s="7">
        <f>SUM(I23:I27)</f>
        <v>1618142</v>
      </c>
      <c r="J28" s="7">
        <f>SUM(J23:J27)</f>
        <v>-36207443</v>
      </c>
      <c r="K28" s="1"/>
    </row>
    <row r="30" spans="1:11">
      <c r="A30" s="1"/>
      <c r="B30" s="1" t="s">
        <v>21</v>
      </c>
      <c r="C30" s="1"/>
      <c r="D30" s="1"/>
      <c r="E30" s="1"/>
      <c r="F30" s="1"/>
      <c r="G30" s="7">
        <f>G20+G28</f>
        <v>50368628</v>
      </c>
      <c r="H30" s="7">
        <f t="shared" ref="H30:J30" si="4">H20+H28</f>
        <v>331812</v>
      </c>
      <c r="I30" s="7">
        <f t="shared" si="4"/>
        <v>-446191</v>
      </c>
      <c r="J30" s="7">
        <f t="shared" si="4"/>
        <v>50254249</v>
      </c>
      <c r="K30" s="1"/>
    </row>
    <row r="32" spans="1:11" ht="19.5" thickBot="1">
      <c r="B32" s="1" t="s">
        <v>22</v>
      </c>
      <c r="G32" s="9">
        <f>G30+G12</f>
        <v>52314139</v>
      </c>
      <c r="H32" s="9">
        <f>H30+H12</f>
        <v>2157311</v>
      </c>
      <c r="I32" s="9">
        <f>I30+I12</f>
        <v>-2512633</v>
      </c>
      <c r="J32" s="9">
        <f>J30+J12</f>
        <v>51958817</v>
      </c>
      <c r="K32" s="3">
        <f>SUM(K23:K26,K9:K10)</f>
        <v>51958817</v>
      </c>
    </row>
    <row r="33" ht="19.5" thickTop="1"/>
  </sheetData>
  <mergeCells count="3">
    <mergeCell ref="D1:G1"/>
    <mergeCell ref="D2:G2"/>
    <mergeCell ref="D3:G3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36"/>
  <sheetViews>
    <sheetView topLeftCell="A10" zoomScale="80" zoomScaleNormal="80" zoomScalePageLayoutView="85" workbookViewId="0">
      <selection activeCell="L51" sqref="L51"/>
    </sheetView>
  </sheetViews>
  <sheetFormatPr defaultColWidth="15.85546875" defaultRowHeight="18.75"/>
  <cols>
    <col min="1" max="1" width="7.85546875" style="2" customWidth="1"/>
    <col min="2" max="2" width="15.85546875" style="2"/>
    <col min="3" max="3" width="5.28515625" style="2" customWidth="1"/>
    <col min="4" max="4" width="15.85546875" style="2" customWidth="1"/>
    <col min="5" max="6" width="15.85546875" style="2"/>
    <col min="7" max="7" width="18.42578125" style="3" bestFit="1" customWidth="1"/>
    <col min="8" max="8" width="16.85546875" style="3" bestFit="1" customWidth="1"/>
    <col min="9" max="9" width="18.7109375" style="3" customWidth="1"/>
    <col min="10" max="10" width="18.42578125" style="3" bestFit="1" customWidth="1"/>
    <col min="11" max="16384" width="15.85546875" style="2"/>
  </cols>
  <sheetData>
    <row r="1" spans="1:11">
      <c r="D1" s="159" t="s">
        <v>0</v>
      </c>
      <c r="E1" s="159"/>
      <c r="F1" s="159"/>
      <c r="G1" s="159"/>
    </row>
    <row r="2" spans="1:11">
      <c r="D2" s="159" t="s">
        <v>1</v>
      </c>
      <c r="E2" s="159"/>
      <c r="F2" s="159"/>
      <c r="G2" s="159"/>
    </row>
    <row r="3" spans="1:11">
      <c r="D3" s="159" t="s">
        <v>23</v>
      </c>
      <c r="E3" s="159"/>
      <c r="F3" s="159"/>
      <c r="G3" s="159"/>
    </row>
    <row r="4" spans="1:11">
      <c r="D4" s="151"/>
      <c r="E4" s="151"/>
      <c r="F4" s="151"/>
      <c r="G4" s="4"/>
    </row>
    <row r="5" spans="1:11" ht="37.5">
      <c r="G5" s="152" t="s">
        <v>24</v>
      </c>
      <c r="H5" s="152" t="s">
        <v>25</v>
      </c>
      <c r="I5" s="152" t="s">
        <v>26</v>
      </c>
      <c r="J5" s="152" t="s">
        <v>27</v>
      </c>
      <c r="K5" s="152" t="s">
        <v>28</v>
      </c>
    </row>
    <row r="6" spans="1:11">
      <c r="G6" s="5"/>
      <c r="H6" s="5"/>
      <c r="I6" s="5"/>
      <c r="J6" s="5"/>
    </row>
    <row r="7" spans="1:11">
      <c r="A7" s="1" t="s">
        <v>8</v>
      </c>
      <c r="B7" s="1"/>
      <c r="C7" s="1"/>
      <c r="D7" s="1"/>
      <c r="E7" s="1"/>
      <c r="F7" s="1"/>
    </row>
    <row r="8" spans="1:11">
      <c r="A8" s="1"/>
      <c r="B8" s="1" t="s">
        <v>9</v>
      </c>
      <c r="C8" s="1"/>
      <c r="D8" s="1"/>
      <c r="E8" s="1"/>
      <c r="F8" s="1"/>
    </row>
    <row r="9" spans="1:11">
      <c r="C9" s="2" t="s">
        <v>11</v>
      </c>
      <c r="G9" s="3">
        <v>98703</v>
      </c>
      <c r="H9" s="3">
        <v>733474</v>
      </c>
      <c r="J9" s="3">
        <f>SUM(G9:I9)</f>
        <v>832177</v>
      </c>
      <c r="K9" s="3">
        <f>J9</f>
        <v>832177</v>
      </c>
    </row>
    <row r="10" spans="1:11">
      <c r="C10" s="2" t="s">
        <v>10</v>
      </c>
      <c r="G10" s="6">
        <v>572300</v>
      </c>
      <c r="H10" s="6"/>
      <c r="I10" s="6"/>
      <c r="J10" s="6">
        <f t="shared" ref="J10:J11" si="0">SUM(G10:I10)</f>
        <v>572300</v>
      </c>
      <c r="K10" s="3">
        <f>J10</f>
        <v>572300</v>
      </c>
    </row>
    <row r="11" spans="1:11">
      <c r="J11" s="3">
        <f t="shared" si="0"/>
        <v>0</v>
      </c>
    </row>
    <row r="12" spans="1:11">
      <c r="A12" s="1"/>
      <c r="B12" s="1"/>
      <c r="C12" s="1"/>
      <c r="D12" s="1" t="s">
        <v>12</v>
      </c>
      <c r="E12" s="1"/>
      <c r="F12" s="1"/>
      <c r="G12" s="7">
        <f>SUM(G9:G10)</f>
        <v>671003</v>
      </c>
      <c r="H12" s="7">
        <f t="shared" ref="H12:J12" si="1">SUM(H9:H10)</f>
        <v>733474</v>
      </c>
      <c r="I12" s="7">
        <f t="shared" si="1"/>
        <v>0</v>
      </c>
      <c r="J12" s="7">
        <f t="shared" si="1"/>
        <v>1404477</v>
      </c>
      <c r="K12" s="1"/>
    </row>
    <row r="14" spans="1:11">
      <c r="A14" s="1" t="s">
        <v>13</v>
      </c>
    </row>
    <row r="15" spans="1:11">
      <c r="B15" s="2" t="s">
        <v>29</v>
      </c>
      <c r="G15" s="3">
        <v>4595339</v>
      </c>
      <c r="J15" s="3">
        <f>SUM(G15:I15)</f>
        <v>4595339</v>
      </c>
    </row>
    <row r="16" spans="1:11">
      <c r="B16" s="2" t="s">
        <v>16</v>
      </c>
      <c r="G16" s="3">
        <v>5855585</v>
      </c>
      <c r="J16" s="3">
        <f t="shared" ref="J16:J20" si="2">SUM(G16:I16)</f>
        <v>5855585</v>
      </c>
    </row>
    <row r="17" spans="1:11">
      <c r="B17" s="2" t="s">
        <v>30</v>
      </c>
      <c r="G17" s="3">
        <v>431836</v>
      </c>
      <c r="J17" s="3">
        <f t="shared" si="2"/>
        <v>431836</v>
      </c>
    </row>
    <row r="18" spans="1:11">
      <c r="B18" s="2" t="s">
        <v>31</v>
      </c>
      <c r="G18" s="3">
        <v>824249</v>
      </c>
      <c r="J18" s="3">
        <f t="shared" si="2"/>
        <v>824249</v>
      </c>
    </row>
    <row r="19" spans="1:11">
      <c r="B19" s="2" t="s">
        <v>15</v>
      </c>
      <c r="G19" s="3">
        <v>3482205</v>
      </c>
      <c r="H19" s="3">
        <v>229473</v>
      </c>
      <c r="I19" s="3">
        <v>-37240</v>
      </c>
      <c r="J19" s="3">
        <f t="shared" si="2"/>
        <v>3674438</v>
      </c>
    </row>
    <row r="20" spans="1:11">
      <c r="B20" s="2" t="s">
        <v>17</v>
      </c>
      <c r="G20" s="3">
        <v>28219912</v>
      </c>
      <c r="J20" s="3">
        <f t="shared" si="2"/>
        <v>28219912</v>
      </c>
    </row>
    <row r="21" spans="1:11">
      <c r="D21" s="1" t="s">
        <v>18</v>
      </c>
      <c r="G21" s="8">
        <f>SUM(G15:G20)</f>
        <v>43409126</v>
      </c>
      <c r="H21" s="8">
        <f t="shared" ref="H21:J21" si="3">SUM(H15:H20)</f>
        <v>229473</v>
      </c>
      <c r="I21" s="8">
        <f t="shared" si="3"/>
        <v>-37240</v>
      </c>
      <c r="J21" s="8">
        <f t="shared" si="3"/>
        <v>43601359</v>
      </c>
    </row>
    <row r="23" spans="1:11">
      <c r="A23" s="1" t="s">
        <v>19</v>
      </c>
      <c r="B23" s="1"/>
      <c r="C23" s="1"/>
      <c r="D23" s="1"/>
      <c r="E23" s="1"/>
      <c r="F23" s="1"/>
      <c r="G23" s="31"/>
      <c r="H23" s="31"/>
      <c r="I23" s="31"/>
      <c r="J23" s="31"/>
      <c r="K23" s="1"/>
    </row>
    <row r="24" spans="1:11">
      <c r="B24" s="2" t="s">
        <v>29</v>
      </c>
      <c r="G24" s="3">
        <v>1889518</v>
      </c>
      <c r="H24" s="3">
        <v>102571</v>
      </c>
      <c r="J24" s="3">
        <f>SUM(G24:I24)</f>
        <v>1992089</v>
      </c>
      <c r="K24" s="38">
        <f>SUM(J15-J24)</f>
        <v>2603250</v>
      </c>
    </row>
    <row r="25" spans="1:11">
      <c r="B25" s="2" t="s">
        <v>16</v>
      </c>
      <c r="G25" s="3">
        <v>2376805</v>
      </c>
      <c r="H25" s="3">
        <v>171245</v>
      </c>
      <c r="J25" s="3">
        <f t="shared" ref="J25:J29" si="4">SUM(G25:I25)</f>
        <v>2548050</v>
      </c>
      <c r="K25" s="38">
        <f t="shared" ref="K25:K29" si="5">SUM(J16-J25)</f>
        <v>3307535</v>
      </c>
    </row>
    <row r="26" spans="1:11">
      <c r="B26" s="2" t="s">
        <v>30</v>
      </c>
      <c r="G26" s="3">
        <v>343425</v>
      </c>
      <c r="H26" s="3">
        <v>33565</v>
      </c>
      <c r="J26" s="3">
        <f t="shared" si="4"/>
        <v>376990</v>
      </c>
      <c r="K26" s="38">
        <f t="shared" si="5"/>
        <v>54846</v>
      </c>
    </row>
    <row r="27" spans="1:11">
      <c r="B27" s="2" t="s">
        <v>31</v>
      </c>
      <c r="G27" s="3">
        <v>667485</v>
      </c>
      <c r="H27" s="3">
        <v>48766</v>
      </c>
      <c r="J27" s="3">
        <f t="shared" si="4"/>
        <v>716251</v>
      </c>
      <c r="K27" s="38">
        <f t="shared" si="5"/>
        <v>107998</v>
      </c>
    </row>
    <row r="28" spans="1:11">
      <c r="B28" s="2" t="s">
        <v>15</v>
      </c>
      <c r="G28" s="3">
        <v>2382902</v>
      </c>
      <c r="H28" s="3">
        <v>203919</v>
      </c>
      <c r="I28" s="3">
        <v>-22014</v>
      </c>
      <c r="J28" s="3">
        <f t="shared" si="4"/>
        <v>2564807</v>
      </c>
      <c r="K28" s="38">
        <f t="shared" si="5"/>
        <v>1109631</v>
      </c>
    </row>
    <row r="29" spans="1:11">
      <c r="B29" s="2" t="s">
        <v>17</v>
      </c>
      <c r="G29" s="6">
        <v>12446165</v>
      </c>
      <c r="H29" s="6">
        <v>584415</v>
      </c>
      <c r="I29" s="6"/>
      <c r="J29" s="3">
        <f t="shared" si="4"/>
        <v>13030580</v>
      </c>
      <c r="K29" s="38">
        <f t="shared" si="5"/>
        <v>15189332</v>
      </c>
    </row>
    <row r="30" spans="1:11" s="1" customFormat="1">
      <c r="D30" s="1" t="s">
        <v>20</v>
      </c>
      <c r="G30" s="15">
        <f>SUM(G24:G29)</f>
        <v>20106300</v>
      </c>
      <c r="H30" s="15">
        <f t="shared" ref="H30:J30" si="6">SUM(H24:H29)</f>
        <v>1144481</v>
      </c>
      <c r="I30" s="15">
        <f t="shared" si="6"/>
        <v>-22014</v>
      </c>
      <c r="J30" s="13">
        <f t="shared" si="6"/>
        <v>21228767</v>
      </c>
      <c r="K30" s="76"/>
    </row>
    <row r="31" spans="1:11">
      <c r="K31" s="3"/>
    </row>
    <row r="32" spans="1:11">
      <c r="B32" s="1" t="s">
        <v>21</v>
      </c>
      <c r="G32" s="8">
        <f>G21-G30</f>
        <v>23302826</v>
      </c>
      <c r="H32" s="8">
        <f t="shared" ref="H32:I32" si="7">H21-H30</f>
        <v>-915008</v>
      </c>
      <c r="I32" s="8">
        <f t="shared" si="7"/>
        <v>-15226</v>
      </c>
      <c r="J32" s="8">
        <f>SUM(G32:I32)</f>
        <v>22372592</v>
      </c>
      <c r="K32" s="3"/>
    </row>
    <row r="35" spans="2:11" ht="19.5" thickBot="1">
      <c r="B35" s="1" t="s">
        <v>22</v>
      </c>
      <c r="G35" s="9">
        <f>SUM(G32+G12)</f>
        <v>23973829</v>
      </c>
      <c r="H35" s="9">
        <f t="shared" ref="H35:I35" si="8">SUM(H32+H12)</f>
        <v>-181534</v>
      </c>
      <c r="I35" s="9">
        <f t="shared" si="8"/>
        <v>-15226</v>
      </c>
      <c r="J35" s="9">
        <f>SUM(G35:I35)</f>
        <v>23777069</v>
      </c>
      <c r="K35" s="3"/>
    </row>
    <row r="36" spans="2:11" ht="19.5" thickTop="1"/>
  </sheetData>
  <mergeCells count="3">
    <mergeCell ref="D1:G1"/>
    <mergeCell ref="D2:G2"/>
    <mergeCell ref="D3:G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6"/>
  <sheetViews>
    <sheetView topLeftCell="A15" zoomScale="77" zoomScaleNormal="77" workbookViewId="0">
      <selection activeCell="I36" sqref="I36"/>
    </sheetView>
  </sheetViews>
  <sheetFormatPr defaultColWidth="8.85546875" defaultRowHeight="15"/>
  <cols>
    <col min="8" max="8" width="13.140625" customWidth="1"/>
    <col min="9" max="9" width="15.42578125" customWidth="1"/>
    <col min="10" max="10" width="15" customWidth="1"/>
    <col min="11" max="11" width="15.140625" customWidth="1"/>
    <col min="12" max="12" width="16.140625" customWidth="1"/>
    <col min="13" max="13" width="14.140625" customWidth="1"/>
  </cols>
  <sheetData>
    <row r="1" spans="1:14" ht="18.75">
      <c r="A1" s="2"/>
      <c r="B1" s="2"/>
      <c r="C1" s="2"/>
      <c r="D1" s="159" t="s">
        <v>32</v>
      </c>
      <c r="E1" s="159"/>
      <c r="F1" s="159"/>
      <c r="G1" s="159"/>
      <c r="H1" s="159"/>
      <c r="I1" s="159"/>
      <c r="J1" s="3"/>
      <c r="K1" s="3"/>
      <c r="L1" s="3"/>
      <c r="M1" s="2"/>
      <c r="N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  <c r="N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  <c r="N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  <c r="N4" s="2"/>
    </row>
    <row r="5" spans="1:14" ht="37.5">
      <c r="A5" s="2"/>
      <c r="B5" s="2"/>
      <c r="C5" s="2"/>
      <c r="D5" s="2"/>
      <c r="E5" s="2"/>
      <c r="F5" s="2"/>
      <c r="G5" s="2"/>
      <c r="H5" s="2"/>
      <c r="I5" s="152" t="s">
        <v>3</v>
      </c>
      <c r="J5" s="152" t="s">
        <v>4</v>
      </c>
      <c r="K5" s="152" t="s">
        <v>5</v>
      </c>
      <c r="L5" s="152" t="s">
        <v>6</v>
      </c>
      <c r="M5" s="152" t="s">
        <v>7</v>
      </c>
      <c r="N5" s="2"/>
    </row>
    <row r="6" spans="1:14" ht="18.75">
      <c r="A6" s="2"/>
      <c r="B6" s="2"/>
      <c r="C6" s="2"/>
      <c r="D6" s="2"/>
      <c r="E6" s="2"/>
      <c r="F6" s="2"/>
      <c r="G6" s="2"/>
      <c r="H6" s="2"/>
      <c r="I6" s="5"/>
      <c r="J6" s="5"/>
      <c r="K6" s="5"/>
      <c r="L6" s="5"/>
      <c r="M6" s="2"/>
      <c r="N6" s="2"/>
    </row>
    <row r="7" spans="1:14" ht="18.75">
      <c r="A7" s="1" t="s">
        <v>8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  <c r="N7" s="2"/>
    </row>
    <row r="8" spans="1:14" ht="18.75">
      <c r="A8" s="1"/>
      <c r="B8" s="1" t="s">
        <v>9</v>
      </c>
      <c r="C8" s="1"/>
      <c r="D8" s="1"/>
      <c r="E8" s="1"/>
      <c r="F8" s="1"/>
      <c r="G8" s="2"/>
      <c r="H8" s="2"/>
      <c r="I8" s="3"/>
      <c r="J8" s="3"/>
      <c r="K8" s="3"/>
      <c r="L8" s="3"/>
      <c r="M8" s="2"/>
      <c r="N8" s="2"/>
    </row>
    <row r="9" spans="1:14" ht="18.75">
      <c r="A9" s="2"/>
      <c r="B9" s="2"/>
      <c r="C9" s="2" t="s">
        <v>10</v>
      </c>
      <c r="D9" s="2"/>
      <c r="E9" s="2"/>
      <c r="F9" s="2"/>
      <c r="G9" s="2"/>
      <c r="H9" s="2"/>
      <c r="I9" s="3">
        <v>17327</v>
      </c>
      <c r="J9" s="3"/>
      <c r="K9" s="3"/>
      <c r="L9" s="3">
        <f>SUM(I9:K9)</f>
        <v>17327</v>
      </c>
      <c r="M9" s="3">
        <f>SUM(L9)</f>
        <v>17327</v>
      </c>
      <c r="N9" s="2"/>
    </row>
    <row r="10" spans="1:14" ht="18.75">
      <c r="A10" s="2"/>
      <c r="B10" s="2"/>
      <c r="C10" s="2" t="s">
        <v>11</v>
      </c>
      <c r="D10" s="2"/>
      <c r="E10" s="2"/>
      <c r="F10" s="2"/>
      <c r="G10" s="2"/>
      <c r="H10" s="2"/>
      <c r="I10" s="6">
        <v>15500</v>
      </c>
      <c r="J10" s="6">
        <v>23678</v>
      </c>
      <c r="K10" s="6">
        <v>-10389</v>
      </c>
      <c r="L10" s="6">
        <f>SUM(I10:K10)</f>
        <v>28789</v>
      </c>
      <c r="M10" s="3">
        <f>SUM(L10)</f>
        <v>28789</v>
      </c>
      <c r="N10" s="2"/>
    </row>
    <row r="11" spans="1:14" ht="18.75">
      <c r="A11" s="2"/>
      <c r="B11" s="2"/>
      <c r="C11" s="2"/>
      <c r="D11" s="2"/>
      <c r="E11" s="2"/>
      <c r="F11" s="2"/>
      <c r="G11" s="2"/>
      <c r="H11" s="2"/>
      <c r="I11" s="3"/>
      <c r="J11" s="3"/>
      <c r="K11" s="3"/>
      <c r="L11" s="3"/>
      <c r="M11" s="2"/>
      <c r="N11" s="2"/>
    </row>
    <row r="12" spans="1:14" ht="18.75">
      <c r="A12" s="1"/>
      <c r="B12" s="1"/>
      <c r="C12" s="1"/>
      <c r="D12" s="1" t="s">
        <v>12</v>
      </c>
      <c r="E12" s="1"/>
      <c r="F12" s="1"/>
      <c r="G12" s="1"/>
      <c r="H12" s="1"/>
      <c r="I12" s="7">
        <f>SUM(I8:I11)</f>
        <v>32827</v>
      </c>
      <c r="J12" s="7">
        <f>SUM(J8:J11)</f>
        <v>23678</v>
      </c>
      <c r="K12" s="7">
        <f>SUM(K8:K11)</f>
        <v>-10389</v>
      </c>
      <c r="L12" s="7">
        <f>SUM(L8:L11)</f>
        <v>46116</v>
      </c>
      <c r="M12" s="1"/>
      <c r="N12" s="2"/>
    </row>
    <row r="13" spans="1:14" ht="18.7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2"/>
      <c r="N13" s="2"/>
    </row>
    <row r="14" spans="1:14" ht="18.75">
      <c r="A14" s="1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2"/>
      <c r="N14" s="2"/>
    </row>
    <row r="15" spans="1:14" ht="18.75">
      <c r="A15" s="2"/>
      <c r="B15" s="2" t="s">
        <v>33</v>
      </c>
      <c r="C15" s="2"/>
      <c r="D15" s="2"/>
      <c r="E15" s="2"/>
      <c r="F15" s="2"/>
      <c r="G15" s="2"/>
      <c r="H15" s="2"/>
      <c r="I15" s="3">
        <v>103230</v>
      </c>
      <c r="J15" s="3">
        <v>10128</v>
      </c>
      <c r="K15" s="3"/>
      <c r="L15" s="3">
        <f>SUM(I15:K15)</f>
        <v>113358</v>
      </c>
      <c r="M15" s="2"/>
      <c r="N15" s="2"/>
    </row>
    <row r="16" spans="1:14" ht="18.75">
      <c r="A16" s="2"/>
      <c r="B16" s="2" t="s">
        <v>31</v>
      </c>
      <c r="C16" s="2"/>
      <c r="D16" s="2"/>
      <c r="E16" s="2"/>
      <c r="F16" s="2"/>
      <c r="G16" s="2"/>
      <c r="H16" s="2"/>
      <c r="I16" s="3">
        <v>13844</v>
      </c>
      <c r="J16" s="3">
        <v>866</v>
      </c>
      <c r="K16" s="3">
        <v>-65</v>
      </c>
      <c r="L16" s="3">
        <f t="shared" ref="L16:L20" si="0">SUM(I16:K16)</f>
        <v>14645</v>
      </c>
      <c r="M16" s="2"/>
      <c r="N16" s="2"/>
    </row>
    <row r="17" spans="1:14" ht="18.75">
      <c r="A17" s="2"/>
      <c r="B17" s="2" t="s">
        <v>34</v>
      </c>
      <c r="C17" s="2"/>
      <c r="D17" s="2"/>
      <c r="E17" s="2"/>
      <c r="F17" s="2"/>
      <c r="G17" s="2"/>
      <c r="H17" s="2"/>
      <c r="I17" s="3">
        <v>13441</v>
      </c>
      <c r="J17" s="3">
        <v>2019</v>
      </c>
      <c r="K17" s="3">
        <v>-34</v>
      </c>
      <c r="L17" s="3">
        <f t="shared" si="0"/>
        <v>15426</v>
      </c>
      <c r="M17" s="2"/>
      <c r="N17" s="2"/>
    </row>
    <row r="18" spans="1:14" ht="18.75">
      <c r="A18" s="2"/>
      <c r="B18" s="2" t="s">
        <v>30</v>
      </c>
      <c r="C18" s="2"/>
      <c r="D18" s="2"/>
      <c r="E18" s="2"/>
      <c r="F18" s="2"/>
      <c r="G18" s="2"/>
      <c r="H18" s="2"/>
      <c r="I18" s="3">
        <v>1121</v>
      </c>
      <c r="J18" s="3">
        <v>405</v>
      </c>
      <c r="K18" s="3"/>
      <c r="L18" s="3">
        <f t="shared" si="0"/>
        <v>1526</v>
      </c>
      <c r="M18" s="2"/>
      <c r="N18" s="2"/>
    </row>
    <row r="19" spans="1:14" ht="18.75">
      <c r="A19" s="2"/>
      <c r="B19" s="2" t="s">
        <v>35</v>
      </c>
      <c r="C19" s="2"/>
      <c r="D19" s="2"/>
      <c r="E19" s="2"/>
      <c r="F19" s="2"/>
      <c r="G19" s="2"/>
      <c r="H19" s="2"/>
      <c r="I19" s="3">
        <v>2478</v>
      </c>
      <c r="J19" s="3">
        <v>486</v>
      </c>
      <c r="K19" s="3">
        <v>-571</v>
      </c>
      <c r="L19" s="3">
        <f t="shared" si="0"/>
        <v>2393</v>
      </c>
      <c r="M19" s="2"/>
      <c r="N19" s="2"/>
    </row>
    <row r="20" spans="1:14" ht="18.75">
      <c r="A20" s="2"/>
      <c r="B20" s="2" t="s">
        <v>17</v>
      </c>
      <c r="C20" s="2"/>
      <c r="D20" s="2"/>
      <c r="E20" s="2"/>
      <c r="F20" s="2"/>
      <c r="G20" s="2"/>
      <c r="H20" s="2"/>
      <c r="I20" s="6">
        <v>228723</v>
      </c>
      <c r="J20" s="6">
        <v>2695</v>
      </c>
      <c r="K20" s="6"/>
      <c r="L20" s="6">
        <f t="shared" si="0"/>
        <v>231418</v>
      </c>
      <c r="M20" s="2"/>
      <c r="N20" s="2"/>
    </row>
    <row r="21" spans="1:14" ht="18.75">
      <c r="A21" s="2"/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2"/>
      <c r="N21" s="2"/>
    </row>
    <row r="22" spans="1:14" ht="18.75">
      <c r="A22" s="1"/>
      <c r="B22" s="1"/>
      <c r="C22" s="1"/>
      <c r="D22" s="1" t="s">
        <v>18</v>
      </c>
      <c r="E22" s="1"/>
      <c r="F22" s="1"/>
      <c r="G22" s="1"/>
      <c r="H22" s="1"/>
      <c r="I22" s="7">
        <f>SUM(I15:I21)</f>
        <v>362837</v>
      </c>
      <c r="J22" s="7">
        <f>SUM(J15:J21)</f>
        <v>16599</v>
      </c>
      <c r="K22" s="7">
        <f>SUM(K15:K21)</f>
        <v>-670</v>
      </c>
      <c r="L22" s="7">
        <f>SUM(L15:L20)</f>
        <v>378766</v>
      </c>
      <c r="M22" s="1"/>
      <c r="N22" s="2"/>
    </row>
    <row r="23" spans="1:14" ht="18.75">
      <c r="A23" s="2"/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2"/>
      <c r="N23" s="2"/>
    </row>
    <row r="24" spans="1:14" ht="18.75">
      <c r="A24" s="2" t="s">
        <v>19</v>
      </c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2"/>
      <c r="N24" s="2"/>
    </row>
    <row r="25" spans="1:14" ht="18.75">
      <c r="A25" s="2"/>
      <c r="B25" s="2" t="s">
        <v>33</v>
      </c>
      <c r="C25" s="2"/>
      <c r="D25" s="2"/>
      <c r="E25" s="2"/>
      <c r="F25" s="2"/>
      <c r="G25" s="2"/>
      <c r="H25" s="2"/>
      <c r="I25" s="3">
        <v>-23538</v>
      </c>
      <c r="J25" s="3">
        <v>-3382</v>
      </c>
      <c r="K25" s="3"/>
      <c r="L25" s="3">
        <f>SUM(I25:K25)</f>
        <v>-26920</v>
      </c>
      <c r="M25" s="3">
        <f>SUM(L25,L15)</f>
        <v>86438</v>
      </c>
      <c r="N25" s="2"/>
    </row>
    <row r="26" spans="1:14" ht="18.75">
      <c r="A26" s="2"/>
      <c r="B26" s="2" t="s">
        <v>31</v>
      </c>
      <c r="C26" s="2"/>
      <c r="D26" s="2"/>
      <c r="E26" s="2"/>
      <c r="F26" s="2"/>
      <c r="G26" s="2"/>
      <c r="H26" s="2"/>
      <c r="I26" s="3">
        <v>-8853</v>
      </c>
      <c r="J26" s="3">
        <v>-749</v>
      </c>
      <c r="K26" s="3">
        <v>65</v>
      </c>
      <c r="L26" s="3">
        <f t="shared" ref="L26:L30" si="1">SUM(I26:K26)</f>
        <v>-9537</v>
      </c>
      <c r="M26" s="3">
        <f t="shared" ref="M26:M30" si="2">SUM(L26,L16)</f>
        <v>5108</v>
      </c>
      <c r="N26" s="2"/>
    </row>
    <row r="27" spans="1:14" ht="18.75">
      <c r="A27" s="2"/>
      <c r="B27" s="2" t="s">
        <v>34</v>
      </c>
      <c r="C27" s="2"/>
      <c r="D27" s="2"/>
      <c r="E27" s="2"/>
      <c r="F27" s="2"/>
      <c r="G27" s="2"/>
      <c r="H27" s="2"/>
      <c r="I27" s="3">
        <v>-9933</v>
      </c>
      <c r="J27" s="3">
        <v>-1039</v>
      </c>
      <c r="K27" s="3">
        <v>34</v>
      </c>
      <c r="L27" s="3">
        <f t="shared" si="1"/>
        <v>-10938</v>
      </c>
      <c r="M27" s="3">
        <f t="shared" si="2"/>
        <v>4488</v>
      </c>
      <c r="N27" s="2"/>
    </row>
    <row r="28" spans="1:14" ht="18.75">
      <c r="A28" s="2"/>
      <c r="B28" s="2" t="s">
        <v>30</v>
      </c>
      <c r="C28" s="2"/>
      <c r="D28" s="2"/>
      <c r="E28" s="2"/>
      <c r="F28" s="2"/>
      <c r="G28" s="2"/>
      <c r="H28" s="2"/>
      <c r="I28" s="3">
        <v>-724</v>
      </c>
      <c r="J28" s="3">
        <v>-82</v>
      </c>
      <c r="K28" s="3"/>
      <c r="L28" s="3">
        <f t="shared" si="1"/>
        <v>-806</v>
      </c>
      <c r="M28" s="3">
        <f t="shared" si="2"/>
        <v>720</v>
      </c>
      <c r="N28" s="2"/>
    </row>
    <row r="29" spans="1:14" ht="18.75">
      <c r="A29" s="2"/>
      <c r="B29" s="2" t="s">
        <v>35</v>
      </c>
      <c r="C29" s="2"/>
      <c r="D29" s="2"/>
      <c r="E29" s="2"/>
      <c r="F29" s="2"/>
      <c r="G29" s="2"/>
      <c r="H29" s="2"/>
      <c r="I29" s="3">
        <v>-1555</v>
      </c>
      <c r="J29" s="3">
        <v>-479</v>
      </c>
      <c r="K29" s="3">
        <v>571</v>
      </c>
      <c r="L29" s="3">
        <f t="shared" si="1"/>
        <v>-1463</v>
      </c>
      <c r="M29" s="3">
        <f t="shared" si="2"/>
        <v>930</v>
      </c>
      <c r="N29" s="2"/>
    </row>
    <row r="30" spans="1:14" ht="18.75">
      <c r="A30" s="2"/>
      <c r="B30" s="2" t="s">
        <v>17</v>
      </c>
      <c r="C30" s="2"/>
      <c r="D30" s="2"/>
      <c r="E30" s="2"/>
      <c r="F30" s="2"/>
      <c r="G30" s="2"/>
      <c r="H30" s="2"/>
      <c r="I30" s="6">
        <v>-137255</v>
      </c>
      <c r="J30" s="6">
        <v>-10648</v>
      </c>
      <c r="K30" s="6"/>
      <c r="L30" s="6">
        <f t="shared" si="1"/>
        <v>-147903</v>
      </c>
      <c r="M30" s="3">
        <f t="shared" si="2"/>
        <v>83515</v>
      </c>
      <c r="N30" s="2"/>
    </row>
    <row r="31" spans="1:14" ht="18.75">
      <c r="A31" s="2"/>
      <c r="B31" s="2"/>
      <c r="C31" s="2"/>
      <c r="D31" s="2"/>
      <c r="E31" s="2"/>
      <c r="F31" s="2"/>
      <c r="G31" s="2"/>
      <c r="H31" s="2"/>
      <c r="I31" s="3"/>
      <c r="J31" s="3"/>
      <c r="K31" s="3"/>
      <c r="L31" s="3"/>
      <c r="M31" s="2"/>
      <c r="N31" s="2"/>
    </row>
    <row r="32" spans="1:14" ht="18.75">
      <c r="A32" s="1"/>
      <c r="B32" s="1"/>
      <c r="C32" s="1"/>
      <c r="D32" s="1" t="s">
        <v>20</v>
      </c>
      <c r="E32" s="1"/>
      <c r="F32" s="1"/>
      <c r="G32" s="1"/>
      <c r="H32" s="1"/>
      <c r="I32" s="7">
        <f>SUM(I25:I31)</f>
        <v>-181858</v>
      </c>
      <c r="J32" s="7">
        <f>SUM(J25:J31)</f>
        <v>-16379</v>
      </c>
      <c r="K32" s="7">
        <f>SUM(K25:K31)</f>
        <v>670</v>
      </c>
      <c r="L32" s="7">
        <f>SUM(L25:L31)</f>
        <v>-197567</v>
      </c>
      <c r="M32" s="1"/>
      <c r="N32" s="2"/>
    </row>
    <row r="33" spans="1:14" ht="18.75">
      <c r="A33" s="2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2"/>
      <c r="N33" s="2"/>
    </row>
    <row r="34" spans="1:14" ht="18.75">
      <c r="A34" s="1"/>
      <c r="B34" s="1" t="s">
        <v>21</v>
      </c>
      <c r="C34" s="1"/>
      <c r="D34" s="1"/>
      <c r="E34" s="1"/>
      <c r="F34" s="1"/>
      <c r="G34" s="1"/>
      <c r="H34" s="1"/>
      <c r="I34" s="7">
        <f>I22+I32</f>
        <v>180979</v>
      </c>
      <c r="J34" s="7">
        <f t="shared" ref="J34:L34" si="3">J22+J32</f>
        <v>220</v>
      </c>
      <c r="K34" s="7">
        <f>K22+K32</f>
        <v>0</v>
      </c>
      <c r="L34" s="7">
        <f t="shared" si="3"/>
        <v>181199</v>
      </c>
      <c r="M34" s="1"/>
      <c r="N34" s="2"/>
    </row>
    <row r="35" spans="1:14" ht="18.75">
      <c r="A35" s="2"/>
      <c r="B35" s="2"/>
      <c r="C35" s="2"/>
      <c r="D35" s="2"/>
      <c r="E35" s="2"/>
      <c r="F35" s="2"/>
      <c r="G35" s="2"/>
      <c r="H35" s="2"/>
      <c r="I35" s="3"/>
      <c r="J35" s="3"/>
      <c r="K35" s="3"/>
      <c r="L35" s="3"/>
      <c r="M35" s="2"/>
      <c r="N35" s="2"/>
    </row>
    <row r="36" spans="1:14" ht="18.75">
      <c r="A36" s="2"/>
      <c r="B36" s="1" t="s">
        <v>22</v>
      </c>
      <c r="C36" s="2"/>
      <c r="D36" s="2"/>
      <c r="E36" s="2"/>
      <c r="F36" s="2"/>
      <c r="G36" s="2"/>
      <c r="H36" s="2"/>
      <c r="I36" s="9">
        <f>I32+I22+I12</f>
        <v>213806</v>
      </c>
      <c r="J36" s="9">
        <f>J32+J22+J12</f>
        <v>23898</v>
      </c>
      <c r="K36" s="9">
        <f>K32+K22+K12</f>
        <v>-10389</v>
      </c>
      <c r="L36" s="9">
        <f>L32+L22+L12</f>
        <v>227315</v>
      </c>
      <c r="M36" s="3">
        <f>SUM(M25:M30,M9:M10)</f>
        <v>227315</v>
      </c>
      <c r="N36" s="2"/>
    </row>
    <row r="37" spans="1:14" ht="18.75">
      <c r="A37" s="2"/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2"/>
      <c r="N37" s="2"/>
    </row>
    <row r="38" spans="1:14" ht="18.75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2"/>
      <c r="N38" s="2"/>
    </row>
    <row r="39" spans="1:14" ht="37.5">
      <c r="A39" s="2"/>
      <c r="B39" s="2"/>
      <c r="C39" s="2"/>
      <c r="D39" s="2"/>
      <c r="E39" s="2"/>
      <c r="F39" s="2"/>
      <c r="G39" s="2"/>
      <c r="H39" s="2"/>
      <c r="I39" s="152" t="s">
        <v>3</v>
      </c>
      <c r="J39" s="152" t="s">
        <v>4</v>
      </c>
      <c r="K39" s="152" t="s">
        <v>5</v>
      </c>
      <c r="L39" s="152" t="s">
        <v>6</v>
      </c>
      <c r="M39" s="2"/>
      <c r="N39" s="2"/>
    </row>
    <row r="40" spans="1:14" ht="18.75">
      <c r="A40" s="1" t="s">
        <v>36</v>
      </c>
      <c r="B40" s="1"/>
      <c r="C40" s="1"/>
      <c r="D40" s="1"/>
      <c r="E40" s="1"/>
      <c r="F40" s="1"/>
      <c r="G40" s="2"/>
      <c r="H40" s="2"/>
      <c r="I40" s="3"/>
      <c r="J40" s="3"/>
      <c r="K40" s="3"/>
      <c r="L40" s="3"/>
      <c r="M40" s="2"/>
      <c r="N40" s="2"/>
    </row>
    <row r="41" spans="1:14" ht="18.75">
      <c r="A41" s="1"/>
      <c r="B41" s="1" t="s">
        <v>9</v>
      </c>
      <c r="C41" s="1"/>
      <c r="D41" s="1"/>
      <c r="E41" s="1"/>
      <c r="F41" s="1"/>
      <c r="G41" s="2"/>
      <c r="H41" s="2"/>
      <c r="I41" s="3"/>
      <c r="J41" s="3"/>
      <c r="K41" s="3"/>
      <c r="L41" s="3"/>
      <c r="M41" s="2"/>
      <c r="N41" s="2"/>
    </row>
    <row r="42" spans="1:14" ht="18.75">
      <c r="A42" s="2"/>
      <c r="B42" s="2"/>
      <c r="C42" s="2" t="s">
        <v>10</v>
      </c>
      <c r="D42" s="2"/>
      <c r="E42" s="2"/>
      <c r="F42" s="2"/>
      <c r="G42" s="2"/>
      <c r="H42" s="2"/>
      <c r="I42" s="3">
        <v>670</v>
      </c>
      <c r="J42" s="3"/>
      <c r="K42" s="3"/>
      <c r="L42" s="3">
        <f>SUM(I42:K42)</f>
        <v>670</v>
      </c>
      <c r="M42" s="3">
        <f>SUM(L42)</f>
        <v>670</v>
      </c>
      <c r="N42" s="2"/>
    </row>
    <row r="43" spans="1:14" ht="18.75">
      <c r="A43" s="2"/>
      <c r="B43" s="2"/>
      <c r="C43" s="2" t="s">
        <v>11</v>
      </c>
      <c r="D43" s="2"/>
      <c r="E43" s="2"/>
      <c r="F43" s="2"/>
      <c r="G43" s="2"/>
      <c r="H43" s="2"/>
      <c r="I43" s="6">
        <v>1007</v>
      </c>
      <c r="J43" s="6">
        <v>237</v>
      </c>
      <c r="K43" s="6">
        <v>-259</v>
      </c>
      <c r="L43" s="6">
        <f>SUM(I43:K43)</f>
        <v>985</v>
      </c>
      <c r="M43" s="3">
        <f>SUM(L43)</f>
        <v>985</v>
      </c>
      <c r="N43" s="2"/>
    </row>
    <row r="44" spans="1:14" ht="18.75">
      <c r="A44" s="2"/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2"/>
      <c r="N44" s="2"/>
    </row>
    <row r="45" spans="1:14" ht="18.75">
      <c r="A45" s="1"/>
      <c r="B45" s="1"/>
      <c r="C45" s="1"/>
      <c r="D45" s="1" t="s">
        <v>12</v>
      </c>
      <c r="E45" s="1"/>
      <c r="F45" s="1"/>
      <c r="G45" s="1"/>
      <c r="H45" s="1"/>
      <c r="I45" s="7">
        <f>SUM(I41:I44)</f>
        <v>1677</v>
      </c>
      <c r="J45" s="7">
        <f>SUM(J41:J44)</f>
        <v>237</v>
      </c>
      <c r="K45" s="7">
        <f>SUM(K41:K44)</f>
        <v>-259</v>
      </c>
      <c r="L45" s="7">
        <f>SUM(L41:L44)</f>
        <v>1655</v>
      </c>
      <c r="M45" s="2"/>
      <c r="N45" s="2"/>
    </row>
    <row r="46" spans="1:14" ht="18.75">
      <c r="A46" s="2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2"/>
      <c r="N46" s="2"/>
    </row>
    <row r="47" spans="1:14" ht="18.75">
      <c r="A47" s="2"/>
      <c r="B47" s="1" t="s">
        <v>37</v>
      </c>
      <c r="C47" s="2"/>
      <c r="D47" s="2"/>
      <c r="E47" s="2"/>
      <c r="F47" s="2"/>
      <c r="G47" s="2"/>
      <c r="H47" s="2"/>
      <c r="I47" s="3"/>
      <c r="J47" s="3"/>
      <c r="K47" s="3"/>
      <c r="L47" s="3"/>
      <c r="M47" s="2"/>
      <c r="N47" s="2"/>
    </row>
    <row r="48" spans="1:14" ht="18.75">
      <c r="A48" s="2"/>
      <c r="B48" s="2"/>
      <c r="C48" s="2" t="s">
        <v>38</v>
      </c>
      <c r="D48" s="2"/>
      <c r="E48" s="2"/>
      <c r="F48" s="2"/>
      <c r="G48" s="2"/>
      <c r="H48" s="2"/>
      <c r="I48" s="3">
        <v>5779</v>
      </c>
      <c r="J48" s="3"/>
      <c r="K48" s="3"/>
      <c r="L48" s="3">
        <f>SUM(I48:K48)</f>
        <v>5779</v>
      </c>
      <c r="M48" s="2"/>
      <c r="N48" s="2"/>
    </row>
    <row r="49" spans="1:14" ht="18.75">
      <c r="A49" s="2"/>
      <c r="B49" s="2"/>
      <c r="C49" s="2" t="s">
        <v>39</v>
      </c>
      <c r="D49" s="2"/>
      <c r="E49" s="2"/>
      <c r="F49" s="2"/>
      <c r="G49" s="2"/>
      <c r="H49" s="2"/>
      <c r="I49" s="3">
        <v>765</v>
      </c>
      <c r="J49" s="3"/>
      <c r="K49" s="3"/>
      <c r="L49" s="3">
        <f t="shared" ref="L49:L51" si="4">SUM(I49:K49)</f>
        <v>765</v>
      </c>
      <c r="M49" s="2"/>
      <c r="N49" s="2"/>
    </row>
    <row r="50" spans="1:14" ht="18.75">
      <c r="A50" s="2"/>
      <c r="B50" s="2"/>
      <c r="C50" s="2" t="s">
        <v>40</v>
      </c>
      <c r="D50" s="2"/>
      <c r="E50" s="2"/>
      <c r="F50" s="2"/>
      <c r="G50" s="2"/>
      <c r="H50" s="2"/>
      <c r="I50" s="3">
        <v>181</v>
      </c>
      <c r="J50" s="3">
        <v>84</v>
      </c>
      <c r="K50" s="3">
        <v>-16</v>
      </c>
      <c r="L50" s="3">
        <f t="shared" si="4"/>
        <v>249</v>
      </c>
      <c r="M50" s="2"/>
      <c r="N50" s="2"/>
    </row>
    <row r="51" spans="1:14" ht="18.75">
      <c r="A51" s="2"/>
      <c r="B51" s="2"/>
      <c r="C51" s="2" t="s">
        <v>41</v>
      </c>
      <c r="D51" s="2"/>
      <c r="E51" s="2"/>
      <c r="F51" s="2"/>
      <c r="G51" s="2"/>
      <c r="H51" s="2"/>
      <c r="I51" s="6">
        <v>8107</v>
      </c>
      <c r="J51" s="6">
        <v>230</v>
      </c>
      <c r="K51" s="6"/>
      <c r="L51" s="6">
        <f t="shared" si="4"/>
        <v>8337</v>
      </c>
      <c r="M51" s="2"/>
      <c r="N51" s="2"/>
    </row>
    <row r="52" spans="1:14" ht="18.75">
      <c r="A52" s="2"/>
      <c r="B52" s="2"/>
      <c r="C52" s="2"/>
      <c r="D52" s="2"/>
      <c r="E52" s="2"/>
      <c r="F52" s="2"/>
      <c r="G52" s="2"/>
      <c r="H52" s="2"/>
      <c r="I52" s="3"/>
      <c r="J52" s="3"/>
      <c r="K52" s="3"/>
      <c r="L52" s="3"/>
      <c r="M52" s="2"/>
      <c r="N52" s="2"/>
    </row>
    <row r="53" spans="1:14" ht="18.75">
      <c r="A53" s="2"/>
      <c r="B53" s="2"/>
      <c r="C53" s="2"/>
      <c r="D53" s="1" t="s">
        <v>42</v>
      </c>
      <c r="E53" s="1"/>
      <c r="F53" s="1"/>
      <c r="G53" s="1"/>
      <c r="H53" s="2"/>
      <c r="I53" s="8">
        <f>SUM(I47:I51)</f>
        <v>14832</v>
      </c>
      <c r="J53" s="8">
        <f t="shared" ref="J53:L53" si="5">SUM(J47:J51)</f>
        <v>314</v>
      </c>
      <c r="K53" s="8">
        <f t="shared" si="5"/>
        <v>-16</v>
      </c>
      <c r="L53" s="8">
        <f t="shared" si="5"/>
        <v>15130</v>
      </c>
      <c r="M53" s="2"/>
      <c r="N53" s="2"/>
    </row>
    <row r="54" spans="1:14" ht="18.75">
      <c r="A54" s="2"/>
      <c r="B54" s="2"/>
      <c r="C54" s="2"/>
      <c r="D54" s="2"/>
      <c r="E54" s="2"/>
      <c r="F54" s="2"/>
      <c r="G54" s="2"/>
      <c r="H54" s="2"/>
      <c r="I54" s="3"/>
      <c r="J54" s="3"/>
      <c r="K54" s="3"/>
      <c r="L54" s="3"/>
      <c r="M54" s="2"/>
      <c r="N54" s="2"/>
    </row>
    <row r="55" spans="1:14" ht="18.75">
      <c r="A55" s="2"/>
      <c r="B55" s="2" t="s">
        <v>19</v>
      </c>
      <c r="C55" s="2"/>
      <c r="D55" s="2"/>
      <c r="E55" s="2"/>
      <c r="F55" s="2"/>
      <c r="G55" s="2"/>
      <c r="H55" s="2"/>
      <c r="I55" s="3"/>
      <c r="J55" s="3"/>
      <c r="K55" s="3"/>
      <c r="L55" s="3"/>
      <c r="M55" s="2"/>
      <c r="N55" s="2"/>
    </row>
    <row r="56" spans="1:14" ht="18.75">
      <c r="A56" s="2"/>
      <c r="B56" s="2"/>
      <c r="C56" s="2" t="s">
        <v>38</v>
      </c>
      <c r="D56" s="2"/>
      <c r="E56" s="2"/>
      <c r="F56" s="2"/>
      <c r="G56" s="2"/>
      <c r="H56" s="2"/>
      <c r="I56" s="3">
        <v>-2342</v>
      </c>
      <c r="J56" s="3">
        <v>-289</v>
      </c>
      <c r="K56" s="3"/>
      <c r="L56" s="3">
        <f>SUM(I56:K56)</f>
        <v>-2631</v>
      </c>
      <c r="M56" s="3">
        <f>SUM(L56,L48)</f>
        <v>3148</v>
      </c>
      <c r="N56" s="2"/>
    </row>
    <row r="57" spans="1:14" ht="18.75">
      <c r="A57" s="2"/>
      <c r="B57" s="2"/>
      <c r="C57" s="2" t="s">
        <v>39</v>
      </c>
      <c r="D57" s="2"/>
      <c r="E57" s="2"/>
      <c r="F57" s="2"/>
      <c r="G57" s="2"/>
      <c r="H57" s="2"/>
      <c r="I57" s="3">
        <v>-415</v>
      </c>
      <c r="J57" s="3">
        <v>-11</v>
      </c>
      <c r="K57" s="3"/>
      <c r="L57" s="3">
        <f>SUM(I57:K57)</f>
        <v>-426</v>
      </c>
      <c r="M57" s="3">
        <f>SUM(L57,L49)</f>
        <v>339</v>
      </c>
      <c r="N57" s="2"/>
    </row>
    <row r="58" spans="1:14" ht="18.75">
      <c r="A58" s="2"/>
      <c r="B58" s="2"/>
      <c r="C58" s="2" t="s">
        <v>40</v>
      </c>
      <c r="D58" s="2"/>
      <c r="E58" s="2"/>
      <c r="F58" s="2"/>
      <c r="G58" s="2"/>
      <c r="H58" s="2"/>
      <c r="I58" s="3">
        <v>-90</v>
      </c>
      <c r="J58" s="3">
        <v>-18</v>
      </c>
      <c r="K58" s="3">
        <v>16</v>
      </c>
      <c r="L58" s="3">
        <f t="shared" ref="L58:L59" si="6">SUM(I58:K58)</f>
        <v>-92</v>
      </c>
      <c r="M58" s="3">
        <f>SUM(L58,L50)</f>
        <v>157</v>
      </c>
      <c r="N58" s="2"/>
    </row>
    <row r="59" spans="1:14" ht="18.75">
      <c r="A59" s="2"/>
      <c r="B59" s="2"/>
      <c r="C59" s="2" t="s">
        <v>41</v>
      </c>
      <c r="D59" s="2"/>
      <c r="E59" s="2"/>
      <c r="F59" s="2"/>
      <c r="G59" s="2"/>
      <c r="H59" s="2"/>
      <c r="I59" s="6">
        <v>-1893</v>
      </c>
      <c r="J59" s="6">
        <v>-453</v>
      </c>
      <c r="K59" s="6"/>
      <c r="L59" s="6">
        <f t="shared" si="6"/>
        <v>-2346</v>
      </c>
      <c r="M59" s="3">
        <f t="shared" ref="M59" si="7">SUM(L59,L51)</f>
        <v>5991</v>
      </c>
      <c r="N59" s="2"/>
    </row>
    <row r="60" spans="1:14" ht="18.75">
      <c r="A60" s="2"/>
      <c r="B60" s="2"/>
      <c r="C60" s="2"/>
      <c r="D60" s="2"/>
      <c r="E60" s="2"/>
      <c r="F60" s="2"/>
      <c r="G60" s="2"/>
      <c r="H60" s="2"/>
      <c r="I60" s="3"/>
      <c r="J60" s="3"/>
      <c r="K60" s="3"/>
      <c r="L60" s="3"/>
      <c r="M60" s="2"/>
      <c r="N60" s="2"/>
    </row>
    <row r="61" spans="1:14" ht="18.75">
      <c r="A61" s="2"/>
      <c r="B61" s="2"/>
      <c r="C61" s="2"/>
      <c r="D61" s="1" t="s">
        <v>20</v>
      </c>
      <c r="E61" s="1"/>
      <c r="F61" s="1"/>
      <c r="G61" s="1"/>
      <c r="H61" s="2"/>
      <c r="I61" s="8">
        <f>SUM(I56:I59)</f>
        <v>-4740</v>
      </c>
      <c r="J61" s="8">
        <f t="shared" ref="J61:K61" si="8">SUM(J56:J59)</f>
        <v>-771</v>
      </c>
      <c r="K61" s="8">
        <f t="shared" si="8"/>
        <v>16</v>
      </c>
      <c r="L61" s="8">
        <f>SUM(L56:L59)</f>
        <v>-5495</v>
      </c>
      <c r="M61" s="2"/>
      <c r="N61" s="2"/>
    </row>
    <row r="62" spans="1:14" ht="18.75">
      <c r="A62" s="2"/>
      <c r="B62" s="2"/>
      <c r="C62" s="2"/>
      <c r="D62" s="1"/>
      <c r="E62" s="1"/>
      <c r="F62" s="1"/>
      <c r="G62" s="1"/>
      <c r="H62" s="2"/>
      <c r="I62" s="3"/>
      <c r="J62" s="3"/>
      <c r="K62" s="3"/>
      <c r="L62" s="3"/>
      <c r="M62" s="2"/>
      <c r="N62" s="2"/>
    </row>
    <row r="63" spans="1:14" ht="18.75">
      <c r="A63" s="2"/>
      <c r="B63" s="2"/>
      <c r="C63" s="2"/>
      <c r="D63" s="1" t="s">
        <v>43</v>
      </c>
      <c r="E63" s="1"/>
      <c r="F63" s="1"/>
      <c r="G63" s="1"/>
      <c r="H63" s="2"/>
      <c r="I63" s="8">
        <f>I53+I61</f>
        <v>10092</v>
      </c>
      <c r="J63" s="8">
        <f t="shared" ref="J63:L63" si="9">J53+J61</f>
        <v>-457</v>
      </c>
      <c r="K63" s="8">
        <f t="shared" si="9"/>
        <v>0</v>
      </c>
      <c r="L63" s="8">
        <f t="shared" si="9"/>
        <v>9635</v>
      </c>
      <c r="M63" s="3"/>
      <c r="N63" s="2"/>
    </row>
    <row r="64" spans="1:14" ht="18.75">
      <c r="A64" s="2"/>
      <c r="B64" s="2"/>
      <c r="C64" s="2"/>
      <c r="D64" s="1"/>
      <c r="E64" s="1"/>
      <c r="F64" s="1"/>
      <c r="G64" s="1"/>
      <c r="H64" s="2"/>
      <c r="I64" s="3"/>
      <c r="J64" s="3"/>
      <c r="K64" s="3"/>
      <c r="L64" s="3"/>
      <c r="M64" s="2"/>
      <c r="N64" s="2"/>
    </row>
    <row r="65" spans="1:14" ht="18.75">
      <c r="A65" s="2"/>
      <c r="B65" s="2"/>
      <c r="C65" s="2"/>
      <c r="D65" s="1" t="s">
        <v>44</v>
      </c>
      <c r="E65" s="1"/>
      <c r="F65" s="1"/>
      <c r="G65" s="1"/>
      <c r="H65" s="2"/>
      <c r="I65" s="9">
        <f>I63+I45</f>
        <v>11769</v>
      </c>
      <c r="J65" s="9">
        <f t="shared" ref="J65" si="10">J63+J45</f>
        <v>-220</v>
      </c>
      <c r="K65" s="9">
        <f>K63+K45</f>
        <v>-259</v>
      </c>
      <c r="L65" s="9">
        <f>L63+L45</f>
        <v>11290</v>
      </c>
      <c r="M65" s="3">
        <f>SUM(M56:M59,M42:M43)</f>
        <v>11290</v>
      </c>
      <c r="N65" s="2"/>
    </row>
    <row r="66" spans="1:14" ht="18.75">
      <c r="A66" s="2"/>
      <c r="B66" s="2"/>
      <c r="C66" s="2"/>
      <c r="D66" s="2"/>
      <c r="E66" s="2"/>
      <c r="F66" s="2"/>
      <c r="G66" s="2"/>
      <c r="H66" s="2"/>
      <c r="I66" s="3"/>
      <c r="J66" s="3"/>
      <c r="K66" s="3"/>
      <c r="L66" s="3"/>
      <c r="M66" s="2"/>
      <c r="N66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23"/>
  <sheetViews>
    <sheetView topLeftCell="K8" zoomScale="80" zoomScaleNormal="80" zoomScalePageLayoutView="70" workbookViewId="0">
      <selection activeCell="O18" sqref="O18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20.42578125" style="3" bestFit="1" customWidth="1"/>
    <col min="10" max="12" width="16.85546875" style="3" customWidth="1"/>
    <col min="13" max="13" width="22" style="2" customWidth="1"/>
    <col min="14" max="14" width="26.42578125" style="2" customWidth="1"/>
    <col min="15" max="15" width="38.85546875" style="2" customWidth="1"/>
    <col min="16" max="16" width="12.28515625" style="2" customWidth="1"/>
    <col min="17" max="16384" width="8.85546875" style="2"/>
  </cols>
  <sheetData>
    <row r="1" spans="1:14">
      <c r="D1" s="159" t="s">
        <v>45</v>
      </c>
      <c r="E1" s="159"/>
      <c r="F1" s="159"/>
      <c r="G1" s="159"/>
      <c r="H1" s="159"/>
      <c r="I1" s="159"/>
    </row>
    <row r="2" spans="1:14">
      <c r="D2" s="159" t="s">
        <v>1</v>
      </c>
      <c r="E2" s="159"/>
      <c r="F2" s="159"/>
      <c r="G2" s="159"/>
      <c r="H2" s="159"/>
      <c r="I2" s="159"/>
    </row>
    <row r="3" spans="1:14">
      <c r="D3" s="159" t="s">
        <v>2</v>
      </c>
      <c r="E3" s="159"/>
      <c r="F3" s="159"/>
      <c r="G3" s="159"/>
      <c r="H3" s="159"/>
      <c r="I3" s="159"/>
    </row>
    <row r="4" spans="1:14" ht="14.25" customHeight="1">
      <c r="D4" s="151"/>
      <c r="E4" s="151"/>
      <c r="F4" s="151"/>
      <c r="G4" s="151"/>
      <c r="H4" s="151"/>
      <c r="I4" s="4"/>
    </row>
    <row r="5" spans="1:14" ht="60.75" customHeight="1">
      <c r="I5" s="11" t="s">
        <v>46</v>
      </c>
      <c r="J5" s="11" t="s">
        <v>47</v>
      </c>
      <c r="K5" s="11" t="s">
        <v>48</v>
      </c>
      <c r="L5" s="11" t="s">
        <v>49</v>
      </c>
      <c r="M5" s="81" t="s">
        <v>50</v>
      </c>
      <c r="N5" s="11" t="s">
        <v>7</v>
      </c>
    </row>
    <row r="6" spans="1:14">
      <c r="I6" s="16"/>
      <c r="J6" s="16"/>
      <c r="K6" s="16"/>
      <c r="L6" s="16"/>
    </row>
    <row r="7" spans="1:14">
      <c r="A7" s="1" t="s">
        <v>51</v>
      </c>
      <c r="B7" s="1"/>
      <c r="C7" s="1"/>
      <c r="D7" s="1"/>
      <c r="E7" s="1"/>
      <c r="F7" s="1"/>
    </row>
    <row r="8" spans="1:14">
      <c r="A8" s="1" t="s">
        <v>52</v>
      </c>
      <c r="B8" s="1"/>
      <c r="C8" s="1"/>
      <c r="D8" s="1"/>
      <c r="E8" s="1"/>
      <c r="F8" s="1"/>
    </row>
    <row r="9" spans="1:14">
      <c r="B9" s="2" t="s">
        <v>10</v>
      </c>
      <c r="I9" s="3">
        <v>2334193</v>
      </c>
      <c r="J9" s="3">
        <v>93366</v>
      </c>
      <c r="K9" s="3">
        <v>-1600</v>
      </c>
      <c r="M9" s="3">
        <f>SUM(I9:K9)</f>
        <v>2425959</v>
      </c>
      <c r="N9" s="3">
        <f>M9</f>
        <v>2425959</v>
      </c>
    </row>
    <row r="10" spans="1:14">
      <c r="B10" s="2" t="s">
        <v>29</v>
      </c>
      <c r="I10" s="3">
        <v>23864600</v>
      </c>
      <c r="J10" s="3">
        <v>85276</v>
      </c>
      <c r="K10" s="3">
        <v>-1100</v>
      </c>
      <c r="L10" s="3">
        <v>25577</v>
      </c>
      <c r="M10" s="3">
        <f t="shared" ref="M10:M14" si="0">SUM(I10:K10)</f>
        <v>23948776</v>
      </c>
      <c r="N10" s="3">
        <f t="shared" ref="N10" si="1">M10</f>
        <v>23948776</v>
      </c>
    </row>
    <row r="11" spans="1:14">
      <c r="A11" s="1"/>
      <c r="B11" s="2" t="s">
        <v>53</v>
      </c>
      <c r="C11" s="1"/>
      <c r="D11" s="1"/>
      <c r="E11" s="1"/>
      <c r="F11" s="1"/>
      <c r="G11" s="1"/>
      <c r="H11" s="1"/>
      <c r="I11" s="3">
        <v>11757126</v>
      </c>
      <c r="J11" s="3">
        <v>206249</v>
      </c>
      <c r="K11" s="3">
        <v>-34717</v>
      </c>
      <c r="L11" s="3">
        <v>371937</v>
      </c>
      <c r="M11" s="3">
        <f t="shared" si="0"/>
        <v>11928658</v>
      </c>
    </row>
    <row r="12" spans="1:14">
      <c r="A12" s="1"/>
      <c r="B12" s="2" t="s">
        <v>54</v>
      </c>
      <c r="C12" s="1"/>
      <c r="D12" s="1"/>
      <c r="E12" s="1"/>
      <c r="F12" s="1"/>
      <c r="G12" s="1"/>
      <c r="H12" s="1"/>
      <c r="I12" s="3">
        <v>16226076</v>
      </c>
      <c r="J12" s="3">
        <v>491740</v>
      </c>
      <c r="K12" s="3">
        <v>-8001</v>
      </c>
      <c r="M12" s="3">
        <f t="shared" si="0"/>
        <v>16709815</v>
      </c>
    </row>
    <row r="13" spans="1:14">
      <c r="A13" s="1"/>
      <c r="B13" s="2" t="s">
        <v>55</v>
      </c>
      <c r="C13" s="1"/>
      <c r="D13" s="1"/>
      <c r="E13" s="1"/>
      <c r="F13" s="1"/>
      <c r="G13" s="1"/>
      <c r="H13" s="1"/>
      <c r="I13" s="3">
        <v>588844</v>
      </c>
      <c r="M13" s="3">
        <f t="shared" si="0"/>
        <v>588844</v>
      </c>
    </row>
    <row r="14" spans="1:14">
      <c r="A14" s="1"/>
      <c r="B14" s="2" t="s">
        <v>56</v>
      </c>
      <c r="C14" s="1"/>
      <c r="D14" s="1"/>
      <c r="E14" s="1"/>
      <c r="F14" s="1"/>
      <c r="G14" s="1"/>
      <c r="H14" s="1"/>
      <c r="I14" s="3">
        <v>7306012</v>
      </c>
      <c r="J14" s="3">
        <v>692596</v>
      </c>
      <c r="K14" s="3">
        <v>-275906</v>
      </c>
      <c r="M14" s="3">
        <f t="shared" si="0"/>
        <v>7722702</v>
      </c>
    </row>
    <row r="15" spans="1:14">
      <c r="A15" s="1"/>
      <c r="B15" s="2" t="s">
        <v>11</v>
      </c>
      <c r="C15" s="1"/>
      <c r="D15" s="1"/>
      <c r="E15" s="1"/>
      <c r="F15" s="1"/>
      <c r="G15" s="1"/>
      <c r="H15" s="1"/>
      <c r="I15" s="3">
        <v>701781</v>
      </c>
      <c r="J15" s="3">
        <v>3421482</v>
      </c>
      <c r="K15" s="3">
        <v>-80927</v>
      </c>
      <c r="L15" s="3">
        <v>-397514</v>
      </c>
      <c r="M15" s="3">
        <f>SUM(I15:K15)</f>
        <v>4042336</v>
      </c>
    </row>
    <row r="16" spans="1:14">
      <c r="A16" s="1"/>
      <c r="B16" s="1"/>
      <c r="C16" s="1" t="s">
        <v>57</v>
      </c>
      <c r="D16" s="1"/>
      <c r="E16" s="1"/>
      <c r="F16" s="1"/>
      <c r="G16" s="1"/>
      <c r="H16" s="1"/>
      <c r="I16" s="12">
        <f>SUM(I9:I15)</f>
        <v>62778632</v>
      </c>
      <c r="J16" s="12">
        <f t="shared" ref="J16:M16" si="2">SUM(J9:J15)</f>
        <v>4990709</v>
      </c>
      <c r="K16" s="12">
        <f t="shared" si="2"/>
        <v>-402251</v>
      </c>
      <c r="L16" s="12">
        <f t="shared" si="2"/>
        <v>0</v>
      </c>
      <c r="M16" s="12">
        <f t="shared" si="2"/>
        <v>67367090</v>
      </c>
    </row>
    <row r="17" spans="1:15">
      <c r="A17" s="1"/>
      <c r="B17" s="1"/>
      <c r="C17" s="1"/>
      <c r="D17" s="1"/>
      <c r="E17" s="1"/>
      <c r="F17" s="1"/>
      <c r="G17" s="1"/>
      <c r="H17" s="1"/>
      <c r="I17" s="15"/>
      <c r="J17" s="15"/>
      <c r="K17" s="15"/>
      <c r="L17" s="15"/>
      <c r="M17" s="15"/>
    </row>
    <row r="18" spans="1:15">
      <c r="A18" s="1"/>
      <c r="B18" s="1"/>
      <c r="C18" s="1"/>
      <c r="D18" s="1" t="s">
        <v>58</v>
      </c>
      <c r="E18" s="1"/>
      <c r="F18" s="1"/>
      <c r="G18" s="1"/>
      <c r="H18" s="1"/>
      <c r="I18" s="158">
        <v>-20484668</v>
      </c>
      <c r="J18" s="158">
        <v>-2397781</v>
      </c>
      <c r="K18" s="158">
        <v>189505</v>
      </c>
      <c r="L18" s="158"/>
      <c r="M18" s="143">
        <f>SUM(I18:L18)</f>
        <v>-22692944</v>
      </c>
      <c r="N18" s="141" t="s">
        <v>59</v>
      </c>
      <c r="O18" s="128"/>
    </row>
    <row r="19" spans="1:15">
      <c r="A19" s="1"/>
      <c r="B19" s="1"/>
      <c r="C19" s="1"/>
      <c r="D19" s="1"/>
      <c r="E19" s="1"/>
      <c r="F19" s="1"/>
      <c r="G19" s="1"/>
      <c r="H19" s="1"/>
      <c r="I19" s="158"/>
      <c r="J19" s="158"/>
      <c r="K19" s="158"/>
      <c r="L19" s="158"/>
      <c r="M19" s="158"/>
      <c r="N19" s="32"/>
    </row>
    <row r="20" spans="1:15">
      <c r="A20" s="1" t="s">
        <v>60</v>
      </c>
      <c r="I20" s="12">
        <f>SUM(I16+I18)</f>
        <v>42293964</v>
      </c>
      <c r="J20" s="12">
        <f t="shared" ref="J20:M20" si="3">SUM(J16+J18)</f>
        <v>2592928</v>
      </c>
      <c r="K20" s="12">
        <f t="shared" si="3"/>
        <v>-212746</v>
      </c>
      <c r="L20" s="12">
        <f t="shared" si="3"/>
        <v>0</v>
      </c>
      <c r="M20" s="12">
        <f t="shared" si="3"/>
        <v>44674146</v>
      </c>
      <c r="N20" s="12">
        <f>SUM(N9:N17)</f>
        <v>26374735</v>
      </c>
    </row>
    <row r="21" spans="1:15">
      <c r="A21" s="1"/>
    </row>
    <row r="22" spans="1:15">
      <c r="I22" s="2"/>
      <c r="J22" s="2"/>
      <c r="K22" s="2"/>
      <c r="L22" s="2"/>
    </row>
    <row r="23" spans="1:15">
      <c r="I23" s="2"/>
      <c r="J23" s="2"/>
      <c r="K23" s="2"/>
      <c r="L23" s="2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topLeftCell="F16" zoomScale="80" zoomScaleNormal="80" zoomScalePageLayoutView="90" workbookViewId="0">
      <selection activeCell="G31" sqref="G31"/>
    </sheetView>
  </sheetViews>
  <sheetFormatPr defaultColWidth="15.85546875" defaultRowHeight="18.75"/>
  <cols>
    <col min="1" max="1" width="7.85546875" style="2" customWidth="1"/>
    <col min="2" max="2" width="15.85546875" style="2"/>
    <col min="3" max="3" width="5.28515625" style="2" customWidth="1"/>
    <col min="4" max="4" width="15.85546875" style="2" customWidth="1"/>
    <col min="5" max="6" width="15.85546875" style="2"/>
    <col min="7" max="7" width="18.42578125" style="3" bestFit="1" customWidth="1"/>
    <col min="8" max="8" width="16.85546875" style="3" bestFit="1" customWidth="1"/>
    <col min="9" max="9" width="16" style="3" bestFit="1" customWidth="1"/>
    <col min="10" max="10" width="18.42578125" style="3" bestFit="1" customWidth="1"/>
    <col min="11" max="16384" width="15.85546875" style="2"/>
  </cols>
  <sheetData>
    <row r="1" spans="1:11">
      <c r="D1" s="159" t="s">
        <v>61</v>
      </c>
      <c r="E1" s="159"/>
      <c r="F1" s="159"/>
      <c r="G1" s="159"/>
    </row>
    <row r="2" spans="1:11">
      <c r="D2" s="159" t="s">
        <v>1</v>
      </c>
      <c r="E2" s="159"/>
      <c r="F2" s="159"/>
      <c r="G2" s="159"/>
    </row>
    <row r="3" spans="1:11">
      <c r="D3" s="159" t="s">
        <v>2</v>
      </c>
      <c r="E3" s="159"/>
      <c r="F3" s="159"/>
      <c r="G3" s="159"/>
    </row>
    <row r="4" spans="1:11">
      <c r="D4" s="151"/>
      <c r="E4" s="151"/>
      <c r="F4" s="151"/>
      <c r="G4" s="4"/>
    </row>
    <row r="5" spans="1:11" ht="37.5">
      <c r="G5" s="152" t="s">
        <v>62</v>
      </c>
      <c r="H5" s="152" t="s">
        <v>63</v>
      </c>
      <c r="I5" s="152" t="s">
        <v>5</v>
      </c>
      <c r="J5" s="152" t="s">
        <v>64</v>
      </c>
      <c r="K5" s="152" t="s">
        <v>7</v>
      </c>
    </row>
    <row r="6" spans="1:11">
      <c r="G6" s="5"/>
      <c r="H6" s="5"/>
      <c r="I6" s="5"/>
      <c r="J6" s="5"/>
    </row>
    <row r="7" spans="1:11">
      <c r="A7" s="1" t="s">
        <v>8</v>
      </c>
      <c r="B7" s="1"/>
      <c r="C7" s="1"/>
      <c r="D7" s="1"/>
      <c r="E7" s="1"/>
      <c r="F7" s="1"/>
    </row>
    <row r="8" spans="1:11">
      <c r="A8" s="1"/>
      <c r="B8" s="1" t="s">
        <v>9</v>
      </c>
      <c r="C8" s="1"/>
      <c r="D8" s="1"/>
      <c r="E8" s="1"/>
      <c r="F8" s="1"/>
    </row>
    <row r="9" spans="1:11">
      <c r="C9" s="2" t="s">
        <v>10</v>
      </c>
      <c r="G9" s="3">
        <v>590548</v>
      </c>
      <c r="J9" s="3">
        <f>SUM(G9:I9)</f>
        <v>590548</v>
      </c>
      <c r="K9" s="3">
        <f>SUM(J9)</f>
        <v>590548</v>
      </c>
    </row>
    <row r="10" spans="1:11">
      <c r="C10" s="2" t="s">
        <v>11</v>
      </c>
      <c r="G10" s="6"/>
      <c r="H10" s="6">
        <v>1185398</v>
      </c>
      <c r="I10" s="6"/>
      <c r="J10" s="6">
        <f>SUM(G10:I10)</f>
        <v>1185398</v>
      </c>
      <c r="K10" s="3">
        <f>SUM(J10)</f>
        <v>1185398</v>
      </c>
    </row>
    <row r="12" spans="1:11">
      <c r="A12" s="1"/>
      <c r="B12" s="1"/>
      <c r="C12" s="1"/>
      <c r="D12" s="1" t="s">
        <v>12</v>
      </c>
      <c r="E12" s="1"/>
      <c r="F12" s="1"/>
      <c r="G12" s="7">
        <f>SUM(G8:G11)</f>
        <v>590548</v>
      </c>
      <c r="H12" s="7">
        <f>SUM(H8:H11)</f>
        <v>1185398</v>
      </c>
      <c r="I12" s="7">
        <f>SUM(I8:I11)</f>
        <v>0</v>
      </c>
      <c r="J12" s="7">
        <f>SUM(J8:J11)</f>
        <v>1775946</v>
      </c>
      <c r="K12" s="1"/>
    </row>
    <row r="14" spans="1:11">
      <c r="A14" s="1" t="s">
        <v>13</v>
      </c>
    </row>
    <row r="15" spans="1:11">
      <c r="B15" s="2" t="s">
        <v>14</v>
      </c>
      <c r="G15" s="3">
        <v>5369883</v>
      </c>
      <c r="J15" s="3">
        <f>SUM(G15:I15)</f>
        <v>5369883</v>
      </c>
    </row>
    <row r="16" spans="1:11">
      <c r="B16" s="2" t="s">
        <v>65</v>
      </c>
      <c r="G16" s="3">
        <v>624821</v>
      </c>
      <c r="H16" s="3">
        <v>22110</v>
      </c>
      <c r="I16" s="3">
        <v>-3717</v>
      </c>
      <c r="J16" s="3">
        <f t="shared" ref="J16:J18" si="0">SUM(G16:I16)</f>
        <v>643214</v>
      </c>
    </row>
    <row r="17" spans="1:11">
      <c r="B17" s="2" t="s">
        <v>17</v>
      </c>
      <c r="G17" s="3">
        <v>78140</v>
      </c>
      <c r="J17" s="3">
        <f t="shared" si="0"/>
        <v>78140</v>
      </c>
    </row>
    <row r="18" spans="1:11">
      <c r="B18" s="2" t="s">
        <v>66</v>
      </c>
      <c r="G18" s="6">
        <v>3436008</v>
      </c>
      <c r="H18" s="6">
        <v>81907</v>
      </c>
      <c r="I18" s="6">
        <v>-35726</v>
      </c>
      <c r="J18" s="6">
        <f t="shared" si="0"/>
        <v>3482189</v>
      </c>
    </row>
    <row r="20" spans="1:11">
      <c r="A20" s="1"/>
      <c r="B20" s="1"/>
      <c r="C20" s="1"/>
      <c r="D20" s="1" t="s">
        <v>18</v>
      </c>
      <c r="E20" s="1"/>
      <c r="F20" s="1"/>
      <c r="G20" s="7">
        <f>SUM(G18+G17+G16+G15+G12)</f>
        <v>10099400</v>
      </c>
      <c r="H20" s="7">
        <f t="shared" ref="H20:J20" si="1">SUM(H18+H17+H16+H15+H12)</f>
        <v>1289415</v>
      </c>
      <c r="I20" s="7">
        <f t="shared" si="1"/>
        <v>-39443</v>
      </c>
      <c r="J20" s="7">
        <f t="shared" si="1"/>
        <v>11349372</v>
      </c>
      <c r="K20" s="1"/>
    </row>
    <row r="22" spans="1:11">
      <c r="A22" s="2" t="s">
        <v>19</v>
      </c>
    </row>
    <row r="23" spans="1:11">
      <c r="B23" s="2" t="s">
        <v>14</v>
      </c>
      <c r="G23" s="3">
        <v>1637135</v>
      </c>
      <c r="H23" s="3">
        <v>200275</v>
      </c>
      <c r="J23" s="3">
        <f>SUM(G23:I23)</f>
        <v>1837410</v>
      </c>
      <c r="K23" s="3">
        <f>J15-J23</f>
        <v>3532473</v>
      </c>
    </row>
    <row r="24" spans="1:11">
      <c r="B24" s="2" t="s">
        <v>65</v>
      </c>
      <c r="G24" s="3">
        <v>550732</v>
      </c>
      <c r="H24" s="3">
        <v>21545</v>
      </c>
      <c r="I24" s="3">
        <v>-3717</v>
      </c>
      <c r="J24" s="3">
        <f t="shared" ref="J24:J26" si="2">SUM(G24:I24)</f>
        <v>568560</v>
      </c>
      <c r="K24" s="3">
        <f>J16-J24</f>
        <v>74654</v>
      </c>
    </row>
    <row r="25" spans="1:11">
      <c r="B25" s="2" t="s">
        <v>17</v>
      </c>
      <c r="G25" s="3">
        <v>40698</v>
      </c>
      <c r="H25" s="3">
        <v>6213</v>
      </c>
      <c r="J25" s="3">
        <f t="shared" si="2"/>
        <v>46911</v>
      </c>
      <c r="K25" s="3">
        <f>J17-J25</f>
        <v>31229</v>
      </c>
    </row>
    <row r="26" spans="1:11">
      <c r="B26" s="2" t="s">
        <v>66</v>
      </c>
      <c r="G26" s="6">
        <v>2680975</v>
      </c>
      <c r="H26" s="6">
        <v>143981</v>
      </c>
      <c r="I26" s="6">
        <v>-22923</v>
      </c>
      <c r="J26" s="6">
        <f t="shared" si="2"/>
        <v>2802033</v>
      </c>
      <c r="K26" s="3">
        <f>J18-J26</f>
        <v>680156</v>
      </c>
    </row>
    <row r="28" spans="1:11">
      <c r="A28" s="1"/>
      <c r="B28" s="1"/>
      <c r="C28" s="1"/>
      <c r="D28" s="1" t="s">
        <v>20</v>
      </c>
      <c r="E28" s="1"/>
      <c r="F28" s="1"/>
      <c r="G28" s="7">
        <f>SUM(G23:G26)</f>
        <v>4909540</v>
      </c>
      <c r="H28" s="7">
        <f>SUM(H23:H27)</f>
        <v>372014</v>
      </c>
      <c r="I28" s="7">
        <f>SUM(I23:I27)</f>
        <v>-26640</v>
      </c>
      <c r="J28" s="7">
        <f>SUM(J23:J27)</f>
        <v>5254914</v>
      </c>
      <c r="K28" s="1"/>
    </row>
    <row r="30" spans="1:11" ht="19.5" thickBot="1">
      <c r="B30" s="1" t="s">
        <v>22</v>
      </c>
      <c r="G30" s="9">
        <f>SUM(G20-G28)</f>
        <v>5189860</v>
      </c>
      <c r="H30" s="9">
        <f t="shared" ref="H30:J30" si="3">SUM(H20-H28)</f>
        <v>917401</v>
      </c>
      <c r="I30" s="9">
        <f t="shared" si="3"/>
        <v>-12803</v>
      </c>
      <c r="J30" s="9">
        <f t="shared" si="3"/>
        <v>6094458</v>
      </c>
      <c r="K30" s="3">
        <f>SUM(K23:K26,K9:K10)</f>
        <v>6094458</v>
      </c>
    </row>
    <row r="31" spans="1:11" ht="19.5" thickTop="1">
      <c r="G31" s="2"/>
      <c r="H31" s="2"/>
      <c r="I31" s="2"/>
      <c r="J31" s="2"/>
    </row>
  </sheetData>
  <mergeCells count="3">
    <mergeCell ref="D1:G1"/>
    <mergeCell ref="D2:G2"/>
    <mergeCell ref="D3:G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6"/>
  <sheetViews>
    <sheetView topLeftCell="G7" zoomScale="80" zoomScaleNormal="80" zoomScalePageLayoutView="90" workbookViewId="0">
      <selection activeCell="O28" sqref="O28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20.42578125" style="3" bestFit="1" customWidth="1"/>
    <col min="10" max="10" width="17.42578125" style="3" bestFit="1" customWidth="1"/>
    <col min="11" max="12" width="16.85546875" style="3" customWidth="1"/>
    <col min="13" max="13" width="17.85546875" style="3" customWidth="1"/>
    <col min="14" max="14" width="18.140625" style="2" customWidth="1"/>
    <col min="15" max="16384" width="8.85546875" style="2"/>
  </cols>
  <sheetData>
    <row r="1" spans="1:14">
      <c r="D1" s="159" t="s">
        <v>67</v>
      </c>
      <c r="E1" s="159"/>
      <c r="F1" s="159"/>
      <c r="G1" s="159"/>
      <c r="H1" s="159"/>
      <c r="I1" s="159"/>
    </row>
    <row r="2" spans="1:14">
      <c r="D2" s="159" t="s">
        <v>1</v>
      </c>
      <c r="E2" s="159"/>
      <c r="F2" s="159"/>
      <c r="G2" s="159"/>
      <c r="H2" s="159"/>
      <c r="I2" s="159"/>
    </row>
    <row r="3" spans="1:14">
      <c r="D3" s="159" t="s">
        <v>2</v>
      </c>
      <c r="E3" s="159"/>
      <c r="F3" s="159"/>
      <c r="G3" s="159"/>
      <c r="H3" s="159"/>
      <c r="I3" s="159"/>
    </row>
    <row r="4" spans="1:14">
      <c r="D4" s="151"/>
      <c r="E4" s="151"/>
      <c r="F4" s="151"/>
      <c r="G4" s="151"/>
      <c r="H4" s="151"/>
      <c r="I4" s="4"/>
    </row>
    <row r="5" spans="1:14" ht="37.5">
      <c r="I5" s="11" t="s">
        <v>3</v>
      </c>
      <c r="J5" s="11" t="s">
        <v>63</v>
      </c>
      <c r="K5" s="11" t="s">
        <v>68</v>
      </c>
      <c r="L5" s="11" t="s">
        <v>69</v>
      </c>
      <c r="M5" s="11" t="s">
        <v>6</v>
      </c>
      <c r="N5" s="11" t="s">
        <v>7</v>
      </c>
    </row>
    <row r="6" spans="1:14">
      <c r="I6" s="16"/>
      <c r="J6" s="16"/>
      <c r="K6" s="16"/>
      <c r="L6" s="16"/>
      <c r="M6" s="16"/>
    </row>
    <row r="7" spans="1:14">
      <c r="A7" s="1" t="s">
        <v>52</v>
      </c>
      <c r="B7" s="1"/>
      <c r="C7" s="1"/>
      <c r="D7" s="1"/>
      <c r="E7" s="1"/>
      <c r="F7" s="1"/>
    </row>
    <row r="8" spans="1:14">
      <c r="A8" s="1" t="s">
        <v>9</v>
      </c>
      <c r="B8" s="1"/>
      <c r="C8" s="1"/>
      <c r="D8" s="1"/>
      <c r="E8" s="1"/>
      <c r="F8" s="1"/>
    </row>
    <row r="9" spans="1:14">
      <c r="B9" s="2" t="s">
        <v>10</v>
      </c>
      <c r="I9" s="3">
        <v>688379</v>
      </c>
      <c r="J9" s="3">
        <v>10400</v>
      </c>
      <c r="M9" s="3">
        <f>SUM(I9:L9)</f>
        <v>698779</v>
      </c>
      <c r="N9" s="3">
        <f>SUM(M9)</f>
        <v>698779</v>
      </c>
    </row>
    <row r="10" spans="1:14">
      <c r="B10" s="2" t="s">
        <v>11</v>
      </c>
      <c r="I10" s="3">
        <v>2175229</v>
      </c>
      <c r="J10" s="3">
        <v>6501660</v>
      </c>
      <c r="L10" s="3">
        <v>-3036656</v>
      </c>
      <c r="M10" s="3">
        <f>SUM(I10:L10)</f>
        <v>5640233</v>
      </c>
      <c r="N10" s="6">
        <f>SUM(M10)</f>
        <v>5640233</v>
      </c>
    </row>
    <row r="11" spans="1:14">
      <c r="A11" s="1"/>
      <c r="B11" s="1"/>
      <c r="C11" s="1" t="s">
        <v>70</v>
      </c>
      <c r="D11" s="1"/>
      <c r="E11" s="1"/>
      <c r="F11" s="1"/>
      <c r="G11" s="1"/>
      <c r="H11" s="1"/>
      <c r="I11" s="12">
        <f>SUM(I9:I10)</f>
        <v>2863608</v>
      </c>
      <c r="J11" s="12">
        <f>SUM(J9:J10)</f>
        <v>6512060</v>
      </c>
      <c r="K11" s="12">
        <f>SUM(K9:K10)</f>
        <v>0</v>
      </c>
      <c r="L11" s="12">
        <f>SUM(L9:L10)</f>
        <v>-3036656</v>
      </c>
      <c r="M11" s="12">
        <f>SUM(M9:M10)</f>
        <v>6339012</v>
      </c>
      <c r="N11" s="1"/>
    </row>
    <row r="13" spans="1:14">
      <c r="A13" s="1" t="s">
        <v>13</v>
      </c>
    </row>
    <row r="14" spans="1:14">
      <c r="A14" s="1"/>
      <c r="B14" s="2" t="s">
        <v>14</v>
      </c>
      <c r="I14" s="3">
        <v>17820827</v>
      </c>
      <c r="J14" s="3">
        <v>9759</v>
      </c>
      <c r="L14" s="3">
        <v>3036656</v>
      </c>
      <c r="M14" s="3">
        <f>SUM(I14:L14)</f>
        <v>20867242</v>
      </c>
    </row>
    <row r="15" spans="1:14">
      <c r="A15" s="1"/>
      <c r="B15" s="2" t="s">
        <v>17</v>
      </c>
      <c r="I15" s="3">
        <v>42862850</v>
      </c>
      <c r="M15" s="3">
        <f>SUM(I15:L15)</f>
        <v>42862850</v>
      </c>
    </row>
    <row r="16" spans="1:14">
      <c r="B16" s="2" t="s">
        <v>71</v>
      </c>
      <c r="I16" s="3">
        <v>12511676</v>
      </c>
      <c r="J16" s="3">
        <v>441044</v>
      </c>
      <c r="M16" s="3">
        <f>SUM(I16:L16)</f>
        <v>12952720</v>
      </c>
    </row>
    <row r="17" spans="1:14">
      <c r="C17" s="1" t="s">
        <v>18</v>
      </c>
      <c r="I17" s="12">
        <f>SUM(I14:I16)</f>
        <v>73195353</v>
      </c>
      <c r="J17" s="12">
        <f>SUM(J14:J16)</f>
        <v>450803</v>
      </c>
      <c r="K17" s="12">
        <f>SUM(K14:K16)</f>
        <v>0</v>
      </c>
      <c r="L17" s="12">
        <f>SUM(L14:L16)</f>
        <v>3036656</v>
      </c>
      <c r="M17" s="12">
        <f>SUM(M14:M16)</f>
        <v>76682812</v>
      </c>
    </row>
    <row r="18" spans="1:14">
      <c r="C18" s="1"/>
      <c r="I18" s="15"/>
      <c r="J18" s="15"/>
      <c r="K18" s="15"/>
      <c r="L18" s="15"/>
      <c r="M18" s="15"/>
    </row>
    <row r="19" spans="1:14">
      <c r="A19" s="2" t="s">
        <v>19</v>
      </c>
    </row>
    <row r="20" spans="1:14">
      <c r="B20" s="2" t="s">
        <v>14</v>
      </c>
      <c r="I20" s="3">
        <v>-8634982</v>
      </c>
      <c r="J20" s="3">
        <v>-563822</v>
      </c>
      <c r="M20" s="3">
        <f>SUM(I20:L20)</f>
        <v>-9198804</v>
      </c>
      <c r="N20" s="3">
        <f>SUM(M20,M14)</f>
        <v>11668438</v>
      </c>
    </row>
    <row r="21" spans="1:14">
      <c r="B21" s="2" t="s">
        <v>17</v>
      </c>
      <c r="I21" s="3">
        <v>-27471416</v>
      </c>
      <c r="J21" s="3">
        <v>-1115249</v>
      </c>
      <c r="M21" s="3">
        <f>SUM(I21:L21)</f>
        <v>-28586665</v>
      </c>
      <c r="N21" s="3">
        <f>SUM(M21,M15)</f>
        <v>14276185</v>
      </c>
    </row>
    <row r="22" spans="1:14">
      <c r="B22" s="2" t="s">
        <v>71</v>
      </c>
      <c r="I22" s="3">
        <v>-8415337</v>
      </c>
      <c r="J22" s="3">
        <v>-840011</v>
      </c>
      <c r="M22" s="3">
        <f>SUM(I22:L22)</f>
        <v>-9255348</v>
      </c>
      <c r="N22" s="6">
        <f>M16+M22</f>
        <v>3697372</v>
      </c>
    </row>
    <row r="23" spans="1:14">
      <c r="A23" s="1"/>
      <c r="B23" s="1"/>
      <c r="C23" s="1" t="s">
        <v>20</v>
      </c>
      <c r="D23" s="1"/>
      <c r="E23" s="1"/>
      <c r="F23" s="1"/>
      <c r="G23" s="1"/>
      <c r="H23" s="1"/>
      <c r="I23" s="10">
        <f>SUM(I20:I22)</f>
        <v>-44521735</v>
      </c>
      <c r="J23" s="10">
        <f>SUM(J20:J22)</f>
        <v>-2519082</v>
      </c>
      <c r="K23" s="10">
        <f>SUM(K20:K22)</f>
        <v>0</v>
      </c>
      <c r="L23" s="10">
        <f>SUM(L20:L22)</f>
        <v>0</v>
      </c>
      <c r="M23" s="10">
        <f>SUM(M20:M22)</f>
        <v>-47040817</v>
      </c>
      <c r="N23" s="1"/>
    </row>
    <row r="24" spans="1:14">
      <c r="A24" s="1"/>
      <c r="B24" s="1" t="s">
        <v>21</v>
      </c>
      <c r="C24" s="1"/>
      <c r="D24" s="1"/>
      <c r="E24" s="1"/>
      <c r="F24" s="1"/>
      <c r="G24" s="1"/>
      <c r="H24" s="1"/>
      <c r="I24" s="10">
        <f>I23+I17</f>
        <v>28673618</v>
      </c>
      <c r="J24" s="10">
        <f>J23+J17</f>
        <v>-2068279</v>
      </c>
      <c r="K24" s="10">
        <f>K23+K17</f>
        <v>0</v>
      </c>
      <c r="L24" s="10">
        <f>L23+L17</f>
        <v>3036656</v>
      </c>
      <c r="M24" s="10">
        <f>M23+M17</f>
        <v>29641995</v>
      </c>
      <c r="N24" s="1"/>
    </row>
    <row r="25" spans="1:14" ht="19.5" thickBot="1">
      <c r="B25" s="1" t="s">
        <v>22</v>
      </c>
      <c r="I25" s="14">
        <f>I11+I24</f>
        <v>31537226</v>
      </c>
      <c r="J25" s="14">
        <f>J11+J24</f>
        <v>4443781</v>
      </c>
      <c r="K25" s="14">
        <f>K11+K24</f>
        <v>0</v>
      </c>
      <c r="L25" s="14">
        <f>L11+L24</f>
        <v>0</v>
      </c>
      <c r="M25" s="14">
        <f>M11+M24</f>
        <v>35981007</v>
      </c>
      <c r="N25" s="6">
        <f>SUM(N20:N22,N9:N10)</f>
        <v>35981007</v>
      </c>
    </row>
    <row r="26" spans="1:14">
      <c r="B26" s="1"/>
      <c r="I26" s="15"/>
      <c r="J26" s="15"/>
      <c r="K26" s="15"/>
      <c r="L26" s="15"/>
      <c r="M26" s="15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"/>
  <sheetViews>
    <sheetView topLeftCell="A10" zoomScale="90" zoomScaleNormal="90" zoomScalePageLayoutView="70" workbookViewId="0">
      <selection activeCell="I40" sqref="I40"/>
    </sheetView>
  </sheetViews>
  <sheetFormatPr defaultColWidth="8.85546875" defaultRowHeight="18.75"/>
  <cols>
    <col min="1" max="1" width="7.85546875" style="2" customWidth="1"/>
    <col min="2" max="2" width="9.7109375" style="2" customWidth="1"/>
    <col min="3" max="3" width="9.28515625" style="2" customWidth="1"/>
    <col min="4" max="4" width="15.85546875" style="2" customWidth="1"/>
    <col min="5" max="7" width="8.85546875" style="2"/>
    <col min="8" max="8" width="8.42578125" style="2" customWidth="1"/>
    <col min="9" max="9" width="18.42578125" style="3" bestFit="1" customWidth="1"/>
    <col min="10" max="10" width="16.85546875" style="3" bestFit="1" customWidth="1"/>
    <col min="11" max="11" width="16" style="3" bestFit="1" customWidth="1"/>
    <col min="12" max="12" width="18.42578125" style="3" bestFit="1" customWidth="1"/>
    <col min="13" max="13" width="16.85546875" style="2" customWidth="1"/>
    <col min="14" max="14" width="8.85546875" style="2"/>
  </cols>
  <sheetData>
    <row r="1" spans="1:13">
      <c r="D1" s="159" t="s">
        <v>72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>
      <c r="D4" s="151"/>
      <c r="E4" s="151"/>
      <c r="F4" s="151"/>
      <c r="G4" s="151"/>
      <c r="H4" s="151"/>
      <c r="I4" s="4"/>
    </row>
    <row r="5" spans="1:13" ht="37.5">
      <c r="I5" s="152" t="s">
        <v>3</v>
      </c>
      <c r="J5" s="152" t="s">
        <v>4</v>
      </c>
      <c r="K5" s="152" t="s">
        <v>5</v>
      </c>
      <c r="L5" s="152" t="s">
        <v>6</v>
      </c>
      <c r="M5" s="152" t="s">
        <v>7</v>
      </c>
    </row>
    <row r="6" spans="1:13">
      <c r="I6" s="5"/>
      <c r="J6" s="5"/>
      <c r="K6" s="5"/>
      <c r="L6" s="5"/>
    </row>
    <row r="7" spans="1:13">
      <c r="A7" s="1" t="s">
        <v>8</v>
      </c>
      <c r="B7" s="1"/>
      <c r="C7" s="1"/>
      <c r="D7" s="1"/>
      <c r="E7" s="1"/>
      <c r="F7" s="1"/>
    </row>
    <row r="8" spans="1:13">
      <c r="A8" s="1"/>
      <c r="B8" s="1" t="s">
        <v>9</v>
      </c>
      <c r="C8" s="1"/>
      <c r="D8" s="1"/>
      <c r="E8" s="1"/>
      <c r="F8" s="1"/>
    </row>
    <row r="9" spans="1:13">
      <c r="C9" s="2" t="s">
        <v>10</v>
      </c>
      <c r="I9" s="3">
        <v>660250</v>
      </c>
      <c r="L9" s="3">
        <f>SUM(I9:K9)</f>
        <v>660250</v>
      </c>
      <c r="M9" s="3">
        <f>SUM(L9)</f>
        <v>660250</v>
      </c>
    </row>
    <row r="10" spans="1:13">
      <c r="I10" s="29"/>
      <c r="J10" s="29"/>
      <c r="K10" s="29"/>
      <c r="L10" s="29"/>
      <c r="M10" s="3"/>
    </row>
    <row r="11" spans="1:13">
      <c r="A11" s="1"/>
      <c r="B11" s="1"/>
      <c r="C11" s="1"/>
      <c r="D11" s="1" t="s">
        <v>12</v>
      </c>
      <c r="E11" s="1"/>
      <c r="F11" s="1"/>
      <c r="G11" s="1"/>
      <c r="H11" s="1"/>
      <c r="I11" s="7">
        <f>SUM(I8:I9)</f>
        <v>660250</v>
      </c>
      <c r="J11" s="7">
        <f>SUM(J8:J9)</f>
        <v>0</v>
      </c>
      <c r="K11" s="7">
        <f>SUM(K8:K9)</f>
        <v>0</v>
      </c>
      <c r="L11" s="7">
        <f>SUM(L8:L9)</f>
        <v>660250</v>
      </c>
      <c r="M11" s="3"/>
    </row>
    <row r="12" spans="1:13">
      <c r="M12" s="3">
        <f t="shared" ref="M12:M14" si="0">SUM(L12)</f>
        <v>0</v>
      </c>
    </row>
    <row r="13" spans="1:13">
      <c r="A13" s="1" t="s">
        <v>13</v>
      </c>
      <c r="M13" s="3">
        <f t="shared" si="0"/>
        <v>0</v>
      </c>
    </row>
    <row r="14" spans="1:13">
      <c r="B14" s="2" t="s">
        <v>17</v>
      </c>
      <c r="M14" s="3">
        <f t="shared" si="0"/>
        <v>0</v>
      </c>
    </row>
    <row r="15" spans="1:13">
      <c r="C15" s="2" t="s">
        <v>54</v>
      </c>
      <c r="I15" s="3">
        <v>22192672</v>
      </c>
      <c r="J15" s="3">
        <v>1170771</v>
      </c>
      <c r="L15" s="3">
        <f t="shared" ref="L15:L21" si="1">SUM(I15:K15)</f>
        <v>23363443</v>
      </c>
      <c r="M15" s="3"/>
    </row>
    <row r="16" spans="1:13">
      <c r="C16" s="2" t="s">
        <v>73</v>
      </c>
      <c r="I16" s="3">
        <v>2537698</v>
      </c>
      <c r="L16" s="3">
        <f t="shared" si="1"/>
        <v>2537698</v>
      </c>
      <c r="M16" s="3"/>
    </row>
    <row r="17" spans="1:13">
      <c r="B17" s="2" t="s">
        <v>74</v>
      </c>
      <c r="I17" s="3">
        <v>16851833</v>
      </c>
      <c r="J17" s="3">
        <v>140528</v>
      </c>
      <c r="L17" s="3">
        <f t="shared" si="1"/>
        <v>16992361</v>
      </c>
      <c r="M17" s="3"/>
    </row>
    <row r="18" spans="1:13">
      <c r="B18" s="2" t="s">
        <v>75</v>
      </c>
      <c r="I18" s="3">
        <v>541664</v>
      </c>
      <c r="L18" s="3">
        <f t="shared" si="1"/>
        <v>541664</v>
      </c>
      <c r="M18" s="3"/>
    </row>
    <row r="19" spans="1:13">
      <c r="B19" s="2" t="s">
        <v>76</v>
      </c>
      <c r="I19" s="3">
        <v>1773268</v>
      </c>
      <c r="J19" s="3">
        <v>285150</v>
      </c>
      <c r="K19" s="3">
        <v>-196548</v>
      </c>
      <c r="L19" s="3">
        <f t="shared" si="1"/>
        <v>1861870</v>
      </c>
      <c r="M19" s="3"/>
    </row>
    <row r="20" spans="1:13">
      <c r="B20" s="2" t="s">
        <v>31</v>
      </c>
      <c r="I20" s="3">
        <v>1301447</v>
      </c>
      <c r="L20" s="3">
        <f t="shared" si="1"/>
        <v>1301447</v>
      </c>
      <c r="M20" s="3"/>
    </row>
    <row r="21" spans="1:13">
      <c r="B21" s="2" t="s">
        <v>77</v>
      </c>
      <c r="I21" s="3">
        <v>514738</v>
      </c>
      <c r="J21" s="3">
        <v>2950</v>
      </c>
      <c r="L21" s="3">
        <f t="shared" si="1"/>
        <v>517688</v>
      </c>
      <c r="M21" s="3"/>
    </row>
    <row r="22" spans="1:13">
      <c r="I22" s="29"/>
      <c r="J22" s="29"/>
      <c r="K22" s="29"/>
      <c r="L22" s="29"/>
      <c r="M22" s="3"/>
    </row>
    <row r="23" spans="1:13">
      <c r="A23" s="1"/>
      <c r="B23" s="1"/>
      <c r="C23" s="1"/>
      <c r="D23" s="1" t="s">
        <v>18</v>
      </c>
      <c r="E23" s="1"/>
      <c r="F23" s="1"/>
      <c r="G23" s="1"/>
      <c r="H23" s="1"/>
      <c r="I23" s="7">
        <f>SUM(I14:I21)</f>
        <v>45713320</v>
      </c>
      <c r="J23" s="7">
        <f>SUM(J14:J21)</f>
        <v>1599399</v>
      </c>
      <c r="K23" s="7">
        <f>SUM(K14:K21)</f>
        <v>-196548</v>
      </c>
      <c r="L23" s="7">
        <f>SUM(L14:L21)</f>
        <v>47116171</v>
      </c>
      <c r="M23" s="3"/>
    </row>
    <row r="25" spans="1:13">
      <c r="A25" s="1" t="s">
        <v>19</v>
      </c>
    </row>
    <row r="26" spans="1:13">
      <c r="B26" s="2" t="s">
        <v>17</v>
      </c>
      <c r="M26" s="3"/>
    </row>
    <row r="27" spans="1:13">
      <c r="C27" s="2" t="s">
        <v>54</v>
      </c>
      <c r="I27" s="3">
        <v>-16676946</v>
      </c>
      <c r="J27" s="3">
        <v>-1106600</v>
      </c>
      <c r="L27" s="3">
        <f t="shared" ref="L27:L33" si="2">SUM(I27:K27)</f>
        <v>-17783546</v>
      </c>
      <c r="M27" s="3">
        <f>SUM(L27,L15)</f>
        <v>5579897</v>
      </c>
    </row>
    <row r="28" spans="1:13">
      <c r="C28" s="2" t="s">
        <v>73</v>
      </c>
      <c r="I28" s="3">
        <v>-1358294</v>
      </c>
      <c r="J28" s="3">
        <v>-39480</v>
      </c>
      <c r="L28" s="3">
        <f t="shared" si="2"/>
        <v>-1397774</v>
      </c>
      <c r="M28" s="3">
        <f>SUM(L28,L16)</f>
        <v>1139924</v>
      </c>
    </row>
    <row r="29" spans="1:13">
      <c r="B29" s="2" t="s">
        <v>74</v>
      </c>
      <c r="I29" s="3">
        <v>-3296507</v>
      </c>
      <c r="J29" s="3">
        <v>-369027</v>
      </c>
      <c r="L29" s="3">
        <f t="shared" si="2"/>
        <v>-3665534</v>
      </c>
      <c r="M29" s="3">
        <f>SUM(L29,L17)</f>
        <v>13326827</v>
      </c>
    </row>
    <row r="30" spans="1:13">
      <c r="B30" s="2" t="s">
        <v>75</v>
      </c>
      <c r="I30" s="3">
        <v>-230177</v>
      </c>
      <c r="J30" s="3">
        <v>-103829</v>
      </c>
      <c r="L30" s="3">
        <f t="shared" si="2"/>
        <v>-334006</v>
      </c>
      <c r="M30" s="3">
        <f>SUM(L30,L18)</f>
        <v>207658</v>
      </c>
    </row>
    <row r="31" spans="1:13">
      <c r="B31" s="2" t="s">
        <v>76</v>
      </c>
      <c r="I31" s="3">
        <v>-1207999</v>
      </c>
      <c r="J31" s="3">
        <v>-126234</v>
      </c>
      <c r="K31" s="3">
        <v>196548</v>
      </c>
      <c r="L31" s="3">
        <f t="shared" si="2"/>
        <v>-1137685</v>
      </c>
      <c r="M31" s="3">
        <f>SUM(L31,L19)</f>
        <v>724185</v>
      </c>
    </row>
    <row r="32" spans="1:13">
      <c r="B32" s="2" t="s">
        <v>31</v>
      </c>
      <c r="I32" s="3">
        <v>-702086</v>
      </c>
      <c r="J32" s="3">
        <v>-85483</v>
      </c>
      <c r="L32" s="3">
        <f t="shared" si="2"/>
        <v>-787569</v>
      </c>
      <c r="M32" s="3">
        <f t="shared" ref="M32:M38" si="3">SUM(L32,L20)</f>
        <v>513878</v>
      </c>
    </row>
    <row r="33" spans="1:13">
      <c r="B33" s="2" t="s">
        <v>77</v>
      </c>
      <c r="I33" s="3">
        <v>-388568</v>
      </c>
      <c r="J33" s="3">
        <v>-19870</v>
      </c>
      <c r="L33" s="3">
        <f t="shared" si="2"/>
        <v>-408438</v>
      </c>
      <c r="M33" s="3">
        <f t="shared" si="3"/>
        <v>109250</v>
      </c>
    </row>
    <row r="34" spans="1:13">
      <c r="I34" s="29"/>
      <c r="J34" s="29"/>
      <c r="K34" s="29"/>
      <c r="L34" s="29"/>
      <c r="M34" s="3">
        <f t="shared" si="3"/>
        <v>0</v>
      </c>
    </row>
    <row r="35" spans="1:13">
      <c r="A35" s="1"/>
      <c r="B35" s="1"/>
      <c r="C35" s="1"/>
      <c r="D35" s="1" t="s">
        <v>20</v>
      </c>
      <c r="E35" s="1"/>
      <c r="F35" s="1"/>
      <c r="G35" s="1"/>
      <c r="H35" s="1"/>
      <c r="I35" s="7">
        <f>SUM(I26:I33)</f>
        <v>-23860577</v>
      </c>
      <c r="J35" s="7">
        <f>SUM(J26:J33)</f>
        <v>-1850523</v>
      </c>
      <c r="K35" s="7">
        <f>SUM(K26:K33)</f>
        <v>196548</v>
      </c>
      <c r="L35" s="7">
        <f>SUM(L27:L33)</f>
        <v>-25514552</v>
      </c>
      <c r="M35" s="3"/>
    </row>
    <row r="36" spans="1:13">
      <c r="M36" s="3"/>
    </row>
    <row r="37" spans="1:13">
      <c r="A37" s="1"/>
      <c r="B37" s="1" t="s">
        <v>21</v>
      </c>
      <c r="C37" s="1"/>
      <c r="D37" s="1"/>
      <c r="E37" s="1"/>
      <c r="F37" s="1"/>
      <c r="G37" s="1"/>
      <c r="H37" s="1"/>
      <c r="I37" s="7">
        <f>I23+I35</f>
        <v>21852743</v>
      </c>
      <c r="J37" s="7">
        <f t="shared" ref="J37:L37" si="4">J23+J35</f>
        <v>-251124</v>
      </c>
      <c r="K37" s="7">
        <f>K23+K35</f>
        <v>0</v>
      </c>
      <c r="L37" s="7">
        <f t="shared" si="4"/>
        <v>21601619</v>
      </c>
      <c r="M37" s="3"/>
    </row>
    <row r="38" spans="1:13">
      <c r="M38" s="3">
        <f t="shared" si="3"/>
        <v>0</v>
      </c>
    </row>
    <row r="39" spans="1:13">
      <c r="B39" s="1" t="s">
        <v>78</v>
      </c>
      <c r="I39" s="9">
        <f>I35+I23+I11</f>
        <v>22512993</v>
      </c>
      <c r="J39" s="9">
        <f>J35+J23+J11</f>
        <v>-251124</v>
      </c>
      <c r="K39" s="9">
        <f>K35+K23+K11</f>
        <v>0</v>
      </c>
      <c r="L39" s="9">
        <f>L35+L23+L11</f>
        <v>22261869</v>
      </c>
      <c r="M39" s="3">
        <f>SUM(M9:M33)</f>
        <v>22261869</v>
      </c>
    </row>
    <row r="40" spans="1:13">
      <c r="L40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6"/>
  <sheetViews>
    <sheetView topLeftCell="A19" zoomScale="78" zoomScaleNormal="78" zoomScalePageLayoutView="85" workbookViewId="0">
      <selection activeCell="L50" sqref="L50"/>
    </sheetView>
  </sheetViews>
  <sheetFormatPr defaultColWidth="8.85546875" defaultRowHeight="15"/>
  <cols>
    <col min="9" max="9" width="19.42578125" customWidth="1"/>
    <col min="10" max="10" width="15.28515625" customWidth="1"/>
    <col min="11" max="11" width="18.85546875" customWidth="1"/>
    <col min="12" max="12" width="18.7109375" customWidth="1"/>
    <col min="13" max="13" width="17.140625" customWidth="1"/>
    <col min="14" max="14" width="20.140625" customWidth="1"/>
  </cols>
  <sheetData>
    <row r="1" spans="1:14" ht="18.75">
      <c r="A1" s="2"/>
      <c r="B1" s="2"/>
      <c r="C1" s="2"/>
      <c r="D1" s="159" t="s">
        <v>79</v>
      </c>
      <c r="E1" s="159"/>
      <c r="F1" s="159"/>
      <c r="G1" s="159"/>
      <c r="H1" s="159"/>
      <c r="I1" s="159"/>
      <c r="J1" s="3"/>
      <c r="K1" s="3"/>
      <c r="L1" s="3"/>
      <c r="M1" s="3"/>
      <c r="N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3"/>
      <c r="N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3"/>
      <c r="N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3"/>
      <c r="N4" s="2"/>
    </row>
    <row r="5" spans="1:14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69</v>
      </c>
      <c r="K5" s="11" t="s">
        <v>63</v>
      </c>
      <c r="L5" s="11" t="s">
        <v>68</v>
      </c>
      <c r="M5" s="11" t="s">
        <v>6</v>
      </c>
      <c r="N5" s="11" t="s">
        <v>7</v>
      </c>
    </row>
    <row r="6" spans="1:14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16"/>
      <c r="N6" s="2"/>
    </row>
    <row r="7" spans="1:14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3"/>
      <c r="N7" s="2"/>
    </row>
    <row r="8" spans="1:14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3"/>
      <c r="N8" s="2"/>
    </row>
    <row r="9" spans="1:14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3"/>
      <c r="N9" s="2"/>
    </row>
    <row r="10" spans="1:14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12972258</v>
      </c>
      <c r="J10" s="3"/>
      <c r="K10" s="3">
        <v>959710</v>
      </c>
      <c r="L10" s="3">
        <v>-18021</v>
      </c>
      <c r="M10" s="3">
        <f>SUM(I10:L10)</f>
        <v>13913947</v>
      </c>
      <c r="N10" s="3">
        <f>SUM(M10)</f>
        <v>13913947</v>
      </c>
    </row>
    <row r="11" spans="1:14" ht="18.75">
      <c r="A11" s="2"/>
      <c r="B11" s="2" t="s">
        <v>11</v>
      </c>
      <c r="C11" s="2"/>
      <c r="D11" s="2"/>
      <c r="E11" s="2"/>
      <c r="F11" s="2"/>
      <c r="G11" s="2"/>
      <c r="H11" s="2"/>
      <c r="I11" s="3">
        <v>6272099</v>
      </c>
      <c r="J11" s="3">
        <v>-2635042</v>
      </c>
      <c r="K11" s="3">
        <v>3588162</v>
      </c>
      <c r="L11" s="3"/>
      <c r="M11" s="3">
        <f>SUM(I11:L11)</f>
        <v>7225219</v>
      </c>
      <c r="N11" s="3">
        <f>SUM(M11)</f>
        <v>7225219</v>
      </c>
    </row>
    <row r="12" spans="1:14" ht="18.75">
      <c r="A12" s="1"/>
      <c r="B12" s="1"/>
      <c r="C12" s="1" t="s">
        <v>70</v>
      </c>
      <c r="D12" s="1"/>
      <c r="E12" s="1"/>
      <c r="F12" s="1"/>
      <c r="G12" s="1"/>
      <c r="H12" s="1"/>
      <c r="I12" s="12">
        <f>SUM(I10:I11)</f>
        <v>19244357</v>
      </c>
      <c r="J12" s="12">
        <f t="shared" ref="J12:M12" si="0">SUM(J10:J11)</f>
        <v>-2635042</v>
      </c>
      <c r="K12" s="12">
        <f t="shared" si="0"/>
        <v>4547872</v>
      </c>
      <c r="L12" s="12">
        <f t="shared" si="0"/>
        <v>-18021</v>
      </c>
      <c r="M12" s="12">
        <f t="shared" si="0"/>
        <v>21139166</v>
      </c>
      <c r="N12" s="1"/>
    </row>
    <row r="13" spans="1:14" ht="18.7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2"/>
    </row>
    <row r="14" spans="1:14" ht="18.75">
      <c r="A14" s="1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2"/>
    </row>
    <row r="15" spans="1:14" ht="18.75">
      <c r="A15" s="1"/>
      <c r="B15" s="2" t="s">
        <v>14</v>
      </c>
      <c r="C15" s="2"/>
      <c r="D15" s="2"/>
      <c r="E15" s="2"/>
      <c r="F15" s="2"/>
      <c r="G15" s="2"/>
      <c r="H15" s="2"/>
      <c r="I15" s="3">
        <v>108272538</v>
      </c>
      <c r="J15" s="3">
        <v>2260863</v>
      </c>
      <c r="K15" s="3">
        <v>1606894</v>
      </c>
      <c r="L15" s="3"/>
      <c r="M15" s="3">
        <f>SUM(I15:L15)</f>
        <v>112140295</v>
      </c>
      <c r="N15" s="2"/>
    </row>
    <row r="16" spans="1:14" ht="18.75">
      <c r="A16" s="1"/>
      <c r="B16" s="2" t="s">
        <v>17</v>
      </c>
      <c r="C16" s="2"/>
      <c r="D16" s="2"/>
      <c r="E16" s="2"/>
      <c r="F16" s="2"/>
      <c r="G16" s="2"/>
      <c r="H16" s="2"/>
      <c r="I16" s="3">
        <v>231447108</v>
      </c>
      <c r="J16" s="3">
        <v>374179</v>
      </c>
      <c r="K16" s="3">
        <v>4838518</v>
      </c>
      <c r="L16" s="3"/>
      <c r="M16" s="3">
        <f>SUM(I16:L16)</f>
        <v>236659805</v>
      </c>
      <c r="N16" s="2"/>
    </row>
    <row r="17" spans="1:14" ht="18.75">
      <c r="A17" s="1"/>
      <c r="B17" s="2" t="s">
        <v>80</v>
      </c>
      <c r="C17" s="2"/>
      <c r="D17" s="2"/>
      <c r="E17" s="2"/>
      <c r="F17" s="2"/>
      <c r="G17" s="2"/>
      <c r="H17" s="2"/>
      <c r="I17" s="3">
        <v>10918840</v>
      </c>
      <c r="J17" s="3">
        <v>-27873</v>
      </c>
      <c r="K17" s="3">
        <v>598807</v>
      </c>
      <c r="L17" s="3">
        <v>-9900</v>
      </c>
      <c r="M17" s="3">
        <f>SUM(I17:L17)</f>
        <v>11479874</v>
      </c>
      <c r="N17" s="2"/>
    </row>
    <row r="18" spans="1:14" ht="18.75">
      <c r="A18" s="2"/>
      <c r="B18" s="2" t="s">
        <v>81</v>
      </c>
      <c r="C18" s="2"/>
      <c r="D18" s="2"/>
      <c r="E18" s="2"/>
      <c r="F18" s="2"/>
      <c r="G18" s="2"/>
      <c r="H18" s="2"/>
      <c r="I18" s="3">
        <v>5191486</v>
      </c>
      <c r="J18" s="3"/>
      <c r="K18" s="3">
        <v>700039</v>
      </c>
      <c r="L18" s="3"/>
      <c r="M18" s="3">
        <f>SUM(I18:L18)</f>
        <v>5891525</v>
      </c>
      <c r="N18" s="2"/>
    </row>
    <row r="19" spans="1:14" ht="18.75">
      <c r="A19" s="2"/>
      <c r="B19" s="2"/>
      <c r="C19" s="1" t="s">
        <v>18</v>
      </c>
      <c r="D19" s="2"/>
      <c r="E19" s="2"/>
      <c r="F19" s="2"/>
      <c r="G19" s="2"/>
      <c r="H19" s="2"/>
      <c r="I19" s="13">
        <f>SUM(I15:I18)</f>
        <v>355829972</v>
      </c>
      <c r="J19" s="13">
        <f>SUM(J15:J18)</f>
        <v>2607169</v>
      </c>
      <c r="K19" s="13">
        <f>SUM(K15:K18)</f>
        <v>7744258</v>
      </c>
      <c r="L19" s="13">
        <f>SUM(L15:L18)</f>
        <v>-9900</v>
      </c>
      <c r="M19" s="13">
        <f>SUM(M15:M18)</f>
        <v>366171499</v>
      </c>
      <c r="N19" s="2"/>
    </row>
    <row r="20" spans="1:14" ht="18.75">
      <c r="A20" s="2"/>
      <c r="B20" s="2"/>
      <c r="C20" s="1"/>
      <c r="D20" s="2"/>
      <c r="E20" s="2"/>
      <c r="F20" s="2"/>
      <c r="G20" s="2"/>
      <c r="H20" s="2"/>
      <c r="I20" s="15"/>
      <c r="J20" s="15"/>
      <c r="K20" s="15"/>
      <c r="L20" s="15"/>
      <c r="M20" s="15"/>
      <c r="N20" s="2"/>
    </row>
    <row r="21" spans="1:14" ht="18.75">
      <c r="A21" s="2" t="s">
        <v>19</v>
      </c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2"/>
    </row>
    <row r="22" spans="1:14" ht="18.75">
      <c r="A22" s="2"/>
      <c r="B22" s="2" t="s">
        <v>14</v>
      </c>
      <c r="C22" s="2"/>
      <c r="D22" s="2"/>
      <c r="E22" s="2"/>
      <c r="F22" s="2"/>
      <c r="G22" s="2"/>
      <c r="H22" s="2"/>
      <c r="I22" s="3">
        <v>-26669928</v>
      </c>
      <c r="J22" s="3"/>
      <c r="K22" s="3">
        <v>-2910297</v>
      </c>
      <c r="L22" s="3"/>
      <c r="M22" s="3">
        <f>SUM(I22:L22)</f>
        <v>-29580225</v>
      </c>
      <c r="N22" s="3">
        <f>SUM(M22,M15)</f>
        <v>82560070</v>
      </c>
    </row>
    <row r="23" spans="1:14" ht="18.75">
      <c r="A23" s="2"/>
      <c r="B23" s="2" t="s">
        <v>17</v>
      </c>
      <c r="C23" s="2"/>
      <c r="D23" s="2"/>
      <c r="E23" s="2"/>
      <c r="F23" s="2"/>
      <c r="G23" s="2"/>
      <c r="H23" s="2"/>
      <c r="I23" s="3">
        <v>-52405834</v>
      </c>
      <c r="J23" s="3"/>
      <c r="K23" s="3">
        <v>-5850138</v>
      </c>
      <c r="L23" s="3"/>
      <c r="M23" s="3">
        <f>SUM(I23:L23)</f>
        <v>-58255972</v>
      </c>
      <c r="N23" s="3">
        <f>SUM(M23,M16)</f>
        <v>178403833</v>
      </c>
    </row>
    <row r="24" spans="1:14" ht="18.75">
      <c r="A24" s="2"/>
      <c r="B24" s="2" t="s">
        <v>80</v>
      </c>
      <c r="C24" s="2"/>
      <c r="D24" s="2"/>
      <c r="E24" s="2"/>
      <c r="F24" s="2"/>
      <c r="G24" s="2"/>
      <c r="H24" s="2"/>
      <c r="I24" s="3">
        <v>-6891385</v>
      </c>
      <c r="J24" s="3">
        <v>27873</v>
      </c>
      <c r="K24" s="3">
        <v>-731836</v>
      </c>
      <c r="L24" s="3">
        <v>9900</v>
      </c>
      <c r="M24" s="3">
        <f>SUM(I24:L24)</f>
        <v>-7585448</v>
      </c>
      <c r="N24" s="3">
        <f>SUM(M24,M17)</f>
        <v>3894426</v>
      </c>
    </row>
    <row r="25" spans="1:14" ht="18.75">
      <c r="A25" s="2"/>
      <c r="B25" s="2" t="s">
        <v>81</v>
      </c>
      <c r="C25" s="2"/>
      <c r="D25" s="2"/>
      <c r="E25" s="2"/>
      <c r="F25" s="2"/>
      <c r="G25" s="2"/>
      <c r="H25" s="2"/>
      <c r="I25" s="3">
        <v>-3981082</v>
      </c>
      <c r="J25" s="3"/>
      <c r="K25" s="3">
        <v>-445313</v>
      </c>
      <c r="L25" s="3"/>
      <c r="M25" s="3">
        <f>SUM(I25:L25)</f>
        <v>-4426395</v>
      </c>
      <c r="N25" s="3">
        <f>M18+M25</f>
        <v>1465130</v>
      </c>
    </row>
    <row r="26" spans="1:14" ht="18.75">
      <c r="A26" s="1"/>
      <c r="B26" s="1"/>
      <c r="C26" s="1" t="s">
        <v>20</v>
      </c>
      <c r="D26" s="1"/>
      <c r="E26" s="1"/>
      <c r="F26" s="1"/>
      <c r="G26" s="1"/>
      <c r="H26" s="1"/>
      <c r="I26" s="10">
        <f>SUM(I22:I25)</f>
        <v>-89948229</v>
      </c>
      <c r="J26" s="10">
        <f>SUM(J22:J25)</f>
        <v>27873</v>
      </c>
      <c r="K26" s="10">
        <f>SUM(K22:K25)</f>
        <v>-9937584</v>
      </c>
      <c r="L26" s="10">
        <f>SUM(L22:L25)</f>
        <v>9900</v>
      </c>
      <c r="M26" s="10">
        <f>SUM(M22:M25)</f>
        <v>-99848040</v>
      </c>
      <c r="N26" s="1"/>
    </row>
    <row r="27" spans="1:14" ht="18.75">
      <c r="A27" s="1"/>
      <c r="B27" s="1"/>
      <c r="C27" s="1"/>
      <c r="D27" s="1"/>
      <c r="E27" s="1"/>
      <c r="F27" s="1"/>
      <c r="G27" s="1"/>
      <c r="H27" s="1"/>
      <c r="I27" s="10"/>
      <c r="J27" s="10"/>
      <c r="K27" s="10"/>
      <c r="L27" s="10"/>
      <c r="M27" s="10"/>
      <c r="N27" s="1"/>
    </row>
    <row r="28" spans="1:14" ht="18.75">
      <c r="A28" s="1"/>
      <c r="B28" s="1" t="s">
        <v>21</v>
      </c>
      <c r="C28" s="1"/>
      <c r="D28" s="1"/>
      <c r="E28" s="1"/>
      <c r="F28" s="1"/>
      <c r="G28" s="1"/>
      <c r="H28" s="1"/>
      <c r="I28" s="10">
        <f>I26+I19</f>
        <v>265881743</v>
      </c>
      <c r="J28" s="10">
        <f t="shared" ref="J28:M28" si="1">J26+J19</f>
        <v>2635042</v>
      </c>
      <c r="K28" s="10">
        <f t="shared" si="1"/>
        <v>-2193326</v>
      </c>
      <c r="L28" s="10">
        <f t="shared" si="1"/>
        <v>0</v>
      </c>
      <c r="M28" s="10">
        <f t="shared" si="1"/>
        <v>266323459</v>
      </c>
      <c r="N28" s="1"/>
    </row>
    <row r="29" spans="1:14" ht="18.75">
      <c r="A29" s="1"/>
      <c r="B29" s="1"/>
      <c r="C29" s="1"/>
      <c r="D29" s="1"/>
      <c r="E29" s="1"/>
      <c r="F29" s="1"/>
      <c r="G29" s="1"/>
      <c r="H29" s="1"/>
      <c r="I29" s="30"/>
      <c r="J29" s="30"/>
      <c r="K29" s="30"/>
      <c r="L29" s="30"/>
      <c r="M29" s="30"/>
      <c r="N29" s="1"/>
    </row>
    <row r="30" spans="1:14" ht="18.75">
      <c r="A30" s="2"/>
      <c r="B30" s="1" t="s">
        <v>22</v>
      </c>
      <c r="C30" s="2"/>
      <c r="D30" s="2"/>
      <c r="E30" s="2"/>
      <c r="F30" s="2"/>
      <c r="G30" s="2"/>
      <c r="H30" s="2"/>
      <c r="I30" s="14">
        <f>I12+I28</f>
        <v>285126100</v>
      </c>
      <c r="J30" s="14">
        <f>J12+J28</f>
        <v>0</v>
      </c>
      <c r="K30" s="14">
        <f>K12+K28</f>
        <v>2354546</v>
      </c>
      <c r="L30" s="14">
        <f>L12+L28</f>
        <v>-18021</v>
      </c>
      <c r="M30" s="14">
        <f>M12+M28</f>
        <v>287462625</v>
      </c>
      <c r="N30" s="3">
        <f>SUM(N22:N25,N10:N11)</f>
        <v>287462625</v>
      </c>
    </row>
    <row r="31" spans="1:14" ht="18.75">
      <c r="A31" s="2"/>
      <c r="B31" s="1"/>
      <c r="C31" s="2"/>
      <c r="D31" s="2"/>
      <c r="E31" s="2"/>
      <c r="F31" s="2"/>
      <c r="G31" s="2"/>
      <c r="H31" s="2"/>
      <c r="I31" s="15"/>
      <c r="J31" s="15"/>
      <c r="K31" s="15"/>
      <c r="L31" s="15"/>
      <c r="M31" s="15"/>
      <c r="N31" s="2"/>
    </row>
    <row r="32" spans="1:14" ht="18.75">
      <c r="A32" s="2"/>
      <c r="B32" s="2"/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2"/>
    </row>
    <row r="33" spans="1:14" ht="37.5">
      <c r="A33" s="2"/>
      <c r="B33" s="2"/>
      <c r="C33" s="2"/>
      <c r="D33" s="2"/>
      <c r="E33" s="2"/>
      <c r="F33" s="2"/>
      <c r="G33" s="2"/>
      <c r="H33" s="2"/>
      <c r="I33" s="152" t="s">
        <v>3</v>
      </c>
      <c r="J33" s="152" t="s">
        <v>69</v>
      </c>
      <c r="K33" s="152" t="s">
        <v>63</v>
      </c>
      <c r="L33" s="152" t="s">
        <v>68</v>
      </c>
      <c r="M33" s="152" t="s">
        <v>6</v>
      </c>
      <c r="N33" s="2"/>
    </row>
    <row r="34" spans="1:14" ht="18.75">
      <c r="A34" s="2"/>
      <c r="B34" s="2"/>
      <c r="C34" s="2"/>
      <c r="D34" s="2"/>
      <c r="E34" s="2"/>
      <c r="F34" s="2"/>
      <c r="G34" s="2"/>
      <c r="H34" s="2"/>
      <c r="I34" s="5"/>
      <c r="J34" s="5"/>
      <c r="K34" s="5"/>
      <c r="L34" s="5"/>
      <c r="M34" s="5"/>
      <c r="N34" s="2"/>
    </row>
    <row r="35" spans="1:14" ht="18.75">
      <c r="A35" s="1" t="s">
        <v>82</v>
      </c>
      <c r="B35" s="1"/>
      <c r="C35" s="1"/>
      <c r="D35" s="1"/>
      <c r="E35" s="1"/>
      <c r="F35" s="1"/>
      <c r="G35" s="2"/>
      <c r="H35" s="2"/>
      <c r="I35" s="3"/>
      <c r="J35" s="3"/>
      <c r="K35" s="3"/>
      <c r="L35" s="3"/>
      <c r="M35" s="3"/>
      <c r="N35" s="2"/>
    </row>
    <row r="36" spans="1:14" ht="18.75">
      <c r="A36" s="1" t="s">
        <v>83</v>
      </c>
      <c r="B36" s="1"/>
      <c r="C36" s="1"/>
      <c r="D36" s="1"/>
      <c r="E36" s="1"/>
      <c r="F36" s="1"/>
      <c r="G36" s="2"/>
      <c r="H36" s="2"/>
      <c r="I36" s="3"/>
      <c r="J36" s="3"/>
      <c r="K36" s="3"/>
      <c r="L36" s="3"/>
      <c r="M36" s="3"/>
      <c r="N36" s="2"/>
    </row>
    <row r="37" spans="1:14" ht="18.75">
      <c r="A37" s="2"/>
      <c r="B37" s="2" t="s">
        <v>10</v>
      </c>
      <c r="C37" s="2"/>
      <c r="D37" s="2"/>
      <c r="E37" s="2"/>
      <c r="F37" s="2"/>
      <c r="G37" s="2"/>
      <c r="H37" s="2"/>
      <c r="I37" s="3">
        <v>1411812</v>
      </c>
      <c r="J37" s="3"/>
      <c r="K37" s="3">
        <v>46557</v>
      </c>
      <c r="L37" s="3"/>
      <c r="M37" s="3">
        <f>SUM(I37:L37)</f>
        <v>1458369</v>
      </c>
      <c r="N37" s="3">
        <f>SUM(M37)</f>
        <v>1458369</v>
      </c>
    </row>
    <row r="38" spans="1:14" ht="18.75">
      <c r="A38" s="2"/>
      <c r="B38" s="2" t="s">
        <v>84</v>
      </c>
      <c r="C38" s="2"/>
      <c r="D38" s="2"/>
      <c r="E38" s="2"/>
      <c r="F38" s="2"/>
      <c r="G38" s="2"/>
      <c r="H38" s="2"/>
      <c r="I38" s="3">
        <v>1226000</v>
      </c>
      <c r="J38" s="3"/>
      <c r="K38" s="3"/>
      <c r="L38" s="3"/>
      <c r="M38" s="3">
        <f>SUM(I38:L38)</f>
        <v>1226000</v>
      </c>
      <c r="N38" s="3">
        <f>SUM(M38)</f>
        <v>1226000</v>
      </c>
    </row>
    <row r="39" spans="1:14" ht="18.75">
      <c r="A39" s="2"/>
      <c r="B39" s="2" t="s">
        <v>11</v>
      </c>
      <c r="C39" s="2"/>
      <c r="D39" s="2"/>
      <c r="E39" s="2"/>
      <c r="F39" s="2"/>
      <c r="G39" s="2"/>
      <c r="H39" s="2"/>
      <c r="I39" s="3">
        <v>13631606</v>
      </c>
      <c r="J39" s="3"/>
      <c r="K39" s="3">
        <v>19762105</v>
      </c>
      <c r="L39" s="3"/>
      <c r="M39" s="3">
        <f>SUM(I39:L39)</f>
        <v>33393711</v>
      </c>
      <c r="N39" s="3">
        <f>SUM(M39)</f>
        <v>33393711</v>
      </c>
    </row>
    <row r="40" spans="1:14" ht="18.75">
      <c r="A40" s="1"/>
      <c r="B40" s="1"/>
      <c r="C40" s="1" t="s">
        <v>70</v>
      </c>
      <c r="D40" s="1"/>
      <c r="E40" s="1"/>
      <c r="F40" s="1"/>
      <c r="G40" s="1"/>
      <c r="H40" s="2"/>
      <c r="I40" s="12">
        <f>SUM(I37:I39)</f>
        <v>16269418</v>
      </c>
      <c r="J40" s="12">
        <f t="shared" ref="J40:M40" si="2">SUM(J37:J39)</f>
        <v>0</v>
      </c>
      <c r="K40" s="12">
        <f t="shared" si="2"/>
        <v>19808662</v>
      </c>
      <c r="L40" s="12">
        <f t="shared" si="2"/>
        <v>0</v>
      </c>
      <c r="M40" s="12">
        <f t="shared" si="2"/>
        <v>36078080</v>
      </c>
      <c r="N40" s="2"/>
    </row>
    <row r="41" spans="1:14" ht="18.75">
      <c r="A41" s="2"/>
      <c r="B41" s="2"/>
      <c r="C41" s="2"/>
      <c r="D41" s="2"/>
      <c r="E41" s="2"/>
      <c r="F41" s="2"/>
      <c r="G41" s="2"/>
      <c r="H41" s="2"/>
      <c r="I41" s="3"/>
      <c r="J41" s="3"/>
      <c r="K41" s="3"/>
      <c r="L41" s="3"/>
      <c r="M41" s="3"/>
      <c r="N41" s="2"/>
    </row>
    <row r="42" spans="1:14" ht="18.75">
      <c r="A42" s="1" t="s">
        <v>13</v>
      </c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2"/>
    </row>
    <row r="43" spans="1:14" ht="18.75">
      <c r="A43" s="1"/>
      <c r="B43" s="2" t="s">
        <v>80</v>
      </c>
      <c r="C43" s="2"/>
      <c r="D43" s="2"/>
      <c r="E43" s="2"/>
      <c r="F43" s="2"/>
      <c r="G43" s="2"/>
      <c r="H43" s="2"/>
      <c r="I43" s="3">
        <v>197481</v>
      </c>
      <c r="J43" s="3">
        <v>27873</v>
      </c>
      <c r="K43" s="3">
        <v>176236</v>
      </c>
      <c r="L43" s="3"/>
      <c r="M43" s="3">
        <f>SUM(I43:L43)</f>
        <v>401590</v>
      </c>
      <c r="N43" s="2"/>
    </row>
    <row r="44" spans="1:14" ht="18.75">
      <c r="A44" s="2"/>
      <c r="B44" s="2" t="s">
        <v>14</v>
      </c>
      <c r="C44" s="2"/>
      <c r="D44" s="2"/>
      <c r="E44" s="2"/>
      <c r="F44" s="2"/>
      <c r="G44" s="2"/>
      <c r="H44" s="2"/>
      <c r="I44" s="3">
        <v>4953684</v>
      </c>
      <c r="J44" s="3"/>
      <c r="K44" s="3"/>
      <c r="L44" s="3"/>
      <c r="M44" s="3">
        <f>SUM(I44:L44)</f>
        <v>4953684</v>
      </c>
      <c r="N44" s="2"/>
    </row>
    <row r="45" spans="1:14" ht="18.75">
      <c r="A45" s="2"/>
      <c r="B45" s="2"/>
      <c r="C45" s="1" t="s">
        <v>18</v>
      </c>
      <c r="D45" s="2"/>
      <c r="E45" s="2"/>
      <c r="F45" s="2"/>
      <c r="G45" s="2"/>
      <c r="H45" s="2"/>
      <c r="I45" s="12">
        <f>SUM(I43:I44)</f>
        <v>5151165</v>
      </c>
      <c r="J45" s="12">
        <f>SUM(J43:J44)</f>
        <v>27873</v>
      </c>
      <c r="K45" s="12">
        <f>SUM(K43:K44)</f>
        <v>176236</v>
      </c>
      <c r="L45" s="12">
        <f>SUM(L43:L44)</f>
        <v>0</v>
      </c>
      <c r="M45" s="12">
        <f>SUM(M43:M44)</f>
        <v>5355274</v>
      </c>
      <c r="N45" s="2"/>
    </row>
    <row r="46" spans="1:14" ht="18.75">
      <c r="A46" s="2"/>
      <c r="B46" s="2"/>
      <c r="C46" s="1"/>
      <c r="D46" s="2"/>
      <c r="E46" s="2"/>
      <c r="F46" s="2"/>
      <c r="G46" s="2"/>
      <c r="H46" s="2"/>
      <c r="I46" s="15"/>
      <c r="J46" s="15"/>
      <c r="K46" s="15"/>
      <c r="L46" s="15"/>
      <c r="M46" s="15"/>
      <c r="N46" s="2"/>
    </row>
    <row r="47" spans="1:14" ht="18.75">
      <c r="A47" s="2" t="s">
        <v>19</v>
      </c>
      <c r="B47" s="2"/>
      <c r="C47" s="2"/>
      <c r="D47" s="2"/>
      <c r="E47" s="2"/>
      <c r="F47" s="2"/>
      <c r="G47" s="2"/>
      <c r="H47" s="2"/>
      <c r="I47" s="3"/>
      <c r="J47" s="3"/>
      <c r="K47" s="3"/>
      <c r="L47" s="3"/>
      <c r="M47" s="3"/>
      <c r="N47" s="2"/>
    </row>
    <row r="48" spans="1:14" ht="18.75">
      <c r="A48" s="2"/>
      <c r="B48" s="2" t="s">
        <v>80</v>
      </c>
      <c r="C48" s="2"/>
      <c r="D48" s="2"/>
      <c r="E48" s="2"/>
      <c r="F48" s="2"/>
      <c r="G48" s="2"/>
      <c r="H48" s="2"/>
      <c r="I48" s="3">
        <v>-5355</v>
      </c>
      <c r="J48" s="3">
        <v>-27873</v>
      </c>
      <c r="K48" s="3">
        <v>-19179</v>
      </c>
      <c r="L48" s="3">
        <v>0</v>
      </c>
      <c r="M48" s="3">
        <f>SUM(I48:L48)</f>
        <v>-52407</v>
      </c>
      <c r="N48" s="3">
        <f>SUM(M48,M43)</f>
        <v>349183</v>
      </c>
    </row>
    <row r="49" spans="1:14" ht="18.75">
      <c r="A49" s="2"/>
      <c r="B49" s="2" t="s">
        <v>14</v>
      </c>
      <c r="C49" s="2"/>
      <c r="D49" s="2"/>
      <c r="E49" s="2"/>
      <c r="F49" s="2"/>
      <c r="G49" s="2"/>
      <c r="H49" s="2"/>
      <c r="I49" s="3">
        <v>-535885</v>
      </c>
      <c r="J49" s="3"/>
      <c r="K49" s="3">
        <v>-209007</v>
      </c>
      <c r="L49" s="3">
        <v>0</v>
      </c>
      <c r="M49" s="3">
        <f>SUM(I49:L49)</f>
        <v>-744892</v>
      </c>
      <c r="N49" s="3">
        <f>SUM(M49,M44)</f>
        <v>4208792</v>
      </c>
    </row>
    <row r="50" spans="1:14" ht="18.75">
      <c r="A50" s="1"/>
      <c r="B50" s="1"/>
      <c r="C50" s="1" t="s">
        <v>20</v>
      </c>
      <c r="D50" s="1"/>
      <c r="E50" s="1"/>
      <c r="F50" s="1"/>
      <c r="G50" s="1"/>
      <c r="H50" s="2"/>
      <c r="I50" s="12">
        <f>SUM(I48:I49)</f>
        <v>-541240</v>
      </c>
      <c r="J50" s="12">
        <f>SUM(J48:J49)</f>
        <v>-27873</v>
      </c>
      <c r="K50" s="12">
        <f>SUM(K48:K49)</f>
        <v>-228186</v>
      </c>
      <c r="L50" s="12">
        <f>SUM(L48:L49)</f>
        <v>0</v>
      </c>
      <c r="M50" s="12">
        <f>SUM(M48:M49)</f>
        <v>-797299</v>
      </c>
      <c r="N50" s="2"/>
    </row>
    <row r="51" spans="1:14" ht="18.75">
      <c r="A51" s="1"/>
      <c r="B51" s="1"/>
      <c r="C51" s="1"/>
      <c r="D51" s="1"/>
      <c r="E51" s="1"/>
      <c r="F51" s="1"/>
      <c r="G51" s="1"/>
      <c r="H51" s="2"/>
      <c r="I51" s="12"/>
      <c r="J51" s="12"/>
      <c r="K51" s="12"/>
      <c r="L51" s="12"/>
      <c r="M51" s="12"/>
      <c r="N51" s="2"/>
    </row>
    <row r="52" spans="1:14" ht="18.75">
      <c r="A52" s="1"/>
      <c r="B52" s="1" t="s">
        <v>21</v>
      </c>
      <c r="C52" s="1"/>
      <c r="D52" s="1"/>
      <c r="E52" s="1"/>
      <c r="F52" s="1"/>
      <c r="G52" s="1"/>
      <c r="H52" s="2"/>
      <c r="I52" s="12">
        <f>SUM(I50,I45)</f>
        <v>4609925</v>
      </c>
      <c r="J52" s="12">
        <f>SUM(J50,J45)</f>
        <v>0</v>
      </c>
      <c r="K52" s="12">
        <f>SUM(K50,K45)</f>
        <v>-51950</v>
      </c>
      <c r="L52" s="12">
        <f>SUM(L50,L45)</f>
        <v>0</v>
      </c>
      <c r="M52" s="12">
        <f>SUM(M50,M45)</f>
        <v>4557975</v>
      </c>
      <c r="N52" s="2"/>
    </row>
    <row r="53" spans="1:14" ht="18.75">
      <c r="A53" s="1"/>
      <c r="B53" s="1"/>
      <c r="C53" s="1"/>
      <c r="D53" s="1"/>
      <c r="E53" s="1"/>
      <c r="F53" s="1"/>
      <c r="G53" s="1"/>
      <c r="H53" s="2"/>
      <c r="I53" s="13"/>
      <c r="J53" s="13"/>
      <c r="K53" s="13"/>
      <c r="L53" s="13"/>
      <c r="M53" s="13"/>
      <c r="N53" s="2"/>
    </row>
    <row r="54" spans="1:14" ht="18.75">
      <c r="A54" s="2"/>
      <c r="B54" s="1" t="s">
        <v>44</v>
      </c>
      <c r="C54" s="2"/>
      <c r="D54" s="2"/>
      <c r="E54" s="2"/>
      <c r="F54" s="2"/>
      <c r="G54" s="2"/>
      <c r="H54" s="2"/>
      <c r="I54" s="14">
        <f>I40+I52</f>
        <v>20879343</v>
      </c>
      <c r="J54" s="14">
        <f>J40+J52</f>
        <v>0</v>
      </c>
      <c r="K54" s="14">
        <f>K40+K52</f>
        <v>19756712</v>
      </c>
      <c r="L54" s="14">
        <f>L40+L52</f>
        <v>0</v>
      </c>
      <c r="M54" s="14">
        <f>M40+M52</f>
        <v>40636055</v>
      </c>
      <c r="N54" s="3">
        <f>SUM(N48:N49,N37:N39)</f>
        <v>40636055</v>
      </c>
    </row>
    <row r="55" spans="1:14" ht="18.75">
      <c r="A55" s="2"/>
      <c r="B55" s="2"/>
      <c r="C55" s="2"/>
      <c r="D55" s="2"/>
      <c r="E55" s="2"/>
      <c r="F55" s="2"/>
      <c r="G55" s="2"/>
      <c r="H55" s="2"/>
      <c r="I55" s="3"/>
      <c r="J55" s="3"/>
      <c r="K55" s="3"/>
      <c r="L55" s="3"/>
      <c r="M55" s="3"/>
      <c r="N55" s="2"/>
    </row>
    <row r="56" spans="1:14" ht="18.75">
      <c r="A56" s="2"/>
      <c r="B56" s="2"/>
      <c r="C56" s="2"/>
      <c r="D56" s="2"/>
      <c r="E56" s="2"/>
      <c r="F56" s="2"/>
      <c r="G56" s="2"/>
      <c r="H56" s="2"/>
      <c r="I56" s="3"/>
      <c r="J56" s="3"/>
      <c r="K56" s="3"/>
      <c r="L56" s="3"/>
      <c r="M56" s="3"/>
      <c r="N56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zoomScaleNormal="100" workbookViewId="0">
      <selection activeCell="P23" sqref="P23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20.42578125" style="3" bestFit="1" customWidth="1"/>
    <col min="10" max="12" width="16.85546875" style="3" customWidth="1"/>
    <col min="13" max="13" width="20.85546875" style="3" customWidth="1"/>
    <col min="14" max="14" width="18.140625" style="2" customWidth="1"/>
    <col min="15" max="16384" width="8.85546875" style="2"/>
  </cols>
  <sheetData>
    <row r="1" spans="1:14">
      <c r="D1" s="159" t="s">
        <v>85</v>
      </c>
      <c r="E1" s="159"/>
      <c r="F1" s="159"/>
      <c r="G1" s="159"/>
      <c r="H1" s="159"/>
      <c r="I1" s="159"/>
    </row>
    <row r="2" spans="1:14">
      <c r="D2" s="159" t="s">
        <v>1</v>
      </c>
      <c r="E2" s="159"/>
      <c r="F2" s="159"/>
      <c r="G2" s="159"/>
      <c r="H2" s="159"/>
      <c r="I2" s="159"/>
    </row>
    <row r="3" spans="1:14">
      <c r="D3" s="159" t="s">
        <v>2</v>
      </c>
      <c r="E3" s="159"/>
      <c r="F3" s="159"/>
      <c r="G3" s="159"/>
      <c r="H3" s="159"/>
      <c r="I3" s="159"/>
    </row>
    <row r="4" spans="1:14">
      <c r="D4" s="151"/>
      <c r="E4" s="151"/>
      <c r="F4" s="151"/>
      <c r="G4" s="151"/>
      <c r="H4" s="151"/>
      <c r="I4" s="4"/>
    </row>
    <row r="5" spans="1:14" ht="56.25">
      <c r="I5" s="11" t="s">
        <v>86</v>
      </c>
      <c r="J5" s="11" t="s">
        <v>87</v>
      </c>
      <c r="K5" s="11" t="s">
        <v>63</v>
      </c>
      <c r="L5" s="11" t="s">
        <v>88</v>
      </c>
      <c r="M5" s="11" t="s">
        <v>89</v>
      </c>
      <c r="N5" s="11" t="s">
        <v>7</v>
      </c>
    </row>
    <row r="6" spans="1:14">
      <c r="I6" s="16"/>
      <c r="J6" s="16"/>
      <c r="K6" s="16"/>
      <c r="L6" s="16"/>
      <c r="M6" s="16"/>
    </row>
    <row r="7" spans="1:14">
      <c r="A7" s="1" t="s">
        <v>52</v>
      </c>
      <c r="B7" s="1"/>
      <c r="C7" s="1"/>
      <c r="D7" s="1"/>
      <c r="E7" s="1"/>
      <c r="F7" s="1"/>
    </row>
    <row r="8" spans="1:14">
      <c r="A8" s="1" t="s">
        <v>9</v>
      </c>
      <c r="B8" s="1"/>
      <c r="C8" s="1"/>
      <c r="D8" s="1"/>
      <c r="E8" s="1"/>
      <c r="F8" s="1"/>
    </row>
    <row r="9" spans="1:14">
      <c r="B9" s="2" t="s">
        <v>90</v>
      </c>
      <c r="I9" s="3">
        <v>14578409</v>
      </c>
      <c r="J9" s="3">
        <v>-5261444</v>
      </c>
      <c r="K9" s="3">
        <v>4758</v>
      </c>
      <c r="M9" s="3">
        <f>SUM(I9:L9)</f>
        <v>9321723</v>
      </c>
      <c r="N9" s="3">
        <f>SUM(M9)</f>
        <v>9321723</v>
      </c>
    </row>
    <row r="10" spans="1:14">
      <c r="B10" s="2" t="s">
        <v>91</v>
      </c>
      <c r="I10" s="3">
        <v>5935905</v>
      </c>
      <c r="J10" s="3">
        <v>-4879118</v>
      </c>
      <c r="K10" s="3">
        <v>694345</v>
      </c>
      <c r="L10" s="3">
        <v>-1372146</v>
      </c>
      <c r="M10" s="3">
        <f>SUM(I10:L10)</f>
        <v>378986</v>
      </c>
      <c r="N10" s="3">
        <f>M10</f>
        <v>378986</v>
      </c>
    </row>
    <row r="11" spans="1:14">
      <c r="A11" s="1"/>
      <c r="B11" s="1"/>
      <c r="C11" s="1" t="s">
        <v>92</v>
      </c>
      <c r="D11" s="1"/>
      <c r="E11" s="1"/>
      <c r="F11" s="1"/>
      <c r="G11" s="1"/>
      <c r="H11" s="1"/>
      <c r="I11" s="12">
        <f>SUM(I9:I10)</f>
        <v>20514314</v>
      </c>
      <c r="J11" s="12">
        <f>SUM(J9:J10)</f>
        <v>-10140562</v>
      </c>
      <c r="K11" s="12"/>
      <c r="L11" s="12">
        <f>SUM(L9:L10)</f>
        <v>-1372146</v>
      </c>
      <c r="M11" s="12">
        <f>SUM(M9:M10)</f>
        <v>9700709</v>
      </c>
      <c r="N11" s="1"/>
    </row>
    <row r="13" spans="1:14">
      <c r="A13" s="1" t="s">
        <v>13</v>
      </c>
    </row>
    <row r="14" spans="1:14">
      <c r="A14" s="1"/>
      <c r="B14" s="2" t="s">
        <v>93</v>
      </c>
      <c r="I14" s="3">
        <v>101006420</v>
      </c>
      <c r="J14" s="3">
        <v>-27419780</v>
      </c>
      <c r="K14" s="3">
        <v>1461633</v>
      </c>
      <c r="L14" s="3">
        <v>1935739</v>
      </c>
      <c r="M14" s="3">
        <f>SUM(I14:L14)</f>
        <v>76984012</v>
      </c>
    </row>
    <row r="15" spans="1:14">
      <c r="A15" s="1"/>
      <c r="B15" s="2" t="s">
        <v>94</v>
      </c>
      <c r="I15" s="3">
        <v>40622356</v>
      </c>
      <c r="J15" s="3">
        <v>-20482923</v>
      </c>
      <c r="K15" s="3">
        <v>1027653</v>
      </c>
      <c r="L15" s="3">
        <v>-742750</v>
      </c>
      <c r="M15" s="3">
        <f>SUM(I15:L15)</f>
        <v>20424336</v>
      </c>
    </row>
    <row r="16" spans="1:14">
      <c r="B16" s="2" t="s">
        <v>17</v>
      </c>
      <c r="I16" s="3">
        <v>389831937</v>
      </c>
      <c r="K16" s="3">
        <v>4640426</v>
      </c>
      <c r="L16" s="3">
        <v>-349409</v>
      </c>
      <c r="M16" s="3">
        <f>SUM(I16:L16)</f>
        <v>394122954</v>
      </c>
    </row>
    <row r="17" spans="1:14">
      <c r="C17" s="1" t="s">
        <v>18</v>
      </c>
      <c r="I17" s="13">
        <f>SUM(I14:I16)</f>
        <v>531460713</v>
      </c>
      <c r="J17" s="13">
        <f>SUM(J14:J16)</f>
        <v>-47902703</v>
      </c>
      <c r="K17" s="13"/>
      <c r="L17" s="13">
        <f>SUM(L14:L16)</f>
        <v>843580</v>
      </c>
      <c r="M17" s="13">
        <f>SUM(M14:M16)</f>
        <v>491531302</v>
      </c>
    </row>
    <row r="18" spans="1:14">
      <c r="C18" s="1"/>
      <c r="I18" s="15"/>
      <c r="J18" s="15"/>
      <c r="K18" s="15"/>
      <c r="L18" s="15"/>
      <c r="M18" s="15"/>
    </row>
    <row r="19" spans="1:14">
      <c r="A19" s="1" t="s">
        <v>19</v>
      </c>
    </row>
    <row r="20" spans="1:14">
      <c r="B20" s="2" t="s">
        <v>93</v>
      </c>
      <c r="I20" s="3">
        <v>-39428268</v>
      </c>
      <c r="J20" s="3">
        <v>8104099</v>
      </c>
      <c r="K20" s="3">
        <v>-1887048</v>
      </c>
      <c r="L20" s="3">
        <v>354964</v>
      </c>
      <c r="M20" s="3">
        <f>SUM(I20:L20)</f>
        <v>-32856253</v>
      </c>
      <c r="N20" s="3">
        <f>SUM(M20,M14)</f>
        <v>44127759</v>
      </c>
    </row>
    <row r="21" spans="1:14">
      <c r="B21" s="2" t="s">
        <v>94</v>
      </c>
      <c r="I21" s="3">
        <v>-28334316</v>
      </c>
      <c r="J21" s="3">
        <v>16004144</v>
      </c>
      <c r="K21" s="3">
        <v>-1443065</v>
      </c>
      <c r="L21" s="3">
        <v>741472</v>
      </c>
      <c r="M21" s="3">
        <f>SUM(I21:L21)</f>
        <v>-13031765</v>
      </c>
      <c r="N21" s="3">
        <f>SUM(M21,M15)</f>
        <v>7392571</v>
      </c>
    </row>
    <row r="22" spans="1:14">
      <c r="B22" s="2" t="s">
        <v>17</v>
      </c>
      <c r="I22" s="3">
        <v>-280269332</v>
      </c>
      <c r="K22" s="3">
        <v>-9895425</v>
      </c>
      <c r="L22" s="3">
        <v>313982</v>
      </c>
      <c r="M22" s="3">
        <f>SUM(I22:L22)</f>
        <v>-289850775</v>
      </c>
      <c r="N22" s="3">
        <f>M16+M22</f>
        <v>104272179</v>
      </c>
    </row>
    <row r="23" spans="1:14">
      <c r="A23" s="1"/>
      <c r="B23" s="1"/>
      <c r="C23" s="1" t="s">
        <v>20</v>
      </c>
      <c r="D23" s="1"/>
      <c r="E23" s="1"/>
      <c r="F23" s="1"/>
      <c r="G23" s="1"/>
      <c r="H23" s="1"/>
      <c r="I23" s="10">
        <f>SUM(I20:I22)</f>
        <v>-348031916</v>
      </c>
      <c r="J23" s="10">
        <f>SUM(J20:J22)</f>
        <v>24108243</v>
      </c>
      <c r="K23" s="10"/>
      <c r="L23" s="10">
        <f>SUM(L20:L22)</f>
        <v>1410418</v>
      </c>
      <c r="M23" s="10">
        <f>SUM(M20:M22)</f>
        <v>-335738793</v>
      </c>
      <c r="N23" s="1"/>
    </row>
    <row r="24" spans="1:14">
      <c r="A24" s="1"/>
      <c r="B24" s="1" t="s">
        <v>21</v>
      </c>
      <c r="C24" s="1"/>
      <c r="D24" s="1"/>
      <c r="E24" s="1"/>
      <c r="F24" s="1"/>
      <c r="G24" s="1"/>
      <c r="H24" s="1"/>
      <c r="I24" s="10">
        <f>I23+I17</f>
        <v>183428797</v>
      </c>
      <c r="J24" s="10">
        <f>J23+J17</f>
        <v>-23794460</v>
      </c>
      <c r="K24" s="10"/>
      <c r="L24" s="10">
        <f>L23+L17</f>
        <v>2253998</v>
      </c>
      <c r="M24" s="10">
        <f>M23+M17</f>
        <v>155792509</v>
      </c>
      <c r="N24" s="1"/>
    </row>
    <row r="25" spans="1:14" ht="19.5" thickBot="1">
      <c r="B25" s="1" t="s">
        <v>95</v>
      </c>
      <c r="I25" s="14">
        <f>I11+I24</f>
        <v>203943111</v>
      </c>
      <c r="J25" s="14">
        <f>J11+J24</f>
        <v>-33935022</v>
      </c>
      <c r="K25" s="14"/>
      <c r="L25" s="14">
        <f>L11+L24</f>
        <v>881852</v>
      </c>
      <c r="M25" s="14">
        <f>M11+M24</f>
        <v>165493218</v>
      </c>
      <c r="N25" s="3">
        <f>SUM(N20:N22,N9:N10)</f>
        <v>165493218</v>
      </c>
    </row>
    <row r="26" spans="1:14">
      <c r="B26" s="1"/>
      <c r="I26" s="15"/>
      <c r="J26" s="15"/>
      <c r="K26" s="15"/>
      <c r="L26" s="15"/>
      <c r="M26" s="15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Q60"/>
  <sheetViews>
    <sheetView topLeftCell="A28" zoomScale="83" zoomScaleNormal="83" zoomScalePageLayoutView="85" workbookViewId="0">
      <selection activeCell="L53" sqref="L53"/>
    </sheetView>
  </sheetViews>
  <sheetFormatPr defaultColWidth="8.85546875" defaultRowHeight="15"/>
  <cols>
    <col min="2" max="2" width="7.42578125" customWidth="1"/>
    <col min="8" max="8" width="14.85546875" customWidth="1"/>
    <col min="9" max="9" width="21" customWidth="1"/>
    <col min="10" max="10" width="16.42578125" customWidth="1"/>
    <col min="11" max="11" width="17.140625" customWidth="1"/>
    <col min="12" max="12" width="18.85546875" customWidth="1"/>
    <col min="13" max="13" width="17.42578125" customWidth="1"/>
  </cols>
  <sheetData>
    <row r="1" spans="1:13" ht="18.75">
      <c r="A1" s="2"/>
      <c r="B1" s="2"/>
      <c r="C1" s="2"/>
      <c r="D1" s="159" t="s">
        <v>96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52" t="s">
        <v>3</v>
      </c>
      <c r="J5" s="152" t="s">
        <v>4</v>
      </c>
      <c r="K5" s="152" t="s">
        <v>5</v>
      </c>
      <c r="L5" s="152" t="s">
        <v>6</v>
      </c>
      <c r="M5" s="152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5"/>
      <c r="J6" s="5"/>
      <c r="K6" s="5"/>
      <c r="L6" s="5"/>
      <c r="M6" s="2"/>
    </row>
    <row r="7" spans="1:13" ht="18.75">
      <c r="A7" s="1" t="s">
        <v>8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/>
      <c r="B8" s="1" t="s">
        <v>9</v>
      </c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2"/>
      <c r="B9" s="2"/>
      <c r="C9" s="2" t="s">
        <v>97</v>
      </c>
      <c r="D9" s="2"/>
      <c r="E9" s="2"/>
      <c r="F9" s="2"/>
      <c r="G9" s="2"/>
      <c r="H9" s="2"/>
      <c r="I9" s="3">
        <v>18022266</v>
      </c>
      <c r="J9" s="3">
        <v>1631096</v>
      </c>
      <c r="K9" s="3"/>
      <c r="L9" s="3">
        <f>SUM(I9:K9)</f>
        <v>19653362</v>
      </c>
      <c r="M9" s="3">
        <f>SUM(L9)</f>
        <v>19653362</v>
      </c>
    </row>
    <row r="10" spans="1:13" ht="18.75">
      <c r="A10" s="2"/>
      <c r="B10" s="2"/>
      <c r="C10" s="2" t="s">
        <v>11</v>
      </c>
      <c r="D10" s="2"/>
      <c r="E10" s="2"/>
      <c r="F10" s="2"/>
      <c r="G10" s="2"/>
      <c r="H10" s="2"/>
      <c r="I10" s="3">
        <v>7601504</v>
      </c>
      <c r="J10" s="3">
        <v>11679044</v>
      </c>
      <c r="K10" s="3">
        <v>-6386293</v>
      </c>
      <c r="L10" s="3">
        <f>SUM(I10:K10)</f>
        <v>12894255</v>
      </c>
      <c r="M10" s="3">
        <f>SUM(L10)</f>
        <v>12894255</v>
      </c>
    </row>
    <row r="11" spans="1:13" ht="18.75">
      <c r="A11" s="2"/>
      <c r="B11" s="2"/>
      <c r="C11" s="2" t="s">
        <v>98</v>
      </c>
      <c r="D11" s="2"/>
      <c r="E11" s="2"/>
      <c r="F11" s="2"/>
      <c r="G11" s="2"/>
      <c r="H11" s="2"/>
      <c r="I11" s="6">
        <v>395417424</v>
      </c>
      <c r="J11" s="6"/>
      <c r="K11" s="6"/>
      <c r="L11" s="6">
        <f>SUM(I11:K11)</f>
        <v>395417424</v>
      </c>
      <c r="M11" s="3">
        <f>SUM(L11)</f>
        <v>395417424</v>
      </c>
    </row>
    <row r="12" spans="1:13" ht="18.75">
      <c r="A12" s="2"/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2"/>
    </row>
    <row r="13" spans="1:13" ht="18.75">
      <c r="A13" s="1"/>
      <c r="B13" s="1"/>
      <c r="C13" s="1"/>
      <c r="D13" s="1" t="s">
        <v>12</v>
      </c>
      <c r="E13" s="1"/>
      <c r="F13" s="1"/>
      <c r="G13" s="1"/>
      <c r="H13" s="1"/>
      <c r="I13" s="7">
        <f>SUM(I8:I11)</f>
        <v>421041194</v>
      </c>
      <c r="J13" s="7">
        <f>SUM(J8:J11)</f>
        <v>13310140</v>
      </c>
      <c r="K13" s="7">
        <f>SUM(K8:K11)</f>
        <v>-6386293</v>
      </c>
      <c r="L13" s="7">
        <f>SUM(L8:L11)</f>
        <v>427965041</v>
      </c>
      <c r="M13" s="1"/>
    </row>
    <row r="14" spans="1:13" ht="18.75">
      <c r="A14" s="2"/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2"/>
    </row>
    <row r="15" spans="1:13" ht="18.75">
      <c r="A15" s="1" t="s">
        <v>13</v>
      </c>
      <c r="B15" s="2"/>
      <c r="C15" s="2"/>
      <c r="D15" s="2"/>
      <c r="E15" s="2"/>
      <c r="F15" s="2"/>
      <c r="G15" s="2"/>
      <c r="H15" s="2"/>
      <c r="I15" s="3"/>
      <c r="J15" s="3"/>
      <c r="K15" s="3"/>
      <c r="L15" s="3"/>
      <c r="M15" s="2"/>
    </row>
    <row r="16" spans="1:13" ht="18.75">
      <c r="A16" s="2"/>
      <c r="B16" s="2" t="s">
        <v>74</v>
      </c>
      <c r="C16" s="2"/>
      <c r="D16" s="2"/>
      <c r="E16" s="2"/>
      <c r="F16" s="2"/>
      <c r="G16" s="2"/>
      <c r="H16" s="2"/>
      <c r="I16" s="3">
        <v>133128418</v>
      </c>
      <c r="J16" s="3">
        <v>8180797</v>
      </c>
      <c r="K16" s="3"/>
      <c r="L16" s="3">
        <f>SUM(I16:K16)</f>
        <v>141309215</v>
      </c>
      <c r="M16" s="2"/>
    </row>
    <row r="17" spans="1:13" ht="18.75">
      <c r="A17" s="2"/>
      <c r="B17" s="2" t="s">
        <v>99</v>
      </c>
      <c r="C17" s="2"/>
      <c r="D17" s="2"/>
      <c r="E17" s="2"/>
      <c r="F17" s="2"/>
      <c r="G17" s="2"/>
      <c r="H17" s="2"/>
      <c r="I17" s="3">
        <v>34157047</v>
      </c>
      <c r="J17" s="3">
        <v>3839777</v>
      </c>
      <c r="K17" s="3">
        <v>-2582340</v>
      </c>
      <c r="L17" s="3">
        <f t="shared" ref="L17:L18" si="0">SUM(I17:K17)</f>
        <v>35414484</v>
      </c>
      <c r="M17" s="2"/>
    </row>
    <row r="18" spans="1:13" ht="18.75">
      <c r="A18" s="2"/>
      <c r="B18" s="2" t="s">
        <v>100</v>
      </c>
      <c r="C18" s="2"/>
      <c r="D18" s="2"/>
      <c r="E18" s="2"/>
      <c r="F18" s="2"/>
      <c r="G18" s="2"/>
      <c r="H18" s="2"/>
      <c r="I18" s="6">
        <v>14332967</v>
      </c>
      <c r="J18" s="6"/>
      <c r="K18" s="6"/>
      <c r="L18" s="6">
        <f t="shared" si="0"/>
        <v>14332967</v>
      </c>
      <c r="M18" s="2"/>
    </row>
    <row r="19" spans="1:13" ht="18.75">
      <c r="A19" s="2"/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2"/>
    </row>
    <row r="20" spans="1:13" ht="18.75">
      <c r="A20" s="1"/>
      <c r="B20" s="1"/>
      <c r="C20" s="1"/>
      <c r="D20" s="1" t="s">
        <v>18</v>
      </c>
      <c r="E20" s="1"/>
      <c r="F20" s="1"/>
      <c r="G20" s="1"/>
      <c r="H20" s="1"/>
      <c r="I20" s="31">
        <f>SUM(I16:I19)</f>
        <v>181618432</v>
      </c>
      <c r="J20" s="31">
        <f>SUM(J16:J19)</f>
        <v>12020574</v>
      </c>
      <c r="K20" s="31">
        <f>SUM(K16:K19)</f>
        <v>-2582340</v>
      </c>
      <c r="L20" s="31">
        <f>SUM(L16:L18)</f>
        <v>191056666</v>
      </c>
      <c r="M20" s="1"/>
    </row>
    <row r="21" spans="1:13" ht="18.75">
      <c r="A21" s="2"/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2"/>
    </row>
    <row r="22" spans="1:13" ht="18.75">
      <c r="A22" s="2" t="s">
        <v>19</v>
      </c>
      <c r="B22" s="2"/>
      <c r="C22" s="2"/>
      <c r="D22" s="2"/>
      <c r="E22" s="2"/>
      <c r="F22" s="2"/>
      <c r="G22" s="2"/>
      <c r="H22" s="2"/>
      <c r="I22" s="3"/>
      <c r="J22" s="3"/>
      <c r="K22" s="3"/>
      <c r="L22" s="3"/>
      <c r="M22" s="2"/>
    </row>
    <row r="23" spans="1:13" ht="18.75">
      <c r="A23" s="2"/>
      <c r="B23" s="2" t="s">
        <v>74</v>
      </c>
      <c r="C23" s="2"/>
      <c r="D23" s="2"/>
      <c r="E23" s="2"/>
      <c r="F23" s="2"/>
      <c r="G23" s="2"/>
      <c r="H23" s="2"/>
      <c r="I23" s="3">
        <v>-58486576</v>
      </c>
      <c r="J23" s="3">
        <v>-3664784</v>
      </c>
      <c r="K23" s="3"/>
      <c r="L23" s="3">
        <f>SUM(I23:K23)</f>
        <v>-62151360</v>
      </c>
      <c r="M23" s="3">
        <f>SUM(L23,L16)</f>
        <v>79157855</v>
      </c>
    </row>
    <row r="24" spans="1:13" ht="18.75">
      <c r="A24" s="2"/>
      <c r="B24" s="2" t="s">
        <v>99</v>
      </c>
      <c r="C24" s="2"/>
      <c r="D24" s="2"/>
      <c r="E24" s="2"/>
      <c r="F24" s="2"/>
      <c r="G24" s="2"/>
      <c r="H24" s="2"/>
      <c r="I24" s="3">
        <v>-20960602</v>
      </c>
      <c r="J24" s="3">
        <v>-2964284</v>
      </c>
      <c r="K24" s="3">
        <v>2447325</v>
      </c>
      <c r="L24" s="3">
        <f t="shared" ref="L24:L25" si="1">SUM(I24:K24)</f>
        <v>-21477561</v>
      </c>
      <c r="M24" s="3">
        <f>SUM(L24,L17)</f>
        <v>13936923</v>
      </c>
    </row>
    <row r="25" spans="1:13" ht="18.75">
      <c r="A25" s="2"/>
      <c r="B25" s="2" t="s">
        <v>100</v>
      </c>
      <c r="C25" s="2"/>
      <c r="D25" s="2"/>
      <c r="E25" s="2"/>
      <c r="F25" s="2"/>
      <c r="G25" s="2"/>
      <c r="H25" s="2"/>
      <c r="I25" s="3">
        <v>-4227106</v>
      </c>
      <c r="J25" s="3">
        <v>-328214</v>
      </c>
      <c r="K25" s="3"/>
      <c r="L25" s="3">
        <f t="shared" si="1"/>
        <v>-4555320</v>
      </c>
      <c r="M25" s="3">
        <f>SUM(L25,L18)</f>
        <v>9777647</v>
      </c>
    </row>
    <row r="26" spans="1:13" ht="18.75">
      <c r="A26" s="2"/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2"/>
    </row>
    <row r="27" spans="1:13" ht="18.75">
      <c r="A27" s="1"/>
      <c r="B27" s="1"/>
      <c r="C27" s="1"/>
      <c r="D27" s="1" t="s">
        <v>20</v>
      </c>
      <c r="E27" s="1"/>
      <c r="F27" s="1"/>
      <c r="G27" s="1"/>
      <c r="H27" s="1"/>
      <c r="I27" s="7">
        <f>SUM(I23:I26)</f>
        <v>-83674284</v>
      </c>
      <c r="J27" s="7">
        <f>SUM(J23:J26)</f>
        <v>-6957282</v>
      </c>
      <c r="K27" s="7">
        <f>SUM(K23:K26)</f>
        <v>2447325</v>
      </c>
      <c r="L27" s="7">
        <f>SUM(L23:L26)</f>
        <v>-88184241</v>
      </c>
      <c r="M27" s="1"/>
    </row>
    <row r="28" spans="1:13" ht="18.75">
      <c r="A28" s="2"/>
      <c r="B28" s="2"/>
      <c r="C28" s="2"/>
      <c r="D28" s="2"/>
      <c r="E28" s="2"/>
      <c r="F28" s="2"/>
      <c r="G28" s="2"/>
      <c r="H28" s="2"/>
      <c r="I28" s="3"/>
      <c r="J28" s="3"/>
      <c r="K28" s="3"/>
      <c r="L28" s="3"/>
      <c r="M28" s="2"/>
    </row>
    <row r="29" spans="1:13" ht="18.75">
      <c r="A29" s="1"/>
      <c r="B29" s="1" t="s">
        <v>21</v>
      </c>
      <c r="C29" s="1"/>
      <c r="D29" s="1"/>
      <c r="E29" s="1"/>
      <c r="F29" s="1"/>
      <c r="G29" s="1"/>
      <c r="H29" s="1"/>
      <c r="I29" s="7">
        <f>I20+I27</f>
        <v>97944148</v>
      </c>
      <c r="J29" s="7">
        <f>J20+J27</f>
        <v>5063292</v>
      </c>
      <c r="K29" s="7">
        <f>K20+K27</f>
        <v>-135015</v>
      </c>
      <c r="L29" s="7">
        <f>L20+L27</f>
        <v>102872425</v>
      </c>
      <c r="M29" s="1"/>
    </row>
    <row r="30" spans="1:13" ht="18.75">
      <c r="A30" s="2"/>
      <c r="B30" s="2"/>
      <c r="C30" s="2"/>
      <c r="D30" s="2"/>
      <c r="E30" s="2"/>
      <c r="F30" s="2"/>
      <c r="G30" s="2"/>
      <c r="H30" s="2"/>
      <c r="I30" s="3"/>
      <c r="J30" s="3"/>
      <c r="K30" s="3"/>
      <c r="L30" s="3"/>
      <c r="M30" s="2"/>
    </row>
    <row r="31" spans="1:13" ht="18.75">
      <c r="A31" s="2"/>
      <c r="B31" s="1" t="s">
        <v>22</v>
      </c>
      <c r="C31" s="2"/>
      <c r="D31" s="2"/>
      <c r="E31" s="2"/>
      <c r="F31" s="2"/>
      <c r="G31" s="2"/>
      <c r="H31" s="2"/>
      <c r="I31" s="9">
        <f>I27+I20+I13</f>
        <v>518985342</v>
      </c>
      <c r="J31" s="9">
        <f>J27+J20+J13</f>
        <v>18373432</v>
      </c>
      <c r="K31" s="9">
        <f>K27+K20+K13</f>
        <v>-6521308</v>
      </c>
      <c r="L31" s="9">
        <f>L27+L20+L13</f>
        <v>530837466</v>
      </c>
      <c r="M31" s="3">
        <f>SUM(L31, L22)</f>
        <v>530837466</v>
      </c>
    </row>
    <row r="32" spans="1:13" ht="19.5" customHeight="1">
      <c r="A32" s="2"/>
      <c r="B32" s="2"/>
      <c r="C32" s="2"/>
      <c r="D32" s="2"/>
      <c r="E32" s="2"/>
      <c r="F32" s="2"/>
      <c r="G32" s="2"/>
      <c r="H32" s="2"/>
      <c r="I32" s="3"/>
      <c r="J32" s="3"/>
      <c r="K32" s="3"/>
      <c r="L32" s="3"/>
      <c r="M32" s="2"/>
    </row>
    <row r="33" spans="1:17" ht="37.5">
      <c r="A33" s="2"/>
      <c r="B33" s="2"/>
      <c r="C33" s="2"/>
      <c r="D33" s="2"/>
      <c r="E33" s="2"/>
      <c r="F33" s="2"/>
      <c r="G33" s="2"/>
      <c r="H33" s="2"/>
      <c r="I33" s="152" t="s">
        <v>3</v>
      </c>
      <c r="J33" s="152" t="s">
        <v>4</v>
      </c>
      <c r="K33" s="152" t="s">
        <v>5</v>
      </c>
      <c r="L33" s="152" t="s">
        <v>6</v>
      </c>
      <c r="M33" s="2"/>
    </row>
    <row r="34" spans="1:17" ht="18.75">
      <c r="A34" s="1" t="s">
        <v>36</v>
      </c>
      <c r="B34" s="1"/>
      <c r="C34" s="1"/>
      <c r="D34" s="1"/>
      <c r="E34" s="1"/>
      <c r="F34" s="1"/>
      <c r="G34" s="2"/>
      <c r="H34" s="2"/>
      <c r="I34" s="3"/>
      <c r="J34" s="3"/>
      <c r="K34" s="3"/>
      <c r="L34" s="3"/>
      <c r="M34" s="2"/>
    </row>
    <row r="35" spans="1:17" ht="18.75">
      <c r="A35" s="1"/>
      <c r="B35" s="1" t="s">
        <v>9</v>
      </c>
      <c r="C35" s="1"/>
      <c r="D35" s="1"/>
      <c r="E35" s="1"/>
      <c r="F35" s="1"/>
      <c r="G35" s="2"/>
      <c r="H35" s="2"/>
      <c r="I35" s="3"/>
      <c r="J35" s="3"/>
      <c r="K35" s="3"/>
      <c r="L35" s="3"/>
      <c r="M35" s="2"/>
    </row>
    <row r="36" spans="1:17" ht="18.75">
      <c r="A36" s="2"/>
      <c r="B36" s="2"/>
      <c r="C36" s="2" t="s">
        <v>97</v>
      </c>
      <c r="D36" s="2"/>
      <c r="E36" s="2"/>
      <c r="F36" s="2"/>
      <c r="G36" s="2"/>
      <c r="H36" s="2"/>
      <c r="I36" s="3">
        <v>227920</v>
      </c>
      <c r="J36" s="3"/>
      <c r="K36" s="3"/>
      <c r="L36" s="3">
        <f>SUM(I36:K36)</f>
        <v>227920</v>
      </c>
      <c r="M36" s="3">
        <f>SUM(L36)</f>
        <v>227920</v>
      </c>
    </row>
    <row r="37" spans="1:17" ht="18.75">
      <c r="A37" s="2"/>
      <c r="B37" s="2"/>
      <c r="C37" s="2" t="s">
        <v>11</v>
      </c>
      <c r="D37" s="2"/>
      <c r="E37" s="2"/>
      <c r="F37" s="2"/>
      <c r="G37" s="2"/>
      <c r="H37" s="2"/>
      <c r="I37" s="6">
        <v>24850</v>
      </c>
      <c r="J37" s="6"/>
      <c r="K37" s="6">
        <v>-24850</v>
      </c>
      <c r="L37" s="6">
        <f>SUM(I37:K37)</f>
        <v>0</v>
      </c>
      <c r="M37" s="3">
        <f>SUM(L37)</f>
        <v>0</v>
      </c>
    </row>
    <row r="38" spans="1:17" ht="18.75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2"/>
    </row>
    <row r="39" spans="1:17" ht="18.75">
      <c r="A39" s="1"/>
      <c r="B39" s="1"/>
      <c r="C39" s="1"/>
      <c r="D39" s="1" t="s">
        <v>12</v>
      </c>
      <c r="E39" s="1"/>
      <c r="F39" s="1"/>
      <c r="G39" s="1"/>
      <c r="H39" s="1"/>
      <c r="I39" s="7">
        <f>SUM(I35:I38)</f>
        <v>252770</v>
      </c>
      <c r="J39" s="7">
        <f>SUM(J35:J38)</f>
        <v>0</v>
      </c>
      <c r="K39" s="7">
        <f>SUM(K35:K38)</f>
        <v>-24850</v>
      </c>
      <c r="L39" s="7">
        <f>SUM(L35:L38)</f>
        <v>227920</v>
      </c>
      <c r="M39" s="2"/>
    </row>
    <row r="40" spans="1:17" ht="18.75">
      <c r="A40" s="2"/>
      <c r="B40" s="2"/>
      <c r="C40" s="2"/>
      <c r="D40" s="2"/>
      <c r="E40" s="2"/>
      <c r="F40" s="2"/>
      <c r="G40" s="2"/>
      <c r="H40" s="2"/>
      <c r="I40" s="3"/>
      <c r="J40" s="3"/>
      <c r="K40" s="3"/>
      <c r="L40" s="3"/>
      <c r="M40" s="2"/>
    </row>
    <row r="41" spans="1:17" ht="18.75">
      <c r="A41" s="2"/>
      <c r="B41" s="1" t="s">
        <v>37</v>
      </c>
      <c r="C41" s="2"/>
      <c r="D41" s="2"/>
      <c r="E41" s="2"/>
      <c r="F41" s="2"/>
      <c r="G41" s="2"/>
      <c r="H41" s="2"/>
      <c r="I41" s="3"/>
      <c r="J41" s="3"/>
      <c r="K41" s="3"/>
      <c r="L41" s="3"/>
      <c r="M41" s="2"/>
    </row>
    <row r="42" spans="1:17" ht="18.75">
      <c r="A42" s="2"/>
      <c r="B42" s="2"/>
      <c r="C42" s="2" t="s">
        <v>101</v>
      </c>
      <c r="D42" s="2"/>
      <c r="E42" s="2"/>
      <c r="F42" s="2"/>
      <c r="G42" s="2"/>
      <c r="H42" s="2"/>
      <c r="I42" s="3">
        <v>11861515</v>
      </c>
      <c r="J42" s="3">
        <v>490556</v>
      </c>
      <c r="K42" s="3"/>
      <c r="L42" s="127">
        <f>SUM(I42:K42)</f>
        <v>12352071</v>
      </c>
      <c r="M42" s="128" t="s">
        <v>102</v>
      </c>
      <c r="N42" s="129"/>
      <c r="O42" s="129"/>
      <c r="P42" s="129"/>
      <c r="Q42" s="129"/>
    </row>
    <row r="43" spans="1:17" ht="18.75">
      <c r="A43" s="2"/>
      <c r="B43" s="2"/>
      <c r="C43" s="2" t="s">
        <v>103</v>
      </c>
      <c r="D43" s="2"/>
      <c r="E43" s="2"/>
      <c r="F43" s="2"/>
      <c r="G43" s="2"/>
      <c r="H43" s="2"/>
      <c r="I43" s="3">
        <v>152215</v>
      </c>
      <c r="J43" s="3">
        <v>7700</v>
      </c>
      <c r="K43" s="3"/>
      <c r="L43" s="127">
        <f>SUM(I43:K43)</f>
        <v>159915</v>
      </c>
      <c r="M43" s="128"/>
      <c r="N43" s="129"/>
      <c r="O43" s="129"/>
      <c r="P43" s="129"/>
      <c r="Q43" s="129"/>
    </row>
    <row r="44" spans="1:17" ht="18.75">
      <c r="A44" s="2"/>
      <c r="B44" s="2"/>
      <c r="C44" s="2" t="s">
        <v>17</v>
      </c>
      <c r="D44" s="2"/>
      <c r="E44" s="2"/>
      <c r="F44" s="2"/>
      <c r="G44" s="2"/>
      <c r="H44" s="2"/>
      <c r="I44" s="3">
        <v>3862766</v>
      </c>
      <c r="J44" s="3">
        <v>173256</v>
      </c>
      <c r="K44" s="3">
        <v>-17857</v>
      </c>
      <c r="L44" s="3">
        <f t="shared" ref="L44:L45" si="2">SUM(I44:K44)</f>
        <v>4018165</v>
      </c>
      <c r="M44" s="2"/>
    </row>
    <row r="45" spans="1:17" ht="18.75">
      <c r="A45" s="2"/>
      <c r="B45" s="2"/>
      <c r="C45" s="2" t="s">
        <v>104</v>
      </c>
      <c r="D45" s="2"/>
      <c r="E45" s="2"/>
      <c r="F45" s="2"/>
      <c r="G45" s="2"/>
      <c r="H45" s="2"/>
      <c r="I45" s="3">
        <v>281112</v>
      </c>
      <c r="J45" s="3">
        <v>17243</v>
      </c>
      <c r="K45" s="3">
        <v>-45239</v>
      </c>
      <c r="L45" s="3">
        <f t="shared" si="2"/>
        <v>253116</v>
      </c>
      <c r="M45" s="2"/>
    </row>
    <row r="46" spans="1:17" ht="18.75">
      <c r="A46" s="2"/>
      <c r="B46" s="2"/>
      <c r="C46" s="2"/>
      <c r="D46" s="2"/>
      <c r="E46" s="2"/>
      <c r="F46" s="2"/>
      <c r="G46" s="2"/>
      <c r="H46" s="2"/>
      <c r="I46" s="29"/>
      <c r="J46" s="29"/>
      <c r="K46" s="29"/>
      <c r="L46" s="29"/>
      <c r="M46" s="2"/>
    </row>
    <row r="47" spans="1:17" ht="18.75">
      <c r="A47" s="2"/>
      <c r="B47" s="2"/>
      <c r="C47" s="2"/>
      <c r="D47" s="1" t="s">
        <v>42</v>
      </c>
      <c r="E47" s="1"/>
      <c r="F47" s="1"/>
      <c r="G47" s="1"/>
      <c r="H47" s="2"/>
      <c r="I47" s="15">
        <f>SUM(I41:I45)</f>
        <v>16157608</v>
      </c>
      <c r="J47" s="15">
        <f>SUM(J41:J45)</f>
        <v>688755</v>
      </c>
      <c r="K47" s="15">
        <f>SUM(K41:K45)</f>
        <v>-63096</v>
      </c>
      <c r="L47" s="15">
        <f>SUM(L41:L45)</f>
        <v>16783267</v>
      </c>
      <c r="M47" s="2"/>
    </row>
    <row r="48" spans="1:17" ht="18.75">
      <c r="A48" s="2"/>
      <c r="B48" s="2"/>
      <c r="C48" s="2"/>
      <c r="D48" s="2"/>
      <c r="E48" s="2"/>
      <c r="F48" s="2"/>
      <c r="G48" s="2"/>
      <c r="H48" s="2"/>
      <c r="I48" s="3"/>
      <c r="J48" s="3"/>
      <c r="K48" s="3"/>
      <c r="L48" s="3"/>
      <c r="M48" s="2"/>
    </row>
    <row r="49" spans="1:13" ht="18.75">
      <c r="A49" s="2"/>
      <c r="B49" s="2" t="s">
        <v>19</v>
      </c>
      <c r="C49" s="2"/>
      <c r="D49" s="2"/>
      <c r="E49" s="2"/>
      <c r="F49" s="2"/>
      <c r="G49" s="2"/>
      <c r="H49" s="2"/>
      <c r="I49" s="3"/>
      <c r="J49" s="3"/>
      <c r="K49" s="3"/>
      <c r="L49" s="3"/>
      <c r="M49" s="2"/>
    </row>
    <row r="50" spans="1:13" ht="18.75">
      <c r="A50" s="2"/>
      <c r="B50" s="2"/>
      <c r="C50" s="2" t="s">
        <v>101</v>
      </c>
      <c r="D50" s="2"/>
      <c r="E50" s="2"/>
      <c r="F50" s="2"/>
      <c r="G50" s="2"/>
      <c r="H50" s="2"/>
      <c r="I50" s="3">
        <v>-4427162</v>
      </c>
      <c r="J50" s="3">
        <v>-345923</v>
      </c>
      <c r="K50" s="3"/>
      <c r="L50" s="127">
        <f>SUM(I50:K50)</f>
        <v>-4773085</v>
      </c>
      <c r="M50" s="3">
        <f>SUM(L50,L42)</f>
        <v>7578986</v>
      </c>
    </row>
    <row r="51" spans="1:13" ht="18.75">
      <c r="A51" s="2"/>
      <c r="B51" s="2"/>
      <c r="C51" s="2" t="s">
        <v>103</v>
      </c>
      <c r="D51" s="2"/>
      <c r="E51" s="2"/>
      <c r="F51" s="2"/>
      <c r="G51" s="2"/>
      <c r="H51" s="2"/>
      <c r="I51" s="3">
        <v>-134097</v>
      </c>
      <c r="J51" s="3">
        <v>-2184</v>
      </c>
      <c r="K51" s="3"/>
      <c r="L51" s="127">
        <f t="shared" ref="L51:L53" si="3">SUM(I51:K51)</f>
        <v>-136281</v>
      </c>
      <c r="M51" s="3">
        <f>SUM(L51,L43)</f>
        <v>23634</v>
      </c>
    </row>
    <row r="52" spans="1:13" ht="18.75">
      <c r="A52" s="2"/>
      <c r="B52" s="2"/>
      <c r="C52" s="2" t="s">
        <v>17</v>
      </c>
      <c r="D52" s="2"/>
      <c r="E52" s="2"/>
      <c r="F52" s="2"/>
      <c r="G52" s="2"/>
      <c r="H52" s="2"/>
      <c r="I52" s="3">
        <v>-1899622</v>
      </c>
      <c r="J52" s="3">
        <v>-132613</v>
      </c>
      <c r="K52" s="3">
        <v>17857</v>
      </c>
      <c r="L52" s="3">
        <f t="shared" si="3"/>
        <v>-2014378</v>
      </c>
      <c r="M52" s="3">
        <f>SUM(L52,L44)</f>
        <v>2003787</v>
      </c>
    </row>
    <row r="53" spans="1:13" ht="18.75">
      <c r="A53" s="2"/>
      <c r="B53" s="2"/>
      <c r="C53" s="2" t="s">
        <v>104</v>
      </c>
      <c r="D53" s="2"/>
      <c r="E53" s="2"/>
      <c r="F53" s="2"/>
      <c r="G53" s="2"/>
      <c r="H53" s="2"/>
      <c r="I53" s="3">
        <v>-212606</v>
      </c>
      <c r="J53" s="3">
        <v>-12061</v>
      </c>
      <c r="K53" s="3">
        <v>45239</v>
      </c>
      <c r="L53" s="3">
        <f t="shared" si="3"/>
        <v>-179428</v>
      </c>
      <c r="M53" s="3">
        <f>SUM(L53,L45)</f>
        <v>73688</v>
      </c>
    </row>
    <row r="54" spans="1:13" ht="18.75">
      <c r="A54" s="2"/>
      <c r="B54" s="2"/>
      <c r="C54" s="2"/>
      <c r="D54" s="2"/>
      <c r="E54" s="2"/>
      <c r="F54" s="2"/>
      <c r="G54" s="2"/>
      <c r="H54" s="2"/>
      <c r="I54" s="3"/>
      <c r="J54" s="3"/>
      <c r="K54" s="3"/>
      <c r="L54" s="3"/>
      <c r="M54" s="2"/>
    </row>
    <row r="55" spans="1:13" ht="18.75">
      <c r="A55" s="2"/>
      <c r="B55" s="2"/>
      <c r="C55" s="2"/>
      <c r="D55" s="1" t="s">
        <v>20</v>
      </c>
      <c r="E55" s="1"/>
      <c r="F55" s="1"/>
      <c r="G55" s="1"/>
      <c r="H55" s="2"/>
      <c r="I55" s="8">
        <f>SUM(I50:I53)</f>
        <v>-6673487</v>
      </c>
      <c r="J55" s="8">
        <f t="shared" ref="J55:L55" si="4">SUM(J50:J53)</f>
        <v>-492781</v>
      </c>
      <c r="K55" s="8">
        <f t="shared" si="4"/>
        <v>63096</v>
      </c>
      <c r="L55" s="8">
        <f t="shared" si="4"/>
        <v>-7103172</v>
      </c>
      <c r="M55" s="2"/>
    </row>
    <row r="56" spans="1:13" ht="18.75">
      <c r="A56" s="2"/>
      <c r="B56" s="2"/>
      <c r="C56" s="2"/>
      <c r="D56" s="1"/>
      <c r="E56" s="1"/>
      <c r="F56" s="1"/>
      <c r="G56" s="1"/>
      <c r="H56" s="2"/>
      <c r="I56" s="3"/>
      <c r="J56" s="3"/>
      <c r="K56" s="3"/>
      <c r="L56" s="3"/>
      <c r="M56" s="2"/>
    </row>
    <row r="57" spans="1:13" ht="18.75">
      <c r="A57" s="2"/>
      <c r="B57" s="2"/>
      <c r="C57" s="2"/>
      <c r="D57" s="1" t="s">
        <v>43</v>
      </c>
      <c r="E57" s="1"/>
      <c r="F57" s="1"/>
      <c r="G57" s="1"/>
      <c r="H57" s="2"/>
      <c r="I57" s="8">
        <f>I47+I55</f>
        <v>9484121</v>
      </c>
      <c r="J57" s="8">
        <f t="shared" ref="J57:L57" si="5">J47+J55</f>
        <v>195974</v>
      </c>
      <c r="K57" s="8">
        <f t="shared" si="5"/>
        <v>0</v>
      </c>
      <c r="L57" s="8">
        <f t="shared" si="5"/>
        <v>9680095</v>
      </c>
      <c r="M57" s="2"/>
    </row>
    <row r="58" spans="1:13" ht="18.75">
      <c r="A58" s="2"/>
      <c r="B58" s="2"/>
      <c r="C58" s="2"/>
      <c r="D58" s="1"/>
      <c r="E58" s="1"/>
      <c r="F58" s="1"/>
      <c r="G58" s="1"/>
      <c r="H58" s="2"/>
      <c r="I58" s="3"/>
      <c r="J58" s="3"/>
      <c r="K58" s="3"/>
      <c r="L58" s="3"/>
      <c r="M58" s="2"/>
    </row>
    <row r="59" spans="1:13" ht="18.75">
      <c r="A59" s="2"/>
      <c r="B59" s="2"/>
      <c r="C59" s="2"/>
      <c r="D59" s="1" t="s">
        <v>44</v>
      </c>
      <c r="E59" s="1"/>
      <c r="F59" s="1"/>
      <c r="G59" s="1"/>
      <c r="H59" s="2"/>
      <c r="I59" s="9">
        <f>I57+I39</f>
        <v>9736891</v>
      </c>
      <c r="J59" s="9">
        <f t="shared" ref="J59:L59" si="6">J57+J39</f>
        <v>195974</v>
      </c>
      <c r="K59" s="9">
        <f t="shared" si="6"/>
        <v>-24850</v>
      </c>
      <c r="L59" s="9">
        <f t="shared" si="6"/>
        <v>9908015</v>
      </c>
      <c r="M59" s="3">
        <f>SUM(M50:M53,M36:M37)</f>
        <v>9908015</v>
      </c>
    </row>
    <row r="60" spans="1:13" ht="18.75">
      <c r="A60" s="2"/>
      <c r="B60" s="2"/>
      <c r="C60" s="2"/>
      <c r="D60" s="2"/>
      <c r="E60" s="2"/>
      <c r="F60" s="2"/>
      <c r="G60" s="2"/>
      <c r="H60" s="2"/>
      <c r="I60" s="3"/>
      <c r="J60" s="3"/>
      <c r="K60" s="3"/>
      <c r="L60" s="3"/>
      <c r="M60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0"/>
  <sheetViews>
    <sheetView topLeftCell="A7" zoomScale="76" zoomScaleNormal="76" zoomScalePageLayoutView="85" workbookViewId="0">
      <selection activeCell="L35" sqref="L35"/>
    </sheetView>
  </sheetViews>
  <sheetFormatPr defaultColWidth="8.85546875" defaultRowHeight="15"/>
  <cols>
    <col min="9" max="10" width="19.140625" customWidth="1"/>
    <col min="11" max="11" width="16.42578125" customWidth="1"/>
    <col min="12" max="12" width="16.85546875" customWidth="1"/>
    <col min="13" max="13" width="20" customWidth="1"/>
    <col min="14" max="14" width="17.140625" customWidth="1"/>
  </cols>
  <sheetData>
    <row r="1" spans="1:14" ht="18.75">
      <c r="A1" s="2"/>
      <c r="B1" s="2"/>
      <c r="C1" s="2"/>
      <c r="D1" s="159" t="s">
        <v>105</v>
      </c>
      <c r="E1" s="159"/>
      <c r="F1" s="159"/>
      <c r="G1" s="159"/>
      <c r="H1" s="159"/>
      <c r="I1" s="159"/>
      <c r="J1" s="3"/>
      <c r="K1" s="3"/>
      <c r="L1" s="3"/>
      <c r="M1" s="3"/>
      <c r="N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3"/>
      <c r="N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3"/>
      <c r="N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3"/>
      <c r="N4" s="2"/>
    </row>
    <row r="5" spans="1:14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69</v>
      </c>
      <c r="K5" s="11" t="s">
        <v>63</v>
      </c>
      <c r="L5" s="11" t="s">
        <v>68</v>
      </c>
      <c r="M5" s="11" t="s">
        <v>6</v>
      </c>
      <c r="N5" s="11" t="s">
        <v>7</v>
      </c>
    </row>
    <row r="6" spans="1:14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16"/>
      <c r="N6" s="2"/>
    </row>
    <row r="7" spans="1:14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3"/>
      <c r="N7" s="2"/>
    </row>
    <row r="8" spans="1:14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3"/>
      <c r="N8" s="2"/>
    </row>
    <row r="9" spans="1:14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3"/>
      <c r="N9" s="2"/>
    </row>
    <row r="10" spans="1:14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420095</v>
      </c>
      <c r="J10" s="3"/>
      <c r="K10" s="3"/>
      <c r="L10" s="3"/>
      <c r="M10" s="3">
        <f>SUM(I10:L10)</f>
        <v>420095</v>
      </c>
      <c r="N10" s="3">
        <f>SUM(M10)</f>
        <v>420095</v>
      </c>
    </row>
    <row r="11" spans="1:14" ht="18.75">
      <c r="A11" s="2"/>
      <c r="B11" s="2" t="s">
        <v>11</v>
      </c>
      <c r="C11" s="2"/>
      <c r="D11" s="2"/>
      <c r="E11" s="2"/>
      <c r="F11" s="2"/>
      <c r="G11" s="2"/>
      <c r="H11" s="2"/>
      <c r="I11" s="3">
        <v>10535878</v>
      </c>
      <c r="J11" s="3"/>
      <c r="K11" s="3">
        <v>2280297</v>
      </c>
      <c r="L11" s="3">
        <v>-64210</v>
      </c>
      <c r="M11" s="3">
        <f>SUM(I11:L11)</f>
        <v>12751965</v>
      </c>
      <c r="N11" s="3">
        <f>SUM(M11)</f>
        <v>12751965</v>
      </c>
    </row>
    <row r="12" spans="1:14" ht="18.75">
      <c r="A12" s="1"/>
      <c r="B12" s="1"/>
      <c r="C12" s="1" t="s">
        <v>70</v>
      </c>
      <c r="D12" s="1"/>
      <c r="E12" s="1"/>
      <c r="F12" s="1"/>
      <c r="G12" s="1"/>
      <c r="H12" s="1"/>
      <c r="I12" s="12">
        <f t="shared" ref="I12:M12" si="0">SUM(I10:I11)</f>
        <v>10955973</v>
      </c>
      <c r="J12" s="12">
        <f t="shared" si="0"/>
        <v>0</v>
      </c>
      <c r="K12" s="12">
        <f t="shared" si="0"/>
        <v>2280297</v>
      </c>
      <c r="L12" s="12">
        <f t="shared" si="0"/>
        <v>-64210</v>
      </c>
      <c r="M12" s="12">
        <f t="shared" si="0"/>
        <v>13172060</v>
      </c>
      <c r="N12" s="1"/>
    </row>
    <row r="13" spans="1:14" ht="18.7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2"/>
    </row>
    <row r="14" spans="1:14" ht="18.75">
      <c r="A14" s="1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2"/>
    </row>
    <row r="15" spans="1:14" ht="18.75">
      <c r="A15" s="1"/>
      <c r="B15" s="2" t="s">
        <v>17</v>
      </c>
      <c r="C15" s="2"/>
      <c r="D15" s="2"/>
      <c r="E15" s="2"/>
      <c r="F15" s="2"/>
      <c r="G15" s="2"/>
      <c r="H15" s="2"/>
      <c r="J15" s="3"/>
      <c r="K15" s="3"/>
      <c r="L15" s="3"/>
      <c r="M15" s="3"/>
      <c r="N15" s="2"/>
    </row>
    <row r="16" spans="1:14" ht="18.75">
      <c r="A16" s="1"/>
      <c r="B16" s="2"/>
      <c r="C16" s="2" t="s">
        <v>54</v>
      </c>
      <c r="D16" s="2"/>
      <c r="E16" s="2"/>
      <c r="F16" s="2"/>
      <c r="G16" s="2"/>
      <c r="H16" s="2"/>
      <c r="I16" s="3">
        <v>47897858</v>
      </c>
      <c r="J16" s="3"/>
      <c r="K16" s="3">
        <v>752065</v>
      </c>
      <c r="L16" s="3"/>
      <c r="M16" s="3">
        <f t="shared" ref="M16:M17" si="1">SUM(I16:L16)</f>
        <v>48649923</v>
      </c>
      <c r="N16" s="2"/>
    </row>
    <row r="17" spans="1:14" ht="18.75">
      <c r="A17" s="1"/>
      <c r="B17" s="2"/>
      <c r="C17" s="2" t="s">
        <v>73</v>
      </c>
      <c r="D17" s="2"/>
      <c r="E17" s="2"/>
      <c r="F17" s="2"/>
      <c r="G17" s="2"/>
      <c r="H17" s="2"/>
      <c r="I17" s="3">
        <v>642997</v>
      </c>
      <c r="J17" s="3"/>
      <c r="K17" s="3">
        <v>20000</v>
      </c>
      <c r="L17" s="3"/>
      <c r="M17" s="3">
        <f t="shared" si="1"/>
        <v>662997</v>
      </c>
      <c r="N17" s="2"/>
    </row>
    <row r="18" spans="1:14" ht="18.75">
      <c r="A18" s="1"/>
      <c r="B18" s="2" t="s">
        <v>14</v>
      </c>
      <c r="C18" s="2"/>
      <c r="D18" s="2"/>
      <c r="E18" s="2"/>
      <c r="F18" s="2"/>
      <c r="G18" s="2"/>
      <c r="H18" s="2"/>
      <c r="I18" s="3">
        <v>2983905</v>
      </c>
      <c r="J18" s="3"/>
      <c r="K18" s="3">
        <v>100141</v>
      </c>
      <c r="L18" s="3"/>
      <c r="M18" s="3">
        <f>SUM(I18:L18)</f>
        <v>3084046</v>
      </c>
      <c r="N18" s="2"/>
    </row>
    <row r="19" spans="1:14" ht="18.75">
      <c r="A19" s="1"/>
      <c r="B19" s="2" t="s">
        <v>106</v>
      </c>
      <c r="C19" s="2"/>
      <c r="D19" s="2"/>
      <c r="E19" s="2"/>
      <c r="F19" s="2"/>
      <c r="G19" s="2"/>
      <c r="H19" s="2"/>
      <c r="I19" s="3">
        <v>716214</v>
      </c>
      <c r="J19" s="3"/>
      <c r="K19" s="3"/>
      <c r="L19" s="3"/>
      <c r="M19" s="3">
        <f t="shared" ref="M19:M23" si="2">SUM(I19:L19)</f>
        <v>716214</v>
      </c>
      <c r="N19" s="2"/>
    </row>
    <row r="20" spans="1:14" ht="18.75">
      <c r="A20" s="2"/>
      <c r="B20" s="2" t="s">
        <v>66</v>
      </c>
      <c r="C20" s="2"/>
      <c r="D20" s="2"/>
      <c r="E20" s="2"/>
      <c r="F20" s="2"/>
      <c r="G20" s="2"/>
      <c r="H20" s="2"/>
      <c r="I20" s="3">
        <v>1497882</v>
      </c>
      <c r="J20" s="3"/>
      <c r="K20" s="3">
        <v>45000</v>
      </c>
      <c r="L20" s="3"/>
      <c r="M20" s="3">
        <f t="shared" si="2"/>
        <v>1542882</v>
      </c>
      <c r="N20" s="2"/>
    </row>
    <row r="21" spans="1:14" ht="18.75">
      <c r="A21" s="2"/>
      <c r="B21" s="2" t="s">
        <v>31</v>
      </c>
      <c r="C21" s="2"/>
      <c r="D21" s="2"/>
      <c r="E21" s="2"/>
      <c r="F21" s="2"/>
      <c r="G21" s="2"/>
      <c r="H21" s="2"/>
      <c r="I21" s="3">
        <v>1187227</v>
      </c>
      <c r="J21" s="3"/>
      <c r="K21" s="3"/>
      <c r="L21" s="3"/>
      <c r="M21" s="3">
        <f t="shared" si="2"/>
        <v>1187227</v>
      </c>
      <c r="N21" s="2"/>
    </row>
    <row r="22" spans="1:14" ht="18.75">
      <c r="A22" s="2"/>
      <c r="B22" s="2" t="s">
        <v>107</v>
      </c>
      <c r="C22" s="2"/>
      <c r="D22" s="2"/>
      <c r="E22" s="2"/>
      <c r="F22" s="2"/>
      <c r="G22" s="2"/>
      <c r="H22" s="2"/>
      <c r="I22" s="3">
        <v>285706</v>
      </c>
      <c r="J22" s="3"/>
      <c r="K22" s="3">
        <v>3767</v>
      </c>
      <c r="L22" s="3"/>
      <c r="M22" s="3">
        <f t="shared" si="2"/>
        <v>289473</v>
      </c>
      <c r="N22" s="2"/>
    </row>
    <row r="23" spans="1:14" ht="18.75">
      <c r="A23" s="2"/>
      <c r="B23" s="2" t="s">
        <v>75</v>
      </c>
      <c r="C23" s="2"/>
      <c r="D23" s="2"/>
      <c r="E23" s="2"/>
      <c r="F23" s="2"/>
      <c r="G23" s="2"/>
      <c r="H23" s="2"/>
      <c r="I23" s="3">
        <v>681048</v>
      </c>
      <c r="J23" s="3"/>
      <c r="K23" s="3"/>
      <c r="L23" s="3"/>
      <c r="M23" s="3">
        <f t="shared" si="2"/>
        <v>681048</v>
      </c>
      <c r="N23" s="2"/>
    </row>
    <row r="24" spans="1:14" ht="18.75">
      <c r="A24" s="2"/>
      <c r="B24" s="2"/>
      <c r="C24" s="1" t="s">
        <v>18</v>
      </c>
      <c r="D24" s="2"/>
      <c r="E24" s="2"/>
      <c r="F24" s="2"/>
      <c r="G24" s="2"/>
      <c r="H24" s="2"/>
      <c r="I24" s="13">
        <f>SUM(I16:I23)</f>
        <v>55892837</v>
      </c>
      <c r="J24" s="13">
        <f t="shared" ref="J24:M24" si="3">SUM(J16:J23)</f>
        <v>0</v>
      </c>
      <c r="K24" s="13">
        <f t="shared" si="3"/>
        <v>920973</v>
      </c>
      <c r="L24" s="13">
        <f t="shared" si="3"/>
        <v>0</v>
      </c>
      <c r="M24" s="13">
        <f t="shared" si="3"/>
        <v>56813810</v>
      </c>
      <c r="N24" s="2"/>
    </row>
    <row r="25" spans="1:14" ht="18.75">
      <c r="A25" s="2"/>
      <c r="B25" s="2"/>
      <c r="C25" s="1"/>
      <c r="D25" s="2"/>
      <c r="E25" s="2"/>
      <c r="F25" s="2"/>
      <c r="G25" s="2"/>
      <c r="H25" s="2"/>
      <c r="I25" s="15"/>
      <c r="J25" s="15"/>
      <c r="K25" s="15"/>
      <c r="L25" s="15"/>
      <c r="M25" s="15"/>
      <c r="N25" s="2"/>
    </row>
    <row r="26" spans="1:14" ht="18.75">
      <c r="A26" s="1" t="s">
        <v>19</v>
      </c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2"/>
    </row>
    <row r="27" spans="1:14" ht="18.75">
      <c r="A27" s="2"/>
      <c r="B27" s="2" t="s">
        <v>17</v>
      </c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</row>
    <row r="28" spans="1:14" ht="18.75">
      <c r="A28" s="2"/>
      <c r="B28" s="2"/>
      <c r="C28" s="2" t="s">
        <v>54</v>
      </c>
      <c r="D28" s="2"/>
      <c r="E28" s="2"/>
      <c r="F28" s="2"/>
      <c r="G28" s="2"/>
      <c r="H28" s="2"/>
      <c r="I28" s="3">
        <v>-46301262</v>
      </c>
      <c r="J28" s="3"/>
      <c r="K28" s="3">
        <v>-147599</v>
      </c>
      <c r="L28" s="3"/>
      <c r="M28" s="3">
        <f>SUM(I28:L28)</f>
        <v>-46448861</v>
      </c>
      <c r="N28" s="3">
        <f>SUM(M28,M16)</f>
        <v>2201062</v>
      </c>
    </row>
    <row r="29" spans="1:14" ht="18.75">
      <c r="A29" s="2"/>
      <c r="B29" s="2"/>
      <c r="C29" s="2" t="s">
        <v>73</v>
      </c>
      <c r="D29" s="2"/>
      <c r="E29" s="2"/>
      <c r="F29" s="2"/>
      <c r="G29" s="2"/>
      <c r="H29" s="2"/>
      <c r="I29" s="3">
        <v>-642110</v>
      </c>
      <c r="J29" s="3"/>
      <c r="K29" s="3">
        <v>-1554</v>
      </c>
      <c r="L29" s="3"/>
      <c r="M29" s="3">
        <f t="shared" ref="M29:M35" si="4">SUM(I29:L29)</f>
        <v>-643664</v>
      </c>
      <c r="N29" s="3">
        <f>SUM(M29,M17)</f>
        <v>19333</v>
      </c>
    </row>
    <row r="30" spans="1:14" ht="18.75">
      <c r="A30" s="2"/>
      <c r="B30" s="2" t="s">
        <v>14</v>
      </c>
      <c r="C30" s="2"/>
      <c r="D30" s="2"/>
      <c r="E30" s="2"/>
      <c r="F30" s="2"/>
      <c r="G30" s="2"/>
      <c r="H30" s="2"/>
      <c r="I30" s="3">
        <v>-2619326</v>
      </c>
      <c r="J30" s="3"/>
      <c r="K30" s="3">
        <v>-23570</v>
      </c>
      <c r="L30" s="3"/>
      <c r="M30" s="3">
        <f t="shared" si="4"/>
        <v>-2642896</v>
      </c>
      <c r="N30" s="3">
        <f t="shared" ref="N30:N35" si="5">SUM(M30,M18)</f>
        <v>441150</v>
      </c>
    </row>
    <row r="31" spans="1:14" ht="18.75">
      <c r="A31" s="2"/>
      <c r="B31" s="2" t="s">
        <v>106</v>
      </c>
      <c r="C31" s="2"/>
      <c r="D31" s="2"/>
      <c r="E31" s="2"/>
      <c r="F31" s="2"/>
      <c r="G31" s="2"/>
      <c r="H31" s="2"/>
      <c r="I31" s="3">
        <v>-217293</v>
      </c>
      <c r="J31" s="3"/>
      <c r="K31" s="3">
        <v>-30808</v>
      </c>
      <c r="L31" s="3"/>
      <c r="M31" s="3">
        <f t="shared" si="4"/>
        <v>-248101</v>
      </c>
      <c r="N31" s="3">
        <f t="shared" si="5"/>
        <v>468113</v>
      </c>
    </row>
    <row r="32" spans="1:14" ht="18.75">
      <c r="A32" s="2"/>
      <c r="B32" s="2" t="s">
        <v>66</v>
      </c>
      <c r="C32" s="2"/>
      <c r="D32" s="2"/>
      <c r="E32" s="2"/>
      <c r="F32" s="2"/>
      <c r="G32" s="2"/>
      <c r="H32" s="2"/>
      <c r="I32" s="3">
        <v>-1223555</v>
      </c>
      <c r="J32" s="3"/>
      <c r="K32" s="3">
        <v>-53443</v>
      </c>
      <c r="L32" s="3"/>
      <c r="M32" s="3">
        <f t="shared" si="4"/>
        <v>-1276998</v>
      </c>
      <c r="N32" s="3">
        <f t="shared" si="5"/>
        <v>265884</v>
      </c>
    </row>
    <row r="33" spans="1:14" ht="18.75">
      <c r="A33" s="2"/>
      <c r="B33" s="2" t="s">
        <v>31</v>
      </c>
      <c r="C33" s="2"/>
      <c r="D33" s="2"/>
      <c r="E33" s="2"/>
      <c r="F33" s="2"/>
      <c r="G33" s="2"/>
      <c r="H33" s="2"/>
      <c r="I33" s="3">
        <v>-1114933</v>
      </c>
      <c r="J33" s="3"/>
      <c r="K33" s="3">
        <v>-30076</v>
      </c>
      <c r="L33" s="3"/>
      <c r="M33" s="3">
        <f t="shared" si="4"/>
        <v>-1145009</v>
      </c>
      <c r="N33" s="3">
        <f t="shared" si="5"/>
        <v>42218</v>
      </c>
    </row>
    <row r="34" spans="1:14" ht="18.75">
      <c r="A34" s="2"/>
      <c r="B34" s="2" t="s">
        <v>107</v>
      </c>
      <c r="C34" s="2"/>
      <c r="D34" s="2"/>
      <c r="E34" s="2"/>
      <c r="F34" s="2"/>
      <c r="G34" s="2"/>
      <c r="H34" s="2"/>
      <c r="I34" s="3">
        <v>-129191</v>
      </c>
      <c r="J34" s="3"/>
      <c r="K34" s="3">
        <v>-24085</v>
      </c>
      <c r="L34" s="3"/>
      <c r="M34" s="3">
        <f t="shared" si="4"/>
        <v>-153276</v>
      </c>
      <c r="N34" s="3">
        <f t="shared" si="5"/>
        <v>136197</v>
      </c>
    </row>
    <row r="35" spans="1:14" ht="18.75">
      <c r="A35" s="2"/>
      <c r="B35" s="2" t="s">
        <v>75</v>
      </c>
      <c r="C35" s="2"/>
      <c r="D35" s="2"/>
      <c r="E35" s="2"/>
      <c r="F35" s="2"/>
      <c r="G35" s="2"/>
      <c r="H35" s="2"/>
      <c r="I35" s="3">
        <v>-492028</v>
      </c>
      <c r="J35" s="3"/>
      <c r="K35" s="3">
        <v>-48690</v>
      </c>
      <c r="L35" s="3"/>
      <c r="M35" s="3">
        <f t="shared" si="4"/>
        <v>-540718</v>
      </c>
      <c r="N35" s="3">
        <f t="shared" si="5"/>
        <v>140330</v>
      </c>
    </row>
    <row r="36" spans="1:14" ht="18.75">
      <c r="A36" s="1"/>
      <c r="B36" s="1"/>
      <c r="C36" s="1" t="s">
        <v>20</v>
      </c>
      <c r="D36" s="1"/>
      <c r="E36" s="1"/>
      <c r="F36" s="1"/>
      <c r="G36" s="1"/>
      <c r="H36" s="1"/>
      <c r="I36" s="10">
        <f>SUM(I27:I35)</f>
        <v>-52739698</v>
      </c>
      <c r="J36" s="10">
        <f t="shared" ref="J36:M36" si="6">SUM(J27:J35)</f>
        <v>0</v>
      </c>
      <c r="K36" s="10">
        <f t="shared" si="6"/>
        <v>-359825</v>
      </c>
      <c r="L36" s="10">
        <f t="shared" si="6"/>
        <v>0</v>
      </c>
      <c r="M36" s="10">
        <f t="shared" si="6"/>
        <v>-53099523</v>
      </c>
      <c r="N36" s="1"/>
    </row>
    <row r="37" spans="1:14" ht="18.75">
      <c r="A37" s="1"/>
      <c r="B37" s="1"/>
      <c r="C37" s="1"/>
      <c r="D37" s="1"/>
      <c r="E37" s="1"/>
      <c r="F37" s="1"/>
      <c r="G37" s="1"/>
      <c r="H37" s="1"/>
      <c r="I37" s="10"/>
      <c r="J37" s="10"/>
      <c r="K37" s="10"/>
      <c r="L37" s="10"/>
      <c r="M37" s="10"/>
      <c r="N37" s="1"/>
    </row>
    <row r="38" spans="1:14" ht="18.75">
      <c r="A38" s="1"/>
      <c r="B38" s="1" t="s">
        <v>21</v>
      </c>
      <c r="C38" s="1"/>
      <c r="D38" s="1"/>
      <c r="E38" s="1"/>
      <c r="F38" s="1"/>
      <c r="G38" s="1"/>
      <c r="H38" s="1"/>
      <c r="I38" s="10">
        <f>I36+I24</f>
        <v>3153139</v>
      </c>
      <c r="J38" s="10">
        <f t="shared" ref="J38:M38" si="7">J36+J24</f>
        <v>0</v>
      </c>
      <c r="K38" s="10">
        <f t="shared" si="7"/>
        <v>561148</v>
      </c>
      <c r="L38" s="10">
        <f t="shared" si="7"/>
        <v>0</v>
      </c>
      <c r="M38" s="10">
        <f t="shared" si="7"/>
        <v>3714287</v>
      </c>
      <c r="N38" s="1"/>
    </row>
    <row r="39" spans="1:14" ht="18.75">
      <c r="A39" s="1"/>
      <c r="B39" s="1"/>
      <c r="C39" s="1"/>
      <c r="D39" s="1"/>
      <c r="E39" s="1"/>
      <c r="F39" s="1"/>
      <c r="G39" s="1"/>
      <c r="H39" s="1"/>
      <c r="I39" s="30"/>
      <c r="J39" s="30"/>
      <c r="K39" s="30"/>
      <c r="L39" s="30"/>
      <c r="M39" s="30"/>
      <c r="N39" s="1"/>
    </row>
    <row r="40" spans="1:14" ht="18.75">
      <c r="A40" s="2"/>
      <c r="B40" s="1" t="s">
        <v>22</v>
      </c>
      <c r="C40" s="2"/>
      <c r="D40" s="2"/>
      <c r="E40" s="2"/>
      <c r="F40" s="2"/>
      <c r="G40" s="2"/>
      <c r="H40" s="2"/>
      <c r="I40" s="14">
        <f>I12+I38</f>
        <v>14109112</v>
      </c>
      <c r="J40" s="14">
        <f>J12+J38</f>
        <v>0</v>
      </c>
      <c r="K40" s="14">
        <f>K12+K38</f>
        <v>2841445</v>
      </c>
      <c r="L40" s="14">
        <f>L12+L38</f>
        <v>-64210</v>
      </c>
      <c r="M40" s="14">
        <f>M12+M38</f>
        <v>16886347</v>
      </c>
      <c r="N40" s="3">
        <f>SUM(N27:N35,N10:N11)</f>
        <v>16886347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O35"/>
  <sheetViews>
    <sheetView zoomScale="80" zoomScaleNormal="80" zoomScalePageLayoutView="85" workbookViewId="0">
      <selection activeCell="I21" sqref="I21"/>
    </sheetView>
  </sheetViews>
  <sheetFormatPr defaultColWidth="8.85546875" defaultRowHeight="15"/>
  <cols>
    <col min="8" max="8" width="7.42578125" customWidth="1"/>
    <col min="9" max="9" width="20.140625" customWidth="1"/>
    <col min="10" max="10" width="17.7109375" customWidth="1"/>
    <col min="11" max="11" width="17.85546875" customWidth="1"/>
    <col min="12" max="12" width="18.7109375" customWidth="1"/>
    <col min="13" max="13" width="17.42578125" bestFit="1" customWidth="1"/>
    <col min="14" max="14" width="39.85546875" customWidth="1"/>
    <col min="15" max="15" width="29.42578125" customWidth="1"/>
  </cols>
  <sheetData>
    <row r="1" spans="1:13" ht="18.75">
      <c r="A1" s="2"/>
      <c r="B1" s="2"/>
      <c r="C1" s="2"/>
      <c r="D1" s="159" t="s">
        <v>108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6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3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1"/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2"/>
    </row>
    <row r="10" spans="1:13" ht="18.75">
      <c r="A10" s="2"/>
      <c r="B10" s="2" t="s">
        <v>10</v>
      </c>
      <c r="C10" s="2"/>
      <c r="D10" s="2"/>
      <c r="E10" s="2"/>
      <c r="F10" s="2"/>
      <c r="G10" s="2"/>
      <c r="H10" s="2"/>
      <c r="I10" s="3"/>
      <c r="J10" s="3"/>
      <c r="K10" s="3"/>
      <c r="L10" s="3">
        <f>SUM(I10:K10)</f>
        <v>0</v>
      </c>
      <c r="M10" s="3">
        <f>SUM(L10)</f>
        <v>0</v>
      </c>
    </row>
    <row r="11" spans="1:13" ht="18.75">
      <c r="A11" s="2"/>
      <c r="B11" s="2" t="s">
        <v>11</v>
      </c>
      <c r="C11" s="2"/>
      <c r="D11" s="2"/>
      <c r="E11" s="2"/>
      <c r="F11" s="2"/>
      <c r="G11" s="2"/>
      <c r="H11" s="2"/>
      <c r="I11" s="3"/>
      <c r="J11" s="3"/>
      <c r="K11" s="3"/>
      <c r="L11" s="3">
        <f>SUM(I11:K11)</f>
        <v>0</v>
      </c>
      <c r="M11" s="3">
        <f>SUM(L11)</f>
        <v>0</v>
      </c>
    </row>
    <row r="12" spans="1:13" ht="18.75">
      <c r="A12" s="2"/>
      <c r="B12" s="2" t="s">
        <v>109</v>
      </c>
      <c r="C12" s="2"/>
      <c r="D12" s="2"/>
      <c r="E12" s="2"/>
      <c r="F12" s="2"/>
      <c r="G12" s="2"/>
      <c r="H12" s="2"/>
      <c r="I12" s="3"/>
      <c r="J12" s="3"/>
      <c r="K12" s="3"/>
      <c r="L12" s="3">
        <f t="shared" ref="L12:L15" si="0">SUM(I12:K12)</f>
        <v>0</v>
      </c>
      <c r="M12" s="3"/>
    </row>
    <row r="13" spans="1:13" ht="18.75">
      <c r="A13" s="2"/>
      <c r="B13" s="2" t="s">
        <v>110</v>
      </c>
      <c r="C13" s="2"/>
      <c r="D13" s="2"/>
      <c r="E13" s="2"/>
      <c r="F13" s="2"/>
      <c r="G13" s="2"/>
      <c r="H13" s="2"/>
      <c r="I13" s="3"/>
      <c r="J13" s="3"/>
      <c r="K13" s="3"/>
      <c r="L13" s="3">
        <f t="shared" si="0"/>
        <v>0</v>
      </c>
      <c r="M13" s="3"/>
    </row>
    <row r="14" spans="1:13" ht="18.75">
      <c r="A14" s="2"/>
      <c r="B14" s="2" t="s">
        <v>111</v>
      </c>
      <c r="C14" s="2"/>
      <c r="D14" s="2"/>
      <c r="E14" s="2"/>
      <c r="F14" s="2"/>
      <c r="G14" s="2"/>
      <c r="H14" s="2"/>
      <c r="I14" s="3"/>
      <c r="J14" s="3"/>
      <c r="K14" s="3"/>
      <c r="L14" s="3">
        <f t="shared" si="0"/>
        <v>0</v>
      </c>
      <c r="M14" s="3"/>
    </row>
    <row r="15" spans="1:13" ht="18.75">
      <c r="A15" s="2"/>
      <c r="B15" s="2" t="s">
        <v>17</v>
      </c>
      <c r="C15" s="2"/>
      <c r="D15" s="2"/>
      <c r="E15" s="2"/>
      <c r="F15" s="2"/>
      <c r="G15" s="2"/>
      <c r="H15" s="2"/>
      <c r="I15" s="3"/>
      <c r="J15" s="3"/>
      <c r="K15" s="3"/>
      <c r="L15" s="3">
        <f t="shared" si="0"/>
        <v>0</v>
      </c>
      <c r="M15" s="3"/>
    </row>
    <row r="16" spans="1:13" ht="20.25" customHeight="1">
      <c r="A16" s="1"/>
      <c r="B16" s="1"/>
      <c r="C16" s="1" t="s">
        <v>112</v>
      </c>
      <c r="D16" s="1"/>
      <c r="E16" s="1"/>
      <c r="F16" s="1"/>
      <c r="G16" s="1"/>
      <c r="H16" s="1"/>
      <c r="I16" s="13">
        <f t="shared" ref="I16:K16" si="1">SUM(I10:I15)</f>
        <v>0</v>
      </c>
      <c r="J16" s="13">
        <f t="shared" si="1"/>
        <v>0</v>
      </c>
      <c r="K16" s="13">
        <f t="shared" si="1"/>
        <v>0</v>
      </c>
      <c r="L16" s="13">
        <f>SUM(L10:L15)</f>
        <v>0</v>
      </c>
      <c r="M16" s="1"/>
    </row>
    <row r="17" spans="1:15" ht="20.25" customHeight="1">
      <c r="A17" s="1"/>
      <c r="B17" s="1"/>
      <c r="C17" s="1"/>
      <c r="D17" s="1"/>
      <c r="E17" s="1"/>
      <c r="F17" s="1"/>
      <c r="G17" s="1"/>
      <c r="H17" s="1"/>
      <c r="I17" s="13"/>
      <c r="J17" s="13"/>
      <c r="K17" s="13"/>
      <c r="L17" s="13"/>
      <c r="M17" s="1"/>
    </row>
    <row r="18" spans="1:15" ht="20.25" customHeight="1">
      <c r="A18" s="1" t="s">
        <v>113</v>
      </c>
      <c r="B18" s="1"/>
      <c r="C18" s="1"/>
      <c r="D18" s="1"/>
      <c r="E18" s="1"/>
      <c r="F18" s="1"/>
      <c r="G18" s="1"/>
      <c r="H18" s="1"/>
      <c r="I18" s="15"/>
      <c r="J18" s="15"/>
      <c r="K18" s="15"/>
      <c r="L18" s="15"/>
      <c r="M18" s="1"/>
    </row>
    <row r="19" spans="1:15" ht="20.25" customHeight="1">
      <c r="A19" s="1"/>
      <c r="B19" s="2" t="s">
        <v>109</v>
      </c>
      <c r="C19" s="2"/>
      <c r="D19" s="2"/>
      <c r="E19" s="2"/>
      <c r="F19" s="2"/>
      <c r="G19" s="2"/>
      <c r="H19" s="2"/>
      <c r="I19" s="3"/>
      <c r="J19" s="3"/>
      <c r="K19" s="3"/>
      <c r="L19" s="3">
        <f t="shared" ref="L19:L22" si="2">SUM(I19:K19)</f>
        <v>0</v>
      </c>
      <c r="M19" s="1"/>
    </row>
    <row r="20" spans="1:15" ht="20.25" customHeight="1">
      <c r="A20" s="1"/>
      <c r="B20" s="2" t="s">
        <v>110</v>
      </c>
      <c r="C20" s="2"/>
      <c r="D20" s="2"/>
      <c r="E20" s="2"/>
      <c r="F20" s="2"/>
      <c r="G20" s="2"/>
      <c r="H20" s="2"/>
      <c r="I20" s="3"/>
      <c r="J20" s="3"/>
      <c r="K20" s="3"/>
      <c r="L20" s="3">
        <f t="shared" si="2"/>
        <v>0</v>
      </c>
      <c r="M20" s="1"/>
    </row>
    <row r="21" spans="1:15" ht="20.25" customHeight="1">
      <c r="A21" s="1"/>
      <c r="B21" s="2" t="s">
        <v>111</v>
      </c>
      <c r="C21" s="2"/>
      <c r="D21" s="2"/>
      <c r="E21" s="2"/>
      <c r="F21" s="2"/>
      <c r="G21" s="2"/>
      <c r="H21" s="2"/>
      <c r="I21" s="3"/>
      <c r="J21" s="3"/>
      <c r="K21" s="3"/>
      <c r="L21" s="3">
        <f t="shared" si="2"/>
        <v>0</v>
      </c>
      <c r="M21" s="1"/>
    </row>
    <row r="22" spans="1:15" ht="20.25" customHeight="1">
      <c r="A22" s="1"/>
      <c r="B22" s="2" t="s">
        <v>17</v>
      </c>
      <c r="C22" s="2"/>
      <c r="D22" s="2"/>
      <c r="E22" s="2"/>
      <c r="F22" s="2"/>
      <c r="G22" s="2"/>
      <c r="H22" s="2"/>
      <c r="I22" s="3"/>
      <c r="J22" s="3"/>
      <c r="K22" s="3"/>
      <c r="L22" s="6">
        <f t="shared" si="2"/>
        <v>0</v>
      </c>
      <c r="M22" s="1"/>
    </row>
    <row r="23" spans="1:15" ht="18.75">
      <c r="A23" s="1"/>
      <c r="B23" s="2"/>
      <c r="C23" s="2" t="s">
        <v>114</v>
      </c>
      <c r="D23" s="2"/>
      <c r="E23" s="2"/>
      <c r="F23" s="2"/>
      <c r="G23" s="2"/>
      <c r="H23" s="2"/>
      <c r="I23" s="13">
        <f t="shared" ref="I23" si="3">SUM(I17:I22)</f>
        <v>0</v>
      </c>
      <c r="J23" s="13">
        <f t="shared" ref="J23" si="4">SUM(J17:J22)</f>
        <v>0</v>
      </c>
      <c r="K23" s="13">
        <f t="shared" ref="K23" si="5">SUM(K17:K22)</f>
        <v>0</v>
      </c>
      <c r="L23" s="15">
        <f>SUM(L17:L22)</f>
        <v>0</v>
      </c>
      <c r="M23" s="2"/>
      <c r="O23" s="35">
        <f>SUM(O19:O22)</f>
        <v>0</v>
      </c>
    </row>
    <row r="24" spans="1:15" ht="18.75">
      <c r="A24" s="1"/>
      <c r="B24" s="2"/>
      <c r="C24" s="2"/>
      <c r="D24" s="2"/>
      <c r="E24" s="2"/>
      <c r="F24" s="2"/>
      <c r="G24" s="2"/>
      <c r="H24" s="2"/>
      <c r="L24" s="15">
        <f t="shared" ref="L24:L29" si="6">SUM(L18:L23)</f>
        <v>0</v>
      </c>
      <c r="M24" s="2"/>
    </row>
    <row r="25" spans="1:15" ht="18.75">
      <c r="A25" s="1" t="s">
        <v>115</v>
      </c>
      <c r="B25" s="2"/>
      <c r="C25" s="2"/>
      <c r="D25" s="2"/>
      <c r="E25" s="2"/>
      <c r="F25" s="2"/>
      <c r="G25" s="2"/>
      <c r="H25" s="2"/>
      <c r="L25" s="15">
        <f t="shared" si="6"/>
        <v>0</v>
      </c>
      <c r="M25" s="2"/>
    </row>
    <row r="26" spans="1:15" ht="18.75">
      <c r="A26" s="1"/>
      <c r="B26" s="2" t="s">
        <v>109</v>
      </c>
      <c r="C26" s="2"/>
      <c r="D26" s="2"/>
      <c r="E26" s="2"/>
      <c r="F26" s="2"/>
      <c r="G26" s="2"/>
      <c r="H26" s="2"/>
      <c r="L26" s="15">
        <f t="shared" si="6"/>
        <v>0</v>
      </c>
      <c r="M26" s="3">
        <f>L19+L26</f>
        <v>0</v>
      </c>
    </row>
    <row r="27" spans="1:15" ht="18.75">
      <c r="A27" s="1"/>
      <c r="B27" s="2" t="s">
        <v>110</v>
      </c>
      <c r="C27" s="2"/>
      <c r="D27" s="2"/>
      <c r="E27" s="2"/>
      <c r="F27" s="2"/>
      <c r="G27" s="2"/>
      <c r="H27" s="2"/>
      <c r="L27" s="15">
        <f t="shared" si="6"/>
        <v>0</v>
      </c>
      <c r="M27" s="3">
        <f t="shared" ref="M27:M29" si="7">L20+L27</f>
        <v>0</v>
      </c>
    </row>
    <row r="28" spans="1:15" ht="18.75">
      <c r="A28" s="1"/>
      <c r="B28" s="2" t="s">
        <v>111</v>
      </c>
      <c r="C28" s="2"/>
      <c r="D28" s="2"/>
      <c r="E28" s="2"/>
      <c r="F28" s="2"/>
      <c r="G28" s="2"/>
      <c r="H28" s="2"/>
      <c r="L28" s="15">
        <f t="shared" si="6"/>
        <v>0</v>
      </c>
      <c r="M28" s="3">
        <f t="shared" si="7"/>
        <v>0</v>
      </c>
    </row>
    <row r="29" spans="1:15" ht="18.75">
      <c r="A29" s="1"/>
      <c r="B29" s="2" t="s">
        <v>17</v>
      </c>
      <c r="C29" s="2"/>
      <c r="D29" s="2"/>
      <c r="E29" s="2"/>
      <c r="F29" s="2"/>
      <c r="G29" s="2"/>
      <c r="H29" s="2"/>
      <c r="L29" s="15">
        <f t="shared" si="6"/>
        <v>0</v>
      </c>
      <c r="M29" s="3">
        <f t="shared" si="7"/>
        <v>0</v>
      </c>
    </row>
    <row r="30" spans="1:15" s="37" customFormat="1" ht="18.75">
      <c r="A30" s="1"/>
      <c r="B30" s="1"/>
      <c r="C30" s="1" t="s">
        <v>116</v>
      </c>
      <c r="D30" s="1"/>
      <c r="E30" s="1"/>
      <c r="F30" s="1"/>
      <c r="G30" s="1"/>
      <c r="H30" s="1"/>
      <c r="I30" s="125">
        <f>SUM(I25:I29)</f>
        <v>0</v>
      </c>
      <c r="J30" s="125">
        <f t="shared" ref="J30:L30" si="8">SUM(J25:J29)</f>
        <v>0</v>
      </c>
      <c r="K30" s="125">
        <f t="shared" si="8"/>
        <v>0</v>
      </c>
      <c r="L30" s="125">
        <f t="shared" si="8"/>
        <v>0</v>
      </c>
      <c r="M30" s="1"/>
    </row>
    <row r="31" spans="1:15" ht="18.75">
      <c r="A31" s="1"/>
      <c r="B31" s="2"/>
      <c r="C31" s="2"/>
      <c r="D31" s="2"/>
      <c r="E31" s="2"/>
      <c r="F31" s="2"/>
      <c r="G31" s="2"/>
      <c r="H31" s="2"/>
      <c r="M31" s="2"/>
    </row>
    <row r="32" spans="1:15" ht="18.75">
      <c r="A32" s="1"/>
      <c r="B32" s="1"/>
      <c r="C32" s="1" t="s">
        <v>117</v>
      </c>
      <c r="D32" s="1"/>
      <c r="E32" s="1"/>
      <c r="F32" s="1"/>
      <c r="G32" s="1"/>
      <c r="H32" s="1"/>
      <c r="I32" s="7"/>
      <c r="J32" s="7"/>
      <c r="K32" s="7"/>
      <c r="L32" s="7">
        <f>SUM(I32:K32)</f>
        <v>0</v>
      </c>
      <c r="M32" s="1"/>
    </row>
    <row r="33" spans="1:14" ht="18.75">
      <c r="A33" s="1"/>
      <c r="B33" s="1"/>
      <c r="C33" s="1"/>
      <c r="D33" s="1"/>
      <c r="E33" s="1"/>
      <c r="F33" s="1"/>
      <c r="G33" s="1"/>
      <c r="H33" s="1"/>
      <c r="I33" s="7"/>
      <c r="J33" s="7"/>
      <c r="K33" s="7"/>
      <c r="L33" s="7"/>
      <c r="M33" s="1"/>
      <c r="N33" s="33"/>
    </row>
    <row r="34" spans="1:14" ht="18.75">
      <c r="A34" s="1"/>
      <c r="B34" s="1"/>
      <c r="C34" s="1" t="s">
        <v>118</v>
      </c>
      <c r="D34" s="1"/>
      <c r="E34" s="1"/>
      <c r="F34" s="1"/>
      <c r="G34" s="1"/>
      <c r="H34" s="1"/>
      <c r="I34" s="10">
        <f>SUM(I16,I32)</f>
        <v>0</v>
      </c>
      <c r="J34" s="10">
        <f>SUM(J16,J32)</f>
        <v>0</v>
      </c>
      <c r="K34" s="10">
        <f>K16-K32</f>
        <v>0</v>
      </c>
      <c r="L34" s="10">
        <f>SUM(L16,L32)</f>
        <v>0</v>
      </c>
      <c r="M34" s="15">
        <f>SUM(M10:M29)</f>
        <v>0</v>
      </c>
      <c r="N34" s="34"/>
    </row>
    <row r="35" spans="1:14" ht="18.75">
      <c r="A35" s="1"/>
      <c r="B35" s="1"/>
      <c r="C35" s="1"/>
      <c r="D35" s="1"/>
      <c r="E35" s="1"/>
      <c r="F35" s="1"/>
      <c r="G35" s="1"/>
      <c r="H35" s="1"/>
      <c r="I35" s="30"/>
      <c r="J35" s="30"/>
      <c r="K35" s="30"/>
      <c r="L35" s="30"/>
      <c r="M35" s="1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8"/>
  <sheetViews>
    <sheetView topLeftCell="A12" zoomScaleNormal="100" zoomScalePageLayoutView="85" workbookViewId="0">
      <selection activeCell="Q27" sqref="Q27"/>
    </sheetView>
  </sheetViews>
  <sheetFormatPr defaultColWidth="8.85546875" defaultRowHeight="15"/>
  <cols>
    <col min="9" max="9" width="16.7109375" customWidth="1"/>
    <col min="10" max="10" width="15.7109375" customWidth="1"/>
    <col min="11" max="11" width="15.28515625" customWidth="1"/>
    <col min="12" max="12" width="15.85546875" customWidth="1"/>
    <col min="13" max="13" width="17.28515625" customWidth="1"/>
    <col min="14" max="14" width="17.140625" customWidth="1"/>
  </cols>
  <sheetData>
    <row r="1" spans="1:14" ht="18.75">
      <c r="A1" s="2"/>
      <c r="B1" s="2"/>
      <c r="C1" s="2"/>
      <c r="D1" s="159" t="s">
        <v>119</v>
      </c>
      <c r="E1" s="159"/>
      <c r="F1" s="159"/>
      <c r="G1" s="159"/>
      <c r="H1" s="159"/>
      <c r="I1" s="159"/>
      <c r="J1" s="3"/>
      <c r="K1" s="3"/>
      <c r="L1" s="3"/>
      <c r="M1" s="3"/>
      <c r="N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3"/>
      <c r="N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3"/>
      <c r="N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3"/>
      <c r="N4" s="2"/>
    </row>
    <row r="5" spans="1:14" ht="56.2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120</v>
      </c>
      <c r="K5" s="11" t="s">
        <v>63</v>
      </c>
      <c r="L5" s="11" t="s">
        <v>68</v>
      </c>
      <c r="M5" s="11" t="s">
        <v>6</v>
      </c>
      <c r="N5" s="11" t="s">
        <v>7</v>
      </c>
    </row>
    <row r="6" spans="1:14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16"/>
      <c r="N6" s="2"/>
    </row>
    <row r="7" spans="1:14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3"/>
      <c r="N7" s="2"/>
    </row>
    <row r="8" spans="1:14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3"/>
      <c r="N8" s="2"/>
    </row>
    <row r="9" spans="1:14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3"/>
      <c r="N9" s="2"/>
    </row>
    <row r="10" spans="1:14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112200</v>
      </c>
      <c r="J10" s="3"/>
      <c r="K10" s="3"/>
      <c r="L10" s="3"/>
      <c r="M10" s="3">
        <f>SUM(I10:L10)</f>
        <v>112200</v>
      </c>
      <c r="N10" s="3">
        <f>SUM(M10)</f>
        <v>112200</v>
      </c>
    </row>
    <row r="11" spans="1:14" ht="18.75">
      <c r="A11" s="2"/>
      <c r="B11" s="2" t="s">
        <v>11</v>
      </c>
      <c r="C11" s="2"/>
      <c r="D11" s="2"/>
      <c r="E11" s="2"/>
      <c r="F11" s="2"/>
      <c r="G11" s="2"/>
      <c r="H11" s="2"/>
      <c r="I11" s="3">
        <v>33780</v>
      </c>
      <c r="J11" s="3"/>
      <c r="K11" s="3">
        <v>1386372</v>
      </c>
      <c r="L11" s="3"/>
      <c r="M11" s="3">
        <f>SUM(I11:L11)</f>
        <v>1420152</v>
      </c>
      <c r="N11" s="3">
        <f>SUM(M11)</f>
        <v>1420152</v>
      </c>
    </row>
    <row r="12" spans="1:14" ht="18.75">
      <c r="A12" s="1"/>
      <c r="B12" s="1"/>
      <c r="C12" s="1" t="s">
        <v>70</v>
      </c>
      <c r="D12" s="1"/>
      <c r="E12" s="1"/>
      <c r="F12" s="1"/>
      <c r="G12" s="1"/>
      <c r="H12" s="1"/>
      <c r="I12" s="12">
        <f>SUM(I10:I11)</f>
        <v>145980</v>
      </c>
      <c r="J12" s="12">
        <f t="shared" ref="J12:M12" si="0">SUM(J10:J11)</f>
        <v>0</v>
      </c>
      <c r="K12" s="12">
        <f t="shared" si="0"/>
        <v>1386372</v>
      </c>
      <c r="L12" s="12">
        <f t="shared" si="0"/>
        <v>0</v>
      </c>
      <c r="M12" s="12">
        <f t="shared" si="0"/>
        <v>1532352</v>
      </c>
      <c r="N12" s="1"/>
    </row>
    <row r="13" spans="1:14" ht="18.7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2"/>
    </row>
    <row r="14" spans="1:14" ht="18.75">
      <c r="A14" s="1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2"/>
    </row>
    <row r="15" spans="1:14" ht="18.75">
      <c r="A15" s="1"/>
      <c r="B15" s="2" t="s">
        <v>121</v>
      </c>
      <c r="C15" s="2"/>
      <c r="D15" s="2"/>
      <c r="E15" s="2"/>
      <c r="F15" s="2"/>
      <c r="G15" s="2"/>
      <c r="H15" s="2"/>
      <c r="I15" s="3">
        <v>11514532</v>
      </c>
      <c r="J15" s="3"/>
      <c r="K15" s="3">
        <v>60445</v>
      </c>
      <c r="L15" s="3"/>
      <c r="M15" s="3">
        <f>SUM(I15:L15)</f>
        <v>11574977</v>
      </c>
      <c r="N15" s="2"/>
    </row>
    <row r="16" spans="1:14" ht="18.75">
      <c r="A16" s="1"/>
      <c r="B16" s="2" t="s">
        <v>122</v>
      </c>
      <c r="C16" s="2"/>
      <c r="D16" s="2"/>
      <c r="E16" s="2"/>
      <c r="F16" s="2"/>
      <c r="G16" s="2"/>
      <c r="H16" s="2"/>
      <c r="I16" s="3">
        <v>2996844</v>
      </c>
      <c r="J16" s="3"/>
      <c r="K16" s="3">
        <v>6778</v>
      </c>
      <c r="L16" s="3"/>
      <c r="M16" s="3">
        <f>SUM(I16:L16)</f>
        <v>3003622</v>
      </c>
      <c r="N16" s="2"/>
    </row>
    <row r="17" spans="1:14" ht="18.75">
      <c r="A17" s="1"/>
      <c r="B17" s="2" t="s">
        <v>123</v>
      </c>
      <c r="C17" s="2"/>
      <c r="D17" s="2"/>
      <c r="E17" s="2"/>
      <c r="F17" s="2"/>
      <c r="G17" s="2"/>
      <c r="H17" s="2"/>
      <c r="I17" s="3">
        <v>1543519</v>
      </c>
      <c r="J17" s="3"/>
      <c r="K17" s="3">
        <v>12840</v>
      </c>
      <c r="L17" s="3"/>
      <c r="M17" s="3">
        <f>SUM(I17:L17)</f>
        <v>1556359</v>
      </c>
      <c r="N17" s="2"/>
    </row>
    <row r="18" spans="1:14" ht="18.75">
      <c r="A18" s="2"/>
      <c r="B18" s="2" t="s">
        <v>124</v>
      </c>
      <c r="C18" s="2"/>
      <c r="D18" s="2"/>
      <c r="E18" s="2"/>
      <c r="F18" s="2"/>
      <c r="G18" s="2"/>
      <c r="H18" s="2"/>
      <c r="I18" s="3">
        <v>1416128</v>
      </c>
      <c r="J18" s="3"/>
      <c r="K18" s="3">
        <v>14033</v>
      </c>
      <c r="L18" s="3"/>
      <c r="M18" s="3">
        <f>SUM(I18:L18)</f>
        <v>1430161</v>
      </c>
      <c r="N18" s="2"/>
    </row>
    <row r="19" spans="1:14" ht="18.75">
      <c r="A19" s="2"/>
      <c r="B19" s="2" t="s">
        <v>125</v>
      </c>
      <c r="C19" s="2"/>
      <c r="D19" s="2"/>
      <c r="E19" s="2"/>
      <c r="F19" s="2"/>
      <c r="G19" s="2"/>
      <c r="H19" s="2"/>
      <c r="I19" s="3">
        <v>991480</v>
      </c>
      <c r="J19" s="3"/>
      <c r="K19" s="3"/>
      <c r="L19" s="3"/>
      <c r="M19" s="3">
        <f t="shared" ref="M19:M21" si="1">SUM(I19:L19)</f>
        <v>991480</v>
      </c>
      <c r="N19" s="2"/>
    </row>
    <row r="20" spans="1:14" ht="18.75">
      <c r="A20" s="2"/>
      <c r="B20" s="2" t="s">
        <v>31</v>
      </c>
      <c r="C20" s="2"/>
      <c r="D20" s="2"/>
      <c r="E20" s="2"/>
      <c r="F20" s="2"/>
      <c r="G20" s="2"/>
      <c r="H20" s="2"/>
      <c r="I20" s="3">
        <v>549424</v>
      </c>
      <c r="J20" s="3"/>
      <c r="K20" s="3">
        <v>29606</v>
      </c>
      <c r="L20" s="3"/>
      <c r="M20" s="3">
        <f t="shared" si="1"/>
        <v>579030</v>
      </c>
      <c r="N20" s="2"/>
    </row>
    <row r="21" spans="1:14" ht="18.75">
      <c r="A21" s="2"/>
      <c r="B21" s="2" t="s">
        <v>126</v>
      </c>
      <c r="C21" s="2"/>
      <c r="D21" s="2"/>
      <c r="E21" s="2"/>
      <c r="F21" s="2"/>
      <c r="G21" s="2"/>
      <c r="H21" s="2"/>
      <c r="I21" s="3">
        <v>710868</v>
      </c>
      <c r="J21" s="3"/>
      <c r="K21" s="3">
        <v>34889</v>
      </c>
      <c r="L21" s="3">
        <v>-21046</v>
      </c>
      <c r="M21" s="3">
        <f t="shared" si="1"/>
        <v>724711</v>
      </c>
      <c r="N21" s="2"/>
    </row>
    <row r="22" spans="1:14" ht="18.75">
      <c r="A22" s="2"/>
      <c r="B22" s="2"/>
      <c r="C22" s="1" t="s">
        <v>18</v>
      </c>
      <c r="D22" s="2"/>
      <c r="E22" s="2"/>
      <c r="F22" s="2"/>
      <c r="G22" s="2"/>
      <c r="H22" s="2"/>
      <c r="I22" s="13">
        <f>SUM(I15:I21)</f>
        <v>19722795</v>
      </c>
      <c r="J22" s="13">
        <f t="shared" ref="J22:M22" si="2">SUM(J15:J21)</f>
        <v>0</v>
      </c>
      <c r="K22" s="13">
        <f t="shared" si="2"/>
        <v>158591</v>
      </c>
      <c r="L22" s="13">
        <f t="shared" si="2"/>
        <v>-21046</v>
      </c>
      <c r="M22" s="13">
        <f t="shared" si="2"/>
        <v>19860340</v>
      </c>
      <c r="N22" s="2"/>
    </row>
    <row r="23" spans="1:14" ht="18.75">
      <c r="A23" s="2"/>
      <c r="B23" s="2"/>
      <c r="C23" s="1"/>
      <c r="D23" s="2"/>
      <c r="E23" s="2"/>
      <c r="F23" s="2"/>
      <c r="G23" s="2"/>
      <c r="H23" s="2"/>
      <c r="I23" s="15"/>
      <c r="J23" s="15"/>
      <c r="K23" s="15"/>
      <c r="L23" s="15"/>
      <c r="M23" s="15"/>
      <c r="N23" s="2"/>
    </row>
    <row r="24" spans="1:14" ht="18.75">
      <c r="A24" s="2" t="s">
        <v>19</v>
      </c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2"/>
    </row>
    <row r="25" spans="1:14" ht="18.75">
      <c r="A25" s="2"/>
      <c r="B25" s="2" t="s">
        <v>127</v>
      </c>
      <c r="C25" s="2"/>
      <c r="D25" s="2"/>
      <c r="E25" s="2"/>
      <c r="F25" s="2"/>
      <c r="G25" s="2"/>
      <c r="H25" s="2"/>
      <c r="I25" s="3">
        <v>8482039</v>
      </c>
      <c r="J25" s="3"/>
      <c r="K25" s="3">
        <v>112330</v>
      </c>
      <c r="L25" s="3"/>
      <c r="M25" s="3">
        <f>SUM(I25:L25)</f>
        <v>8594369</v>
      </c>
      <c r="N25" s="3">
        <f>M15-M25</f>
        <v>2980608</v>
      </c>
    </row>
    <row r="26" spans="1:14" ht="18.75">
      <c r="A26" s="2"/>
      <c r="B26" s="2" t="s">
        <v>128</v>
      </c>
      <c r="C26" s="2"/>
      <c r="D26" s="2"/>
      <c r="E26" s="2"/>
      <c r="F26" s="2"/>
      <c r="G26" s="2"/>
      <c r="H26" s="2"/>
      <c r="I26" s="3">
        <v>2571739</v>
      </c>
      <c r="J26" s="3"/>
      <c r="K26" s="3">
        <v>18632</v>
      </c>
      <c r="L26" s="3"/>
      <c r="M26" s="3">
        <f>SUM(I26:L26)</f>
        <v>2590371</v>
      </c>
      <c r="N26" s="3">
        <f t="shared" ref="N26:N31" si="3">M16-M26</f>
        <v>413251</v>
      </c>
    </row>
    <row r="27" spans="1:14" ht="18.75">
      <c r="A27" s="2"/>
      <c r="B27" s="2" t="s">
        <v>123</v>
      </c>
      <c r="C27" s="2"/>
      <c r="D27" s="2"/>
      <c r="E27" s="2"/>
      <c r="F27" s="2"/>
      <c r="G27" s="2"/>
      <c r="H27" s="2"/>
      <c r="I27" s="3">
        <v>262987</v>
      </c>
      <c r="J27" s="3"/>
      <c r="K27" s="3">
        <v>61740</v>
      </c>
      <c r="L27" s="3"/>
      <c r="M27" s="3">
        <f>SUM(I27:L27)</f>
        <v>324727</v>
      </c>
      <c r="N27" s="3">
        <f t="shared" si="3"/>
        <v>1231632</v>
      </c>
    </row>
    <row r="28" spans="1:14" ht="18.75">
      <c r="A28" s="2"/>
      <c r="B28" s="2" t="s">
        <v>124</v>
      </c>
      <c r="C28" s="2"/>
      <c r="D28" s="2"/>
      <c r="E28" s="2"/>
      <c r="F28" s="2"/>
      <c r="G28" s="2"/>
      <c r="H28" s="2"/>
      <c r="I28" s="3">
        <v>1164822</v>
      </c>
      <c r="J28" s="3"/>
      <c r="K28" s="3">
        <v>52303</v>
      </c>
      <c r="L28" s="3"/>
      <c r="M28" s="3">
        <f>SUM(I28:L28)</f>
        <v>1217125</v>
      </c>
      <c r="N28" s="3">
        <f t="shared" si="3"/>
        <v>213036</v>
      </c>
    </row>
    <row r="29" spans="1:14" ht="18.75">
      <c r="A29" s="2"/>
      <c r="B29" s="2" t="s">
        <v>125</v>
      </c>
      <c r="C29" s="2"/>
      <c r="D29" s="2"/>
      <c r="E29" s="2"/>
      <c r="F29" s="2"/>
      <c r="G29" s="2"/>
      <c r="H29" s="2"/>
      <c r="I29" s="3">
        <v>681467</v>
      </c>
      <c r="J29" s="3"/>
      <c r="K29" s="3">
        <v>54023</v>
      </c>
      <c r="L29" s="3"/>
      <c r="M29" s="3">
        <f t="shared" ref="M29:M31" si="4">SUM(I29:L29)</f>
        <v>735490</v>
      </c>
      <c r="N29" s="3">
        <f t="shared" si="3"/>
        <v>255990</v>
      </c>
    </row>
    <row r="30" spans="1:14" ht="18.75">
      <c r="A30" s="2"/>
      <c r="B30" s="2" t="s">
        <v>31</v>
      </c>
      <c r="C30" s="2"/>
      <c r="D30" s="2"/>
      <c r="E30" s="2"/>
      <c r="F30" s="2"/>
      <c r="G30" s="2"/>
      <c r="H30" s="2"/>
      <c r="I30" s="3">
        <v>347870</v>
      </c>
      <c r="J30" s="3"/>
      <c r="K30" s="3">
        <v>42525</v>
      </c>
      <c r="L30" s="3"/>
      <c r="M30" s="3">
        <f t="shared" si="4"/>
        <v>390395</v>
      </c>
      <c r="N30" s="3">
        <f t="shared" si="3"/>
        <v>188635</v>
      </c>
    </row>
    <row r="31" spans="1:14" ht="18.75">
      <c r="A31" s="2"/>
      <c r="B31" s="2" t="s">
        <v>126</v>
      </c>
      <c r="C31" s="2"/>
      <c r="D31" s="2"/>
      <c r="E31" s="2"/>
      <c r="F31" s="2"/>
      <c r="G31" s="2"/>
      <c r="H31" s="2"/>
      <c r="I31" s="3">
        <v>626802</v>
      </c>
      <c r="J31" s="3"/>
      <c r="K31" s="3">
        <v>33929</v>
      </c>
      <c r="L31" s="3">
        <v>-21046</v>
      </c>
      <c r="M31" s="3">
        <f t="shared" si="4"/>
        <v>639685</v>
      </c>
      <c r="N31" s="3">
        <f t="shared" si="3"/>
        <v>85026</v>
      </c>
    </row>
    <row r="32" spans="1:14" ht="18.75">
      <c r="A32" s="1"/>
      <c r="B32" s="1"/>
      <c r="C32" s="1" t="s">
        <v>20</v>
      </c>
      <c r="D32" s="1"/>
      <c r="E32" s="1"/>
      <c r="F32" s="1"/>
      <c r="G32" s="1"/>
      <c r="H32" s="1"/>
      <c r="I32" s="10">
        <f>SUM(I25:I31)</f>
        <v>14137726</v>
      </c>
      <c r="J32" s="10">
        <f t="shared" ref="J32:M32" si="5">SUM(J25:J31)</f>
        <v>0</v>
      </c>
      <c r="K32" s="10">
        <f t="shared" si="5"/>
        <v>375482</v>
      </c>
      <c r="L32" s="10">
        <f t="shared" si="5"/>
        <v>-21046</v>
      </c>
      <c r="M32" s="10">
        <f t="shared" si="5"/>
        <v>14492162</v>
      </c>
      <c r="N32" s="1"/>
    </row>
    <row r="33" spans="1:14" ht="18.75">
      <c r="A33" s="1"/>
      <c r="B33" s="1"/>
      <c r="C33" s="1"/>
      <c r="D33" s="1"/>
      <c r="E33" s="1"/>
      <c r="F33" s="1"/>
      <c r="G33" s="1"/>
      <c r="H33" s="1"/>
      <c r="I33" s="10"/>
      <c r="J33" s="10"/>
      <c r="K33" s="10"/>
      <c r="L33" s="10"/>
      <c r="M33" s="10"/>
      <c r="N33" s="1"/>
    </row>
    <row r="34" spans="1:14" ht="18.75">
      <c r="A34" s="1"/>
      <c r="B34" s="1" t="s">
        <v>21</v>
      </c>
      <c r="C34" s="1"/>
      <c r="D34" s="1"/>
      <c r="E34" s="1"/>
      <c r="F34" s="1"/>
      <c r="G34" s="1"/>
      <c r="H34" s="1"/>
      <c r="I34" s="10">
        <f>I22-I32</f>
        <v>5585069</v>
      </c>
      <c r="J34" s="10">
        <f t="shared" ref="J34:M34" si="6">J22-J32</f>
        <v>0</v>
      </c>
      <c r="K34" s="10">
        <f t="shared" si="6"/>
        <v>-216891</v>
      </c>
      <c r="L34" s="10">
        <f t="shared" si="6"/>
        <v>0</v>
      </c>
      <c r="M34" s="10">
        <f t="shared" si="6"/>
        <v>5368178</v>
      </c>
      <c r="N34" s="1"/>
    </row>
    <row r="35" spans="1:14" ht="18.75">
      <c r="A35" s="1"/>
      <c r="B35" s="1"/>
      <c r="C35" s="1"/>
      <c r="D35" s="1"/>
      <c r="E35" s="1"/>
      <c r="F35" s="1"/>
      <c r="G35" s="1"/>
      <c r="H35" s="1"/>
      <c r="I35" s="30"/>
      <c r="J35" s="30"/>
      <c r="K35" s="30"/>
      <c r="L35" s="30"/>
      <c r="M35" s="30"/>
      <c r="N35" s="1"/>
    </row>
    <row r="36" spans="1:14" ht="18.75">
      <c r="A36" s="2"/>
      <c r="B36" s="1" t="s">
        <v>22</v>
      </c>
      <c r="C36" s="2"/>
      <c r="D36" s="2"/>
      <c r="E36" s="2"/>
      <c r="F36" s="2"/>
      <c r="G36" s="2"/>
      <c r="H36" s="2"/>
      <c r="I36" s="14">
        <f>I12+I34</f>
        <v>5731049</v>
      </c>
      <c r="J36" s="14">
        <f>J12+J34</f>
        <v>0</v>
      </c>
      <c r="K36" s="14">
        <f>K12+K34</f>
        <v>1169481</v>
      </c>
      <c r="L36" s="14">
        <f>L12+L34</f>
        <v>0</v>
      </c>
      <c r="M36" s="14">
        <f>M12+M34</f>
        <v>6900530</v>
      </c>
      <c r="N36" s="3">
        <f>SUM(N25:N31, N10:N12)</f>
        <v>6900530</v>
      </c>
    </row>
    <row r="37" spans="1:14" ht="18.75">
      <c r="A37" s="2"/>
      <c r="B37" s="1"/>
      <c r="C37" s="2"/>
      <c r="D37" s="2"/>
      <c r="E37" s="2"/>
      <c r="F37" s="2"/>
      <c r="G37" s="2"/>
      <c r="H37" s="2"/>
      <c r="I37" s="15"/>
      <c r="J37" s="15"/>
      <c r="K37" s="15"/>
      <c r="L37" s="15"/>
      <c r="M37" s="15"/>
      <c r="N37" s="2"/>
    </row>
    <row r="38" spans="1:14" ht="18.75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3"/>
  <sheetViews>
    <sheetView topLeftCell="A40" zoomScale="81" zoomScaleNormal="81" zoomScalePageLayoutView="70" workbookViewId="0">
      <selection activeCell="I73" sqref="I73"/>
    </sheetView>
  </sheetViews>
  <sheetFormatPr defaultColWidth="8.85546875" defaultRowHeight="15"/>
  <cols>
    <col min="9" max="9" width="16.42578125" customWidth="1"/>
    <col min="10" max="10" width="15.85546875" customWidth="1"/>
    <col min="11" max="11" width="16" customWidth="1"/>
    <col min="12" max="12" width="15.140625" customWidth="1"/>
    <col min="13" max="13" width="16" customWidth="1"/>
    <col min="14" max="14" width="18.28515625" customWidth="1"/>
  </cols>
  <sheetData>
    <row r="1" spans="1:14" ht="18.75">
      <c r="A1" s="2"/>
      <c r="B1" s="2"/>
      <c r="C1" s="2"/>
      <c r="D1" s="159" t="s">
        <v>129</v>
      </c>
      <c r="E1" s="159"/>
      <c r="F1" s="159"/>
      <c r="G1" s="159"/>
      <c r="H1" s="159"/>
      <c r="I1" s="159"/>
      <c r="J1" s="3"/>
      <c r="K1" s="3"/>
      <c r="L1" s="3"/>
      <c r="M1" s="3"/>
      <c r="N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3"/>
      <c r="N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3"/>
      <c r="N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3"/>
      <c r="N4" s="2"/>
    </row>
    <row r="5" spans="1:14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69</v>
      </c>
      <c r="K5" s="11" t="s">
        <v>63</v>
      </c>
      <c r="L5" s="11" t="s">
        <v>68</v>
      </c>
      <c r="M5" s="11" t="s">
        <v>6</v>
      </c>
      <c r="N5" s="11" t="s">
        <v>7</v>
      </c>
    </row>
    <row r="6" spans="1:14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16"/>
      <c r="N6" s="2"/>
    </row>
    <row r="7" spans="1:14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3"/>
      <c r="N7" s="2"/>
    </row>
    <row r="8" spans="1:14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3"/>
      <c r="N8" s="2"/>
    </row>
    <row r="9" spans="1:14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3"/>
      <c r="N9" s="2"/>
    </row>
    <row r="10" spans="1:14" ht="18.75">
      <c r="A10" s="2"/>
      <c r="B10" s="2" t="s">
        <v>10</v>
      </c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</row>
    <row r="11" spans="1:14" ht="18.75">
      <c r="A11" s="2"/>
      <c r="B11" s="2"/>
      <c r="C11" s="2" t="s">
        <v>130</v>
      </c>
      <c r="D11" s="2"/>
      <c r="E11" s="2"/>
      <c r="F11" s="2"/>
      <c r="G11" s="2"/>
      <c r="H11" s="2"/>
      <c r="I11" s="3">
        <v>220570</v>
      </c>
      <c r="J11" s="3"/>
      <c r="K11" s="3"/>
      <c r="L11" s="3"/>
      <c r="M11" s="3">
        <f t="shared" ref="M11:M14" si="0">SUM(I11:L11)</f>
        <v>220570</v>
      </c>
      <c r="N11" s="3">
        <f t="shared" ref="N11:N14" si="1">SUM(M11)</f>
        <v>220570</v>
      </c>
    </row>
    <row r="12" spans="1:14" ht="18.75">
      <c r="A12" s="2"/>
      <c r="B12" s="2"/>
      <c r="C12" s="2" t="s">
        <v>131</v>
      </c>
      <c r="D12" s="2"/>
      <c r="E12" s="2"/>
      <c r="F12" s="2"/>
      <c r="G12" s="2"/>
      <c r="H12" s="2"/>
      <c r="I12" s="3">
        <v>3580</v>
      </c>
      <c r="J12" s="3"/>
      <c r="K12" s="3"/>
      <c r="L12" s="3"/>
      <c r="M12" s="3">
        <f t="shared" si="0"/>
        <v>3580</v>
      </c>
      <c r="N12" s="3">
        <f t="shared" si="1"/>
        <v>3580</v>
      </c>
    </row>
    <row r="13" spans="1:14" ht="18.75">
      <c r="A13" s="2"/>
      <c r="B13" s="2"/>
      <c r="C13" s="2" t="s">
        <v>132</v>
      </c>
      <c r="D13" s="2"/>
      <c r="E13" s="2"/>
      <c r="F13" s="2"/>
      <c r="G13" s="2"/>
      <c r="H13" s="2"/>
      <c r="I13" s="3">
        <v>30000</v>
      </c>
      <c r="J13" s="3"/>
      <c r="K13" s="3"/>
      <c r="L13" s="3"/>
      <c r="M13" s="3">
        <f t="shared" si="0"/>
        <v>30000</v>
      </c>
      <c r="N13" s="3">
        <f t="shared" si="1"/>
        <v>30000</v>
      </c>
    </row>
    <row r="14" spans="1:14" ht="18.75">
      <c r="A14" s="2"/>
      <c r="B14" s="2"/>
      <c r="C14" s="2" t="s">
        <v>133</v>
      </c>
      <c r="D14" s="2"/>
      <c r="E14" s="2"/>
      <c r="F14" s="2"/>
      <c r="G14" s="2"/>
      <c r="H14" s="2"/>
      <c r="I14" s="3">
        <v>16638</v>
      </c>
      <c r="J14" s="3"/>
      <c r="K14" s="3">
        <v>3729</v>
      </c>
      <c r="L14" s="3">
        <v>-667</v>
      </c>
      <c r="M14" s="3">
        <f t="shared" si="0"/>
        <v>19700</v>
      </c>
      <c r="N14" s="3">
        <f t="shared" si="1"/>
        <v>19700</v>
      </c>
    </row>
    <row r="15" spans="1:14" ht="18.75">
      <c r="A15" s="2"/>
      <c r="B15" s="2" t="s">
        <v>11</v>
      </c>
      <c r="C15" s="2"/>
      <c r="D15" s="2"/>
      <c r="E15" s="2"/>
      <c r="F15" s="2"/>
      <c r="G15" s="2"/>
      <c r="H15" s="2"/>
      <c r="I15" s="3">
        <v>43262</v>
      </c>
      <c r="J15" s="3"/>
      <c r="K15" s="3">
        <v>318842</v>
      </c>
      <c r="L15" s="3">
        <v>-52985</v>
      </c>
      <c r="M15" s="3">
        <f>SUM(I15:L15)</f>
        <v>309119</v>
      </c>
      <c r="N15" s="3">
        <f>SUM(M15)</f>
        <v>309119</v>
      </c>
    </row>
    <row r="16" spans="1:14" ht="18.75">
      <c r="A16" s="1"/>
      <c r="B16" s="1"/>
      <c r="C16" s="1" t="s">
        <v>70</v>
      </c>
      <c r="D16" s="1"/>
      <c r="E16" s="1"/>
      <c r="F16" s="1"/>
      <c r="G16" s="1"/>
      <c r="H16" s="1"/>
      <c r="I16" s="12">
        <f>SUM(I10:I15)</f>
        <v>314050</v>
      </c>
      <c r="J16" s="12">
        <f t="shared" ref="J16:M16" si="2">SUM(J10:J15)</f>
        <v>0</v>
      </c>
      <c r="K16" s="12">
        <f t="shared" si="2"/>
        <v>322571</v>
      </c>
      <c r="L16" s="12">
        <f t="shared" si="2"/>
        <v>-53652</v>
      </c>
      <c r="M16" s="12">
        <f t="shared" si="2"/>
        <v>582969</v>
      </c>
      <c r="N16" s="1"/>
    </row>
    <row r="17" spans="1:14" ht="18.75">
      <c r="A17" s="2"/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2"/>
    </row>
    <row r="18" spans="1:14" ht="18.75">
      <c r="A18" s="1" t="s">
        <v>13</v>
      </c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2"/>
    </row>
    <row r="19" spans="1:14" ht="18.75">
      <c r="A19" s="1"/>
      <c r="B19" s="2" t="s">
        <v>17</v>
      </c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  <c r="N19" s="2"/>
    </row>
    <row r="20" spans="1:14" ht="18.75">
      <c r="A20" s="1"/>
      <c r="B20" s="2"/>
      <c r="C20" s="2" t="s">
        <v>54</v>
      </c>
      <c r="D20" s="2"/>
      <c r="E20" s="2"/>
      <c r="F20" s="2"/>
      <c r="G20" s="2"/>
      <c r="H20" s="2"/>
      <c r="I20" s="3">
        <v>15517189</v>
      </c>
      <c r="J20" s="3"/>
      <c r="K20" s="3"/>
      <c r="L20" s="3"/>
      <c r="M20" s="3">
        <f t="shared" ref="M20:M41" si="3">SUM(I20:L20)</f>
        <v>15517189</v>
      </c>
      <c r="N20" s="2"/>
    </row>
    <row r="21" spans="1:14" ht="18.75">
      <c r="A21" s="1"/>
      <c r="B21" s="2"/>
      <c r="C21" s="2" t="s">
        <v>73</v>
      </c>
      <c r="D21" s="2"/>
      <c r="E21" s="2"/>
      <c r="F21" s="2"/>
      <c r="G21" s="2"/>
      <c r="H21" s="2"/>
      <c r="I21" s="3">
        <v>1912668</v>
      </c>
      <c r="J21" s="3"/>
      <c r="K21" s="3"/>
      <c r="L21" s="3"/>
      <c r="M21" s="3">
        <f t="shared" si="3"/>
        <v>1912668</v>
      </c>
      <c r="N21" s="2"/>
    </row>
    <row r="22" spans="1:14" ht="18.75">
      <c r="A22" s="1"/>
      <c r="B22" s="2" t="s">
        <v>106</v>
      </c>
      <c r="C22" s="2"/>
      <c r="D22" s="2"/>
      <c r="E22" s="2"/>
      <c r="F22" s="2"/>
      <c r="G22" s="2"/>
      <c r="H22" s="2"/>
      <c r="I22" s="3">
        <v>15995</v>
      </c>
      <c r="J22" s="3"/>
      <c r="K22" s="3"/>
      <c r="L22" s="3"/>
      <c r="M22" s="3">
        <f>SUM(I22:L22)</f>
        <v>15995</v>
      </c>
      <c r="N22" s="2"/>
    </row>
    <row r="23" spans="1:14" ht="18.75">
      <c r="A23" s="1"/>
      <c r="B23" s="2" t="s">
        <v>14</v>
      </c>
      <c r="C23" s="2"/>
      <c r="D23" s="2"/>
      <c r="E23" s="2"/>
      <c r="F23" s="2"/>
      <c r="G23" s="2"/>
      <c r="H23" s="2"/>
      <c r="I23" s="3">
        <v>2590565</v>
      </c>
      <c r="J23" s="3"/>
      <c r="K23" s="3">
        <v>164257</v>
      </c>
      <c r="L23" s="3"/>
      <c r="M23" s="3">
        <f t="shared" si="3"/>
        <v>2754822</v>
      </c>
      <c r="N23" s="2"/>
    </row>
    <row r="24" spans="1:14" ht="18.75">
      <c r="A24" s="2"/>
      <c r="B24" s="2" t="s">
        <v>134</v>
      </c>
      <c r="C24" s="2"/>
      <c r="D24" s="2"/>
      <c r="E24" s="2"/>
      <c r="F24" s="2"/>
      <c r="G24" s="2"/>
      <c r="H24" s="2"/>
      <c r="I24" s="3">
        <v>2859173</v>
      </c>
      <c r="J24" s="3"/>
      <c r="K24" s="3">
        <v>85134</v>
      </c>
      <c r="L24" s="3">
        <v>-44815</v>
      </c>
      <c r="M24" s="3">
        <f t="shared" si="3"/>
        <v>2899492</v>
      </c>
      <c r="N24" s="2"/>
    </row>
    <row r="25" spans="1:14" ht="18.75">
      <c r="A25" s="2"/>
      <c r="B25" s="2" t="s">
        <v>135</v>
      </c>
      <c r="C25" s="2"/>
      <c r="D25" s="2"/>
      <c r="E25" s="2"/>
      <c r="F25" s="2"/>
      <c r="G25" s="2"/>
      <c r="H25" s="2"/>
      <c r="I25" s="3">
        <v>64075</v>
      </c>
      <c r="J25" s="3"/>
      <c r="K25" s="3"/>
      <c r="L25" s="3"/>
      <c r="M25" s="3">
        <f t="shared" si="3"/>
        <v>64075</v>
      </c>
      <c r="N25" s="2"/>
    </row>
    <row r="26" spans="1:14" ht="18.75">
      <c r="A26" s="2"/>
      <c r="B26" s="2" t="s">
        <v>31</v>
      </c>
      <c r="C26" s="2"/>
      <c r="D26" s="2"/>
      <c r="E26" s="2"/>
      <c r="F26" s="2"/>
      <c r="G26" s="2"/>
      <c r="H26" s="2"/>
      <c r="I26" s="3">
        <v>218079</v>
      </c>
      <c r="J26" s="3"/>
      <c r="K26" s="3">
        <v>34038</v>
      </c>
      <c r="L26" s="3"/>
      <c r="M26" s="3">
        <f t="shared" si="3"/>
        <v>252117</v>
      </c>
      <c r="N26" s="2"/>
    </row>
    <row r="27" spans="1:14" ht="18.75">
      <c r="A27" s="2"/>
      <c r="B27" s="2" t="s">
        <v>136</v>
      </c>
      <c r="C27" s="2"/>
      <c r="D27" s="2"/>
      <c r="E27" s="2"/>
      <c r="F27" s="2"/>
      <c r="G27" s="2"/>
      <c r="H27" s="2"/>
      <c r="I27" s="3">
        <v>250841</v>
      </c>
      <c r="J27" s="3"/>
      <c r="K27" s="3"/>
      <c r="L27" s="3"/>
      <c r="M27" s="3">
        <f t="shared" si="3"/>
        <v>250841</v>
      </c>
      <c r="N27" s="2"/>
    </row>
    <row r="28" spans="1:14" ht="18.75">
      <c r="A28" s="2"/>
      <c r="B28" s="2" t="s">
        <v>137</v>
      </c>
      <c r="C28" s="2"/>
      <c r="D28" s="2"/>
      <c r="E28" s="2"/>
      <c r="F28" s="2"/>
      <c r="G28" s="2"/>
      <c r="H28" s="2"/>
      <c r="I28" s="3"/>
      <c r="J28" s="3"/>
      <c r="K28" s="3"/>
      <c r="L28" s="3"/>
      <c r="M28" s="3">
        <f t="shared" si="3"/>
        <v>0</v>
      </c>
      <c r="N28" s="2"/>
    </row>
    <row r="29" spans="1:14" ht="18.75">
      <c r="A29" s="2"/>
      <c r="B29" s="2"/>
      <c r="C29" s="2" t="s">
        <v>31</v>
      </c>
      <c r="D29" s="2"/>
      <c r="E29" s="2"/>
      <c r="F29" s="2"/>
      <c r="G29" s="2"/>
      <c r="H29" s="2"/>
      <c r="I29" s="3">
        <v>67031</v>
      </c>
      <c r="J29" s="3"/>
      <c r="K29" s="3"/>
      <c r="L29" s="3">
        <v>-17907</v>
      </c>
      <c r="M29" s="3">
        <f t="shared" si="3"/>
        <v>49124</v>
      </c>
      <c r="N29" s="2"/>
    </row>
    <row r="30" spans="1:14" ht="18.75">
      <c r="A30" s="2"/>
      <c r="B30" s="2"/>
      <c r="C30" s="2" t="s">
        <v>138</v>
      </c>
      <c r="D30" s="2"/>
      <c r="E30" s="2"/>
      <c r="F30" s="2"/>
      <c r="G30" s="2"/>
      <c r="H30" s="2"/>
      <c r="I30" s="3">
        <v>50506</v>
      </c>
      <c r="J30" s="3"/>
      <c r="K30" s="3"/>
      <c r="L30" s="3"/>
      <c r="M30" s="3">
        <f t="shared" si="3"/>
        <v>50506</v>
      </c>
      <c r="N30" s="2"/>
    </row>
    <row r="31" spans="1:14" ht="18.75">
      <c r="A31" s="2"/>
      <c r="B31" s="2"/>
      <c r="C31" s="2" t="s">
        <v>14</v>
      </c>
      <c r="D31" s="2"/>
      <c r="E31" s="2"/>
      <c r="F31" s="2"/>
      <c r="G31" s="2"/>
      <c r="H31" s="2"/>
      <c r="I31" s="3">
        <v>13205</v>
      </c>
      <c r="J31" s="3"/>
      <c r="K31" s="3"/>
      <c r="L31" s="3"/>
      <c r="M31" s="3">
        <f t="shared" si="3"/>
        <v>13205</v>
      </c>
      <c r="N31" s="2"/>
    </row>
    <row r="32" spans="1:14" ht="18.75">
      <c r="A32" s="2"/>
      <c r="B32" s="2" t="s">
        <v>132</v>
      </c>
      <c r="C32" s="2"/>
      <c r="D32" s="2"/>
      <c r="E32" s="2"/>
      <c r="F32" s="2"/>
      <c r="G32" s="2"/>
      <c r="H32" s="2"/>
      <c r="I32" s="3"/>
      <c r="J32" s="3"/>
      <c r="K32" s="3"/>
      <c r="L32" s="3"/>
      <c r="M32" s="3">
        <f t="shared" si="3"/>
        <v>0</v>
      </c>
      <c r="N32" s="2"/>
    </row>
    <row r="33" spans="1:14" ht="18.75">
      <c r="A33" s="2"/>
      <c r="B33" s="2"/>
      <c r="C33" s="2" t="s">
        <v>106</v>
      </c>
      <c r="D33" s="2"/>
      <c r="E33" s="2"/>
      <c r="F33" s="2"/>
      <c r="G33" s="2"/>
      <c r="H33" s="2"/>
      <c r="I33" s="3">
        <v>7800</v>
      </c>
      <c r="J33" s="3"/>
      <c r="K33" s="3"/>
      <c r="L33" s="3"/>
      <c r="M33" s="3">
        <f t="shared" si="3"/>
        <v>7800</v>
      </c>
      <c r="N33" s="2"/>
    </row>
    <row r="34" spans="1:14" ht="18.75">
      <c r="A34" s="2"/>
      <c r="B34" s="2"/>
      <c r="C34" s="2" t="s">
        <v>14</v>
      </c>
      <c r="D34" s="2"/>
      <c r="E34" s="2"/>
      <c r="F34" s="2"/>
      <c r="G34" s="2"/>
      <c r="H34" s="2"/>
      <c r="I34" s="3">
        <v>62156</v>
      </c>
      <c r="J34" s="3"/>
      <c r="K34" s="3"/>
      <c r="L34" s="3"/>
      <c r="M34" s="3">
        <f t="shared" si="3"/>
        <v>62156</v>
      </c>
      <c r="N34" s="2"/>
    </row>
    <row r="35" spans="1:14" ht="18.75">
      <c r="A35" s="2"/>
      <c r="B35" s="2"/>
      <c r="C35" s="2" t="s">
        <v>31</v>
      </c>
      <c r="D35" s="2"/>
      <c r="E35" s="2"/>
      <c r="F35" s="2"/>
      <c r="G35" s="2"/>
      <c r="H35" s="2"/>
      <c r="I35" s="3">
        <v>382847</v>
      </c>
      <c r="J35" s="3"/>
      <c r="K35" s="3">
        <v>57596</v>
      </c>
      <c r="L35" s="3">
        <v>-67690</v>
      </c>
      <c r="M35" s="3">
        <f t="shared" si="3"/>
        <v>372753</v>
      </c>
      <c r="N35" s="2"/>
    </row>
    <row r="36" spans="1:14" ht="18.75">
      <c r="A36" s="2"/>
      <c r="B36" s="2"/>
      <c r="C36" s="2" t="s">
        <v>138</v>
      </c>
      <c r="D36" s="2"/>
      <c r="E36" s="2"/>
      <c r="F36" s="2"/>
      <c r="G36" s="2"/>
      <c r="H36" s="2"/>
      <c r="I36" s="3">
        <v>116327</v>
      </c>
      <c r="J36" s="3"/>
      <c r="K36" s="3"/>
      <c r="L36" s="3"/>
      <c r="M36" s="3">
        <f t="shared" si="3"/>
        <v>116327</v>
      </c>
      <c r="N36" s="2"/>
    </row>
    <row r="37" spans="1:14" ht="18.75">
      <c r="A37" s="2"/>
      <c r="B37" s="2" t="s">
        <v>139</v>
      </c>
      <c r="C37" s="2"/>
      <c r="D37" s="2"/>
      <c r="E37" s="2"/>
      <c r="F37" s="2"/>
      <c r="G37" s="2"/>
      <c r="H37" s="2"/>
      <c r="I37" s="3"/>
      <c r="J37" s="3"/>
      <c r="K37" s="3"/>
      <c r="L37" s="3"/>
      <c r="M37" s="3">
        <f t="shared" si="3"/>
        <v>0</v>
      </c>
      <c r="N37" s="2"/>
    </row>
    <row r="38" spans="1:14" ht="18.75">
      <c r="A38" s="2"/>
      <c r="B38" s="2"/>
      <c r="C38" s="2" t="s">
        <v>140</v>
      </c>
      <c r="D38" s="2"/>
      <c r="E38" s="2"/>
      <c r="F38" s="2"/>
      <c r="G38" s="2"/>
      <c r="H38" s="2"/>
      <c r="I38" s="3">
        <v>3855244</v>
      </c>
      <c r="J38" s="3"/>
      <c r="K38" s="3"/>
      <c r="L38" s="3"/>
      <c r="M38" s="3">
        <f t="shared" si="3"/>
        <v>3855244</v>
      </c>
      <c r="N38" s="2"/>
    </row>
    <row r="39" spans="1:14" ht="18.75">
      <c r="A39" s="2"/>
      <c r="B39" s="2"/>
      <c r="C39" s="2" t="s">
        <v>31</v>
      </c>
      <c r="D39" s="2"/>
      <c r="E39" s="2"/>
      <c r="F39" s="2"/>
      <c r="G39" s="2"/>
      <c r="H39" s="2"/>
      <c r="I39" s="3">
        <v>49901</v>
      </c>
      <c r="J39" s="3"/>
      <c r="K39" s="3"/>
      <c r="L39" s="3"/>
      <c r="M39" s="3">
        <f t="shared" si="3"/>
        <v>49901</v>
      </c>
      <c r="N39" s="2"/>
    </row>
    <row r="40" spans="1:14" ht="18.75">
      <c r="A40" s="2"/>
      <c r="B40" s="2"/>
      <c r="C40" s="2" t="s">
        <v>71</v>
      </c>
      <c r="D40" s="2"/>
      <c r="E40" s="2"/>
      <c r="F40" s="2"/>
      <c r="G40" s="2"/>
      <c r="H40" s="2"/>
      <c r="I40" s="3">
        <v>327121</v>
      </c>
      <c r="J40" s="3"/>
      <c r="K40" s="3"/>
      <c r="L40" s="3"/>
      <c r="M40" s="3">
        <f t="shared" si="3"/>
        <v>327121</v>
      </c>
      <c r="N40" s="2"/>
    </row>
    <row r="41" spans="1:14" ht="18.75">
      <c r="A41" s="2"/>
      <c r="B41" s="2"/>
      <c r="C41" s="2" t="s">
        <v>110</v>
      </c>
      <c r="D41" s="2"/>
      <c r="E41" s="2"/>
      <c r="F41" s="2"/>
      <c r="G41" s="2"/>
      <c r="H41" s="2"/>
      <c r="I41" s="3">
        <v>737204</v>
      </c>
      <c r="J41" s="3"/>
      <c r="K41" s="3">
        <v>43077</v>
      </c>
      <c r="L41" s="3">
        <v>-45212</v>
      </c>
      <c r="M41" s="3">
        <f t="shared" si="3"/>
        <v>735069</v>
      </c>
      <c r="N41" s="2"/>
    </row>
    <row r="42" spans="1:14" ht="18.75">
      <c r="A42" s="2"/>
      <c r="B42" s="2"/>
      <c r="C42" s="1" t="s">
        <v>18</v>
      </c>
      <c r="D42" s="2"/>
      <c r="E42" s="2"/>
      <c r="F42" s="2"/>
      <c r="G42" s="2"/>
      <c r="H42" s="2"/>
      <c r="I42" s="13">
        <f>SUM(I19:I41)</f>
        <v>29097927</v>
      </c>
      <c r="J42" s="13">
        <f t="shared" ref="J42:M42" si="4">SUM(J19:J41)</f>
        <v>0</v>
      </c>
      <c r="K42" s="13">
        <f t="shared" si="4"/>
        <v>384102</v>
      </c>
      <c r="L42" s="13">
        <f t="shared" si="4"/>
        <v>-175624</v>
      </c>
      <c r="M42" s="13">
        <f t="shared" si="4"/>
        <v>29306405</v>
      </c>
      <c r="N42" s="2"/>
    </row>
    <row r="43" spans="1:14" ht="18.75">
      <c r="A43" s="2"/>
      <c r="B43" s="2"/>
      <c r="C43" s="1"/>
      <c r="D43" s="2"/>
      <c r="E43" s="2"/>
      <c r="F43" s="2"/>
      <c r="G43" s="2"/>
      <c r="H43" s="2"/>
      <c r="I43" s="15"/>
      <c r="J43" s="15"/>
      <c r="K43" s="15"/>
      <c r="L43" s="15"/>
      <c r="M43" s="15"/>
      <c r="N43" s="2"/>
    </row>
    <row r="44" spans="1:14" ht="18.75">
      <c r="A44" s="2" t="s">
        <v>19</v>
      </c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3"/>
      <c r="N44" s="2"/>
    </row>
    <row r="45" spans="1:14" ht="18.75">
      <c r="A45" s="2"/>
      <c r="B45" s="2" t="s">
        <v>141</v>
      </c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</row>
    <row r="46" spans="1:14" ht="18.75">
      <c r="A46" s="2"/>
      <c r="B46" s="2"/>
      <c r="C46" s="2" t="s">
        <v>54</v>
      </c>
      <c r="D46" s="2"/>
      <c r="E46" s="2"/>
      <c r="F46" s="2"/>
      <c r="G46" s="2"/>
      <c r="H46" s="2"/>
      <c r="I46" s="3">
        <v>14413195</v>
      </c>
      <c r="J46" s="3"/>
      <c r="K46" s="3">
        <v>37184</v>
      </c>
      <c r="L46" s="3"/>
      <c r="M46" s="3">
        <f t="shared" ref="M46:M67" si="5">SUM(I46:L46)</f>
        <v>14450379</v>
      </c>
      <c r="N46" s="3">
        <f>SUM(M20-M46)</f>
        <v>1066810</v>
      </c>
    </row>
    <row r="47" spans="1:14" ht="18.75">
      <c r="A47" s="2"/>
      <c r="B47" s="2"/>
      <c r="C47" s="2" t="s">
        <v>73</v>
      </c>
      <c r="D47" s="2"/>
      <c r="E47" s="2"/>
      <c r="F47" s="2"/>
      <c r="G47" s="2"/>
      <c r="H47" s="2"/>
      <c r="I47" s="3">
        <v>1257134</v>
      </c>
      <c r="J47" s="3"/>
      <c r="K47" s="3">
        <v>36672</v>
      </c>
      <c r="L47" s="3"/>
      <c r="M47" s="3">
        <f t="shared" si="5"/>
        <v>1293806</v>
      </c>
      <c r="N47" s="3">
        <f t="shared" ref="N47:N67" si="6">SUM(M21-M47)</f>
        <v>618862</v>
      </c>
    </row>
    <row r="48" spans="1:14" ht="18.75">
      <c r="A48" s="2"/>
      <c r="B48" s="2" t="s">
        <v>106</v>
      </c>
      <c r="C48" s="2"/>
      <c r="D48" s="2"/>
      <c r="E48" s="2"/>
      <c r="F48" s="2"/>
      <c r="G48" s="2"/>
      <c r="H48" s="2"/>
      <c r="I48" s="3">
        <v>14862</v>
      </c>
      <c r="J48" s="3"/>
      <c r="K48" s="3">
        <v>800</v>
      </c>
      <c r="L48" s="3"/>
      <c r="M48" s="3">
        <f>SUM(I48:L48)</f>
        <v>15662</v>
      </c>
      <c r="N48" s="3">
        <f t="shared" si="6"/>
        <v>333</v>
      </c>
    </row>
    <row r="49" spans="1:14" ht="18.75">
      <c r="A49" s="2"/>
      <c r="B49" s="2" t="s">
        <v>14</v>
      </c>
      <c r="C49" s="2"/>
      <c r="D49" s="2"/>
      <c r="E49" s="2"/>
      <c r="F49" s="2"/>
      <c r="G49" s="2"/>
      <c r="H49" s="2"/>
      <c r="I49" s="3">
        <v>1547600</v>
      </c>
      <c r="J49" s="3"/>
      <c r="K49" s="3">
        <v>66391</v>
      </c>
      <c r="L49" s="3"/>
      <c r="M49" s="3">
        <f t="shared" si="5"/>
        <v>1613991</v>
      </c>
      <c r="N49" s="3">
        <f t="shared" si="6"/>
        <v>1140831</v>
      </c>
    </row>
    <row r="50" spans="1:14" ht="18.75">
      <c r="A50" s="2"/>
      <c r="B50" s="2" t="s">
        <v>134</v>
      </c>
      <c r="C50" s="2"/>
      <c r="D50" s="2"/>
      <c r="E50" s="2"/>
      <c r="F50" s="2"/>
      <c r="G50" s="2"/>
      <c r="H50" s="2"/>
      <c r="I50" s="3">
        <v>1675312</v>
      </c>
      <c r="J50" s="3"/>
      <c r="K50" s="3">
        <v>206262</v>
      </c>
      <c r="L50" s="3">
        <v>-38881</v>
      </c>
      <c r="M50" s="3">
        <f t="shared" si="5"/>
        <v>1842693</v>
      </c>
      <c r="N50" s="3">
        <f t="shared" si="6"/>
        <v>1056799</v>
      </c>
    </row>
    <row r="51" spans="1:14" ht="18.75">
      <c r="A51" s="2"/>
      <c r="B51" s="2" t="s">
        <v>135</v>
      </c>
      <c r="C51" s="2"/>
      <c r="D51" s="2"/>
      <c r="E51" s="2"/>
      <c r="F51" s="2"/>
      <c r="G51" s="2"/>
      <c r="H51" s="2"/>
      <c r="I51" s="3">
        <v>42931</v>
      </c>
      <c r="J51" s="3"/>
      <c r="K51" s="3">
        <v>3200</v>
      </c>
      <c r="L51" s="3"/>
      <c r="M51" s="3">
        <f t="shared" si="5"/>
        <v>46131</v>
      </c>
      <c r="N51" s="3">
        <f t="shared" si="6"/>
        <v>17944</v>
      </c>
    </row>
    <row r="52" spans="1:14" ht="18.75">
      <c r="A52" s="2"/>
      <c r="B52" s="2" t="s">
        <v>31</v>
      </c>
      <c r="C52" s="2"/>
      <c r="D52" s="2"/>
      <c r="E52" s="2"/>
      <c r="F52" s="2"/>
      <c r="G52" s="2"/>
      <c r="H52" s="2"/>
      <c r="I52" s="3">
        <v>109555</v>
      </c>
      <c r="J52" s="3"/>
      <c r="K52" s="3">
        <v>18152</v>
      </c>
      <c r="L52" s="3"/>
      <c r="M52" s="3">
        <f t="shared" si="5"/>
        <v>127707</v>
      </c>
      <c r="N52" s="3">
        <f t="shared" si="6"/>
        <v>124410</v>
      </c>
    </row>
    <row r="53" spans="1:14" ht="18.75">
      <c r="A53" s="2"/>
      <c r="B53" s="2" t="s">
        <v>75</v>
      </c>
      <c r="C53" s="2"/>
      <c r="D53" s="2"/>
      <c r="E53" s="2"/>
      <c r="F53" s="2"/>
      <c r="G53" s="2"/>
      <c r="H53" s="2"/>
      <c r="I53" s="3">
        <v>104519</v>
      </c>
      <c r="J53" s="3"/>
      <c r="K53" s="3">
        <v>24479</v>
      </c>
      <c r="L53" s="3"/>
      <c r="M53" s="3">
        <f t="shared" si="5"/>
        <v>128998</v>
      </c>
      <c r="N53" s="3">
        <f t="shared" si="6"/>
        <v>121843</v>
      </c>
    </row>
    <row r="54" spans="1:14" ht="18.75">
      <c r="A54" s="2"/>
      <c r="B54" s="2" t="s">
        <v>142</v>
      </c>
      <c r="C54" s="2"/>
      <c r="D54" s="2"/>
      <c r="E54" s="2"/>
      <c r="F54" s="2"/>
      <c r="G54" s="2"/>
      <c r="H54" s="2"/>
      <c r="I54" s="3"/>
      <c r="J54" s="3"/>
      <c r="K54" s="3"/>
      <c r="L54" s="3"/>
      <c r="M54" s="3">
        <f t="shared" si="5"/>
        <v>0</v>
      </c>
      <c r="N54" s="3">
        <f t="shared" si="6"/>
        <v>0</v>
      </c>
    </row>
    <row r="55" spans="1:14" ht="18.75">
      <c r="A55" s="2"/>
      <c r="B55" s="2"/>
      <c r="C55" s="2" t="s">
        <v>31</v>
      </c>
      <c r="D55" s="2"/>
      <c r="E55" s="2"/>
      <c r="F55" s="2"/>
      <c r="G55" s="2"/>
      <c r="H55" s="2"/>
      <c r="I55" s="3">
        <v>45876</v>
      </c>
      <c r="J55" s="3"/>
      <c r="K55" s="3">
        <v>4303</v>
      </c>
      <c r="L55" s="3">
        <v>-17907</v>
      </c>
      <c r="M55" s="3">
        <f t="shared" si="5"/>
        <v>32272</v>
      </c>
      <c r="N55" s="3">
        <f t="shared" si="6"/>
        <v>16852</v>
      </c>
    </row>
    <row r="56" spans="1:14" ht="18.75">
      <c r="A56" s="2"/>
      <c r="B56" s="2"/>
      <c r="C56" s="2" t="s">
        <v>138</v>
      </c>
      <c r="D56" s="2"/>
      <c r="E56" s="2"/>
      <c r="F56" s="2"/>
      <c r="G56" s="2"/>
      <c r="H56" s="2"/>
      <c r="I56" s="3">
        <v>49196</v>
      </c>
      <c r="J56" s="3"/>
      <c r="K56" s="3">
        <v>336</v>
      </c>
      <c r="L56" s="3"/>
      <c r="M56" s="3">
        <f t="shared" si="5"/>
        <v>49532</v>
      </c>
      <c r="N56" s="3">
        <f t="shared" si="6"/>
        <v>974</v>
      </c>
    </row>
    <row r="57" spans="1:14" ht="18.75">
      <c r="A57" s="2"/>
      <c r="B57" s="2"/>
      <c r="C57" s="2" t="s">
        <v>14</v>
      </c>
      <c r="D57" s="2"/>
      <c r="E57" s="2"/>
      <c r="F57" s="2"/>
      <c r="G57" s="2"/>
      <c r="H57" s="2"/>
      <c r="I57" s="3">
        <v>3685</v>
      </c>
      <c r="J57" s="3"/>
      <c r="K57" s="3">
        <v>660</v>
      </c>
      <c r="L57" s="3"/>
      <c r="M57" s="3">
        <f t="shared" si="5"/>
        <v>4345</v>
      </c>
      <c r="N57" s="3">
        <f t="shared" si="6"/>
        <v>8860</v>
      </c>
    </row>
    <row r="58" spans="1:14" ht="18.75">
      <c r="A58" s="2"/>
      <c r="B58" s="2" t="s">
        <v>143</v>
      </c>
      <c r="C58" s="2"/>
      <c r="D58" s="2"/>
      <c r="E58" s="2"/>
      <c r="F58" s="2"/>
      <c r="G58" s="2"/>
      <c r="H58" s="2"/>
      <c r="I58" s="3"/>
      <c r="J58" s="3"/>
      <c r="K58" s="3"/>
      <c r="L58" s="3"/>
      <c r="M58" s="3">
        <f t="shared" si="5"/>
        <v>0</v>
      </c>
      <c r="N58" s="3">
        <f t="shared" si="6"/>
        <v>0</v>
      </c>
    </row>
    <row r="59" spans="1:14" ht="18.75">
      <c r="A59" s="2"/>
      <c r="B59" s="2"/>
      <c r="C59" s="2" t="s">
        <v>106</v>
      </c>
      <c r="D59" s="2"/>
      <c r="E59" s="2"/>
      <c r="F59" s="2"/>
      <c r="G59" s="2"/>
      <c r="H59" s="2"/>
      <c r="I59" s="3">
        <v>7800</v>
      </c>
      <c r="J59" s="3"/>
      <c r="K59" s="3"/>
      <c r="L59" s="3"/>
      <c r="M59" s="3">
        <f t="shared" si="5"/>
        <v>7800</v>
      </c>
      <c r="N59" s="3">
        <f t="shared" si="6"/>
        <v>0</v>
      </c>
    </row>
    <row r="60" spans="1:14" ht="18.75">
      <c r="A60" s="2"/>
      <c r="B60" s="2"/>
      <c r="C60" s="2" t="s">
        <v>14</v>
      </c>
      <c r="D60" s="2"/>
      <c r="E60" s="2"/>
      <c r="F60" s="2"/>
      <c r="G60" s="2"/>
      <c r="H60" s="2"/>
      <c r="I60" s="3">
        <v>46791</v>
      </c>
      <c r="J60" s="3"/>
      <c r="K60" s="3">
        <v>2071</v>
      </c>
      <c r="L60" s="3"/>
      <c r="M60" s="3">
        <f t="shared" si="5"/>
        <v>48862</v>
      </c>
      <c r="N60" s="3">
        <f t="shared" si="6"/>
        <v>13294</v>
      </c>
    </row>
    <row r="61" spans="1:14" ht="18.75">
      <c r="A61" s="2"/>
      <c r="B61" s="2"/>
      <c r="C61" s="2" t="s">
        <v>31</v>
      </c>
      <c r="D61" s="2"/>
      <c r="E61" s="2"/>
      <c r="F61" s="2"/>
      <c r="G61" s="2"/>
      <c r="H61" s="2"/>
      <c r="I61" s="3">
        <v>343018</v>
      </c>
      <c r="J61" s="3"/>
      <c r="K61" s="3">
        <v>22929</v>
      </c>
      <c r="L61" s="3">
        <v>-67691</v>
      </c>
      <c r="M61" s="3">
        <f t="shared" si="5"/>
        <v>298256</v>
      </c>
      <c r="N61" s="3">
        <f t="shared" si="6"/>
        <v>74497</v>
      </c>
    </row>
    <row r="62" spans="1:14" ht="18.75">
      <c r="A62" s="2"/>
      <c r="B62" s="2"/>
      <c r="C62" s="2" t="s">
        <v>138</v>
      </c>
      <c r="D62" s="2"/>
      <c r="E62" s="2"/>
      <c r="F62" s="2"/>
      <c r="G62" s="2"/>
      <c r="H62" s="2"/>
      <c r="I62" s="3">
        <v>113454</v>
      </c>
      <c r="J62" s="3"/>
      <c r="K62" s="3">
        <v>1573</v>
      </c>
      <c r="L62" s="3"/>
      <c r="M62" s="3">
        <f t="shared" si="5"/>
        <v>115027</v>
      </c>
      <c r="N62" s="3">
        <f t="shared" si="6"/>
        <v>1300</v>
      </c>
    </row>
    <row r="63" spans="1:14" ht="18.75">
      <c r="A63" s="2"/>
      <c r="B63" s="2" t="s">
        <v>139</v>
      </c>
      <c r="C63" s="2"/>
      <c r="D63" s="2"/>
      <c r="E63" s="2"/>
      <c r="F63" s="2"/>
      <c r="G63" s="2"/>
      <c r="H63" s="2"/>
      <c r="I63" s="3"/>
      <c r="J63" s="3"/>
      <c r="K63" s="3"/>
      <c r="L63" s="3"/>
      <c r="M63" s="3">
        <f t="shared" si="5"/>
        <v>0</v>
      </c>
      <c r="N63" s="3">
        <f t="shared" si="6"/>
        <v>0</v>
      </c>
    </row>
    <row r="64" spans="1:14" ht="18.75">
      <c r="A64" s="2"/>
      <c r="B64" s="2"/>
      <c r="C64" s="2" t="s">
        <v>140</v>
      </c>
      <c r="D64" s="2"/>
      <c r="E64" s="2"/>
      <c r="F64" s="2"/>
      <c r="G64" s="2"/>
      <c r="H64" s="2"/>
      <c r="I64" s="3">
        <v>519995</v>
      </c>
      <c r="J64" s="3"/>
      <c r="K64" s="3">
        <v>99909</v>
      </c>
      <c r="L64" s="3"/>
      <c r="M64" s="3">
        <f t="shared" si="5"/>
        <v>619904</v>
      </c>
      <c r="N64" s="3">
        <f t="shared" si="6"/>
        <v>3235340</v>
      </c>
    </row>
    <row r="65" spans="1:14" ht="18.75">
      <c r="A65" s="2"/>
      <c r="B65" s="2"/>
      <c r="C65" s="2" t="s">
        <v>31</v>
      </c>
      <c r="D65" s="2"/>
      <c r="E65" s="2"/>
      <c r="F65" s="2"/>
      <c r="G65" s="2"/>
      <c r="H65" s="2"/>
      <c r="I65" s="3">
        <v>49901</v>
      </c>
      <c r="J65" s="3"/>
      <c r="K65" s="3"/>
      <c r="L65" s="3"/>
      <c r="M65" s="3">
        <f t="shared" si="5"/>
        <v>49901</v>
      </c>
      <c r="N65" s="3">
        <f t="shared" si="6"/>
        <v>0</v>
      </c>
    </row>
    <row r="66" spans="1:14" ht="18.75">
      <c r="A66" s="2"/>
      <c r="B66" s="2"/>
      <c r="C66" s="2" t="s">
        <v>71</v>
      </c>
      <c r="D66" s="2"/>
      <c r="E66" s="2"/>
      <c r="F66" s="2"/>
      <c r="G66" s="2"/>
      <c r="H66" s="2"/>
      <c r="I66" s="3">
        <v>71702</v>
      </c>
      <c r="J66" s="3"/>
      <c r="K66" s="3">
        <v>26567</v>
      </c>
      <c r="L66" s="3"/>
      <c r="M66" s="3">
        <f t="shared" si="5"/>
        <v>98269</v>
      </c>
      <c r="N66" s="3">
        <f t="shared" si="6"/>
        <v>228852</v>
      </c>
    </row>
    <row r="67" spans="1:14" ht="18.75">
      <c r="A67" s="2"/>
      <c r="B67" s="2"/>
      <c r="C67" s="2" t="s">
        <v>110</v>
      </c>
      <c r="D67" s="2"/>
      <c r="E67" s="2"/>
      <c r="F67" s="2"/>
      <c r="G67" s="2"/>
      <c r="H67" s="2"/>
      <c r="I67" s="3">
        <v>703483</v>
      </c>
      <c r="J67" s="3"/>
      <c r="K67" s="3">
        <v>35873</v>
      </c>
      <c r="L67" s="3">
        <v>-45212</v>
      </c>
      <c r="M67" s="3">
        <f t="shared" si="5"/>
        <v>694144</v>
      </c>
      <c r="N67" s="3">
        <f t="shared" si="6"/>
        <v>40925</v>
      </c>
    </row>
    <row r="68" spans="1:14" ht="18.75">
      <c r="A68" s="1"/>
      <c r="B68" s="1"/>
      <c r="C68" s="1" t="s">
        <v>20</v>
      </c>
      <c r="D68" s="1"/>
      <c r="E68" s="1"/>
      <c r="F68" s="1"/>
      <c r="G68" s="1"/>
      <c r="H68" s="1"/>
      <c r="I68" s="10">
        <f>SUM(I45:I67)</f>
        <v>21120009</v>
      </c>
      <c r="J68" s="10">
        <f t="shared" ref="J68:M68" si="7">SUM(J45:J67)</f>
        <v>0</v>
      </c>
      <c r="K68" s="10">
        <f t="shared" si="7"/>
        <v>587361</v>
      </c>
      <c r="L68" s="10">
        <f t="shared" si="7"/>
        <v>-169691</v>
      </c>
      <c r="M68" s="10">
        <f t="shared" si="7"/>
        <v>21537679</v>
      </c>
      <c r="N68" s="1"/>
    </row>
    <row r="69" spans="1:14" ht="18.75">
      <c r="A69" s="1"/>
      <c r="B69" s="1"/>
      <c r="C69" s="1"/>
      <c r="D69" s="1"/>
      <c r="E69" s="1"/>
      <c r="F69" s="1"/>
      <c r="G69" s="1"/>
      <c r="H69" s="1"/>
      <c r="I69" s="10"/>
      <c r="J69" s="10"/>
      <c r="K69" s="10"/>
      <c r="L69" s="10"/>
      <c r="M69" s="10"/>
      <c r="N69" s="1"/>
    </row>
    <row r="70" spans="1:14" ht="18.75">
      <c r="A70" s="1"/>
      <c r="B70" s="1" t="s">
        <v>21</v>
      </c>
      <c r="C70" s="1"/>
      <c r="D70" s="1"/>
      <c r="E70" s="1"/>
      <c r="F70" s="1"/>
      <c r="G70" s="1"/>
      <c r="H70" s="1"/>
      <c r="I70" s="10">
        <f>I42-I68</f>
        <v>7977918</v>
      </c>
      <c r="J70" s="10">
        <f>J42-J68</f>
        <v>0</v>
      </c>
      <c r="K70" s="10">
        <f>K42-K68</f>
        <v>-203259</v>
      </c>
      <c r="L70" s="10">
        <f>L42-L68</f>
        <v>-5933</v>
      </c>
      <c r="M70" s="10">
        <f>M42-M68</f>
        <v>7768726</v>
      </c>
      <c r="N70" s="1"/>
    </row>
    <row r="71" spans="1:14" ht="18.75">
      <c r="A71" s="1"/>
      <c r="B71" s="1"/>
      <c r="C71" s="1"/>
      <c r="D71" s="1"/>
      <c r="E71" s="1"/>
      <c r="F71" s="1"/>
      <c r="G71" s="1"/>
      <c r="H71" s="1"/>
      <c r="I71" s="30"/>
      <c r="J71" s="30"/>
      <c r="K71" s="30"/>
      <c r="L71" s="30"/>
      <c r="M71" s="30"/>
      <c r="N71" s="1"/>
    </row>
    <row r="72" spans="1:14" ht="18.75">
      <c r="A72" s="2"/>
      <c r="B72" s="1" t="s">
        <v>22</v>
      </c>
      <c r="C72" s="2"/>
      <c r="D72" s="2"/>
      <c r="E72" s="2"/>
      <c r="F72" s="2"/>
      <c r="G72" s="2"/>
      <c r="H72" s="2"/>
      <c r="I72" s="14">
        <f>I16+I70</f>
        <v>8291968</v>
      </c>
      <c r="J72" s="14">
        <f>J16+J70</f>
        <v>0</v>
      </c>
      <c r="K72" s="14">
        <f>K16+K70</f>
        <v>119312</v>
      </c>
      <c r="L72" s="14">
        <f>L16+L70</f>
        <v>-59585</v>
      </c>
      <c r="M72" s="14">
        <f>M16+M70</f>
        <v>8351695</v>
      </c>
      <c r="N72" s="3">
        <f>SUM(N45:N67,N10:N15)</f>
        <v>8351695</v>
      </c>
    </row>
    <row r="73" spans="1:14" ht="18.75">
      <c r="A73" s="2"/>
      <c r="B73" s="1"/>
      <c r="C73" s="2"/>
      <c r="D73" s="2"/>
      <c r="E73" s="2"/>
      <c r="F73" s="2"/>
      <c r="G73" s="2"/>
      <c r="H73" s="2"/>
      <c r="I73" s="15"/>
      <c r="J73" s="15"/>
      <c r="K73" s="15"/>
      <c r="L73" s="15"/>
      <c r="M73" s="15"/>
      <c r="N73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N26"/>
  <sheetViews>
    <sheetView zoomScale="82" zoomScaleNormal="82" zoomScalePageLayoutView="85" workbookViewId="0">
      <selection activeCell="N21" sqref="N21"/>
    </sheetView>
  </sheetViews>
  <sheetFormatPr defaultColWidth="8.85546875" defaultRowHeight="15"/>
  <cols>
    <col min="8" max="8" width="13.28515625" customWidth="1"/>
    <col min="9" max="9" width="19.140625" customWidth="1"/>
    <col min="10" max="10" width="17.28515625" customWidth="1"/>
    <col min="11" max="11" width="14.85546875" customWidth="1"/>
    <col min="12" max="12" width="17.28515625" customWidth="1"/>
    <col min="13" max="13" width="16.42578125" customWidth="1"/>
    <col min="14" max="14" width="37" customWidth="1"/>
    <col min="15" max="15" width="27.42578125" customWidth="1"/>
    <col min="16" max="16" width="28.85546875" customWidth="1"/>
    <col min="18" max="18" width="23.140625" customWidth="1"/>
  </cols>
  <sheetData>
    <row r="1" spans="1:14" ht="18.75">
      <c r="A1" s="2"/>
      <c r="B1" s="2"/>
      <c r="C1" s="2"/>
      <c r="D1" s="159" t="s">
        <v>144</v>
      </c>
      <c r="E1" s="159"/>
      <c r="F1" s="159"/>
      <c r="G1" s="159"/>
      <c r="H1" s="159"/>
      <c r="I1" s="159"/>
      <c r="J1" s="3"/>
      <c r="K1" s="3"/>
      <c r="L1" s="3"/>
      <c r="M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4" ht="56.25">
      <c r="A5" s="2"/>
      <c r="B5" s="2"/>
      <c r="C5" s="2"/>
      <c r="D5" s="2"/>
      <c r="E5" s="2"/>
      <c r="F5" s="2"/>
      <c r="G5" s="2"/>
      <c r="H5" s="2"/>
      <c r="I5" s="152" t="s">
        <v>3</v>
      </c>
      <c r="J5" s="152" t="s">
        <v>63</v>
      </c>
      <c r="K5" s="152" t="s">
        <v>145</v>
      </c>
      <c r="L5" s="152" t="s">
        <v>146</v>
      </c>
      <c r="M5" s="152" t="s">
        <v>7</v>
      </c>
    </row>
    <row r="6" spans="1:14" ht="18.75">
      <c r="A6" s="2"/>
      <c r="B6" s="2"/>
      <c r="C6" s="2"/>
      <c r="D6" s="2"/>
      <c r="E6" s="2"/>
      <c r="F6" s="2"/>
      <c r="G6" s="2"/>
      <c r="H6" s="2"/>
      <c r="I6" s="5"/>
      <c r="J6" s="5"/>
      <c r="K6" s="5"/>
      <c r="L6" s="5"/>
      <c r="M6" s="2"/>
    </row>
    <row r="7" spans="1:14" ht="18.75">
      <c r="A7" s="1" t="s">
        <v>8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4" ht="18.75">
      <c r="A8" s="1"/>
      <c r="B8" s="1" t="s">
        <v>9</v>
      </c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4" ht="18.75">
      <c r="A9" s="2"/>
      <c r="B9" s="2"/>
      <c r="C9" s="2" t="s">
        <v>10</v>
      </c>
      <c r="D9" s="2"/>
      <c r="E9" s="2"/>
      <c r="F9" s="2"/>
      <c r="G9" s="2"/>
      <c r="H9" s="2"/>
      <c r="I9" s="3">
        <v>7038</v>
      </c>
      <c r="J9" s="3"/>
      <c r="K9" s="3"/>
      <c r="L9" s="3">
        <f>SUM(I9:K9)</f>
        <v>7038</v>
      </c>
      <c r="M9" s="3">
        <f>SUM(L9)</f>
        <v>7038</v>
      </c>
    </row>
    <row r="10" spans="1:14" ht="18.75">
      <c r="A10" s="2"/>
      <c r="B10" s="2"/>
      <c r="C10" s="2" t="s">
        <v>11</v>
      </c>
      <c r="D10" s="2"/>
      <c r="E10" s="2"/>
      <c r="F10" s="2"/>
      <c r="G10" s="2"/>
      <c r="H10" s="2"/>
      <c r="I10" s="3">
        <v>12250</v>
      </c>
      <c r="J10" s="3">
        <v>355613</v>
      </c>
      <c r="K10" s="3"/>
      <c r="L10" s="3">
        <f>SUM(I10:K10)</f>
        <v>367863</v>
      </c>
      <c r="M10" s="3">
        <f>SUM(L10)</f>
        <v>367863</v>
      </c>
    </row>
    <row r="11" spans="1:14" ht="18.75">
      <c r="A11" s="1"/>
      <c r="B11" s="1"/>
      <c r="C11" s="1"/>
      <c r="D11" s="1" t="s">
        <v>12</v>
      </c>
      <c r="E11" s="1"/>
      <c r="F11" s="1"/>
      <c r="G11" s="1"/>
      <c r="H11" s="1"/>
      <c r="I11" s="10">
        <f>SUM(I8:I10)</f>
        <v>19288</v>
      </c>
      <c r="J11" s="10">
        <f>SUM(J8:J10)</f>
        <v>355613</v>
      </c>
      <c r="K11" s="10">
        <f>SUM(K8:K9)</f>
        <v>0</v>
      </c>
      <c r="L11" s="10">
        <f>SUM(L9:L10)</f>
        <v>374901</v>
      </c>
      <c r="M11" s="29"/>
    </row>
    <row r="12" spans="1:14" ht="18.75">
      <c r="A12" s="2"/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>
        <f t="shared" ref="M12:M19" si="0">SUM(L12)</f>
        <v>0</v>
      </c>
    </row>
    <row r="13" spans="1:14" ht="18.75">
      <c r="A13" s="1" t="s">
        <v>13</v>
      </c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>
        <f t="shared" si="0"/>
        <v>0</v>
      </c>
    </row>
    <row r="14" spans="1:14" ht="18.75">
      <c r="A14" s="2"/>
      <c r="B14" s="2" t="s">
        <v>74</v>
      </c>
      <c r="C14" s="2"/>
      <c r="D14" s="2"/>
      <c r="E14" s="2"/>
      <c r="F14" s="2"/>
      <c r="G14" s="2"/>
      <c r="H14" s="2"/>
      <c r="I14" s="3">
        <v>5994190</v>
      </c>
      <c r="J14" s="3">
        <v>263926</v>
      </c>
      <c r="K14" s="3"/>
      <c r="L14" s="3">
        <f t="shared" ref="L14:L18" si="1">SUM(I14:K14)</f>
        <v>6258116</v>
      </c>
      <c r="M14" s="3"/>
      <c r="N14" s="154" t="s">
        <v>147</v>
      </c>
    </row>
    <row r="15" spans="1:14" ht="18.75">
      <c r="A15" s="2"/>
      <c r="B15" s="2" t="s">
        <v>30</v>
      </c>
      <c r="C15" s="2"/>
      <c r="D15" s="2"/>
      <c r="E15" s="2"/>
      <c r="F15" s="2"/>
      <c r="G15" s="2"/>
      <c r="H15" s="2"/>
      <c r="I15" s="3">
        <v>436844</v>
      </c>
      <c r="J15" s="3"/>
      <c r="K15" s="3"/>
      <c r="L15" s="3">
        <f t="shared" si="1"/>
        <v>436844</v>
      </c>
      <c r="M15" s="3"/>
      <c r="N15" s="154" t="s">
        <v>148</v>
      </c>
    </row>
    <row r="16" spans="1:14" ht="18.75">
      <c r="A16" s="2"/>
      <c r="B16" s="2" t="s">
        <v>15</v>
      </c>
      <c r="C16" s="2"/>
      <c r="D16" s="2"/>
      <c r="E16" s="2"/>
      <c r="F16" s="2"/>
      <c r="G16" s="2"/>
      <c r="H16" s="2"/>
      <c r="I16" s="3">
        <v>2572694</v>
      </c>
      <c r="J16" s="3">
        <v>88584</v>
      </c>
      <c r="K16" s="3"/>
      <c r="L16" s="3">
        <f t="shared" si="1"/>
        <v>2661278</v>
      </c>
      <c r="M16" s="3"/>
      <c r="N16" s="154" t="s">
        <v>149</v>
      </c>
    </row>
    <row r="17" spans="1:14" ht="18.75">
      <c r="A17" s="2"/>
      <c r="B17" s="2" t="s">
        <v>150</v>
      </c>
      <c r="C17" s="2"/>
      <c r="D17" s="2"/>
      <c r="E17" s="2"/>
      <c r="F17" s="2"/>
      <c r="G17" s="2"/>
      <c r="H17" s="2"/>
      <c r="I17" s="3">
        <v>1049687</v>
      </c>
      <c r="J17" s="3"/>
      <c r="K17" s="3"/>
      <c r="L17" s="3">
        <f t="shared" si="1"/>
        <v>1049687</v>
      </c>
      <c r="M17" s="3"/>
      <c r="N17" s="129"/>
    </row>
    <row r="18" spans="1:14" ht="18.75">
      <c r="A18" s="2"/>
      <c r="B18" s="2" t="s">
        <v>151</v>
      </c>
      <c r="C18" s="2"/>
      <c r="D18" s="2"/>
      <c r="E18" s="2"/>
      <c r="F18" s="2"/>
      <c r="G18" s="2"/>
      <c r="H18" s="2"/>
      <c r="I18" s="3">
        <v>12195458</v>
      </c>
      <c r="J18" s="3"/>
      <c r="K18" s="3"/>
      <c r="L18" s="3">
        <f t="shared" si="1"/>
        <v>12195458</v>
      </c>
      <c r="M18" s="3"/>
      <c r="N18" s="129"/>
    </row>
    <row r="19" spans="1:14" ht="18.75">
      <c r="A19" s="2"/>
      <c r="B19" s="2"/>
      <c r="C19" s="2"/>
      <c r="D19" s="2"/>
      <c r="E19" s="2"/>
      <c r="F19" s="2"/>
      <c r="G19" s="2"/>
      <c r="H19" s="2"/>
      <c r="I19" s="29"/>
      <c r="J19" s="29"/>
      <c r="K19" s="29"/>
      <c r="L19" s="29"/>
      <c r="M19" s="3">
        <f t="shared" si="0"/>
        <v>0</v>
      </c>
    </row>
    <row r="20" spans="1:14" ht="18.75">
      <c r="A20" s="1"/>
      <c r="B20" s="1"/>
      <c r="C20" s="1"/>
      <c r="D20" s="1" t="s">
        <v>18</v>
      </c>
      <c r="E20" s="1"/>
      <c r="F20" s="1"/>
      <c r="G20" s="1"/>
      <c r="H20" s="1"/>
      <c r="I20" s="7">
        <f>SUM(I14:I18)</f>
        <v>22248873</v>
      </c>
      <c r="J20" s="7">
        <f>SUM(J14:J18)</f>
        <v>352510</v>
      </c>
      <c r="K20" s="7">
        <f>SUM(K14:K18)</f>
        <v>0</v>
      </c>
      <c r="L20" s="7">
        <f>SUM(L14:L18)</f>
        <v>22601383</v>
      </c>
      <c r="M20" s="3"/>
    </row>
    <row r="21" spans="1:14" ht="18.75">
      <c r="A21" s="2"/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2"/>
    </row>
    <row r="22" spans="1:14" ht="18.75">
      <c r="A22" s="1" t="s">
        <v>152</v>
      </c>
      <c r="B22" s="2"/>
      <c r="C22" s="2"/>
      <c r="D22" s="2"/>
      <c r="E22" s="2"/>
      <c r="F22" s="2"/>
      <c r="G22" s="2"/>
      <c r="H22" s="2"/>
      <c r="I22" s="3">
        <v>-12052532</v>
      </c>
      <c r="J22" s="3">
        <v>-843656</v>
      </c>
      <c r="K22" s="3"/>
      <c r="L22" s="3">
        <f>SUM(I22:K22)</f>
        <v>-12896188</v>
      </c>
      <c r="M22" s="2"/>
    </row>
    <row r="23" spans="1:14" ht="18.75">
      <c r="A23" s="2"/>
      <c r="B23" s="2"/>
      <c r="C23" s="2"/>
      <c r="D23" s="2"/>
      <c r="E23" s="2"/>
      <c r="F23" s="2"/>
      <c r="G23" s="2"/>
      <c r="H23" s="2"/>
      <c r="I23" s="29"/>
      <c r="J23" s="29"/>
      <c r="K23" s="29"/>
      <c r="L23" s="29"/>
      <c r="M23" s="3" t="s">
        <v>153</v>
      </c>
    </row>
    <row r="24" spans="1:14" ht="18.75">
      <c r="A24" s="1"/>
      <c r="B24" s="1" t="s">
        <v>21</v>
      </c>
      <c r="C24" s="1"/>
      <c r="D24" s="1"/>
      <c r="E24" s="1"/>
      <c r="F24" s="1"/>
      <c r="G24" s="1"/>
      <c r="H24" s="1"/>
      <c r="I24" s="7">
        <f>SUM(I22+I20)</f>
        <v>10196341</v>
      </c>
      <c r="J24" s="7">
        <f t="shared" ref="J24:L24" si="2">SUM(J22+J20)</f>
        <v>-491146</v>
      </c>
      <c r="K24" s="7">
        <f t="shared" si="2"/>
        <v>0</v>
      </c>
      <c r="L24" s="7">
        <f t="shared" si="2"/>
        <v>9705195</v>
      </c>
      <c r="M24" s="3"/>
    </row>
    <row r="25" spans="1:14" ht="18.75">
      <c r="A25" s="2"/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49"/>
    </row>
    <row r="26" spans="1:14" ht="18.75">
      <c r="A26" s="2"/>
      <c r="B26" s="1" t="s">
        <v>78</v>
      </c>
      <c r="C26" s="2"/>
      <c r="D26" s="2"/>
      <c r="E26" s="2"/>
      <c r="F26" s="2"/>
      <c r="G26" s="2"/>
      <c r="H26" s="2"/>
      <c r="I26" s="9">
        <f>I22+I20+I11</f>
        <v>10215629</v>
      </c>
      <c r="J26" s="9">
        <f t="shared" ref="J26:L26" si="3">J22+J20+J11</f>
        <v>-135533</v>
      </c>
      <c r="K26" s="9">
        <f t="shared" si="3"/>
        <v>0</v>
      </c>
      <c r="L26" s="9">
        <f t="shared" si="3"/>
        <v>10080096</v>
      </c>
      <c r="M26" s="3">
        <f>SUM(M9:M22)</f>
        <v>374901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1"/>
  <sheetViews>
    <sheetView topLeftCell="G21" zoomScale="82" zoomScaleNormal="82" zoomScalePageLayoutView="70" workbookViewId="0">
      <selection activeCell="M51" sqref="M51"/>
    </sheetView>
  </sheetViews>
  <sheetFormatPr defaultColWidth="8.85546875" defaultRowHeight="15"/>
  <cols>
    <col min="9" max="9" width="18.28515625" customWidth="1"/>
    <col min="10" max="10" width="15.42578125" customWidth="1"/>
    <col min="11" max="11" width="15.140625" customWidth="1"/>
    <col min="12" max="12" width="18.42578125" customWidth="1"/>
    <col min="13" max="13" width="17" customWidth="1"/>
  </cols>
  <sheetData>
    <row r="1" spans="1:13" ht="18.75">
      <c r="A1" s="2"/>
      <c r="B1" s="2"/>
      <c r="C1" s="2"/>
      <c r="D1" s="159" t="s">
        <v>154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6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3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2"/>
    </row>
    <row r="10" spans="1:13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1979943</v>
      </c>
      <c r="J10" s="3"/>
      <c r="K10" s="3"/>
      <c r="L10" s="3">
        <f>SUM(I10:K10)</f>
        <v>1979943</v>
      </c>
      <c r="M10" s="3">
        <f>SUM(L10)</f>
        <v>1979943</v>
      </c>
    </row>
    <row r="11" spans="1:13" ht="18.75">
      <c r="A11" s="2"/>
      <c r="B11" s="2" t="s">
        <v>11</v>
      </c>
      <c r="C11" s="2"/>
      <c r="D11" s="2"/>
      <c r="E11" s="2"/>
      <c r="F11" s="2"/>
      <c r="G11" s="2"/>
      <c r="H11" s="2"/>
      <c r="I11" s="3">
        <v>1040897</v>
      </c>
      <c r="J11" s="3">
        <v>3193524</v>
      </c>
      <c r="K11" s="3">
        <v>-581402</v>
      </c>
      <c r="L11" s="3">
        <f>SUM(I11:K11)</f>
        <v>3653019</v>
      </c>
      <c r="M11" s="3">
        <f>SUM(L11)</f>
        <v>3653019</v>
      </c>
    </row>
    <row r="12" spans="1:13" ht="18.75">
      <c r="A12" s="1"/>
      <c r="B12" s="1"/>
      <c r="C12" s="1" t="s">
        <v>70</v>
      </c>
      <c r="D12" s="1"/>
      <c r="E12" s="1"/>
      <c r="F12" s="1"/>
      <c r="G12" s="1"/>
      <c r="H12" s="1"/>
      <c r="I12" s="12">
        <f>SUM(I10:I11)</f>
        <v>3020840</v>
      </c>
      <c r="J12" s="12">
        <f t="shared" ref="J12:L12" si="0">SUM(J10:J11)</f>
        <v>3193524</v>
      </c>
      <c r="K12" s="12">
        <f t="shared" si="0"/>
        <v>-581402</v>
      </c>
      <c r="L12" s="12">
        <f t="shared" si="0"/>
        <v>5632962</v>
      </c>
      <c r="M12" s="1"/>
    </row>
    <row r="13" spans="1:13" ht="18.7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2"/>
    </row>
    <row r="14" spans="1:13" ht="18.75">
      <c r="A14" s="1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2"/>
    </row>
    <row r="15" spans="1:13" ht="18.75">
      <c r="A15" s="1"/>
      <c r="B15" s="2" t="s">
        <v>14</v>
      </c>
      <c r="C15" s="2"/>
      <c r="D15" s="2"/>
      <c r="E15" s="2"/>
      <c r="F15" s="2"/>
      <c r="G15" s="2"/>
      <c r="H15" s="2"/>
      <c r="I15" s="3">
        <v>26374042</v>
      </c>
      <c r="J15" s="3">
        <v>487809</v>
      </c>
      <c r="K15" s="3"/>
      <c r="L15" s="3">
        <f>SUM(I15:K15)</f>
        <v>26861851</v>
      </c>
      <c r="M15" s="2"/>
    </row>
    <row r="16" spans="1:13" ht="18.75">
      <c r="A16" s="1"/>
      <c r="B16" s="2" t="s">
        <v>155</v>
      </c>
      <c r="C16" s="2"/>
      <c r="D16" s="2"/>
      <c r="E16" s="2"/>
      <c r="F16" s="2"/>
      <c r="G16" s="2"/>
      <c r="H16" s="2"/>
      <c r="I16" s="3">
        <v>6273341</v>
      </c>
      <c r="J16" s="3">
        <v>643786</v>
      </c>
      <c r="K16" s="3"/>
      <c r="L16" s="3">
        <f>SUM(I16:K16)</f>
        <v>6917127</v>
      </c>
      <c r="M16" s="2"/>
    </row>
    <row r="17" spans="1:13" ht="18.75">
      <c r="A17" s="1"/>
      <c r="B17" s="2" t="s">
        <v>71</v>
      </c>
      <c r="C17" s="2"/>
      <c r="D17" s="2"/>
      <c r="E17" s="2"/>
      <c r="F17" s="2"/>
      <c r="G17" s="2"/>
      <c r="H17" s="2"/>
      <c r="I17" s="3">
        <v>13524501</v>
      </c>
      <c r="J17" s="3">
        <v>1301926</v>
      </c>
      <c r="K17" s="3">
        <v>-627908</v>
      </c>
      <c r="L17" s="3">
        <f>SUM(I17:K17)</f>
        <v>14198519</v>
      </c>
      <c r="M17" s="2"/>
    </row>
    <row r="18" spans="1:13" ht="18.75">
      <c r="A18" s="2"/>
      <c r="B18" s="2" t="s">
        <v>156</v>
      </c>
      <c r="C18" s="2"/>
      <c r="D18" s="2"/>
      <c r="E18" s="2"/>
      <c r="F18" s="2"/>
      <c r="G18" s="2"/>
      <c r="H18" s="2"/>
      <c r="I18" s="3">
        <v>219055673</v>
      </c>
      <c r="J18" s="3">
        <v>1445830</v>
      </c>
      <c r="K18" s="3">
        <v>-8276</v>
      </c>
      <c r="L18" s="3">
        <f>SUM(I18:K18)</f>
        <v>220493227</v>
      </c>
      <c r="M18" s="2"/>
    </row>
    <row r="19" spans="1:13" ht="18.75">
      <c r="A19" s="2"/>
      <c r="B19" s="2"/>
      <c r="C19" s="1" t="s">
        <v>18</v>
      </c>
      <c r="D19" s="2"/>
      <c r="E19" s="2"/>
      <c r="F19" s="2"/>
      <c r="G19" s="2"/>
      <c r="H19" s="2"/>
      <c r="I19" s="13">
        <f>SUM(I15:I18)</f>
        <v>265227557</v>
      </c>
      <c r="J19" s="13">
        <f>SUM(J15:J18)</f>
        <v>3879351</v>
      </c>
      <c r="K19" s="13">
        <f>SUM(K15:K18)</f>
        <v>-636184</v>
      </c>
      <c r="L19" s="13">
        <f>SUM(L15:L18)</f>
        <v>268470724</v>
      </c>
      <c r="M19" s="2"/>
    </row>
    <row r="20" spans="1:13" ht="18.75">
      <c r="A20" s="2"/>
      <c r="B20" s="2"/>
      <c r="C20" s="1"/>
      <c r="D20" s="2"/>
      <c r="E20" s="2"/>
      <c r="F20" s="2"/>
      <c r="G20" s="2"/>
      <c r="H20" s="2"/>
      <c r="I20" s="15"/>
      <c r="J20" s="15"/>
      <c r="K20" s="15"/>
      <c r="L20" s="15"/>
      <c r="M20" s="2"/>
    </row>
    <row r="21" spans="1:13" ht="18.75">
      <c r="A21" s="1" t="s">
        <v>19</v>
      </c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2"/>
    </row>
    <row r="22" spans="1:13" ht="18.75">
      <c r="A22" s="2"/>
      <c r="B22" s="2" t="s">
        <v>14</v>
      </c>
      <c r="C22" s="2"/>
      <c r="D22" s="2"/>
      <c r="E22" s="2"/>
      <c r="F22" s="2"/>
      <c r="G22" s="2"/>
      <c r="H22" s="2"/>
      <c r="I22" s="3">
        <v>12433851</v>
      </c>
      <c r="J22" s="3">
        <v>668535</v>
      </c>
      <c r="K22" s="3"/>
      <c r="L22" s="3">
        <f>SUM(I22:K22)</f>
        <v>13102386</v>
      </c>
      <c r="M22" s="3">
        <f>SUM(L15-L22)</f>
        <v>13759465</v>
      </c>
    </row>
    <row r="23" spans="1:13" ht="18.75">
      <c r="A23" s="2"/>
      <c r="B23" s="2" t="s">
        <v>155</v>
      </c>
      <c r="C23" s="2"/>
      <c r="D23" s="2"/>
      <c r="E23" s="2"/>
      <c r="F23" s="2"/>
      <c r="G23" s="2"/>
      <c r="H23" s="2"/>
      <c r="I23" s="3">
        <v>632589</v>
      </c>
      <c r="J23" s="3">
        <v>325983</v>
      </c>
      <c r="K23" s="3"/>
      <c r="L23" s="3">
        <f>SUM(I23:K23)</f>
        <v>958572</v>
      </c>
      <c r="M23" s="3">
        <f t="shared" ref="M23:M25" si="1">SUM(L16-L23)</f>
        <v>5958555</v>
      </c>
    </row>
    <row r="24" spans="1:13" ht="18.75">
      <c r="A24" s="2"/>
      <c r="B24" s="2" t="s">
        <v>71</v>
      </c>
      <c r="C24" s="2"/>
      <c r="D24" s="2"/>
      <c r="E24" s="2"/>
      <c r="F24" s="2"/>
      <c r="G24" s="2"/>
      <c r="H24" s="2"/>
      <c r="I24" s="3">
        <v>8155928</v>
      </c>
      <c r="J24" s="3">
        <v>1093304</v>
      </c>
      <c r="K24" s="3">
        <v>-603778</v>
      </c>
      <c r="L24" s="3">
        <f>SUM(I24:K24)</f>
        <v>8645454</v>
      </c>
      <c r="M24" s="3">
        <f t="shared" si="1"/>
        <v>5553065</v>
      </c>
    </row>
    <row r="25" spans="1:13" ht="18.75">
      <c r="A25" s="2"/>
      <c r="B25" s="2" t="s">
        <v>156</v>
      </c>
      <c r="C25" s="2"/>
      <c r="D25" s="2"/>
      <c r="E25" s="2"/>
      <c r="F25" s="2"/>
      <c r="G25" s="2"/>
      <c r="H25" s="2"/>
      <c r="I25" s="3">
        <v>173244304</v>
      </c>
      <c r="J25" s="3">
        <v>1887198</v>
      </c>
      <c r="K25" s="3"/>
      <c r="L25" s="3">
        <f>SUM(I25:K25)</f>
        <v>175131502</v>
      </c>
      <c r="M25" s="3">
        <f t="shared" si="1"/>
        <v>45361725</v>
      </c>
    </row>
    <row r="26" spans="1:13" ht="18.75">
      <c r="A26" s="1"/>
      <c r="B26" s="1"/>
      <c r="C26" s="1" t="s">
        <v>20</v>
      </c>
      <c r="D26" s="1"/>
      <c r="E26" s="1"/>
      <c r="F26" s="1"/>
      <c r="G26" s="1"/>
      <c r="H26" s="1"/>
      <c r="I26" s="10">
        <f>SUM(I22:I25)</f>
        <v>194466672</v>
      </c>
      <c r="J26" s="10">
        <f>SUM(J22:J25)</f>
        <v>3975020</v>
      </c>
      <c r="K26" s="10">
        <f>SUM(K22:K25)</f>
        <v>-603778</v>
      </c>
      <c r="L26" s="10">
        <f>SUM(L22:L25)</f>
        <v>197837914</v>
      </c>
      <c r="M26" s="1"/>
    </row>
    <row r="27" spans="1:13" ht="18.75">
      <c r="A27" s="1"/>
      <c r="B27" s="1"/>
      <c r="C27" s="1"/>
      <c r="D27" s="1"/>
      <c r="E27" s="1"/>
      <c r="F27" s="1"/>
      <c r="G27" s="1"/>
      <c r="H27" s="1"/>
      <c r="I27" s="10"/>
      <c r="J27" s="10"/>
      <c r="K27" s="10"/>
      <c r="L27" s="10"/>
      <c r="M27" s="1"/>
    </row>
    <row r="28" spans="1:13" ht="18.75">
      <c r="A28" s="1"/>
      <c r="B28" s="1" t="s">
        <v>21</v>
      </c>
      <c r="C28" s="1"/>
      <c r="D28" s="1"/>
      <c r="E28" s="1"/>
      <c r="F28" s="1"/>
      <c r="G28" s="1"/>
      <c r="H28" s="1"/>
      <c r="I28" s="10">
        <f>I19-I26</f>
        <v>70760885</v>
      </c>
      <c r="J28" s="10">
        <f>J19-J26</f>
        <v>-95669</v>
      </c>
      <c r="K28" s="10">
        <f>K19-K26</f>
        <v>-32406</v>
      </c>
      <c r="L28" s="10">
        <f>L19-L26</f>
        <v>70632810</v>
      </c>
      <c r="M28" s="1"/>
    </row>
    <row r="29" spans="1:13" ht="18.75">
      <c r="A29" s="1"/>
      <c r="B29" s="1"/>
      <c r="C29" s="1"/>
      <c r="D29" s="1"/>
      <c r="E29" s="1"/>
      <c r="F29" s="1"/>
      <c r="G29" s="1"/>
      <c r="H29" s="1"/>
      <c r="I29" s="30"/>
      <c r="J29" s="30"/>
      <c r="K29" s="30"/>
      <c r="L29" s="30"/>
      <c r="M29" s="1"/>
    </row>
    <row r="30" spans="1:13" ht="18.75">
      <c r="A30" s="2"/>
      <c r="B30" s="1" t="s">
        <v>22</v>
      </c>
      <c r="C30" s="2"/>
      <c r="D30" s="2"/>
      <c r="E30" s="2"/>
      <c r="F30" s="2"/>
      <c r="G30" s="2"/>
      <c r="H30" s="2"/>
      <c r="I30" s="14">
        <f>I12+I28</f>
        <v>73781725</v>
      </c>
      <c r="J30" s="14">
        <f>J12+J28</f>
        <v>3097855</v>
      </c>
      <c r="K30" s="14">
        <f>K12+K28</f>
        <v>-613808</v>
      </c>
      <c r="L30" s="14">
        <f>L12+L28</f>
        <v>76265772</v>
      </c>
      <c r="M30" s="3">
        <f>SUM(M9:M29)</f>
        <v>76265772</v>
      </c>
    </row>
    <row r="32" spans="1:13" ht="37.5">
      <c r="A32" s="2"/>
      <c r="B32" s="2"/>
      <c r="C32" s="2"/>
      <c r="D32" s="2"/>
      <c r="E32" s="2"/>
      <c r="F32" s="2"/>
      <c r="G32" s="2"/>
      <c r="H32" s="2"/>
      <c r="I32" s="152" t="s">
        <v>3</v>
      </c>
      <c r="J32" s="152" t="s">
        <v>4</v>
      </c>
      <c r="K32" s="152" t="s">
        <v>5</v>
      </c>
      <c r="L32" s="152" t="s">
        <v>6</v>
      </c>
      <c r="M32" s="2"/>
    </row>
    <row r="33" spans="1:13" ht="18.75">
      <c r="A33" s="1" t="s">
        <v>36</v>
      </c>
      <c r="B33" s="1"/>
      <c r="C33" s="1"/>
      <c r="D33" s="1"/>
      <c r="E33" s="1"/>
      <c r="F33" s="1"/>
      <c r="G33" s="2"/>
      <c r="H33" s="2"/>
      <c r="I33" s="3"/>
      <c r="J33" s="3"/>
      <c r="K33" s="3"/>
      <c r="L33" s="3"/>
      <c r="M33" s="2"/>
    </row>
    <row r="34" spans="1:13" ht="18.75">
      <c r="A34" s="1"/>
      <c r="B34" s="1" t="s">
        <v>9</v>
      </c>
      <c r="C34" s="1"/>
      <c r="D34" s="1"/>
      <c r="E34" s="1"/>
      <c r="F34" s="1"/>
      <c r="G34" s="2"/>
      <c r="H34" s="2"/>
      <c r="I34" s="3"/>
      <c r="J34" s="3"/>
      <c r="K34" s="3"/>
      <c r="L34" s="3"/>
      <c r="M34" s="2"/>
    </row>
    <row r="35" spans="1:13" ht="18.75">
      <c r="A35" s="2"/>
      <c r="B35" s="2"/>
      <c r="C35" s="2" t="s">
        <v>10</v>
      </c>
      <c r="D35" s="2"/>
      <c r="E35" s="2"/>
      <c r="F35" s="2"/>
      <c r="G35" s="2"/>
      <c r="H35" s="2"/>
      <c r="I35" s="3">
        <v>10175</v>
      </c>
      <c r="J35" s="3"/>
      <c r="K35" s="3"/>
      <c r="L35" s="3">
        <f>SUM(I35:K35)</f>
        <v>10175</v>
      </c>
      <c r="M35" s="3">
        <f>SUM(L35)</f>
        <v>10175</v>
      </c>
    </row>
    <row r="36" spans="1:13" ht="18.75">
      <c r="A36" s="2"/>
      <c r="B36" s="2"/>
      <c r="C36" s="2"/>
      <c r="D36" s="2"/>
      <c r="E36" s="2"/>
      <c r="F36" s="2"/>
      <c r="G36" s="2"/>
      <c r="H36" s="2"/>
      <c r="I36" s="3"/>
      <c r="J36" s="3"/>
      <c r="K36" s="3"/>
      <c r="L36" s="3"/>
      <c r="M36" s="3"/>
    </row>
    <row r="37" spans="1:13" ht="18.75">
      <c r="A37" s="2"/>
      <c r="B37" s="1" t="s">
        <v>37</v>
      </c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</row>
    <row r="38" spans="1:13" ht="18.75">
      <c r="A38" s="2"/>
      <c r="B38" s="2"/>
      <c r="C38" s="2" t="s">
        <v>157</v>
      </c>
      <c r="D38" s="2"/>
      <c r="E38" s="2"/>
      <c r="F38" s="2"/>
      <c r="G38" s="2"/>
      <c r="H38" s="2"/>
      <c r="I38" s="3">
        <v>373375</v>
      </c>
      <c r="J38" s="3"/>
      <c r="K38" s="3"/>
      <c r="L38" s="3">
        <f>SUM(I38:K38)</f>
        <v>373375</v>
      </c>
      <c r="M38" s="3"/>
    </row>
    <row r="39" spans="1:13" ht="18.75">
      <c r="A39" s="2"/>
      <c r="B39" s="2"/>
      <c r="C39" s="2" t="s">
        <v>158</v>
      </c>
      <c r="D39" s="2"/>
      <c r="E39" s="2"/>
      <c r="F39" s="2"/>
      <c r="G39" s="2"/>
      <c r="H39" s="2"/>
      <c r="I39" s="3">
        <v>101180</v>
      </c>
      <c r="J39" s="3"/>
      <c r="K39" s="3"/>
      <c r="L39" s="3">
        <f t="shared" ref="L39" si="2">SUM(I39:K39)</f>
        <v>101180</v>
      </c>
      <c r="M39" s="3"/>
    </row>
    <row r="40" spans="1:13" ht="18.75">
      <c r="A40" s="2"/>
      <c r="B40" s="2"/>
      <c r="C40" s="2"/>
      <c r="D40" s="2"/>
      <c r="E40" s="2"/>
      <c r="F40" s="2"/>
      <c r="G40" s="2"/>
      <c r="H40" s="2"/>
      <c r="I40" s="29"/>
      <c r="J40" s="29"/>
      <c r="K40" s="29"/>
      <c r="L40" s="29"/>
      <c r="M40" s="2"/>
    </row>
    <row r="41" spans="1:13" ht="18.75">
      <c r="A41" s="2"/>
      <c r="B41" s="2"/>
      <c r="C41" s="2"/>
      <c r="D41" s="1" t="s">
        <v>42</v>
      </c>
      <c r="E41" s="1"/>
      <c r="F41" s="1"/>
      <c r="G41" s="1"/>
      <c r="H41" s="2"/>
      <c r="I41" s="15">
        <f>SUM(I37:I39)</f>
        <v>474555</v>
      </c>
      <c r="J41" s="15">
        <f>SUM(J37:J39)</f>
        <v>0</v>
      </c>
      <c r="K41" s="15">
        <f>SUM(K37:K39)</f>
        <v>0</v>
      </c>
      <c r="L41" s="15">
        <f>SUM(L37:L39)</f>
        <v>474555</v>
      </c>
      <c r="M41" s="2"/>
    </row>
    <row r="42" spans="1:13" ht="18.75">
      <c r="A42" s="2"/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2"/>
    </row>
    <row r="43" spans="1:13" ht="18.75">
      <c r="A43" s="2"/>
      <c r="B43" s="2" t="s">
        <v>19</v>
      </c>
      <c r="C43" s="2"/>
      <c r="D43" s="2"/>
      <c r="E43" s="2"/>
      <c r="F43" s="2"/>
      <c r="G43" s="2"/>
      <c r="H43" s="2"/>
      <c r="I43" s="3"/>
      <c r="J43" s="3"/>
      <c r="K43" s="3"/>
      <c r="L43" s="3"/>
      <c r="M43" s="2"/>
    </row>
    <row r="44" spans="1:13" ht="18.75">
      <c r="A44" s="2"/>
      <c r="B44" s="2"/>
      <c r="C44" s="2" t="s">
        <v>157</v>
      </c>
      <c r="D44" s="2"/>
      <c r="E44" s="2"/>
      <c r="F44" s="2"/>
      <c r="G44" s="2"/>
      <c r="H44" s="2"/>
      <c r="I44" s="3">
        <v>373375</v>
      </c>
      <c r="J44" s="3"/>
      <c r="K44" s="3"/>
      <c r="L44" s="3">
        <f>SUM(I44:K44)</f>
        <v>373375</v>
      </c>
      <c r="M44" s="3">
        <f>L38-L44</f>
        <v>0</v>
      </c>
    </row>
    <row r="45" spans="1:13" ht="18.75">
      <c r="A45" s="2"/>
      <c r="B45" s="2"/>
      <c r="C45" s="2" t="s">
        <v>158</v>
      </c>
      <c r="D45" s="2"/>
      <c r="E45" s="2"/>
      <c r="F45" s="2"/>
      <c r="G45" s="2"/>
      <c r="H45" s="2"/>
      <c r="I45" s="3">
        <v>101180</v>
      </c>
      <c r="J45" s="3"/>
      <c r="K45" s="3"/>
      <c r="L45" s="3">
        <f t="shared" ref="L45" si="3">SUM(I45:K45)</f>
        <v>101180</v>
      </c>
      <c r="M45" s="3">
        <f>L39-L45</f>
        <v>0</v>
      </c>
    </row>
    <row r="46" spans="1:13" ht="18.75">
      <c r="A46" s="2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2"/>
    </row>
    <row r="47" spans="1:13" ht="18.75">
      <c r="A47" s="2"/>
      <c r="B47" s="2"/>
      <c r="C47" s="2"/>
      <c r="D47" s="1" t="s">
        <v>20</v>
      </c>
      <c r="E47" s="1"/>
      <c r="F47" s="1"/>
      <c r="G47" s="1"/>
      <c r="H47" s="2"/>
      <c r="I47" s="8">
        <f>SUM(I44:I45)</f>
        <v>474555</v>
      </c>
      <c r="J47" s="8">
        <f t="shared" ref="J47:L47" si="4">SUM(J44:J45)</f>
        <v>0</v>
      </c>
      <c r="K47" s="8">
        <f t="shared" si="4"/>
        <v>0</v>
      </c>
      <c r="L47" s="8">
        <f t="shared" si="4"/>
        <v>474555</v>
      </c>
      <c r="M47" s="2"/>
    </row>
    <row r="48" spans="1:13" ht="18.75">
      <c r="A48" s="2"/>
      <c r="B48" s="2"/>
      <c r="C48" s="2"/>
      <c r="D48" s="1"/>
      <c r="E48" s="1"/>
      <c r="F48" s="1"/>
      <c r="G48" s="1"/>
      <c r="H48" s="2"/>
      <c r="I48" s="3"/>
      <c r="J48" s="3"/>
      <c r="K48" s="3"/>
      <c r="L48" s="3"/>
      <c r="M48" s="2"/>
    </row>
    <row r="49" spans="1:13" ht="18.75">
      <c r="A49" s="2"/>
      <c r="B49" s="2"/>
      <c r="C49" s="2"/>
      <c r="D49" s="1" t="s">
        <v>159</v>
      </c>
      <c r="E49" s="1"/>
      <c r="F49" s="1"/>
      <c r="G49" s="1"/>
      <c r="H49" s="2"/>
      <c r="I49" s="8">
        <f>I35+I41-I47</f>
        <v>10175</v>
      </c>
      <c r="J49" s="8">
        <f t="shared" ref="J49:K49" si="5">J35+J41-J47</f>
        <v>0</v>
      </c>
      <c r="K49" s="8">
        <f t="shared" si="5"/>
        <v>0</v>
      </c>
      <c r="L49" s="8">
        <f>SUM(I49:K49)</f>
        <v>10175</v>
      </c>
      <c r="M49" s="8">
        <f>SUM(J49:L49)</f>
        <v>10175</v>
      </c>
    </row>
    <row r="50" spans="1:13" ht="18.75">
      <c r="A50" s="2"/>
      <c r="B50" s="2"/>
      <c r="C50" s="2"/>
      <c r="D50" s="1"/>
      <c r="E50" s="1"/>
      <c r="F50" s="1"/>
      <c r="G50" s="1"/>
      <c r="H50" s="2"/>
      <c r="I50" s="3"/>
      <c r="J50" s="3"/>
      <c r="K50" s="3"/>
      <c r="L50" s="3"/>
      <c r="M50" s="2"/>
    </row>
    <row r="51" spans="1:13" ht="18.75">
      <c r="A51" s="2"/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59"/>
  <sheetViews>
    <sheetView topLeftCell="J1" zoomScale="82" zoomScaleNormal="82" workbookViewId="0">
      <selection activeCell="O59" sqref="O59"/>
    </sheetView>
  </sheetViews>
  <sheetFormatPr defaultColWidth="8.85546875" defaultRowHeight="15"/>
  <cols>
    <col min="9" max="9" width="18.85546875" customWidth="1"/>
    <col min="10" max="10" width="16.85546875" bestFit="1" customWidth="1"/>
    <col min="11" max="11" width="20" customWidth="1"/>
    <col min="12" max="12" width="20.42578125" customWidth="1"/>
    <col min="13" max="13" width="20.28515625" bestFit="1" customWidth="1"/>
    <col min="14" max="14" width="19.140625" bestFit="1" customWidth="1"/>
  </cols>
  <sheetData>
    <row r="1" spans="1:14" ht="18.75">
      <c r="A1" s="2"/>
      <c r="B1" s="2"/>
      <c r="C1" s="2"/>
      <c r="D1" s="159" t="s">
        <v>160</v>
      </c>
      <c r="E1" s="159"/>
      <c r="F1" s="159"/>
      <c r="G1" s="159"/>
      <c r="H1" s="159"/>
      <c r="I1" s="159"/>
      <c r="J1" s="3"/>
      <c r="K1" s="3"/>
      <c r="L1" s="3"/>
      <c r="M1" s="3"/>
      <c r="N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3"/>
      <c r="N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3"/>
      <c r="N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3"/>
      <c r="N4" s="2"/>
    </row>
    <row r="5" spans="1:14" ht="37.5">
      <c r="A5" s="2"/>
      <c r="B5" s="2"/>
      <c r="C5" s="2"/>
      <c r="D5" s="2"/>
      <c r="E5" s="2"/>
      <c r="F5" s="2"/>
      <c r="G5" s="2"/>
      <c r="H5" s="2"/>
      <c r="I5" s="11" t="s">
        <v>161</v>
      </c>
      <c r="J5" s="11" t="s">
        <v>162</v>
      </c>
      <c r="K5" s="11" t="s">
        <v>5</v>
      </c>
      <c r="L5" s="11" t="s">
        <v>120</v>
      </c>
      <c r="M5" s="11" t="s">
        <v>50</v>
      </c>
      <c r="N5" s="11" t="s">
        <v>7</v>
      </c>
    </row>
    <row r="6" spans="1:14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16"/>
      <c r="N6" s="2"/>
    </row>
    <row r="7" spans="1:14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3"/>
      <c r="N7" s="2"/>
    </row>
    <row r="8" spans="1:14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3"/>
      <c r="N8" s="2"/>
    </row>
    <row r="9" spans="1:14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3"/>
      <c r="N9" s="2"/>
    </row>
    <row r="10" spans="1:14" ht="18.75">
      <c r="A10" s="2"/>
      <c r="B10" s="2" t="s">
        <v>163</v>
      </c>
      <c r="C10" s="2"/>
      <c r="D10" s="2"/>
      <c r="E10" s="2"/>
      <c r="F10" s="2"/>
      <c r="G10" s="2"/>
      <c r="H10" s="2"/>
      <c r="I10" s="3">
        <v>160234370</v>
      </c>
      <c r="J10" s="3">
        <v>1275882</v>
      </c>
      <c r="K10" s="3"/>
      <c r="L10" s="3">
        <v>589754</v>
      </c>
      <c r="M10" s="3">
        <f>SUM(I10:L10)</f>
        <v>162100006</v>
      </c>
      <c r="N10" s="3">
        <f>SUM(M10)</f>
        <v>162100006</v>
      </c>
    </row>
    <row r="11" spans="1:14" ht="18.75">
      <c r="A11" s="2"/>
      <c r="B11" s="2" t="s">
        <v>164</v>
      </c>
      <c r="C11" s="2"/>
      <c r="D11" s="2"/>
      <c r="E11" s="2"/>
      <c r="F11" s="2"/>
      <c r="G11" s="2"/>
      <c r="H11" s="2"/>
      <c r="I11" s="3">
        <v>48647850</v>
      </c>
      <c r="J11" s="3">
        <v>15844784</v>
      </c>
      <c r="K11" s="3"/>
      <c r="L11" s="3">
        <v>-27601230</v>
      </c>
      <c r="M11" s="3">
        <f>SUM(I11:L11)</f>
        <v>36891404</v>
      </c>
      <c r="N11" s="3">
        <f>SUM(M11)</f>
        <v>36891404</v>
      </c>
    </row>
    <row r="12" spans="1:14" ht="18.75">
      <c r="A12" s="1"/>
      <c r="B12" s="1"/>
      <c r="C12" s="1" t="s">
        <v>70</v>
      </c>
      <c r="D12" s="1"/>
      <c r="E12" s="1"/>
      <c r="F12" s="1"/>
      <c r="G12" s="1"/>
      <c r="H12" s="1"/>
      <c r="I12" s="12">
        <f>SUM(I10:I11)</f>
        <v>208882220</v>
      </c>
      <c r="J12" s="12">
        <f t="shared" ref="J12:M12" si="0">SUM(J10:J11)</f>
        <v>17120666</v>
      </c>
      <c r="K12" s="12">
        <f t="shared" si="0"/>
        <v>0</v>
      </c>
      <c r="L12" s="12">
        <f t="shared" si="0"/>
        <v>-27011476</v>
      </c>
      <c r="M12" s="12">
        <f t="shared" si="0"/>
        <v>198991410</v>
      </c>
      <c r="N12" s="1"/>
    </row>
    <row r="13" spans="1:14" ht="18.7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2"/>
    </row>
    <row r="14" spans="1:14" ht="18.75">
      <c r="A14" s="1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2"/>
    </row>
    <row r="15" spans="1:14" ht="18.75">
      <c r="A15" s="1"/>
      <c r="B15" s="2" t="s">
        <v>29</v>
      </c>
      <c r="C15" s="2"/>
      <c r="D15" s="2"/>
      <c r="E15" s="2"/>
      <c r="F15" s="2"/>
      <c r="G15" s="2"/>
      <c r="H15" s="2"/>
      <c r="I15" s="3">
        <v>294781300</v>
      </c>
      <c r="J15" s="3">
        <v>3310495</v>
      </c>
      <c r="K15" s="3">
        <v>-17370</v>
      </c>
      <c r="L15" s="3">
        <v>3029128</v>
      </c>
      <c r="M15" s="3">
        <f>SUM(I15:L15)</f>
        <v>301103553</v>
      </c>
      <c r="N15" s="2"/>
    </row>
    <row r="16" spans="1:14" ht="18.75">
      <c r="A16" s="1"/>
      <c r="B16" s="2" t="s">
        <v>165</v>
      </c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2"/>
    </row>
    <row r="17" spans="1:17" ht="18.75">
      <c r="A17" s="1"/>
      <c r="B17" s="2"/>
      <c r="C17" s="2" t="s">
        <v>166</v>
      </c>
      <c r="D17" s="2"/>
      <c r="E17" s="2"/>
      <c r="F17" s="2"/>
      <c r="G17" s="2"/>
      <c r="H17" s="2"/>
      <c r="I17" s="3">
        <v>925358411</v>
      </c>
      <c r="J17" s="3">
        <v>24876550</v>
      </c>
      <c r="K17" s="3"/>
      <c r="L17" s="3">
        <v>27169558</v>
      </c>
      <c r="M17" s="3">
        <f>SUM(I17:L17)</f>
        <v>977404519</v>
      </c>
      <c r="N17" s="2"/>
    </row>
    <row r="18" spans="1:17" ht="18.75">
      <c r="A18" s="2"/>
      <c r="B18" s="2" t="s">
        <v>167</v>
      </c>
      <c r="C18" s="2"/>
      <c r="D18" s="2"/>
      <c r="E18" s="2"/>
      <c r="F18" s="2"/>
      <c r="G18" s="2"/>
      <c r="H18" s="2"/>
      <c r="I18" s="3">
        <v>125057714</v>
      </c>
      <c r="J18" s="3">
        <v>9414357</v>
      </c>
      <c r="K18" s="3">
        <v>-1902165</v>
      </c>
      <c r="L18" s="3"/>
      <c r="M18" s="3">
        <f>SUM(I18:L18)</f>
        <v>132569906</v>
      </c>
      <c r="N18" s="2"/>
    </row>
    <row r="19" spans="1:17" ht="18.75">
      <c r="A19" s="2"/>
      <c r="B19" s="2"/>
      <c r="C19" s="1" t="s">
        <v>18</v>
      </c>
      <c r="D19" s="2"/>
      <c r="E19" s="2"/>
      <c r="F19" s="2"/>
      <c r="G19" s="2"/>
      <c r="H19" s="2"/>
      <c r="I19" s="13">
        <f>SUM(I15:I18)</f>
        <v>1345197425</v>
      </c>
      <c r="J19" s="13">
        <f>SUM(J15:J18)</f>
        <v>37601402</v>
      </c>
      <c r="K19" s="13">
        <f>SUM(K15:K18)</f>
        <v>-1919535</v>
      </c>
      <c r="L19" s="13">
        <f>SUM(L15:L18)</f>
        <v>30198686</v>
      </c>
      <c r="M19" s="13">
        <f>SUM(M15:M18)</f>
        <v>1411077978</v>
      </c>
      <c r="N19" s="2"/>
    </row>
    <row r="20" spans="1:17" ht="18.75">
      <c r="A20" s="2"/>
      <c r="B20" s="2"/>
      <c r="C20" s="1"/>
      <c r="D20" s="2"/>
      <c r="E20" s="2"/>
      <c r="F20" s="2"/>
      <c r="G20" s="2"/>
      <c r="H20" s="2"/>
      <c r="I20" s="15"/>
      <c r="J20" s="15"/>
      <c r="K20" s="15"/>
      <c r="L20" s="15"/>
      <c r="M20" s="15"/>
      <c r="N20" s="2"/>
    </row>
    <row r="21" spans="1:17" ht="18.75">
      <c r="A21" s="2" t="s">
        <v>19</v>
      </c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2"/>
    </row>
    <row r="22" spans="1:17" ht="18.75">
      <c r="A22" s="2"/>
      <c r="B22" s="2" t="s">
        <v>33</v>
      </c>
      <c r="C22" s="2"/>
      <c r="D22" s="2"/>
      <c r="E22" s="2"/>
      <c r="F22" s="2"/>
      <c r="G22" s="2"/>
      <c r="H22" s="2"/>
      <c r="I22" s="3">
        <v>-160400815</v>
      </c>
      <c r="J22" s="3">
        <v>-6871899</v>
      </c>
      <c r="K22" s="3">
        <v>17370</v>
      </c>
      <c r="L22" s="3">
        <v>0</v>
      </c>
      <c r="M22" s="3">
        <f>SUM(I22:L22)</f>
        <v>-167255344</v>
      </c>
      <c r="N22" s="3">
        <f>SUM(M22,M15)</f>
        <v>133848209</v>
      </c>
    </row>
    <row r="23" spans="1:17" ht="18.75">
      <c r="A23" s="2"/>
      <c r="B23" s="2" t="s">
        <v>165</v>
      </c>
      <c r="C23" s="2"/>
      <c r="D23" s="2"/>
      <c r="E23" s="2"/>
      <c r="F23" s="2"/>
      <c r="G23" s="2"/>
      <c r="H23" s="2"/>
      <c r="I23" s="3"/>
      <c r="J23" s="3"/>
      <c r="K23" s="3"/>
      <c r="L23" s="3">
        <v>0</v>
      </c>
      <c r="M23" s="3"/>
      <c r="N23" s="3"/>
    </row>
    <row r="24" spans="1:17" ht="18.75">
      <c r="A24" s="2"/>
      <c r="B24" s="2"/>
      <c r="C24" s="2" t="s">
        <v>166</v>
      </c>
      <c r="D24" s="2"/>
      <c r="E24" s="2"/>
      <c r="F24" s="2"/>
      <c r="G24" s="2"/>
      <c r="H24" s="2"/>
      <c r="I24" s="3">
        <v>-414853563</v>
      </c>
      <c r="J24" s="3">
        <v>-29618025</v>
      </c>
      <c r="K24" s="3"/>
      <c r="L24" s="3">
        <v>0</v>
      </c>
      <c r="M24" s="3">
        <f>SUM(I24:L24)</f>
        <v>-444471588</v>
      </c>
      <c r="N24" s="3">
        <f>SUM(M24,M17)</f>
        <v>532932931</v>
      </c>
    </row>
    <row r="25" spans="1:17" ht="18.75">
      <c r="A25" s="2"/>
      <c r="B25" s="2" t="s">
        <v>167</v>
      </c>
      <c r="C25" s="2"/>
      <c r="D25" s="2"/>
      <c r="E25" s="2"/>
      <c r="F25" s="2"/>
      <c r="G25" s="2"/>
      <c r="H25" s="2"/>
      <c r="I25" s="3">
        <v>-100176889</v>
      </c>
      <c r="J25" s="3">
        <v>-8774917</v>
      </c>
      <c r="K25" s="3">
        <v>1885218</v>
      </c>
      <c r="L25" s="3">
        <v>0</v>
      </c>
      <c r="M25" s="3">
        <f>SUM(I25:L25)</f>
        <v>-107066588</v>
      </c>
      <c r="N25" s="3">
        <f>M18+M25</f>
        <v>25503318</v>
      </c>
    </row>
    <row r="26" spans="1:17" ht="18.75">
      <c r="A26" s="1"/>
      <c r="B26" s="1"/>
      <c r="C26" s="1" t="s">
        <v>20</v>
      </c>
      <c r="D26" s="1"/>
      <c r="E26" s="1"/>
      <c r="F26" s="1"/>
      <c r="G26" s="1"/>
      <c r="H26" s="1"/>
      <c r="I26" s="10">
        <f>SUM(I22:I25)</f>
        <v>-675431267</v>
      </c>
      <c r="J26" s="10">
        <f>SUM(J22:J25)</f>
        <v>-45264841</v>
      </c>
      <c r="K26" s="10">
        <f>SUM(K22:K25)</f>
        <v>1902588</v>
      </c>
      <c r="L26" s="10">
        <f>SUM(L22:L25)</f>
        <v>0</v>
      </c>
      <c r="M26" s="10">
        <f>SUM(M22:M25)</f>
        <v>-718793520</v>
      </c>
      <c r="N26" s="1"/>
    </row>
    <row r="27" spans="1:17" ht="18.75">
      <c r="A27" s="1"/>
      <c r="B27" s="1"/>
      <c r="C27" s="1"/>
      <c r="D27" s="1"/>
      <c r="E27" s="1"/>
      <c r="F27" s="1"/>
      <c r="G27" s="1"/>
      <c r="H27" s="1"/>
      <c r="I27" s="10"/>
      <c r="J27" s="10"/>
      <c r="K27" s="10"/>
      <c r="L27" s="10"/>
      <c r="M27" s="10"/>
      <c r="N27" s="1"/>
    </row>
    <row r="28" spans="1:17" ht="18.75">
      <c r="A28" s="1"/>
      <c r="B28" s="1" t="s">
        <v>21</v>
      </c>
      <c r="C28" s="1"/>
      <c r="D28" s="1"/>
      <c r="E28" s="1"/>
      <c r="F28" s="1"/>
      <c r="G28" s="1"/>
      <c r="H28" s="1"/>
      <c r="I28" s="10">
        <f>I26+I19</f>
        <v>669766158</v>
      </c>
      <c r="J28" s="10">
        <f t="shared" ref="J28:L28" si="1">J26+J19</f>
        <v>-7663439</v>
      </c>
      <c r="K28" s="10">
        <f t="shared" si="1"/>
        <v>-16947</v>
      </c>
      <c r="L28" s="10">
        <f t="shared" si="1"/>
        <v>30198686</v>
      </c>
      <c r="M28" s="10">
        <f>M26+M19</f>
        <v>692284458</v>
      </c>
      <c r="N28" s="1"/>
      <c r="O28" s="1"/>
      <c r="P28" s="1"/>
      <c r="Q28" s="1"/>
    </row>
    <row r="29" spans="1:17" ht="18.75">
      <c r="A29" s="1"/>
      <c r="B29" s="1"/>
      <c r="C29" s="1"/>
      <c r="D29" s="1"/>
      <c r="E29" s="1"/>
      <c r="F29" s="1"/>
      <c r="G29" s="1"/>
      <c r="H29" s="1"/>
      <c r="I29" s="30"/>
      <c r="J29" s="30"/>
      <c r="K29" s="30"/>
      <c r="L29" s="30"/>
      <c r="M29" s="30"/>
      <c r="N29" s="1"/>
    </row>
    <row r="30" spans="1:17" ht="18.75">
      <c r="A30" s="2"/>
      <c r="B30" s="1" t="s">
        <v>22</v>
      </c>
      <c r="C30" s="2"/>
      <c r="D30" s="2"/>
      <c r="E30" s="2"/>
      <c r="F30" s="2"/>
      <c r="G30" s="2"/>
      <c r="H30" s="2"/>
      <c r="I30" s="14">
        <f>I12+I28</f>
        <v>878648378</v>
      </c>
      <c r="J30" s="14">
        <f>J12+J28</f>
        <v>9457227</v>
      </c>
      <c r="K30" s="14">
        <f>K12+K28</f>
        <v>-16947</v>
      </c>
      <c r="L30" s="14">
        <f>L12+L28</f>
        <v>3187210</v>
      </c>
      <c r="M30" s="14">
        <f>M12+M28</f>
        <v>891275868</v>
      </c>
      <c r="N30" s="155">
        <f>SUM(N10:N25)</f>
        <v>891275868</v>
      </c>
    </row>
    <row r="31" spans="1:17" ht="18.75">
      <c r="A31" s="2"/>
      <c r="B31" s="1"/>
      <c r="C31" s="2"/>
      <c r="D31" s="2"/>
      <c r="E31" s="2"/>
      <c r="F31" s="2"/>
      <c r="G31" s="2"/>
      <c r="H31" s="2"/>
      <c r="I31" s="15"/>
      <c r="J31" s="15"/>
      <c r="K31" s="15"/>
      <c r="L31" s="15"/>
      <c r="M31" s="15"/>
      <c r="N31" s="2"/>
    </row>
    <row r="32" spans="1:17" ht="18.75">
      <c r="A32" s="2"/>
      <c r="B32" s="2"/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2"/>
    </row>
    <row r="33" spans="1:14" ht="37.5">
      <c r="A33" s="2"/>
      <c r="B33" s="2"/>
      <c r="C33" s="2"/>
      <c r="D33" s="2"/>
      <c r="E33" s="2"/>
      <c r="F33" s="2"/>
      <c r="G33" s="2"/>
      <c r="H33" s="2"/>
      <c r="I33" s="152" t="s">
        <v>3</v>
      </c>
      <c r="J33" s="152" t="s">
        <v>69</v>
      </c>
      <c r="K33" s="152" t="s">
        <v>63</v>
      </c>
      <c r="L33" s="152" t="s">
        <v>68</v>
      </c>
      <c r="M33" s="152" t="s">
        <v>6</v>
      </c>
      <c r="N33" s="2"/>
    </row>
    <row r="34" spans="1:14" ht="18.75">
      <c r="A34" s="2"/>
      <c r="B34" s="2"/>
      <c r="C34" s="2"/>
      <c r="D34" s="2"/>
      <c r="E34" s="2"/>
      <c r="F34" s="2"/>
      <c r="G34" s="2"/>
      <c r="H34" s="2"/>
      <c r="I34" s="5"/>
      <c r="J34" s="5"/>
      <c r="K34" s="5"/>
      <c r="L34" s="5"/>
      <c r="M34" s="5"/>
      <c r="N34" s="2"/>
    </row>
    <row r="35" spans="1:14" ht="18.75">
      <c r="A35" s="1" t="s">
        <v>82</v>
      </c>
      <c r="B35" s="1"/>
      <c r="C35" s="1"/>
      <c r="D35" s="1"/>
      <c r="E35" s="1"/>
      <c r="F35" s="1"/>
      <c r="G35" s="2"/>
      <c r="H35" s="2"/>
      <c r="I35" s="3"/>
      <c r="J35" s="3"/>
      <c r="K35" s="3"/>
      <c r="L35" s="3"/>
      <c r="M35" s="3"/>
      <c r="N35" s="2"/>
    </row>
    <row r="36" spans="1:14" ht="18.75">
      <c r="A36" s="1" t="s">
        <v>83</v>
      </c>
      <c r="B36" s="1"/>
      <c r="C36" s="1"/>
      <c r="D36" s="1"/>
      <c r="E36" s="1"/>
      <c r="F36" s="1"/>
      <c r="G36" s="2"/>
      <c r="H36" s="2"/>
      <c r="I36" s="3"/>
      <c r="J36" s="3"/>
      <c r="K36" s="3"/>
      <c r="L36" s="3"/>
      <c r="M36" s="3"/>
      <c r="N36" s="2"/>
    </row>
    <row r="37" spans="1:14" ht="18.75">
      <c r="A37" s="2"/>
      <c r="B37" s="2" t="s">
        <v>163</v>
      </c>
      <c r="C37" s="2"/>
      <c r="D37" s="2"/>
      <c r="E37" s="2"/>
      <c r="F37" s="2"/>
      <c r="G37" s="2"/>
      <c r="H37" s="2"/>
      <c r="I37" s="3">
        <v>91492232</v>
      </c>
      <c r="J37" s="3">
        <v>3021918</v>
      </c>
      <c r="K37" s="3"/>
      <c r="L37" s="3">
        <v>21757</v>
      </c>
      <c r="M37" s="3">
        <f>SUM(I37:L37)</f>
        <v>94535907</v>
      </c>
      <c r="N37" s="3">
        <f>SUM(M37)</f>
        <v>94535907</v>
      </c>
    </row>
    <row r="38" spans="1:14" ht="18.75">
      <c r="A38" s="2"/>
      <c r="B38" s="2" t="s">
        <v>168</v>
      </c>
      <c r="C38" s="2"/>
      <c r="D38" s="2"/>
      <c r="E38" s="2"/>
      <c r="F38" s="2"/>
      <c r="G38" s="2"/>
      <c r="H38" s="2"/>
      <c r="I38" s="3">
        <v>58392539</v>
      </c>
      <c r="J38" s="3"/>
      <c r="K38" s="3"/>
      <c r="L38" s="3"/>
      <c r="M38" s="3">
        <f>SUM(I38:L38)</f>
        <v>58392539</v>
      </c>
      <c r="N38" s="3">
        <f>SUM(M38)</f>
        <v>58392539</v>
      </c>
    </row>
    <row r="39" spans="1:14" ht="18.75">
      <c r="A39" s="2"/>
      <c r="B39" s="2" t="s">
        <v>164</v>
      </c>
      <c r="C39" s="2"/>
      <c r="D39" s="2"/>
      <c r="E39" s="2"/>
      <c r="F39" s="2"/>
      <c r="G39" s="2"/>
      <c r="H39" s="2"/>
      <c r="I39" s="3">
        <v>119514214</v>
      </c>
      <c r="J39" s="3">
        <v>102253246</v>
      </c>
      <c r="K39" s="3">
        <v>-806075</v>
      </c>
      <c r="L39" s="3">
        <v>-24261371</v>
      </c>
      <c r="M39" s="3">
        <f>SUM(I39:L39)</f>
        <v>196700014</v>
      </c>
      <c r="N39" s="3">
        <f>SUM(M39)</f>
        <v>196700014</v>
      </c>
    </row>
    <row r="40" spans="1:14" ht="18.75">
      <c r="A40" s="1"/>
      <c r="B40" s="1"/>
      <c r="C40" s="1" t="s">
        <v>70</v>
      </c>
      <c r="D40" s="1"/>
      <c r="E40" s="1"/>
      <c r="F40" s="1"/>
      <c r="G40" s="1"/>
      <c r="H40" s="2"/>
      <c r="I40" s="12">
        <f>SUM(I37:I39)</f>
        <v>269398985</v>
      </c>
      <c r="J40" s="12">
        <f t="shared" ref="J40:M40" si="2">SUM(J37:J39)</f>
        <v>105275164</v>
      </c>
      <c r="K40" s="12">
        <f t="shared" si="2"/>
        <v>-806075</v>
      </c>
      <c r="L40" s="12">
        <f t="shared" si="2"/>
        <v>-24239614</v>
      </c>
      <c r="M40" s="12">
        <f t="shared" si="2"/>
        <v>349628460</v>
      </c>
      <c r="N40" s="2"/>
    </row>
    <row r="41" spans="1:14" ht="18.75">
      <c r="A41" s="2"/>
      <c r="B41" s="2"/>
      <c r="C41" s="2"/>
      <c r="D41" s="2"/>
      <c r="E41" s="2"/>
      <c r="F41" s="2"/>
      <c r="G41" s="2"/>
      <c r="H41" s="2"/>
      <c r="I41" s="3"/>
      <c r="J41" s="3"/>
      <c r="K41" s="3"/>
      <c r="L41" s="3"/>
      <c r="M41" s="3"/>
      <c r="N41" s="2"/>
    </row>
    <row r="42" spans="1:14" ht="18.75">
      <c r="A42" s="1" t="s">
        <v>13</v>
      </c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2"/>
    </row>
    <row r="43" spans="1:14" ht="18.75">
      <c r="A43" s="1"/>
      <c r="B43" s="2" t="s">
        <v>128</v>
      </c>
      <c r="C43" s="2"/>
      <c r="D43" s="2"/>
      <c r="E43" s="2"/>
      <c r="F43" s="2"/>
      <c r="G43" s="2"/>
      <c r="H43" s="2"/>
      <c r="I43" s="3">
        <v>234674097</v>
      </c>
      <c r="J43" s="3">
        <v>2074825</v>
      </c>
      <c r="K43" s="3"/>
      <c r="L43" s="3">
        <v>230033</v>
      </c>
      <c r="M43" s="3">
        <f>SUM(I43:L43)</f>
        <v>236978955</v>
      </c>
      <c r="N43" s="2"/>
    </row>
    <row r="44" spans="1:14" ht="18.75">
      <c r="A44" s="2"/>
      <c r="B44" s="2" t="s">
        <v>165</v>
      </c>
      <c r="C44" s="2"/>
      <c r="D44" s="2"/>
      <c r="E44" s="2"/>
      <c r="F44" s="2"/>
      <c r="G44" s="2"/>
      <c r="H44" s="2"/>
      <c r="I44" s="3"/>
      <c r="J44" s="3"/>
      <c r="K44" s="3"/>
      <c r="L44" s="3"/>
      <c r="M44" s="3"/>
      <c r="N44" s="2"/>
    </row>
    <row r="45" spans="1:14" ht="18.75">
      <c r="A45" s="2"/>
      <c r="B45" s="2"/>
      <c r="C45" s="2" t="s">
        <v>166</v>
      </c>
      <c r="D45" s="2"/>
      <c r="E45" s="2"/>
      <c r="F45" s="2"/>
      <c r="G45" s="2"/>
      <c r="H45" s="2"/>
      <c r="I45" s="3">
        <v>2076900538</v>
      </c>
      <c r="J45" s="3">
        <v>71376600</v>
      </c>
      <c r="K45" s="3">
        <v>-2032363</v>
      </c>
      <c r="L45" s="3">
        <v>24711433</v>
      </c>
      <c r="M45" s="3">
        <f t="shared" ref="M45:M46" si="3">SUM(I45:L45)</f>
        <v>2170956208</v>
      </c>
      <c r="N45" s="2"/>
    </row>
    <row r="46" spans="1:14" ht="18.75">
      <c r="A46" s="2"/>
      <c r="B46" s="2" t="s">
        <v>169</v>
      </c>
      <c r="C46" s="2"/>
      <c r="D46" s="2"/>
      <c r="E46" s="2"/>
      <c r="F46" s="2"/>
      <c r="G46" s="2"/>
      <c r="H46" s="2"/>
      <c r="I46" s="3">
        <v>9889878</v>
      </c>
      <c r="J46" s="3">
        <v>1035921</v>
      </c>
      <c r="K46" s="3">
        <v>-610775</v>
      </c>
      <c r="L46" s="3"/>
      <c r="M46" s="3">
        <f t="shared" si="3"/>
        <v>10315024</v>
      </c>
      <c r="N46" s="2"/>
    </row>
    <row r="47" spans="1:14" ht="18.75">
      <c r="A47" s="2"/>
      <c r="B47" s="2"/>
      <c r="C47" s="1" t="s">
        <v>18</v>
      </c>
      <c r="D47" s="2"/>
      <c r="E47" s="2"/>
      <c r="F47" s="2"/>
      <c r="G47" s="2"/>
      <c r="H47" s="2"/>
      <c r="I47" s="12">
        <f>SUM(I43:I46)</f>
        <v>2321464513</v>
      </c>
      <c r="J47" s="12">
        <f>SUM(J43:J46)</f>
        <v>74487346</v>
      </c>
      <c r="K47" s="12">
        <f>SUM(K43:K46)</f>
        <v>-2643138</v>
      </c>
      <c r="L47" s="12">
        <f>SUM(L43:L46)</f>
        <v>24941466</v>
      </c>
      <c r="M47" s="12">
        <f>SUM(M43:M46)</f>
        <v>2418250187</v>
      </c>
      <c r="N47" s="2"/>
    </row>
    <row r="48" spans="1:14" ht="18.75">
      <c r="A48" s="2"/>
      <c r="B48" s="2"/>
      <c r="C48" s="1"/>
      <c r="D48" s="2"/>
      <c r="E48" s="2"/>
      <c r="F48" s="2"/>
      <c r="G48" s="2"/>
      <c r="H48" s="2"/>
      <c r="I48" s="15"/>
      <c r="J48" s="15"/>
      <c r="K48" s="15"/>
      <c r="L48" s="15"/>
      <c r="M48" s="15"/>
      <c r="N48" s="2"/>
    </row>
    <row r="49" spans="1:14" ht="18.75">
      <c r="A49" s="2" t="s">
        <v>19</v>
      </c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3"/>
      <c r="N49" s="2"/>
    </row>
    <row r="50" spans="1:14" ht="18.75">
      <c r="A50" s="2"/>
      <c r="B50" s="2" t="s">
        <v>33</v>
      </c>
      <c r="C50" s="2"/>
      <c r="D50" s="2"/>
      <c r="E50" s="2"/>
      <c r="F50" s="2"/>
      <c r="G50" s="2"/>
      <c r="H50" s="2"/>
      <c r="I50" s="3">
        <v>-117563006</v>
      </c>
      <c r="J50" s="3">
        <v>-9149192</v>
      </c>
      <c r="K50" s="3"/>
      <c r="L50" s="3">
        <v>0</v>
      </c>
      <c r="M50" s="3">
        <f>SUM(I50:L50)</f>
        <v>-126712198</v>
      </c>
      <c r="N50" s="3">
        <f>SUM(M50,M43)</f>
        <v>110266757</v>
      </c>
    </row>
    <row r="51" spans="1:14" ht="18.75">
      <c r="A51" s="2"/>
      <c r="B51" s="2" t="s">
        <v>165</v>
      </c>
      <c r="C51" s="2"/>
      <c r="D51" s="2"/>
      <c r="E51" s="2"/>
      <c r="F51" s="2"/>
      <c r="G51" s="2"/>
      <c r="H51" s="2"/>
      <c r="I51" s="3"/>
      <c r="J51" s="3"/>
      <c r="K51" s="3"/>
      <c r="L51" s="3">
        <v>0</v>
      </c>
      <c r="M51" s="3">
        <f t="shared" ref="M51:M53" si="4">SUM(I51:L51)</f>
        <v>0</v>
      </c>
      <c r="N51" s="3">
        <f t="shared" ref="N51:N53" si="5">SUM(M51,M44)</f>
        <v>0</v>
      </c>
    </row>
    <row r="52" spans="1:14" ht="18.75">
      <c r="A52" s="2"/>
      <c r="B52" s="2"/>
      <c r="C52" s="2" t="s">
        <v>166</v>
      </c>
      <c r="D52" s="2"/>
      <c r="E52" s="2"/>
      <c r="F52" s="2"/>
      <c r="G52" s="2"/>
      <c r="H52" s="2"/>
      <c r="I52" s="3">
        <v>-678994828</v>
      </c>
      <c r="J52" s="3">
        <v>-74367692</v>
      </c>
      <c r="K52" s="3">
        <v>1631729</v>
      </c>
      <c r="L52" s="3"/>
      <c r="M52" s="3">
        <f t="shared" si="4"/>
        <v>-751730791</v>
      </c>
      <c r="N52" s="3">
        <f>SUM(M52,M45)</f>
        <v>1419225417</v>
      </c>
    </row>
    <row r="53" spans="1:14" ht="18.75">
      <c r="A53" s="2"/>
      <c r="B53" s="2" t="s">
        <v>169</v>
      </c>
      <c r="C53" s="2"/>
      <c r="D53" s="2"/>
      <c r="E53" s="2"/>
      <c r="F53" s="2"/>
      <c r="G53" s="2"/>
      <c r="H53" s="2"/>
      <c r="I53" s="3">
        <v>-9153040</v>
      </c>
      <c r="J53" s="3">
        <v>-312436</v>
      </c>
      <c r="K53" s="3">
        <v>610775</v>
      </c>
      <c r="L53" s="3"/>
      <c r="M53" s="3">
        <f t="shared" si="4"/>
        <v>-8854701</v>
      </c>
      <c r="N53" s="3">
        <f t="shared" si="5"/>
        <v>1460323</v>
      </c>
    </row>
    <row r="54" spans="1:14" ht="18.75">
      <c r="A54" s="1"/>
      <c r="B54" s="1"/>
      <c r="C54" s="1" t="s">
        <v>20</v>
      </c>
      <c r="D54" s="1"/>
      <c r="E54" s="1"/>
      <c r="F54" s="1"/>
      <c r="G54" s="1"/>
      <c r="H54" s="2"/>
      <c r="I54" s="12">
        <f>SUM(I50:I53)</f>
        <v>-805710874</v>
      </c>
      <c r="J54" s="12">
        <f>SUM(J50:J53)</f>
        <v>-83829320</v>
      </c>
      <c r="K54" s="12">
        <f>SUM(K50:K53)</f>
        <v>2242504</v>
      </c>
      <c r="L54" s="12">
        <f>SUM(L50:L53)</f>
        <v>0</v>
      </c>
      <c r="M54" s="12">
        <f>SUM(M50:M53)</f>
        <v>-887297690</v>
      </c>
      <c r="N54" s="2"/>
    </row>
    <row r="55" spans="1:14" ht="18.75">
      <c r="A55" s="1"/>
      <c r="B55" s="1"/>
      <c r="C55" s="1"/>
      <c r="D55" s="1"/>
      <c r="E55" s="1"/>
      <c r="F55" s="1"/>
      <c r="G55" s="1"/>
      <c r="H55" s="2"/>
      <c r="I55" s="12"/>
      <c r="J55" s="12"/>
      <c r="K55" s="12"/>
      <c r="L55" s="12"/>
      <c r="M55" s="12"/>
      <c r="N55" s="2"/>
    </row>
    <row r="56" spans="1:14" ht="18.75">
      <c r="A56" s="1"/>
      <c r="B56" s="1" t="s">
        <v>21</v>
      </c>
      <c r="C56" s="1"/>
      <c r="D56" s="1"/>
      <c r="E56" s="1"/>
      <c r="F56" s="1"/>
      <c r="G56" s="1"/>
      <c r="H56" s="2"/>
      <c r="I56" s="12">
        <f>SUM(I54,I47)</f>
        <v>1515753639</v>
      </c>
      <c r="J56" s="12">
        <f>SUM(J54,J47)</f>
        <v>-9341974</v>
      </c>
      <c r="K56" s="12">
        <f>SUM(K54,K47)</f>
        <v>-400634</v>
      </c>
      <c r="L56" s="12">
        <f>SUM(L54,L47)</f>
        <v>24941466</v>
      </c>
      <c r="M56" s="12">
        <f>SUM(M54,M47)</f>
        <v>1530952497</v>
      </c>
      <c r="N56" s="2"/>
    </row>
    <row r="57" spans="1:14" ht="18.75">
      <c r="A57" s="1"/>
      <c r="B57" s="1"/>
      <c r="C57" s="1"/>
      <c r="D57" s="1"/>
      <c r="E57" s="1"/>
      <c r="F57" s="1"/>
      <c r="G57" s="1"/>
      <c r="H57" s="2"/>
      <c r="I57" s="13"/>
      <c r="J57" s="13"/>
      <c r="K57" s="13"/>
      <c r="L57" s="13"/>
      <c r="M57" s="13"/>
      <c r="N57" s="2"/>
    </row>
    <row r="58" spans="1:14" ht="18.75">
      <c r="A58" s="2"/>
      <c r="B58" s="1" t="s">
        <v>44</v>
      </c>
      <c r="C58" s="2"/>
      <c r="D58" s="2"/>
      <c r="E58" s="2"/>
      <c r="F58" s="2"/>
      <c r="G58" s="2"/>
      <c r="H58" s="2"/>
      <c r="I58" s="14">
        <f>I40+I56</f>
        <v>1785152624</v>
      </c>
      <c r="J58" s="14">
        <f>J40+J56</f>
        <v>95933190</v>
      </c>
      <c r="K58" s="14">
        <f>K40+K56</f>
        <v>-1206709</v>
      </c>
      <c r="L58" s="14">
        <f>L40+L56</f>
        <v>701852</v>
      </c>
      <c r="M58" s="14">
        <f>M40+M56</f>
        <v>1880580957</v>
      </c>
      <c r="N58" s="3">
        <f>SUM(N50:N53,N37:N39)</f>
        <v>1880580957</v>
      </c>
    </row>
    <row r="59" spans="1:14" ht="18.75">
      <c r="A59" s="2"/>
      <c r="B59" s="2"/>
      <c r="C59" s="2"/>
      <c r="D59" s="2"/>
      <c r="E59" s="2"/>
      <c r="F59" s="2"/>
      <c r="G59" s="2"/>
      <c r="H59" s="2"/>
      <c r="I59" s="3"/>
      <c r="J59" s="3"/>
      <c r="K59" s="3"/>
      <c r="L59" s="3"/>
      <c r="M59" s="3"/>
      <c r="N59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7"/>
  <sheetViews>
    <sheetView topLeftCell="K30" zoomScale="80" zoomScaleNormal="80" zoomScalePageLayoutView="85" workbookViewId="0">
      <selection activeCell="Q44" sqref="Q44"/>
    </sheetView>
  </sheetViews>
  <sheetFormatPr defaultColWidth="8.85546875" defaultRowHeight="15"/>
  <cols>
    <col min="9" max="9" width="19" customWidth="1"/>
    <col min="10" max="10" width="16.85546875" customWidth="1"/>
    <col min="11" max="11" width="16" customWidth="1"/>
    <col min="12" max="12" width="19" customWidth="1"/>
    <col min="13" max="13" width="18.85546875" customWidth="1"/>
  </cols>
  <sheetData>
    <row r="1" spans="1:13" ht="18.75">
      <c r="A1" s="2"/>
      <c r="B1" s="2"/>
      <c r="C1" s="2"/>
      <c r="D1" s="159" t="s">
        <v>170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 t="s">
        <v>171</v>
      </c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6</v>
      </c>
      <c r="M5" s="11" t="s">
        <v>7</v>
      </c>
    </row>
    <row r="6" spans="1:13" ht="18.75">
      <c r="A6" s="2" t="s">
        <v>172</v>
      </c>
      <c r="B6" s="2"/>
      <c r="C6" s="2"/>
      <c r="D6" s="2"/>
      <c r="E6" s="2"/>
      <c r="F6" s="2"/>
      <c r="G6" s="2"/>
      <c r="H6" s="2"/>
      <c r="I6" s="109"/>
      <c r="J6" s="109"/>
      <c r="K6" s="109"/>
      <c r="L6" s="109"/>
      <c r="M6" s="109"/>
    </row>
    <row r="7" spans="1:13" ht="18.75">
      <c r="A7" s="2"/>
      <c r="B7" s="2" t="s">
        <v>10</v>
      </c>
      <c r="C7" s="2"/>
      <c r="D7" s="2"/>
      <c r="E7" s="2"/>
      <c r="F7" s="2"/>
      <c r="G7" s="2"/>
      <c r="H7" s="2"/>
      <c r="I7" s="3">
        <v>274665</v>
      </c>
      <c r="J7" s="3"/>
      <c r="K7" s="3"/>
      <c r="L7" s="3">
        <f>SUM(I7:K7)</f>
        <v>274665</v>
      </c>
      <c r="M7" s="3">
        <f>SUM(L7)</f>
        <v>274665</v>
      </c>
    </row>
    <row r="8" spans="1:13" ht="18.75">
      <c r="A8" s="2"/>
      <c r="B8" s="2" t="s">
        <v>173</v>
      </c>
      <c r="C8" s="2"/>
      <c r="D8" s="2"/>
      <c r="E8" s="2"/>
      <c r="F8" s="2"/>
      <c r="G8" s="2"/>
      <c r="H8" s="2"/>
      <c r="I8" s="3">
        <v>101000</v>
      </c>
      <c r="J8" s="3"/>
      <c r="K8" s="3"/>
      <c r="L8" s="3">
        <f>SUM(I8:K8)</f>
        <v>101000</v>
      </c>
      <c r="M8" s="3">
        <f>SUM(L8)</f>
        <v>101000</v>
      </c>
    </row>
    <row r="9" spans="1:13" ht="18.75">
      <c r="A9" s="2"/>
      <c r="B9" s="2" t="s">
        <v>11</v>
      </c>
      <c r="C9" s="2"/>
      <c r="D9" s="2"/>
      <c r="E9" s="2"/>
      <c r="F9" s="2"/>
      <c r="G9" s="2"/>
      <c r="H9" s="2"/>
      <c r="I9" s="3">
        <v>265027</v>
      </c>
      <c r="J9" s="3">
        <v>55204</v>
      </c>
      <c r="K9" s="3"/>
      <c r="L9" s="3">
        <f>SUM(I9:K9)</f>
        <v>320231</v>
      </c>
      <c r="M9" s="3">
        <f>SUM(L9)</f>
        <v>320231</v>
      </c>
    </row>
    <row r="10" spans="1:13" ht="18.75">
      <c r="A10" s="2"/>
      <c r="B10" s="1"/>
      <c r="C10" s="1" t="s">
        <v>70</v>
      </c>
      <c r="D10" s="1"/>
      <c r="E10" s="1"/>
      <c r="F10" s="1"/>
      <c r="G10" s="1"/>
      <c r="H10" s="1"/>
      <c r="I10" s="12">
        <f>SUM(I7:I9)</f>
        <v>640692</v>
      </c>
      <c r="J10" s="12">
        <f>SUM(J7:J9)</f>
        <v>55204</v>
      </c>
      <c r="K10" s="12">
        <f>SUM(K7:K9)</f>
        <v>0</v>
      </c>
      <c r="L10" s="12">
        <f>SUM(L7:L9)</f>
        <v>695896</v>
      </c>
      <c r="M10" s="1"/>
    </row>
    <row r="11" spans="1:13" ht="18.75">
      <c r="A11" s="2"/>
      <c r="B11" s="2"/>
      <c r="C11" s="2"/>
      <c r="D11" s="2"/>
      <c r="E11" s="2"/>
      <c r="F11" s="2"/>
      <c r="G11" s="2"/>
      <c r="H11" s="2"/>
      <c r="I11" s="3"/>
      <c r="J11" s="3"/>
      <c r="K11" s="3"/>
      <c r="L11" s="3"/>
      <c r="M11" s="2"/>
    </row>
    <row r="12" spans="1:13" ht="18.75">
      <c r="A12" s="2" t="s">
        <v>174</v>
      </c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2"/>
    </row>
    <row r="13" spans="1:13" ht="18.75">
      <c r="A13" s="2"/>
      <c r="B13" s="2" t="s">
        <v>29</v>
      </c>
      <c r="C13" s="2"/>
      <c r="D13" s="2"/>
      <c r="E13" s="2"/>
      <c r="F13" s="2"/>
      <c r="G13" s="2"/>
      <c r="H13" s="2"/>
      <c r="I13" s="3">
        <v>2645963</v>
      </c>
      <c r="J13" s="3"/>
      <c r="K13" s="3"/>
      <c r="L13" s="3">
        <f>SUM(I13:K13)</f>
        <v>2645963</v>
      </c>
      <c r="M13" s="2"/>
    </row>
    <row r="14" spans="1:13" ht="18.75">
      <c r="A14" s="2"/>
      <c r="B14" s="2" t="s">
        <v>175</v>
      </c>
      <c r="C14" s="2"/>
      <c r="D14" s="2"/>
      <c r="E14" s="2"/>
      <c r="F14" s="2"/>
      <c r="G14" s="2"/>
      <c r="H14" s="2"/>
      <c r="I14" s="3">
        <v>312527</v>
      </c>
      <c r="J14" s="3"/>
      <c r="K14" s="3"/>
      <c r="L14" s="3">
        <f>SUM(I14:K14)</f>
        <v>312527</v>
      </c>
      <c r="M14" s="2"/>
    </row>
    <row r="15" spans="1:13" ht="18.75">
      <c r="A15" s="2"/>
      <c r="B15" s="2" t="s">
        <v>176</v>
      </c>
      <c r="C15" s="2"/>
      <c r="D15" s="2"/>
      <c r="E15" s="2"/>
      <c r="F15" s="2"/>
      <c r="G15" s="2"/>
      <c r="H15" s="2"/>
      <c r="I15" s="3">
        <v>67399</v>
      </c>
      <c r="J15" s="3"/>
      <c r="K15" s="3"/>
      <c r="L15" s="3">
        <f>SUM(I15:K15)</f>
        <v>67399</v>
      </c>
      <c r="M15" s="2"/>
    </row>
    <row r="16" spans="1:13" ht="18.75">
      <c r="A16" s="2"/>
      <c r="B16" s="2" t="s">
        <v>177</v>
      </c>
      <c r="C16" s="2"/>
      <c r="D16" s="2"/>
      <c r="E16" s="2"/>
      <c r="F16" s="2"/>
      <c r="G16" s="2"/>
      <c r="H16" s="2"/>
      <c r="I16" s="3">
        <v>1932706</v>
      </c>
      <c r="J16" s="3">
        <v>160074</v>
      </c>
      <c r="K16" s="3"/>
      <c r="L16" s="3">
        <f>SUM(I16:K16)</f>
        <v>2092780</v>
      </c>
      <c r="M16" s="2"/>
    </row>
    <row r="17" spans="1:13" ht="18.75">
      <c r="A17" s="2"/>
      <c r="B17" s="2" t="s">
        <v>31</v>
      </c>
      <c r="C17" s="2"/>
      <c r="D17" s="2"/>
      <c r="E17" s="2"/>
      <c r="F17" s="2"/>
      <c r="G17" s="2"/>
      <c r="H17" s="2"/>
      <c r="I17" s="3">
        <v>2961374</v>
      </c>
      <c r="J17" s="3">
        <v>115423</v>
      </c>
      <c r="K17" s="3"/>
      <c r="L17" s="3">
        <f t="shared" ref="L17:M24" si="0">SUM(I17:K17)</f>
        <v>3076797</v>
      </c>
      <c r="M17" s="2"/>
    </row>
    <row r="18" spans="1:13" ht="18.75">
      <c r="A18" s="2"/>
      <c r="B18" s="2" t="s">
        <v>178</v>
      </c>
      <c r="C18" s="2"/>
      <c r="D18" s="2"/>
      <c r="E18" s="2"/>
      <c r="F18" s="2"/>
      <c r="G18" s="2"/>
      <c r="H18" s="2"/>
      <c r="I18" s="3">
        <v>342548</v>
      </c>
      <c r="J18" s="3"/>
      <c r="K18" s="3"/>
      <c r="L18" s="3">
        <f t="shared" si="0"/>
        <v>342548</v>
      </c>
      <c r="M18" s="2"/>
    </row>
    <row r="19" spans="1:13" ht="18.75">
      <c r="A19" s="2"/>
      <c r="B19" s="2" t="s">
        <v>17</v>
      </c>
      <c r="C19" s="2"/>
      <c r="D19" s="2"/>
      <c r="E19" s="2"/>
      <c r="F19" s="2"/>
      <c r="G19" s="2"/>
      <c r="H19" s="2"/>
      <c r="I19" s="3"/>
      <c r="J19" s="3"/>
      <c r="K19" s="3"/>
      <c r="L19" s="3">
        <f t="shared" si="0"/>
        <v>0</v>
      </c>
      <c r="M19" s="2"/>
    </row>
    <row r="20" spans="1:13" ht="18.75">
      <c r="A20" s="2"/>
      <c r="B20" s="2"/>
      <c r="C20" s="2" t="s">
        <v>179</v>
      </c>
      <c r="D20" s="2"/>
      <c r="E20" s="2"/>
      <c r="F20" s="2"/>
      <c r="G20" s="2"/>
      <c r="H20" s="2"/>
      <c r="I20" s="3">
        <v>25000</v>
      </c>
      <c r="J20" s="3"/>
      <c r="K20" s="3"/>
      <c r="L20" s="3">
        <f t="shared" si="0"/>
        <v>25000</v>
      </c>
      <c r="M20" s="2"/>
    </row>
    <row r="21" spans="1:13" ht="18.75">
      <c r="A21" s="2"/>
      <c r="B21" s="2"/>
      <c r="C21" s="2" t="s">
        <v>180</v>
      </c>
      <c r="D21" s="2"/>
      <c r="E21" s="2"/>
      <c r="F21" s="2"/>
      <c r="G21" s="2"/>
      <c r="H21" s="2"/>
      <c r="I21" s="3">
        <v>1130666</v>
      </c>
      <c r="J21" s="3"/>
      <c r="K21" s="3"/>
      <c r="L21" s="3">
        <f t="shared" si="0"/>
        <v>1130666</v>
      </c>
      <c r="M21" s="2"/>
    </row>
    <row r="22" spans="1:13" ht="18.75">
      <c r="A22" s="2"/>
      <c r="B22" s="2"/>
      <c r="C22" s="2" t="s">
        <v>181</v>
      </c>
      <c r="D22" s="2"/>
      <c r="E22" s="2"/>
      <c r="F22" s="2"/>
      <c r="G22" s="2"/>
      <c r="H22" s="2"/>
      <c r="I22" s="3">
        <v>558234</v>
      </c>
      <c r="J22" s="3"/>
      <c r="K22" s="3"/>
      <c r="L22" s="3">
        <f t="shared" si="0"/>
        <v>558234</v>
      </c>
      <c r="M22" s="3">
        <f t="shared" si="0"/>
        <v>558234</v>
      </c>
    </row>
    <row r="23" spans="1:13" ht="18.75">
      <c r="A23" s="2"/>
      <c r="B23" s="2"/>
      <c r="C23" s="2" t="s">
        <v>182</v>
      </c>
      <c r="D23" s="2"/>
      <c r="E23" s="2"/>
      <c r="F23" s="2"/>
      <c r="G23" s="2"/>
      <c r="H23" s="2"/>
      <c r="I23" s="3">
        <v>9140845</v>
      </c>
      <c r="J23" s="3"/>
      <c r="K23" s="3"/>
      <c r="L23" s="3">
        <f t="shared" si="0"/>
        <v>9140845</v>
      </c>
      <c r="M23" s="2"/>
    </row>
    <row r="24" spans="1:13" ht="18.75">
      <c r="A24" s="2"/>
      <c r="B24" s="2"/>
      <c r="C24" s="2" t="s">
        <v>73</v>
      </c>
      <c r="D24" s="2"/>
      <c r="E24" s="2"/>
      <c r="F24" s="2"/>
      <c r="G24" s="2"/>
      <c r="H24" s="2"/>
      <c r="I24" s="3">
        <v>1759091</v>
      </c>
      <c r="J24" s="3"/>
      <c r="K24" s="3"/>
      <c r="L24" s="3">
        <f t="shared" si="0"/>
        <v>1759091</v>
      </c>
      <c r="M24" s="2"/>
    </row>
    <row r="25" spans="1:13" ht="18.75">
      <c r="A25" s="2"/>
      <c r="B25" s="2"/>
      <c r="C25" s="1" t="s">
        <v>18</v>
      </c>
      <c r="D25" s="2"/>
      <c r="E25" s="2"/>
      <c r="F25" s="2"/>
      <c r="G25" s="2"/>
      <c r="H25" s="2"/>
      <c r="I25" s="13">
        <f>SUM(I13:I24)</f>
        <v>20876353</v>
      </c>
      <c r="J25" s="13">
        <f t="shared" ref="J25:L25" si="1">SUM(J13:J24)</f>
        <v>275497</v>
      </c>
      <c r="K25" s="13">
        <f t="shared" si="1"/>
        <v>0</v>
      </c>
      <c r="L25" s="13">
        <f t="shared" si="1"/>
        <v>21151850</v>
      </c>
      <c r="M25" s="2"/>
    </row>
    <row r="26" spans="1:13" ht="18.75">
      <c r="A26" s="2"/>
      <c r="B26" s="2"/>
      <c r="C26" s="1"/>
      <c r="D26" s="2"/>
      <c r="E26" s="2"/>
      <c r="F26" s="2"/>
      <c r="G26" s="2"/>
      <c r="H26" s="2"/>
      <c r="I26" s="15"/>
      <c r="J26" s="15"/>
      <c r="K26" s="15"/>
      <c r="L26" s="15"/>
      <c r="M26" s="2"/>
    </row>
    <row r="27" spans="1:13" ht="18.75">
      <c r="A27" s="2" t="s">
        <v>19</v>
      </c>
      <c r="B27" s="2"/>
      <c r="C27" s="2"/>
      <c r="D27" s="2"/>
      <c r="E27" s="2"/>
      <c r="F27" s="2"/>
      <c r="G27" s="2"/>
      <c r="H27" s="2"/>
      <c r="I27" s="3"/>
      <c r="J27" s="3"/>
      <c r="K27" s="3"/>
      <c r="L27" s="3"/>
      <c r="M27" s="2"/>
    </row>
    <row r="28" spans="1:13" ht="18.75">
      <c r="A28" s="2"/>
      <c r="B28" s="2" t="s">
        <v>33</v>
      </c>
      <c r="C28" s="2"/>
      <c r="D28" s="2"/>
      <c r="E28" s="2"/>
      <c r="F28" s="2"/>
      <c r="G28" s="2"/>
      <c r="H28" s="2"/>
      <c r="I28" s="3">
        <v>1637164</v>
      </c>
      <c r="J28" s="3">
        <v>48794</v>
      </c>
      <c r="K28" s="3"/>
      <c r="L28" s="3">
        <f>SUM(I28:K28)</f>
        <v>1685958</v>
      </c>
      <c r="M28" s="3">
        <f>SUM(L13-L28)</f>
        <v>960005</v>
      </c>
    </row>
    <row r="29" spans="1:13" ht="18.75">
      <c r="A29" s="2"/>
      <c r="B29" s="2" t="s">
        <v>175</v>
      </c>
      <c r="C29" s="2"/>
      <c r="D29" s="2"/>
      <c r="E29" s="2"/>
      <c r="F29" s="2"/>
      <c r="G29" s="2"/>
      <c r="H29" s="2"/>
      <c r="I29" s="3">
        <v>258438</v>
      </c>
      <c r="J29" s="3">
        <v>21858</v>
      </c>
      <c r="K29" s="3"/>
      <c r="L29" s="3">
        <f t="shared" ref="L29:L38" si="2">SUM(I29:K29)</f>
        <v>280296</v>
      </c>
      <c r="M29" s="3">
        <f t="shared" ref="M29:M38" si="3">SUM(L14-L29)</f>
        <v>32231</v>
      </c>
    </row>
    <row r="30" spans="1:13" ht="18.75">
      <c r="A30" s="2"/>
      <c r="B30" s="2" t="s">
        <v>176</v>
      </c>
      <c r="C30" s="2"/>
      <c r="D30" s="2"/>
      <c r="E30" s="2"/>
      <c r="F30" s="2"/>
      <c r="G30" s="2"/>
      <c r="H30" s="2"/>
      <c r="I30" s="3">
        <v>38879</v>
      </c>
      <c r="J30" s="3">
        <v>6254</v>
      </c>
      <c r="K30" s="3"/>
      <c r="L30" s="3">
        <f t="shared" si="2"/>
        <v>45133</v>
      </c>
      <c r="M30" s="3">
        <f t="shared" si="3"/>
        <v>22266</v>
      </c>
    </row>
    <row r="31" spans="1:13" ht="18.75">
      <c r="A31" s="2"/>
      <c r="B31" s="2" t="s">
        <v>177</v>
      </c>
      <c r="C31" s="2"/>
      <c r="D31" s="2"/>
      <c r="E31" s="2"/>
      <c r="F31" s="2"/>
      <c r="G31" s="2"/>
      <c r="H31" s="2"/>
      <c r="I31" s="3">
        <v>873317</v>
      </c>
      <c r="J31" s="3">
        <v>172361</v>
      </c>
      <c r="K31" s="3"/>
      <c r="L31" s="3">
        <f t="shared" si="2"/>
        <v>1045678</v>
      </c>
      <c r="M31" s="3">
        <f t="shared" si="3"/>
        <v>1047102</v>
      </c>
    </row>
    <row r="32" spans="1:13" ht="18.75">
      <c r="A32" s="2"/>
      <c r="B32" s="2" t="s">
        <v>31</v>
      </c>
      <c r="C32" s="2"/>
      <c r="D32" s="2"/>
      <c r="E32" s="2"/>
      <c r="F32" s="2"/>
      <c r="G32" s="2"/>
      <c r="H32" s="2"/>
      <c r="I32" s="3">
        <v>2086373</v>
      </c>
      <c r="J32" s="3">
        <v>190015</v>
      </c>
      <c r="K32" s="3"/>
      <c r="L32" s="3">
        <f t="shared" si="2"/>
        <v>2276388</v>
      </c>
      <c r="M32" s="3">
        <f t="shared" si="3"/>
        <v>800409</v>
      </c>
    </row>
    <row r="33" spans="1:13" ht="18.75">
      <c r="A33" s="2"/>
      <c r="B33" s="2" t="s">
        <v>178</v>
      </c>
      <c r="C33" s="2"/>
      <c r="D33" s="2"/>
      <c r="E33" s="2"/>
      <c r="F33" s="2"/>
      <c r="G33" s="2"/>
      <c r="H33" s="2"/>
      <c r="I33" s="3">
        <v>342548</v>
      </c>
      <c r="J33" s="3"/>
      <c r="K33" s="3"/>
      <c r="L33" s="3">
        <f t="shared" si="2"/>
        <v>342548</v>
      </c>
      <c r="M33" s="3">
        <f t="shared" si="3"/>
        <v>0</v>
      </c>
    </row>
    <row r="34" spans="1:13" ht="18.75">
      <c r="A34" s="2"/>
      <c r="B34" s="2" t="s">
        <v>17</v>
      </c>
      <c r="C34" s="2"/>
      <c r="D34" s="2"/>
      <c r="E34" s="2"/>
      <c r="F34" s="2"/>
      <c r="G34" s="2"/>
      <c r="H34" s="2"/>
      <c r="I34" s="3"/>
      <c r="J34" s="3"/>
      <c r="K34" s="3"/>
      <c r="L34" s="3">
        <f t="shared" si="2"/>
        <v>0</v>
      </c>
      <c r="M34" s="3">
        <f t="shared" si="3"/>
        <v>0</v>
      </c>
    </row>
    <row r="35" spans="1:13" ht="18.75">
      <c r="A35" s="2"/>
      <c r="B35" s="2"/>
      <c r="C35" s="2" t="s">
        <v>179</v>
      </c>
      <c r="D35" s="2"/>
      <c r="E35" s="2"/>
      <c r="F35" s="2"/>
      <c r="G35" s="2"/>
      <c r="H35" s="2"/>
      <c r="I35" s="3">
        <v>24688</v>
      </c>
      <c r="J35" s="3">
        <v>312</v>
      </c>
      <c r="K35" s="3"/>
      <c r="L35" s="3">
        <f t="shared" si="2"/>
        <v>25000</v>
      </c>
      <c r="M35" s="3">
        <f>SUM(L20-L35)</f>
        <v>0</v>
      </c>
    </row>
    <row r="36" spans="1:13" ht="18.75">
      <c r="A36" s="2"/>
      <c r="B36" s="2"/>
      <c r="C36" s="2" t="s">
        <v>180</v>
      </c>
      <c r="D36" s="2"/>
      <c r="E36" s="2"/>
      <c r="F36" s="2"/>
      <c r="G36" s="2"/>
      <c r="H36" s="2"/>
      <c r="I36" s="3">
        <v>233307</v>
      </c>
      <c r="J36" s="3">
        <v>28266</v>
      </c>
      <c r="K36" s="3"/>
      <c r="L36" s="3">
        <f t="shared" si="2"/>
        <v>261573</v>
      </c>
      <c r="M36" s="3">
        <f>SUM(L21-L36)</f>
        <v>869093</v>
      </c>
    </row>
    <row r="37" spans="1:13" ht="18.75">
      <c r="A37" s="2"/>
      <c r="B37" s="2"/>
      <c r="C37" s="2" t="s">
        <v>182</v>
      </c>
      <c r="D37" s="2"/>
      <c r="E37" s="2"/>
      <c r="F37" s="2"/>
      <c r="G37" s="2"/>
      <c r="H37" s="2"/>
      <c r="I37" s="3">
        <v>8468531</v>
      </c>
      <c r="J37" s="3">
        <v>35595</v>
      </c>
      <c r="K37" s="3"/>
      <c r="L37" s="3">
        <f t="shared" si="2"/>
        <v>8504126</v>
      </c>
      <c r="M37" s="3">
        <f>SUM(L23-L37)</f>
        <v>636719</v>
      </c>
    </row>
    <row r="38" spans="1:13" ht="18.75">
      <c r="A38" s="2"/>
      <c r="B38" s="2"/>
      <c r="C38" s="2" t="s">
        <v>73</v>
      </c>
      <c r="D38" s="2"/>
      <c r="E38" s="2"/>
      <c r="F38" s="2"/>
      <c r="G38" s="2"/>
      <c r="H38" s="2"/>
      <c r="I38" s="3">
        <v>1194817</v>
      </c>
      <c r="J38" s="3">
        <v>27783</v>
      </c>
      <c r="K38" s="3"/>
      <c r="L38" s="3">
        <f t="shared" si="2"/>
        <v>1222600</v>
      </c>
      <c r="M38" s="3">
        <f>SUM(L24-L38)</f>
        <v>536491</v>
      </c>
    </row>
    <row r="39" spans="1:13" ht="18.75">
      <c r="A39" s="1"/>
      <c r="B39" s="1"/>
      <c r="C39" s="1" t="s">
        <v>20</v>
      </c>
      <c r="D39" s="1"/>
      <c r="E39" s="1"/>
      <c r="F39" s="1"/>
      <c r="G39" s="1"/>
      <c r="H39" s="1"/>
      <c r="I39" s="10">
        <f>SUM(I28:I38)</f>
        <v>15158062</v>
      </c>
      <c r="J39" s="10">
        <f t="shared" ref="J39:L39" si="4">SUM(J28:J38)</f>
        <v>531238</v>
      </c>
      <c r="K39" s="10">
        <f t="shared" si="4"/>
        <v>0</v>
      </c>
      <c r="L39" s="10">
        <f t="shared" si="4"/>
        <v>15689300</v>
      </c>
      <c r="M39" s="1"/>
    </row>
    <row r="40" spans="1:13" ht="18.75">
      <c r="A40" s="1"/>
      <c r="B40" s="1"/>
      <c r="C40" s="1"/>
      <c r="D40" s="1"/>
      <c r="E40" s="1"/>
      <c r="F40" s="1"/>
      <c r="G40" s="1"/>
      <c r="H40" s="1"/>
      <c r="I40" s="10"/>
      <c r="J40" s="10"/>
      <c r="K40" s="10"/>
      <c r="L40" s="10"/>
      <c r="M40" s="1"/>
    </row>
    <row r="41" spans="1:13" ht="18.75">
      <c r="A41" s="1"/>
      <c r="B41" s="1" t="s">
        <v>21</v>
      </c>
      <c r="C41" s="1"/>
      <c r="D41" s="1"/>
      <c r="E41" s="1"/>
      <c r="F41" s="1"/>
      <c r="G41" s="1"/>
      <c r="H41" s="1"/>
      <c r="I41" s="10">
        <f t="shared" ref="I41:K41" si="5">SUM(I25-I39)</f>
        <v>5718291</v>
      </c>
      <c r="J41" s="10">
        <f t="shared" si="5"/>
        <v>-255741</v>
      </c>
      <c r="K41" s="10">
        <f t="shared" si="5"/>
        <v>0</v>
      </c>
      <c r="L41" s="10">
        <f>SUM(L25-L39)</f>
        <v>5462550</v>
      </c>
      <c r="M41" s="1"/>
    </row>
    <row r="42" spans="1:13" ht="18.75">
      <c r="A42" s="1"/>
      <c r="B42" s="1"/>
      <c r="C42" s="1"/>
      <c r="D42" s="1"/>
      <c r="E42" s="1"/>
      <c r="F42" s="1"/>
      <c r="G42" s="1"/>
      <c r="H42" s="1"/>
      <c r="I42" s="30"/>
      <c r="J42" s="30"/>
      <c r="K42" s="30"/>
      <c r="L42" s="30"/>
      <c r="M42" s="1"/>
    </row>
    <row r="43" spans="1:13" ht="18.75">
      <c r="A43" s="2"/>
      <c r="B43" s="1" t="s">
        <v>22</v>
      </c>
      <c r="C43" s="2"/>
      <c r="D43" s="2"/>
      <c r="E43" s="2"/>
      <c r="F43" s="2"/>
      <c r="G43" s="2"/>
      <c r="H43" s="2"/>
      <c r="I43" s="14">
        <f>I10+I41</f>
        <v>6358983</v>
      </c>
      <c r="J43" s="14">
        <f>J10+J41</f>
        <v>-200537</v>
      </c>
      <c r="K43" s="14">
        <f>K10+K41</f>
        <v>0</v>
      </c>
      <c r="L43" s="14">
        <f>L10+L41</f>
        <v>6158446</v>
      </c>
      <c r="M43" s="3">
        <f>SUM(M7:M38)</f>
        <v>6158446</v>
      </c>
    </row>
    <row r="44" spans="1:13" ht="18.75">
      <c r="A44" s="2"/>
      <c r="B44" s="1"/>
      <c r="C44" s="2"/>
      <c r="D44" s="2"/>
      <c r="E44" s="2"/>
      <c r="F44" s="2"/>
      <c r="G44" s="2"/>
      <c r="H44" s="2"/>
      <c r="I44" s="15"/>
      <c r="J44" s="15"/>
      <c r="K44" s="15"/>
      <c r="L44" s="15"/>
      <c r="M44" s="2"/>
    </row>
    <row r="45" spans="1:13" ht="18.75">
      <c r="A45" s="2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2"/>
    </row>
    <row r="46" spans="1:13" ht="18.75">
      <c r="A46" s="2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2"/>
    </row>
    <row r="47" spans="1:13" ht="18.75">
      <c r="A47" s="2"/>
      <c r="B47" s="2"/>
      <c r="C47" s="2"/>
      <c r="D47" s="2"/>
      <c r="E47" s="2"/>
      <c r="F47" s="2"/>
      <c r="G47" s="2"/>
      <c r="H47" s="2"/>
      <c r="I47" s="3"/>
      <c r="J47" s="3"/>
      <c r="K47" s="3"/>
      <c r="L47" s="3"/>
      <c r="M47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7"/>
  <sheetViews>
    <sheetView zoomScaleNormal="100" zoomScalePageLayoutView="85" workbookViewId="0">
      <selection activeCell="R15" sqref="R15"/>
    </sheetView>
  </sheetViews>
  <sheetFormatPr defaultColWidth="8.85546875" defaultRowHeight="15"/>
  <cols>
    <col min="3" max="3" width="7.28515625" customWidth="1"/>
    <col min="4" max="4" width="24.85546875" customWidth="1"/>
    <col min="6" max="6" width="7.140625" customWidth="1"/>
    <col min="7" max="7" width="5" customWidth="1"/>
    <col min="8" max="8" width="5.7109375" customWidth="1"/>
    <col min="9" max="9" width="22.140625" customWidth="1"/>
    <col min="10" max="10" width="19.140625" customWidth="1"/>
    <col min="11" max="11" width="17.140625" customWidth="1"/>
    <col min="12" max="12" width="19.28515625" customWidth="1"/>
    <col min="13" max="13" width="19.140625" customWidth="1"/>
  </cols>
  <sheetData>
    <row r="1" spans="1:14" ht="18.75">
      <c r="A1" s="41"/>
      <c r="B1" s="41"/>
      <c r="C1" s="41"/>
      <c r="D1" s="42" t="s">
        <v>183</v>
      </c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8.75">
      <c r="A2" s="41"/>
      <c r="B2" s="41"/>
      <c r="C2" s="41"/>
      <c r="D2" s="43" t="s">
        <v>1</v>
      </c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.75">
      <c r="A3" s="41"/>
      <c r="B3" s="41"/>
      <c r="C3" s="41"/>
      <c r="D3" s="42" t="s">
        <v>184</v>
      </c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4" ht="18.7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spans="1:14" ht="18.75">
      <c r="A5" s="41"/>
      <c r="B5" s="41"/>
      <c r="C5" s="41"/>
      <c r="D5" s="41"/>
      <c r="E5" s="41"/>
      <c r="F5" s="41"/>
      <c r="G5" s="41"/>
      <c r="H5" s="41"/>
      <c r="I5" s="44" t="s">
        <v>3</v>
      </c>
      <c r="J5" s="44" t="s">
        <v>63</v>
      </c>
      <c r="K5" s="44" t="s">
        <v>68</v>
      </c>
      <c r="L5" s="44" t="s">
        <v>6</v>
      </c>
      <c r="M5" s="44" t="s">
        <v>7</v>
      </c>
      <c r="N5" s="41"/>
    </row>
    <row r="6" spans="1:14" ht="18.75">
      <c r="A6" s="41"/>
      <c r="B6" s="41"/>
      <c r="C6" s="41"/>
      <c r="D6" s="41"/>
      <c r="E6" s="41"/>
      <c r="F6" s="41"/>
      <c r="G6" s="41"/>
      <c r="H6" s="41"/>
      <c r="I6" s="45"/>
      <c r="J6" s="46"/>
      <c r="K6" s="46"/>
      <c r="L6" s="46"/>
      <c r="M6" s="46"/>
      <c r="N6" s="41"/>
    </row>
    <row r="7" spans="1:14" ht="18.75">
      <c r="A7" s="44" t="s">
        <v>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1:14" ht="18.75">
      <c r="A8" s="41"/>
      <c r="B8" s="41" t="s">
        <v>9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4" ht="18.75">
      <c r="A9" s="41"/>
      <c r="B9" s="41"/>
      <c r="C9" s="41" t="s">
        <v>10</v>
      </c>
      <c r="D9" s="41"/>
      <c r="E9" s="41"/>
      <c r="F9" s="41"/>
      <c r="G9" s="41"/>
      <c r="H9" s="41"/>
      <c r="I9" s="41">
        <v>259230</v>
      </c>
      <c r="J9" s="41"/>
      <c r="K9" s="41"/>
      <c r="L9" s="41">
        <f>SUM(I9:K9)</f>
        <v>259230</v>
      </c>
      <c r="M9" s="41">
        <f>L9</f>
        <v>259230</v>
      </c>
      <c r="N9" s="41"/>
    </row>
    <row r="10" spans="1:14" ht="18.75">
      <c r="A10" s="41"/>
      <c r="B10" s="41"/>
      <c r="C10" s="41"/>
      <c r="D10" s="44" t="s">
        <v>12</v>
      </c>
      <c r="E10" s="41"/>
      <c r="F10" s="41"/>
      <c r="G10" s="41"/>
      <c r="H10" s="41"/>
      <c r="I10" s="46">
        <f>SUM(I9)</f>
        <v>259230</v>
      </c>
      <c r="J10" s="46">
        <f t="shared" ref="J10:L10" si="0">SUM(J9)</f>
        <v>0</v>
      </c>
      <c r="K10" s="46">
        <f t="shared" si="0"/>
        <v>0</v>
      </c>
      <c r="L10" s="46">
        <f t="shared" si="0"/>
        <v>259230</v>
      </c>
      <c r="M10" s="41"/>
      <c r="N10" s="41"/>
    </row>
    <row r="11" spans="1:14" ht="18.75">
      <c r="A11" s="41"/>
      <c r="B11" s="41"/>
      <c r="C11" s="41"/>
      <c r="D11" s="41"/>
      <c r="E11" s="41"/>
      <c r="F11" s="41"/>
      <c r="G11" s="41"/>
      <c r="H11" s="41"/>
      <c r="I11" s="46"/>
      <c r="J11" s="46"/>
      <c r="K11" s="46"/>
      <c r="L11" s="46"/>
      <c r="M11" s="41"/>
      <c r="N11" s="41"/>
    </row>
    <row r="12" spans="1:14" ht="18.75">
      <c r="A12" s="44" t="s">
        <v>13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14" ht="18.75">
      <c r="A13" s="41"/>
      <c r="B13" s="41" t="s">
        <v>33</v>
      </c>
      <c r="C13" s="41"/>
      <c r="D13" s="41"/>
      <c r="E13" s="41"/>
      <c r="F13" s="41"/>
      <c r="G13" s="41"/>
      <c r="H13" s="41"/>
      <c r="I13" s="41">
        <v>9943571</v>
      </c>
      <c r="J13" s="41"/>
      <c r="K13" s="41"/>
      <c r="L13" s="41">
        <f>SUM(I13:J13)</f>
        <v>9943571</v>
      </c>
      <c r="M13" s="41"/>
      <c r="N13" s="41"/>
    </row>
    <row r="14" spans="1:14" ht="18.75">
      <c r="A14" s="41"/>
      <c r="B14" s="41" t="s">
        <v>185</v>
      </c>
      <c r="C14" s="41"/>
      <c r="D14" s="41"/>
      <c r="E14" s="41"/>
      <c r="F14" s="41"/>
      <c r="G14" s="41"/>
      <c r="H14" s="41"/>
      <c r="I14" s="41">
        <v>-4568786</v>
      </c>
      <c r="J14" s="41">
        <v>-207415</v>
      </c>
      <c r="K14" s="41"/>
      <c r="L14" s="41">
        <f>SUM(I14:J14)</f>
        <v>-4776201</v>
      </c>
      <c r="M14" s="41"/>
      <c r="N14" s="41"/>
    </row>
    <row r="15" spans="1:14" ht="18.75">
      <c r="A15" s="41"/>
      <c r="B15" s="41"/>
      <c r="C15" s="41"/>
      <c r="D15" s="44" t="s">
        <v>186</v>
      </c>
      <c r="E15" s="41"/>
      <c r="F15" s="41"/>
      <c r="G15" s="41"/>
      <c r="H15" s="41"/>
      <c r="I15" s="45">
        <f>SUM(I13:I14)</f>
        <v>5374785</v>
      </c>
      <c r="J15" s="45">
        <f t="shared" ref="J15:L15" si="1">SUM(J13:J14)</f>
        <v>-207415</v>
      </c>
      <c r="K15" s="45">
        <f t="shared" si="1"/>
        <v>0</v>
      </c>
      <c r="L15" s="45">
        <f t="shared" si="1"/>
        <v>5167370</v>
      </c>
      <c r="M15" s="41">
        <f>SUM(L13:L14)</f>
        <v>5167370</v>
      </c>
      <c r="N15" s="41"/>
    </row>
    <row r="16" spans="1:14" ht="18.75">
      <c r="A16" s="41"/>
      <c r="B16" s="41"/>
      <c r="C16" s="41"/>
      <c r="D16" s="41"/>
      <c r="E16" s="41"/>
      <c r="F16" s="41"/>
      <c r="G16" s="41"/>
      <c r="H16" s="41"/>
      <c r="I16" s="47"/>
      <c r="J16" s="47"/>
      <c r="K16" s="47"/>
      <c r="L16" s="47"/>
      <c r="M16" s="41"/>
      <c r="N16" s="41"/>
    </row>
    <row r="17" spans="1:14" ht="18.75">
      <c r="A17" s="41"/>
      <c r="B17" s="41" t="s">
        <v>187</v>
      </c>
      <c r="C17" s="41"/>
      <c r="D17" s="41"/>
      <c r="E17" s="41"/>
      <c r="F17" s="41"/>
      <c r="G17" s="41"/>
      <c r="H17" s="41"/>
      <c r="I17" s="41">
        <v>4554913</v>
      </c>
      <c r="J17" s="41">
        <v>26880</v>
      </c>
      <c r="K17" s="41">
        <v>-345795</v>
      </c>
      <c r="L17" s="41">
        <f>SUM(I17:K17)</f>
        <v>4235998</v>
      </c>
      <c r="M17" s="41"/>
      <c r="N17" s="41"/>
    </row>
    <row r="18" spans="1:14" ht="18.75">
      <c r="A18" s="41"/>
      <c r="B18" s="41" t="s">
        <v>185</v>
      </c>
      <c r="C18" s="41"/>
      <c r="D18" s="41"/>
      <c r="E18" s="41"/>
      <c r="F18" s="41"/>
      <c r="G18" s="41"/>
      <c r="H18" s="41"/>
      <c r="I18" s="41">
        <v>-2546365</v>
      </c>
      <c r="J18" s="41">
        <v>-200401</v>
      </c>
      <c r="K18" s="41">
        <v>345795</v>
      </c>
      <c r="L18" s="41">
        <f>SUM(I18:K18)</f>
        <v>-2400971</v>
      </c>
      <c r="M18" s="41"/>
      <c r="N18" s="41"/>
    </row>
    <row r="19" spans="1:14" ht="18.75">
      <c r="A19" s="41"/>
      <c r="B19" s="41"/>
      <c r="C19" s="41"/>
      <c r="D19" s="44" t="s">
        <v>188</v>
      </c>
      <c r="E19" s="41"/>
      <c r="F19" s="41"/>
      <c r="G19" s="41"/>
      <c r="H19" s="41"/>
      <c r="I19" s="45">
        <f>SUM(I17:I18)</f>
        <v>2008548</v>
      </c>
      <c r="J19" s="45">
        <f t="shared" ref="J19:L19" si="2">SUM(J17:J18)</f>
        <v>-173521</v>
      </c>
      <c r="K19" s="45">
        <f t="shared" si="2"/>
        <v>0</v>
      </c>
      <c r="L19" s="45">
        <f t="shared" si="2"/>
        <v>1835027</v>
      </c>
      <c r="M19" s="41">
        <f>SUM(L17:L18)</f>
        <v>1835027</v>
      </c>
      <c r="N19" s="41"/>
    </row>
    <row r="20" spans="1:14" ht="18.75">
      <c r="A20" s="41"/>
      <c r="B20" s="41"/>
      <c r="C20" s="41"/>
      <c r="D20" s="41"/>
      <c r="E20" s="41"/>
      <c r="F20" s="41"/>
      <c r="G20" s="41"/>
      <c r="H20" s="41"/>
      <c r="I20" s="46"/>
      <c r="J20" s="46"/>
      <c r="K20" s="46"/>
      <c r="L20" s="46"/>
      <c r="M20" s="41"/>
      <c r="N20" s="41"/>
    </row>
    <row r="21" spans="1:14" ht="18.75">
      <c r="A21" s="41"/>
      <c r="B21" s="41" t="s">
        <v>189</v>
      </c>
      <c r="C21" s="41"/>
      <c r="D21" s="41"/>
      <c r="E21" s="41"/>
      <c r="F21" s="41"/>
      <c r="G21" s="41"/>
      <c r="H21" s="41"/>
      <c r="I21" s="41">
        <v>5904195</v>
      </c>
      <c r="J21" s="41">
        <v>2007111</v>
      </c>
      <c r="K21" s="41"/>
      <c r="L21" s="41">
        <f>SUM(I21:J21)</f>
        <v>7911306</v>
      </c>
      <c r="M21" s="41"/>
      <c r="N21" s="41"/>
    </row>
    <row r="22" spans="1:14" ht="18.75">
      <c r="A22" s="41"/>
      <c r="B22" s="41" t="s">
        <v>185</v>
      </c>
      <c r="C22" s="41"/>
      <c r="D22" s="41"/>
      <c r="E22" s="41"/>
      <c r="F22" s="41"/>
      <c r="G22" s="41"/>
      <c r="H22" s="41"/>
      <c r="I22" s="41">
        <v>-685009</v>
      </c>
      <c r="J22" s="41">
        <v>-400064</v>
      </c>
      <c r="K22" s="41"/>
      <c r="L22" s="145">
        <f>SUM(I22:J22)</f>
        <v>-1085073</v>
      </c>
      <c r="M22" s="41"/>
      <c r="N22" s="41"/>
    </row>
    <row r="23" spans="1:14" ht="18.75">
      <c r="A23" s="41"/>
      <c r="B23" s="41"/>
      <c r="C23" s="41"/>
      <c r="D23" s="44" t="s">
        <v>190</v>
      </c>
      <c r="E23" s="41"/>
      <c r="F23" s="41"/>
      <c r="G23" s="41"/>
      <c r="H23" s="41"/>
      <c r="I23" s="144">
        <f t="shared" ref="I23:K23" si="3">SUM(I21:I22)</f>
        <v>5219186</v>
      </c>
      <c r="J23" s="144">
        <f t="shared" si="3"/>
        <v>1607047</v>
      </c>
      <c r="K23" s="144">
        <f t="shared" si="3"/>
        <v>0</v>
      </c>
      <c r="L23" s="41">
        <f>SUM(I23:J23)</f>
        <v>6826233</v>
      </c>
      <c r="M23" s="41">
        <f>SUM(L21:L22)</f>
        <v>6826233</v>
      </c>
      <c r="N23" s="41"/>
    </row>
    <row r="24" spans="1:14" ht="18.75">
      <c r="A24" s="41"/>
      <c r="B24" s="44" t="s">
        <v>191</v>
      </c>
      <c r="C24" s="41"/>
      <c r="D24" s="41"/>
      <c r="E24" s="41"/>
      <c r="F24" s="41"/>
      <c r="G24" s="41"/>
      <c r="H24" s="41"/>
      <c r="I24" s="45">
        <f>SUM(I15+I19+I23)</f>
        <v>12602519</v>
      </c>
      <c r="J24" s="45">
        <f t="shared" ref="J24:L24" si="4">SUM(J15+J19+J23)</f>
        <v>1226111</v>
      </c>
      <c r="K24" s="45">
        <f t="shared" si="4"/>
        <v>0</v>
      </c>
      <c r="L24" s="45">
        <f t="shared" si="4"/>
        <v>13828630</v>
      </c>
      <c r="M24" s="41"/>
      <c r="N24" s="41"/>
    </row>
    <row r="25" spans="1:14" ht="18.75">
      <c r="A25" s="41"/>
      <c r="B25" s="44" t="s">
        <v>95</v>
      </c>
      <c r="C25" s="41"/>
      <c r="D25" s="41"/>
      <c r="E25" s="41"/>
      <c r="F25" s="41"/>
      <c r="G25" s="41"/>
      <c r="H25" s="41"/>
      <c r="I25" s="45">
        <f t="shared" ref="I25:J25" si="5">SUM(I10+I24)</f>
        <v>12861749</v>
      </c>
      <c r="J25" s="45">
        <f t="shared" si="5"/>
        <v>1226111</v>
      </c>
      <c r="K25" s="45">
        <f>SUM(K10+K24)</f>
        <v>0</v>
      </c>
      <c r="L25" s="45">
        <f>SUM(L10+L24)</f>
        <v>14087860</v>
      </c>
      <c r="M25" s="41">
        <f>SUM(M9:M23)</f>
        <v>14087860</v>
      </c>
      <c r="N25" s="41"/>
    </row>
    <row r="26" spans="1:14" ht="18.7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14" ht="18.7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O44"/>
  <sheetViews>
    <sheetView topLeftCell="D30" zoomScale="80" zoomScaleNormal="80" zoomScalePageLayoutView="70" workbookViewId="0">
      <selection activeCell="N27" sqref="N27"/>
    </sheetView>
  </sheetViews>
  <sheetFormatPr defaultColWidth="8.85546875" defaultRowHeight="15"/>
  <cols>
    <col min="1" max="1" width="10" customWidth="1"/>
    <col min="9" max="9" width="17.28515625" customWidth="1"/>
    <col min="10" max="10" width="17" customWidth="1"/>
    <col min="11" max="11" width="15.42578125" customWidth="1"/>
    <col min="12" max="12" width="21.42578125" customWidth="1"/>
    <col min="13" max="13" width="17" customWidth="1"/>
    <col min="14" max="14" width="25.28515625" customWidth="1"/>
    <col min="15" max="15" width="29.42578125" customWidth="1"/>
  </cols>
  <sheetData>
    <row r="1" spans="1:13" ht="18.75">
      <c r="A1" s="2"/>
      <c r="B1" s="2"/>
      <c r="C1" s="2"/>
      <c r="D1" s="159" t="s">
        <v>192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6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3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2"/>
    </row>
    <row r="10" spans="1:13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876298</v>
      </c>
      <c r="J10" s="3">
        <v>5000</v>
      </c>
      <c r="K10" s="3"/>
      <c r="L10" s="3">
        <f>SUM(I10:K10)</f>
        <v>881298</v>
      </c>
      <c r="M10" s="3">
        <f>SUM(L10)</f>
        <v>881298</v>
      </c>
    </row>
    <row r="11" spans="1:13" ht="18.75">
      <c r="A11" s="2"/>
      <c r="B11" s="2" t="s">
        <v>11</v>
      </c>
      <c r="C11" s="2"/>
      <c r="D11" s="2"/>
      <c r="E11" s="2"/>
      <c r="F11" s="2"/>
      <c r="G11" s="2"/>
      <c r="H11" s="2"/>
      <c r="I11" s="3">
        <v>3632280</v>
      </c>
      <c r="J11" s="3">
        <v>22622676</v>
      </c>
      <c r="K11" s="3">
        <v>-336299</v>
      </c>
      <c r="L11" s="3">
        <f>SUM(I11:K11)</f>
        <v>25918657</v>
      </c>
      <c r="M11" s="3">
        <f t="shared" ref="M11:M16" si="0">SUM(L11)</f>
        <v>25918657</v>
      </c>
    </row>
    <row r="12" spans="1:13" ht="18.75">
      <c r="A12" s="2" t="s">
        <v>193</v>
      </c>
      <c r="B12" s="2"/>
      <c r="C12" s="2"/>
      <c r="D12" s="2"/>
      <c r="E12" s="2"/>
      <c r="F12" s="2"/>
      <c r="G12" s="2"/>
      <c r="H12" s="2"/>
      <c r="I12" s="3"/>
      <c r="J12" s="3"/>
      <c r="K12" s="3"/>
    </row>
    <row r="13" spans="1:13" ht="18.75">
      <c r="A13" s="2"/>
      <c r="B13" s="2" t="s">
        <v>14</v>
      </c>
      <c r="C13" s="2"/>
      <c r="D13" s="2"/>
      <c r="E13" s="2"/>
      <c r="F13" s="2"/>
      <c r="G13" s="2"/>
      <c r="H13" s="2"/>
      <c r="I13" s="3">
        <v>13449894</v>
      </c>
      <c r="J13" s="3"/>
      <c r="K13" s="3"/>
      <c r="L13" s="3">
        <f t="shared" ref="L13:L16" si="1">SUM(I13:K13)</f>
        <v>13449894</v>
      </c>
      <c r="M13" s="3"/>
    </row>
    <row r="14" spans="1:13" ht="18.75">
      <c r="A14" s="2"/>
      <c r="B14" s="2" t="s">
        <v>17</v>
      </c>
      <c r="C14" s="2"/>
      <c r="D14" s="2"/>
      <c r="E14" s="2"/>
      <c r="F14" s="2"/>
      <c r="G14" s="2"/>
      <c r="H14" s="2"/>
      <c r="I14" s="3">
        <v>21491821</v>
      </c>
      <c r="J14" s="3">
        <v>680445</v>
      </c>
      <c r="K14" s="3"/>
      <c r="L14" s="3">
        <f t="shared" si="1"/>
        <v>22172266</v>
      </c>
      <c r="M14" s="3"/>
    </row>
    <row r="15" spans="1:13" ht="20.25" customHeight="1">
      <c r="A15" s="2"/>
      <c r="B15" s="2" t="s">
        <v>31</v>
      </c>
      <c r="C15" s="2"/>
      <c r="D15" s="2"/>
      <c r="E15" s="2"/>
      <c r="F15" s="2"/>
      <c r="G15" s="2"/>
      <c r="H15" s="2"/>
      <c r="I15" s="3">
        <v>704276</v>
      </c>
      <c r="J15" s="3"/>
      <c r="K15" s="3"/>
      <c r="L15" s="3">
        <f t="shared" si="1"/>
        <v>704276</v>
      </c>
      <c r="M15" s="3"/>
    </row>
    <row r="16" spans="1:13" ht="18.75">
      <c r="A16" s="2"/>
      <c r="B16" s="2" t="s">
        <v>65</v>
      </c>
      <c r="C16" s="2"/>
      <c r="D16" s="2"/>
      <c r="E16" s="2"/>
      <c r="F16" s="2"/>
      <c r="G16" s="2"/>
      <c r="H16" s="2"/>
      <c r="I16" s="3">
        <v>6398790</v>
      </c>
      <c r="J16" s="3">
        <v>299345</v>
      </c>
      <c r="K16" s="3">
        <v>-65049</v>
      </c>
      <c r="L16" s="3">
        <f t="shared" si="1"/>
        <v>6633086</v>
      </c>
      <c r="M16" s="3"/>
    </row>
    <row r="17" spans="1:13" ht="18.75">
      <c r="A17" s="1"/>
      <c r="B17" s="1"/>
      <c r="C17" s="1" t="s">
        <v>194</v>
      </c>
      <c r="D17" s="1"/>
      <c r="E17" s="1"/>
      <c r="F17" s="1"/>
      <c r="G17" s="1"/>
      <c r="H17" s="1"/>
      <c r="I17" s="12">
        <f>SUM(I10:I16)</f>
        <v>46553359</v>
      </c>
      <c r="J17" s="12">
        <f t="shared" ref="J17:L17" si="2">SUM(J10:J16)</f>
        <v>23607466</v>
      </c>
      <c r="K17" s="12">
        <f t="shared" si="2"/>
        <v>-401348</v>
      </c>
      <c r="L17" s="12">
        <f t="shared" si="2"/>
        <v>69759477</v>
      </c>
      <c r="M17" s="1"/>
    </row>
    <row r="18" spans="1:13" ht="18.75">
      <c r="A18" s="2"/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2"/>
    </row>
    <row r="19" spans="1:13" ht="18.75">
      <c r="A19" s="2" t="s">
        <v>19</v>
      </c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2"/>
    </row>
    <row r="20" spans="1:13" ht="18.75">
      <c r="A20" s="2"/>
      <c r="B20" s="2" t="s">
        <v>33</v>
      </c>
      <c r="C20" s="2"/>
      <c r="D20" s="2"/>
      <c r="E20" s="2"/>
      <c r="F20" s="2"/>
      <c r="G20" s="2"/>
      <c r="H20" s="2"/>
      <c r="I20" s="3">
        <v>4808668</v>
      </c>
      <c r="J20" s="3">
        <v>375776</v>
      </c>
      <c r="K20" s="3"/>
      <c r="L20" s="3">
        <f>SUM(I20:K20)</f>
        <v>5184444</v>
      </c>
      <c r="M20" s="3">
        <f>L13-L20</f>
        <v>8265450</v>
      </c>
    </row>
    <row r="21" spans="1:13" ht="18.75">
      <c r="A21" s="2"/>
      <c r="B21" s="2" t="s">
        <v>17</v>
      </c>
      <c r="C21" s="2"/>
      <c r="D21" s="2"/>
      <c r="E21" s="2"/>
      <c r="F21" s="2"/>
      <c r="G21" s="2"/>
      <c r="H21" s="2"/>
      <c r="I21" s="3">
        <v>11081230</v>
      </c>
      <c r="J21" s="3">
        <v>1065788</v>
      </c>
      <c r="K21" s="3"/>
      <c r="L21" s="3">
        <f>SUM(I21:K21)</f>
        <v>12147018</v>
      </c>
      <c r="M21" s="3">
        <f t="shared" ref="M21:M23" si="3">L14-L21</f>
        <v>10025248</v>
      </c>
    </row>
    <row r="22" spans="1:13" ht="18.75">
      <c r="A22" s="2"/>
      <c r="B22" s="2" t="s">
        <v>31</v>
      </c>
      <c r="C22" s="2"/>
      <c r="D22" s="2"/>
      <c r="E22" s="2"/>
      <c r="F22" s="2"/>
      <c r="G22" s="2"/>
      <c r="H22" s="2"/>
      <c r="I22" s="3">
        <v>625080</v>
      </c>
      <c r="J22" s="3">
        <v>42729</v>
      </c>
      <c r="K22" s="3"/>
      <c r="L22" s="3">
        <f>SUM(I22:K22)</f>
        <v>667809</v>
      </c>
      <c r="M22" s="3">
        <f t="shared" si="3"/>
        <v>36467</v>
      </c>
    </row>
    <row r="23" spans="1:13" ht="18.75">
      <c r="A23" s="2"/>
      <c r="B23" s="2" t="s">
        <v>65</v>
      </c>
      <c r="C23" s="2"/>
      <c r="D23" s="2"/>
      <c r="E23" s="2"/>
      <c r="F23" s="2"/>
      <c r="G23" s="2"/>
      <c r="H23" s="2"/>
      <c r="I23" s="3">
        <v>4391016</v>
      </c>
      <c r="J23" s="3">
        <v>398640</v>
      </c>
      <c r="K23" s="3">
        <v>-61254</v>
      </c>
      <c r="L23" s="3">
        <f>SUM(I23:K23)</f>
        <v>4728402</v>
      </c>
      <c r="M23" s="3">
        <f t="shared" si="3"/>
        <v>1904684</v>
      </c>
    </row>
    <row r="24" spans="1:13" ht="18.75">
      <c r="A24" s="1"/>
      <c r="B24" s="1"/>
      <c r="C24" s="1" t="s">
        <v>20</v>
      </c>
      <c r="D24" s="1"/>
      <c r="E24" s="1"/>
      <c r="F24" s="1"/>
      <c r="G24" s="1"/>
      <c r="H24" s="1"/>
      <c r="I24" s="10">
        <f>SUM(I20:I23)</f>
        <v>20905994</v>
      </c>
      <c r="J24" s="10">
        <f>SUM(J20:J23)</f>
        <v>1882933</v>
      </c>
      <c r="K24" s="10">
        <f>SUM(K20:K23)</f>
        <v>-61254</v>
      </c>
      <c r="L24" s="10">
        <f>SUM(L20:L23)</f>
        <v>22727673</v>
      </c>
      <c r="M24" s="1"/>
    </row>
    <row r="25" spans="1:13" ht="18.75">
      <c r="A25" s="1"/>
      <c r="B25" s="1"/>
      <c r="C25" s="1"/>
      <c r="D25" s="1"/>
      <c r="E25" s="1"/>
      <c r="F25" s="1"/>
      <c r="G25" s="1"/>
      <c r="H25" s="1"/>
      <c r="I25" s="10"/>
      <c r="J25" s="10"/>
      <c r="K25" s="10"/>
      <c r="L25" s="10"/>
      <c r="M25" s="1"/>
    </row>
    <row r="26" spans="1:13" ht="18.75">
      <c r="A26" s="2"/>
      <c r="B26" s="1" t="s">
        <v>22</v>
      </c>
      <c r="C26" s="2"/>
      <c r="D26" s="2"/>
      <c r="E26" s="2"/>
      <c r="F26" s="2"/>
      <c r="G26" s="2"/>
      <c r="H26" s="2"/>
      <c r="I26" s="14">
        <f>I17-I24</f>
        <v>25647365</v>
      </c>
      <c r="J26" s="14">
        <f t="shared" ref="J26:K26" si="4">J17-J24</f>
        <v>21724533</v>
      </c>
      <c r="K26" s="14">
        <f t="shared" si="4"/>
        <v>-340094</v>
      </c>
      <c r="L26" s="14">
        <f>L17-L24</f>
        <v>47031804</v>
      </c>
      <c r="M26" s="3">
        <f>SUM(M10:M23)</f>
        <v>47031804</v>
      </c>
    </row>
    <row r="27" spans="1:13" ht="18.75">
      <c r="A27" s="2"/>
      <c r="B27" s="1"/>
      <c r="C27" s="2"/>
      <c r="D27" s="2"/>
      <c r="E27" s="2"/>
      <c r="F27" s="2"/>
      <c r="G27" s="2"/>
      <c r="H27" s="2"/>
      <c r="I27" s="15"/>
      <c r="J27" s="15"/>
      <c r="K27" s="15"/>
      <c r="L27" s="15"/>
      <c r="M27" s="2"/>
    </row>
    <row r="28" spans="1:13" ht="18.75">
      <c r="A28" s="2"/>
      <c r="B28" s="2"/>
      <c r="C28" s="2"/>
      <c r="D28" s="2"/>
      <c r="E28" s="2"/>
      <c r="F28" s="2"/>
      <c r="G28" s="2"/>
      <c r="H28" s="2"/>
      <c r="I28" s="3"/>
      <c r="J28" s="3"/>
      <c r="K28" s="3"/>
      <c r="L28" s="3"/>
      <c r="M28" s="2"/>
    </row>
    <row r="29" spans="1:13" ht="37.5">
      <c r="A29" s="2"/>
      <c r="B29" s="2"/>
      <c r="C29" s="2"/>
      <c r="D29" s="2"/>
      <c r="E29" s="2"/>
      <c r="F29" s="2"/>
      <c r="G29" s="2"/>
      <c r="H29" s="2"/>
      <c r="I29" s="152" t="s">
        <v>3</v>
      </c>
      <c r="J29" s="152" t="s">
        <v>63</v>
      </c>
      <c r="K29" s="152" t="s">
        <v>68</v>
      </c>
      <c r="L29" s="152" t="s">
        <v>6</v>
      </c>
      <c r="M29" s="11" t="s">
        <v>7</v>
      </c>
    </row>
    <row r="30" spans="1:13" ht="18.75">
      <c r="A30" s="2"/>
      <c r="B30" s="2"/>
      <c r="C30" s="2"/>
      <c r="D30" s="2"/>
      <c r="E30" s="2"/>
      <c r="F30" s="2"/>
      <c r="G30" s="2"/>
      <c r="H30" s="2"/>
      <c r="I30" s="5"/>
      <c r="J30" s="5"/>
      <c r="K30" s="5"/>
      <c r="L30" s="5"/>
      <c r="M30" s="2"/>
    </row>
    <row r="31" spans="1:13" ht="18.75">
      <c r="A31" s="1" t="s">
        <v>82</v>
      </c>
      <c r="B31" s="1"/>
      <c r="C31" s="1"/>
      <c r="D31" s="1"/>
      <c r="E31" s="1"/>
      <c r="F31" s="1"/>
      <c r="G31" s="2"/>
      <c r="H31" s="2"/>
      <c r="I31" s="3"/>
      <c r="J31" s="3"/>
      <c r="K31" s="3"/>
      <c r="L31" s="3"/>
      <c r="M31" s="2"/>
    </row>
    <row r="32" spans="1:13" ht="18.75">
      <c r="A32" s="1" t="s">
        <v>13</v>
      </c>
      <c r="B32" s="1"/>
      <c r="C32" s="1"/>
      <c r="D32" s="1"/>
      <c r="E32" s="1"/>
      <c r="F32" s="1"/>
      <c r="G32" s="2"/>
      <c r="H32" s="2"/>
      <c r="I32" s="3"/>
      <c r="J32" s="3"/>
      <c r="K32" s="3"/>
      <c r="L32" s="3"/>
      <c r="M32" s="2"/>
    </row>
    <row r="33" spans="1:15" ht="18.75">
      <c r="A33" s="2"/>
      <c r="B33" s="2" t="s">
        <v>195</v>
      </c>
      <c r="C33" s="2"/>
      <c r="D33" s="2"/>
      <c r="E33" s="2"/>
      <c r="F33" s="2"/>
      <c r="G33" s="2"/>
      <c r="H33" s="2"/>
      <c r="I33" s="3">
        <v>828812</v>
      </c>
      <c r="J33" s="3"/>
      <c r="K33" s="3"/>
      <c r="L33" s="3">
        <f>SUM(I33:K33)</f>
        <v>828812</v>
      </c>
      <c r="M33" s="3"/>
    </row>
    <row r="34" spans="1:15" ht="18.75">
      <c r="A34" s="2"/>
      <c r="B34" s="2" t="s">
        <v>65</v>
      </c>
      <c r="C34" s="2"/>
      <c r="D34" s="2"/>
      <c r="E34" s="2"/>
      <c r="F34" s="2"/>
      <c r="G34" s="2"/>
      <c r="H34" s="2"/>
      <c r="I34" s="3">
        <v>19769</v>
      </c>
      <c r="J34" s="3"/>
      <c r="K34" s="3"/>
      <c r="L34" s="3">
        <f>SUM(I34:K34)</f>
        <v>19769</v>
      </c>
      <c r="M34" s="3"/>
    </row>
    <row r="35" spans="1:15" ht="18.75">
      <c r="A35" s="1"/>
      <c r="B35" s="1"/>
      <c r="C35" s="1" t="s">
        <v>194</v>
      </c>
      <c r="D35" s="1"/>
      <c r="E35" s="1"/>
      <c r="F35" s="1"/>
      <c r="G35" s="1"/>
      <c r="H35" s="2"/>
      <c r="I35" s="12">
        <f>SUM(I33:I34)</f>
        <v>848581</v>
      </c>
      <c r="J35" s="12">
        <f>SUM(J33:J34)</f>
        <v>0</v>
      </c>
      <c r="K35" s="12">
        <f>SUM(K33:K34)</f>
        <v>0</v>
      </c>
      <c r="L35" s="12">
        <f>SUM(L33:L34)</f>
        <v>848581</v>
      </c>
      <c r="M35" s="2"/>
    </row>
    <row r="36" spans="1:15" ht="18.75">
      <c r="A36" s="2"/>
      <c r="B36" s="2"/>
      <c r="C36" s="1"/>
      <c r="D36" s="2"/>
      <c r="E36" s="2"/>
      <c r="F36" s="2"/>
      <c r="G36" s="2"/>
      <c r="H36" s="2"/>
      <c r="I36" s="15"/>
      <c r="J36" s="15"/>
      <c r="K36" s="15"/>
      <c r="L36" s="15"/>
      <c r="M36" s="2"/>
    </row>
    <row r="37" spans="1:15" ht="18.75">
      <c r="A37" s="1" t="s">
        <v>19</v>
      </c>
      <c r="B37" s="2"/>
      <c r="C37" s="1"/>
      <c r="D37" s="2"/>
      <c r="E37" s="2"/>
      <c r="F37" s="2"/>
      <c r="G37" s="2"/>
      <c r="H37" s="2"/>
      <c r="I37" s="133"/>
      <c r="J37" s="133"/>
      <c r="K37" s="133"/>
      <c r="L37" s="133"/>
      <c r="M37" s="2"/>
      <c r="N37" s="129"/>
      <c r="O37" s="129"/>
    </row>
    <row r="38" spans="1:15" ht="18.75">
      <c r="A38" s="2"/>
      <c r="B38" s="2" t="s">
        <v>195</v>
      </c>
      <c r="C38" s="1"/>
      <c r="D38" s="2"/>
      <c r="E38" s="2"/>
      <c r="F38" s="2"/>
      <c r="G38" s="2"/>
      <c r="H38" s="2"/>
      <c r="I38" s="133"/>
      <c r="J38" s="133"/>
      <c r="K38" s="133"/>
      <c r="L38" s="133">
        <f>SUM(I38:K38)</f>
        <v>0</v>
      </c>
      <c r="M38" s="3">
        <f>L33-L38</f>
        <v>828812</v>
      </c>
      <c r="N38" s="129" t="s">
        <v>196</v>
      </c>
      <c r="O38" s="129"/>
    </row>
    <row r="39" spans="1:15" ht="18.75">
      <c r="A39" s="2"/>
      <c r="B39" s="2" t="s">
        <v>65</v>
      </c>
      <c r="C39" s="1"/>
      <c r="D39" s="2"/>
      <c r="E39" s="2"/>
      <c r="F39" s="2"/>
      <c r="G39" s="2"/>
      <c r="H39" s="2"/>
      <c r="I39" s="133"/>
      <c r="J39" s="133"/>
      <c r="K39" s="133"/>
      <c r="L39" s="133">
        <f t="shared" ref="L39:L40" si="5">SUM(I39:K39)</f>
        <v>0</v>
      </c>
      <c r="M39" s="3">
        <f>L34-L39</f>
        <v>19769</v>
      </c>
      <c r="N39" s="129"/>
      <c r="O39" s="129"/>
    </row>
    <row r="40" spans="1:15" ht="18.75">
      <c r="A40" s="1"/>
      <c r="B40" s="1"/>
      <c r="C40" s="1" t="s">
        <v>20</v>
      </c>
      <c r="D40" s="1"/>
      <c r="E40" s="1"/>
      <c r="F40" s="1"/>
      <c r="G40" s="1"/>
      <c r="H40" s="2"/>
      <c r="I40" s="142">
        <f>SUM(I38:I39)</f>
        <v>0</v>
      </c>
      <c r="J40" s="142">
        <f t="shared" ref="J40:K40" si="6">SUM(J38:J39)</f>
        <v>0</v>
      </c>
      <c r="K40" s="142">
        <f t="shared" si="6"/>
        <v>0</v>
      </c>
      <c r="L40" s="142">
        <f t="shared" si="5"/>
        <v>0</v>
      </c>
      <c r="M40" s="3"/>
    </row>
    <row r="41" spans="1:15" ht="18.75">
      <c r="A41" s="1"/>
      <c r="B41" s="1"/>
      <c r="C41" s="1"/>
      <c r="D41" s="1"/>
      <c r="E41" s="1"/>
      <c r="F41" s="1"/>
      <c r="G41" s="1"/>
      <c r="H41" s="2"/>
      <c r="I41" s="142"/>
      <c r="J41" s="142"/>
      <c r="K41" s="142"/>
      <c r="L41" s="142"/>
      <c r="M41" s="2"/>
    </row>
    <row r="42" spans="1:15" ht="18.75">
      <c r="A42" s="1"/>
      <c r="B42" s="1"/>
      <c r="C42" s="1"/>
      <c r="D42" s="1"/>
      <c r="E42" s="1"/>
      <c r="F42" s="1"/>
      <c r="G42" s="1"/>
      <c r="H42" s="2"/>
      <c r="I42" s="60"/>
      <c r="J42" s="60"/>
      <c r="K42" s="60"/>
      <c r="L42" s="60"/>
      <c r="M42" s="2"/>
    </row>
    <row r="43" spans="1:15" ht="18.75">
      <c r="A43" s="2"/>
      <c r="B43" s="1" t="s">
        <v>44</v>
      </c>
      <c r="C43" s="2"/>
      <c r="D43" s="2"/>
      <c r="E43" s="2"/>
      <c r="F43" s="2"/>
      <c r="G43" s="2"/>
      <c r="H43" s="2"/>
      <c r="I43" s="14">
        <f>SUM(I35+I40)</f>
        <v>848581</v>
      </c>
      <c r="J43" s="14">
        <f>SUM(J35-J40)</f>
        <v>0</v>
      </c>
      <c r="K43" s="14">
        <f>SUM(K35-K40)</f>
        <v>0</v>
      </c>
      <c r="L43" s="14">
        <f>SUM(L35-L40)</f>
        <v>848581</v>
      </c>
      <c r="M43" s="3">
        <f>SUM(M33:M34:M40)</f>
        <v>848581</v>
      </c>
    </row>
    <row r="44" spans="1:15" ht="18.75">
      <c r="A44" s="2"/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8"/>
  <sheetViews>
    <sheetView zoomScale="82" zoomScaleNormal="82" workbookViewId="0">
      <selection activeCell="L34" sqref="L34"/>
    </sheetView>
  </sheetViews>
  <sheetFormatPr defaultColWidth="8.85546875" defaultRowHeight="15"/>
  <cols>
    <col min="9" max="9" width="17.42578125" customWidth="1"/>
    <col min="10" max="10" width="17" customWidth="1"/>
    <col min="11" max="11" width="16.85546875" customWidth="1"/>
    <col min="12" max="12" width="21.140625" customWidth="1"/>
    <col min="13" max="13" width="16.85546875" customWidth="1"/>
  </cols>
  <sheetData>
    <row r="1" spans="1:13" ht="18.75">
      <c r="A1" s="2"/>
      <c r="B1" s="2"/>
      <c r="C1" s="2"/>
      <c r="D1" s="159" t="s">
        <v>197</v>
      </c>
      <c r="E1" s="159"/>
      <c r="F1" s="159"/>
      <c r="G1" s="159"/>
      <c r="H1" s="159"/>
      <c r="I1" s="159"/>
      <c r="J1" s="3"/>
      <c r="K1" s="3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2"/>
    </row>
    <row r="5" spans="1:13" ht="56.25">
      <c r="A5" s="2"/>
      <c r="B5" s="2"/>
      <c r="C5" s="2"/>
      <c r="D5" s="2"/>
      <c r="E5" s="2"/>
      <c r="F5" s="2"/>
      <c r="G5" s="2"/>
      <c r="H5" s="2"/>
      <c r="I5" s="11" t="s">
        <v>198</v>
      </c>
      <c r="J5" s="11" t="s">
        <v>63</v>
      </c>
      <c r="K5" s="11" t="s">
        <v>68</v>
      </c>
      <c r="L5" s="11" t="s">
        <v>199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2"/>
    </row>
    <row r="7" spans="1:13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2"/>
    </row>
    <row r="8" spans="1:13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2"/>
    </row>
    <row r="9" spans="1:13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2"/>
      <c r="M9" s="33"/>
    </row>
    <row r="10" spans="1:13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390416</v>
      </c>
      <c r="J10" s="3"/>
      <c r="K10" s="3"/>
      <c r="L10" s="3">
        <f>SUM(I10:K10)</f>
        <v>390416</v>
      </c>
      <c r="M10" s="34">
        <f>L10</f>
        <v>390416</v>
      </c>
    </row>
    <row r="11" spans="1:13" ht="18.75">
      <c r="A11" s="2"/>
      <c r="B11" s="2" t="s">
        <v>200</v>
      </c>
      <c r="C11" s="2"/>
      <c r="D11" s="2"/>
      <c r="E11" s="2"/>
      <c r="F11" s="2"/>
      <c r="G11" s="2"/>
      <c r="H11" s="2"/>
      <c r="I11" s="3">
        <v>2087938</v>
      </c>
      <c r="J11" s="3">
        <v>872809</v>
      </c>
      <c r="K11" s="3">
        <v>-1762753</v>
      </c>
      <c r="L11" s="3">
        <f t="shared" ref="L11:L12" si="0">SUM(I11:K11)</f>
        <v>1197994</v>
      </c>
      <c r="M11" s="34">
        <f t="shared" ref="M11:M12" si="1">L11</f>
        <v>1197994</v>
      </c>
    </row>
    <row r="12" spans="1:13" ht="18.75">
      <c r="A12" s="2"/>
      <c r="B12" s="2" t="s">
        <v>201</v>
      </c>
      <c r="C12" s="2"/>
      <c r="D12" s="2"/>
      <c r="E12" s="2"/>
      <c r="F12" s="2"/>
      <c r="G12" s="2"/>
      <c r="H12" s="2"/>
      <c r="I12" s="3">
        <v>70000</v>
      </c>
      <c r="J12" s="3"/>
      <c r="K12" s="3"/>
      <c r="L12" s="3">
        <f t="shared" si="0"/>
        <v>70000</v>
      </c>
      <c r="M12" s="34">
        <f t="shared" si="1"/>
        <v>70000</v>
      </c>
    </row>
    <row r="13" spans="1:13" ht="18.75">
      <c r="A13" s="1"/>
      <c r="B13" s="1"/>
      <c r="C13" s="1" t="s">
        <v>92</v>
      </c>
      <c r="D13" s="1"/>
      <c r="E13" s="1"/>
      <c r="F13" s="1"/>
      <c r="G13" s="1"/>
      <c r="H13" s="1"/>
      <c r="I13" s="12">
        <f>SUM(I10:I12)</f>
        <v>2548354</v>
      </c>
      <c r="J13" s="12">
        <f t="shared" ref="J13:L13" si="2">SUM(J10:J12)</f>
        <v>872809</v>
      </c>
      <c r="K13" s="12">
        <f t="shared" si="2"/>
        <v>-1762753</v>
      </c>
      <c r="L13" s="12">
        <f t="shared" si="2"/>
        <v>1658410</v>
      </c>
      <c r="M13" s="39"/>
    </row>
    <row r="14" spans="1:13" ht="18.75">
      <c r="A14" s="2"/>
      <c r="B14" s="2"/>
      <c r="C14" s="2"/>
      <c r="D14" s="2"/>
      <c r="E14" s="2"/>
      <c r="F14" s="2"/>
      <c r="G14" s="2"/>
      <c r="H14" s="2"/>
      <c r="I14" s="3"/>
      <c r="J14" s="3"/>
      <c r="K14" s="3"/>
      <c r="L14" s="2"/>
      <c r="M14" s="33"/>
    </row>
    <row r="15" spans="1:13" ht="18.75">
      <c r="A15" s="1" t="s">
        <v>13</v>
      </c>
      <c r="B15" s="2"/>
      <c r="C15" s="2"/>
      <c r="D15" s="2"/>
      <c r="E15" s="2"/>
      <c r="F15" s="2"/>
      <c r="G15" s="2"/>
      <c r="H15" s="2"/>
      <c r="I15" s="3"/>
      <c r="J15" s="3"/>
      <c r="K15" s="3"/>
      <c r="L15" s="2"/>
      <c r="M15" s="33"/>
    </row>
    <row r="16" spans="1:13" ht="18.75">
      <c r="A16" s="2"/>
      <c r="B16" s="2" t="s">
        <v>202</v>
      </c>
      <c r="C16" s="2"/>
      <c r="D16" s="2"/>
      <c r="E16" s="2"/>
      <c r="F16" s="2"/>
      <c r="G16" s="2"/>
      <c r="H16" s="2"/>
      <c r="I16" s="3">
        <v>87396267</v>
      </c>
      <c r="J16" s="3">
        <v>399629</v>
      </c>
      <c r="K16" s="3"/>
      <c r="L16" s="3">
        <f t="shared" ref="L16:L23" si="3">SUM(I16:K16)</f>
        <v>87795896</v>
      </c>
      <c r="M16" s="33"/>
    </row>
    <row r="17" spans="1:13" ht="18.75">
      <c r="A17" s="2"/>
      <c r="B17" s="2" t="s">
        <v>203</v>
      </c>
      <c r="C17" s="2"/>
      <c r="D17" s="2"/>
      <c r="E17" s="2"/>
      <c r="F17" s="2"/>
      <c r="G17" s="2"/>
      <c r="H17" s="2"/>
      <c r="I17" s="3">
        <v>3366140</v>
      </c>
      <c r="J17" s="3"/>
      <c r="K17" s="3"/>
      <c r="L17" s="3">
        <f t="shared" si="3"/>
        <v>3366140</v>
      </c>
      <c r="M17" s="33"/>
    </row>
    <row r="18" spans="1:13" ht="18.75">
      <c r="A18" s="2"/>
      <c r="B18" s="2" t="s">
        <v>14</v>
      </c>
      <c r="C18" s="2"/>
      <c r="D18" s="2"/>
      <c r="E18" s="2"/>
      <c r="F18" s="2"/>
      <c r="G18" s="2"/>
      <c r="H18" s="2"/>
      <c r="I18" s="3">
        <v>4772535</v>
      </c>
      <c r="J18" s="3">
        <v>1762753</v>
      </c>
      <c r="K18" s="3"/>
      <c r="L18" s="3">
        <f t="shared" si="3"/>
        <v>6535288</v>
      </c>
      <c r="M18" s="33"/>
    </row>
    <row r="19" spans="1:13" ht="18.75">
      <c r="A19" s="2"/>
      <c r="B19" s="2" t="s">
        <v>204</v>
      </c>
      <c r="C19" s="2"/>
      <c r="D19" s="2"/>
      <c r="E19" s="2"/>
      <c r="F19" s="2"/>
      <c r="G19" s="2"/>
      <c r="H19" s="2"/>
      <c r="I19" s="3">
        <v>2593516</v>
      </c>
      <c r="J19" s="3">
        <v>256799</v>
      </c>
      <c r="K19" s="3"/>
      <c r="L19" s="3">
        <f t="shared" si="3"/>
        <v>2850315</v>
      </c>
      <c r="M19" s="33"/>
    </row>
    <row r="20" spans="1:13" ht="18.75">
      <c r="A20" s="2"/>
      <c r="B20" s="2" t="s">
        <v>75</v>
      </c>
      <c r="C20" s="2"/>
      <c r="D20" s="2"/>
      <c r="E20" s="2"/>
      <c r="F20" s="2"/>
      <c r="G20" s="2"/>
      <c r="H20" s="2"/>
      <c r="I20" s="3">
        <v>63648</v>
      </c>
      <c r="J20" s="3"/>
      <c r="K20" s="3"/>
      <c r="L20" s="3">
        <f t="shared" si="3"/>
        <v>63648</v>
      </c>
      <c r="M20" s="33"/>
    </row>
    <row r="21" spans="1:13" ht="18.75">
      <c r="A21" s="2"/>
      <c r="B21" s="2" t="s">
        <v>125</v>
      </c>
      <c r="C21" s="2"/>
      <c r="D21" s="2"/>
      <c r="E21" s="2"/>
      <c r="F21" s="2"/>
      <c r="G21" s="2"/>
      <c r="H21" s="2"/>
      <c r="I21" s="3">
        <v>1773388</v>
      </c>
      <c r="J21" s="3">
        <v>209900</v>
      </c>
      <c r="K21" s="3">
        <v>-145903</v>
      </c>
      <c r="L21" s="3">
        <f t="shared" si="3"/>
        <v>1837385</v>
      </c>
      <c r="M21" s="33"/>
    </row>
    <row r="22" spans="1:13" ht="18.75">
      <c r="A22" s="2"/>
      <c r="B22" s="2" t="s">
        <v>205</v>
      </c>
      <c r="C22" s="2"/>
      <c r="D22" s="2"/>
      <c r="E22" s="2"/>
      <c r="F22" s="2"/>
      <c r="G22" s="2"/>
      <c r="H22" s="2"/>
      <c r="I22" s="3">
        <v>495797</v>
      </c>
      <c r="J22" s="3">
        <v>162692</v>
      </c>
      <c r="K22" s="3">
        <v>-5800</v>
      </c>
      <c r="L22" s="3">
        <f t="shared" si="3"/>
        <v>652689</v>
      </c>
      <c r="M22" s="33"/>
    </row>
    <row r="23" spans="1:13" ht="18.75">
      <c r="A23" s="2"/>
      <c r="B23" s="2" t="s">
        <v>31</v>
      </c>
      <c r="C23" s="2"/>
      <c r="D23" s="2"/>
      <c r="E23" s="2"/>
      <c r="F23" s="2"/>
      <c r="G23" s="2"/>
      <c r="H23" s="2"/>
      <c r="I23" s="3">
        <v>1223973</v>
      </c>
      <c r="J23" s="3">
        <v>29022</v>
      </c>
      <c r="K23" s="3">
        <v>-29051</v>
      </c>
      <c r="L23" s="3">
        <f t="shared" si="3"/>
        <v>1223944</v>
      </c>
      <c r="M23" s="33"/>
    </row>
    <row r="24" spans="1:13" ht="18.75">
      <c r="A24" s="2"/>
      <c r="B24" s="2"/>
      <c r="C24" s="1" t="s">
        <v>18</v>
      </c>
      <c r="D24" s="2"/>
      <c r="E24" s="2"/>
      <c r="F24" s="2"/>
      <c r="G24" s="2"/>
      <c r="H24" s="2"/>
      <c r="I24" s="13">
        <f>SUM(I16:I23)</f>
        <v>101685264</v>
      </c>
      <c r="J24" s="13">
        <f>SUM(J16:J23)</f>
        <v>2820795</v>
      </c>
      <c r="K24" s="13">
        <f>SUM(K16:K23)</f>
        <v>-180754</v>
      </c>
      <c r="L24" s="13">
        <f>SUM(L16:L23)</f>
        <v>104325305</v>
      </c>
      <c r="M24" s="33"/>
    </row>
    <row r="25" spans="1:13" ht="18.75">
      <c r="A25" s="2"/>
      <c r="B25" s="2"/>
      <c r="C25" s="1"/>
      <c r="D25" s="2"/>
      <c r="E25" s="2"/>
      <c r="F25" s="2"/>
      <c r="G25" s="2"/>
      <c r="H25" s="2"/>
      <c r="I25" s="13"/>
      <c r="J25" s="13"/>
      <c r="K25" s="13"/>
      <c r="L25" s="13"/>
      <c r="M25" s="33"/>
    </row>
    <row r="26" spans="1:13" ht="18.75">
      <c r="A26" s="2" t="s">
        <v>19</v>
      </c>
      <c r="B26" s="2"/>
      <c r="C26" s="1"/>
      <c r="D26" s="2"/>
      <c r="E26" s="2"/>
      <c r="F26" s="2"/>
      <c r="G26" s="2"/>
      <c r="H26" s="2"/>
      <c r="I26" s="13"/>
      <c r="J26" s="13"/>
      <c r="K26" s="13"/>
      <c r="L26" s="13"/>
      <c r="M26" s="33"/>
    </row>
    <row r="27" spans="1:13" ht="18.75">
      <c r="A27" s="2"/>
      <c r="B27" s="2" t="s">
        <v>202</v>
      </c>
      <c r="C27" s="1"/>
      <c r="D27" s="2"/>
      <c r="E27" s="2"/>
      <c r="F27" s="2"/>
      <c r="G27" s="2"/>
      <c r="H27" s="2"/>
      <c r="I27" s="3">
        <v>-75900253</v>
      </c>
      <c r="J27" s="3">
        <v>-755040</v>
      </c>
      <c r="K27" s="3"/>
      <c r="L27" s="3">
        <f>SUM(I27:K27)</f>
        <v>-76655293</v>
      </c>
      <c r="M27" s="48">
        <f>SUM(L16+L27)</f>
        <v>11140603</v>
      </c>
    </row>
    <row r="28" spans="1:13" ht="18.75">
      <c r="A28" s="2"/>
      <c r="B28" s="2" t="s">
        <v>203</v>
      </c>
      <c r="C28" s="1"/>
      <c r="D28" s="2"/>
      <c r="E28" s="2"/>
      <c r="F28" s="2"/>
      <c r="G28" s="2"/>
      <c r="H28" s="2"/>
      <c r="I28" s="3">
        <v>-1666388</v>
      </c>
      <c r="J28" s="3">
        <v>-43749</v>
      </c>
      <c r="K28" s="3"/>
      <c r="L28" s="3">
        <f t="shared" ref="L28:L34" si="4">SUM(I28:K28)</f>
        <v>-1710137</v>
      </c>
      <c r="M28" s="48">
        <f t="shared" ref="M28:M34" si="5">SUM(L17+L28)</f>
        <v>1656003</v>
      </c>
    </row>
    <row r="29" spans="1:13" ht="18.75">
      <c r="A29" s="2"/>
      <c r="B29" s="2" t="s">
        <v>14</v>
      </c>
      <c r="C29" s="1"/>
      <c r="D29" s="2"/>
      <c r="E29" s="2"/>
      <c r="F29" s="2"/>
      <c r="G29" s="2"/>
      <c r="H29" s="2"/>
      <c r="I29" s="3">
        <v>-3576477</v>
      </c>
      <c r="J29" s="3">
        <v>-149069</v>
      </c>
      <c r="K29" s="3"/>
      <c r="L29" s="3">
        <f t="shared" si="4"/>
        <v>-3725546</v>
      </c>
      <c r="M29" s="48">
        <f t="shared" si="5"/>
        <v>2809742</v>
      </c>
    </row>
    <row r="30" spans="1:13" ht="18.75">
      <c r="A30" s="2"/>
      <c r="B30" s="2" t="s">
        <v>204</v>
      </c>
      <c r="C30" s="1"/>
      <c r="D30" s="2"/>
      <c r="E30" s="2"/>
      <c r="F30" s="2"/>
      <c r="G30" s="2"/>
      <c r="H30" s="2"/>
      <c r="I30" s="3">
        <v>-1780273</v>
      </c>
      <c r="J30" s="3">
        <v>-119590</v>
      </c>
      <c r="K30" s="3"/>
      <c r="L30" s="3">
        <f t="shared" si="4"/>
        <v>-1899863</v>
      </c>
      <c r="M30" s="48">
        <f t="shared" si="5"/>
        <v>950452</v>
      </c>
    </row>
    <row r="31" spans="1:13" ht="18.75">
      <c r="A31" s="2"/>
      <c r="B31" s="2" t="s">
        <v>75</v>
      </c>
      <c r="C31" s="1"/>
      <c r="D31" s="2"/>
      <c r="E31" s="2"/>
      <c r="F31" s="2"/>
      <c r="G31" s="2"/>
      <c r="H31" s="2"/>
      <c r="I31" s="3">
        <v>-60134</v>
      </c>
      <c r="J31" s="3">
        <v>-1119</v>
      </c>
      <c r="K31" s="3"/>
      <c r="L31" s="3">
        <f t="shared" si="4"/>
        <v>-61253</v>
      </c>
      <c r="M31" s="48">
        <f t="shared" si="5"/>
        <v>2395</v>
      </c>
    </row>
    <row r="32" spans="1:13" ht="18.75">
      <c r="A32" s="2"/>
      <c r="B32" s="2" t="s">
        <v>125</v>
      </c>
      <c r="C32" s="1"/>
      <c r="D32" s="2"/>
      <c r="E32" s="2"/>
      <c r="F32" s="2"/>
      <c r="G32" s="2"/>
      <c r="H32" s="2"/>
      <c r="I32" s="3">
        <v>-986622</v>
      </c>
      <c r="J32" s="3">
        <v>-129446</v>
      </c>
      <c r="K32" s="3">
        <v>114764</v>
      </c>
      <c r="L32" s="3">
        <f t="shared" si="4"/>
        <v>-1001304</v>
      </c>
      <c r="M32" s="48">
        <f t="shared" si="5"/>
        <v>836081</v>
      </c>
    </row>
    <row r="33" spans="1:13" ht="18.75">
      <c r="A33" s="2"/>
      <c r="B33" s="2" t="s">
        <v>205</v>
      </c>
      <c r="C33" s="1"/>
      <c r="D33" s="2"/>
      <c r="E33" s="2"/>
      <c r="F33" s="2"/>
      <c r="G33" s="2"/>
      <c r="H33" s="2"/>
      <c r="I33" s="3">
        <v>-387104</v>
      </c>
      <c r="J33" s="3">
        <v>-63299</v>
      </c>
      <c r="K33" s="3">
        <v>5800</v>
      </c>
      <c r="L33" s="3">
        <f t="shared" si="4"/>
        <v>-444603</v>
      </c>
      <c r="M33" s="48">
        <f t="shared" si="5"/>
        <v>208086</v>
      </c>
    </row>
    <row r="34" spans="1:13" ht="18.75">
      <c r="A34" s="2"/>
      <c r="B34" s="2" t="s">
        <v>31</v>
      </c>
      <c r="C34" s="1"/>
      <c r="D34" s="2"/>
      <c r="E34" s="2"/>
      <c r="F34" s="2"/>
      <c r="G34" s="2"/>
      <c r="H34" s="2"/>
      <c r="I34" s="3">
        <v>-1146699</v>
      </c>
      <c r="J34" s="3">
        <v>-52286</v>
      </c>
      <c r="K34" s="3">
        <v>29051</v>
      </c>
      <c r="L34" s="3">
        <f t="shared" si="4"/>
        <v>-1169934</v>
      </c>
      <c r="M34" s="48">
        <f t="shared" si="5"/>
        <v>54010</v>
      </c>
    </row>
    <row r="35" spans="1:13" ht="18.75">
      <c r="A35" s="2"/>
      <c r="B35" s="2"/>
      <c r="C35" s="1" t="s">
        <v>20</v>
      </c>
      <c r="D35" s="2"/>
      <c r="E35" s="2"/>
      <c r="F35" s="2"/>
      <c r="G35" s="2"/>
      <c r="H35" s="2"/>
      <c r="I35" s="13">
        <f>SUM(I27:I34)</f>
        <v>-85503950</v>
      </c>
      <c r="J35" s="13">
        <f t="shared" ref="J35:L35" si="6">SUM(J27:J34)</f>
        <v>-1313598</v>
      </c>
      <c r="K35" s="13">
        <f t="shared" si="6"/>
        <v>149615</v>
      </c>
      <c r="L35" s="13">
        <f t="shared" si="6"/>
        <v>-86667933</v>
      </c>
      <c r="M35" s="33"/>
    </row>
    <row r="36" spans="1:13" ht="18.75">
      <c r="A36" s="1"/>
      <c r="B36" s="1" t="s">
        <v>21</v>
      </c>
      <c r="C36" s="1"/>
      <c r="D36" s="1"/>
      <c r="E36" s="1"/>
      <c r="F36" s="1"/>
      <c r="G36" s="1"/>
      <c r="H36" s="1"/>
      <c r="I36" s="10">
        <f>SUM(I24+I35)</f>
        <v>16181314</v>
      </c>
      <c r="J36" s="10">
        <f t="shared" ref="J36:L36" si="7">SUM(J24+J35)</f>
        <v>1507197</v>
      </c>
      <c r="K36" s="10">
        <f t="shared" si="7"/>
        <v>-31139</v>
      </c>
      <c r="L36" s="10">
        <f t="shared" si="7"/>
        <v>17657372</v>
      </c>
      <c r="M36" s="33"/>
    </row>
    <row r="37" spans="1:13" ht="18.75">
      <c r="A37" s="1"/>
      <c r="B37" s="1"/>
      <c r="C37" s="1"/>
      <c r="D37" s="1"/>
      <c r="E37" s="1"/>
      <c r="F37" s="1"/>
      <c r="G37" s="1"/>
      <c r="H37" s="1"/>
      <c r="I37" s="30"/>
      <c r="J37" s="30"/>
      <c r="K37" s="30"/>
      <c r="L37" s="1"/>
    </row>
    <row r="38" spans="1:13" ht="18.75">
      <c r="A38" s="2"/>
      <c r="B38" s="1" t="s">
        <v>118</v>
      </c>
      <c r="C38" s="2"/>
      <c r="D38" s="2"/>
      <c r="E38" s="2"/>
      <c r="F38" s="2"/>
      <c r="G38" s="2"/>
      <c r="H38" s="2"/>
      <c r="I38" s="14">
        <f>I13+I36</f>
        <v>18729668</v>
      </c>
      <c r="J38" s="14">
        <f>J13+J36</f>
        <v>2380006</v>
      </c>
      <c r="K38" s="14">
        <f>K13+K36</f>
        <v>-1793892</v>
      </c>
      <c r="L38" s="14">
        <f>L13+L36</f>
        <v>19315782</v>
      </c>
      <c r="M38" s="36">
        <f>SUM(M10:M34)</f>
        <v>19315782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P45"/>
  <sheetViews>
    <sheetView topLeftCell="E34" zoomScale="80" zoomScaleNormal="80" zoomScalePageLayoutView="75" workbookViewId="0">
      <selection activeCell="I41" sqref="I41"/>
    </sheetView>
  </sheetViews>
  <sheetFormatPr defaultColWidth="8.85546875" defaultRowHeight="15"/>
  <cols>
    <col min="9" max="9" width="17" customWidth="1"/>
    <col min="10" max="11" width="17.28515625" customWidth="1"/>
    <col min="12" max="12" width="16" customWidth="1"/>
    <col min="13" max="13" width="16.140625" customWidth="1"/>
    <col min="14" max="14" width="27.42578125" customWidth="1"/>
    <col min="15" max="15" width="29.28515625" customWidth="1"/>
    <col min="16" max="16" width="23.28515625" customWidth="1"/>
  </cols>
  <sheetData>
    <row r="1" spans="1:13" ht="18.75">
      <c r="A1" s="2"/>
      <c r="B1" s="2"/>
      <c r="C1" s="2"/>
      <c r="D1" s="159" t="s">
        <v>206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207</v>
      </c>
      <c r="L5" s="11" t="s">
        <v>6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3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2"/>
    </row>
    <row r="10" spans="1:13" ht="18.75">
      <c r="A10" s="2"/>
      <c r="B10" s="2" t="s">
        <v>11</v>
      </c>
      <c r="C10" s="2"/>
      <c r="D10" s="2"/>
      <c r="E10" s="2"/>
      <c r="F10" s="2"/>
      <c r="G10" s="2"/>
      <c r="H10" s="2"/>
      <c r="I10" s="3">
        <v>60410</v>
      </c>
      <c r="J10" s="3">
        <v>349599</v>
      </c>
      <c r="K10" s="3"/>
      <c r="L10" s="3">
        <f>SUM(I10:K10)</f>
        <v>410009</v>
      </c>
      <c r="M10" s="3">
        <f>SUM(L10)</f>
        <v>410009</v>
      </c>
    </row>
    <row r="11" spans="1:13" ht="18.75">
      <c r="A11" s="2"/>
      <c r="B11" s="2" t="s">
        <v>10</v>
      </c>
      <c r="C11" s="2"/>
      <c r="D11" s="2"/>
      <c r="E11" s="2"/>
      <c r="F11" s="2"/>
      <c r="G11" s="2"/>
      <c r="H11" s="2"/>
      <c r="I11" s="3">
        <v>203250</v>
      </c>
      <c r="J11" s="3"/>
      <c r="K11" s="3"/>
      <c r="L11" s="3">
        <f>SUM(I11:K11)</f>
        <v>203250</v>
      </c>
      <c r="M11" s="3">
        <f>SUM(L11)</f>
        <v>203250</v>
      </c>
    </row>
    <row r="12" spans="1:13" ht="18.75">
      <c r="A12" s="2"/>
      <c r="B12" s="2"/>
      <c r="C12" s="1" t="s">
        <v>208</v>
      </c>
      <c r="D12" s="2"/>
      <c r="E12" s="2"/>
      <c r="F12" s="2"/>
      <c r="G12" s="2"/>
      <c r="H12" s="2"/>
      <c r="I12" s="13">
        <f>SUM(I10:I11)</f>
        <v>263660</v>
      </c>
      <c r="J12" s="13">
        <f t="shared" ref="J12:K12" si="0">SUM(J10:J11)</f>
        <v>349599</v>
      </c>
      <c r="K12" s="13">
        <f t="shared" si="0"/>
        <v>0</v>
      </c>
      <c r="L12" s="13">
        <f>SUM(L10:L11)</f>
        <v>613259</v>
      </c>
      <c r="M12" s="3"/>
    </row>
    <row r="13" spans="1:13" ht="18.75">
      <c r="A13" s="2"/>
      <c r="B13" s="2"/>
      <c r="C13" s="1"/>
      <c r="D13" s="2"/>
      <c r="E13" s="2"/>
      <c r="F13" s="2"/>
      <c r="G13" s="2"/>
      <c r="H13" s="2"/>
      <c r="I13" s="15"/>
      <c r="J13" s="15"/>
      <c r="K13" s="15"/>
      <c r="L13" s="15"/>
      <c r="M13" s="3"/>
    </row>
    <row r="14" spans="1:13" ht="18.75">
      <c r="A14" s="2" t="s">
        <v>209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>
        <f t="shared" ref="L14:L19" si="1">SUM(I14:K14)</f>
        <v>0</v>
      </c>
      <c r="M14" s="3">
        <f t="shared" ref="M14" si="2">SUM(L14)</f>
        <v>0</v>
      </c>
    </row>
    <row r="15" spans="1:13" ht="18.75">
      <c r="A15" s="2"/>
      <c r="B15" s="2" t="s">
        <v>14</v>
      </c>
      <c r="C15" s="2"/>
      <c r="D15" s="2"/>
      <c r="E15" s="2"/>
      <c r="F15" s="2"/>
      <c r="G15" s="2"/>
      <c r="H15" s="2"/>
      <c r="I15" s="3">
        <v>2641293</v>
      </c>
      <c r="J15" s="3"/>
      <c r="K15" s="3"/>
      <c r="L15" s="3">
        <f t="shared" si="1"/>
        <v>2641293</v>
      </c>
      <c r="M15" s="3"/>
    </row>
    <row r="16" spans="1:13" ht="18.75">
      <c r="A16" s="2"/>
      <c r="B16" s="2" t="s">
        <v>210</v>
      </c>
      <c r="C16" s="2"/>
      <c r="D16" s="2"/>
      <c r="E16" s="2"/>
      <c r="F16" s="2"/>
      <c r="G16" s="2"/>
      <c r="H16" s="2"/>
      <c r="I16" s="3">
        <v>2610480</v>
      </c>
      <c r="J16" s="3">
        <v>316687</v>
      </c>
      <c r="K16" s="3">
        <v>-288103</v>
      </c>
      <c r="L16" s="3">
        <f t="shared" si="1"/>
        <v>2639064</v>
      </c>
      <c r="M16" s="3"/>
    </row>
    <row r="17" spans="1:16" ht="18.75">
      <c r="A17" s="2"/>
      <c r="B17" s="2" t="s">
        <v>17</v>
      </c>
      <c r="C17" s="2"/>
      <c r="D17" s="2"/>
      <c r="E17" s="2"/>
      <c r="F17" s="2"/>
      <c r="G17" s="2"/>
      <c r="H17" s="2"/>
      <c r="I17" s="3">
        <v>4452468</v>
      </c>
      <c r="J17" s="3"/>
      <c r="K17" s="3"/>
      <c r="L17" s="3">
        <f t="shared" si="1"/>
        <v>4452468</v>
      </c>
      <c r="M17" s="3"/>
    </row>
    <row r="18" spans="1:16" ht="18.75">
      <c r="A18" s="2"/>
      <c r="B18" s="2" t="s">
        <v>211</v>
      </c>
      <c r="C18" s="2"/>
      <c r="D18" s="2"/>
      <c r="E18" s="2"/>
      <c r="F18" s="2"/>
      <c r="G18" s="2"/>
      <c r="H18" s="2"/>
      <c r="I18" s="3">
        <v>209647</v>
      </c>
      <c r="J18" s="3"/>
      <c r="K18" s="3"/>
      <c r="L18" s="3">
        <f t="shared" si="1"/>
        <v>209647</v>
      </c>
      <c r="M18" s="3"/>
    </row>
    <row r="19" spans="1:16" ht="18.75">
      <c r="A19" s="2"/>
      <c r="B19" s="2" t="s">
        <v>115</v>
      </c>
      <c r="C19" s="2"/>
      <c r="D19" s="2"/>
      <c r="E19" s="2"/>
      <c r="F19" s="2"/>
      <c r="G19" s="2"/>
      <c r="H19" s="2"/>
      <c r="I19" s="3">
        <v>-4336515</v>
      </c>
      <c r="J19" s="3">
        <v>-388373</v>
      </c>
      <c r="K19" s="3">
        <v>285534</v>
      </c>
      <c r="L19" s="3">
        <f t="shared" si="1"/>
        <v>-4439354</v>
      </c>
      <c r="M19" s="3"/>
    </row>
    <row r="20" spans="1:16" ht="18.75">
      <c r="A20" s="1"/>
      <c r="B20" s="1"/>
      <c r="C20" s="1" t="s">
        <v>208</v>
      </c>
      <c r="D20" s="1"/>
      <c r="E20" s="1"/>
      <c r="F20" s="1"/>
      <c r="G20" s="1"/>
      <c r="H20" s="1"/>
      <c r="I20" s="12">
        <f t="shared" ref="I20:L20" si="3">SUM(I14:I19)</f>
        <v>5577373</v>
      </c>
      <c r="J20" s="12">
        <f t="shared" si="3"/>
        <v>-71686</v>
      </c>
      <c r="K20" s="12">
        <f t="shared" si="3"/>
        <v>-2569</v>
      </c>
      <c r="L20" s="12">
        <f t="shared" si="3"/>
        <v>5503118</v>
      </c>
      <c r="M20" s="3">
        <f>SUM(L20)</f>
        <v>5503118</v>
      </c>
      <c r="N20" s="33"/>
      <c r="O20" s="33"/>
    </row>
    <row r="21" spans="1:16" ht="18.75">
      <c r="A21" s="2"/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2"/>
      <c r="N21" s="33"/>
      <c r="O21" s="33"/>
    </row>
    <row r="22" spans="1:16" ht="18.75">
      <c r="A22" s="1"/>
      <c r="B22" s="1"/>
      <c r="C22" s="1"/>
      <c r="D22" s="1"/>
      <c r="E22" s="1"/>
      <c r="F22" s="1"/>
      <c r="G22" s="1"/>
      <c r="H22" s="1"/>
      <c r="I22" s="10"/>
      <c r="J22" s="10"/>
      <c r="K22" s="10"/>
      <c r="L22" s="10"/>
      <c r="M22" s="1"/>
      <c r="N22" s="33"/>
      <c r="O22" s="33"/>
      <c r="P22" s="33"/>
    </row>
    <row r="23" spans="1:16" ht="18.75">
      <c r="A23" s="2"/>
      <c r="B23" s="1" t="s">
        <v>22</v>
      </c>
      <c r="C23" s="2"/>
      <c r="D23" s="2"/>
      <c r="E23" s="2"/>
      <c r="F23" s="2"/>
      <c r="G23" s="2"/>
      <c r="H23" s="2"/>
      <c r="I23" s="14">
        <f>SUM(I20+I12)</f>
        <v>5841033</v>
      </c>
      <c r="J23" s="14">
        <f t="shared" ref="J23:K23" si="4">SUM(J20+J12)</f>
        <v>277913</v>
      </c>
      <c r="K23" s="14">
        <f t="shared" si="4"/>
        <v>-2569</v>
      </c>
      <c r="L23" s="14">
        <f>SUM(L12+L20)</f>
        <v>6116377</v>
      </c>
      <c r="M23" s="59"/>
      <c r="N23" s="33"/>
      <c r="O23" s="33"/>
      <c r="P23" s="33"/>
    </row>
    <row r="24" spans="1:16" ht="18.75">
      <c r="A24" s="2"/>
      <c r="B24" s="1"/>
      <c r="C24" s="2"/>
      <c r="D24" s="2"/>
      <c r="E24" s="2"/>
      <c r="F24" s="2"/>
      <c r="G24" s="2"/>
      <c r="H24" s="2"/>
      <c r="I24" s="15"/>
      <c r="J24" s="15"/>
      <c r="K24" s="15"/>
      <c r="L24" s="15"/>
      <c r="M24" s="2"/>
      <c r="N24" s="33"/>
      <c r="O24" s="33"/>
      <c r="P24" s="33"/>
    </row>
    <row r="25" spans="1:16" ht="18.75">
      <c r="A25" s="2"/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2"/>
      <c r="N25" s="33"/>
      <c r="O25" s="33"/>
      <c r="P25" s="33"/>
    </row>
    <row r="26" spans="1:16" ht="37.5">
      <c r="A26" s="2"/>
      <c r="B26" s="2"/>
      <c r="C26" s="2"/>
      <c r="D26" s="2"/>
      <c r="E26" s="2"/>
      <c r="F26" s="2"/>
      <c r="G26" s="2"/>
      <c r="H26" s="2"/>
      <c r="I26" s="152" t="s">
        <v>3</v>
      </c>
      <c r="J26" s="152" t="s">
        <v>63</v>
      </c>
      <c r="K26" s="152" t="s">
        <v>68</v>
      </c>
      <c r="L26" s="152" t="s">
        <v>6</v>
      </c>
      <c r="M26" s="11" t="s">
        <v>7</v>
      </c>
      <c r="N26" s="33"/>
      <c r="O26" s="33"/>
      <c r="P26" s="33"/>
    </row>
    <row r="27" spans="1:16" ht="18.75">
      <c r="A27" s="2"/>
      <c r="B27" s="2"/>
      <c r="C27" s="2"/>
      <c r="D27" s="2"/>
      <c r="E27" s="2"/>
      <c r="F27" s="2"/>
      <c r="G27" s="2"/>
      <c r="H27" s="2"/>
      <c r="I27" s="5"/>
      <c r="J27" s="5"/>
      <c r="K27" s="5"/>
      <c r="L27" s="5"/>
      <c r="M27" s="2"/>
      <c r="N27" s="33"/>
      <c r="O27" s="33"/>
      <c r="P27" s="33"/>
    </row>
    <row r="28" spans="1:16" ht="18.75">
      <c r="A28" s="1" t="s">
        <v>82</v>
      </c>
      <c r="B28" s="1"/>
      <c r="C28" s="1"/>
      <c r="D28" s="1"/>
      <c r="E28" s="1"/>
      <c r="F28" s="1"/>
      <c r="G28" s="2"/>
      <c r="H28" s="2"/>
      <c r="I28" s="3"/>
      <c r="J28" s="3"/>
      <c r="K28" s="3"/>
      <c r="L28" s="3"/>
      <c r="M28" s="2"/>
      <c r="N28" s="33"/>
      <c r="O28" s="33"/>
      <c r="P28" s="33"/>
    </row>
    <row r="29" spans="1:16" ht="18.75">
      <c r="A29" s="1" t="s">
        <v>212</v>
      </c>
      <c r="B29" s="1"/>
      <c r="C29" s="1"/>
      <c r="D29" s="1"/>
      <c r="E29" s="1"/>
      <c r="F29" s="1"/>
      <c r="G29" s="2"/>
      <c r="H29" s="2"/>
      <c r="I29" s="3"/>
      <c r="J29" s="3"/>
      <c r="K29" s="3"/>
      <c r="L29" s="3"/>
      <c r="M29" s="2"/>
      <c r="N29" s="33"/>
      <c r="O29" s="33"/>
      <c r="P29" s="33"/>
    </row>
    <row r="30" spans="1:16" ht="18.75">
      <c r="A30" s="1"/>
      <c r="B30" s="2" t="s">
        <v>11</v>
      </c>
      <c r="C30" s="1"/>
      <c r="D30" s="1"/>
      <c r="E30" s="1"/>
      <c r="F30" s="1"/>
      <c r="G30" s="2"/>
      <c r="H30" s="2"/>
      <c r="I30" s="6"/>
      <c r="J30" s="6">
        <v>20000</v>
      </c>
      <c r="K30" s="6"/>
      <c r="L30" s="6">
        <f>SUM(I30:K30)</f>
        <v>20000</v>
      </c>
      <c r="M30" s="3">
        <f>L30</f>
        <v>20000</v>
      </c>
      <c r="N30" s="33"/>
      <c r="O30" s="33"/>
      <c r="P30" s="33"/>
    </row>
    <row r="31" spans="1:16" ht="18.75">
      <c r="A31" s="1"/>
      <c r="B31" s="1"/>
      <c r="C31" s="1"/>
      <c r="D31" s="1"/>
      <c r="E31" s="1"/>
      <c r="F31" s="1"/>
      <c r="G31" s="2"/>
      <c r="H31" s="2"/>
      <c r="I31" s="3"/>
      <c r="J31" s="3"/>
      <c r="K31" s="3"/>
      <c r="L31" s="3"/>
      <c r="M31" s="2"/>
      <c r="N31" s="33"/>
      <c r="O31" s="33"/>
      <c r="P31" s="33"/>
    </row>
    <row r="32" spans="1:16" ht="18.75">
      <c r="A32" s="1" t="s">
        <v>209</v>
      </c>
      <c r="B32" s="1"/>
      <c r="C32" s="1"/>
      <c r="D32" s="1"/>
      <c r="E32" s="1"/>
      <c r="F32" s="1"/>
      <c r="G32" s="2"/>
      <c r="H32" s="2"/>
      <c r="I32" s="3"/>
      <c r="J32" s="3"/>
      <c r="K32" s="3"/>
      <c r="L32" s="3"/>
      <c r="M32" s="2"/>
      <c r="N32" s="33"/>
      <c r="O32" s="33"/>
      <c r="P32" s="33"/>
    </row>
    <row r="33" spans="1:16" ht="18.75">
      <c r="A33" s="2"/>
      <c r="B33" s="2" t="s">
        <v>213</v>
      </c>
      <c r="C33" s="2"/>
      <c r="D33" s="2"/>
      <c r="E33" s="2"/>
      <c r="F33" s="2"/>
      <c r="G33" s="2"/>
      <c r="H33" s="2"/>
      <c r="I33" s="3">
        <v>1245902</v>
      </c>
      <c r="J33" s="3"/>
      <c r="K33" s="3"/>
      <c r="L33" s="3">
        <f>SUM(I33:K33)</f>
        <v>1245902</v>
      </c>
      <c r="M33" s="3"/>
      <c r="N33" s="33"/>
      <c r="O33" s="33"/>
      <c r="P33" s="33"/>
    </row>
    <row r="34" spans="1:16" ht="18.75">
      <c r="A34" s="2"/>
      <c r="B34" s="2" t="s">
        <v>29</v>
      </c>
      <c r="C34" s="2"/>
      <c r="D34" s="2"/>
      <c r="E34" s="2"/>
      <c r="F34" s="2"/>
      <c r="G34" s="2"/>
      <c r="H34" s="2"/>
      <c r="I34" s="3">
        <v>7253</v>
      </c>
      <c r="J34" s="3"/>
      <c r="K34" s="3"/>
      <c r="L34" s="3">
        <f>SUM(I34:K34)</f>
        <v>7253</v>
      </c>
      <c r="M34" s="3"/>
      <c r="N34" s="33"/>
      <c r="O34" s="33"/>
      <c r="P34" s="33"/>
    </row>
    <row r="35" spans="1:16" ht="18.75">
      <c r="A35" s="2"/>
      <c r="B35" s="2" t="s">
        <v>34</v>
      </c>
      <c r="C35" s="2"/>
      <c r="D35" s="2"/>
      <c r="E35" s="2"/>
      <c r="F35" s="2"/>
      <c r="G35" s="2"/>
      <c r="H35" s="2"/>
      <c r="I35" s="3">
        <v>259207</v>
      </c>
      <c r="J35" s="3"/>
      <c r="K35" s="3"/>
      <c r="L35" s="3">
        <f t="shared" ref="L35:L36" si="5">SUM(I35:K35)</f>
        <v>259207</v>
      </c>
      <c r="M35" s="3"/>
      <c r="N35" s="33"/>
      <c r="O35" s="33"/>
      <c r="P35" s="33"/>
    </row>
    <row r="36" spans="1:16" ht="18.75">
      <c r="A36" s="2"/>
      <c r="B36" s="2" t="s">
        <v>115</v>
      </c>
      <c r="C36" s="2"/>
      <c r="D36" s="2"/>
      <c r="E36" s="2"/>
      <c r="F36" s="2"/>
      <c r="G36" s="2"/>
      <c r="H36" s="2"/>
      <c r="I36" s="3">
        <v>-1163125</v>
      </c>
      <c r="J36" s="3">
        <v>-36640</v>
      </c>
      <c r="K36" s="3"/>
      <c r="L36" s="3">
        <f t="shared" si="5"/>
        <v>-1199765</v>
      </c>
      <c r="M36" s="3"/>
      <c r="N36" s="33"/>
      <c r="O36" s="33"/>
      <c r="P36" s="33"/>
    </row>
    <row r="37" spans="1:16" ht="18.75">
      <c r="A37" s="1"/>
      <c r="B37" s="1"/>
      <c r="C37" s="1" t="s">
        <v>214</v>
      </c>
      <c r="D37" s="1"/>
      <c r="E37" s="1"/>
      <c r="F37" s="1"/>
      <c r="G37" s="1"/>
      <c r="H37" s="2"/>
      <c r="I37" s="12">
        <f>SUM(I33:I36)</f>
        <v>349237</v>
      </c>
      <c r="J37" s="12">
        <f>SUM(J33:J36)</f>
        <v>-36640</v>
      </c>
      <c r="K37" s="12">
        <f>SUM(K33:K35)</f>
        <v>0</v>
      </c>
      <c r="L37" s="12">
        <f>SUM(L33:L35)</f>
        <v>1512362</v>
      </c>
      <c r="M37" s="3">
        <f>SUM(L37)</f>
        <v>1512362</v>
      </c>
      <c r="N37" s="33"/>
      <c r="O37" s="33"/>
      <c r="P37" s="33"/>
    </row>
    <row r="38" spans="1:16" ht="18.75">
      <c r="A38" s="2"/>
      <c r="B38" s="2"/>
      <c r="C38" s="1"/>
      <c r="D38" s="2"/>
      <c r="E38" s="2"/>
      <c r="F38" s="2"/>
      <c r="G38" s="2"/>
      <c r="H38" s="2"/>
      <c r="I38" s="15"/>
      <c r="J38" s="15"/>
      <c r="K38" s="15"/>
      <c r="L38" s="15"/>
      <c r="M38" s="2"/>
      <c r="N38" s="33"/>
      <c r="O38" s="33"/>
      <c r="P38" s="33"/>
    </row>
    <row r="39" spans="1:16" ht="18.75">
      <c r="A39" s="1" t="s">
        <v>19</v>
      </c>
      <c r="B39" s="2"/>
      <c r="C39" s="1"/>
      <c r="D39" s="2"/>
      <c r="E39" s="2"/>
      <c r="F39" s="2"/>
      <c r="G39" s="2"/>
      <c r="H39" s="2"/>
      <c r="I39" s="15"/>
      <c r="J39" s="15"/>
      <c r="K39" s="15"/>
      <c r="L39" s="15"/>
      <c r="M39" s="2"/>
      <c r="O39" s="33"/>
    </row>
    <row r="40" spans="1:16" ht="18.75">
      <c r="A40" s="2"/>
      <c r="B40" s="2" t="s">
        <v>213</v>
      </c>
      <c r="C40" s="1"/>
      <c r="D40" s="2"/>
      <c r="E40" s="2"/>
      <c r="F40" s="2"/>
      <c r="G40" s="2"/>
      <c r="H40" s="2"/>
      <c r="I40" s="133" t="s">
        <v>59</v>
      </c>
      <c r="J40" s="133"/>
      <c r="K40" s="133"/>
      <c r="L40" s="134"/>
      <c r="M40" s="128"/>
      <c r="O40" s="33"/>
    </row>
    <row r="41" spans="1:16" ht="18.75">
      <c r="A41" s="2"/>
      <c r="B41" s="2" t="s">
        <v>33</v>
      </c>
      <c r="C41" s="1"/>
      <c r="D41" s="2"/>
      <c r="E41" s="2"/>
      <c r="F41" s="2"/>
      <c r="G41" s="2"/>
      <c r="H41" s="2"/>
      <c r="I41" s="133"/>
      <c r="J41" s="133"/>
      <c r="K41" s="133"/>
      <c r="L41" s="134"/>
      <c r="M41" s="128"/>
    </row>
    <row r="42" spans="1:16" ht="18.75">
      <c r="A42" s="2"/>
      <c r="B42" s="2" t="s">
        <v>34</v>
      </c>
      <c r="C42" s="1"/>
      <c r="D42" s="2"/>
      <c r="E42" s="2"/>
      <c r="F42" s="2"/>
      <c r="G42" s="2"/>
      <c r="H42" s="2"/>
      <c r="I42" s="133"/>
      <c r="J42" s="130"/>
      <c r="K42" s="130"/>
      <c r="L42" s="134"/>
      <c r="M42" s="128"/>
    </row>
    <row r="43" spans="1:16" ht="18.75">
      <c r="A43" s="1"/>
      <c r="B43" s="1"/>
      <c r="C43" s="1" t="s">
        <v>20</v>
      </c>
      <c r="D43" s="1"/>
      <c r="E43" s="1"/>
      <c r="F43" s="1"/>
      <c r="G43" s="1"/>
      <c r="H43" s="2"/>
      <c r="I43" s="12">
        <f>SUM(I40:I42)</f>
        <v>0</v>
      </c>
      <c r="L43" s="12">
        <f>SUM(I43:K43)</f>
        <v>0</v>
      </c>
      <c r="M43" s="3"/>
    </row>
    <row r="44" spans="1:16" ht="18.75">
      <c r="A44" s="1"/>
      <c r="B44" s="1"/>
      <c r="C44" s="1" t="s">
        <v>21</v>
      </c>
      <c r="D44" s="1"/>
      <c r="E44" s="1"/>
      <c r="F44" s="1"/>
      <c r="G44" s="1"/>
      <c r="H44" s="2"/>
      <c r="I44" s="12">
        <f>SUM(I33:I36)</f>
        <v>349237</v>
      </c>
      <c r="J44" s="12">
        <f>SUM(J42+J37)</f>
        <v>-36640</v>
      </c>
      <c r="K44" s="12">
        <f>SUM(K42+K37)</f>
        <v>0</v>
      </c>
      <c r="L44" s="12">
        <f t="shared" ref="L44" si="6">SUM(L43+L37)</f>
        <v>1512362</v>
      </c>
      <c r="M44" s="2"/>
    </row>
    <row r="45" spans="1:16" ht="18.75">
      <c r="A45" s="2"/>
      <c r="B45" s="1"/>
      <c r="C45" s="1" t="s">
        <v>44</v>
      </c>
      <c r="D45" s="2"/>
      <c r="E45" s="2"/>
      <c r="F45" s="2"/>
      <c r="G45" s="2"/>
      <c r="H45" s="2"/>
      <c r="I45" s="14">
        <f>SUM(I43+I37)</f>
        <v>349237</v>
      </c>
      <c r="J45" s="14">
        <f>SUM(J42+J37)</f>
        <v>-36640</v>
      </c>
      <c r="K45" s="14">
        <f>SUM(K42+K37)</f>
        <v>0</v>
      </c>
      <c r="L45" s="14">
        <f t="shared" ref="L45" si="7">SUM(L43+L37)</f>
        <v>1512362</v>
      </c>
      <c r="M45" s="3">
        <f>SUM(M37+O37)</f>
        <v>1512362</v>
      </c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4"/>
  <sheetViews>
    <sheetView zoomScale="89" zoomScaleNormal="89" workbookViewId="0">
      <selection activeCell="I31" sqref="I31"/>
    </sheetView>
  </sheetViews>
  <sheetFormatPr defaultColWidth="8.85546875" defaultRowHeight="15"/>
  <cols>
    <col min="9" max="9" width="18.7109375" customWidth="1"/>
    <col min="10" max="11" width="15.28515625" customWidth="1"/>
    <col min="12" max="12" width="18.7109375" customWidth="1"/>
    <col min="13" max="13" width="17.42578125" customWidth="1"/>
  </cols>
  <sheetData>
    <row r="1" spans="1:13" ht="18.75">
      <c r="A1" s="2"/>
      <c r="B1" s="2"/>
      <c r="C1" s="2"/>
      <c r="D1" s="159" t="s">
        <v>215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6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3" ht="18.75">
      <c r="A7" s="2"/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 t="s">
        <v>51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1" t="s">
        <v>8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2"/>
    </row>
    <row r="10" spans="1:13" ht="18.75">
      <c r="A10" s="1" t="s">
        <v>9</v>
      </c>
      <c r="B10" s="1"/>
      <c r="C10" s="1"/>
      <c r="D10" s="1"/>
      <c r="E10" s="1"/>
      <c r="F10" s="1"/>
      <c r="G10" s="2"/>
      <c r="H10" s="2"/>
      <c r="I10" s="3"/>
      <c r="J10" s="3"/>
      <c r="K10" s="3"/>
      <c r="L10" s="3"/>
      <c r="M10" s="2"/>
    </row>
    <row r="11" spans="1:13" ht="18.75">
      <c r="A11" s="2"/>
      <c r="B11" s="2" t="s">
        <v>10</v>
      </c>
      <c r="C11" s="2"/>
      <c r="D11" s="2"/>
      <c r="E11" s="2"/>
      <c r="F11" s="2"/>
      <c r="G11" s="2"/>
      <c r="H11" s="2"/>
      <c r="I11" s="3">
        <v>2466687</v>
      </c>
      <c r="J11" s="3">
        <v>35488</v>
      </c>
      <c r="K11" s="3"/>
      <c r="L11" s="3">
        <f>SUM(I11:K11)</f>
        <v>2502175</v>
      </c>
      <c r="M11" s="3">
        <f>SUM(L11)</f>
        <v>2502175</v>
      </c>
    </row>
    <row r="12" spans="1:13" ht="18.75">
      <c r="A12" s="2"/>
      <c r="B12" s="2" t="s">
        <v>11</v>
      </c>
      <c r="C12" s="2"/>
      <c r="D12" s="2"/>
      <c r="E12" s="2"/>
      <c r="F12" s="2"/>
      <c r="G12" s="2"/>
      <c r="H12" s="2"/>
      <c r="I12" s="3">
        <v>5040099</v>
      </c>
      <c r="J12" s="3">
        <v>2440961</v>
      </c>
      <c r="K12" s="3">
        <v>-1459802</v>
      </c>
      <c r="L12" s="3">
        <f>SUM(I12:K12)</f>
        <v>6021258</v>
      </c>
      <c r="M12" s="3">
        <f>SUM(L12)</f>
        <v>6021258</v>
      </c>
    </row>
    <row r="13" spans="1:13" ht="18.75">
      <c r="A13" s="2"/>
      <c r="B13" s="1"/>
      <c r="C13" s="1" t="s">
        <v>70</v>
      </c>
      <c r="D13" s="1"/>
      <c r="E13" s="1"/>
      <c r="F13" s="1"/>
      <c r="G13" s="1"/>
      <c r="H13" s="1"/>
      <c r="I13" s="12">
        <f>SUM(I11:I12)</f>
        <v>7506786</v>
      </c>
      <c r="J13" s="12">
        <f>SUM(J11:J12)</f>
        <v>2476449</v>
      </c>
      <c r="K13" s="12">
        <f>SUM(K11:K12)</f>
        <v>-1459802</v>
      </c>
      <c r="L13" s="12">
        <f>SUM(L11:L12)</f>
        <v>8523433</v>
      </c>
      <c r="M13" s="1"/>
    </row>
    <row r="14" spans="1:13" ht="18.75">
      <c r="A14" s="2"/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2"/>
    </row>
    <row r="15" spans="1:13" ht="18.75">
      <c r="A15" s="2"/>
      <c r="B15" s="2"/>
      <c r="C15" s="2"/>
      <c r="D15" s="2"/>
      <c r="E15" s="2"/>
      <c r="F15" s="2"/>
      <c r="G15" s="2"/>
      <c r="H15" s="2"/>
      <c r="I15" s="3"/>
      <c r="J15" s="3"/>
      <c r="K15" s="3"/>
      <c r="L15" s="3"/>
      <c r="M15" s="2"/>
    </row>
    <row r="16" spans="1:13" ht="18.75">
      <c r="A16" s="1" t="s">
        <v>216</v>
      </c>
      <c r="B16" s="2"/>
      <c r="C16" s="2"/>
      <c r="D16" s="2"/>
      <c r="E16" s="2"/>
      <c r="F16" s="2"/>
      <c r="G16" s="2"/>
      <c r="H16" s="2"/>
      <c r="I16" s="3"/>
      <c r="J16" s="3"/>
      <c r="K16" s="3"/>
      <c r="L16" s="3"/>
      <c r="M16" s="2"/>
    </row>
    <row r="17" spans="1:13" ht="18.75">
      <c r="A17" s="2"/>
      <c r="B17" s="2" t="s">
        <v>217</v>
      </c>
      <c r="C17" s="2"/>
      <c r="D17" s="2"/>
      <c r="E17" s="2"/>
      <c r="F17" s="2"/>
      <c r="G17" s="2"/>
      <c r="H17" s="2"/>
      <c r="I17" s="3">
        <v>10470</v>
      </c>
      <c r="J17" s="3"/>
      <c r="K17" s="3"/>
      <c r="L17" s="3">
        <f>SUM(I17:K17)</f>
        <v>10470</v>
      </c>
      <c r="M17" s="2"/>
    </row>
    <row r="18" spans="1:13" ht="18.75">
      <c r="A18" s="2"/>
      <c r="B18" s="2" t="s">
        <v>14</v>
      </c>
      <c r="C18" s="2"/>
      <c r="D18" s="2"/>
      <c r="E18" s="2"/>
      <c r="F18" s="2"/>
      <c r="G18" s="2"/>
      <c r="H18" s="2"/>
      <c r="I18" s="3">
        <v>31908823</v>
      </c>
      <c r="J18" s="3">
        <v>1292378</v>
      </c>
      <c r="K18" s="3"/>
      <c r="L18" s="3">
        <f>SUM(I18:K18)</f>
        <v>33201201</v>
      </c>
      <c r="M18" s="2"/>
    </row>
    <row r="19" spans="1:13" ht="18.75">
      <c r="A19" s="2"/>
      <c r="B19" s="2" t="s">
        <v>71</v>
      </c>
      <c r="C19" s="2"/>
      <c r="D19" s="2"/>
      <c r="E19" s="2"/>
      <c r="F19" s="2"/>
      <c r="G19" s="2"/>
      <c r="H19" s="2"/>
      <c r="I19" s="3">
        <v>10675628</v>
      </c>
      <c r="J19" s="3">
        <v>979357</v>
      </c>
      <c r="K19" s="3"/>
      <c r="L19" s="3">
        <f>SUM(I19:K19)</f>
        <v>11654985</v>
      </c>
      <c r="M19" s="2"/>
    </row>
    <row r="20" spans="1:13" ht="18.75">
      <c r="A20" s="2"/>
      <c r="B20" s="2" t="s">
        <v>17</v>
      </c>
      <c r="C20" s="2"/>
      <c r="D20" s="2"/>
      <c r="E20" s="2"/>
      <c r="F20" s="2"/>
      <c r="G20" s="2"/>
      <c r="H20" s="2"/>
      <c r="I20" s="3">
        <v>122899489</v>
      </c>
      <c r="J20" s="3">
        <v>1147991</v>
      </c>
      <c r="K20" s="3"/>
      <c r="L20" s="3">
        <f>SUM(I20:K20)</f>
        <v>124047480</v>
      </c>
      <c r="M20" s="2"/>
    </row>
    <row r="21" spans="1:13" ht="18.75">
      <c r="A21" s="2"/>
      <c r="B21" s="2"/>
      <c r="C21" s="1" t="s">
        <v>18</v>
      </c>
      <c r="D21" s="2"/>
      <c r="E21" s="2"/>
      <c r="F21" s="2"/>
      <c r="G21" s="2"/>
      <c r="H21" s="2"/>
      <c r="I21" s="13">
        <f>SUM(I13:I20)</f>
        <v>173001196</v>
      </c>
      <c r="J21" s="13">
        <f t="shared" ref="J21:L21" si="0">SUM(J13:J20)</f>
        <v>5896175</v>
      </c>
      <c r="K21" s="13">
        <f t="shared" si="0"/>
        <v>-1459802</v>
      </c>
      <c r="L21" s="13">
        <f t="shared" si="0"/>
        <v>177437569</v>
      </c>
      <c r="M21" s="2"/>
    </row>
    <row r="22" spans="1:13" ht="18.75">
      <c r="A22" s="2"/>
      <c r="B22" s="2"/>
      <c r="C22" s="1"/>
      <c r="D22" s="2"/>
      <c r="E22" s="2"/>
      <c r="F22" s="2"/>
      <c r="G22" s="2"/>
      <c r="H22" s="2"/>
      <c r="I22" s="15"/>
      <c r="J22" s="15"/>
      <c r="K22" s="15"/>
      <c r="L22" s="15"/>
      <c r="M22" s="2"/>
    </row>
    <row r="23" spans="1:13" ht="18.75">
      <c r="A23" s="2" t="s">
        <v>19</v>
      </c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2"/>
    </row>
    <row r="24" spans="1:13" ht="18.75">
      <c r="A24" s="2"/>
      <c r="B24" s="2" t="s">
        <v>217</v>
      </c>
      <c r="C24" s="2"/>
      <c r="D24" s="2"/>
      <c r="E24" s="2"/>
      <c r="F24" s="2"/>
      <c r="G24" s="2"/>
      <c r="H24" s="2"/>
      <c r="I24" s="3">
        <v>7898</v>
      </c>
      <c r="J24" s="3">
        <v>524</v>
      </c>
      <c r="K24" s="3"/>
      <c r="L24" s="3">
        <f>SUM(I24:K24)</f>
        <v>8422</v>
      </c>
      <c r="M24" s="3">
        <f>SUM(L17-L24)</f>
        <v>2048</v>
      </c>
    </row>
    <row r="25" spans="1:13" ht="18.75">
      <c r="A25" s="2"/>
      <c r="B25" s="2" t="s">
        <v>14</v>
      </c>
      <c r="C25" s="2"/>
      <c r="D25" s="2"/>
      <c r="E25" s="2"/>
      <c r="F25" s="2"/>
      <c r="G25" s="2"/>
      <c r="H25" s="2"/>
      <c r="I25" s="3">
        <v>17932366</v>
      </c>
      <c r="J25" s="3">
        <v>769878</v>
      </c>
      <c r="K25" s="3"/>
      <c r="L25" s="3">
        <f t="shared" ref="L25:L27" si="1">SUM(I25:K25)</f>
        <v>18702244</v>
      </c>
      <c r="M25" s="3">
        <f t="shared" ref="M25:M27" si="2">SUM(L18-L25)</f>
        <v>14498957</v>
      </c>
    </row>
    <row r="26" spans="1:13" ht="18.75">
      <c r="A26" s="2"/>
      <c r="B26" s="2" t="s">
        <v>71</v>
      </c>
      <c r="C26" s="2"/>
      <c r="D26" s="2"/>
      <c r="E26" s="2"/>
      <c r="F26" s="2"/>
      <c r="G26" s="2"/>
      <c r="H26" s="2"/>
      <c r="I26" s="3">
        <v>7174810</v>
      </c>
      <c r="J26" s="3">
        <v>713225</v>
      </c>
      <c r="K26" s="3"/>
      <c r="L26" s="3">
        <f t="shared" si="1"/>
        <v>7888035</v>
      </c>
      <c r="M26" s="3">
        <f t="shared" si="2"/>
        <v>3766950</v>
      </c>
    </row>
    <row r="27" spans="1:13" ht="18.75">
      <c r="A27" s="2"/>
      <c r="B27" s="2" t="s">
        <v>17</v>
      </c>
      <c r="C27" s="2"/>
      <c r="D27" s="2"/>
      <c r="E27" s="2"/>
      <c r="F27" s="2"/>
      <c r="G27" s="2"/>
      <c r="H27" s="2"/>
      <c r="I27" s="3">
        <v>53665374</v>
      </c>
      <c r="J27" s="3">
        <v>3044559</v>
      </c>
      <c r="K27" s="3"/>
      <c r="L27" s="3">
        <f t="shared" si="1"/>
        <v>56709933</v>
      </c>
      <c r="M27" s="3">
        <f t="shared" si="2"/>
        <v>67337547</v>
      </c>
    </row>
    <row r="28" spans="1:13" ht="18.75">
      <c r="A28" s="1"/>
      <c r="B28" s="1"/>
      <c r="C28" s="1" t="s">
        <v>20</v>
      </c>
      <c r="D28" s="1"/>
      <c r="E28" s="1"/>
      <c r="F28" s="1"/>
      <c r="G28" s="1"/>
      <c r="H28" s="1"/>
      <c r="I28" s="10">
        <f>SUM(I24:I27)</f>
        <v>78780448</v>
      </c>
      <c r="J28" s="10">
        <f>SUM(J24:J27)</f>
        <v>4528186</v>
      </c>
      <c r="K28" s="10">
        <f>SUM(K24:K27)</f>
        <v>0</v>
      </c>
      <c r="L28" s="10">
        <f>SUM(L24:L27)</f>
        <v>83308634</v>
      </c>
      <c r="M28" s="1"/>
    </row>
    <row r="29" spans="1:13" ht="18.75">
      <c r="A29" s="1"/>
      <c r="B29" s="1"/>
      <c r="C29" s="1"/>
      <c r="D29" s="1"/>
      <c r="E29" s="1"/>
      <c r="F29" s="1"/>
      <c r="G29" s="1"/>
      <c r="H29" s="1"/>
      <c r="I29" s="10"/>
      <c r="J29" s="10"/>
      <c r="K29" s="10"/>
      <c r="L29" s="10"/>
      <c r="M29" s="1"/>
    </row>
    <row r="30" spans="1:13" ht="18.75">
      <c r="A30" s="1"/>
      <c r="B30" s="1" t="s">
        <v>21</v>
      </c>
      <c r="C30" s="1"/>
      <c r="D30" s="1"/>
      <c r="E30" s="1"/>
      <c r="F30" s="1"/>
      <c r="G30" s="1"/>
      <c r="H30" s="1"/>
      <c r="I30" s="10">
        <f>SUM(I21-I28)</f>
        <v>94220748</v>
      </c>
      <c r="J30" s="10">
        <f>SUM(J21-J28)</f>
        <v>1367989</v>
      </c>
      <c r="K30" s="10">
        <f>SUM(K21-K28)</f>
        <v>-1459802</v>
      </c>
      <c r="L30" s="10">
        <f>SUM(L21-L28)</f>
        <v>94128935</v>
      </c>
      <c r="M30" s="15">
        <f>SUM(M11:M27)</f>
        <v>94128935</v>
      </c>
    </row>
    <row r="31" spans="1:13" ht="18.75">
      <c r="A31" s="1"/>
      <c r="B31" s="1"/>
      <c r="C31" s="1"/>
      <c r="D31" s="1"/>
      <c r="E31" s="1"/>
      <c r="F31" s="1"/>
      <c r="G31" s="1"/>
      <c r="H31" s="1"/>
      <c r="I31" s="30"/>
      <c r="J31" s="30"/>
      <c r="K31" s="30"/>
      <c r="L31" s="30"/>
      <c r="M31" s="1"/>
    </row>
    <row r="32" spans="1:13" ht="18.75">
      <c r="A32" s="2"/>
      <c r="B32" s="1"/>
      <c r="C32" s="2"/>
      <c r="D32" s="2"/>
      <c r="E32" s="2"/>
      <c r="F32" s="2"/>
      <c r="G32" s="2"/>
      <c r="H32" s="2"/>
      <c r="I32" s="15"/>
      <c r="J32" s="15"/>
      <c r="K32" s="15"/>
      <c r="L32" s="15"/>
      <c r="M32" s="2"/>
    </row>
    <row r="33" spans="1:13" ht="18.75">
      <c r="A33" s="2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2"/>
    </row>
    <row r="34" spans="1:13" ht="18.75">
      <c r="A34" s="2"/>
      <c r="B34" s="2"/>
      <c r="C34" s="2"/>
      <c r="D34" s="2"/>
      <c r="E34" s="2"/>
      <c r="F34" s="2"/>
      <c r="G34" s="2"/>
      <c r="H34" s="2"/>
      <c r="I34" s="3"/>
      <c r="J34" s="3"/>
      <c r="K34" s="3"/>
      <c r="L34" s="3"/>
      <c r="M34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K50"/>
  <sheetViews>
    <sheetView topLeftCell="A34" zoomScaleNormal="100" zoomScalePageLayoutView="90" workbookViewId="0">
      <selection activeCell="I41" sqref="I41"/>
    </sheetView>
  </sheetViews>
  <sheetFormatPr defaultColWidth="8.85546875" defaultRowHeight="15"/>
  <cols>
    <col min="4" max="4" width="20.140625" customWidth="1"/>
    <col min="5" max="5" width="13.42578125" customWidth="1"/>
    <col min="6" max="6" width="13.7109375" customWidth="1"/>
    <col min="7" max="7" width="17.42578125" customWidth="1"/>
    <col min="8" max="8" width="12.140625" customWidth="1"/>
    <col min="9" max="9" width="14.28515625" customWidth="1"/>
    <col min="10" max="10" width="13.7109375" customWidth="1"/>
    <col min="11" max="11" width="15.28515625" customWidth="1"/>
  </cols>
  <sheetData>
    <row r="1" spans="2:11" ht="47.25" customHeight="1">
      <c r="C1" s="55"/>
      <c r="D1" s="160" t="s">
        <v>218</v>
      </c>
      <c r="E1" s="160"/>
      <c r="F1" s="160"/>
      <c r="G1" s="160"/>
    </row>
    <row r="2" spans="2:11" ht="15.75" customHeight="1">
      <c r="C2" s="55"/>
      <c r="D2" s="160" t="s">
        <v>1</v>
      </c>
      <c r="E2" s="160"/>
      <c r="F2" s="160"/>
      <c r="G2" s="160"/>
    </row>
    <row r="3" spans="2:11" ht="31.5" customHeight="1">
      <c r="C3" s="55"/>
      <c r="D3" s="160" t="s">
        <v>2</v>
      </c>
      <c r="E3" s="160"/>
      <c r="F3" s="160"/>
      <c r="G3" s="160"/>
    </row>
    <row r="5" spans="2:11">
      <c r="B5" s="37" t="s">
        <v>219</v>
      </c>
    </row>
    <row r="6" spans="2:11" ht="33" customHeight="1">
      <c r="D6" s="52"/>
      <c r="E6" s="53" t="s">
        <v>10</v>
      </c>
      <c r="F6" s="53" t="s">
        <v>220</v>
      </c>
      <c r="G6" s="53" t="s">
        <v>221</v>
      </c>
      <c r="H6" s="53" t="s">
        <v>17</v>
      </c>
      <c r="I6" s="53" t="s">
        <v>222</v>
      </c>
      <c r="J6" s="53" t="s">
        <v>208</v>
      </c>
    </row>
    <row r="7" spans="2:11">
      <c r="C7" t="s">
        <v>223</v>
      </c>
      <c r="E7" s="50">
        <v>3105380</v>
      </c>
      <c r="F7" s="50">
        <v>22208945</v>
      </c>
      <c r="G7" s="50">
        <v>40466792</v>
      </c>
      <c r="H7" s="50">
        <v>84241904</v>
      </c>
      <c r="I7" s="50">
        <v>28732575</v>
      </c>
      <c r="J7" s="50">
        <f>SUM(E7:I7)</f>
        <v>178755596</v>
      </c>
      <c r="K7" s="50"/>
    </row>
    <row r="8" spans="2:11">
      <c r="D8" t="s">
        <v>63</v>
      </c>
      <c r="E8">
        <v>127000</v>
      </c>
      <c r="F8" s="50">
        <v>1222654</v>
      </c>
      <c r="G8" s="50">
        <v>558443</v>
      </c>
      <c r="H8" s="50">
        <v>2550340</v>
      </c>
      <c r="I8" s="50">
        <v>3701643</v>
      </c>
      <c r="J8" s="50">
        <f t="shared" ref="J8:J10" si="0">SUM(E8:I8)</f>
        <v>8160080</v>
      </c>
      <c r="K8" s="50"/>
    </row>
    <row r="9" spans="2:11">
      <c r="D9" t="s">
        <v>224</v>
      </c>
      <c r="F9" s="50">
        <v>-22208945</v>
      </c>
      <c r="G9" s="50">
        <v>22208945</v>
      </c>
      <c r="H9" s="50"/>
      <c r="I9" s="50"/>
      <c r="J9" s="50"/>
      <c r="K9" s="50"/>
    </row>
    <row r="10" spans="2:11">
      <c r="D10" t="s">
        <v>68</v>
      </c>
      <c r="I10" s="50"/>
      <c r="J10" s="50">
        <f t="shared" si="0"/>
        <v>0</v>
      </c>
      <c r="K10" s="50"/>
    </row>
    <row r="11" spans="2:11">
      <c r="C11" t="s">
        <v>225</v>
      </c>
      <c r="E11" s="51">
        <f>SUM(E7:E10)</f>
        <v>3232380</v>
      </c>
      <c r="F11" s="51">
        <f t="shared" ref="F11:J11" si="1">SUM(F7:F10)</f>
        <v>1222654</v>
      </c>
      <c r="G11" s="51">
        <f t="shared" si="1"/>
        <v>63234180</v>
      </c>
      <c r="H11" s="51">
        <f t="shared" si="1"/>
        <v>86792244</v>
      </c>
      <c r="I11" s="51">
        <f t="shared" si="1"/>
        <v>32434218</v>
      </c>
      <c r="J11" s="51">
        <f t="shared" si="1"/>
        <v>186915676</v>
      </c>
      <c r="K11" s="50"/>
    </row>
    <row r="12" spans="2:11">
      <c r="J12" t="s">
        <v>226</v>
      </c>
    </row>
    <row r="13" spans="2:11">
      <c r="B13" s="37" t="s">
        <v>227</v>
      </c>
      <c r="J13" t="s">
        <v>226</v>
      </c>
    </row>
    <row r="14" spans="2:11">
      <c r="C14" t="s">
        <v>228</v>
      </c>
      <c r="G14" s="50"/>
      <c r="H14" s="50"/>
      <c r="I14" s="50"/>
      <c r="J14" s="50"/>
      <c r="K14" s="50"/>
    </row>
    <row r="15" spans="2:11">
      <c r="C15" t="s">
        <v>229</v>
      </c>
      <c r="G15" s="50">
        <v>9471575</v>
      </c>
      <c r="H15" s="50">
        <v>29050535</v>
      </c>
      <c r="I15" s="50">
        <v>24955750</v>
      </c>
      <c r="J15" s="50">
        <f t="shared" ref="J15:J17" si="2">SUM(E15:I15)</f>
        <v>63477860</v>
      </c>
      <c r="K15" s="50"/>
    </row>
    <row r="16" spans="2:11">
      <c r="D16" t="s">
        <v>63</v>
      </c>
      <c r="G16" s="50">
        <v>1514193</v>
      </c>
      <c r="H16" s="50">
        <v>2861280</v>
      </c>
      <c r="I16" s="50">
        <v>1360393</v>
      </c>
      <c r="J16" s="50">
        <f t="shared" si="2"/>
        <v>5735866</v>
      </c>
      <c r="K16" s="50"/>
    </row>
    <row r="17" spans="2:11">
      <c r="D17" t="s">
        <v>68</v>
      </c>
      <c r="E17" s="56"/>
      <c r="F17" s="56"/>
      <c r="G17" s="56"/>
      <c r="H17" s="56"/>
      <c r="I17" s="57"/>
      <c r="J17" s="57">
        <f t="shared" si="2"/>
        <v>0</v>
      </c>
      <c r="K17" s="50"/>
    </row>
    <row r="18" spans="2:11">
      <c r="C18" t="s">
        <v>115</v>
      </c>
      <c r="F18" t="s">
        <v>230</v>
      </c>
      <c r="G18" s="50"/>
      <c r="H18" s="50"/>
      <c r="I18" s="50"/>
      <c r="J18" s="50"/>
    </row>
    <row r="19" spans="2:11">
      <c r="C19" t="s">
        <v>231</v>
      </c>
      <c r="E19" s="51">
        <f>SUM(E15:E17)</f>
        <v>0</v>
      </c>
      <c r="F19" s="51">
        <f t="shared" ref="F19:J19" si="3">SUM(F15:F17)</f>
        <v>0</v>
      </c>
      <c r="G19" s="51">
        <f t="shared" si="3"/>
        <v>10985768</v>
      </c>
      <c r="H19" s="51">
        <f t="shared" si="3"/>
        <v>31911815</v>
      </c>
      <c r="I19" s="51">
        <f t="shared" si="3"/>
        <v>26316143</v>
      </c>
      <c r="J19" s="51">
        <f t="shared" si="3"/>
        <v>69213726</v>
      </c>
      <c r="K19" s="50"/>
    </row>
    <row r="20" spans="2:11">
      <c r="B20" s="37"/>
      <c r="C20" s="37"/>
      <c r="D20" s="37"/>
      <c r="G20" s="50"/>
      <c r="H20" s="50"/>
      <c r="I20" s="50"/>
      <c r="J20" s="50"/>
    </row>
    <row r="21" spans="2:11">
      <c r="B21" s="37"/>
      <c r="C21" s="37"/>
      <c r="D21" s="37"/>
      <c r="J21" t="s">
        <v>226</v>
      </c>
    </row>
    <row r="22" spans="2:11">
      <c r="B22" s="37"/>
      <c r="C22" s="37" t="s">
        <v>232</v>
      </c>
      <c r="D22" s="37"/>
      <c r="E22" s="50"/>
      <c r="F22" s="50"/>
      <c r="G22" s="50"/>
      <c r="H22" s="50"/>
      <c r="I22" s="50"/>
      <c r="J22" s="50"/>
      <c r="K22" s="50"/>
    </row>
    <row r="23" spans="2:11">
      <c r="B23" s="37"/>
      <c r="C23" s="37" t="s">
        <v>233</v>
      </c>
      <c r="D23" s="37"/>
      <c r="E23" s="50"/>
      <c r="F23" s="50"/>
      <c r="G23" s="50"/>
      <c r="H23" s="50"/>
      <c r="I23" s="50"/>
      <c r="J23" s="50"/>
    </row>
    <row r="24" spans="2:11">
      <c r="B24" s="37"/>
      <c r="C24" s="37" t="s">
        <v>231</v>
      </c>
      <c r="D24" s="54"/>
      <c r="E24" s="58">
        <f t="shared" ref="E24:J24" si="4">SUM(E11- E19)</f>
        <v>3232380</v>
      </c>
      <c r="F24" s="58">
        <f t="shared" si="4"/>
        <v>1222654</v>
      </c>
      <c r="G24" s="58">
        <f t="shared" si="4"/>
        <v>52248412</v>
      </c>
      <c r="H24" s="58">
        <f t="shared" si="4"/>
        <v>54880429</v>
      </c>
      <c r="I24" s="58">
        <f t="shared" si="4"/>
        <v>6118075</v>
      </c>
      <c r="J24" s="58">
        <f t="shared" si="4"/>
        <v>117701950</v>
      </c>
    </row>
    <row r="26" spans="2:11" ht="15.75">
      <c r="C26" s="110" t="s">
        <v>7</v>
      </c>
      <c r="D26" s="110"/>
      <c r="E26" s="111">
        <f>E11</f>
        <v>3232380</v>
      </c>
      <c r="F26" s="111">
        <f>F11</f>
        <v>1222654</v>
      </c>
      <c r="G26" s="111">
        <f>SUM(G24)</f>
        <v>52248412</v>
      </c>
      <c r="H26" s="111">
        <f>SUM(H24)</f>
        <v>54880429</v>
      </c>
      <c r="I26" s="111">
        <f>SUM(I24)</f>
        <v>6118075</v>
      </c>
      <c r="J26" s="111">
        <f>SUM(J24)</f>
        <v>117701950</v>
      </c>
    </row>
    <row r="28" spans="2:11" ht="19.5" customHeight="1">
      <c r="B28" s="37" t="s">
        <v>234</v>
      </c>
    </row>
    <row r="29" spans="2:11" ht="31.5" customHeight="1">
      <c r="D29" s="53"/>
      <c r="E29" s="53" t="s">
        <v>10</v>
      </c>
      <c r="F29" s="53" t="s">
        <v>220</v>
      </c>
      <c r="G29" s="53" t="s">
        <v>221</v>
      </c>
      <c r="H29" s="53" t="s">
        <v>34</v>
      </c>
      <c r="I29" s="53" t="s">
        <v>208</v>
      </c>
    </row>
    <row r="30" spans="2:11">
      <c r="C30" t="s">
        <v>223</v>
      </c>
      <c r="E30" s="50">
        <v>193511</v>
      </c>
      <c r="F30" s="50">
        <v>687059</v>
      </c>
      <c r="G30" s="50">
        <v>19198701</v>
      </c>
      <c r="H30" s="50">
        <v>1314793</v>
      </c>
      <c r="I30" s="50">
        <f>SUM(E30:H30)</f>
        <v>21394064</v>
      </c>
    </row>
    <row r="31" spans="2:11">
      <c r="D31" t="s">
        <v>63</v>
      </c>
      <c r="F31" s="50">
        <v>286708</v>
      </c>
      <c r="G31" s="50">
        <v>395439</v>
      </c>
      <c r="H31" s="50">
        <v>208394</v>
      </c>
      <c r="I31" s="50">
        <f>SUM(F31:H31)</f>
        <v>890541</v>
      </c>
    </row>
    <row r="32" spans="2:11">
      <c r="D32" t="s">
        <v>235</v>
      </c>
      <c r="F32">
        <v>-973767</v>
      </c>
      <c r="G32" s="50">
        <v>973767</v>
      </c>
      <c r="H32" s="50"/>
      <c r="I32" s="50">
        <f t="shared" ref="I32:I33" si="5">SUM(F32:H32)</f>
        <v>0</v>
      </c>
      <c r="J32" s="50"/>
    </row>
    <row r="33" spans="2:10">
      <c r="D33" t="s">
        <v>68</v>
      </c>
      <c r="G33" s="50">
        <v>-20267</v>
      </c>
      <c r="H33">
        <v>-260883</v>
      </c>
      <c r="I33" s="50">
        <f t="shared" si="5"/>
        <v>-281150</v>
      </c>
      <c r="J33" s="50"/>
    </row>
    <row r="34" spans="2:10">
      <c r="C34" t="s">
        <v>225</v>
      </c>
      <c r="E34" s="51">
        <f>SUM(E30:E33)</f>
        <v>193511</v>
      </c>
      <c r="F34" s="51">
        <f t="shared" ref="F34:G34" si="6">SUM(F30:F33)</f>
        <v>0</v>
      </c>
      <c r="G34" s="51">
        <f t="shared" si="6"/>
        <v>20547640</v>
      </c>
      <c r="H34" s="51">
        <f>SUM(H30:H33)</f>
        <v>1262304</v>
      </c>
      <c r="I34" s="51">
        <f>SUM(I30:I33)</f>
        <v>22003455</v>
      </c>
      <c r="J34" s="50"/>
    </row>
    <row r="36" spans="2:10">
      <c r="B36" s="37" t="s">
        <v>227</v>
      </c>
    </row>
    <row r="37" spans="2:10">
      <c r="C37" t="s">
        <v>228</v>
      </c>
      <c r="G37" s="50"/>
      <c r="H37" s="50"/>
      <c r="I37" s="50"/>
      <c r="J37" s="50"/>
    </row>
    <row r="38" spans="2:10">
      <c r="C38" t="s">
        <v>236</v>
      </c>
      <c r="G38" s="50">
        <v>9490499</v>
      </c>
      <c r="H38" s="50">
        <v>977796</v>
      </c>
      <c r="I38" s="50">
        <f>SUM(E38:H38)</f>
        <v>10468295</v>
      </c>
    </row>
    <row r="39" spans="2:10">
      <c r="D39" t="s">
        <v>63</v>
      </c>
      <c r="G39" s="50">
        <v>534019</v>
      </c>
      <c r="H39" s="50">
        <v>79644</v>
      </c>
      <c r="I39" s="50">
        <f>SUM(E39:H39)</f>
        <v>613663</v>
      </c>
    </row>
    <row r="40" spans="2:10">
      <c r="D40" t="s">
        <v>235</v>
      </c>
      <c r="I40" s="50">
        <f t="shared" ref="I40:I41" si="7">SUM(E40:H40)</f>
        <v>0</v>
      </c>
    </row>
    <row r="41" spans="2:10">
      <c r="D41" t="s">
        <v>68</v>
      </c>
      <c r="G41" s="50"/>
      <c r="H41" s="50">
        <v>-281150</v>
      </c>
      <c r="I41" s="50">
        <f t="shared" si="7"/>
        <v>-281150</v>
      </c>
    </row>
    <row r="42" spans="2:10">
      <c r="C42" t="s">
        <v>228</v>
      </c>
      <c r="G42" s="50"/>
      <c r="H42" s="50"/>
      <c r="I42" s="50"/>
    </row>
    <row r="43" spans="2:10">
      <c r="C43" t="s">
        <v>229</v>
      </c>
      <c r="E43" s="51">
        <f t="shared" ref="E43:F43" si="8">SUM(E38:E41)</f>
        <v>0</v>
      </c>
      <c r="F43" s="51">
        <f t="shared" si="8"/>
        <v>0</v>
      </c>
      <c r="G43" s="51">
        <f>SUM(G38:G41)</f>
        <v>10024518</v>
      </c>
      <c r="H43" s="51">
        <f>SUM(H38:H41)</f>
        <v>776290</v>
      </c>
      <c r="I43" s="51">
        <f>SUM(I38:I41)</f>
        <v>10800808</v>
      </c>
      <c r="J43" s="50"/>
    </row>
    <row r="45" spans="2:10">
      <c r="B45" s="37"/>
      <c r="C45" s="37" t="s">
        <v>237</v>
      </c>
      <c r="D45" s="37"/>
      <c r="E45" s="50"/>
      <c r="F45" s="50"/>
      <c r="G45" s="50"/>
      <c r="H45" s="50"/>
      <c r="I45" s="50"/>
      <c r="J45" s="50"/>
    </row>
    <row r="46" spans="2:10">
      <c r="B46" s="37"/>
      <c r="C46" s="37" t="s">
        <v>238</v>
      </c>
      <c r="D46" s="37"/>
      <c r="E46" s="50"/>
      <c r="F46" s="50"/>
      <c r="G46" s="50"/>
      <c r="H46" s="50"/>
      <c r="I46" s="50"/>
      <c r="J46" s="50"/>
    </row>
    <row r="47" spans="2:10">
      <c r="B47" s="37"/>
      <c r="C47" s="37" t="s">
        <v>229</v>
      </c>
      <c r="D47" s="37"/>
      <c r="E47" s="57">
        <f>SUM(E34-E43)</f>
        <v>193511</v>
      </c>
      <c r="F47" s="57">
        <f t="shared" ref="F47:H47" si="9">SUM(F34-F43)</f>
        <v>0</v>
      </c>
      <c r="G47" s="57">
        <f t="shared" si="9"/>
        <v>10523122</v>
      </c>
      <c r="H47" s="57">
        <f t="shared" si="9"/>
        <v>486014</v>
      </c>
      <c r="I47" s="57">
        <f>SUM(I34-I43)</f>
        <v>11202647</v>
      </c>
      <c r="J47" s="50"/>
    </row>
    <row r="50" spans="3:10" ht="15.75">
      <c r="C50" s="110" t="s">
        <v>239</v>
      </c>
      <c r="D50" s="110"/>
      <c r="E50" s="111">
        <f>SUM(E47)</f>
        <v>193511</v>
      </c>
      <c r="F50" s="111">
        <f t="shared" ref="F50:I50" si="10">SUM(F47)</f>
        <v>0</v>
      </c>
      <c r="G50" s="111">
        <f t="shared" si="10"/>
        <v>10523122</v>
      </c>
      <c r="H50" s="111">
        <f>SUM(H47)</f>
        <v>486014</v>
      </c>
      <c r="I50" s="111">
        <f t="shared" si="10"/>
        <v>11202647</v>
      </c>
      <c r="J50" s="111"/>
    </row>
  </sheetData>
  <mergeCells count="3">
    <mergeCell ref="D1:G1"/>
    <mergeCell ref="D2:G2"/>
    <mergeCell ref="D3:G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9"/>
  <sheetViews>
    <sheetView topLeftCell="A7" zoomScaleNormal="100" workbookViewId="0">
      <selection activeCell="O31" sqref="O31"/>
    </sheetView>
  </sheetViews>
  <sheetFormatPr defaultColWidth="8.85546875" defaultRowHeight="15"/>
  <cols>
    <col min="9" max="9" width="17.7109375" customWidth="1"/>
    <col min="10" max="10" width="17.140625" customWidth="1"/>
    <col min="11" max="11" width="16.7109375" customWidth="1"/>
    <col min="12" max="12" width="17.42578125" customWidth="1"/>
    <col min="13" max="13" width="16.7109375" customWidth="1"/>
  </cols>
  <sheetData>
    <row r="1" spans="1:13" ht="18.75">
      <c r="A1" s="2"/>
      <c r="B1" s="2"/>
      <c r="C1" s="2"/>
      <c r="D1" s="159" t="s">
        <v>240</v>
      </c>
      <c r="E1" s="159"/>
      <c r="F1" s="159"/>
      <c r="G1" s="159"/>
      <c r="H1" s="159"/>
      <c r="I1" s="159"/>
      <c r="J1" s="3"/>
      <c r="K1" s="3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241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2"/>
    </row>
    <row r="7" spans="1:13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2"/>
    </row>
    <row r="8" spans="1:13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2"/>
    </row>
    <row r="9" spans="1:13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2"/>
      <c r="M9" s="33"/>
    </row>
    <row r="10" spans="1:13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433912</v>
      </c>
      <c r="J10" s="3"/>
      <c r="K10" s="3"/>
      <c r="L10" s="3">
        <f>SUM(I10:K10)</f>
        <v>433912</v>
      </c>
      <c r="M10" s="34">
        <f>L10</f>
        <v>433912</v>
      </c>
    </row>
    <row r="11" spans="1:13" ht="18.75">
      <c r="A11" s="2"/>
      <c r="B11" s="2" t="s">
        <v>200</v>
      </c>
      <c r="C11" s="2"/>
      <c r="D11" s="2"/>
      <c r="E11" s="2"/>
      <c r="F11" s="2"/>
      <c r="G11" s="2"/>
      <c r="H11" s="2"/>
      <c r="I11" s="3">
        <v>25909</v>
      </c>
      <c r="J11" s="3">
        <v>318799</v>
      </c>
      <c r="K11" s="3">
        <v>-344708</v>
      </c>
      <c r="L11" s="3">
        <f t="shared" ref="L11" si="0">SUM(I11:K11)</f>
        <v>0</v>
      </c>
      <c r="M11" s="34">
        <f t="shared" ref="M11" si="1">L11</f>
        <v>0</v>
      </c>
    </row>
    <row r="12" spans="1:13" ht="18.75">
      <c r="A12" s="1"/>
      <c r="B12" s="1"/>
      <c r="C12" s="1" t="s">
        <v>92</v>
      </c>
      <c r="D12" s="1"/>
      <c r="E12" s="1"/>
      <c r="F12" s="1"/>
      <c r="G12" s="1"/>
      <c r="H12" s="1"/>
      <c r="I12" s="12">
        <f>SUM(I10:I11)</f>
        <v>459821</v>
      </c>
      <c r="J12" s="12">
        <f>SUM(J10:J11)</f>
        <v>318799</v>
      </c>
      <c r="K12" s="12">
        <f>SUM(K10:K11)</f>
        <v>-344708</v>
      </c>
      <c r="L12" s="12">
        <f>SUM(L10:L11)</f>
        <v>433912</v>
      </c>
      <c r="M12" s="39"/>
    </row>
    <row r="13" spans="1:13" ht="18.7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2"/>
      <c r="M13" s="33"/>
    </row>
    <row r="14" spans="1:13" ht="18.75">
      <c r="A14" s="1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2"/>
      <c r="M14" s="33"/>
    </row>
    <row r="15" spans="1:13" ht="18.75">
      <c r="A15" s="2"/>
      <c r="B15" s="2" t="s">
        <v>14</v>
      </c>
      <c r="C15" s="2"/>
      <c r="D15" s="2"/>
      <c r="E15" s="2"/>
      <c r="F15" s="2"/>
      <c r="G15" s="2"/>
      <c r="H15" s="2"/>
      <c r="I15" s="3">
        <v>9080640</v>
      </c>
      <c r="J15" s="3">
        <v>344708</v>
      </c>
      <c r="K15" s="3"/>
      <c r="L15" s="3">
        <f t="shared" ref="L15:L18" si="2">SUM(I15:K15)</f>
        <v>9425348</v>
      </c>
      <c r="M15" s="33"/>
    </row>
    <row r="16" spans="1:13" ht="18.75">
      <c r="A16" s="2"/>
      <c r="B16" s="2" t="s">
        <v>31</v>
      </c>
      <c r="C16" s="2"/>
      <c r="D16" s="2"/>
      <c r="E16" s="2"/>
      <c r="F16" s="2"/>
      <c r="G16" s="2"/>
      <c r="H16" s="2"/>
      <c r="I16" s="3">
        <v>2610534</v>
      </c>
      <c r="J16" s="3">
        <v>79544</v>
      </c>
      <c r="K16" s="3"/>
      <c r="L16" s="3">
        <f t="shared" si="2"/>
        <v>2690078</v>
      </c>
      <c r="M16" s="33"/>
    </row>
    <row r="17" spans="1:13" ht="18.75">
      <c r="A17" s="2"/>
      <c r="B17" s="2" t="s">
        <v>242</v>
      </c>
      <c r="C17" s="2"/>
      <c r="D17" s="2"/>
      <c r="E17" s="2"/>
      <c r="F17" s="2"/>
      <c r="G17" s="2"/>
      <c r="H17" s="2"/>
      <c r="I17" s="3">
        <v>3867020</v>
      </c>
      <c r="J17" s="3">
        <v>263886</v>
      </c>
      <c r="K17" s="3">
        <v>-72640</v>
      </c>
      <c r="L17" s="3">
        <f>SUM(I17:K17)</f>
        <v>4058266</v>
      </c>
      <c r="M17" s="33"/>
    </row>
    <row r="18" spans="1:13" ht="18.75">
      <c r="A18" s="2"/>
      <c r="B18" s="2" t="s">
        <v>243</v>
      </c>
      <c r="C18" s="2"/>
      <c r="D18" s="2"/>
      <c r="E18" s="2"/>
      <c r="F18" s="2"/>
      <c r="G18" s="2"/>
      <c r="H18" s="2"/>
      <c r="I18" s="3">
        <v>18597632</v>
      </c>
      <c r="J18" s="3">
        <v>2453053</v>
      </c>
      <c r="K18" s="3"/>
      <c r="L18" s="3">
        <f t="shared" si="2"/>
        <v>21050685</v>
      </c>
      <c r="M18" s="33"/>
    </row>
    <row r="19" spans="1:13" ht="18.75">
      <c r="A19" s="2"/>
      <c r="B19" s="2"/>
      <c r="C19" s="1" t="s">
        <v>18</v>
      </c>
      <c r="D19" s="2"/>
      <c r="E19" s="2"/>
      <c r="F19" s="2"/>
      <c r="G19" s="2"/>
      <c r="H19" s="2"/>
      <c r="I19" s="13">
        <f>SUM(I15:I18)</f>
        <v>34155826</v>
      </c>
      <c r="J19" s="13">
        <f>SUM(J15:J18)</f>
        <v>3141191</v>
      </c>
      <c r="K19" s="13">
        <f>SUM(K15:K18)</f>
        <v>-72640</v>
      </c>
      <c r="L19" s="13">
        <f>SUM(L15:L18)</f>
        <v>37224377</v>
      </c>
      <c r="M19" s="33"/>
    </row>
    <row r="20" spans="1:13" ht="18.75">
      <c r="A20" s="2"/>
      <c r="B20" s="2"/>
      <c r="C20" s="1"/>
      <c r="D20" s="2"/>
      <c r="E20" s="2"/>
      <c r="F20" s="2"/>
      <c r="G20" s="2"/>
      <c r="H20" s="2"/>
      <c r="I20" s="13"/>
      <c r="J20" s="13"/>
      <c r="K20" s="13"/>
      <c r="L20" s="13"/>
      <c r="M20" s="33"/>
    </row>
    <row r="21" spans="1:13" ht="18.75">
      <c r="A21" s="2" t="s">
        <v>19</v>
      </c>
      <c r="B21" s="2"/>
      <c r="C21" s="1"/>
      <c r="D21" s="2"/>
      <c r="E21" s="2"/>
      <c r="F21" s="2"/>
      <c r="G21" s="2"/>
      <c r="H21" s="2"/>
      <c r="I21" s="13"/>
      <c r="J21" s="13"/>
      <c r="K21" s="13"/>
      <c r="L21" s="13"/>
      <c r="M21" s="33"/>
    </row>
    <row r="22" spans="1:13" ht="18.75">
      <c r="A22" s="2"/>
      <c r="B22" s="2" t="s">
        <v>14</v>
      </c>
      <c r="C22" s="1"/>
      <c r="D22" s="2"/>
      <c r="E22" s="2"/>
      <c r="F22" s="2"/>
      <c r="G22" s="2"/>
      <c r="H22" s="2"/>
      <c r="I22" s="3">
        <v>2734796</v>
      </c>
      <c r="J22" s="3">
        <v>226345</v>
      </c>
      <c r="K22" s="3"/>
      <c r="L22" s="3">
        <f>SUM(I22:K22)</f>
        <v>2961141</v>
      </c>
      <c r="M22" s="48">
        <f>SUM(L15-L22)</f>
        <v>6464207</v>
      </c>
    </row>
    <row r="23" spans="1:13" ht="18.75">
      <c r="A23" s="2"/>
      <c r="B23" s="2" t="s">
        <v>31</v>
      </c>
      <c r="C23" s="1"/>
      <c r="D23" s="2"/>
      <c r="E23" s="2"/>
      <c r="F23" s="2"/>
      <c r="G23" s="2"/>
      <c r="H23" s="2"/>
      <c r="I23" s="3">
        <v>1766758</v>
      </c>
      <c r="J23" s="3">
        <v>166330</v>
      </c>
      <c r="K23" s="3"/>
      <c r="L23" s="3">
        <f t="shared" ref="L23:L24" si="3">SUM(I23:K23)</f>
        <v>1933088</v>
      </c>
      <c r="M23" s="48">
        <f t="shared" ref="M23:M25" si="4">SUM(L16-L23)</f>
        <v>756990</v>
      </c>
    </row>
    <row r="24" spans="1:13" ht="18.75">
      <c r="A24" s="2"/>
      <c r="B24" s="2" t="s">
        <v>242</v>
      </c>
      <c r="C24" s="1"/>
      <c r="D24" s="2"/>
      <c r="E24" s="2"/>
      <c r="F24" s="2"/>
      <c r="G24" s="2"/>
      <c r="H24" s="2"/>
      <c r="I24" s="3">
        <v>2138762</v>
      </c>
      <c r="J24" s="3">
        <v>488370</v>
      </c>
      <c r="K24" s="3">
        <v>-72640</v>
      </c>
      <c r="L24" s="3">
        <f t="shared" si="3"/>
        <v>2554492</v>
      </c>
      <c r="M24" s="48">
        <f t="shared" si="4"/>
        <v>1503774</v>
      </c>
    </row>
    <row r="25" spans="1:13" ht="18.75">
      <c r="A25" s="2"/>
      <c r="B25" s="2" t="s">
        <v>243</v>
      </c>
      <c r="C25" s="1"/>
      <c r="D25" s="2"/>
      <c r="E25" s="2"/>
      <c r="F25" s="2"/>
      <c r="G25" s="2"/>
      <c r="H25" s="2"/>
      <c r="I25" s="3">
        <v>11523977</v>
      </c>
      <c r="J25" s="3">
        <v>1452838</v>
      </c>
      <c r="K25" s="3"/>
      <c r="L25" s="3">
        <f>SUM(I25:K25)</f>
        <v>12976815</v>
      </c>
      <c r="M25" s="48">
        <f t="shared" si="4"/>
        <v>8073870</v>
      </c>
    </row>
    <row r="26" spans="1:13" ht="18.75">
      <c r="A26" s="2"/>
      <c r="B26" s="2"/>
      <c r="C26" s="1" t="s">
        <v>20</v>
      </c>
      <c r="D26" s="2"/>
      <c r="E26" s="2"/>
      <c r="F26" s="2"/>
      <c r="G26" s="2"/>
      <c r="H26" s="2"/>
      <c r="I26" s="13">
        <f>SUM(I22:I25)</f>
        <v>18164293</v>
      </c>
      <c r="J26" s="13">
        <f>SUM(J22:J25)</f>
        <v>2333883</v>
      </c>
      <c r="K26" s="13">
        <f>SUM(K22:K25)</f>
        <v>-72640</v>
      </c>
      <c r="L26" s="13">
        <f>SUM(L22:L25)</f>
        <v>20425536</v>
      </c>
      <c r="M26" s="33"/>
    </row>
    <row r="27" spans="1:13" ht="18.75">
      <c r="A27" s="1"/>
      <c r="B27" s="1" t="s">
        <v>21</v>
      </c>
      <c r="C27" s="1"/>
      <c r="D27" s="1"/>
      <c r="E27" s="1"/>
      <c r="F27" s="1"/>
      <c r="G27" s="1"/>
      <c r="H27" s="1"/>
      <c r="I27" s="10">
        <f>SUM(I19-I26)</f>
        <v>15991533</v>
      </c>
      <c r="J27" s="10">
        <f t="shared" ref="J27:L27" si="5">SUM(J19-J26)</f>
        <v>807308</v>
      </c>
      <c r="K27" s="10">
        <f t="shared" si="5"/>
        <v>0</v>
      </c>
      <c r="L27" s="10">
        <f t="shared" si="5"/>
        <v>16798841</v>
      </c>
      <c r="M27" s="33"/>
    </row>
    <row r="28" spans="1:13" ht="18.75">
      <c r="A28" s="1"/>
      <c r="B28" s="1"/>
      <c r="C28" s="1"/>
      <c r="D28" s="1"/>
      <c r="E28" s="1"/>
      <c r="F28" s="1"/>
      <c r="G28" s="1"/>
      <c r="H28" s="1"/>
      <c r="I28" s="30"/>
      <c r="J28" s="30"/>
      <c r="K28" s="30"/>
      <c r="L28" s="1"/>
    </row>
    <row r="29" spans="1:13" ht="18.75">
      <c r="A29" s="2"/>
      <c r="B29" s="1" t="s">
        <v>118</v>
      </c>
      <c r="C29" s="2"/>
      <c r="D29" s="2"/>
      <c r="E29" s="2"/>
      <c r="F29" s="2"/>
      <c r="G29" s="2"/>
      <c r="H29" s="2"/>
      <c r="I29" s="14">
        <f>I12+I27</f>
        <v>16451354</v>
      </c>
      <c r="J29" s="14">
        <f>J12+J27</f>
        <v>1126107</v>
      </c>
      <c r="K29" s="14">
        <f>K12+K27</f>
        <v>-344708</v>
      </c>
      <c r="L29" s="14">
        <f>L12+L27</f>
        <v>17232753</v>
      </c>
      <c r="M29" s="36">
        <f>SUM(M10:M25)</f>
        <v>17232753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37"/>
  <sheetViews>
    <sheetView topLeftCell="A7" zoomScale="90" zoomScaleNormal="90" workbookViewId="0">
      <selection activeCell="Q27" sqref="Q27"/>
    </sheetView>
  </sheetViews>
  <sheetFormatPr defaultColWidth="8.85546875" defaultRowHeight="15"/>
  <cols>
    <col min="9" max="9" width="16.28515625" customWidth="1"/>
    <col min="10" max="10" width="15.42578125" customWidth="1"/>
    <col min="11" max="11" width="16.140625" customWidth="1"/>
    <col min="12" max="12" width="15.28515625" customWidth="1"/>
    <col min="13" max="13" width="15.42578125" customWidth="1"/>
    <col min="14" max="14" width="16.85546875" customWidth="1"/>
  </cols>
  <sheetData>
    <row r="1" spans="1:14" ht="18.75">
      <c r="A1" s="2"/>
      <c r="B1" s="2"/>
      <c r="C1" s="2"/>
      <c r="D1" s="159" t="s">
        <v>244</v>
      </c>
      <c r="E1" s="159"/>
      <c r="F1" s="159"/>
      <c r="G1" s="159"/>
      <c r="H1" s="159"/>
      <c r="I1" s="159"/>
      <c r="J1" s="3"/>
      <c r="K1" s="3"/>
      <c r="L1" s="3"/>
      <c r="M1" s="3"/>
      <c r="N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3"/>
      <c r="N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3"/>
      <c r="N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3"/>
      <c r="N4" s="2"/>
    </row>
    <row r="5" spans="1:14" ht="49.5" customHeight="1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69</v>
      </c>
      <c r="M5" s="11" t="s">
        <v>6</v>
      </c>
      <c r="N5" s="11" t="s">
        <v>7</v>
      </c>
    </row>
    <row r="6" spans="1:14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16"/>
      <c r="N6" s="2"/>
    </row>
    <row r="7" spans="1:14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3"/>
      <c r="N7" s="2"/>
    </row>
    <row r="8" spans="1:14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3"/>
      <c r="N8" s="2"/>
    </row>
    <row r="9" spans="1:14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3"/>
      <c r="N9" s="2"/>
    </row>
    <row r="10" spans="1:14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846907</v>
      </c>
      <c r="J10" s="3"/>
      <c r="K10" s="3"/>
      <c r="L10" s="3"/>
      <c r="M10" s="3">
        <f>SUM(I10:L10)</f>
        <v>846907</v>
      </c>
      <c r="N10" s="3">
        <f>SUM(M10)</f>
        <v>846907</v>
      </c>
    </row>
    <row r="11" spans="1:14" ht="18.75">
      <c r="A11" s="2"/>
      <c r="B11" s="2" t="s">
        <v>11</v>
      </c>
      <c r="C11" s="2"/>
      <c r="D11" s="2"/>
      <c r="E11" s="2"/>
      <c r="F11" s="2"/>
      <c r="G11" s="2"/>
      <c r="H11" s="2"/>
      <c r="I11" s="3">
        <v>767244</v>
      </c>
      <c r="J11" s="3">
        <v>1145166</v>
      </c>
      <c r="K11" s="3">
        <v>-738439</v>
      </c>
      <c r="L11" s="3"/>
      <c r="M11" s="3">
        <f>SUM(I11:L11)</f>
        <v>1173971</v>
      </c>
      <c r="N11" s="3">
        <f>SUM(M11)</f>
        <v>1173971</v>
      </c>
    </row>
    <row r="12" spans="1:14" ht="18.75">
      <c r="A12" s="1"/>
      <c r="B12" s="1"/>
      <c r="C12" s="1" t="s">
        <v>70</v>
      </c>
      <c r="D12" s="1"/>
      <c r="E12" s="1"/>
      <c r="F12" s="1"/>
      <c r="G12" s="1"/>
      <c r="H12" s="1"/>
      <c r="I12" s="12">
        <f>SUM(I10:I11)</f>
        <v>1614151</v>
      </c>
      <c r="J12" s="12">
        <f t="shared" ref="J12:M12" si="0">SUM(J10:J11)</f>
        <v>1145166</v>
      </c>
      <c r="K12" s="12">
        <f t="shared" si="0"/>
        <v>-738439</v>
      </c>
      <c r="L12" s="12">
        <f t="shared" si="0"/>
        <v>0</v>
      </c>
      <c r="M12" s="12">
        <f t="shared" si="0"/>
        <v>2020878</v>
      </c>
      <c r="N12" s="1"/>
    </row>
    <row r="13" spans="1:14" ht="18.7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2"/>
    </row>
    <row r="14" spans="1:14" ht="18.75">
      <c r="A14" s="1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2"/>
    </row>
    <row r="15" spans="1:14" ht="18.75">
      <c r="A15" s="1"/>
      <c r="B15" s="2" t="s">
        <v>14</v>
      </c>
      <c r="C15" s="2"/>
      <c r="D15" s="2"/>
      <c r="E15" s="2"/>
      <c r="F15" s="2"/>
      <c r="G15" s="2"/>
      <c r="H15" s="2"/>
      <c r="I15" s="3">
        <v>12763114</v>
      </c>
      <c r="J15" s="3">
        <v>521658</v>
      </c>
      <c r="K15" s="3"/>
      <c r="L15" s="3"/>
      <c r="M15" s="3">
        <f>SUM(I15:L15)</f>
        <v>13284772</v>
      </c>
      <c r="N15" s="2"/>
    </row>
    <row r="16" spans="1:14" ht="18.75">
      <c r="A16" s="1"/>
      <c r="B16" s="2" t="s">
        <v>31</v>
      </c>
      <c r="C16" s="2"/>
      <c r="D16" s="2"/>
      <c r="E16" s="2"/>
      <c r="F16" s="2"/>
      <c r="G16" s="2"/>
      <c r="H16" s="2"/>
      <c r="I16" s="3">
        <v>5977409</v>
      </c>
      <c r="J16" s="3">
        <v>339319</v>
      </c>
      <c r="K16" s="3">
        <v>-26962</v>
      </c>
      <c r="L16" s="3"/>
      <c r="M16" s="3">
        <f>SUM(I16:L16)</f>
        <v>6289766</v>
      </c>
      <c r="N16" s="2"/>
    </row>
    <row r="17" spans="1:14" ht="18.75">
      <c r="A17" s="1"/>
      <c r="B17" s="2" t="s">
        <v>245</v>
      </c>
      <c r="C17" s="2"/>
      <c r="D17" s="2"/>
      <c r="E17" s="2"/>
      <c r="F17" s="2"/>
      <c r="G17" s="2"/>
      <c r="H17" s="2"/>
      <c r="I17" s="3">
        <v>2286856</v>
      </c>
      <c r="J17" s="3">
        <v>34383</v>
      </c>
      <c r="K17" s="3">
        <v>-65630</v>
      </c>
      <c r="L17" s="3"/>
      <c r="M17" s="3">
        <f>SUM(I17:L17)</f>
        <v>2255609</v>
      </c>
      <c r="N17" s="2"/>
    </row>
    <row r="18" spans="1:14" ht="18.75">
      <c r="A18" s="2"/>
      <c r="B18" s="2" t="s">
        <v>246</v>
      </c>
      <c r="C18" s="2"/>
      <c r="D18" s="2"/>
      <c r="E18" s="2"/>
      <c r="F18" s="2"/>
      <c r="G18" s="2"/>
      <c r="H18" s="2"/>
      <c r="I18" s="3">
        <v>1642142</v>
      </c>
      <c r="J18" s="3">
        <v>88011</v>
      </c>
      <c r="K18" s="3"/>
      <c r="L18" s="3"/>
      <c r="M18" s="3">
        <f>SUM(I18:L18)</f>
        <v>1730153</v>
      </c>
      <c r="N18" s="2"/>
    </row>
    <row r="19" spans="1:14" ht="18.75">
      <c r="A19" s="2"/>
      <c r="B19" s="2" t="s">
        <v>138</v>
      </c>
      <c r="C19" s="2"/>
      <c r="D19" s="2"/>
      <c r="E19" s="2"/>
      <c r="F19" s="2"/>
      <c r="G19" s="2"/>
      <c r="H19" s="2"/>
      <c r="I19" s="3">
        <v>351515</v>
      </c>
      <c r="J19" s="3">
        <v>6525</v>
      </c>
      <c r="K19" s="3"/>
      <c r="L19" s="3"/>
      <c r="M19" s="3">
        <f t="shared" ref="M19:M21" si="1">SUM(I19:L19)</f>
        <v>358040</v>
      </c>
      <c r="N19" s="2"/>
    </row>
    <row r="20" spans="1:14" ht="18.75">
      <c r="A20" s="2"/>
      <c r="B20" s="2" t="s">
        <v>247</v>
      </c>
      <c r="C20" s="2"/>
      <c r="D20" s="2"/>
      <c r="E20" s="2"/>
      <c r="F20" s="2"/>
      <c r="G20" s="2"/>
      <c r="H20" s="2"/>
      <c r="I20" s="3">
        <v>318782</v>
      </c>
      <c r="J20" s="3"/>
      <c r="K20" s="3"/>
      <c r="L20" s="3"/>
      <c r="M20" s="3">
        <f t="shared" si="1"/>
        <v>318782</v>
      </c>
      <c r="N20" s="2"/>
    </row>
    <row r="21" spans="1:14" ht="18.75">
      <c r="A21" s="2"/>
      <c r="B21" s="2" t="s">
        <v>17</v>
      </c>
      <c r="C21" s="2"/>
      <c r="D21" s="2"/>
      <c r="E21" s="2"/>
      <c r="F21" s="2"/>
      <c r="G21" s="2"/>
      <c r="H21" s="2"/>
      <c r="I21" s="3">
        <v>24213778</v>
      </c>
      <c r="J21" s="3">
        <v>827511</v>
      </c>
      <c r="K21" s="3"/>
      <c r="L21" s="3"/>
      <c r="M21" s="3">
        <f t="shared" si="1"/>
        <v>25041289</v>
      </c>
      <c r="N21" s="2"/>
    </row>
    <row r="22" spans="1:14" ht="18.75">
      <c r="A22" s="2"/>
      <c r="B22" s="2"/>
      <c r="C22" s="1" t="s">
        <v>18</v>
      </c>
      <c r="D22" s="2"/>
      <c r="E22" s="2"/>
      <c r="F22" s="2"/>
      <c r="G22" s="2"/>
      <c r="H22" s="2"/>
      <c r="I22" s="13">
        <f>SUM(I15:I21)</f>
        <v>47553596</v>
      </c>
      <c r="J22" s="13">
        <f t="shared" ref="J22:M22" si="2">SUM(J15:J21)</f>
        <v>1817407</v>
      </c>
      <c r="K22" s="13">
        <f t="shared" si="2"/>
        <v>-92592</v>
      </c>
      <c r="L22" s="13">
        <f t="shared" si="2"/>
        <v>0</v>
      </c>
      <c r="M22" s="13">
        <f t="shared" si="2"/>
        <v>49278411</v>
      </c>
      <c r="N22" s="2"/>
    </row>
    <row r="23" spans="1:14" ht="18.75">
      <c r="A23" s="2"/>
      <c r="B23" s="2"/>
      <c r="C23" s="1"/>
      <c r="D23" s="2"/>
      <c r="E23" s="2"/>
      <c r="F23" s="2"/>
      <c r="G23" s="2"/>
      <c r="H23" s="2"/>
      <c r="I23" s="15"/>
      <c r="J23" s="15"/>
      <c r="K23" s="15"/>
      <c r="L23" s="15"/>
      <c r="M23" s="15"/>
      <c r="N23" s="2"/>
    </row>
    <row r="24" spans="1:14" ht="18.75">
      <c r="A24" s="2" t="s">
        <v>19</v>
      </c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2"/>
    </row>
    <row r="25" spans="1:14" ht="18.75">
      <c r="A25" s="2"/>
      <c r="B25" s="2" t="s">
        <v>14</v>
      </c>
      <c r="C25" s="2"/>
      <c r="D25" s="2"/>
      <c r="E25" s="2"/>
      <c r="F25" s="2"/>
      <c r="G25" s="2"/>
      <c r="H25" s="2"/>
      <c r="I25" s="3">
        <v>4432702</v>
      </c>
      <c r="J25" s="3">
        <v>456588</v>
      </c>
      <c r="K25" s="3"/>
      <c r="L25" s="3"/>
      <c r="M25" s="3">
        <f>SUM(I25:L25)</f>
        <v>4889290</v>
      </c>
      <c r="N25" s="3">
        <f>M15-M25</f>
        <v>8395482</v>
      </c>
    </row>
    <row r="26" spans="1:14" ht="18.75">
      <c r="A26" s="2"/>
      <c r="B26" s="2" t="s">
        <v>31</v>
      </c>
      <c r="C26" s="2"/>
      <c r="D26" s="2"/>
      <c r="E26" s="2"/>
      <c r="F26" s="2"/>
      <c r="G26" s="2"/>
      <c r="H26" s="2"/>
      <c r="I26" s="3">
        <v>3034416</v>
      </c>
      <c r="J26" s="3">
        <v>404251</v>
      </c>
      <c r="K26" s="3">
        <v>-26962</v>
      </c>
      <c r="L26" s="3"/>
      <c r="M26" s="3">
        <f>SUM(I26:L26)</f>
        <v>3411705</v>
      </c>
      <c r="N26" s="3">
        <f t="shared" ref="N26:N31" si="3">M16-M26</f>
        <v>2878061</v>
      </c>
    </row>
    <row r="27" spans="1:14" ht="18.75">
      <c r="A27" s="2"/>
      <c r="B27" s="2" t="s">
        <v>248</v>
      </c>
      <c r="C27" s="2"/>
      <c r="D27" s="2"/>
      <c r="E27" s="2"/>
      <c r="F27" s="2"/>
      <c r="G27" s="2"/>
      <c r="H27" s="2"/>
      <c r="I27" s="3">
        <v>1318038</v>
      </c>
      <c r="J27" s="3">
        <v>150420</v>
      </c>
      <c r="K27" s="3">
        <v>-65630</v>
      </c>
      <c r="L27" s="3"/>
      <c r="M27" s="3">
        <f>SUM(I27:L27)</f>
        <v>1402828</v>
      </c>
      <c r="N27" s="3">
        <f t="shared" si="3"/>
        <v>852781</v>
      </c>
    </row>
    <row r="28" spans="1:14" ht="18.75">
      <c r="A28" s="2"/>
      <c r="B28" s="2" t="s">
        <v>246</v>
      </c>
      <c r="C28" s="2"/>
      <c r="D28" s="2"/>
      <c r="E28" s="2"/>
      <c r="F28" s="2"/>
      <c r="G28" s="2"/>
      <c r="H28" s="2"/>
      <c r="I28" s="3">
        <v>1344664</v>
      </c>
      <c r="J28" s="3">
        <v>79090</v>
      </c>
      <c r="K28" s="3"/>
      <c r="L28" s="3"/>
      <c r="M28" s="3">
        <f>SUM(I28:L28)</f>
        <v>1423754</v>
      </c>
      <c r="N28" s="3">
        <f t="shared" si="3"/>
        <v>306399</v>
      </c>
    </row>
    <row r="29" spans="1:14" ht="18.75">
      <c r="A29" s="2"/>
      <c r="B29" s="2" t="s">
        <v>138</v>
      </c>
      <c r="C29" s="2"/>
      <c r="D29" s="2"/>
      <c r="E29" s="2"/>
      <c r="F29" s="2"/>
      <c r="G29" s="2"/>
      <c r="H29" s="2"/>
      <c r="I29" s="3">
        <v>293559</v>
      </c>
      <c r="J29" s="3">
        <v>21501</v>
      </c>
      <c r="K29" s="3"/>
      <c r="L29" s="3"/>
      <c r="M29" s="3">
        <f t="shared" ref="M29:M31" si="4">SUM(I29:L29)</f>
        <v>315060</v>
      </c>
      <c r="N29" s="3">
        <f t="shared" si="3"/>
        <v>42980</v>
      </c>
    </row>
    <row r="30" spans="1:14" ht="18.75">
      <c r="A30" s="2"/>
      <c r="B30" s="2" t="s">
        <v>247</v>
      </c>
      <c r="C30" s="2"/>
      <c r="D30" s="2"/>
      <c r="E30" s="2"/>
      <c r="F30" s="2"/>
      <c r="G30" s="2"/>
      <c r="H30" s="2"/>
      <c r="I30" s="3">
        <v>79598</v>
      </c>
      <c r="J30" s="3">
        <v>7970</v>
      </c>
      <c r="K30" s="3"/>
      <c r="L30" s="3"/>
      <c r="M30" s="3">
        <f t="shared" si="4"/>
        <v>87568</v>
      </c>
      <c r="N30" s="3">
        <f t="shared" si="3"/>
        <v>231214</v>
      </c>
    </row>
    <row r="31" spans="1:14" ht="18.75">
      <c r="A31" s="2"/>
      <c r="B31" s="2" t="s">
        <v>249</v>
      </c>
      <c r="C31" s="2"/>
      <c r="D31" s="2"/>
      <c r="E31" s="2"/>
      <c r="F31" s="2"/>
      <c r="G31" s="2"/>
      <c r="H31" s="2"/>
      <c r="I31" s="3">
        <v>4681236</v>
      </c>
      <c r="J31" s="3">
        <v>824034</v>
      </c>
      <c r="K31" s="3"/>
      <c r="L31" s="3"/>
      <c r="M31" s="3">
        <f t="shared" si="4"/>
        <v>5505270</v>
      </c>
      <c r="N31" s="3">
        <f t="shared" si="3"/>
        <v>19536019</v>
      </c>
    </row>
    <row r="32" spans="1:14" ht="18.75">
      <c r="A32" s="1"/>
      <c r="B32" s="1"/>
      <c r="C32" s="1" t="s">
        <v>20</v>
      </c>
      <c r="D32" s="1"/>
      <c r="E32" s="1"/>
      <c r="F32" s="1"/>
      <c r="G32" s="1"/>
      <c r="H32" s="1"/>
      <c r="I32" s="10">
        <f>SUM(I25:I31)</f>
        <v>15184213</v>
      </c>
      <c r="J32" s="10">
        <f t="shared" ref="J32:M32" si="5">SUM(J25:J31)</f>
        <v>1943854</v>
      </c>
      <c r="K32" s="10">
        <f t="shared" si="5"/>
        <v>-92592</v>
      </c>
      <c r="L32" s="10">
        <f t="shared" si="5"/>
        <v>0</v>
      </c>
      <c r="M32" s="10">
        <f t="shared" si="5"/>
        <v>17035475</v>
      </c>
      <c r="N32" s="1"/>
    </row>
    <row r="33" spans="1:14" ht="18.75">
      <c r="A33" s="1"/>
      <c r="B33" s="1"/>
      <c r="C33" s="1"/>
      <c r="D33" s="1"/>
      <c r="E33" s="1"/>
      <c r="F33" s="1"/>
      <c r="G33" s="1"/>
      <c r="H33" s="1"/>
      <c r="I33" s="10"/>
      <c r="J33" s="10"/>
      <c r="K33" s="10"/>
      <c r="L33" s="10"/>
      <c r="M33" s="10"/>
      <c r="N33" s="1"/>
    </row>
    <row r="34" spans="1:14" ht="18.75">
      <c r="A34" s="1"/>
      <c r="B34" s="1" t="s">
        <v>21</v>
      </c>
      <c r="C34" s="1"/>
      <c r="D34" s="1"/>
      <c r="E34" s="1"/>
      <c r="F34" s="1"/>
      <c r="G34" s="1"/>
      <c r="H34" s="1"/>
      <c r="I34" s="10">
        <f>I22-I32</f>
        <v>32369383</v>
      </c>
      <c r="J34" s="10">
        <f t="shared" ref="J34:M34" si="6">J22-J32</f>
        <v>-126447</v>
      </c>
      <c r="K34" s="10">
        <f t="shared" si="6"/>
        <v>0</v>
      </c>
      <c r="L34" s="10">
        <f t="shared" si="6"/>
        <v>0</v>
      </c>
      <c r="M34" s="10">
        <f t="shared" si="6"/>
        <v>32242936</v>
      </c>
      <c r="N34" s="1"/>
    </row>
    <row r="35" spans="1:14" ht="18.75">
      <c r="A35" s="1"/>
      <c r="B35" s="1"/>
      <c r="C35" s="1"/>
      <c r="D35" s="1"/>
      <c r="E35" s="1"/>
      <c r="F35" s="1"/>
      <c r="G35" s="1"/>
      <c r="H35" s="1"/>
      <c r="I35" s="30"/>
      <c r="J35" s="30"/>
      <c r="K35" s="30"/>
      <c r="L35" s="30"/>
      <c r="M35" s="30"/>
      <c r="N35" s="1"/>
    </row>
    <row r="36" spans="1:14" ht="19.5" thickBot="1">
      <c r="A36" s="2"/>
      <c r="B36" s="1" t="s">
        <v>22</v>
      </c>
      <c r="C36" s="2"/>
      <c r="D36" s="2"/>
      <c r="E36" s="2"/>
      <c r="F36" s="2"/>
      <c r="G36" s="2"/>
      <c r="H36" s="2"/>
      <c r="I36" s="14">
        <f>I12+I34</f>
        <v>33983534</v>
      </c>
      <c r="J36" s="14">
        <f>J12+J34</f>
        <v>1018719</v>
      </c>
      <c r="K36" s="14">
        <f>K12+K34</f>
        <v>-738439</v>
      </c>
      <c r="L36" s="14">
        <f>L12+L34</f>
        <v>0</v>
      </c>
      <c r="M36" s="14">
        <f>M12+M34</f>
        <v>34263814</v>
      </c>
      <c r="N36" s="3">
        <f>SUM(N25:N31, N10:N12)</f>
        <v>34263814</v>
      </c>
    </row>
    <row r="37" spans="1:14" ht="18.75">
      <c r="A37" s="2"/>
      <c r="B37" s="1"/>
      <c r="C37" s="2"/>
      <c r="D37" s="2"/>
      <c r="E37" s="2"/>
      <c r="F37" s="2"/>
      <c r="G37" s="2"/>
      <c r="H37" s="2"/>
      <c r="I37" s="15"/>
      <c r="J37" s="15"/>
      <c r="K37" s="15"/>
      <c r="L37" s="15"/>
      <c r="M37" s="15"/>
      <c r="N37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61"/>
  <sheetViews>
    <sheetView topLeftCell="A31" zoomScale="80" zoomScaleNormal="80" workbookViewId="0">
      <selection activeCell="R58" sqref="R58"/>
    </sheetView>
  </sheetViews>
  <sheetFormatPr defaultColWidth="8.85546875" defaultRowHeight="15"/>
  <cols>
    <col min="9" max="9" width="16.42578125" customWidth="1"/>
    <col min="10" max="13" width="15.42578125" customWidth="1"/>
    <col min="14" max="14" width="16.85546875" customWidth="1"/>
    <col min="15" max="15" width="15.85546875" customWidth="1"/>
  </cols>
  <sheetData>
    <row r="1" spans="1:15" ht="18.75">
      <c r="A1" s="2"/>
      <c r="B1" s="2"/>
      <c r="C1" s="2"/>
      <c r="D1" s="159" t="s">
        <v>250</v>
      </c>
      <c r="E1" s="159"/>
      <c r="F1" s="159"/>
      <c r="G1" s="159"/>
      <c r="H1" s="159"/>
      <c r="I1" s="159"/>
      <c r="J1" s="3"/>
      <c r="K1" s="3"/>
      <c r="L1" s="3"/>
      <c r="M1" s="3"/>
      <c r="N1" s="3"/>
      <c r="O1" s="2"/>
    </row>
    <row r="2" spans="1:15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3"/>
      <c r="N2" s="3"/>
      <c r="O2" s="2"/>
    </row>
    <row r="3" spans="1:15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3"/>
      <c r="N3" s="3"/>
      <c r="O3" s="2"/>
    </row>
    <row r="4" spans="1:15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3"/>
      <c r="N4" s="3"/>
      <c r="O4" s="2"/>
    </row>
    <row r="5" spans="1:15" ht="56.2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4</v>
      </c>
      <c r="K5" s="11" t="s">
        <v>68</v>
      </c>
      <c r="L5" s="11" t="s">
        <v>251</v>
      </c>
      <c r="M5" s="11" t="s">
        <v>252</v>
      </c>
      <c r="N5" s="11" t="s">
        <v>6</v>
      </c>
      <c r="O5" s="11" t="s">
        <v>7</v>
      </c>
    </row>
    <row r="6" spans="1:15" ht="18.75">
      <c r="A6" s="1" t="s">
        <v>51</v>
      </c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16"/>
      <c r="N6" s="16"/>
      <c r="O6" s="2"/>
    </row>
    <row r="7" spans="1:15" ht="18.75">
      <c r="A7" s="1" t="s">
        <v>8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3"/>
      <c r="N7" s="3"/>
      <c r="O7" s="2"/>
    </row>
    <row r="8" spans="1:15" ht="18.75">
      <c r="A8" s="1" t="s">
        <v>9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3"/>
      <c r="N8" s="3"/>
      <c r="O8" s="2"/>
    </row>
    <row r="9" spans="1:15" ht="18.75">
      <c r="A9" s="2"/>
      <c r="B9" s="2" t="s">
        <v>90</v>
      </c>
      <c r="C9" s="2"/>
      <c r="D9" s="2"/>
      <c r="E9" s="2"/>
      <c r="F9" s="2"/>
      <c r="G9" s="2"/>
      <c r="H9" s="2"/>
      <c r="I9" s="3">
        <v>66997</v>
      </c>
      <c r="J9" s="3"/>
      <c r="K9" s="3"/>
      <c r="L9" s="3">
        <v>254</v>
      </c>
      <c r="M9" s="3"/>
      <c r="N9" s="3">
        <f>SUM(I9:M9)</f>
        <v>67251</v>
      </c>
      <c r="O9" s="3">
        <f>SUM(N9)</f>
        <v>67251</v>
      </c>
    </row>
    <row r="10" spans="1:15" ht="18.75">
      <c r="A10" s="2"/>
      <c r="B10" s="2" t="s">
        <v>11</v>
      </c>
      <c r="C10" s="2"/>
      <c r="D10" s="2"/>
      <c r="E10" s="2"/>
      <c r="F10" s="2"/>
      <c r="G10" s="2"/>
      <c r="H10" s="2"/>
      <c r="I10" s="3">
        <v>166705</v>
      </c>
      <c r="J10" s="3">
        <v>153412</v>
      </c>
      <c r="K10" s="3"/>
      <c r="L10" s="3">
        <v>-166601</v>
      </c>
      <c r="M10" s="3">
        <v>-17783</v>
      </c>
      <c r="N10" s="3">
        <f>SUM(I10:M10)</f>
        <v>135733</v>
      </c>
      <c r="O10" s="3">
        <f>SUM(N10)</f>
        <v>135733</v>
      </c>
    </row>
    <row r="11" spans="1:15" ht="18.75">
      <c r="A11" s="2"/>
      <c r="B11" s="1"/>
      <c r="C11" s="1" t="s">
        <v>70</v>
      </c>
      <c r="D11" s="1"/>
      <c r="E11" s="1"/>
      <c r="F11" s="1"/>
      <c r="G11" s="1"/>
      <c r="H11" s="1"/>
      <c r="I11" s="12">
        <f>SUM(I9:I10)</f>
        <v>233702</v>
      </c>
      <c r="J11" s="12">
        <f>SUM(J9:J10)</f>
        <v>153412</v>
      </c>
      <c r="K11" s="12">
        <f>SUM(K9:K10)</f>
        <v>0</v>
      </c>
      <c r="L11" s="12">
        <f t="shared" ref="L11:M11" si="0">SUM(L9:L10)</f>
        <v>-166347</v>
      </c>
      <c r="M11" s="12">
        <f t="shared" si="0"/>
        <v>-17783</v>
      </c>
      <c r="N11" s="12">
        <f>SUM(N9:N10)</f>
        <v>202984</v>
      </c>
      <c r="O11" s="1"/>
    </row>
    <row r="12" spans="1:15" ht="18.75">
      <c r="A12" s="2"/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2"/>
    </row>
    <row r="13" spans="1:15" ht="18.75">
      <c r="A13" s="2" t="s">
        <v>13</v>
      </c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2"/>
    </row>
    <row r="14" spans="1:15" ht="18.75">
      <c r="A14" s="2"/>
      <c r="B14" s="2" t="s">
        <v>29</v>
      </c>
      <c r="C14" s="2"/>
      <c r="D14" s="2"/>
      <c r="E14" s="2"/>
      <c r="F14" s="2"/>
      <c r="G14" s="2"/>
      <c r="H14" s="2"/>
      <c r="I14" s="3">
        <v>385110</v>
      </c>
      <c r="J14" s="3"/>
      <c r="K14" s="3"/>
      <c r="L14" s="3">
        <v>65242</v>
      </c>
      <c r="M14" s="3">
        <v>169</v>
      </c>
      <c r="N14" s="3">
        <f t="shared" ref="N14:N17" si="1">SUM(I14:M14)</f>
        <v>450521</v>
      </c>
      <c r="O14" s="2"/>
    </row>
    <row r="15" spans="1:15" ht="18.75">
      <c r="A15" s="2"/>
      <c r="B15" s="2" t="s">
        <v>53</v>
      </c>
      <c r="C15" s="2"/>
      <c r="D15" s="2"/>
      <c r="E15" s="2"/>
      <c r="F15" s="2"/>
      <c r="G15" s="2"/>
      <c r="H15" s="2"/>
      <c r="I15" s="3">
        <v>191660</v>
      </c>
      <c r="J15" s="3"/>
      <c r="K15" s="3"/>
      <c r="L15" s="3">
        <v>12561</v>
      </c>
      <c r="M15" s="3">
        <v>-106</v>
      </c>
      <c r="N15" s="3">
        <f t="shared" si="1"/>
        <v>204115</v>
      </c>
      <c r="O15" s="2"/>
    </row>
    <row r="16" spans="1:15" ht="18.75">
      <c r="A16" s="2"/>
      <c r="B16" s="2" t="s">
        <v>31</v>
      </c>
      <c r="C16" s="2"/>
      <c r="D16" s="2"/>
      <c r="E16" s="2"/>
      <c r="F16" s="2"/>
      <c r="G16" s="2"/>
      <c r="H16" s="2"/>
      <c r="I16" s="3">
        <v>59485</v>
      </c>
      <c r="J16" s="3">
        <v>3319</v>
      </c>
      <c r="K16" s="3">
        <v>-301</v>
      </c>
      <c r="L16" s="3"/>
      <c r="M16" s="3">
        <v>241</v>
      </c>
      <c r="N16" s="3">
        <f t="shared" si="1"/>
        <v>62744</v>
      </c>
      <c r="O16" s="2"/>
    </row>
    <row r="17" spans="1:15" ht="18.75">
      <c r="A17" s="2"/>
      <c r="B17" s="2" t="s">
        <v>253</v>
      </c>
      <c r="C17" s="2"/>
      <c r="D17" s="2"/>
      <c r="E17" s="2"/>
      <c r="F17" s="2"/>
      <c r="G17" s="2"/>
      <c r="H17" s="2"/>
      <c r="I17" s="3">
        <v>257852</v>
      </c>
      <c r="J17" s="3">
        <v>1613</v>
      </c>
      <c r="K17" s="3">
        <v>-163</v>
      </c>
      <c r="L17" s="3">
        <v>6158</v>
      </c>
      <c r="M17" s="3">
        <v>210</v>
      </c>
      <c r="N17" s="3">
        <f t="shared" si="1"/>
        <v>265670</v>
      </c>
      <c r="O17" s="2"/>
    </row>
    <row r="18" spans="1:15" ht="18.75">
      <c r="A18" s="2"/>
      <c r="B18" s="2" t="s">
        <v>17</v>
      </c>
      <c r="C18" s="2"/>
      <c r="D18" s="2"/>
      <c r="E18" s="2"/>
      <c r="F18" s="2"/>
      <c r="G18" s="2"/>
      <c r="H18" s="2"/>
      <c r="I18" s="3">
        <v>3090289</v>
      </c>
      <c r="J18" s="3"/>
      <c r="K18" s="3"/>
      <c r="L18" s="3">
        <v>82386</v>
      </c>
      <c r="M18" s="3">
        <v>-100</v>
      </c>
      <c r="N18" s="3">
        <f>SUM(I18:M18)</f>
        <v>3172575</v>
      </c>
      <c r="O18" s="2"/>
    </row>
    <row r="19" spans="1:15" ht="18.75">
      <c r="A19" s="2"/>
      <c r="B19" s="2"/>
      <c r="C19" s="1" t="s">
        <v>18</v>
      </c>
      <c r="D19" s="2"/>
      <c r="E19" s="2"/>
      <c r="F19" s="2"/>
      <c r="G19" s="2"/>
      <c r="H19" s="2"/>
      <c r="I19" s="13">
        <f>SUM(I14:I18)</f>
        <v>3984396</v>
      </c>
      <c r="J19" s="13">
        <f>SUM(J14:J18)</f>
        <v>4932</v>
      </c>
      <c r="K19" s="13">
        <f>SUM(K14:K18)</f>
        <v>-464</v>
      </c>
      <c r="L19" s="13">
        <f t="shared" ref="L19:M19" si="2">SUM(L14:L18)</f>
        <v>166347</v>
      </c>
      <c r="M19" s="13">
        <f t="shared" si="2"/>
        <v>414</v>
      </c>
      <c r="N19" s="13">
        <f>SUM(N14:N18)</f>
        <v>4155625</v>
      </c>
      <c r="O19" s="2"/>
    </row>
    <row r="20" spans="1:15" ht="18.75">
      <c r="A20" s="2"/>
      <c r="B20" s="2"/>
      <c r="C20" s="1"/>
      <c r="D20" s="2"/>
      <c r="E20" s="2"/>
      <c r="F20" s="2"/>
      <c r="G20" s="2"/>
      <c r="H20" s="2"/>
      <c r="I20" s="15"/>
      <c r="J20" s="15"/>
      <c r="K20" s="15"/>
      <c r="L20" s="15"/>
      <c r="M20" s="15"/>
      <c r="N20" s="15"/>
      <c r="O20" s="2"/>
    </row>
    <row r="21" spans="1:15" ht="18.75">
      <c r="A21" s="2" t="s">
        <v>19</v>
      </c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2"/>
    </row>
    <row r="22" spans="1:15" ht="18.75">
      <c r="A22" s="2"/>
      <c r="B22" s="2" t="s">
        <v>128</v>
      </c>
      <c r="C22" s="2"/>
      <c r="D22" s="2"/>
      <c r="E22" s="2"/>
      <c r="F22" s="2"/>
      <c r="G22" s="2"/>
      <c r="H22" s="2"/>
      <c r="I22" s="3">
        <v>180406</v>
      </c>
      <c r="J22" s="3">
        <v>10252</v>
      </c>
      <c r="K22" s="3"/>
      <c r="L22" s="3"/>
      <c r="M22" s="3">
        <v>27</v>
      </c>
      <c r="N22" s="3">
        <f t="shared" ref="N22:N23" si="3">SUM(I22:M22)</f>
        <v>190685</v>
      </c>
      <c r="O22" s="3">
        <f>SUM(N22,N14)</f>
        <v>641206</v>
      </c>
    </row>
    <row r="23" spans="1:15" ht="18.75">
      <c r="A23" s="2"/>
      <c r="B23" s="2" t="s">
        <v>204</v>
      </c>
      <c r="C23" s="2"/>
      <c r="D23" s="2"/>
      <c r="E23" s="2"/>
      <c r="F23" s="2"/>
      <c r="G23" s="2"/>
      <c r="H23" s="2"/>
      <c r="I23" s="3">
        <v>84324</v>
      </c>
      <c r="J23" s="3">
        <v>8002</v>
      </c>
      <c r="K23" s="3"/>
      <c r="L23" s="3"/>
      <c r="M23" s="3">
        <v>-27</v>
      </c>
      <c r="N23" s="3">
        <f t="shared" si="3"/>
        <v>92299</v>
      </c>
      <c r="O23" s="3">
        <f>SUM(N23,N15)</f>
        <v>296414</v>
      </c>
    </row>
    <row r="24" spans="1:15" ht="18.75">
      <c r="A24" s="2"/>
      <c r="B24" s="2" t="s">
        <v>31</v>
      </c>
      <c r="C24" s="2"/>
      <c r="D24" s="2"/>
      <c r="E24" s="2"/>
      <c r="F24" s="2"/>
      <c r="G24" s="2"/>
      <c r="H24" s="2"/>
      <c r="I24" s="3">
        <v>48084</v>
      </c>
      <c r="J24" s="3">
        <v>4322</v>
      </c>
      <c r="K24" s="3">
        <v>-288</v>
      </c>
      <c r="L24" s="3"/>
      <c r="M24" s="3">
        <v>213</v>
      </c>
      <c r="N24" s="3">
        <f>SUM(I24:M24)</f>
        <v>52331</v>
      </c>
      <c r="O24" s="3">
        <f>SUM(N24,N16)</f>
        <v>115075</v>
      </c>
    </row>
    <row r="25" spans="1:15" ht="18.75">
      <c r="A25" s="2"/>
      <c r="B25" s="2" t="s">
        <v>253</v>
      </c>
      <c r="C25" s="2"/>
      <c r="D25" s="2"/>
      <c r="E25" s="2"/>
      <c r="F25" s="2"/>
      <c r="G25" s="2"/>
      <c r="H25" s="2"/>
      <c r="I25" s="3">
        <v>207697</v>
      </c>
      <c r="J25" s="3">
        <v>4108</v>
      </c>
      <c r="K25" s="3">
        <v>-160</v>
      </c>
      <c r="L25" s="3"/>
      <c r="M25" s="3">
        <v>241</v>
      </c>
      <c r="N25" s="3">
        <f t="shared" ref="N25:N26" si="4">SUM(I25:M25)</f>
        <v>211886</v>
      </c>
      <c r="O25" s="3">
        <f>N17+N25</f>
        <v>477556</v>
      </c>
    </row>
    <row r="26" spans="1:15" ht="18.75">
      <c r="A26" s="2"/>
      <c r="B26" s="2" t="s">
        <v>17</v>
      </c>
      <c r="C26" s="2"/>
      <c r="D26" s="2"/>
      <c r="E26" s="2"/>
      <c r="F26" s="2"/>
      <c r="G26" s="2"/>
      <c r="H26" s="2"/>
      <c r="I26" s="3">
        <v>2471124</v>
      </c>
      <c r="J26" s="3">
        <v>24455</v>
      </c>
      <c r="K26" s="3"/>
      <c r="L26" s="3"/>
      <c r="M26" s="3">
        <v>-13</v>
      </c>
      <c r="N26" s="3">
        <f t="shared" si="4"/>
        <v>2495566</v>
      </c>
      <c r="O26" s="3">
        <f>N18+N26</f>
        <v>5668141</v>
      </c>
    </row>
    <row r="27" spans="1:15" ht="18.75">
      <c r="A27" s="1"/>
      <c r="B27" s="1"/>
      <c r="C27" s="1" t="s">
        <v>20</v>
      </c>
      <c r="D27" s="1"/>
      <c r="E27" s="1"/>
      <c r="F27" s="1"/>
      <c r="G27" s="1"/>
      <c r="H27" s="1"/>
      <c r="I27" s="10">
        <f>SUM(I22:I26)</f>
        <v>2991635</v>
      </c>
      <c r="J27" s="10">
        <f>SUM(J22:J26)</f>
        <v>51139</v>
      </c>
      <c r="K27" s="10">
        <f>SUM(K22:K26)</f>
        <v>-448</v>
      </c>
      <c r="L27" s="10">
        <f t="shared" ref="L27:M27" si="5">SUM(L22:L26)</f>
        <v>0</v>
      </c>
      <c r="M27" s="10">
        <f t="shared" si="5"/>
        <v>441</v>
      </c>
      <c r="N27" s="10">
        <f>SUM(N22:N26)</f>
        <v>3042767</v>
      </c>
      <c r="O27" s="1"/>
    </row>
    <row r="28" spans="1:15" ht="18.75">
      <c r="A28" s="1"/>
      <c r="B28" s="1"/>
      <c r="C28" s="1"/>
      <c r="D28" s="1"/>
      <c r="E28" s="1"/>
      <c r="F28" s="1"/>
      <c r="G28" s="1"/>
      <c r="H28" s="1"/>
      <c r="I28" s="10"/>
      <c r="J28" s="10"/>
      <c r="K28" s="10"/>
      <c r="L28" s="10"/>
      <c r="M28" s="10"/>
      <c r="N28" s="10"/>
      <c r="O28" s="1"/>
    </row>
    <row r="29" spans="1:15" ht="18.75">
      <c r="A29" s="1"/>
      <c r="B29" s="1" t="s">
        <v>21</v>
      </c>
      <c r="C29" s="1"/>
      <c r="D29" s="1"/>
      <c r="E29" s="1"/>
      <c r="F29" s="1"/>
      <c r="G29" s="1"/>
      <c r="H29" s="1"/>
      <c r="I29" s="10">
        <f>SUM(I19-I27)</f>
        <v>992761</v>
      </c>
      <c r="J29" s="10">
        <f>SUM(J19-J27)</f>
        <v>-46207</v>
      </c>
      <c r="K29" s="10">
        <f>SUM(K19-K27)</f>
        <v>-16</v>
      </c>
      <c r="L29" s="10">
        <f t="shared" ref="L29:M29" si="6">SUM(L19-L27)</f>
        <v>166347</v>
      </c>
      <c r="M29" s="10">
        <f t="shared" si="6"/>
        <v>-27</v>
      </c>
      <c r="N29" s="10">
        <f>SUM(N19-N27)</f>
        <v>1112858</v>
      </c>
      <c r="O29" s="1"/>
    </row>
    <row r="30" spans="1:15" ht="18.75">
      <c r="A30" s="1"/>
      <c r="B30" s="1"/>
      <c r="C30" s="1"/>
      <c r="D30" s="1"/>
      <c r="E30" s="1"/>
      <c r="F30" s="1"/>
      <c r="G30" s="1"/>
      <c r="H30" s="1"/>
      <c r="I30" s="30"/>
      <c r="J30" s="30"/>
      <c r="K30" s="30"/>
      <c r="L30" s="30"/>
      <c r="M30" s="30"/>
      <c r="N30" s="30"/>
      <c r="O30" s="1"/>
    </row>
    <row r="31" spans="1:15" ht="19.5" thickBot="1">
      <c r="A31" s="2"/>
      <c r="B31" s="1" t="s">
        <v>22</v>
      </c>
      <c r="C31" s="2"/>
      <c r="D31" s="2"/>
      <c r="E31" s="2"/>
      <c r="F31" s="2"/>
      <c r="G31" s="2"/>
      <c r="H31" s="2"/>
      <c r="I31" s="14">
        <f>I11+I29</f>
        <v>1226463</v>
      </c>
      <c r="J31" s="14">
        <f>J11+J29</f>
        <v>107205</v>
      </c>
      <c r="K31" s="14">
        <f>K11+K29</f>
        <v>-16</v>
      </c>
      <c r="L31" s="14">
        <f t="shared" ref="L31:M31" si="7">L11+L29</f>
        <v>0</v>
      </c>
      <c r="M31" s="14">
        <f t="shared" si="7"/>
        <v>-17810</v>
      </c>
      <c r="N31" s="14">
        <f>N11+N29</f>
        <v>1315842</v>
      </c>
      <c r="O31" s="3">
        <f>SUM(O22:O26,O9:O10)</f>
        <v>7401376</v>
      </c>
    </row>
    <row r="32" spans="1:15" ht="18.75">
      <c r="A32" s="2"/>
      <c r="B32" s="1"/>
      <c r="C32" s="2"/>
      <c r="D32" s="2"/>
      <c r="E32" s="2"/>
      <c r="F32" s="2"/>
      <c r="G32" s="2"/>
      <c r="H32" s="2"/>
      <c r="I32" s="15"/>
      <c r="J32" s="15"/>
      <c r="K32" s="15"/>
      <c r="L32" s="15"/>
      <c r="M32" s="15"/>
      <c r="N32" s="15"/>
      <c r="O32" s="2"/>
    </row>
    <row r="33" spans="1:15" ht="18.75">
      <c r="A33" s="2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2"/>
    </row>
    <row r="34" spans="1:15" ht="56.25">
      <c r="A34" s="2"/>
      <c r="B34" s="2"/>
      <c r="C34" s="2"/>
      <c r="D34" s="2"/>
      <c r="E34" s="2"/>
      <c r="F34" s="2"/>
      <c r="G34" s="2"/>
      <c r="H34" s="2"/>
      <c r="I34" s="152" t="s">
        <v>3</v>
      </c>
      <c r="J34" s="152" t="s">
        <v>4</v>
      </c>
      <c r="K34" s="152" t="s">
        <v>5</v>
      </c>
      <c r="L34" s="152" t="s">
        <v>251</v>
      </c>
      <c r="M34" s="152" t="s">
        <v>252</v>
      </c>
      <c r="N34" s="152" t="s">
        <v>6</v>
      </c>
      <c r="O34" s="2"/>
    </row>
    <row r="35" spans="1:15" ht="18.75">
      <c r="A35" s="2"/>
      <c r="B35" s="2"/>
      <c r="C35" s="2"/>
      <c r="D35" s="2"/>
      <c r="E35" s="2"/>
      <c r="F35" s="2"/>
      <c r="G35" s="2"/>
      <c r="H35" s="2"/>
      <c r="I35" s="5"/>
      <c r="J35" s="5"/>
      <c r="K35" s="5"/>
      <c r="L35" s="5"/>
      <c r="M35" s="5"/>
      <c r="N35" s="5"/>
      <c r="O35" s="2"/>
    </row>
    <row r="36" spans="1:15" ht="18.75">
      <c r="A36" s="1" t="s">
        <v>82</v>
      </c>
      <c r="B36" s="1"/>
      <c r="C36" s="1"/>
      <c r="D36" s="1"/>
      <c r="E36" s="1"/>
      <c r="F36" s="1"/>
      <c r="G36" s="2"/>
      <c r="H36" s="2"/>
      <c r="I36" s="3"/>
      <c r="J36" s="3"/>
      <c r="K36" s="3"/>
      <c r="L36" s="3"/>
      <c r="M36" s="3"/>
      <c r="N36" s="3"/>
      <c r="O36" s="2"/>
    </row>
    <row r="37" spans="1:15" ht="18.75">
      <c r="A37" s="1" t="s">
        <v>83</v>
      </c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2"/>
    </row>
    <row r="38" spans="1:15" ht="18.75">
      <c r="A38" s="1"/>
      <c r="B38" s="2" t="s">
        <v>254</v>
      </c>
      <c r="C38" s="2"/>
      <c r="D38" s="2"/>
      <c r="E38" s="2"/>
      <c r="F38" s="2"/>
      <c r="G38" s="2"/>
      <c r="H38" s="2"/>
      <c r="I38" s="3">
        <v>39229</v>
      </c>
      <c r="J38" s="3">
        <v>50</v>
      </c>
      <c r="K38" s="3"/>
      <c r="L38" s="3"/>
      <c r="M38" s="3"/>
      <c r="N38" s="3">
        <f>SUM(I38:M38)</f>
        <v>39279</v>
      </c>
      <c r="O38" s="3">
        <f>SUM(N38)</f>
        <v>39279</v>
      </c>
    </row>
    <row r="39" spans="1:15" ht="18.75">
      <c r="A39" s="2"/>
      <c r="B39" s="2" t="s">
        <v>11</v>
      </c>
      <c r="C39" s="2"/>
      <c r="D39" s="2"/>
      <c r="E39" s="2"/>
      <c r="F39" s="2"/>
      <c r="G39" s="2"/>
      <c r="H39" s="2"/>
      <c r="I39" s="3">
        <v>16707</v>
      </c>
      <c r="J39" s="3">
        <v>17587</v>
      </c>
      <c r="K39" s="3">
        <v>-187</v>
      </c>
      <c r="L39" s="3">
        <v>-22778</v>
      </c>
      <c r="M39" s="3"/>
      <c r="N39" s="3">
        <f>SUM(I39:M39)</f>
        <v>11329</v>
      </c>
      <c r="O39" s="3">
        <f>SUM(N39)</f>
        <v>11329</v>
      </c>
    </row>
    <row r="40" spans="1:15" ht="18.75">
      <c r="A40" s="2"/>
      <c r="B40" s="2"/>
      <c r="C40" s="1" t="s">
        <v>18</v>
      </c>
      <c r="D40" s="2"/>
      <c r="E40" s="2"/>
      <c r="F40" s="2"/>
      <c r="G40" s="2"/>
      <c r="H40" s="2"/>
      <c r="I40" s="12">
        <f>SUM(I38:I39)</f>
        <v>55936</v>
      </c>
      <c r="J40" s="12">
        <f>SUM(J38:J39)</f>
        <v>17637</v>
      </c>
      <c r="K40" s="12">
        <f>SUM(K38:K39)</f>
        <v>-187</v>
      </c>
      <c r="L40" s="12">
        <f t="shared" ref="L40:M40" si="8">SUM(L38:L39)</f>
        <v>-22778</v>
      </c>
      <c r="M40" s="12">
        <f t="shared" si="8"/>
        <v>0</v>
      </c>
      <c r="N40" s="12">
        <f>SUM(N38:N39)</f>
        <v>50608</v>
      </c>
      <c r="O40" s="2"/>
    </row>
    <row r="41" spans="1:15" ht="18.75">
      <c r="A41" s="2"/>
      <c r="B41" s="2"/>
      <c r="C41" s="1"/>
      <c r="D41" s="2"/>
      <c r="E41" s="2"/>
      <c r="F41" s="2"/>
      <c r="G41" s="2"/>
      <c r="H41" s="2"/>
      <c r="I41" s="15"/>
      <c r="J41" s="15"/>
      <c r="K41" s="15"/>
      <c r="L41" s="15"/>
      <c r="M41" s="15"/>
      <c r="N41" s="15"/>
      <c r="O41" s="2"/>
    </row>
    <row r="42" spans="1:15" ht="18.75">
      <c r="A42" s="1" t="s">
        <v>13</v>
      </c>
      <c r="B42" s="2"/>
      <c r="C42" s="1"/>
      <c r="D42" s="2"/>
      <c r="E42" s="2"/>
      <c r="F42" s="2"/>
      <c r="G42" s="2"/>
      <c r="H42" s="2"/>
      <c r="I42" s="15"/>
      <c r="J42" s="15"/>
      <c r="K42" s="15"/>
      <c r="L42" s="15"/>
      <c r="M42" s="15"/>
      <c r="N42" s="15"/>
      <c r="O42" s="2"/>
    </row>
    <row r="43" spans="1:15" ht="18.75">
      <c r="A43" s="2"/>
      <c r="B43" s="2" t="s">
        <v>33</v>
      </c>
      <c r="C43" s="1"/>
      <c r="D43" s="2"/>
      <c r="E43" s="2"/>
      <c r="F43" s="2"/>
      <c r="G43" s="2"/>
      <c r="H43" s="2"/>
      <c r="I43" s="3">
        <v>236691</v>
      </c>
      <c r="J43" s="3"/>
      <c r="K43" s="3"/>
      <c r="L43" s="3">
        <v>9696</v>
      </c>
      <c r="M43" s="3"/>
      <c r="N43" s="3">
        <f>SUM(I43:M43)</f>
        <v>246387</v>
      </c>
      <c r="O43" s="2"/>
    </row>
    <row r="44" spans="1:15" ht="18.75">
      <c r="A44" s="2"/>
      <c r="B44" s="2" t="s">
        <v>255</v>
      </c>
      <c r="C44" s="1"/>
      <c r="D44" s="2"/>
      <c r="E44" s="2"/>
      <c r="F44" s="2"/>
      <c r="G44" s="2"/>
      <c r="H44" s="2"/>
      <c r="I44" s="3">
        <v>646961</v>
      </c>
      <c r="J44" s="3"/>
      <c r="K44" s="3"/>
      <c r="L44" s="3">
        <v>1453</v>
      </c>
      <c r="M44" s="3">
        <v>12082</v>
      </c>
      <c r="N44" s="3">
        <f t="shared" ref="N44:N48" si="9">SUM(I44:M44)</f>
        <v>660496</v>
      </c>
      <c r="O44" s="2"/>
    </row>
    <row r="45" spans="1:15" ht="18.75">
      <c r="A45" s="2"/>
      <c r="B45" s="2" t="s">
        <v>256</v>
      </c>
      <c r="C45" s="1"/>
      <c r="D45" s="2"/>
      <c r="E45" s="2"/>
      <c r="F45" s="2"/>
      <c r="G45" s="2"/>
      <c r="H45" s="2"/>
      <c r="I45" s="3">
        <v>260269</v>
      </c>
      <c r="J45" s="3"/>
      <c r="K45" s="3"/>
      <c r="L45" s="3">
        <v>434</v>
      </c>
      <c r="M45" s="3">
        <v>4682</v>
      </c>
      <c r="N45" s="3">
        <f t="shared" si="9"/>
        <v>265385</v>
      </c>
      <c r="O45" s="2"/>
    </row>
    <row r="46" spans="1:15" ht="18.75">
      <c r="A46" s="2"/>
      <c r="B46" s="2" t="s">
        <v>204</v>
      </c>
      <c r="C46" s="1"/>
      <c r="D46" s="2"/>
      <c r="E46" s="2"/>
      <c r="F46" s="2"/>
      <c r="G46" s="2"/>
      <c r="H46" s="2"/>
      <c r="I46" s="3">
        <v>16339</v>
      </c>
      <c r="J46" s="3"/>
      <c r="K46" s="3"/>
      <c r="L46" s="3"/>
      <c r="M46" s="3"/>
      <c r="N46" s="3">
        <f t="shared" si="9"/>
        <v>16339</v>
      </c>
      <c r="O46" s="2"/>
    </row>
    <row r="47" spans="1:15" ht="18.75">
      <c r="A47" s="2"/>
      <c r="B47" s="2" t="s">
        <v>253</v>
      </c>
      <c r="C47" s="1"/>
      <c r="D47" s="2"/>
      <c r="E47" s="2"/>
      <c r="F47" s="2"/>
      <c r="G47" s="2"/>
      <c r="H47" s="2"/>
      <c r="I47" s="3">
        <v>247721</v>
      </c>
      <c r="J47" s="3">
        <v>1703</v>
      </c>
      <c r="K47" s="3">
        <v>-32441</v>
      </c>
      <c r="L47" s="3">
        <v>11195</v>
      </c>
      <c r="M47" s="3">
        <v>-217</v>
      </c>
      <c r="N47" s="3">
        <f t="shared" si="9"/>
        <v>227961</v>
      </c>
      <c r="O47" s="2"/>
    </row>
    <row r="48" spans="1:15" ht="18.75">
      <c r="A48" s="2"/>
      <c r="B48" s="2" t="s">
        <v>31</v>
      </c>
      <c r="C48" s="1"/>
      <c r="D48" s="2"/>
      <c r="E48" s="2"/>
      <c r="F48" s="2"/>
      <c r="G48" s="2"/>
      <c r="H48" s="2"/>
      <c r="I48" s="3">
        <v>13670</v>
      </c>
      <c r="J48" s="3">
        <v>678</v>
      </c>
      <c r="K48" s="3"/>
      <c r="L48" s="3"/>
      <c r="M48" s="3">
        <v>-241</v>
      </c>
      <c r="N48" s="3">
        <f t="shared" si="9"/>
        <v>14107</v>
      </c>
      <c r="O48" s="2"/>
    </row>
    <row r="49" spans="1:15" ht="18.75">
      <c r="A49" s="2"/>
      <c r="B49" s="2"/>
      <c r="C49" s="1" t="s">
        <v>18</v>
      </c>
      <c r="D49" s="2"/>
      <c r="E49" s="2"/>
      <c r="F49" s="2"/>
      <c r="G49" s="2"/>
      <c r="H49" s="2"/>
      <c r="I49" s="12">
        <f>SUM(I43:I48)</f>
        <v>1421651</v>
      </c>
      <c r="J49" s="12">
        <f t="shared" ref="J49:N49" si="10">SUM(J43:J48)</f>
        <v>2381</v>
      </c>
      <c r="K49" s="12">
        <f t="shared" si="10"/>
        <v>-32441</v>
      </c>
      <c r="L49" s="12">
        <f t="shared" si="10"/>
        <v>22778</v>
      </c>
      <c r="M49" s="12">
        <f t="shared" si="10"/>
        <v>16306</v>
      </c>
      <c r="N49" s="12">
        <f t="shared" si="10"/>
        <v>1430675</v>
      </c>
      <c r="O49" s="2"/>
    </row>
    <row r="50" spans="1:15" ht="18.75">
      <c r="A50" s="2"/>
      <c r="B50" s="2"/>
      <c r="C50" s="1"/>
      <c r="D50" s="2"/>
      <c r="E50" s="2"/>
      <c r="F50" s="2"/>
      <c r="G50" s="2"/>
      <c r="H50" s="2"/>
      <c r="I50" s="15"/>
      <c r="J50" s="15"/>
      <c r="K50" s="15"/>
      <c r="L50" s="15"/>
      <c r="M50" s="15"/>
      <c r="N50" s="15"/>
      <c r="O50" s="2"/>
    </row>
    <row r="51" spans="1:15" ht="18.75">
      <c r="A51" s="1" t="s">
        <v>19</v>
      </c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3"/>
      <c r="N51" s="3"/>
      <c r="O51" s="2"/>
    </row>
    <row r="52" spans="1:15" ht="18.75">
      <c r="A52" s="2"/>
      <c r="B52" s="2" t="s">
        <v>33</v>
      </c>
      <c r="C52" s="2"/>
      <c r="D52" s="2"/>
      <c r="E52" s="2"/>
      <c r="F52" s="2"/>
      <c r="G52" s="2"/>
      <c r="H52" s="2"/>
      <c r="I52" s="3">
        <v>145564</v>
      </c>
      <c r="J52" s="3">
        <v>6679</v>
      </c>
      <c r="K52" s="3">
        <v>-17</v>
      </c>
      <c r="L52" s="3"/>
      <c r="M52" s="3"/>
      <c r="N52" s="3">
        <f>SUM(I52:M52)</f>
        <v>152226</v>
      </c>
      <c r="O52" s="3">
        <f>SUM(N43-N52)</f>
        <v>94161</v>
      </c>
    </row>
    <row r="53" spans="1:15" ht="18.75">
      <c r="A53" s="2"/>
      <c r="B53" s="2" t="s">
        <v>255</v>
      </c>
      <c r="C53" s="2"/>
      <c r="D53" s="2"/>
      <c r="E53" s="2"/>
      <c r="F53" s="2"/>
      <c r="G53" s="2"/>
      <c r="H53" s="2"/>
      <c r="I53" s="3">
        <v>286316</v>
      </c>
      <c r="J53" s="3">
        <v>14880</v>
      </c>
      <c r="K53" s="3">
        <v>0</v>
      </c>
      <c r="L53" s="3"/>
      <c r="M53" s="3">
        <v>18</v>
      </c>
      <c r="N53" s="3">
        <f t="shared" ref="N53:N57" si="11">SUM(I53:M53)</f>
        <v>301214</v>
      </c>
      <c r="O53" s="3">
        <f t="shared" ref="O53:O57" si="12">SUM(N44-N53)</f>
        <v>359282</v>
      </c>
    </row>
    <row r="54" spans="1:15" ht="18.75">
      <c r="A54" s="2"/>
      <c r="B54" s="2" t="s">
        <v>257</v>
      </c>
      <c r="C54" s="2"/>
      <c r="D54" s="2"/>
      <c r="E54" s="2"/>
      <c r="F54" s="2"/>
      <c r="G54" s="2"/>
      <c r="H54" s="2"/>
      <c r="I54" s="3">
        <v>121003</v>
      </c>
      <c r="J54" s="3">
        <v>5570</v>
      </c>
      <c r="K54" s="3"/>
      <c r="L54" s="3"/>
      <c r="M54" s="3"/>
      <c r="N54" s="3">
        <f t="shared" si="11"/>
        <v>126573</v>
      </c>
      <c r="O54" s="3">
        <f t="shared" si="12"/>
        <v>138812</v>
      </c>
    </row>
    <row r="55" spans="1:15" ht="18.75">
      <c r="A55" s="2"/>
      <c r="B55" s="2" t="s">
        <v>204</v>
      </c>
      <c r="C55" s="2"/>
      <c r="D55" s="2"/>
      <c r="E55" s="2"/>
      <c r="F55" s="2"/>
      <c r="G55" s="2"/>
      <c r="H55" s="2"/>
      <c r="I55" s="3">
        <v>11979</v>
      </c>
      <c r="J55" s="3">
        <v>1209</v>
      </c>
      <c r="K55" s="3"/>
      <c r="L55" s="3"/>
      <c r="M55" s="3"/>
      <c r="N55" s="3">
        <f t="shared" si="11"/>
        <v>13188</v>
      </c>
      <c r="O55" s="3">
        <f t="shared" si="12"/>
        <v>3151</v>
      </c>
    </row>
    <row r="56" spans="1:15" ht="18.75">
      <c r="A56" s="2"/>
      <c r="B56" s="2" t="s">
        <v>258</v>
      </c>
      <c r="C56" s="2"/>
      <c r="D56" s="2"/>
      <c r="E56" s="2"/>
      <c r="F56" s="2"/>
      <c r="G56" s="2"/>
      <c r="H56" s="2"/>
      <c r="I56" s="3">
        <v>203490</v>
      </c>
      <c r="J56" s="3">
        <v>14770</v>
      </c>
      <c r="K56" s="3">
        <v>-30944</v>
      </c>
      <c r="L56" s="3"/>
      <c r="M56" s="3">
        <v>-217</v>
      </c>
      <c r="N56" s="3">
        <f t="shared" si="11"/>
        <v>187099</v>
      </c>
      <c r="O56" s="3">
        <f t="shared" si="12"/>
        <v>40862</v>
      </c>
    </row>
    <row r="57" spans="1:15" ht="18.75">
      <c r="A57" s="2"/>
      <c r="B57" s="2" t="s">
        <v>259</v>
      </c>
      <c r="C57" s="2"/>
      <c r="D57" s="2"/>
      <c r="E57" s="2"/>
      <c r="F57" s="2"/>
      <c r="G57" s="2"/>
      <c r="H57" s="2"/>
      <c r="I57" s="3">
        <v>10355</v>
      </c>
      <c r="J57" s="3">
        <v>1107</v>
      </c>
      <c r="K57" s="3"/>
      <c r="L57" s="3"/>
      <c r="M57" s="3">
        <v>-206</v>
      </c>
      <c r="N57" s="3">
        <f t="shared" si="11"/>
        <v>11256</v>
      </c>
      <c r="O57" s="3">
        <f t="shared" si="12"/>
        <v>2851</v>
      </c>
    </row>
    <row r="58" spans="1:15" ht="18.75">
      <c r="A58" s="1"/>
      <c r="B58" s="1"/>
      <c r="C58" s="1" t="s">
        <v>20</v>
      </c>
      <c r="D58" s="1"/>
      <c r="E58" s="1"/>
      <c r="F58" s="1"/>
      <c r="G58" s="1"/>
      <c r="H58" s="2"/>
      <c r="I58" s="12">
        <f>SUM(I52:I57)</f>
        <v>778707</v>
      </c>
      <c r="J58" s="12">
        <f>SUM(J52:J57)</f>
        <v>44215</v>
      </c>
      <c r="K58" s="12">
        <f t="shared" ref="K58:N58" si="13">SUM(K52:K57)</f>
        <v>-30961</v>
      </c>
      <c r="L58" s="12">
        <f t="shared" si="13"/>
        <v>0</v>
      </c>
      <c r="M58" s="12">
        <f t="shared" si="13"/>
        <v>-405</v>
      </c>
      <c r="N58" s="12">
        <f t="shared" si="13"/>
        <v>791556</v>
      </c>
      <c r="O58" s="2"/>
    </row>
    <row r="59" spans="1:15" ht="18.75">
      <c r="A59" s="1"/>
      <c r="B59" s="1"/>
      <c r="C59" s="1"/>
      <c r="D59" s="1"/>
      <c r="E59" s="1"/>
      <c r="F59" s="1"/>
      <c r="G59" s="1"/>
      <c r="H59" s="2"/>
      <c r="I59" s="12"/>
      <c r="J59" s="12"/>
      <c r="K59" s="12"/>
      <c r="L59" s="12"/>
      <c r="M59" s="12"/>
      <c r="N59" s="12"/>
      <c r="O59" s="2"/>
    </row>
    <row r="60" spans="1:15" ht="18.75">
      <c r="A60" s="1"/>
      <c r="B60" s="1"/>
      <c r="C60" s="1" t="s">
        <v>260</v>
      </c>
      <c r="D60" s="1"/>
      <c r="E60" s="1"/>
      <c r="F60" s="1"/>
      <c r="G60" s="1"/>
      <c r="H60" s="2"/>
      <c r="I60" s="13">
        <f>SUM(I49-I58)</f>
        <v>642944</v>
      </c>
      <c r="J60" s="13">
        <f>SUM(J49-J58)</f>
        <v>-41834</v>
      </c>
      <c r="K60" s="13">
        <f t="shared" ref="K60:N60" si="14">SUM(K49-K58)</f>
        <v>-1480</v>
      </c>
      <c r="L60" s="13">
        <f t="shared" si="14"/>
        <v>22778</v>
      </c>
      <c r="M60" s="13">
        <f t="shared" si="14"/>
        <v>16711</v>
      </c>
      <c r="N60" s="13">
        <f t="shared" si="14"/>
        <v>639119</v>
      </c>
      <c r="O60" s="2"/>
    </row>
    <row r="61" spans="1:15" ht="19.5" thickBot="1">
      <c r="A61" s="2"/>
      <c r="B61" s="1" t="s">
        <v>44</v>
      </c>
      <c r="C61" s="2"/>
      <c r="D61" s="2"/>
      <c r="E61" s="2"/>
      <c r="F61" s="2"/>
      <c r="G61" s="2"/>
      <c r="H61" s="2"/>
      <c r="I61" s="14">
        <f>SUM(I60+I40)</f>
        <v>698880</v>
      </c>
      <c r="J61" s="14">
        <f t="shared" ref="J61:M61" si="15">SUM(J60+J40)</f>
        <v>-24197</v>
      </c>
      <c r="K61" s="14">
        <f t="shared" si="15"/>
        <v>-1667</v>
      </c>
      <c r="L61" s="14">
        <f t="shared" si="15"/>
        <v>0</v>
      </c>
      <c r="M61" s="14">
        <f t="shared" si="15"/>
        <v>16711</v>
      </c>
      <c r="N61" s="14">
        <f>SUM(N60+N40)</f>
        <v>689727</v>
      </c>
      <c r="O61" s="3">
        <f>SUM(O38:O57)</f>
        <v>689727</v>
      </c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0"/>
  <sheetViews>
    <sheetView topLeftCell="A37" zoomScale="89" zoomScaleNormal="89" workbookViewId="0">
      <selection activeCell="L57" sqref="L57"/>
    </sheetView>
  </sheetViews>
  <sheetFormatPr defaultColWidth="8.85546875" defaultRowHeight="15"/>
  <cols>
    <col min="9" max="9" width="20.85546875" customWidth="1"/>
    <col min="10" max="10" width="23.140625" customWidth="1"/>
    <col min="11" max="11" width="21" customWidth="1"/>
    <col min="12" max="12" width="20.42578125" customWidth="1"/>
    <col min="13" max="13" width="20.5703125" customWidth="1"/>
  </cols>
  <sheetData>
    <row r="1" spans="1:13" ht="18.75">
      <c r="A1" s="2"/>
      <c r="B1" s="2"/>
      <c r="C1" s="2"/>
      <c r="D1" s="159" t="s">
        <v>261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262</v>
      </c>
      <c r="J5" s="11" t="s">
        <v>63</v>
      </c>
      <c r="K5" s="11" t="s">
        <v>68</v>
      </c>
      <c r="L5" s="11" t="s">
        <v>263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3" ht="18.75">
      <c r="A7" s="2"/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 t="s">
        <v>264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1" t="s">
        <v>83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2"/>
    </row>
    <row r="10" spans="1:13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40295476</v>
      </c>
      <c r="J10" s="3">
        <v>2628659</v>
      </c>
      <c r="K10" s="3"/>
      <c r="L10" s="3">
        <f>SUM(I10:K10)</f>
        <v>42924135</v>
      </c>
      <c r="M10" s="3">
        <f>SUM(L10)</f>
        <v>42924135</v>
      </c>
    </row>
    <row r="11" spans="1:13" ht="18.75">
      <c r="A11" s="2"/>
      <c r="B11" s="2" t="s">
        <v>11</v>
      </c>
      <c r="C11" s="2"/>
      <c r="D11" s="2"/>
      <c r="E11" s="2"/>
      <c r="F11" s="2"/>
      <c r="G11" s="2"/>
      <c r="H11" s="2"/>
      <c r="I11" s="3">
        <v>29613976</v>
      </c>
      <c r="J11" s="3">
        <v>25745818</v>
      </c>
      <c r="K11" s="3">
        <v>-28496390</v>
      </c>
      <c r="L11" s="3">
        <f>SUM(I11:K11)</f>
        <v>26863404</v>
      </c>
      <c r="M11" s="3">
        <f>SUM(L11)</f>
        <v>26863404</v>
      </c>
    </row>
    <row r="12" spans="1:13" ht="18.75">
      <c r="A12" s="2"/>
      <c r="B12" s="1"/>
      <c r="C12" s="1" t="s">
        <v>70</v>
      </c>
      <c r="D12" s="1"/>
      <c r="E12" s="1"/>
      <c r="F12" s="1"/>
      <c r="G12" s="1"/>
      <c r="H12" s="1"/>
      <c r="I12" s="12">
        <f>SUM(I10:I11)</f>
        <v>69909452</v>
      </c>
      <c r="J12" s="12">
        <f>SUM(J10:J11)</f>
        <v>28374477</v>
      </c>
      <c r="K12" s="12">
        <f>SUM(K10:K11)</f>
        <v>-28496390</v>
      </c>
      <c r="L12" s="12">
        <f>SUM(L10:L11)</f>
        <v>69787539</v>
      </c>
      <c r="M12" s="1"/>
    </row>
    <row r="13" spans="1:13" ht="18.75">
      <c r="A13" s="1"/>
      <c r="B13" s="1"/>
      <c r="C13" s="1"/>
      <c r="D13" s="2"/>
      <c r="E13" s="2"/>
      <c r="F13" s="2"/>
      <c r="G13" s="2"/>
      <c r="H13" s="2"/>
      <c r="I13" s="3"/>
      <c r="J13" s="3"/>
      <c r="K13" s="3"/>
      <c r="L13" s="3"/>
      <c r="M13" s="2"/>
    </row>
    <row r="14" spans="1:13" ht="18.75">
      <c r="A14" s="1" t="s">
        <v>193</v>
      </c>
      <c r="B14" s="1"/>
      <c r="C14" s="1"/>
      <c r="D14" s="2"/>
      <c r="E14" s="2"/>
      <c r="F14" s="2"/>
      <c r="G14" s="2"/>
      <c r="H14" s="2"/>
      <c r="I14" s="3"/>
      <c r="J14" s="3"/>
      <c r="K14" s="3"/>
      <c r="L14" s="3"/>
      <c r="M14" s="2"/>
    </row>
    <row r="15" spans="1:13" ht="18.75">
      <c r="A15" s="2"/>
      <c r="B15" s="2" t="s">
        <v>106</v>
      </c>
      <c r="C15" s="2"/>
      <c r="D15" s="2"/>
      <c r="E15" s="2"/>
      <c r="F15" s="2"/>
      <c r="G15" s="2"/>
      <c r="H15" s="2"/>
      <c r="I15" s="3">
        <v>7182009</v>
      </c>
      <c r="J15" s="3">
        <v>659410</v>
      </c>
      <c r="K15" s="3"/>
      <c r="L15" s="3">
        <f>SUM(I15:K15)</f>
        <v>7841419</v>
      </c>
      <c r="M15" s="2"/>
    </row>
    <row r="16" spans="1:13" ht="18.75">
      <c r="A16" s="2"/>
      <c r="B16" s="2" t="s">
        <v>14</v>
      </c>
      <c r="C16" s="2"/>
      <c r="D16" s="2"/>
      <c r="E16" s="2"/>
      <c r="F16" s="2"/>
      <c r="G16" s="2"/>
      <c r="H16" s="2"/>
      <c r="I16" s="3">
        <v>187609847</v>
      </c>
      <c r="J16" s="3">
        <v>5626430</v>
      </c>
      <c r="K16" s="3"/>
      <c r="L16" s="3">
        <f>SUM(I16:K16)</f>
        <v>193236277</v>
      </c>
      <c r="M16" s="2"/>
    </row>
    <row r="17" spans="1:13" ht="18.75">
      <c r="A17" s="2"/>
      <c r="B17" s="2" t="s">
        <v>31</v>
      </c>
      <c r="C17" s="2"/>
      <c r="D17" s="2"/>
      <c r="E17" s="2"/>
      <c r="F17" s="2"/>
      <c r="G17" s="2"/>
      <c r="H17" s="2"/>
      <c r="I17" s="3">
        <v>54081764</v>
      </c>
      <c r="J17" s="3">
        <v>4174055</v>
      </c>
      <c r="K17" s="3">
        <v>-3373559</v>
      </c>
      <c r="L17" s="3">
        <f>SUM(I17:K17)</f>
        <v>54882260</v>
      </c>
      <c r="M17" s="2"/>
    </row>
    <row r="18" spans="1:13" ht="18.75">
      <c r="A18" s="2"/>
      <c r="B18" s="2" t="s">
        <v>265</v>
      </c>
      <c r="C18" s="2"/>
      <c r="D18" s="2"/>
      <c r="E18" s="2"/>
      <c r="F18" s="2"/>
      <c r="G18" s="2"/>
      <c r="H18" s="2"/>
      <c r="I18" s="3">
        <v>36390044</v>
      </c>
      <c r="J18" s="3">
        <v>5940558</v>
      </c>
      <c r="K18" s="3">
        <v>-1985137</v>
      </c>
      <c r="L18" s="3">
        <f>SUM(I18:K18)</f>
        <v>40345465</v>
      </c>
      <c r="M18" s="2"/>
    </row>
    <row r="19" spans="1:13" ht="18.75">
      <c r="A19" s="2"/>
      <c r="B19" s="2" t="s">
        <v>17</v>
      </c>
      <c r="C19" s="2"/>
      <c r="D19" s="2"/>
      <c r="E19" s="2"/>
      <c r="F19" s="2"/>
      <c r="G19" s="2"/>
      <c r="H19" s="2"/>
      <c r="I19" s="3">
        <v>670999495</v>
      </c>
      <c r="J19" s="3">
        <v>20117993</v>
      </c>
      <c r="K19" s="3"/>
      <c r="L19" s="3">
        <f>SUM(I19:K19)</f>
        <v>691117488</v>
      </c>
      <c r="M19" s="2"/>
    </row>
    <row r="20" spans="1:13" ht="18.75">
      <c r="A20" s="2"/>
      <c r="B20" s="2"/>
      <c r="C20" s="1" t="s">
        <v>18</v>
      </c>
      <c r="D20" s="2"/>
      <c r="E20" s="2"/>
      <c r="F20" s="2"/>
      <c r="G20" s="2"/>
      <c r="H20" s="2"/>
      <c r="I20" s="13">
        <f>SUM(I12:I19)</f>
        <v>1026172611</v>
      </c>
      <c r="J20" s="13">
        <f t="shared" ref="J20:L20" si="0">SUM(J12:J19)</f>
        <v>64892923</v>
      </c>
      <c r="K20" s="13">
        <f t="shared" si="0"/>
        <v>-33855086</v>
      </c>
      <c r="L20" s="13">
        <f t="shared" si="0"/>
        <v>1057210448</v>
      </c>
      <c r="M20" s="2"/>
    </row>
    <row r="21" spans="1:13" ht="18.75">
      <c r="A21" s="1"/>
      <c r="B21" s="1"/>
      <c r="C21" s="1"/>
      <c r="D21" s="1"/>
      <c r="E21" s="1"/>
      <c r="F21" s="2"/>
      <c r="G21" s="2"/>
      <c r="H21" s="2"/>
      <c r="I21" s="15"/>
      <c r="J21" s="15"/>
      <c r="K21" s="15"/>
      <c r="L21" s="15"/>
      <c r="M21" s="2"/>
    </row>
    <row r="22" spans="1:13" ht="18.75">
      <c r="A22" s="1" t="s">
        <v>19</v>
      </c>
      <c r="B22" s="1"/>
      <c r="C22" s="1"/>
      <c r="D22" s="1"/>
      <c r="E22" s="1"/>
      <c r="F22" s="2"/>
      <c r="G22" s="2"/>
      <c r="H22" s="2"/>
      <c r="I22" s="3"/>
      <c r="J22" s="3"/>
      <c r="K22" s="3"/>
      <c r="L22" s="3"/>
      <c r="M22" s="2"/>
    </row>
    <row r="23" spans="1:13" ht="18.75">
      <c r="A23" s="2"/>
      <c r="B23" s="2" t="s">
        <v>106</v>
      </c>
      <c r="C23" s="2"/>
      <c r="D23" s="2"/>
      <c r="E23" s="2"/>
      <c r="F23" s="2"/>
      <c r="G23" s="2"/>
      <c r="H23" s="2"/>
      <c r="I23" s="3">
        <v>1059223</v>
      </c>
      <c r="J23" s="3">
        <v>289218</v>
      </c>
      <c r="K23" s="3"/>
      <c r="L23" s="3">
        <f>SUM(I23:K23)</f>
        <v>1348441</v>
      </c>
      <c r="M23" s="3">
        <f>SUM(L15-L23)</f>
        <v>6492978</v>
      </c>
    </row>
    <row r="24" spans="1:13" ht="18.75">
      <c r="A24" s="2"/>
      <c r="B24" s="2" t="s">
        <v>14</v>
      </c>
      <c r="C24" s="2"/>
      <c r="D24" s="2"/>
      <c r="E24" s="2"/>
      <c r="F24" s="2"/>
      <c r="G24" s="2"/>
      <c r="H24" s="2"/>
      <c r="I24" s="3">
        <v>84764511</v>
      </c>
      <c r="J24" s="3">
        <v>4110398</v>
      </c>
      <c r="K24" s="3"/>
      <c r="L24" s="3">
        <f>SUM(I24:K24)</f>
        <v>88874909</v>
      </c>
      <c r="M24" s="3">
        <f t="shared" ref="M24:M27" si="1">SUM(L16-L24)</f>
        <v>104361368</v>
      </c>
    </row>
    <row r="25" spans="1:13" ht="18.75">
      <c r="A25" s="2"/>
      <c r="B25" s="2" t="s">
        <v>31</v>
      </c>
      <c r="C25" s="2"/>
      <c r="D25" s="2"/>
      <c r="E25" s="2"/>
      <c r="F25" s="2"/>
      <c r="G25" s="2"/>
      <c r="H25" s="2"/>
      <c r="I25" s="3">
        <v>34495231</v>
      </c>
      <c r="J25" s="3">
        <v>3639019</v>
      </c>
      <c r="K25" s="3">
        <v>-3087280</v>
      </c>
      <c r="L25" s="3">
        <f>SUM(I25:K25)</f>
        <v>35046970</v>
      </c>
      <c r="M25" s="3">
        <f t="shared" si="1"/>
        <v>19835290</v>
      </c>
    </row>
    <row r="26" spans="1:13" ht="18.75">
      <c r="A26" s="2"/>
      <c r="B26" s="2" t="s">
        <v>266</v>
      </c>
      <c r="C26" s="2"/>
      <c r="D26" s="2"/>
      <c r="E26" s="2"/>
      <c r="F26" s="2"/>
      <c r="G26" s="2"/>
      <c r="H26" s="2"/>
      <c r="I26" s="3">
        <v>23755589</v>
      </c>
      <c r="J26" s="3">
        <v>2862866</v>
      </c>
      <c r="K26" s="3">
        <v>-1835299</v>
      </c>
      <c r="L26" s="3">
        <f>SUM(I26:K26)</f>
        <v>24783156</v>
      </c>
      <c r="M26" s="3">
        <f t="shared" si="1"/>
        <v>15562309</v>
      </c>
    </row>
    <row r="27" spans="1:13" ht="18.75">
      <c r="A27" s="2"/>
      <c r="B27" s="2" t="s">
        <v>17</v>
      </c>
      <c r="C27" s="2"/>
      <c r="D27" s="2"/>
      <c r="E27" s="2"/>
      <c r="F27" s="2"/>
      <c r="G27" s="2"/>
      <c r="H27" s="2"/>
      <c r="I27" s="3">
        <v>289970805</v>
      </c>
      <c r="J27" s="3">
        <v>17685158</v>
      </c>
      <c r="K27" s="3"/>
      <c r="L27" s="3">
        <f>SUM(I27:K27)</f>
        <v>307655963</v>
      </c>
      <c r="M27" s="3">
        <f t="shared" si="1"/>
        <v>383461525</v>
      </c>
    </row>
    <row r="28" spans="1:13" ht="18.75">
      <c r="A28" s="1"/>
      <c r="B28" s="1"/>
      <c r="C28" s="1" t="s">
        <v>20</v>
      </c>
      <c r="D28" s="1"/>
      <c r="E28" s="1"/>
      <c r="F28" s="1"/>
      <c r="G28" s="1"/>
      <c r="H28" s="1"/>
      <c r="I28" s="10">
        <f>SUM(I23:I27)</f>
        <v>434045359</v>
      </c>
      <c r="J28" s="10">
        <f>SUM(J23:J27)</f>
        <v>28586659</v>
      </c>
      <c r="K28" s="10">
        <f>SUM(K23:K27)</f>
        <v>-4922579</v>
      </c>
      <c r="L28" s="10">
        <f>SUM(L23:L27)</f>
        <v>457709439</v>
      </c>
      <c r="M28" s="1"/>
    </row>
    <row r="29" spans="1:13" ht="18.75">
      <c r="A29" s="1"/>
      <c r="B29" s="1"/>
      <c r="C29" s="1"/>
      <c r="D29" s="1"/>
      <c r="E29" s="1"/>
      <c r="F29" s="1"/>
      <c r="G29" s="1"/>
      <c r="H29" s="1"/>
      <c r="I29" s="10"/>
      <c r="J29" s="10"/>
      <c r="K29" s="10"/>
      <c r="L29" s="10"/>
      <c r="M29" s="1"/>
    </row>
    <row r="30" spans="1:13" ht="18.75">
      <c r="A30" s="1"/>
      <c r="B30" s="1" t="s">
        <v>22</v>
      </c>
      <c r="C30" s="1"/>
      <c r="D30" s="1"/>
      <c r="E30" s="1"/>
      <c r="F30" s="1"/>
      <c r="G30" s="1"/>
      <c r="H30" s="1"/>
      <c r="I30" s="10">
        <f>SUM(I20-I28)</f>
        <v>592127252</v>
      </c>
      <c r="J30" s="10">
        <f>SUM(J20-J28)</f>
        <v>36306264</v>
      </c>
      <c r="K30" s="10">
        <f>SUM(K20-K28)</f>
        <v>-28932507</v>
      </c>
      <c r="L30" s="10">
        <f>SUM(L20-L28)</f>
        <v>599501009</v>
      </c>
      <c r="M30" s="15">
        <f>SUM(M10:M27)</f>
        <v>599501009</v>
      </c>
    </row>
    <row r="31" spans="1:13" ht="18.75">
      <c r="A31" s="1"/>
      <c r="B31" s="1"/>
      <c r="C31" s="1"/>
      <c r="D31" s="1"/>
      <c r="E31" s="1"/>
      <c r="F31" s="1"/>
      <c r="G31" s="1"/>
      <c r="H31" s="1"/>
      <c r="I31" s="30"/>
      <c r="J31" s="30"/>
      <c r="K31" s="30"/>
      <c r="L31" s="30"/>
      <c r="M31" s="1"/>
    </row>
    <row r="32" spans="1:13" ht="18.75">
      <c r="A32" s="2"/>
      <c r="B32" s="1"/>
      <c r="C32" s="2"/>
      <c r="D32" s="2"/>
      <c r="E32" s="2"/>
      <c r="F32" s="2"/>
      <c r="G32" s="2"/>
      <c r="H32" s="2"/>
      <c r="I32" s="15"/>
      <c r="J32" s="15"/>
      <c r="K32" s="15"/>
      <c r="L32" s="15"/>
      <c r="M32" s="2"/>
    </row>
    <row r="33" spans="1:13" ht="18.75">
      <c r="A33" s="2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2"/>
    </row>
    <row r="34" spans="1:13" ht="37.5">
      <c r="A34" s="2"/>
      <c r="B34" s="2"/>
      <c r="C34" s="2"/>
      <c r="D34" s="2"/>
      <c r="E34" s="2"/>
      <c r="F34" s="2"/>
      <c r="G34" s="2"/>
      <c r="H34" s="2"/>
      <c r="I34" s="152" t="s">
        <v>3</v>
      </c>
      <c r="J34" s="152" t="s">
        <v>4</v>
      </c>
      <c r="K34" s="152" t="s">
        <v>5</v>
      </c>
      <c r="L34" s="152" t="s">
        <v>6</v>
      </c>
      <c r="M34" s="2"/>
    </row>
    <row r="35" spans="1:13" ht="18.75">
      <c r="A35" s="2"/>
      <c r="B35" s="2"/>
      <c r="C35" s="2"/>
      <c r="D35" s="2"/>
      <c r="E35" s="2"/>
      <c r="F35" s="2"/>
      <c r="G35" s="2"/>
      <c r="H35" s="2"/>
      <c r="I35" s="5"/>
      <c r="J35" s="5"/>
      <c r="K35" s="5"/>
      <c r="L35" s="5"/>
      <c r="M35" s="2"/>
    </row>
    <row r="36" spans="1:13" ht="18.75">
      <c r="A36" s="1" t="s">
        <v>82</v>
      </c>
      <c r="B36" s="1"/>
      <c r="C36" s="1"/>
      <c r="D36" s="1"/>
      <c r="E36" s="1"/>
      <c r="F36" s="1"/>
      <c r="G36" s="2"/>
      <c r="H36" s="2"/>
      <c r="I36" s="3"/>
      <c r="J36" s="3"/>
      <c r="K36" s="3"/>
      <c r="L36" s="3"/>
      <c r="M36" s="2"/>
    </row>
    <row r="37" spans="1:13" ht="18.75">
      <c r="A37" s="1" t="s">
        <v>83</v>
      </c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2"/>
    </row>
    <row r="38" spans="1:13" ht="18.75">
      <c r="A38" s="1"/>
      <c r="B38" s="2" t="s">
        <v>10</v>
      </c>
      <c r="C38" s="2"/>
      <c r="D38" s="2"/>
      <c r="E38" s="2"/>
      <c r="F38" s="2"/>
      <c r="G38" s="2"/>
      <c r="H38" s="2"/>
      <c r="I38" s="3">
        <v>22263203</v>
      </c>
      <c r="J38" s="3">
        <v>2015145</v>
      </c>
      <c r="K38" s="3"/>
      <c r="L38" s="3">
        <f>SUM(I38:K38)</f>
        <v>24278348</v>
      </c>
      <c r="M38" s="3">
        <f>SUM(L38)</f>
        <v>24278348</v>
      </c>
    </row>
    <row r="39" spans="1:13" ht="18.75">
      <c r="A39" s="2"/>
      <c r="B39" s="2" t="s">
        <v>11</v>
      </c>
      <c r="C39" s="2"/>
      <c r="D39" s="2"/>
      <c r="E39" s="2"/>
      <c r="F39" s="2"/>
      <c r="G39" s="2"/>
      <c r="H39" s="2"/>
      <c r="I39" s="3">
        <v>76453802</v>
      </c>
      <c r="J39" s="3">
        <v>39141531</v>
      </c>
      <c r="K39" s="3">
        <v>-36524788</v>
      </c>
      <c r="L39" s="3">
        <f>SUM(I39:K39)</f>
        <v>79070545</v>
      </c>
      <c r="M39" s="3">
        <f>SUM(L39)</f>
        <v>79070545</v>
      </c>
    </row>
    <row r="40" spans="1:13" ht="18.75">
      <c r="A40" s="2"/>
      <c r="B40" s="2"/>
      <c r="C40" s="1" t="s">
        <v>18</v>
      </c>
      <c r="D40" s="2"/>
      <c r="E40" s="2"/>
      <c r="F40" s="2"/>
      <c r="G40" s="2"/>
      <c r="H40" s="2"/>
      <c r="I40" s="12">
        <f>SUM(I38:I39)</f>
        <v>98717005</v>
      </c>
      <c r="J40" s="12">
        <f>SUM(J38:J39)</f>
        <v>41156676</v>
      </c>
      <c r="K40" s="12">
        <f>SUM(K38:K39)</f>
        <v>-36524788</v>
      </c>
      <c r="L40" s="12">
        <f>SUM(L38:L39)</f>
        <v>103348893</v>
      </c>
      <c r="M40" s="2"/>
    </row>
    <row r="41" spans="1:13" ht="18.75">
      <c r="A41" s="2"/>
      <c r="B41" s="2"/>
      <c r="C41" s="1"/>
      <c r="D41" s="2"/>
      <c r="E41" s="2"/>
      <c r="F41" s="2"/>
      <c r="G41" s="2"/>
      <c r="H41" s="2"/>
      <c r="I41" s="15"/>
      <c r="J41" s="15"/>
      <c r="K41" s="15"/>
      <c r="L41" s="15"/>
      <c r="M41" s="2"/>
    </row>
    <row r="42" spans="1:13" ht="18.75">
      <c r="A42" s="1" t="s">
        <v>13</v>
      </c>
      <c r="B42" s="2"/>
      <c r="C42" s="1"/>
      <c r="D42" s="2"/>
      <c r="E42" s="2"/>
      <c r="F42" s="2"/>
      <c r="G42" s="2"/>
      <c r="H42" s="2"/>
      <c r="I42" s="15"/>
      <c r="J42" s="15"/>
      <c r="K42" s="15"/>
      <c r="L42" s="15"/>
      <c r="M42" s="2"/>
    </row>
    <row r="43" spans="1:13" ht="18.75">
      <c r="A43" s="2"/>
      <c r="B43" s="2" t="s">
        <v>14</v>
      </c>
      <c r="C43" s="1"/>
      <c r="D43" s="2"/>
      <c r="E43" s="2"/>
      <c r="F43" s="2"/>
      <c r="G43" s="2"/>
      <c r="H43" s="2"/>
      <c r="I43" s="3">
        <v>3159649</v>
      </c>
      <c r="J43" s="3"/>
      <c r="K43" s="3"/>
      <c r="L43" s="3">
        <f t="shared" ref="L43:L48" si="2">SUM(I43:K43)</f>
        <v>3159649</v>
      </c>
      <c r="M43" s="2"/>
    </row>
    <row r="44" spans="1:13" ht="18.75">
      <c r="A44" s="2"/>
      <c r="B44" s="2" t="s">
        <v>267</v>
      </c>
      <c r="C44" s="1"/>
      <c r="D44" s="2"/>
      <c r="E44" s="2"/>
      <c r="F44" s="2"/>
      <c r="G44" s="2"/>
      <c r="H44" s="2"/>
      <c r="I44" s="3">
        <v>732214815</v>
      </c>
      <c r="J44" s="3">
        <v>18338046</v>
      </c>
      <c r="K44" s="3">
        <v>-1873062</v>
      </c>
      <c r="L44" s="3">
        <f t="shared" si="2"/>
        <v>748679799</v>
      </c>
      <c r="M44" s="2"/>
    </row>
    <row r="45" spans="1:13" ht="18.75">
      <c r="A45" s="2"/>
      <c r="B45" s="2" t="s">
        <v>268</v>
      </c>
      <c r="C45" s="1"/>
      <c r="D45" s="2"/>
      <c r="E45" s="2"/>
      <c r="F45" s="2"/>
      <c r="G45" s="2"/>
      <c r="H45" s="2"/>
      <c r="I45" s="3">
        <v>151589663</v>
      </c>
      <c r="J45" s="3">
        <v>3377412</v>
      </c>
      <c r="K45" s="3">
        <v>-171642</v>
      </c>
      <c r="L45" s="3">
        <f t="shared" si="2"/>
        <v>154795433</v>
      </c>
      <c r="M45" s="2"/>
    </row>
    <row r="46" spans="1:13" ht="18.75">
      <c r="A46" s="2"/>
      <c r="B46" s="2" t="s">
        <v>269</v>
      </c>
      <c r="C46" s="1"/>
      <c r="D46" s="2"/>
      <c r="E46" s="2"/>
      <c r="F46" s="2"/>
      <c r="G46" s="2"/>
      <c r="H46" s="2"/>
      <c r="I46" s="3">
        <v>223984918</v>
      </c>
      <c r="J46" s="3">
        <v>6315134</v>
      </c>
      <c r="K46" s="3">
        <v>-379980</v>
      </c>
      <c r="L46" s="3">
        <f t="shared" si="2"/>
        <v>229920072</v>
      </c>
      <c r="M46" s="2"/>
    </row>
    <row r="47" spans="1:13" ht="18.75">
      <c r="A47" s="2"/>
      <c r="B47" s="2" t="s">
        <v>270</v>
      </c>
      <c r="C47" s="1"/>
      <c r="D47" s="2"/>
      <c r="E47" s="2"/>
      <c r="F47" s="2"/>
      <c r="G47" s="2"/>
      <c r="H47" s="2"/>
      <c r="I47" s="3">
        <v>133402614</v>
      </c>
      <c r="J47" s="3">
        <v>6956850</v>
      </c>
      <c r="K47" s="3">
        <v>-100213</v>
      </c>
      <c r="L47" s="3">
        <f t="shared" si="2"/>
        <v>140259251</v>
      </c>
      <c r="M47" s="2"/>
    </row>
    <row r="48" spans="1:13" ht="18.75">
      <c r="A48" s="2"/>
      <c r="B48" s="2" t="s">
        <v>34</v>
      </c>
      <c r="C48" s="1"/>
      <c r="D48" s="2"/>
      <c r="E48" s="2"/>
      <c r="F48" s="2"/>
      <c r="G48" s="2"/>
      <c r="H48" s="2"/>
      <c r="I48" s="3">
        <v>18640428</v>
      </c>
      <c r="J48" s="3">
        <v>19278</v>
      </c>
      <c r="K48" s="3">
        <v>-67795</v>
      </c>
      <c r="L48" s="3">
        <f t="shared" si="2"/>
        <v>18591911</v>
      </c>
      <c r="M48" s="2"/>
    </row>
    <row r="49" spans="1:13" ht="18.75">
      <c r="A49" s="2"/>
      <c r="B49" s="2"/>
      <c r="C49" s="1" t="s">
        <v>18</v>
      </c>
      <c r="D49" s="2"/>
      <c r="E49" s="2"/>
      <c r="F49" s="2"/>
      <c r="G49" s="2"/>
      <c r="H49" s="2"/>
      <c r="I49" s="12">
        <f>SUM(I40:I48)</f>
        <v>1361709092</v>
      </c>
      <c r="J49" s="12">
        <f t="shared" ref="J49:L49" si="3">SUM(J40:J48)</f>
        <v>76163396</v>
      </c>
      <c r="K49" s="12">
        <f t="shared" si="3"/>
        <v>-39117480</v>
      </c>
      <c r="L49" s="12">
        <f t="shared" si="3"/>
        <v>1398755008</v>
      </c>
      <c r="M49" s="2"/>
    </row>
    <row r="50" spans="1:13" ht="18.75">
      <c r="A50" s="2"/>
      <c r="B50" s="2"/>
      <c r="C50" s="1"/>
      <c r="D50" s="2"/>
      <c r="E50" s="2"/>
      <c r="F50" s="2"/>
      <c r="G50" s="2"/>
      <c r="H50" s="2"/>
      <c r="I50" s="15"/>
      <c r="J50" s="15"/>
      <c r="K50" s="15"/>
      <c r="L50" s="15"/>
      <c r="M50" s="2"/>
    </row>
    <row r="51" spans="1:13" ht="18.75">
      <c r="A51" s="1" t="s">
        <v>19</v>
      </c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2"/>
    </row>
    <row r="52" spans="1:13" ht="18.75">
      <c r="A52" s="2"/>
      <c r="B52" s="2" t="s">
        <v>14</v>
      </c>
      <c r="C52" s="2"/>
      <c r="D52" s="2"/>
      <c r="E52" s="2"/>
      <c r="F52" s="2"/>
      <c r="G52" s="2"/>
      <c r="H52" s="2"/>
      <c r="I52" s="3">
        <v>2939937</v>
      </c>
      <c r="J52" s="3">
        <v>8405</v>
      </c>
      <c r="K52" s="3"/>
      <c r="L52" s="3">
        <f t="shared" ref="L52:L57" si="4">SUM(I52:K52)</f>
        <v>2948342</v>
      </c>
      <c r="M52" s="3">
        <f>SUM(L43-L52)</f>
        <v>211307</v>
      </c>
    </row>
    <row r="53" spans="1:13" ht="18.75">
      <c r="A53" s="2"/>
      <c r="B53" s="2" t="s">
        <v>267</v>
      </c>
      <c r="C53" s="2"/>
      <c r="D53" s="2"/>
      <c r="E53" s="2"/>
      <c r="F53" s="2"/>
      <c r="G53" s="2"/>
      <c r="H53" s="2"/>
      <c r="I53" s="3">
        <v>405262897</v>
      </c>
      <c r="J53" s="3">
        <v>16345248</v>
      </c>
      <c r="K53" s="3">
        <v>-1346864</v>
      </c>
      <c r="L53" s="3">
        <f t="shared" si="4"/>
        <v>420261281</v>
      </c>
      <c r="M53" s="3">
        <f t="shared" ref="M53:M57" si="5">SUM(L44-L53)</f>
        <v>328418518</v>
      </c>
    </row>
    <row r="54" spans="1:13" ht="18.75">
      <c r="A54" s="2"/>
      <c r="B54" s="2" t="s">
        <v>271</v>
      </c>
      <c r="C54" s="2"/>
      <c r="D54" s="2"/>
      <c r="E54" s="2"/>
      <c r="F54" s="2"/>
      <c r="G54" s="2"/>
      <c r="H54" s="2"/>
      <c r="I54" s="3">
        <v>58032025</v>
      </c>
      <c r="J54" s="3">
        <v>4052071</v>
      </c>
      <c r="K54" s="3">
        <v>-161322</v>
      </c>
      <c r="L54" s="3">
        <f t="shared" si="4"/>
        <v>61922774</v>
      </c>
      <c r="M54" s="3">
        <f t="shared" si="5"/>
        <v>92872659</v>
      </c>
    </row>
    <row r="55" spans="1:13" ht="18.75">
      <c r="A55" s="2"/>
      <c r="B55" s="2" t="s">
        <v>269</v>
      </c>
      <c r="C55" s="2"/>
      <c r="D55" s="2"/>
      <c r="E55" s="2"/>
      <c r="F55" s="2"/>
      <c r="G55" s="2"/>
      <c r="H55" s="2"/>
      <c r="I55" s="3">
        <v>69744710</v>
      </c>
      <c r="J55" s="3">
        <v>4948130</v>
      </c>
      <c r="K55" s="3">
        <v>-375328</v>
      </c>
      <c r="L55" s="3">
        <f t="shared" si="4"/>
        <v>74317512</v>
      </c>
      <c r="M55" s="3">
        <f t="shared" si="5"/>
        <v>155602560</v>
      </c>
    </row>
    <row r="56" spans="1:13" ht="18.75">
      <c r="A56" s="2"/>
      <c r="B56" s="2" t="s">
        <v>270</v>
      </c>
      <c r="C56" s="2"/>
      <c r="D56" s="2"/>
      <c r="E56" s="2"/>
      <c r="F56" s="2"/>
      <c r="G56" s="2"/>
      <c r="H56" s="2"/>
      <c r="I56" s="3">
        <v>51522178</v>
      </c>
      <c r="J56" s="3">
        <v>10808046</v>
      </c>
      <c r="K56" s="3">
        <v>-47135</v>
      </c>
      <c r="L56" s="3">
        <f t="shared" si="4"/>
        <v>62283089</v>
      </c>
      <c r="M56" s="3">
        <f t="shared" si="5"/>
        <v>77976162</v>
      </c>
    </row>
    <row r="57" spans="1:13" ht="18.75">
      <c r="A57" s="2"/>
      <c r="B57" s="2" t="s">
        <v>34</v>
      </c>
      <c r="C57" s="2"/>
      <c r="D57" s="2"/>
      <c r="E57" s="2"/>
      <c r="F57" s="2"/>
      <c r="G57" s="2"/>
      <c r="H57" s="2"/>
      <c r="I57" s="3">
        <v>4703849</v>
      </c>
      <c r="J57" s="3">
        <v>613530</v>
      </c>
      <c r="K57" s="3">
        <v>-67198</v>
      </c>
      <c r="L57" s="3">
        <f t="shared" si="4"/>
        <v>5250181</v>
      </c>
      <c r="M57" s="3">
        <f t="shared" si="5"/>
        <v>13341730</v>
      </c>
    </row>
    <row r="58" spans="1:13" ht="18.75">
      <c r="A58" s="1"/>
      <c r="B58" s="1"/>
      <c r="C58" s="1" t="s">
        <v>20</v>
      </c>
      <c r="D58" s="1"/>
      <c r="E58" s="1"/>
      <c r="F58" s="1"/>
      <c r="G58" s="1"/>
      <c r="H58" s="2"/>
      <c r="I58" s="12">
        <f>SUM(I52:I57)</f>
        <v>592205596</v>
      </c>
      <c r="J58" s="12">
        <f>SUM(J52:J57)</f>
        <v>36775430</v>
      </c>
      <c r="K58" s="12">
        <f t="shared" ref="K58:L58" si="6">SUM(K52:K57)</f>
        <v>-1997847</v>
      </c>
      <c r="L58" s="12">
        <f t="shared" si="6"/>
        <v>626983179</v>
      </c>
      <c r="M58" s="2"/>
    </row>
    <row r="59" spans="1:13" ht="18.75">
      <c r="A59" s="1"/>
      <c r="B59" s="1"/>
      <c r="C59" s="1"/>
      <c r="D59" s="1"/>
      <c r="E59" s="1"/>
      <c r="F59" s="1"/>
      <c r="G59" s="1"/>
      <c r="H59" s="2"/>
      <c r="I59" s="12"/>
      <c r="J59" s="12"/>
      <c r="K59" s="12"/>
      <c r="L59" s="12"/>
      <c r="M59" s="2"/>
    </row>
    <row r="60" spans="1:13" ht="18.75">
      <c r="A60" s="1"/>
      <c r="B60" s="1"/>
      <c r="C60" s="1" t="s">
        <v>44</v>
      </c>
      <c r="D60" s="1"/>
      <c r="E60" s="1"/>
      <c r="F60" s="1"/>
      <c r="G60" s="1"/>
      <c r="H60" s="2"/>
      <c r="I60" s="13">
        <f>SUM(I49-I58)</f>
        <v>769503496</v>
      </c>
      <c r="J60" s="13">
        <f>SUM(J49-J58)</f>
        <v>39387966</v>
      </c>
      <c r="K60" s="13">
        <f t="shared" ref="K60:L60" si="7">SUM(K49-K58)</f>
        <v>-37119633</v>
      </c>
      <c r="L60" s="13">
        <f t="shared" si="7"/>
        <v>771771829</v>
      </c>
      <c r="M60" s="3">
        <f>SUM(M38:M57)</f>
        <v>771771829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36"/>
  <sheetViews>
    <sheetView topLeftCell="A7" workbookViewId="0">
      <selection activeCell="M28" sqref="M28"/>
    </sheetView>
  </sheetViews>
  <sheetFormatPr defaultColWidth="8.85546875" defaultRowHeight="15"/>
  <cols>
    <col min="9" max="9" width="18.28515625" customWidth="1"/>
    <col min="10" max="10" width="16.7109375" customWidth="1"/>
    <col min="11" max="11" width="16.85546875" customWidth="1"/>
    <col min="12" max="12" width="18.42578125" customWidth="1"/>
    <col min="13" max="13" width="18.28515625" customWidth="1"/>
  </cols>
  <sheetData>
    <row r="1" spans="1:13" ht="18.75">
      <c r="A1" s="2"/>
      <c r="B1" s="2"/>
      <c r="C1" s="2"/>
      <c r="D1" s="159" t="s">
        <v>272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273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4</v>
      </c>
      <c r="K5" s="11" t="s">
        <v>274</v>
      </c>
      <c r="L5" s="11" t="s">
        <v>6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3" ht="18.75">
      <c r="A7" s="2"/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 t="s">
        <v>264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1" t="s">
        <v>83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2"/>
    </row>
    <row r="10" spans="1:13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1315603</v>
      </c>
      <c r="J10" s="3"/>
      <c r="K10" s="3">
        <v>-18327</v>
      </c>
      <c r="L10" s="3">
        <f>SUM(I10:K10)</f>
        <v>1297276</v>
      </c>
      <c r="M10" s="3">
        <f>SUM(L10)</f>
        <v>1297276</v>
      </c>
    </row>
    <row r="11" spans="1:13" ht="18.75">
      <c r="A11" s="2"/>
      <c r="B11" s="2" t="s">
        <v>11</v>
      </c>
      <c r="C11" s="2"/>
      <c r="D11" s="2"/>
      <c r="E11" s="2"/>
      <c r="F11" s="2"/>
      <c r="G11" s="2"/>
      <c r="H11" s="2"/>
      <c r="I11" s="3">
        <v>23784976</v>
      </c>
      <c r="J11" s="3">
        <v>20685900</v>
      </c>
      <c r="K11" s="3">
        <v>-5955299</v>
      </c>
      <c r="L11" s="3">
        <f>SUM(I11:K11)</f>
        <v>38515577</v>
      </c>
      <c r="M11" s="3">
        <f>SUM(L11)</f>
        <v>38515577</v>
      </c>
    </row>
    <row r="12" spans="1:13" ht="18.75">
      <c r="A12" s="2"/>
      <c r="B12" s="1"/>
      <c r="C12" s="1" t="s">
        <v>70</v>
      </c>
      <c r="D12" s="1"/>
      <c r="E12" s="1"/>
      <c r="F12" s="1"/>
      <c r="G12" s="1"/>
      <c r="H12" s="1"/>
      <c r="I12" s="12">
        <f>SUM(I10:I11)</f>
        <v>25100579</v>
      </c>
      <c r="J12" s="12">
        <f>SUM(J10:J11)</f>
        <v>20685900</v>
      </c>
      <c r="K12" s="12">
        <f>SUM(K10:K11)</f>
        <v>-5973626</v>
      </c>
      <c r="L12" s="12">
        <f>SUM(L10:L11)</f>
        <v>39812853</v>
      </c>
      <c r="M12" s="1"/>
    </row>
    <row r="13" spans="1:13" ht="18.75">
      <c r="A13" s="1"/>
      <c r="B13" s="1"/>
      <c r="C13" s="1"/>
      <c r="D13" s="2"/>
      <c r="E13" s="2"/>
      <c r="F13" s="2"/>
      <c r="G13" s="2"/>
      <c r="H13" s="2"/>
      <c r="I13" s="3"/>
      <c r="J13" s="3"/>
      <c r="K13" s="3"/>
      <c r="L13" s="3"/>
      <c r="M13" s="2"/>
    </row>
    <row r="14" spans="1:13" ht="18.75">
      <c r="A14" s="1" t="s">
        <v>193</v>
      </c>
      <c r="B14" s="1"/>
      <c r="C14" s="1"/>
      <c r="D14" s="2"/>
      <c r="E14" s="2"/>
      <c r="F14" s="2"/>
      <c r="G14" s="2"/>
      <c r="H14" s="2"/>
      <c r="I14" s="3"/>
      <c r="J14" s="3"/>
      <c r="K14" s="3"/>
      <c r="L14" s="3"/>
      <c r="M14" s="2"/>
    </row>
    <row r="15" spans="1:13" ht="18.75">
      <c r="A15" s="2"/>
      <c r="B15" s="2" t="s">
        <v>29</v>
      </c>
      <c r="C15" s="2"/>
      <c r="D15" s="2"/>
      <c r="E15" s="2"/>
      <c r="F15" s="2"/>
      <c r="G15" s="2"/>
      <c r="H15" s="2"/>
      <c r="I15" s="3">
        <v>31297591</v>
      </c>
      <c r="J15" s="3">
        <v>221815</v>
      </c>
      <c r="K15" s="3">
        <v>-1542838</v>
      </c>
      <c r="L15" s="3">
        <f>SUM(I15:K15)</f>
        <v>29976568</v>
      </c>
      <c r="M15" s="2"/>
    </row>
    <row r="16" spans="1:13" ht="18.75">
      <c r="A16" s="2"/>
      <c r="B16" s="2" t="s">
        <v>17</v>
      </c>
      <c r="C16" s="2"/>
      <c r="D16" s="2"/>
      <c r="E16" s="2"/>
      <c r="F16" s="2"/>
      <c r="G16" s="2"/>
      <c r="H16" s="2"/>
      <c r="I16" s="3">
        <v>107706220</v>
      </c>
      <c r="J16" s="3">
        <v>1339825</v>
      </c>
      <c r="K16" s="3">
        <v>7301</v>
      </c>
      <c r="L16" s="3">
        <f t="shared" ref="L16:L20" si="0">SUM(I16:K16)</f>
        <v>109053346</v>
      </c>
      <c r="M16" s="2"/>
    </row>
    <row r="17" spans="1:15" ht="18.75">
      <c r="A17" s="2"/>
      <c r="B17" s="2" t="s">
        <v>275</v>
      </c>
      <c r="C17" s="2"/>
      <c r="D17" s="2"/>
      <c r="E17" s="2"/>
      <c r="F17" s="2"/>
      <c r="G17" s="2"/>
      <c r="H17" s="2"/>
      <c r="I17" s="3">
        <v>2620893</v>
      </c>
      <c r="J17" s="3">
        <v>250985</v>
      </c>
      <c r="K17" s="3"/>
      <c r="L17" s="3">
        <f t="shared" si="0"/>
        <v>2871878</v>
      </c>
      <c r="M17" s="2"/>
    </row>
    <row r="18" spans="1:15" ht="18.75">
      <c r="A18" s="2"/>
      <c r="B18" s="2" t="s">
        <v>276</v>
      </c>
      <c r="C18" s="2"/>
      <c r="D18" s="2"/>
      <c r="E18" s="2"/>
      <c r="F18" s="2"/>
      <c r="G18" s="2"/>
      <c r="H18" s="2"/>
      <c r="I18" s="3">
        <v>37298577</v>
      </c>
      <c r="J18" s="3">
        <v>3863445</v>
      </c>
      <c r="K18" s="3">
        <v>-11191</v>
      </c>
      <c r="L18" s="3">
        <f t="shared" si="0"/>
        <v>41150831</v>
      </c>
      <c r="M18" s="2"/>
    </row>
    <row r="19" spans="1:15" ht="18.75">
      <c r="A19" s="2"/>
      <c r="B19" s="2" t="s">
        <v>277</v>
      </c>
      <c r="C19" s="2"/>
      <c r="D19" s="2"/>
      <c r="E19" s="2"/>
      <c r="F19" s="2"/>
      <c r="G19" s="2"/>
      <c r="H19" s="2"/>
      <c r="I19" s="3">
        <v>7510173</v>
      </c>
      <c r="J19" s="3">
        <v>476481</v>
      </c>
      <c r="K19" s="3">
        <v>-128406</v>
      </c>
      <c r="L19" s="3">
        <f t="shared" si="0"/>
        <v>7858248</v>
      </c>
      <c r="M19" s="2"/>
    </row>
    <row r="20" spans="1:15" ht="18.75">
      <c r="A20" s="2"/>
      <c r="B20" s="2" t="s">
        <v>278</v>
      </c>
      <c r="C20" s="2"/>
      <c r="D20" s="2"/>
      <c r="E20" s="2"/>
      <c r="F20" s="2"/>
      <c r="G20" s="2"/>
      <c r="H20" s="2"/>
      <c r="I20" s="3">
        <v>9807167</v>
      </c>
      <c r="J20" s="3">
        <v>1026194</v>
      </c>
      <c r="K20" s="3">
        <v>-103847</v>
      </c>
      <c r="L20" s="3">
        <f t="shared" si="0"/>
        <v>10729514</v>
      </c>
      <c r="M20" s="2"/>
    </row>
    <row r="21" spans="1:15" ht="18.75">
      <c r="A21" s="2"/>
      <c r="B21" s="2"/>
      <c r="C21" s="1" t="s">
        <v>18</v>
      </c>
      <c r="D21" s="2"/>
      <c r="E21" s="2"/>
      <c r="F21" s="2"/>
      <c r="G21" s="2"/>
      <c r="H21" s="2"/>
      <c r="I21" s="13">
        <f>SUM(I15:I20)</f>
        <v>196240621</v>
      </c>
      <c r="J21" s="13">
        <f t="shared" ref="J21:L21" si="1">SUM(J15:J20)</f>
        <v>7178745</v>
      </c>
      <c r="K21" s="60">
        <f>SUM(K15:K20)</f>
        <v>-1778981</v>
      </c>
      <c r="L21" s="13">
        <f t="shared" si="1"/>
        <v>201640385</v>
      </c>
      <c r="M21" s="2"/>
    </row>
    <row r="22" spans="1:15" ht="18.75">
      <c r="A22" s="2"/>
      <c r="B22" s="2"/>
      <c r="C22" s="1"/>
      <c r="D22" s="2"/>
      <c r="E22" s="2"/>
      <c r="F22" s="2"/>
      <c r="G22" s="2"/>
      <c r="H22" s="2"/>
      <c r="I22" s="15"/>
      <c r="J22" s="15"/>
      <c r="K22" s="15"/>
      <c r="L22" s="15"/>
      <c r="M22" s="2"/>
    </row>
    <row r="23" spans="1:15" ht="18.75">
      <c r="A23" s="1"/>
      <c r="B23" s="1"/>
      <c r="C23" s="1"/>
      <c r="D23" s="1" t="s">
        <v>279</v>
      </c>
      <c r="E23" s="1"/>
      <c r="F23" s="2"/>
      <c r="G23" s="2"/>
      <c r="H23" s="2"/>
      <c r="I23" s="15">
        <f>SUM(I21+I12)</f>
        <v>221341200</v>
      </c>
      <c r="J23" s="15">
        <f t="shared" ref="J23:L23" si="2">SUM(J21+J12)</f>
        <v>27864645</v>
      </c>
      <c r="K23" s="15">
        <f t="shared" si="2"/>
        <v>-7752607</v>
      </c>
      <c r="L23" s="15">
        <f t="shared" si="2"/>
        <v>241453238</v>
      </c>
      <c r="M23" s="2"/>
    </row>
    <row r="24" spans="1:15" ht="18.75">
      <c r="A24" s="1"/>
      <c r="B24" s="1"/>
      <c r="C24" s="1"/>
      <c r="D24" s="1"/>
      <c r="E24" s="1"/>
      <c r="F24" s="2"/>
      <c r="G24" s="2"/>
      <c r="H24" s="2"/>
      <c r="I24" s="15"/>
      <c r="J24" s="15"/>
      <c r="K24" s="15"/>
      <c r="L24" s="15"/>
      <c r="M24" s="2"/>
    </row>
    <row r="25" spans="1:15" ht="18.75">
      <c r="A25" s="1" t="s">
        <v>19</v>
      </c>
      <c r="B25" s="1"/>
      <c r="C25" s="1"/>
      <c r="D25" s="1"/>
      <c r="E25" s="1"/>
      <c r="F25" s="2"/>
      <c r="G25" s="2"/>
      <c r="H25" s="2"/>
      <c r="I25" s="3"/>
      <c r="J25" s="3"/>
      <c r="K25" s="3"/>
      <c r="L25" s="3"/>
      <c r="M25" s="2"/>
    </row>
    <row r="26" spans="1:15" ht="18.75">
      <c r="A26" s="2"/>
      <c r="B26" s="2" t="s">
        <v>33</v>
      </c>
      <c r="C26" s="2"/>
      <c r="D26" s="2"/>
      <c r="E26" s="2"/>
      <c r="F26" s="2"/>
      <c r="G26" s="2"/>
      <c r="H26" s="2"/>
      <c r="I26" s="3">
        <v>-6868054</v>
      </c>
      <c r="J26" s="3">
        <v>-743074</v>
      </c>
      <c r="K26" s="3">
        <v>63120</v>
      </c>
      <c r="L26" s="3">
        <f t="shared" ref="L26:L31" si="3">SUM(I26:K26)</f>
        <v>-7548008</v>
      </c>
      <c r="M26" s="3">
        <f>SUM(L15+L26)</f>
        <v>22428560</v>
      </c>
    </row>
    <row r="27" spans="1:15" ht="18.75">
      <c r="A27" s="2"/>
      <c r="B27" s="2" t="s">
        <v>17</v>
      </c>
      <c r="C27" s="2"/>
      <c r="D27" s="2"/>
      <c r="E27" s="2"/>
      <c r="F27" s="2"/>
      <c r="G27" s="2"/>
      <c r="H27" s="2"/>
      <c r="I27" s="3">
        <v>-89548006</v>
      </c>
      <c r="J27" s="3">
        <v>-4157823</v>
      </c>
      <c r="K27" s="3">
        <v>3777</v>
      </c>
      <c r="L27" s="3">
        <f t="shared" si="3"/>
        <v>-93702052</v>
      </c>
      <c r="M27" s="3">
        <f t="shared" ref="M27:M31" si="4">SUM(L16+L27)</f>
        <v>15351294</v>
      </c>
    </row>
    <row r="28" spans="1:15" ht="18.75">
      <c r="A28" s="2"/>
      <c r="B28" s="2" t="s">
        <v>275</v>
      </c>
      <c r="C28" s="2"/>
      <c r="D28" s="2"/>
      <c r="E28" s="2"/>
      <c r="F28" s="2"/>
      <c r="G28" s="2"/>
      <c r="H28" s="2"/>
      <c r="I28" s="3">
        <v>-1351227</v>
      </c>
      <c r="J28" s="3">
        <v>-196423</v>
      </c>
      <c r="K28" s="3"/>
      <c r="L28" s="3">
        <f t="shared" si="3"/>
        <v>-1547650</v>
      </c>
      <c r="M28" s="3">
        <f t="shared" si="4"/>
        <v>1324228</v>
      </c>
    </row>
    <row r="29" spans="1:15" ht="18.75">
      <c r="A29" s="2"/>
      <c r="B29" s="2" t="s">
        <v>276</v>
      </c>
      <c r="C29" s="2"/>
      <c r="D29" s="2"/>
      <c r="E29" s="2"/>
      <c r="F29" s="2"/>
      <c r="G29" s="2"/>
      <c r="H29" s="2"/>
      <c r="I29" s="3">
        <v>-29861782</v>
      </c>
      <c r="J29" s="3">
        <v>-667226</v>
      </c>
      <c r="K29" s="3">
        <v>3872</v>
      </c>
      <c r="L29" s="3">
        <f t="shared" si="3"/>
        <v>-30525136</v>
      </c>
      <c r="M29" s="3">
        <f t="shared" si="4"/>
        <v>10625695</v>
      </c>
    </row>
    <row r="30" spans="1:15" ht="18.75">
      <c r="A30" s="2"/>
      <c r="B30" s="2" t="s">
        <v>277</v>
      </c>
      <c r="C30" s="2"/>
      <c r="D30" s="2"/>
      <c r="E30" s="2"/>
      <c r="F30" s="2"/>
      <c r="G30" s="2"/>
      <c r="H30" s="2"/>
      <c r="I30" s="3">
        <v>-4184846</v>
      </c>
      <c r="J30" s="3">
        <v>-350955</v>
      </c>
      <c r="K30" s="3">
        <v>-244925</v>
      </c>
      <c r="L30" s="3">
        <f t="shared" si="3"/>
        <v>-4780726</v>
      </c>
      <c r="M30" s="3">
        <f t="shared" si="4"/>
        <v>3077522</v>
      </c>
      <c r="O30" t="s">
        <v>153</v>
      </c>
    </row>
    <row r="31" spans="1:15" ht="18.75">
      <c r="A31" s="2"/>
      <c r="B31" s="2" t="s">
        <v>278</v>
      </c>
      <c r="C31" s="2"/>
      <c r="D31" s="2"/>
      <c r="E31" s="2"/>
      <c r="F31" s="2"/>
      <c r="G31" s="2"/>
      <c r="H31" s="2"/>
      <c r="I31" s="3">
        <v>-6474800</v>
      </c>
      <c r="J31" s="3">
        <v>-580091</v>
      </c>
      <c r="K31" s="3">
        <v>-82279</v>
      </c>
      <c r="L31" s="3">
        <f t="shared" si="3"/>
        <v>-7137170</v>
      </c>
      <c r="M31" s="3">
        <f t="shared" si="4"/>
        <v>3592344</v>
      </c>
    </row>
    <row r="32" spans="1:15" ht="18.75">
      <c r="A32" s="1"/>
      <c r="B32" s="1"/>
      <c r="C32" s="1" t="s">
        <v>20</v>
      </c>
      <c r="D32" s="1"/>
      <c r="E32" s="1"/>
      <c r="F32" s="1"/>
      <c r="G32" s="1"/>
      <c r="H32" s="1"/>
      <c r="I32" s="10">
        <f>SUM(I26:I31)</f>
        <v>-138288715</v>
      </c>
      <c r="J32" s="10">
        <f t="shared" ref="J32:L32" si="5">SUM(J26:J31)</f>
        <v>-6695592</v>
      </c>
      <c r="K32" s="10">
        <f t="shared" si="5"/>
        <v>-256435</v>
      </c>
      <c r="L32" s="10">
        <f t="shared" si="5"/>
        <v>-145240742</v>
      </c>
      <c r="M32" s="1"/>
    </row>
    <row r="33" spans="1:13" ht="18.75">
      <c r="A33" s="1"/>
      <c r="B33" s="1"/>
      <c r="C33" s="1"/>
      <c r="D33" s="1"/>
      <c r="E33" s="1"/>
      <c r="F33" s="1"/>
      <c r="G33" s="1"/>
      <c r="H33" s="1"/>
      <c r="I33" s="10"/>
      <c r="J33" s="10"/>
      <c r="K33" s="10"/>
      <c r="L33" s="10"/>
      <c r="M33" s="1"/>
    </row>
    <row r="34" spans="1:13" ht="18.75">
      <c r="A34" s="1"/>
      <c r="B34" s="1"/>
      <c r="C34" s="1" t="s">
        <v>280</v>
      </c>
      <c r="D34" s="1"/>
      <c r="E34" s="1"/>
      <c r="F34" s="1"/>
      <c r="G34" s="1"/>
      <c r="H34" s="1"/>
      <c r="I34" s="10">
        <f>SUM(I21+I32)</f>
        <v>57951906</v>
      </c>
      <c r="J34" s="10"/>
      <c r="K34" s="10"/>
      <c r="L34" s="10">
        <f t="shared" ref="L34" si="6">SUM(L21+L32)</f>
        <v>56399643</v>
      </c>
      <c r="M34" s="1"/>
    </row>
    <row r="35" spans="1:13" ht="18.75">
      <c r="A35" s="1"/>
      <c r="B35" s="1"/>
      <c r="C35" s="1"/>
      <c r="D35" s="1"/>
      <c r="E35" s="1"/>
      <c r="F35" s="1"/>
      <c r="G35" s="1"/>
      <c r="H35" s="1"/>
      <c r="I35" s="10"/>
      <c r="J35" s="10"/>
      <c r="K35" s="10"/>
      <c r="L35" s="10"/>
      <c r="M35" s="1"/>
    </row>
    <row r="36" spans="1:13" ht="18.75">
      <c r="A36" s="1"/>
      <c r="B36" s="1"/>
      <c r="C36" s="1" t="s">
        <v>281</v>
      </c>
      <c r="D36" s="1"/>
      <c r="E36" s="1"/>
      <c r="F36" s="1"/>
      <c r="G36" s="1"/>
      <c r="H36" s="1"/>
      <c r="I36" s="10">
        <v>83052485</v>
      </c>
      <c r="J36" s="10"/>
      <c r="K36" s="10"/>
      <c r="L36" s="10">
        <f>SUM(L23+L32)</f>
        <v>96212496</v>
      </c>
      <c r="M36" s="15">
        <f>SUM(M10:M31)</f>
        <v>96212496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S34"/>
  <sheetViews>
    <sheetView tabSelected="1" topLeftCell="I31" zoomScaleNormal="100" zoomScalePageLayoutView="90" workbookViewId="0">
      <selection activeCell="M29" sqref="M29"/>
    </sheetView>
  </sheetViews>
  <sheetFormatPr defaultColWidth="8.85546875" defaultRowHeight="15"/>
  <cols>
    <col min="9" max="9" width="18.28515625" customWidth="1"/>
    <col min="10" max="10" width="16.7109375" customWidth="1"/>
    <col min="11" max="11" width="16.85546875" customWidth="1"/>
    <col min="12" max="12" width="18.42578125" customWidth="1"/>
    <col min="13" max="13" width="18.28515625" customWidth="1"/>
  </cols>
  <sheetData>
    <row r="1" spans="1:13" ht="18.75">
      <c r="A1" s="2"/>
      <c r="B1" s="2"/>
      <c r="C1" s="2"/>
      <c r="D1" s="159" t="s">
        <v>272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4</v>
      </c>
      <c r="K5" s="11" t="s">
        <v>274</v>
      </c>
      <c r="L5" s="11" t="s">
        <v>6</v>
      </c>
      <c r="M5" s="11" t="s">
        <v>7</v>
      </c>
    </row>
    <row r="6" spans="1:13" ht="18.75">
      <c r="A6" s="1" t="s">
        <v>264</v>
      </c>
      <c r="B6" s="1"/>
      <c r="C6" s="1"/>
      <c r="D6" s="1"/>
      <c r="E6" s="1"/>
      <c r="F6" s="1"/>
      <c r="G6" s="2"/>
      <c r="H6" s="2"/>
      <c r="I6" s="3"/>
      <c r="J6" s="3"/>
      <c r="K6" s="3"/>
      <c r="L6" s="3"/>
      <c r="M6" s="2"/>
    </row>
    <row r="7" spans="1:13" ht="18.75">
      <c r="A7" s="1" t="s">
        <v>83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2"/>
      <c r="B8" s="2" t="s">
        <v>10</v>
      </c>
      <c r="C8" s="2"/>
      <c r="D8" s="2"/>
      <c r="E8" s="2"/>
      <c r="F8" s="2"/>
      <c r="G8" s="2"/>
      <c r="H8" s="2"/>
      <c r="I8" s="3">
        <v>1297276</v>
      </c>
      <c r="J8" s="3">
        <v>32175</v>
      </c>
      <c r="K8" s="3">
        <v>-3000</v>
      </c>
      <c r="L8" s="3">
        <f>SUM(I8:K8)</f>
        <v>1326451</v>
      </c>
      <c r="M8" s="3">
        <f>SUM(L8)</f>
        <v>1326451</v>
      </c>
    </row>
    <row r="9" spans="1:13" ht="18.75">
      <c r="A9" s="2"/>
      <c r="B9" s="2" t="s">
        <v>11</v>
      </c>
      <c r="C9" s="2"/>
      <c r="D9" s="2"/>
      <c r="E9" s="2"/>
      <c r="F9" s="2"/>
      <c r="G9" s="2"/>
      <c r="H9" s="2"/>
      <c r="I9" s="3">
        <v>38515577</v>
      </c>
      <c r="J9" s="3">
        <v>12534733</v>
      </c>
      <c r="K9" s="3">
        <v>-37159762</v>
      </c>
      <c r="L9" s="3">
        <f>SUM(I9:K9)</f>
        <v>13890548</v>
      </c>
      <c r="M9" s="3">
        <f>SUM(L9)</f>
        <v>13890548</v>
      </c>
    </row>
    <row r="10" spans="1:13" ht="18.75">
      <c r="A10" s="2"/>
      <c r="B10" s="1"/>
      <c r="C10" s="1" t="s">
        <v>70</v>
      </c>
      <c r="D10" s="1"/>
      <c r="E10" s="1"/>
      <c r="F10" s="1"/>
      <c r="G10" s="1"/>
      <c r="H10" s="1"/>
      <c r="I10" s="12">
        <f t="shared" ref="I10:J10" si="0">SUM(I8:I9)</f>
        <v>39812853</v>
      </c>
      <c r="J10" s="12">
        <f t="shared" si="0"/>
        <v>12566908</v>
      </c>
      <c r="K10" s="12">
        <f>SUM(K8:K9)</f>
        <v>-37162762</v>
      </c>
      <c r="L10" s="12">
        <f>SUM(L8:L9)</f>
        <v>15216999</v>
      </c>
      <c r="M10" s="1"/>
    </row>
    <row r="11" spans="1:13" ht="18.75">
      <c r="A11" s="1"/>
      <c r="B11" s="1"/>
      <c r="C11" s="1"/>
      <c r="D11" s="2"/>
      <c r="E11" s="2"/>
      <c r="F11" s="2"/>
      <c r="G11" s="2"/>
      <c r="H11" s="2"/>
      <c r="I11" s="3"/>
      <c r="J11" s="3"/>
      <c r="K11" s="3"/>
      <c r="L11" s="3"/>
      <c r="M11" s="2"/>
    </row>
    <row r="12" spans="1:13" ht="18.75">
      <c r="A12" s="1" t="s">
        <v>193</v>
      </c>
      <c r="B12" s="1"/>
      <c r="C12" s="1"/>
      <c r="D12" s="2"/>
      <c r="E12" s="2"/>
      <c r="F12" s="2"/>
      <c r="G12" s="2"/>
      <c r="H12" s="2"/>
      <c r="I12" s="3"/>
      <c r="J12" s="3"/>
      <c r="K12" s="3"/>
      <c r="L12" s="3"/>
      <c r="M12" s="2"/>
    </row>
    <row r="13" spans="1:13" ht="18.75">
      <c r="A13" s="2"/>
      <c r="B13" s="2" t="s">
        <v>29</v>
      </c>
      <c r="C13" s="2"/>
      <c r="D13" s="2"/>
      <c r="E13" s="2"/>
      <c r="F13" s="2"/>
      <c r="G13" s="2"/>
      <c r="H13" s="2"/>
      <c r="I13" s="3">
        <v>29976568</v>
      </c>
      <c r="J13" s="3">
        <v>3042963</v>
      </c>
      <c r="K13" s="3">
        <v>-80366</v>
      </c>
      <c r="L13" s="3">
        <f>SUM(I13:K13)</f>
        <v>32939165</v>
      </c>
      <c r="M13" s="2"/>
    </row>
    <row r="14" spans="1:13" ht="18.75">
      <c r="A14" s="2"/>
      <c r="B14" s="2" t="s">
        <v>17</v>
      </c>
      <c r="C14" s="2"/>
      <c r="D14" s="2"/>
      <c r="E14" s="2"/>
      <c r="F14" s="2"/>
      <c r="G14" s="2"/>
      <c r="H14" s="2"/>
      <c r="I14" s="3">
        <v>109053346</v>
      </c>
      <c r="J14" s="3">
        <v>17841157</v>
      </c>
      <c r="K14" s="3">
        <v>-853834</v>
      </c>
      <c r="L14" s="3">
        <f t="shared" ref="L14:L18" si="1">SUM(I14:K14)</f>
        <v>126040669</v>
      </c>
      <c r="M14" s="2"/>
    </row>
    <row r="15" spans="1:13" ht="18.75">
      <c r="A15" s="2"/>
      <c r="B15" s="2" t="s">
        <v>275</v>
      </c>
      <c r="C15" s="2"/>
      <c r="D15" s="2"/>
      <c r="E15" s="2"/>
      <c r="F15" s="2"/>
      <c r="G15" s="2"/>
      <c r="H15" s="2"/>
      <c r="I15" s="3">
        <v>2871878</v>
      </c>
      <c r="J15" s="3">
        <v>1360579</v>
      </c>
      <c r="K15" s="3"/>
      <c r="L15" s="3">
        <f t="shared" si="1"/>
        <v>4232457</v>
      </c>
      <c r="M15" s="2"/>
    </row>
    <row r="16" spans="1:13" ht="18.75">
      <c r="A16" s="2"/>
      <c r="B16" s="2" t="s">
        <v>276</v>
      </c>
      <c r="C16" s="2"/>
      <c r="D16" s="2"/>
      <c r="E16" s="2"/>
      <c r="F16" s="2"/>
      <c r="G16" s="2"/>
      <c r="H16" s="2"/>
      <c r="I16" s="3">
        <v>41150831</v>
      </c>
      <c r="J16" s="3">
        <v>13906676</v>
      </c>
      <c r="K16" s="3">
        <v>-57434</v>
      </c>
      <c r="L16" s="3">
        <f t="shared" si="1"/>
        <v>55000073</v>
      </c>
      <c r="M16" s="2"/>
    </row>
    <row r="17" spans="1:15" ht="18.75">
      <c r="A17" s="2"/>
      <c r="B17" s="2" t="s">
        <v>277</v>
      </c>
      <c r="C17" s="2"/>
      <c r="D17" s="2"/>
      <c r="E17" s="2"/>
      <c r="F17" s="2"/>
      <c r="G17" s="2"/>
      <c r="H17" s="2"/>
      <c r="I17" s="3">
        <v>7858248</v>
      </c>
      <c r="J17" s="3">
        <v>966254</v>
      </c>
      <c r="K17" s="3">
        <v>-166990</v>
      </c>
      <c r="L17" s="3">
        <f t="shared" si="1"/>
        <v>8657512</v>
      </c>
      <c r="M17" s="2"/>
    </row>
    <row r="18" spans="1:15" ht="18.75">
      <c r="A18" s="2"/>
      <c r="B18" s="2" t="s">
        <v>278</v>
      </c>
      <c r="C18" s="2"/>
      <c r="D18" s="2"/>
      <c r="E18" s="2"/>
      <c r="F18" s="2"/>
      <c r="G18" s="2"/>
      <c r="H18" s="2"/>
      <c r="I18" s="3">
        <v>10729514</v>
      </c>
      <c r="J18" s="3">
        <v>515891</v>
      </c>
      <c r="K18" s="3">
        <v>65512</v>
      </c>
      <c r="L18" s="3">
        <f t="shared" si="1"/>
        <v>11310917</v>
      </c>
      <c r="M18" s="2"/>
    </row>
    <row r="19" spans="1:15" ht="18.75">
      <c r="A19" s="2"/>
      <c r="B19" s="2"/>
      <c r="C19" s="1" t="s">
        <v>18</v>
      </c>
      <c r="D19" s="2"/>
      <c r="E19" s="2"/>
      <c r="F19" s="2"/>
      <c r="G19" s="2"/>
      <c r="H19" s="2"/>
      <c r="I19" s="13">
        <f>SUM(I13:I18)</f>
        <v>201640385</v>
      </c>
      <c r="J19" s="13">
        <f t="shared" ref="J19:L19" si="2">SUM(J13:J18)</f>
        <v>37633520</v>
      </c>
      <c r="K19" s="13">
        <f>SUM(K13:K18)</f>
        <v>-1093112</v>
      </c>
      <c r="L19" s="13">
        <f t="shared" si="2"/>
        <v>238180793</v>
      </c>
      <c r="M19" s="2"/>
    </row>
    <row r="20" spans="1:15" ht="18.75">
      <c r="A20" s="2"/>
      <c r="B20" s="2"/>
      <c r="C20" s="1"/>
      <c r="D20" s="2"/>
      <c r="E20" s="2"/>
      <c r="F20" s="2"/>
      <c r="G20" s="2"/>
      <c r="H20" s="2"/>
      <c r="I20" s="15"/>
      <c r="J20" s="15"/>
      <c r="K20" s="15"/>
      <c r="L20" s="15"/>
      <c r="M20" s="2"/>
    </row>
    <row r="21" spans="1:15" ht="18.75">
      <c r="A21" s="1"/>
      <c r="B21" s="1"/>
      <c r="C21" s="1"/>
      <c r="D21" s="1" t="s">
        <v>279</v>
      </c>
      <c r="E21" s="1"/>
      <c r="F21" s="2"/>
      <c r="G21" s="2"/>
      <c r="H21" s="2"/>
      <c r="I21" s="15">
        <f>SUM(I19+I10)</f>
        <v>241453238</v>
      </c>
      <c r="J21" s="15">
        <f t="shared" ref="J21" si="3">SUM(J19+J10)</f>
        <v>50200428</v>
      </c>
      <c r="K21" s="15">
        <f>SUM(K19+K10)</f>
        <v>-38255874</v>
      </c>
      <c r="L21" s="15">
        <f>SUM(L19+L10)</f>
        <v>253397792</v>
      </c>
      <c r="M21" s="2"/>
    </row>
    <row r="22" spans="1:15" ht="18.75">
      <c r="A22" s="1"/>
      <c r="B22" s="1"/>
      <c r="C22" s="1"/>
      <c r="D22" s="1"/>
      <c r="E22" s="1"/>
      <c r="F22" s="2"/>
      <c r="G22" s="2"/>
      <c r="H22" s="2"/>
      <c r="I22" s="15"/>
      <c r="J22" s="15"/>
      <c r="K22" s="15"/>
      <c r="L22" s="15"/>
      <c r="M22" s="2"/>
    </row>
    <row r="23" spans="1:15" ht="18.75">
      <c r="A23" s="1" t="s">
        <v>19</v>
      </c>
      <c r="B23" s="1"/>
      <c r="C23" s="1"/>
      <c r="D23" s="1"/>
      <c r="E23" s="1"/>
      <c r="F23" s="2"/>
      <c r="G23" s="2"/>
      <c r="H23" s="2"/>
      <c r="I23" s="3"/>
      <c r="J23" s="3"/>
      <c r="K23" s="3"/>
      <c r="L23" s="3"/>
      <c r="M23" s="2"/>
    </row>
    <row r="24" spans="1:15" ht="18.75">
      <c r="A24" s="2"/>
      <c r="B24" s="2" t="s">
        <v>33</v>
      </c>
      <c r="C24" s="2"/>
      <c r="D24" s="2"/>
      <c r="E24" s="2"/>
      <c r="F24" s="2"/>
      <c r="G24" s="2"/>
      <c r="H24" s="2"/>
      <c r="I24" s="3">
        <v>-7548008</v>
      </c>
      <c r="J24" s="3">
        <v>-932230</v>
      </c>
      <c r="K24" s="3">
        <v>-92794</v>
      </c>
      <c r="L24" s="3">
        <f t="shared" ref="L24:L29" si="4">SUM(I24:K24)</f>
        <v>-8573032</v>
      </c>
      <c r="M24" s="3">
        <f>SUM(L13+L24)</f>
        <v>24366133</v>
      </c>
    </row>
    <row r="25" spans="1:15" ht="18.75">
      <c r="A25" s="2"/>
      <c r="B25" s="2" t="s">
        <v>17</v>
      </c>
      <c r="C25" s="2"/>
      <c r="D25" s="2"/>
      <c r="E25" s="2"/>
      <c r="F25" s="2"/>
      <c r="G25" s="2"/>
      <c r="H25" s="2"/>
      <c r="I25" s="3">
        <v>-93702052</v>
      </c>
      <c r="J25" s="3">
        <v>-3483699</v>
      </c>
      <c r="K25" s="3">
        <v>1178000</v>
      </c>
      <c r="L25" s="3">
        <f t="shared" si="4"/>
        <v>-96007751</v>
      </c>
      <c r="M25" s="3">
        <f t="shared" ref="M25:M29" si="5">SUM(L14+L25)</f>
        <v>30032918</v>
      </c>
    </row>
    <row r="26" spans="1:15" ht="18.75">
      <c r="A26" s="2"/>
      <c r="B26" s="2" t="s">
        <v>275</v>
      </c>
      <c r="C26" s="2"/>
      <c r="D26" s="2"/>
      <c r="E26" s="2"/>
      <c r="F26" s="2"/>
      <c r="G26" s="2"/>
      <c r="H26" s="2"/>
      <c r="I26" s="3">
        <v>-1547650</v>
      </c>
      <c r="J26" s="3">
        <v>-262443</v>
      </c>
      <c r="K26" s="3"/>
      <c r="L26" s="3">
        <f t="shared" si="4"/>
        <v>-1810093</v>
      </c>
      <c r="M26" s="3">
        <f t="shared" si="5"/>
        <v>2422364</v>
      </c>
    </row>
    <row r="27" spans="1:15" ht="18.75">
      <c r="A27" s="2"/>
      <c r="B27" s="2" t="s">
        <v>276</v>
      </c>
      <c r="C27" s="2"/>
      <c r="D27" s="2"/>
      <c r="E27" s="2"/>
      <c r="F27" s="2"/>
      <c r="G27" s="2"/>
      <c r="H27" s="2"/>
      <c r="I27" s="3">
        <v>-30525136</v>
      </c>
      <c r="J27" s="3">
        <v>-1291775</v>
      </c>
      <c r="K27" s="3">
        <v>-7631</v>
      </c>
      <c r="L27" s="3">
        <f t="shared" si="4"/>
        <v>-31824542</v>
      </c>
      <c r="M27" s="3">
        <f t="shared" si="5"/>
        <v>23175531</v>
      </c>
    </row>
    <row r="28" spans="1:15" ht="18.75">
      <c r="A28" s="2"/>
      <c r="B28" s="2" t="s">
        <v>277</v>
      </c>
      <c r="C28" s="2"/>
      <c r="D28" s="2"/>
      <c r="E28" s="2"/>
      <c r="F28" s="2"/>
      <c r="G28" s="2"/>
      <c r="H28" s="2"/>
      <c r="I28" s="3">
        <v>-4780726</v>
      </c>
      <c r="J28" s="3">
        <v>-1059332</v>
      </c>
      <c r="K28" s="3">
        <v>89213</v>
      </c>
      <c r="L28" s="3">
        <f t="shared" si="4"/>
        <v>-5750845</v>
      </c>
      <c r="M28" s="3">
        <f t="shared" si="5"/>
        <v>2906667</v>
      </c>
      <c r="O28" t="s">
        <v>153</v>
      </c>
    </row>
    <row r="29" spans="1:15" ht="18.75">
      <c r="A29" s="2"/>
      <c r="B29" s="2" t="s">
        <v>278</v>
      </c>
      <c r="C29" s="2"/>
      <c r="D29" s="2"/>
      <c r="E29" s="2"/>
      <c r="F29" s="2"/>
      <c r="G29" s="2"/>
      <c r="H29" s="2"/>
      <c r="I29" s="3">
        <v>-7137170</v>
      </c>
      <c r="J29" s="3">
        <v>-656320</v>
      </c>
      <c r="K29" s="3">
        <v>149490</v>
      </c>
      <c r="L29" s="3">
        <f t="shared" si="4"/>
        <v>-7644000</v>
      </c>
      <c r="M29" s="3">
        <f t="shared" si="5"/>
        <v>3666917</v>
      </c>
    </row>
    <row r="30" spans="1:15" ht="18.75">
      <c r="A30" s="1"/>
      <c r="B30" s="1"/>
      <c r="C30" s="1" t="s">
        <v>20</v>
      </c>
      <c r="D30" s="1"/>
      <c r="E30" s="1"/>
      <c r="F30" s="1"/>
      <c r="G30" s="1"/>
      <c r="H30" s="1"/>
      <c r="I30" s="10">
        <f>SUM(I24:I29)</f>
        <v>-145240742</v>
      </c>
      <c r="J30" s="10">
        <f>SUM(J24:J29)</f>
        <v>-7685799</v>
      </c>
      <c r="K30" s="10">
        <f t="shared" ref="K30:L30" si="6">SUM(K24:K29)</f>
        <v>1316278</v>
      </c>
      <c r="L30" s="10">
        <f t="shared" si="6"/>
        <v>-151610263</v>
      </c>
      <c r="M30" s="1"/>
    </row>
    <row r="31" spans="1:15" ht="18.75">
      <c r="A31" s="1"/>
      <c r="B31" s="1"/>
      <c r="C31" s="1"/>
      <c r="D31" s="1"/>
      <c r="E31" s="1"/>
      <c r="F31" s="1"/>
      <c r="G31" s="1"/>
      <c r="H31" s="1"/>
      <c r="I31" s="10"/>
      <c r="J31" s="10"/>
      <c r="K31" s="10"/>
      <c r="L31" s="10"/>
      <c r="M31" s="1"/>
    </row>
    <row r="32" spans="1:15" ht="18.75">
      <c r="A32" s="1"/>
      <c r="B32" s="1"/>
      <c r="C32" s="1" t="s">
        <v>280</v>
      </c>
      <c r="D32" s="1"/>
      <c r="E32" s="1"/>
      <c r="F32" s="1"/>
      <c r="G32" s="1"/>
      <c r="H32" s="1"/>
      <c r="I32" s="10">
        <f>SUM(I19+I30)</f>
        <v>56399643</v>
      </c>
      <c r="J32" s="10"/>
      <c r="K32" s="10"/>
      <c r="L32" s="10">
        <f t="shared" ref="L32" si="7">SUM(L19+L30)</f>
        <v>86570530</v>
      </c>
      <c r="M32" s="1"/>
    </row>
    <row r="33" spans="1:19" ht="18.75">
      <c r="A33" s="1"/>
      <c r="B33" s="1"/>
      <c r="C33" s="1"/>
      <c r="D33" s="1"/>
      <c r="E33" s="1"/>
      <c r="F33" s="1"/>
      <c r="G33" s="1"/>
      <c r="H33" s="1"/>
      <c r="I33" s="10"/>
      <c r="J33" s="10"/>
      <c r="K33" s="10"/>
      <c r="L33" s="10"/>
      <c r="M33" s="1"/>
    </row>
    <row r="34" spans="1:19" ht="18.75">
      <c r="A34" s="1"/>
      <c r="B34" s="1"/>
      <c r="C34" s="1" t="s">
        <v>281</v>
      </c>
      <c r="D34" s="1"/>
      <c r="E34" s="1"/>
      <c r="F34" s="1"/>
      <c r="G34" s="1"/>
      <c r="H34" s="1"/>
      <c r="I34" s="10">
        <f t="shared" ref="I34:K34" si="8">SUM(I21+I30)</f>
        <v>96212496</v>
      </c>
      <c r="J34" s="10">
        <f t="shared" si="8"/>
        <v>42514629</v>
      </c>
      <c r="K34" s="10">
        <f t="shared" si="8"/>
        <v>-36939596</v>
      </c>
      <c r="L34" s="131">
        <f>SUM(L21+L30)</f>
        <v>101787529</v>
      </c>
      <c r="M34" s="133">
        <f>SUM(M8:M29)</f>
        <v>101787529</v>
      </c>
      <c r="O34" s="129" t="s">
        <v>282</v>
      </c>
      <c r="P34" s="129"/>
      <c r="Q34" s="129"/>
      <c r="R34" s="129"/>
      <c r="S34" s="129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S52"/>
  <sheetViews>
    <sheetView topLeftCell="J48" zoomScale="85" zoomScaleNormal="85" workbookViewId="0">
      <selection activeCell="O28" sqref="O28"/>
    </sheetView>
  </sheetViews>
  <sheetFormatPr defaultColWidth="8.85546875" defaultRowHeight="15"/>
  <cols>
    <col min="9" max="9" width="19.42578125" customWidth="1"/>
    <col min="10" max="10" width="18.28515625" customWidth="1"/>
    <col min="11" max="11" width="19.42578125" customWidth="1"/>
    <col min="12" max="12" width="22.42578125" customWidth="1"/>
    <col min="13" max="13" width="19.85546875" customWidth="1"/>
  </cols>
  <sheetData>
    <row r="1" spans="1:13" ht="18.75">
      <c r="A1" s="2"/>
      <c r="B1" s="2"/>
      <c r="C1" s="2"/>
      <c r="D1" s="159" t="s">
        <v>283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56.25">
      <c r="A5" s="2"/>
      <c r="B5" s="2"/>
      <c r="C5" s="2"/>
      <c r="D5" s="2"/>
      <c r="E5" s="2"/>
      <c r="F5" s="2"/>
      <c r="G5" s="2"/>
      <c r="H5" s="2"/>
      <c r="I5" s="11" t="s">
        <v>198</v>
      </c>
      <c r="J5" s="11" t="s">
        <v>63</v>
      </c>
      <c r="K5" s="11" t="s">
        <v>68</v>
      </c>
      <c r="L5" s="11" t="s">
        <v>284</v>
      </c>
      <c r="M5" s="11" t="s">
        <v>7</v>
      </c>
    </row>
    <row r="6" spans="1:13" ht="18.75">
      <c r="A6" s="1" t="s">
        <v>285</v>
      </c>
      <c r="B6" s="1"/>
      <c r="C6" s="1"/>
      <c r="D6" s="1"/>
      <c r="E6" s="1"/>
      <c r="F6" s="1"/>
      <c r="G6" s="2"/>
      <c r="H6" s="2"/>
      <c r="I6" s="3"/>
      <c r="J6" s="3"/>
      <c r="K6" s="3"/>
      <c r="L6" s="3"/>
      <c r="M6" s="2"/>
    </row>
    <row r="7" spans="1:13" ht="18.75">
      <c r="A7" s="1" t="s">
        <v>83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2"/>
      <c r="B8" s="2" t="s">
        <v>10</v>
      </c>
      <c r="C8" s="2"/>
      <c r="D8" s="2"/>
      <c r="E8" s="2"/>
      <c r="F8" s="2"/>
      <c r="G8" s="2"/>
      <c r="H8" s="2"/>
      <c r="I8" s="3">
        <v>477208</v>
      </c>
      <c r="J8" s="3"/>
      <c r="K8" s="3"/>
      <c r="L8" s="3">
        <f>SUM(I8:K8)</f>
        <v>477208</v>
      </c>
      <c r="M8" s="3">
        <f>SUM(L8)</f>
        <v>477208</v>
      </c>
    </row>
    <row r="9" spans="1:13" ht="18.75">
      <c r="A9" s="2"/>
      <c r="B9" s="2" t="s">
        <v>11</v>
      </c>
      <c r="C9" s="2"/>
      <c r="D9" s="2"/>
      <c r="E9" s="2"/>
      <c r="F9" s="2"/>
      <c r="G9" s="2"/>
      <c r="H9" s="2"/>
      <c r="I9" s="3">
        <v>924257</v>
      </c>
      <c r="J9" s="3">
        <v>294521</v>
      </c>
      <c r="K9" s="3">
        <v>-1218778</v>
      </c>
      <c r="L9" s="3">
        <f>SUM(I9:K9)</f>
        <v>0</v>
      </c>
      <c r="M9" s="3">
        <f>SUM(L9)</f>
        <v>0</v>
      </c>
    </row>
    <row r="10" spans="1:13" ht="18.75">
      <c r="A10" s="2"/>
      <c r="B10" s="1"/>
      <c r="C10" s="1" t="s">
        <v>70</v>
      </c>
      <c r="D10" s="1"/>
      <c r="E10" s="1"/>
      <c r="F10" s="1"/>
      <c r="G10" s="1"/>
      <c r="H10" s="1"/>
      <c r="I10" s="12">
        <f>SUM(I8:I9)</f>
        <v>1401465</v>
      </c>
      <c r="J10" s="12">
        <f>SUM(J8:J9)</f>
        <v>294521</v>
      </c>
      <c r="K10" s="12">
        <f>SUM(K8:K9)</f>
        <v>-1218778</v>
      </c>
      <c r="L10" s="12">
        <f>SUM(L8:L9)</f>
        <v>477208</v>
      </c>
      <c r="M10" s="1"/>
    </row>
    <row r="11" spans="1:13" ht="18.75">
      <c r="A11" s="1"/>
      <c r="B11" s="1"/>
      <c r="C11" s="1"/>
      <c r="D11" s="2"/>
      <c r="E11" s="2"/>
      <c r="F11" s="2"/>
      <c r="G11" s="2"/>
      <c r="H11" s="2"/>
      <c r="I11" s="3"/>
      <c r="J11" s="3"/>
      <c r="K11" s="3"/>
      <c r="L11" s="3"/>
      <c r="M11" s="2"/>
    </row>
    <row r="12" spans="1:13" ht="18.75">
      <c r="A12" s="1" t="s">
        <v>193</v>
      </c>
      <c r="B12" s="1"/>
      <c r="C12" s="1"/>
      <c r="D12" s="2"/>
      <c r="E12" s="2"/>
      <c r="F12" s="2"/>
      <c r="G12" s="2"/>
      <c r="H12" s="2"/>
      <c r="I12" s="3"/>
      <c r="J12" s="3"/>
      <c r="K12" s="3"/>
      <c r="L12" s="3"/>
      <c r="M12" s="2"/>
    </row>
    <row r="13" spans="1:13" ht="18.75">
      <c r="A13" s="2"/>
      <c r="B13" s="2" t="s">
        <v>127</v>
      </c>
      <c r="C13" s="2"/>
      <c r="D13" s="2"/>
      <c r="E13" s="2"/>
      <c r="F13" s="2"/>
      <c r="G13" s="2"/>
      <c r="H13" s="2"/>
      <c r="I13" s="3">
        <v>77514813</v>
      </c>
      <c r="J13" s="3">
        <v>2788261</v>
      </c>
      <c r="K13" s="3">
        <v>-209751</v>
      </c>
      <c r="L13" s="3">
        <f t="shared" ref="L13:L18" si="0">SUM(I13:K13)</f>
        <v>80093323</v>
      </c>
      <c r="M13" s="2"/>
    </row>
    <row r="14" spans="1:13" ht="18.75">
      <c r="A14" s="2"/>
      <c r="B14" s="2" t="s">
        <v>14</v>
      </c>
      <c r="C14" s="2"/>
      <c r="D14" s="2"/>
      <c r="E14" s="2"/>
      <c r="F14" s="2"/>
      <c r="G14" s="2"/>
      <c r="H14" s="2"/>
      <c r="I14" s="3">
        <v>2369699</v>
      </c>
      <c r="J14" s="3"/>
      <c r="K14" s="3"/>
      <c r="L14" s="3">
        <f t="shared" si="0"/>
        <v>2369699</v>
      </c>
      <c r="M14" s="2"/>
    </row>
    <row r="15" spans="1:13" ht="18.75">
      <c r="A15" s="2"/>
      <c r="B15" s="2" t="s">
        <v>75</v>
      </c>
      <c r="C15" s="2"/>
      <c r="D15" s="2"/>
      <c r="E15" s="2"/>
      <c r="F15" s="2"/>
      <c r="G15" s="2"/>
      <c r="H15" s="2"/>
      <c r="I15" s="3">
        <v>788090</v>
      </c>
      <c r="J15" s="3"/>
      <c r="K15" s="3"/>
      <c r="L15" s="3">
        <f t="shared" si="0"/>
        <v>788090</v>
      </c>
      <c r="M15" s="2"/>
    </row>
    <row r="16" spans="1:13" ht="18.75">
      <c r="A16" s="2"/>
      <c r="B16" s="2" t="s">
        <v>66</v>
      </c>
      <c r="C16" s="2"/>
      <c r="D16" s="2"/>
      <c r="E16" s="2"/>
      <c r="F16" s="2"/>
      <c r="G16" s="2"/>
      <c r="H16" s="2"/>
      <c r="I16" s="3">
        <v>2357074</v>
      </c>
      <c r="J16" s="3"/>
      <c r="K16" s="3"/>
      <c r="L16" s="3">
        <f t="shared" si="0"/>
        <v>2357074</v>
      </c>
      <c r="M16" s="2"/>
    </row>
    <row r="17" spans="1:13" ht="18.75">
      <c r="A17" s="2"/>
      <c r="B17" s="2" t="s">
        <v>205</v>
      </c>
      <c r="C17" s="2"/>
      <c r="D17" s="2"/>
      <c r="E17" s="2"/>
      <c r="F17" s="2"/>
      <c r="G17" s="2"/>
      <c r="H17" s="2"/>
      <c r="I17" s="3">
        <v>102781</v>
      </c>
      <c r="J17" s="3">
        <v>72278</v>
      </c>
      <c r="K17" s="3"/>
      <c r="L17" s="3">
        <f t="shared" si="0"/>
        <v>175059</v>
      </c>
      <c r="M17" s="2"/>
    </row>
    <row r="18" spans="1:13" ht="18.75">
      <c r="A18" s="2"/>
      <c r="B18" s="2" t="s">
        <v>31</v>
      </c>
      <c r="C18" s="2"/>
      <c r="D18" s="2"/>
      <c r="E18" s="2"/>
      <c r="F18" s="2"/>
      <c r="G18" s="2"/>
      <c r="H18" s="2"/>
      <c r="I18" s="3">
        <v>323881</v>
      </c>
      <c r="J18" s="3"/>
      <c r="K18" s="3"/>
      <c r="L18" s="3">
        <f t="shared" si="0"/>
        <v>323881</v>
      </c>
      <c r="M18" s="2"/>
    </row>
    <row r="19" spans="1:13" ht="18.75">
      <c r="A19" s="2"/>
      <c r="B19" s="2"/>
      <c r="C19" s="1" t="s">
        <v>18</v>
      </c>
      <c r="D19" s="2"/>
      <c r="E19" s="2"/>
      <c r="F19" s="2"/>
      <c r="G19" s="2"/>
      <c r="H19" s="2"/>
      <c r="I19" s="13">
        <f>SUM(I13:I18)</f>
        <v>83456338</v>
      </c>
      <c r="J19" s="13">
        <f>SUM(J13:J18)</f>
        <v>2860539</v>
      </c>
      <c r="K19" s="13">
        <f>SUM(K13:K18)</f>
        <v>-209751</v>
      </c>
      <c r="L19" s="13">
        <f>SUM(L13:L18)</f>
        <v>86107126</v>
      </c>
      <c r="M19" s="2"/>
    </row>
    <row r="20" spans="1:13" ht="18.75">
      <c r="A20" s="1"/>
      <c r="B20" s="1" t="s">
        <v>286</v>
      </c>
      <c r="C20" s="1"/>
      <c r="D20" s="1"/>
      <c r="E20" s="1"/>
      <c r="F20" s="2"/>
      <c r="G20" s="2"/>
      <c r="H20" s="2"/>
      <c r="I20" s="13">
        <f>SUM(I19+I10)</f>
        <v>84857803</v>
      </c>
      <c r="J20" s="13">
        <f>SUM(J19+J10)</f>
        <v>3155060</v>
      </c>
      <c r="K20" s="13">
        <f>SUM(K19+K10)</f>
        <v>-1428529</v>
      </c>
      <c r="L20" s="13">
        <f>SUM(L19+L10)</f>
        <v>86584334</v>
      </c>
      <c r="M20" s="2"/>
    </row>
    <row r="21" spans="1:13" ht="18.75">
      <c r="A21" s="1"/>
      <c r="B21" s="1"/>
      <c r="C21" s="1"/>
      <c r="D21" s="1"/>
      <c r="E21" s="1"/>
      <c r="F21" s="2"/>
      <c r="G21" s="2"/>
      <c r="H21" s="2"/>
      <c r="I21" s="15"/>
      <c r="J21" s="15"/>
      <c r="K21" s="15"/>
      <c r="L21" s="15"/>
      <c r="M21" s="2"/>
    </row>
    <row r="22" spans="1:13" ht="18.75">
      <c r="A22" s="1" t="s">
        <v>287</v>
      </c>
      <c r="B22" s="1"/>
      <c r="C22" s="1"/>
      <c r="D22" s="1"/>
      <c r="E22" s="1"/>
      <c r="F22" s="2"/>
      <c r="G22" s="2"/>
      <c r="H22" s="2"/>
      <c r="I22" s="15"/>
      <c r="J22" s="15"/>
      <c r="K22" s="15"/>
      <c r="L22" s="15"/>
      <c r="M22" s="2"/>
    </row>
    <row r="23" spans="1:13" ht="18.75">
      <c r="A23" s="1" t="s">
        <v>83</v>
      </c>
      <c r="B23" s="1"/>
      <c r="C23" s="1"/>
      <c r="D23" s="1"/>
      <c r="E23" s="1"/>
      <c r="F23" s="2"/>
      <c r="G23" s="2"/>
      <c r="H23" s="2"/>
      <c r="I23" s="15"/>
      <c r="J23" s="15"/>
      <c r="K23" s="15"/>
      <c r="L23" s="15"/>
      <c r="M23" s="2"/>
    </row>
    <row r="24" spans="1:13" ht="18.75">
      <c r="A24" s="1"/>
      <c r="B24" s="2" t="s">
        <v>288</v>
      </c>
      <c r="C24" s="1"/>
      <c r="D24" s="1"/>
      <c r="E24" s="1"/>
      <c r="F24" s="2"/>
      <c r="G24" s="2"/>
      <c r="H24" s="2"/>
      <c r="I24" s="15">
        <v>23810</v>
      </c>
      <c r="J24" s="15"/>
      <c r="K24" s="15"/>
      <c r="L24" s="15">
        <f>SUM(I24:K24)</f>
        <v>23810</v>
      </c>
      <c r="M24" s="3">
        <f>SUM(L24)</f>
        <v>23810</v>
      </c>
    </row>
    <row r="25" spans="1:13" ht="18.75">
      <c r="A25" s="1"/>
      <c r="B25" s="2" t="s">
        <v>11</v>
      </c>
      <c r="C25" s="1"/>
      <c r="D25" s="1"/>
      <c r="E25" s="1"/>
      <c r="F25" s="2"/>
      <c r="G25" s="2"/>
      <c r="H25" s="2"/>
      <c r="I25" s="15"/>
      <c r="J25" s="15"/>
      <c r="K25" s="15"/>
      <c r="L25" s="15">
        <f>SUM(I25:K25)</f>
        <v>0</v>
      </c>
      <c r="M25" s="2"/>
    </row>
    <row r="26" spans="1:13" ht="18.75">
      <c r="A26" s="1"/>
      <c r="B26" s="1"/>
      <c r="C26" s="1" t="s">
        <v>70</v>
      </c>
      <c r="D26" s="1"/>
      <c r="E26" s="1"/>
      <c r="F26" s="2"/>
      <c r="G26" s="2"/>
      <c r="H26" s="2"/>
      <c r="I26" s="12">
        <f t="shared" ref="I26:K26" si="1">SUM(I24:I25)</f>
        <v>23810</v>
      </c>
      <c r="J26" s="12">
        <f t="shared" si="1"/>
        <v>0</v>
      </c>
      <c r="K26" s="12">
        <f t="shared" si="1"/>
        <v>0</v>
      </c>
      <c r="L26" s="12">
        <f>SUM(L24:L25)</f>
        <v>23810</v>
      </c>
      <c r="M26" s="2"/>
    </row>
    <row r="27" spans="1:13" ht="18.75">
      <c r="A27" s="1"/>
      <c r="B27" s="1" t="s">
        <v>289</v>
      </c>
      <c r="C27" s="1"/>
      <c r="D27" s="1"/>
      <c r="E27" s="1"/>
      <c r="F27" s="2"/>
      <c r="G27" s="2"/>
      <c r="H27" s="2"/>
      <c r="I27" s="15"/>
      <c r="J27" s="15"/>
      <c r="K27" s="15"/>
      <c r="L27" s="15"/>
      <c r="M27" s="2"/>
    </row>
    <row r="28" spans="1:13" ht="18.75">
      <c r="A28" s="1"/>
      <c r="B28" s="1"/>
      <c r="C28" s="2" t="s">
        <v>290</v>
      </c>
      <c r="D28" s="1"/>
      <c r="E28" s="1"/>
      <c r="F28" s="2"/>
      <c r="G28" s="2"/>
      <c r="H28" s="2"/>
      <c r="I28" s="3">
        <v>516659</v>
      </c>
      <c r="J28" s="3">
        <v>40275</v>
      </c>
      <c r="K28" s="3">
        <v>-53742</v>
      </c>
      <c r="L28" s="3">
        <f>SUM(I28:K28)</f>
        <v>503192</v>
      </c>
      <c r="M28" s="3">
        <f>SUM(L28)</f>
        <v>503192</v>
      </c>
    </row>
    <row r="29" spans="1:13" ht="18.75">
      <c r="A29" s="2"/>
      <c r="B29" s="2"/>
      <c r="C29" s="2" t="s">
        <v>31</v>
      </c>
      <c r="D29" s="2"/>
      <c r="E29" s="2"/>
      <c r="F29" s="2"/>
      <c r="G29" s="2"/>
      <c r="H29" s="2"/>
      <c r="I29" s="3">
        <v>44382</v>
      </c>
      <c r="J29" s="3"/>
      <c r="K29" s="3"/>
      <c r="L29" s="3">
        <f t="shared" ref="L29:L32" si="2">SUM(I29:K29)</f>
        <v>44382</v>
      </c>
      <c r="M29" s="3">
        <f>SUM(L29)</f>
        <v>44382</v>
      </c>
    </row>
    <row r="30" spans="1:13" ht="18.75">
      <c r="A30" s="2"/>
      <c r="B30" s="2"/>
      <c r="C30" s="2" t="s">
        <v>33</v>
      </c>
      <c r="D30" s="2"/>
      <c r="E30" s="2"/>
      <c r="F30" s="2"/>
      <c r="G30" s="2"/>
      <c r="H30" s="2"/>
      <c r="I30" s="3">
        <v>813566</v>
      </c>
      <c r="J30" s="3"/>
      <c r="K30" s="3"/>
      <c r="L30" s="3">
        <f t="shared" si="2"/>
        <v>813566</v>
      </c>
      <c r="M30" s="3">
        <f t="shared" ref="M29:M32" si="3">SUM(L30)</f>
        <v>813566</v>
      </c>
    </row>
    <row r="31" spans="1:13" ht="18.75">
      <c r="A31" s="2"/>
      <c r="B31" s="2"/>
      <c r="C31" s="2" t="s">
        <v>291</v>
      </c>
      <c r="D31" s="2"/>
      <c r="E31" s="2"/>
      <c r="F31" s="2"/>
      <c r="G31" s="2"/>
      <c r="H31" s="2"/>
      <c r="I31" s="3">
        <v>135262</v>
      </c>
      <c r="J31" s="3"/>
      <c r="K31" s="3"/>
      <c r="L31" s="3">
        <f t="shared" si="2"/>
        <v>135262</v>
      </c>
      <c r="M31" s="3">
        <f t="shared" si="3"/>
        <v>135262</v>
      </c>
    </row>
    <row r="32" spans="1:13" ht="18.75">
      <c r="A32" s="2"/>
      <c r="B32" s="2"/>
      <c r="C32" s="2" t="s">
        <v>34</v>
      </c>
      <c r="D32" s="2"/>
      <c r="E32" s="2"/>
      <c r="F32" s="2"/>
      <c r="G32" s="2"/>
      <c r="H32" s="2"/>
      <c r="I32" s="3">
        <v>65071</v>
      </c>
      <c r="J32" s="3">
        <v>9204</v>
      </c>
      <c r="K32" s="3">
        <v>-11016</v>
      </c>
      <c r="L32" s="3">
        <f t="shared" si="2"/>
        <v>63259</v>
      </c>
      <c r="M32" s="3">
        <f t="shared" si="3"/>
        <v>63259</v>
      </c>
    </row>
    <row r="33" spans="1:19" ht="18.75">
      <c r="A33" s="2"/>
      <c r="B33" s="2"/>
      <c r="C33" s="2"/>
      <c r="D33" s="1" t="s">
        <v>292</v>
      </c>
      <c r="E33" s="2"/>
      <c r="F33" s="2"/>
      <c r="G33" s="2"/>
      <c r="H33" s="2"/>
      <c r="I33" s="29">
        <f>SUM(I28:I32)</f>
        <v>1574940</v>
      </c>
      <c r="J33" s="29">
        <f t="shared" ref="J33:L33" si="4">SUM(J28:J32)</f>
        <v>49479</v>
      </c>
      <c r="K33" s="29">
        <f t="shared" si="4"/>
        <v>-64758</v>
      </c>
      <c r="L33" s="29">
        <f t="shared" si="4"/>
        <v>1559661</v>
      </c>
      <c r="M33" s="2"/>
    </row>
    <row r="34" spans="1:19" ht="18.75">
      <c r="A34" s="2"/>
      <c r="B34" s="2"/>
      <c r="C34" s="1" t="s">
        <v>293</v>
      </c>
      <c r="D34" s="1"/>
      <c r="E34" s="2"/>
      <c r="F34" s="2"/>
      <c r="G34" s="2"/>
      <c r="H34" s="2"/>
      <c r="I34" s="29">
        <f>SUM(I33+I26)</f>
        <v>1598750</v>
      </c>
      <c r="J34" s="29">
        <f t="shared" ref="J34:L34" si="5">SUM(J33+J26)</f>
        <v>49479</v>
      </c>
      <c r="K34" s="29">
        <f t="shared" si="5"/>
        <v>-64758</v>
      </c>
      <c r="L34" s="29">
        <f t="shared" si="5"/>
        <v>1583471</v>
      </c>
      <c r="M34" s="2"/>
    </row>
    <row r="35" spans="1:19" ht="18.75">
      <c r="A35" s="2"/>
      <c r="B35" s="2"/>
      <c r="C35" s="1"/>
      <c r="D35" s="1"/>
      <c r="E35" s="2"/>
      <c r="F35" s="2"/>
      <c r="G35" s="2"/>
      <c r="H35" s="2"/>
      <c r="I35" s="29"/>
      <c r="J35" s="29"/>
      <c r="K35" s="29"/>
      <c r="L35" s="29"/>
      <c r="M35" s="2"/>
    </row>
    <row r="36" spans="1:19" ht="18.75">
      <c r="A36" s="2"/>
      <c r="B36" s="1" t="s">
        <v>294</v>
      </c>
      <c r="C36" s="2"/>
      <c r="D36" s="2"/>
      <c r="E36" s="2"/>
      <c r="F36" s="2"/>
      <c r="G36" s="2"/>
      <c r="H36" s="2"/>
      <c r="I36" s="29">
        <f t="shared" ref="I36:J36" si="6">SUM(I19+I33)</f>
        <v>85031278</v>
      </c>
      <c r="J36" s="29">
        <f t="shared" si="6"/>
        <v>2910018</v>
      </c>
      <c r="K36" s="29">
        <f>SUM(K19+K33)</f>
        <v>-274509</v>
      </c>
      <c r="L36" s="29">
        <f>SUM(I36:K36)</f>
        <v>87666787</v>
      </c>
      <c r="M36" s="2"/>
    </row>
    <row r="37" spans="1:19" ht="18.75">
      <c r="A37" s="2"/>
      <c r="B37" s="1" t="s">
        <v>295</v>
      </c>
      <c r="C37" s="2"/>
      <c r="D37" s="2"/>
      <c r="E37" s="2"/>
      <c r="F37" s="2"/>
      <c r="G37" s="2"/>
      <c r="H37" s="2"/>
      <c r="I37" s="61">
        <f>SUM(I20+I34)</f>
        <v>86456553</v>
      </c>
      <c r="J37" s="61">
        <f t="shared" ref="J37:L37" si="7">SUM(J20+J34)</f>
        <v>3204539</v>
      </c>
      <c r="K37" s="61">
        <f t="shared" si="7"/>
        <v>-1493287</v>
      </c>
      <c r="L37" s="61">
        <f t="shared" si="7"/>
        <v>88167805</v>
      </c>
      <c r="M37" s="2"/>
    </row>
    <row r="38" spans="1:19" ht="18.75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2"/>
    </row>
    <row r="39" spans="1:19" ht="18.75">
      <c r="A39" s="1" t="s">
        <v>19</v>
      </c>
      <c r="B39" s="1"/>
      <c r="C39" s="1"/>
      <c r="D39" s="1"/>
      <c r="E39" s="1"/>
      <c r="F39" s="2"/>
      <c r="G39" s="2"/>
      <c r="H39" s="2"/>
      <c r="I39" s="3"/>
      <c r="J39" s="3"/>
      <c r="K39" s="3"/>
      <c r="L39" s="3"/>
      <c r="M39" s="2"/>
    </row>
    <row r="40" spans="1:19" ht="18.75">
      <c r="A40" s="2"/>
      <c r="B40" s="2" t="s">
        <v>127</v>
      </c>
      <c r="C40" s="2"/>
      <c r="D40" s="2"/>
      <c r="E40" s="2"/>
      <c r="F40" s="2"/>
      <c r="G40" s="2"/>
      <c r="H40" s="2"/>
      <c r="I40" s="3">
        <v>-74692234</v>
      </c>
      <c r="J40" s="3">
        <v>-211033</v>
      </c>
      <c r="K40" s="3">
        <v>209751</v>
      </c>
      <c r="L40" s="3">
        <f>SUM(I40:K40)</f>
        <v>-74693516</v>
      </c>
      <c r="M40" s="3">
        <f>SUM(L13+L40)</f>
        <v>5399807</v>
      </c>
    </row>
    <row r="41" spans="1:19" ht="18.75">
      <c r="A41" s="2"/>
      <c r="B41" s="2" t="s">
        <v>14</v>
      </c>
      <c r="C41" s="2"/>
      <c r="D41" s="2"/>
      <c r="E41" s="2"/>
      <c r="F41" s="2"/>
      <c r="G41" s="2"/>
      <c r="H41" s="2"/>
      <c r="I41" s="3">
        <v>-1555397</v>
      </c>
      <c r="J41" s="3">
        <v>-68025</v>
      </c>
      <c r="K41" s="3"/>
      <c r="L41" s="3">
        <f>SUM(I41:K41)</f>
        <v>-1623422</v>
      </c>
      <c r="M41" s="3">
        <f>SUM(L14+L41)</f>
        <v>746277</v>
      </c>
      <c r="S41" s="136"/>
    </row>
    <row r="42" spans="1:19" ht="18.75">
      <c r="A42" s="2"/>
      <c r="B42" s="2" t="s">
        <v>75</v>
      </c>
      <c r="C42" s="2"/>
      <c r="D42" s="2"/>
      <c r="E42" s="2"/>
      <c r="F42" s="2"/>
      <c r="G42" s="2"/>
      <c r="H42" s="2"/>
      <c r="I42" s="3">
        <v>-219479</v>
      </c>
      <c r="J42" s="3">
        <v>-97917</v>
      </c>
      <c r="K42" s="3"/>
      <c r="L42" s="3">
        <f>SUM(I42:K42)</f>
        <v>-317396</v>
      </c>
      <c r="M42" s="3">
        <f>SUM(L42+L15)</f>
        <v>470694</v>
      </c>
    </row>
    <row r="43" spans="1:19" ht="18.75">
      <c r="A43" s="2"/>
      <c r="B43" s="2" t="s">
        <v>66</v>
      </c>
      <c r="C43" s="2"/>
      <c r="D43" s="2"/>
      <c r="E43" s="2"/>
      <c r="F43" s="2"/>
      <c r="G43" s="2"/>
      <c r="H43" s="2"/>
      <c r="I43" s="3">
        <v>-2042408</v>
      </c>
      <c r="J43" s="3">
        <v>-98792</v>
      </c>
      <c r="K43" s="3"/>
      <c r="L43" s="3">
        <f>SUM(I43:K43)</f>
        <v>-2141200</v>
      </c>
      <c r="M43" s="3">
        <f t="shared" ref="M43" si="8">SUM(L43+L16)</f>
        <v>215874</v>
      </c>
      <c r="P43" s="135"/>
    </row>
    <row r="44" spans="1:19" ht="18.75">
      <c r="A44" s="2"/>
      <c r="B44" s="2" t="s">
        <v>205</v>
      </c>
      <c r="C44" s="2"/>
      <c r="D44" s="2"/>
      <c r="E44" s="2"/>
      <c r="F44" s="2"/>
      <c r="G44" s="2"/>
      <c r="H44" s="2"/>
      <c r="I44" s="3">
        <v>-297847</v>
      </c>
      <c r="J44" s="137">
        <v>-34797</v>
      </c>
      <c r="K44" s="3">
        <v>11016</v>
      </c>
      <c r="L44" s="3">
        <f>SUM(I44:K44)</f>
        <v>-321628</v>
      </c>
      <c r="M44" s="3">
        <f>SUM(L44+L17)</f>
        <v>-146569</v>
      </c>
    </row>
    <row r="45" spans="1:19" ht="18.75">
      <c r="A45" s="2"/>
      <c r="B45" s="2" t="s">
        <v>31</v>
      </c>
      <c r="C45" s="2"/>
      <c r="D45" s="2"/>
      <c r="E45" s="2"/>
      <c r="F45" s="2"/>
      <c r="G45" s="2"/>
      <c r="H45" s="2"/>
      <c r="I45" s="3">
        <v>-226477</v>
      </c>
      <c r="J45" s="3">
        <v>-50656</v>
      </c>
      <c r="K45" s="3"/>
      <c r="L45" s="3">
        <f t="shared" ref="L45:L46" si="9">SUM(I45:K45)</f>
        <v>-277133</v>
      </c>
      <c r="M45" s="3">
        <f>SUM(L45+L18)</f>
        <v>46748</v>
      </c>
    </row>
    <row r="46" spans="1:19" ht="18.75">
      <c r="A46" s="2"/>
      <c r="B46" s="2" t="s">
        <v>290</v>
      </c>
      <c r="C46" s="2"/>
      <c r="D46" s="2"/>
      <c r="E46" s="2"/>
      <c r="F46" s="2"/>
      <c r="G46" s="2"/>
      <c r="H46" s="2"/>
      <c r="I46" s="3">
        <v>-358371</v>
      </c>
      <c r="J46" s="3">
        <v>-35972</v>
      </c>
      <c r="K46" s="3">
        <v>53742</v>
      </c>
      <c r="L46" s="3">
        <f>SUM(I46:K46)</f>
        <v>-340601</v>
      </c>
      <c r="M46" s="3">
        <f>SUM(J46:L46)</f>
        <v>-322831</v>
      </c>
    </row>
    <row r="47" spans="1:19" ht="18.75">
      <c r="A47" s="1"/>
      <c r="B47" s="1"/>
      <c r="C47" s="1" t="s">
        <v>20</v>
      </c>
      <c r="D47" s="1"/>
      <c r="E47" s="1"/>
      <c r="F47" s="1"/>
      <c r="G47" s="1"/>
      <c r="H47" s="1"/>
      <c r="I47" s="10">
        <f>SUM(I40:I46)</f>
        <v>-79392213</v>
      </c>
      <c r="J47" s="10">
        <f t="shared" ref="J47:L47" si="10">SUM(J40:J46)</f>
        <v>-597192</v>
      </c>
      <c r="K47" s="10">
        <f t="shared" si="10"/>
        <v>274509</v>
      </c>
      <c r="L47" s="10">
        <f t="shared" si="10"/>
        <v>-79714896</v>
      </c>
      <c r="M47" s="1"/>
    </row>
    <row r="48" spans="1:19" ht="18.75">
      <c r="A48" s="1"/>
      <c r="B48" s="1"/>
      <c r="C48" s="1"/>
      <c r="D48" s="1"/>
      <c r="E48" s="1"/>
      <c r="F48" s="1"/>
      <c r="G48" s="1"/>
      <c r="H48" s="1"/>
      <c r="I48" s="10"/>
      <c r="J48" s="10"/>
      <c r="K48" s="10"/>
      <c r="L48" s="10"/>
      <c r="M48" s="1"/>
    </row>
    <row r="49" spans="1:13" ht="18.75">
      <c r="A49" s="1"/>
      <c r="B49" s="1" t="s">
        <v>296</v>
      </c>
      <c r="C49" s="1"/>
      <c r="D49" s="1"/>
      <c r="E49" s="1"/>
      <c r="F49" s="1"/>
      <c r="G49" s="1"/>
      <c r="H49" s="1"/>
      <c r="I49" s="10">
        <f>SUM(I47+I36)</f>
        <v>5639065</v>
      </c>
      <c r="J49" s="10">
        <f t="shared" ref="J49:L49" si="11">SUM(J47+J36)</f>
        <v>2312826</v>
      </c>
      <c r="K49" s="10">
        <f t="shared" si="11"/>
        <v>0</v>
      </c>
      <c r="L49" s="10">
        <f t="shared" si="11"/>
        <v>7951891</v>
      </c>
      <c r="M49" s="15"/>
    </row>
    <row r="50" spans="1:13" ht="18.75">
      <c r="A50" s="1"/>
      <c r="B50" s="1"/>
      <c r="C50" s="1"/>
      <c r="D50" s="1"/>
      <c r="E50" s="1"/>
      <c r="F50" s="1"/>
      <c r="G50" s="1"/>
      <c r="H50" s="1"/>
      <c r="I50" s="30"/>
      <c r="J50" s="30"/>
      <c r="K50" s="30"/>
      <c r="L50" s="30"/>
      <c r="M50" s="1"/>
    </row>
    <row r="51" spans="1:13" ht="18.75">
      <c r="A51" s="2"/>
      <c r="B51" s="1" t="s">
        <v>78</v>
      </c>
      <c r="C51" s="2"/>
      <c r="D51" s="2"/>
      <c r="E51" s="2"/>
      <c r="F51" s="2"/>
      <c r="G51" s="2"/>
      <c r="H51" s="2"/>
      <c r="I51" s="8">
        <f>SUM(I47+I37)</f>
        <v>7064340</v>
      </c>
      <c r="J51" s="8">
        <f>SUM(J47+J37)</f>
        <v>2607347</v>
      </c>
      <c r="K51" s="8"/>
      <c r="L51" s="138">
        <f t="shared" ref="L51" si="12">SUM(L47+L37)</f>
        <v>8452909</v>
      </c>
      <c r="M51" s="127">
        <f>SUM(M8:M46)</f>
        <v>8470679</v>
      </c>
    </row>
    <row r="52" spans="1:13" ht="18.75">
      <c r="A52" s="2"/>
      <c r="B52" s="2"/>
      <c r="C52" s="2"/>
      <c r="D52" s="2"/>
      <c r="E52" s="2"/>
      <c r="F52" s="2"/>
      <c r="G52" s="2"/>
      <c r="H52" s="2"/>
      <c r="I52" s="3"/>
      <c r="J52" s="3"/>
      <c r="K52" s="3"/>
      <c r="L52" s="3"/>
      <c r="M52" s="2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65"/>
  <sheetViews>
    <sheetView workbookViewId="0">
      <selection activeCell="I34" sqref="I34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5.42578125" style="2" customWidth="1"/>
    <col min="10" max="10" width="15.85546875" style="2" customWidth="1"/>
    <col min="11" max="11" width="16.85546875" style="2" customWidth="1"/>
    <col min="12" max="12" width="15.7109375" style="2" customWidth="1"/>
    <col min="13" max="13" width="17.7109375" style="2" customWidth="1"/>
    <col min="14" max="16384" width="8.85546875" style="2"/>
  </cols>
  <sheetData>
    <row r="1" spans="1:13">
      <c r="D1" s="159" t="s">
        <v>297</v>
      </c>
      <c r="E1" s="159"/>
      <c r="F1" s="159"/>
      <c r="G1" s="159"/>
      <c r="H1" s="159"/>
      <c r="I1" s="159"/>
    </row>
    <row r="2" spans="1:13">
      <c r="D2" s="159" t="s">
        <v>298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 ht="14.25" customHeight="1">
      <c r="D4" s="151"/>
      <c r="E4" s="151"/>
      <c r="F4" s="151"/>
      <c r="G4" s="151"/>
      <c r="H4" s="151"/>
      <c r="I4" s="151"/>
    </row>
    <row r="5" spans="1:13" ht="37.5">
      <c r="I5" s="63" t="s">
        <v>299</v>
      </c>
      <c r="J5" s="63" t="s">
        <v>300</v>
      </c>
      <c r="K5" s="63" t="s">
        <v>207</v>
      </c>
      <c r="L5" s="63" t="s">
        <v>301</v>
      </c>
      <c r="M5" s="100" t="s">
        <v>302</v>
      </c>
    </row>
    <row r="6" spans="1:13">
      <c r="A6" s="1"/>
      <c r="B6" s="1"/>
      <c r="C6" s="1"/>
      <c r="D6" s="1"/>
      <c r="E6" s="1"/>
      <c r="F6" s="1"/>
      <c r="I6" s="64"/>
      <c r="J6" s="64"/>
      <c r="K6" s="64"/>
      <c r="L6" s="64"/>
    </row>
    <row r="7" spans="1:13">
      <c r="A7" s="1" t="s">
        <v>303</v>
      </c>
      <c r="B7" s="1"/>
      <c r="C7" s="1"/>
      <c r="D7" s="1"/>
      <c r="E7" s="1"/>
      <c r="F7" s="1"/>
      <c r="I7" s="38"/>
      <c r="J7" s="38"/>
      <c r="K7" s="38"/>
      <c r="L7" s="38"/>
    </row>
    <row r="8" spans="1:13">
      <c r="A8" s="1"/>
      <c r="B8" s="2" t="s">
        <v>10</v>
      </c>
      <c r="C8" s="1"/>
      <c r="D8" s="1"/>
      <c r="E8" s="1"/>
      <c r="F8" s="1"/>
      <c r="I8" s="38">
        <v>1679286</v>
      </c>
      <c r="J8" s="38"/>
      <c r="K8" s="38"/>
      <c r="L8" s="38">
        <f>SUM(I8:K8)</f>
        <v>1679286</v>
      </c>
      <c r="M8" s="38">
        <f>L8</f>
        <v>1679286</v>
      </c>
    </row>
    <row r="9" spans="1:13">
      <c r="A9" s="1"/>
      <c r="B9" s="2" t="s">
        <v>304</v>
      </c>
      <c r="C9" s="1"/>
      <c r="D9" s="1"/>
      <c r="E9" s="1"/>
      <c r="F9" s="1"/>
      <c r="I9" s="38"/>
      <c r="J9" s="38"/>
      <c r="K9" s="38"/>
      <c r="L9" s="38"/>
      <c r="M9" s="38"/>
    </row>
    <row r="10" spans="1:13">
      <c r="B10" s="2" t="s">
        <v>123</v>
      </c>
      <c r="I10" s="65"/>
      <c r="J10" s="66"/>
      <c r="K10" s="66"/>
      <c r="L10" s="65"/>
      <c r="M10" s="38"/>
    </row>
    <row r="11" spans="1:13">
      <c r="B11" s="1" t="s">
        <v>12</v>
      </c>
      <c r="I11" s="38">
        <f>SUM(I8:I10)</f>
        <v>1679286</v>
      </c>
      <c r="J11" s="38">
        <f t="shared" ref="J11:L11" si="0">SUM(J8:J10)</f>
        <v>0</v>
      </c>
      <c r="K11" s="38">
        <f t="shared" si="0"/>
        <v>0</v>
      </c>
      <c r="L11" s="38">
        <f t="shared" si="0"/>
        <v>1679286</v>
      </c>
      <c r="M11" s="38"/>
    </row>
    <row r="12" spans="1:13">
      <c r="I12" s="38"/>
      <c r="L12" s="38"/>
      <c r="M12" s="38"/>
    </row>
    <row r="13" spans="1:13">
      <c r="A13" s="1" t="s">
        <v>305</v>
      </c>
    </row>
    <row r="14" spans="1:13">
      <c r="A14" s="1"/>
      <c r="B14" s="2" t="s">
        <v>33</v>
      </c>
      <c r="I14" s="2">
        <v>10792475</v>
      </c>
      <c r="L14" s="2">
        <f>SUM(I14:K14)</f>
        <v>10792475</v>
      </c>
    </row>
    <row r="15" spans="1:13">
      <c r="A15" s="1"/>
      <c r="B15" s="2" t="s">
        <v>17</v>
      </c>
      <c r="I15" s="2">
        <v>26278488</v>
      </c>
      <c r="J15" s="2">
        <v>23756</v>
      </c>
      <c r="L15" s="2">
        <f t="shared" ref="L15:L19" si="1">SUM(I15:K15)</f>
        <v>26302244</v>
      </c>
    </row>
    <row r="16" spans="1:13">
      <c r="A16" s="1"/>
      <c r="B16" s="2" t="s">
        <v>123</v>
      </c>
      <c r="I16" s="2">
        <v>9586703</v>
      </c>
      <c r="J16" s="2">
        <v>30576</v>
      </c>
      <c r="K16" s="2">
        <v>-38993</v>
      </c>
      <c r="L16" s="2">
        <f t="shared" si="1"/>
        <v>9578286</v>
      </c>
    </row>
    <row r="17" spans="1:13">
      <c r="A17" s="1"/>
      <c r="B17" s="2" t="s">
        <v>31</v>
      </c>
      <c r="I17" s="2">
        <v>1620054</v>
      </c>
      <c r="J17" s="2">
        <v>252982</v>
      </c>
      <c r="K17" s="2">
        <v>-56209</v>
      </c>
      <c r="L17" s="2">
        <f t="shared" si="1"/>
        <v>1816827</v>
      </c>
    </row>
    <row r="18" spans="1:13">
      <c r="A18" s="1"/>
      <c r="B18" s="2" t="s">
        <v>306</v>
      </c>
      <c r="I18" s="2">
        <v>1377254</v>
      </c>
      <c r="J18" s="2">
        <v>2911</v>
      </c>
      <c r="L18" s="2">
        <f>SUM(I18:K18)</f>
        <v>1380165</v>
      </c>
    </row>
    <row r="19" spans="1:13">
      <c r="A19" s="1"/>
      <c r="B19" s="2" t="s">
        <v>104</v>
      </c>
      <c r="I19" s="2">
        <v>4268749</v>
      </c>
      <c r="J19" s="2">
        <v>747397</v>
      </c>
      <c r="L19" s="2">
        <f t="shared" si="1"/>
        <v>5016146</v>
      </c>
    </row>
    <row r="20" spans="1:13">
      <c r="A20" s="1"/>
      <c r="B20" s="1" t="s">
        <v>307</v>
      </c>
      <c r="C20" s="1"/>
      <c r="I20" s="67">
        <f>SUM(I14:I19)</f>
        <v>53923723</v>
      </c>
      <c r="J20" s="67">
        <f>SUM(J14:J19)</f>
        <v>1057622</v>
      </c>
      <c r="K20" s="67">
        <f>SUM(K14:K19)</f>
        <v>-95202</v>
      </c>
      <c r="L20" s="67">
        <f>SUM(L14:L19)</f>
        <v>54886143</v>
      </c>
    </row>
    <row r="21" spans="1:13">
      <c r="A21" s="1"/>
      <c r="B21" s="1"/>
      <c r="C21" s="1"/>
      <c r="I21" s="1"/>
      <c r="J21" s="1"/>
      <c r="K21" s="1"/>
      <c r="L21" s="1"/>
    </row>
    <row r="22" spans="1:13">
      <c r="A22" s="1" t="s">
        <v>308</v>
      </c>
      <c r="J22" s="38"/>
      <c r="K22" s="38"/>
    </row>
    <row r="23" spans="1:13">
      <c r="A23" s="1"/>
      <c r="B23" s="2" t="s">
        <v>33</v>
      </c>
      <c r="I23" s="2">
        <v>-5014588</v>
      </c>
      <c r="J23" s="38">
        <v>-212664</v>
      </c>
      <c r="K23" s="38"/>
      <c r="L23" s="38">
        <f t="shared" ref="L23:L25" si="2">SUM(I23:K23)</f>
        <v>-5227252</v>
      </c>
      <c r="M23" s="38">
        <f t="shared" ref="M23:M27" si="3">L14+L23</f>
        <v>5565223</v>
      </c>
    </row>
    <row r="24" spans="1:13">
      <c r="A24" s="1"/>
      <c r="B24" s="2" t="s">
        <v>17</v>
      </c>
      <c r="I24" s="2">
        <v>-18811474</v>
      </c>
      <c r="J24" s="38">
        <v>-299809</v>
      </c>
      <c r="K24" s="38"/>
      <c r="L24" s="38">
        <f t="shared" si="2"/>
        <v>-19111283</v>
      </c>
      <c r="M24" s="38">
        <f t="shared" si="3"/>
        <v>7190961</v>
      </c>
    </row>
    <row r="25" spans="1:13">
      <c r="A25" s="1"/>
      <c r="B25" s="2" t="s">
        <v>123</v>
      </c>
      <c r="I25" s="2">
        <v>-3917163</v>
      </c>
      <c r="J25" s="38">
        <v>-358930</v>
      </c>
      <c r="K25" s="38"/>
      <c r="L25" s="38">
        <f t="shared" si="2"/>
        <v>-4276093</v>
      </c>
      <c r="M25" s="38">
        <f t="shared" si="3"/>
        <v>5302193</v>
      </c>
    </row>
    <row r="26" spans="1:13">
      <c r="B26" s="2" t="s">
        <v>31</v>
      </c>
      <c r="I26" s="38">
        <v>-1052002</v>
      </c>
      <c r="J26" s="38">
        <v>-78887</v>
      </c>
      <c r="K26" s="38"/>
      <c r="L26" s="38">
        <f>SUM(I26:K26)</f>
        <v>-1130889</v>
      </c>
      <c r="M26" s="38">
        <f t="shared" si="3"/>
        <v>685938</v>
      </c>
    </row>
    <row r="27" spans="1:13">
      <c r="B27" s="2" t="s">
        <v>306</v>
      </c>
      <c r="I27" s="38">
        <v>-1112413</v>
      </c>
      <c r="J27" s="38">
        <v>-33279</v>
      </c>
      <c r="K27" s="38"/>
      <c r="L27" s="38">
        <f t="shared" ref="L27:L28" si="4">SUM(I27:K27)</f>
        <v>-1145692</v>
      </c>
      <c r="M27" s="38">
        <f t="shared" si="3"/>
        <v>234473</v>
      </c>
    </row>
    <row r="28" spans="1:13">
      <c r="B28" s="2" t="s">
        <v>309</v>
      </c>
      <c r="I28" s="38">
        <v>-2734960</v>
      </c>
      <c r="J28" s="38">
        <v>-281215</v>
      </c>
      <c r="K28" s="38"/>
      <c r="L28" s="38">
        <f t="shared" si="4"/>
        <v>-3016175</v>
      </c>
      <c r="M28" s="65">
        <f>L19+L28</f>
        <v>1999971</v>
      </c>
    </row>
    <row r="29" spans="1:13">
      <c r="B29" s="1" t="s">
        <v>20</v>
      </c>
      <c r="C29" s="1"/>
      <c r="I29" s="68">
        <f>SUM(I23:I28)</f>
        <v>-32642600</v>
      </c>
      <c r="J29" s="68">
        <f t="shared" ref="J29:L29" si="5">SUM(J23:J28)</f>
        <v>-1264784</v>
      </c>
      <c r="K29" s="68">
        <f t="shared" si="5"/>
        <v>0</v>
      </c>
      <c r="L29" s="68">
        <f t="shared" si="5"/>
        <v>-33907384</v>
      </c>
      <c r="M29" s="76"/>
    </row>
    <row r="30" spans="1:13">
      <c r="B30"/>
      <c r="C30"/>
      <c r="D30"/>
      <c r="E30"/>
      <c r="F30"/>
      <c r="G30"/>
      <c r="H30"/>
      <c r="I30"/>
      <c r="J30"/>
      <c r="K30"/>
      <c r="L30"/>
    </row>
    <row r="31" spans="1:13" s="1" customFormat="1">
      <c r="A31"/>
      <c r="B31"/>
      <c r="C31"/>
      <c r="D31" s="49" t="s">
        <v>21</v>
      </c>
      <c r="E31" s="33"/>
      <c r="F31" s="33"/>
      <c r="G31" s="33"/>
      <c r="H31" s="33"/>
      <c r="I31" s="69">
        <f>SUM(I20+I29)</f>
        <v>21281123</v>
      </c>
      <c r="J31" s="69">
        <f t="shared" ref="J31:K31" si="6">SUM(J20+J29)</f>
        <v>-207162</v>
      </c>
      <c r="K31" s="69">
        <f t="shared" si="6"/>
        <v>-95202</v>
      </c>
      <c r="L31" s="69">
        <f>SUM(L20+L29)</f>
        <v>20978759</v>
      </c>
      <c r="M31" s="38"/>
    </row>
    <row r="32" spans="1:1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ht="16.5" customHeight="1">
      <c r="A33"/>
      <c r="B33"/>
      <c r="C33"/>
      <c r="D33" s="49" t="s">
        <v>310</v>
      </c>
      <c r="E33" s="49"/>
      <c r="F33" s="49"/>
      <c r="G33" s="49"/>
      <c r="H33" s="49"/>
      <c r="I33" s="69">
        <f>SUM(I11+I31)</f>
        <v>22960409</v>
      </c>
      <c r="J33" s="69">
        <f t="shared" ref="J33:L33" si="7">SUM(J11+J31)</f>
        <v>-207162</v>
      </c>
      <c r="K33" s="69">
        <f t="shared" si="7"/>
        <v>-95202</v>
      </c>
      <c r="L33" s="69">
        <f t="shared" si="7"/>
        <v>22658045</v>
      </c>
      <c r="M33" s="77">
        <f>SUM(M8:M28)</f>
        <v>22658045</v>
      </c>
    </row>
    <row r="34" spans="1:1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>
      <c r="C60"/>
      <c r="D60"/>
      <c r="E60"/>
      <c r="F60"/>
      <c r="G60"/>
      <c r="H60"/>
      <c r="I60"/>
      <c r="J60"/>
      <c r="K60"/>
      <c r="L60"/>
    </row>
    <row r="61" spans="1:13">
      <c r="B61"/>
      <c r="C61"/>
      <c r="D61"/>
      <c r="E61"/>
      <c r="F61"/>
      <c r="G61"/>
      <c r="H61"/>
      <c r="I61"/>
      <c r="J61"/>
      <c r="K61"/>
      <c r="L61"/>
    </row>
    <row r="62" spans="1:13">
      <c r="B62"/>
      <c r="C62"/>
      <c r="D62"/>
      <c r="E62"/>
      <c r="F62"/>
      <c r="G62"/>
      <c r="H62"/>
      <c r="I62"/>
      <c r="J62"/>
      <c r="K62"/>
      <c r="L62"/>
    </row>
    <row r="63" spans="1:13">
      <c r="B63"/>
      <c r="C63"/>
      <c r="D63"/>
      <c r="E63"/>
      <c r="F63"/>
      <c r="G63"/>
      <c r="H63"/>
      <c r="I63"/>
      <c r="J63"/>
      <c r="K63"/>
      <c r="L63"/>
    </row>
    <row r="64" spans="1:13">
      <c r="C64"/>
      <c r="D64"/>
      <c r="E64"/>
      <c r="F64"/>
      <c r="G64"/>
      <c r="H64"/>
      <c r="I64"/>
      <c r="J64"/>
      <c r="K64"/>
      <c r="L64"/>
    </row>
    <row r="65" spans="3:12">
      <c r="C65"/>
      <c r="D65"/>
      <c r="E65"/>
      <c r="F65"/>
      <c r="G65"/>
      <c r="H65"/>
      <c r="I65"/>
      <c r="J65"/>
      <c r="K65"/>
      <c r="L65"/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52"/>
  <sheetViews>
    <sheetView topLeftCell="I36" zoomScale="50" zoomScaleNormal="50" zoomScalePageLayoutView="60" workbookViewId="0">
      <selection activeCell="A44" sqref="A44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9.140625" style="2" bestFit="1" customWidth="1"/>
    <col min="10" max="10" width="22.140625" style="2" bestFit="1" customWidth="1"/>
    <col min="11" max="11" width="16.85546875" style="2" customWidth="1"/>
    <col min="12" max="12" width="23" style="2" bestFit="1" customWidth="1"/>
    <col min="13" max="13" width="17.85546875" style="2" customWidth="1"/>
    <col min="14" max="16384" width="8.85546875" style="2"/>
  </cols>
  <sheetData>
    <row r="1" spans="1:13">
      <c r="D1" s="159" t="s">
        <v>311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 ht="14.25" customHeight="1">
      <c r="D4" s="151"/>
      <c r="E4" s="151"/>
      <c r="F4" s="151"/>
      <c r="G4" s="151"/>
      <c r="H4" s="151"/>
      <c r="I4" s="4"/>
      <c r="J4" s="3"/>
      <c r="K4" s="3"/>
      <c r="L4" s="3"/>
      <c r="M4" s="3"/>
    </row>
    <row r="5" spans="1:13" ht="39" customHeight="1">
      <c r="I5" s="161" t="s">
        <v>312</v>
      </c>
      <c r="J5" s="152"/>
      <c r="K5" s="152"/>
      <c r="L5" s="161" t="s">
        <v>89</v>
      </c>
      <c r="M5" s="161" t="s">
        <v>7</v>
      </c>
    </row>
    <row r="6" spans="1:13">
      <c r="I6" s="161"/>
      <c r="J6" s="152" t="s">
        <v>4</v>
      </c>
      <c r="K6" s="152" t="s">
        <v>5</v>
      </c>
      <c r="L6" s="161"/>
      <c r="M6" s="161"/>
    </row>
    <row r="7" spans="1:13">
      <c r="A7" s="1" t="s">
        <v>313</v>
      </c>
      <c r="B7" s="1"/>
      <c r="C7" s="1"/>
      <c r="D7" s="1"/>
      <c r="E7" s="1"/>
      <c r="F7" s="1"/>
      <c r="I7" s="3"/>
      <c r="J7" s="3"/>
      <c r="K7" s="3"/>
      <c r="L7" s="3"/>
      <c r="M7" s="3"/>
    </row>
    <row r="8" spans="1:13">
      <c r="A8" s="1" t="s">
        <v>314</v>
      </c>
      <c r="B8" s="1"/>
      <c r="C8" s="1"/>
      <c r="D8" s="1"/>
      <c r="E8" s="1"/>
      <c r="F8" s="1"/>
      <c r="I8" s="3"/>
      <c r="J8" s="3"/>
      <c r="K8" s="3"/>
      <c r="L8" s="3"/>
      <c r="M8" s="3"/>
    </row>
    <row r="9" spans="1:13">
      <c r="B9" s="2" t="s">
        <v>10</v>
      </c>
      <c r="I9" s="3">
        <v>5844429</v>
      </c>
      <c r="J9" s="3">
        <v>321545</v>
      </c>
      <c r="K9" s="3">
        <v>-1142</v>
      </c>
      <c r="L9" s="3">
        <f>SUM(I9:K9)</f>
        <v>6164832</v>
      </c>
      <c r="M9" s="3">
        <f>SUM(L9)</f>
        <v>6164832</v>
      </c>
    </row>
    <row r="10" spans="1:13">
      <c r="B10" s="2" t="s">
        <v>11</v>
      </c>
      <c r="I10" s="3">
        <v>5706789</v>
      </c>
      <c r="J10" s="3">
        <v>3444417</v>
      </c>
      <c r="K10" s="3">
        <v>-4824802</v>
      </c>
      <c r="L10" s="3">
        <f>SUM(I10:K10)</f>
        <v>4326404</v>
      </c>
      <c r="M10" s="3">
        <f>SUM(L10)</f>
        <v>4326404</v>
      </c>
    </row>
    <row r="11" spans="1:13">
      <c r="A11" s="1"/>
      <c r="B11" s="1"/>
      <c r="C11" s="1" t="s">
        <v>315</v>
      </c>
      <c r="D11" s="1"/>
      <c r="E11" s="1"/>
      <c r="F11" s="1"/>
      <c r="G11" s="1"/>
      <c r="H11" s="1"/>
      <c r="I11" s="10">
        <f>SUM(I9:I10)</f>
        <v>11551218</v>
      </c>
      <c r="J11" s="10">
        <f t="shared" ref="J11:L11" si="0">SUM(J9:J10)</f>
        <v>3765962</v>
      </c>
      <c r="K11" s="10">
        <f t="shared" si="0"/>
        <v>-4825944</v>
      </c>
      <c r="L11" s="10">
        <f t="shared" si="0"/>
        <v>10491236</v>
      </c>
      <c r="M11" s="15"/>
    </row>
    <row r="12" spans="1:13">
      <c r="A12" s="1" t="s">
        <v>316</v>
      </c>
      <c r="I12" s="3"/>
      <c r="J12" s="3"/>
      <c r="K12" s="3"/>
      <c r="L12" s="3"/>
      <c r="M12" s="3"/>
    </row>
    <row r="13" spans="1:13">
      <c r="A13" s="1"/>
      <c r="B13" s="2" t="s">
        <v>128</v>
      </c>
      <c r="I13" s="3">
        <v>74469439</v>
      </c>
      <c r="J13" s="3">
        <v>57433</v>
      </c>
      <c r="K13" s="3"/>
      <c r="L13" s="3">
        <f t="shared" ref="L13:L18" si="1">SUM(I13:K13)</f>
        <v>74526872</v>
      </c>
      <c r="M13" s="3"/>
    </row>
    <row r="14" spans="1:13">
      <c r="A14" s="1"/>
      <c r="B14" s="2" t="s">
        <v>317</v>
      </c>
      <c r="I14" s="3">
        <v>3758232</v>
      </c>
      <c r="J14" s="3"/>
      <c r="K14" s="3"/>
      <c r="L14" s="3">
        <f t="shared" si="1"/>
        <v>3758232</v>
      </c>
      <c r="M14" s="3"/>
    </row>
    <row r="15" spans="1:13">
      <c r="A15" s="1"/>
      <c r="B15" s="2" t="s">
        <v>104</v>
      </c>
      <c r="I15" s="3">
        <v>6993772</v>
      </c>
      <c r="J15" s="3">
        <v>368579</v>
      </c>
      <c r="K15" s="3">
        <v>-16749</v>
      </c>
      <c r="L15" s="3">
        <f t="shared" si="1"/>
        <v>7345602</v>
      </c>
      <c r="M15" s="3"/>
    </row>
    <row r="16" spans="1:13">
      <c r="A16" s="1"/>
      <c r="B16" s="2" t="s">
        <v>195</v>
      </c>
      <c r="I16" s="3">
        <v>2126234</v>
      </c>
      <c r="J16" s="3"/>
      <c r="K16" s="3"/>
      <c r="L16" s="3">
        <f t="shared" si="1"/>
        <v>2126234</v>
      </c>
      <c r="M16" s="3"/>
    </row>
    <row r="17" spans="1:13">
      <c r="A17" s="1"/>
      <c r="B17" s="2" t="s">
        <v>17</v>
      </c>
      <c r="I17" s="3">
        <v>146362543</v>
      </c>
      <c r="J17" s="3">
        <v>4445825</v>
      </c>
      <c r="K17" s="3">
        <v>-711380</v>
      </c>
      <c r="L17" s="3">
        <f t="shared" si="1"/>
        <v>150096988</v>
      </c>
      <c r="M17" s="3"/>
    </row>
    <row r="18" spans="1:13">
      <c r="A18" s="1"/>
      <c r="B18" s="2" t="s">
        <v>306</v>
      </c>
      <c r="I18" s="3">
        <v>250660</v>
      </c>
      <c r="J18" s="3">
        <v>200460</v>
      </c>
      <c r="K18" s="3"/>
      <c r="L18" s="3">
        <f t="shared" si="1"/>
        <v>451120</v>
      </c>
      <c r="M18" s="3"/>
    </row>
    <row r="19" spans="1:13" ht="19.5" thickBot="1">
      <c r="A19" s="1"/>
      <c r="C19" s="1" t="s">
        <v>318</v>
      </c>
      <c r="I19" s="14">
        <f>SUM(I13:I18)</f>
        <v>233960880</v>
      </c>
      <c r="J19" s="14">
        <f t="shared" ref="J19:L19" si="2">SUM(J13:J18)</f>
        <v>5072297</v>
      </c>
      <c r="K19" s="14">
        <f t="shared" si="2"/>
        <v>-728129</v>
      </c>
      <c r="L19" s="14">
        <f t="shared" si="2"/>
        <v>238305048</v>
      </c>
      <c r="M19" s="3"/>
    </row>
    <row r="20" spans="1:13">
      <c r="A20" s="1" t="s">
        <v>19</v>
      </c>
      <c r="I20" s="3"/>
      <c r="J20" s="3"/>
      <c r="K20" s="3"/>
      <c r="L20" s="3"/>
      <c r="M20" s="3"/>
    </row>
    <row r="21" spans="1:13">
      <c r="B21" s="2" t="s">
        <v>128</v>
      </c>
      <c r="I21" s="3">
        <v>-10857829</v>
      </c>
      <c r="J21" s="3">
        <v>-1851987</v>
      </c>
      <c r="K21" s="3"/>
      <c r="L21" s="3">
        <f t="shared" ref="L21:L26" si="3">SUM(I21:K21)</f>
        <v>-12709816</v>
      </c>
      <c r="M21" s="3">
        <f>SUM(L21,L13)</f>
        <v>61817056</v>
      </c>
    </row>
    <row r="22" spans="1:13">
      <c r="B22" s="2" t="s">
        <v>317</v>
      </c>
      <c r="I22" s="3">
        <v>-352335</v>
      </c>
      <c r="J22" s="3">
        <v>-93956</v>
      </c>
      <c r="K22" s="3"/>
      <c r="L22" s="3">
        <f t="shared" si="3"/>
        <v>-446291</v>
      </c>
      <c r="M22" s="3">
        <f>SUM(L22,L14)</f>
        <v>3311941</v>
      </c>
    </row>
    <row r="23" spans="1:13">
      <c r="B23" s="2" t="s">
        <v>104</v>
      </c>
      <c r="I23" s="3">
        <v>-5153332</v>
      </c>
      <c r="J23" s="3">
        <v>-526664</v>
      </c>
      <c r="K23" s="3">
        <v>16749</v>
      </c>
      <c r="L23" s="3">
        <f t="shared" si="3"/>
        <v>-5663247</v>
      </c>
      <c r="M23" s="3">
        <f t="shared" ref="M23:M26" si="4">SUM(L23,L15)</f>
        <v>1682355</v>
      </c>
    </row>
    <row r="24" spans="1:13">
      <c r="B24" s="2" t="s">
        <v>195</v>
      </c>
      <c r="I24" s="3">
        <v>-383434</v>
      </c>
      <c r="J24" s="3">
        <v>-141749</v>
      </c>
      <c r="K24" s="3"/>
      <c r="L24" s="3">
        <f t="shared" si="3"/>
        <v>-525183</v>
      </c>
      <c r="M24" s="3">
        <f t="shared" si="4"/>
        <v>1601051</v>
      </c>
    </row>
    <row r="25" spans="1:13">
      <c r="B25" s="2" t="s">
        <v>17</v>
      </c>
      <c r="I25" s="3">
        <v>-85196242</v>
      </c>
      <c r="J25" s="3">
        <v>-9213102</v>
      </c>
      <c r="K25" s="3">
        <v>711380</v>
      </c>
      <c r="L25" s="3">
        <f t="shared" si="3"/>
        <v>-93697964</v>
      </c>
      <c r="M25" s="3">
        <f t="shared" si="4"/>
        <v>56399024</v>
      </c>
    </row>
    <row r="26" spans="1:13">
      <c r="B26" s="2" t="s">
        <v>306</v>
      </c>
      <c r="I26" s="3">
        <v>-232454</v>
      </c>
      <c r="J26" s="3">
        <v>-31757</v>
      </c>
      <c r="K26" s="3"/>
      <c r="L26" s="3">
        <f t="shared" si="3"/>
        <v>-264211</v>
      </c>
      <c r="M26" s="3">
        <f t="shared" si="4"/>
        <v>186909</v>
      </c>
    </row>
    <row r="27" spans="1:13">
      <c r="C27" s="1" t="s">
        <v>20</v>
      </c>
      <c r="I27" s="12">
        <f>SUM(I21:I26)</f>
        <v>-102175626</v>
      </c>
      <c r="J27" s="12">
        <f>SUM(J21:J26)</f>
        <v>-11859215</v>
      </c>
      <c r="K27" s="12">
        <f t="shared" ref="K27:L27" si="5">SUM(K21:K26)</f>
        <v>728129</v>
      </c>
      <c r="L27" s="12">
        <f t="shared" si="5"/>
        <v>-113306712</v>
      </c>
      <c r="M27" s="15"/>
    </row>
    <row r="28" spans="1:13">
      <c r="C28" s="1" t="s">
        <v>319</v>
      </c>
      <c r="D28" s="1"/>
      <c r="E28" s="1"/>
      <c r="F28" s="1"/>
      <c r="I28" s="12">
        <f>SUM(I27+I19)</f>
        <v>131785254</v>
      </c>
      <c r="J28" s="12">
        <f t="shared" ref="J28:L28" si="6">SUM(J27+J19)</f>
        <v>-6786918</v>
      </c>
      <c r="K28" s="12">
        <f t="shared" si="6"/>
        <v>0</v>
      </c>
      <c r="L28" s="12">
        <f t="shared" si="6"/>
        <v>124998336</v>
      </c>
      <c r="M28" s="3"/>
    </row>
    <row r="29" spans="1:13" ht="19.5" thickBot="1">
      <c r="C29" s="1" t="s">
        <v>320</v>
      </c>
      <c r="D29" s="1"/>
      <c r="E29" s="1"/>
      <c r="F29" s="1"/>
      <c r="I29" s="14">
        <f>I11+I28</f>
        <v>143336472</v>
      </c>
      <c r="J29" s="14">
        <f t="shared" ref="J29:L29" si="7">J11+J28</f>
        <v>-3020956</v>
      </c>
      <c r="K29" s="14">
        <f t="shared" si="7"/>
        <v>-4825944</v>
      </c>
      <c r="L29" s="14">
        <f t="shared" si="7"/>
        <v>135489572</v>
      </c>
      <c r="M29" s="3">
        <f>SUM(M21:M26,M9:M10)</f>
        <v>135489572</v>
      </c>
    </row>
    <row r="30" spans="1:13" s="1" customFormat="1">
      <c r="A30"/>
      <c r="B30"/>
      <c r="C30"/>
      <c r="D30"/>
      <c r="E30"/>
      <c r="F30"/>
      <c r="G30"/>
      <c r="H30"/>
      <c r="I30" s="62"/>
      <c r="J30" s="62"/>
      <c r="K30" s="62"/>
      <c r="L30" s="62"/>
      <c r="M30" s="62"/>
    </row>
    <row r="31" spans="1:13">
      <c r="A31"/>
      <c r="B31"/>
      <c r="C31"/>
      <c r="D31"/>
      <c r="E31"/>
      <c r="F31"/>
      <c r="G31"/>
      <c r="H31"/>
      <c r="I31" s="62"/>
      <c r="J31" s="62"/>
      <c r="K31" s="62"/>
      <c r="L31" s="62"/>
      <c r="M31" s="62"/>
    </row>
    <row r="32" spans="1:13">
      <c r="A32" s="1" t="s">
        <v>321</v>
      </c>
      <c r="B32" s="1"/>
      <c r="C32" s="1"/>
      <c r="D32" s="1"/>
      <c r="E32" s="1"/>
      <c r="F32" s="1"/>
      <c r="I32" s="3"/>
      <c r="J32" s="3"/>
      <c r="K32" s="3"/>
      <c r="L32" s="3"/>
      <c r="M32" s="3"/>
    </row>
    <row r="33" spans="1:13">
      <c r="A33" s="1" t="s">
        <v>314</v>
      </c>
      <c r="B33" s="1"/>
      <c r="C33" s="1"/>
      <c r="D33" s="1"/>
      <c r="E33" s="1"/>
      <c r="F33" s="1"/>
      <c r="I33" s="3"/>
      <c r="J33" s="3"/>
      <c r="K33" s="3"/>
      <c r="L33" s="3"/>
      <c r="M33" s="3"/>
    </row>
    <row r="34" spans="1:13">
      <c r="B34" s="2" t="s">
        <v>10</v>
      </c>
      <c r="I34" s="3">
        <v>13243</v>
      </c>
      <c r="J34" s="3"/>
      <c r="K34" s="3"/>
      <c r="L34" s="3">
        <f>SUM(I34:K34)</f>
        <v>13243</v>
      </c>
      <c r="M34" s="3">
        <f>SUM(L34)</f>
        <v>13243</v>
      </c>
    </row>
    <row r="35" spans="1:13">
      <c r="B35" s="2" t="s">
        <v>11</v>
      </c>
      <c r="I35" s="3">
        <v>51119</v>
      </c>
      <c r="J35" s="3">
        <v>54831</v>
      </c>
      <c r="K35" s="3">
        <v>-105950</v>
      </c>
      <c r="L35" s="3">
        <f>SUM(I35:K35)</f>
        <v>0</v>
      </c>
      <c r="M35" s="3">
        <f>SUM(L35)</f>
        <v>0</v>
      </c>
    </row>
    <row r="36" spans="1:13">
      <c r="A36" s="1"/>
      <c r="B36" s="1"/>
      <c r="C36" s="1" t="s">
        <v>315</v>
      </c>
      <c r="D36" s="1"/>
      <c r="E36" s="1"/>
      <c r="F36" s="1"/>
      <c r="G36" s="1"/>
      <c r="H36" s="1"/>
      <c r="I36" s="10">
        <f>SUM(I34:I35)</f>
        <v>64362</v>
      </c>
      <c r="J36" s="10">
        <f t="shared" ref="J36:L36" si="8">SUM(J34:J35)</f>
        <v>54831</v>
      </c>
      <c r="K36" s="10">
        <f t="shared" si="8"/>
        <v>-105950</v>
      </c>
      <c r="L36" s="10">
        <f t="shared" si="8"/>
        <v>13243</v>
      </c>
      <c r="M36" s="15"/>
    </row>
    <row r="37" spans="1:13">
      <c r="A37" s="1" t="s">
        <v>316</v>
      </c>
      <c r="I37" s="3"/>
      <c r="J37" s="3"/>
      <c r="K37" s="3"/>
      <c r="L37" s="3"/>
      <c r="M37" s="3"/>
    </row>
    <row r="38" spans="1:13">
      <c r="A38" s="1"/>
      <c r="B38" s="2" t="s">
        <v>322</v>
      </c>
      <c r="I38" s="3">
        <v>9945658</v>
      </c>
      <c r="J38" s="3">
        <v>171420</v>
      </c>
      <c r="K38" s="3">
        <v>-684248</v>
      </c>
      <c r="L38" s="3">
        <f>SUM(I38:K38)</f>
        <v>9432830</v>
      </c>
      <c r="M38" s="3"/>
    </row>
    <row r="39" spans="1:13" ht="19.5" thickBot="1">
      <c r="A39" s="1"/>
      <c r="C39" s="1" t="s">
        <v>323</v>
      </c>
      <c r="I39" s="14">
        <f>SUM(I38:I38)</f>
        <v>9945658</v>
      </c>
      <c r="J39" s="14">
        <f>SUM(J38:J38)</f>
        <v>171420</v>
      </c>
      <c r="K39" s="14">
        <f>SUM(K38:K38)</f>
        <v>-684248</v>
      </c>
      <c r="L39" s="14">
        <f>SUM(L38:L38)</f>
        <v>9432830</v>
      </c>
      <c r="M39" s="3"/>
    </row>
    <row r="40" spans="1:13">
      <c r="A40" s="1" t="s">
        <v>19</v>
      </c>
      <c r="I40" s="3"/>
      <c r="J40" s="3"/>
      <c r="K40" s="3"/>
      <c r="L40" s="3"/>
      <c r="M40" s="3"/>
    </row>
    <row r="41" spans="1:13">
      <c r="B41" s="2" t="s">
        <v>324</v>
      </c>
      <c r="I41" s="3">
        <v>-2134018</v>
      </c>
      <c r="J41" s="3">
        <v>-297410</v>
      </c>
      <c r="K41" s="3">
        <v>36351</v>
      </c>
      <c r="L41" s="3">
        <f>SUM(I41:K41)</f>
        <v>-2395077</v>
      </c>
      <c r="M41" s="3">
        <f>SUM(L41,L38)</f>
        <v>7037753</v>
      </c>
    </row>
    <row r="42" spans="1:13">
      <c r="C42" s="1" t="s">
        <v>20</v>
      </c>
      <c r="I42" s="12">
        <f>SUM(I41:I41)</f>
        <v>-2134018</v>
      </c>
      <c r="J42" s="12">
        <f>SUM(J41:J41)</f>
        <v>-297410</v>
      </c>
      <c r="K42" s="12">
        <f>SUM(K41:K41)</f>
        <v>36351</v>
      </c>
      <c r="L42" s="12">
        <f>SUM(L41:L41)</f>
        <v>-2395077</v>
      </c>
      <c r="M42" s="15"/>
    </row>
    <row r="43" spans="1:13">
      <c r="C43" s="1" t="s">
        <v>325</v>
      </c>
      <c r="D43" s="1"/>
      <c r="E43" s="1"/>
      <c r="F43" s="1"/>
      <c r="I43" s="12">
        <f>SUM(I39+I42)</f>
        <v>7811640</v>
      </c>
      <c r="J43" s="12">
        <f t="shared" ref="J43:L43" si="9">SUM(J39+J42)</f>
        <v>-125990</v>
      </c>
      <c r="K43" s="12">
        <f t="shared" si="9"/>
        <v>-647897</v>
      </c>
      <c r="L43" s="12">
        <f t="shared" si="9"/>
        <v>7037753</v>
      </c>
      <c r="M43" s="3"/>
    </row>
    <row r="44" spans="1:13" ht="19.5" thickBot="1">
      <c r="C44" s="1" t="s">
        <v>320</v>
      </c>
      <c r="D44" s="1"/>
      <c r="E44" s="1"/>
      <c r="F44" s="1"/>
      <c r="I44" s="14">
        <f>I36+I43</f>
        <v>7876002</v>
      </c>
      <c r="J44" s="14">
        <f>J36+J43</f>
        <v>-71159</v>
      </c>
      <c r="K44" s="14">
        <f>K36+K43</f>
        <v>-753847</v>
      </c>
      <c r="L44" s="14">
        <f>L36+L43</f>
        <v>7050996</v>
      </c>
      <c r="M44" s="3">
        <f>SUM(M41,M34:M35)</f>
        <v>7050996</v>
      </c>
    </row>
    <row r="45" spans="1:1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>
      <c r="C47"/>
      <c r="D47"/>
      <c r="E47"/>
      <c r="F47"/>
      <c r="G47"/>
      <c r="H47"/>
      <c r="I47"/>
      <c r="J47"/>
      <c r="K47"/>
      <c r="L47"/>
    </row>
    <row r="48" spans="1:13">
      <c r="B48"/>
      <c r="C48"/>
      <c r="D48"/>
      <c r="E48"/>
      <c r="F48"/>
      <c r="G48"/>
      <c r="H48"/>
      <c r="I48"/>
      <c r="J48"/>
      <c r="K48"/>
      <c r="L48"/>
    </row>
    <row r="49" spans="2:12">
      <c r="B49"/>
      <c r="C49"/>
      <c r="D49"/>
      <c r="E49"/>
      <c r="F49"/>
      <c r="G49"/>
      <c r="H49"/>
      <c r="I49"/>
      <c r="J49"/>
      <c r="K49"/>
      <c r="L49"/>
    </row>
    <row r="50" spans="2:12">
      <c r="B50"/>
      <c r="C50"/>
      <c r="D50"/>
      <c r="E50"/>
      <c r="F50"/>
      <c r="G50"/>
      <c r="H50"/>
      <c r="I50"/>
      <c r="J50"/>
      <c r="K50"/>
      <c r="L50"/>
    </row>
    <row r="51" spans="2:12">
      <c r="C51"/>
      <c r="D51"/>
      <c r="E51"/>
      <c r="F51"/>
      <c r="G51"/>
      <c r="H51"/>
      <c r="I51"/>
      <c r="J51"/>
      <c r="K51"/>
      <c r="L51"/>
    </row>
    <row r="52" spans="2:12">
      <c r="C52"/>
      <c r="D52"/>
      <c r="E52"/>
      <c r="F52"/>
      <c r="G52"/>
      <c r="H52"/>
      <c r="I52"/>
      <c r="J52"/>
      <c r="K52"/>
      <c r="L52"/>
    </row>
  </sheetData>
  <mergeCells count="6">
    <mergeCell ref="M5:M6"/>
    <mergeCell ref="D1:I1"/>
    <mergeCell ref="D2:I2"/>
    <mergeCell ref="D3:I3"/>
    <mergeCell ref="I5:I6"/>
    <mergeCell ref="L5:L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0"/>
  <sheetViews>
    <sheetView topLeftCell="J11" zoomScale="50" zoomScaleNormal="50" zoomScalePageLayoutView="90" workbookViewId="0">
      <selection activeCell="M24" sqref="M24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9.140625" style="2" bestFit="1" customWidth="1"/>
    <col min="10" max="10" width="22.140625" style="2" bestFit="1" customWidth="1"/>
    <col min="11" max="11" width="16.85546875" style="2" customWidth="1"/>
    <col min="12" max="12" width="23" style="2" bestFit="1" customWidth="1"/>
    <col min="13" max="13" width="17.85546875" style="2" customWidth="1"/>
    <col min="14" max="16384" width="8.85546875" style="2"/>
  </cols>
  <sheetData>
    <row r="1" spans="1:13">
      <c r="D1" s="159" t="s">
        <v>326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>
      <c r="D4" s="151"/>
      <c r="E4" s="151"/>
      <c r="F4" s="151"/>
      <c r="G4" s="151"/>
      <c r="H4" s="151"/>
      <c r="I4" s="4"/>
      <c r="J4" s="3"/>
      <c r="K4" s="3"/>
      <c r="L4" s="3"/>
      <c r="M4" s="3"/>
    </row>
    <row r="5" spans="1:13">
      <c r="I5" s="161" t="s">
        <v>327</v>
      </c>
      <c r="J5" s="152"/>
      <c r="K5" s="152"/>
      <c r="L5" s="161" t="s">
        <v>328</v>
      </c>
      <c r="M5" s="161" t="s">
        <v>7</v>
      </c>
    </row>
    <row r="6" spans="1:13">
      <c r="I6" s="161"/>
      <c r="J6" s="152" t="s">
        <v>63</v>
      </c>
      <c r="K6" s="152" t="s">
        <v>68</v>
      </c>
      <c r="L6" s="161"/>
      <c r="M6" s="161"/>
    </row>
    <row r="7" spans="1:13">
      <c r="A7" s="1" t="s">
        <v>313</v>
      </c>
      <c r="B7" s="1"/>
      <c r="C7" s="1"/>
      <c r="D7" s="1"/>
      <c r="E7" s="1"/>
      <c r="F7" s="1"/>
      <c r="I7" s="3"/>
      <c r="J7" s="3"/>
      <c r="K7" s="3"/>
      <c r="L7" s="3"/>
      <c r="M7" s="3"/>
    </row>
    <row r="8" spans="1:13">
      <c r="A8" s="1" t="s">
        <v>329</v>
      </c>
      <c r="B8" s="1"/>
      <c r="C8" s="1"/>
      <c r="D8" s="1"/>
      <c r="E8" s="1"/>
      <c r="F8" s="1"/>
      <c r="I8" s="3"/>
      <c r="J8" s="3"/>
      <c r="K8" s="3"/>
      <c r="L8" s="3"/>
      <c r="M8" s="3"/>
    </row>
    <row r="9" spans="1:13">
      <c r="B9" s="2" t="s">
        <v>10</v>
      </c>
      <c r="I9" s="3">
        <v>188750</v>
      </c>
      <c r="J9" s="3"/>
      <c r="K9" s="3"/>
      <c r="L9" s="3">
        <f>SUM(I9:K9)</f>
        <v>188750</v>
      </c>
      <c r="M9" s="3">
        <f>SUM(L9)</f>
        <v>188750</v>
      </c>
    </row>
    <row r="10" spans="1:13">
      <c r="B10" s="2" t="s">
        <v>330</v>
      </c>
      <c r="I10" s="3">
        <v>3771405</v>
      </c>
      <c r="J10" s="3"/>
      <c r="K10" s="3"/>
      <c r="L10" s="3">
        <f>SUM(I10:K10)</f>
        <v>3771405</v>
      </c>
      <c r="M10" s="3">
        <f>L10</f>
        <v>3771405</v>
      </c>
    </row>
    <row r="11" spans="1:13">
      <c r="A11" s="1" t="s">
        <v>331</v>
      </c>
      <c r="I11" s="3"/>
      <c r="J11" s="3"/>
      <c r="K11" s="3"/>
      <c r="L11" s="3"/>
      <c r="M11" s="3"/>
    </row>
    <row r="12" spans="1:13">
      <c r="A12" s="1"/>
      <c r="B12" s="2" t="s">
        <v>332</v>
      </c>
      <c r="I12" s="3">
        <v>1688635</v>
      </c>
      <c r="J12" s="3"/>
      <c r="K12" s="3"/>
      <c r="L12" s="3">
        <f t="shared" ref="L12:L15" si="0">SUM(I12:K12)</f>
        <v>1688635</v>
      </c>
      <c r="M12" s="3">
        <f>L12</f>
        <v>1688635</v>
      </c>
    </row>
    <row r="13" spans="1:13">
      <c r="A13" s="1"/>
      <c r="B13" s="2" t="s">
        <v>14</v>
      </c>
      <c r="I13" s="3">
        <v>6005279</v>
      </c>
      <c r="J13" s="3"/>
      <c r="K13" s="3"/>
      <c r="L13" s="3">
        <f>SUM(I13:K13)</f>
        <v>6005279</v>
      </c>
      <c r="M13" s="3"/>
    </row>
    <row r="14" spans="1:13">
      <c r="A14" s="1"/>
      <c r="B14" s="2" t="s">
        <v>71</v>
      </c>
      <c r="I14" s="3">
        <v>3478202</v>
      </c>
      <c r="J14" s="3">
        <v>51325</v>
      </c>
      <c r="K14" s="3">
        <v>-43966</v>
      </c>
      <c r="L14" s="3">
        <f t="shared" si="0"/>
        <v>3485561</v>
      </c>
      <c r="M14" s="3"/>
    </row>
    <row r="15" spans="1:13">
      <c r="A15" s="1"/>
      <c r="B15" s="2" t="s">
        <v>126</v>
      </c>
      <c r="I15" s="3">
        <v>517099</v>
      </c>
      <c r="J15" s="3">
        <v>45380</v>
      </c>
      <c r="K15" s="3">
        <v>-31968</v>
      </c>
      <c r="L15" s="3">
        <f t="shared" si="0"/>
        <v>530511</v>
      </c>
      <c r="M15" s="3"/>
    </row>
    <row r="16" spans="1:13" ht="19.5" thickBot="1">
      <c r="A16" s="1"/>
      <c r="C16" s="1" t="s">
        <v>333</v>
      </c>
      <c r="I16" s="14">
        <f>SUM(I9:I15)</f>
        <v>15649370</v>
      </c>
      <c r="J16" s="14">
        <f t="shared" ref="J16:L16" si="1">SUM(J9:J15)</f>
        <v>96705</v>
      </c>
      <c r="K16" s="14">
        <f t="shared" si="1"/>
        <v>-75934</v>
      </c>
      <c r="L16" s="14">
        <f t="shared" si="1"/>
        <v>15670141</v>
      </c>
      <c r="M16" s="3"/>
    </row>
    <row r="17" spans="1:13">
      <c r="A17" s="1" t="s">
        <v>334</v>
      </c>
      <c r="I17" s="3"/>
      <c r="J17" s="3"/>
      <c r="K17" s="3"/>
      <c r="L17" s="3"/>
      <c r="M17" s="3"/>
    </row>
    <row r="18" spans="1:13">
      <c r="B18" s="2" t="s">
        <v>14</v>
      </c>
      <c r="I18" s="3">
        <v>4559899</v>
      </c>
      <c r="J18" s="3">
        <v>145787</v>
      </c>
      <c r="K18" s="3"/>
      <c r="L18" s="3">
        <f t="shared" ref="L18:L20" si="2">SUM(I18:K18)</f>
        <v>4705686</v>
      </c>
      <c r="M18" s="3">
        <f>L13-L18</f>
        <v>1299593</v>
      </c>
    </row>
    <row r="19" spans="1:13">
      <c r="B19" s="2" t="s">
        <v>71</v>
      </c>
      <c r="I19" s="3">
        <v>2588760</v>
      </c>
      <c r="J19" s="3">
        <v>233115</v>
      </c>
      <c r="K19" s="3">
        <v>-43966</v>
      </c>
      <c r="L19" s="3">
        <f t="shared" si="2"/>
        <v>2777909</v>
      </c>
      <c r="M19" s="3">
        <f>L14-L19</f>
        <v>707652</v>
      </c>
    </row>
    <row r="20" spans="1:13">
      <c r="B20" s="2" t="s">
        <v>126</v>
      </c>
      <c r="I20" s="3">
        <v>413573</v>
      </c>
      <c r="J20" s="3">
        <v>53051</v>
      </c>
      <c r="K20" s="3">
        <v>-31968</v>
      </c>
      <c r="L20" s="3">
        <f t="shared" si="2"/>
        <v>434656</v>
      </c>
      <c r="M20" s="3">
        <f>L15-L20</f>
        <v>95855</v>
      </c>
    </row>
    <row r="21" spans="1:13">
      <c r="C21" s="1" t="s">
        <v>208</v>
      </c>
      <c r="I21" s="12">
        <f>SUM(I18:I20)</f>
        <v>7562232</v>
      </c>
      <c r="J21" s="12">
        <f>SUM(J18:J20)</f>
        <v>431953</v>
      </c>
      <c r="K21" s="12">
        <f>SUM(K18:K20)</f>
        <v>-75934</v>
      </c>
      <c r="L21" s="12">
        <f>SUM(L18:L20)</f>
        <v>7918251</v>
      </c>
      <c r="M21" s="15"/>
    </row>
    <row r="22" spans="1:13">
      <c r="B22" s="1" t="s">
        <v>22</v>
      </c>
      <c r="C22" s="1"/>
      <c r="D22" s="1"/>
      <c r="E22" s="1"/>
      <c r="F22" s="1"/>
      <c r="I22" s="12">
        <f>I16-I21</f>
        <v>8087138</v>
      </c>
      <c r="J22" s="12">
        <f t="shared" ref="J22:L22" si="3">J16-J21</f>
        <v>-335248</v>
      </c>
      <c r="K22" s="12">
        <f t="shared" si="3"/>
        <v>0</v>
      </c>
      <c r="L22" s="12">
        <f t="shared" si="3"/>
        <v>7751890</v>
      </c>
      <c r="M22" s="3">
        <f>SUM(M9:M20)</f>
        <v>7751890</v>
      </c>
    </row>
    <row r="23" spans="1:13" s="1" customFormat="1">
      <c r="A23"/>
      <c r="B23"/>
      <c r="C23"/>
      <c r="D23"/>
      <c r="E23"/>
      <c r="F23"/>
      <c r="G23"/>
      <c r="H23"/>
      <c r="I23" s="62"/>
      <c r="J23" s="62"/>
      <c r="K23" s="62"/>
    </row>
    <row r="24" spans="1:1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>
      <c r="C25"/>
      <c r="D25"/>
      <c r="E25"/>
      <c r="F25"/>
      <c r="G25"/>
      <c r="H25"/>
      <c r="I25"/>
      <c r="J25"/>
      <c r="K25"/>
      <c r="L25"/>
    </row>
    <row r="26" spans="1:13">
      <c r="B26"/>
      <c r="C26"/>
      <c r="D26"/>
      <c r="E26"/>
      <c r="F26"/>
      <c r="G26"/>
      <c r="H26"/>
      <c r="I26"/>
      <c r="J26"/>
      <c r="K26"/>
      <c r="L26"/>
    </row>
    <row r="27" spans="1:13">
      <c r="B27"/>
      <c r="C27"/>
      <c r="D27"/>
      <c r="E27"/>
      <c r="F27"/>
      <c r="G27"/>
      <c r="H27"/>
      <c r="I27"/>
      <c r="J27"/>
      <c r="K27"/>
      <c r="L27"/>
    </row>
    <row r="28" spans="1:13">
      <c r="B28"/>
      <c r="C28"/>
      <c r="D28"/>
      <c r="E28"/>
      <c r="F28"/>
      <c r="G28"/>
      <c r="H28"/>
      <c r="I28"/>
      <c r="J28"/>
      <c r="K28"/>
      <c r="L28"/>
    </row>
    <row r="29" spans="1:13">
      <c r="C29"/>
      <c r="D29"/>
      <c r="E29"/>
      <c r="F29"/>
      <c r="G29"/>
      <c r="H29"/>
      <c r="I29"/>
      <c r="J29"/>
      <c r="K29"/>
      <c r="L29"/>
    </row>
    <row r="30" spans="1:13">
      <c r="C30"/>
      <c r="D30"/>
      <c r="E30"/>
      <c r="F30"/>
      <c r="G30"/>
      <c r="H30"/>
      <c r="I30"/>
      <c r="J30"/>
      <c r="K30"/>
      <c r="L30"/>
    </row>
  </sheetData>
  <mergeCells count="6">
    <mergeCell ref="M5:M6"/>
    <mergeCell ref="D1:I1"/>
    <mergeCell ref="D2:I2"/>
    <mergeCell ref="D3:I3"/>
    <mergeCell ref="I5:I6"/>
    <mergeCell ref="L5:L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A1:Q57"/>
  <sheetViews>
    <sheetView zoomScale="70" zoomScaleNormal="70" zoomScalePageLayoutView="90" workbookViewId="0">
      <selection activeCell="O13" sqref="O13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5.42578125" style="2" customWidth="1"/>
    <col min="10" max="10" width="15.85546875" style="2" customWidth="1"/>
    <col min="11" max="11" width="16.85546875" style="2" customWidth="1"/>
    <col min="12" max="12" width="15.7109375" style="2" customWidth="1"/>
    <col min="13" max="13" width="17.7109375" style="2" customWidth="1"/>
    <col min="14" max="16384" width="8.85546875" style="2"/>
  </cols>
  <sheetData>
    <row r="1" spans="1:13">
      <c r="D1" s="159" t="s">
        <v>335</v>
      </c>
      <c r="E1" s="159"/>
      <c r="F1" s="159"/>
      <c r="G1" s="159"/>
      <c r="H1" s="159"/>
      <c r="I1" s="159"/>
    </row>
    <row r="2" spans="1:13">
      <c r="D2" s="159" t="s">
        <v>298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 ht="14.25" customHeight="1">
      <c r="D4" s="151"/>
      <c r="E4" s="151"/>
      <c r="F4" s="151"/>
      <c r="G4" s="151"/>
      <c r="H4" s="151"/>
      <c r="I4" s="151"/>
    </row>
    <row r="5" spans="1:13" ht="56.25">
      <c r="I5" s="63" t="s">
        <v>312</v>
      </c>
      <c r="J5" s="63" t="s">
        <v>300</v>
      </c>
      <c r="K5" s="63" t="s">
        <v>336</v>
      </c>
      <c r="L5" s="63" t="s">
        <v>337</v>
      </c>
      <c r="M5" s="100" t="s">
        <v>302</v>
      </c>
    </row>
    <row r="6" spans="1:13">
      <c r="A6" s="1"/>
      <c r="B6" s="1"/>
      <c r="C6" s="1"/>
      <c r="D6" s="1"/>
      <c r="E6" s="1"/>
      <c r="F6" s="1"/>
      <c r="I6" s="64"/>
      <c r="J6" s="64"/>
      <c r="K6" s="64"/>
      <c r="L6" s="64"/>
    </row>
    <row r="7" spans="1:13">
      <c r="A7" s="1" t="s">
        <v>338</v>
      </c>
      <c r="B7" s="1"/>
      <c r="C7" s="1"/>
      <c r="D7" s="1"/>
      <c r="E7" s="1"/>
      <c r="F7" s="1"/>
      <c r="I7" s="38"/>
      <c r="J7" s="38"/>
      <c r="K7" s="38"/>
      <c r="L7" s="38"/>
    </row>
    <row r="8" spans="1:13">
      <c r="A8" s="1" t="s">
        <v>339</v>
      </c>
      <c r="B8" s="1"/>
      <c r="C8" s="1"/>
      <c r="D8" s="1"/>
      <c r="E8" s="1"/>
      <c r="F8" s="1"/>
      <c r="I8" s="38"/>
      <c r="J8" s="38"/>
      <c r="K8" s="38"/>
      <c r="L8" s="38"/>
    </row>
    <row r="9" spans="1:13">
      <c r="B9" s="2" t="s">
        <v>10</v>
      </c>
      <c r="I9" s="38">
        <v>188750</v>
      </c>
      <c r="L9" s="38">
        <f>SUM(I9:K9)</f>
        <v>188750</v>
      </c>
      <c r="M9" s="38">
        <f>L9</f>
        <v>188750</v>
      </c>
    </row>
    <row r="10" spans="1:13">
      <c r="B10" s="2" t="s">
        <v>340</v>
      </c>
      <c r="I10" s="65">
        <v>3771405</v>
      </c>
      <c r="J10" s="66"/>
      <c r="K10" s="66"/>
      <c r="L10" s="65">
        <f>SUM(I10:K10)</f>
        <v>3771405</v>
      </c>
      <c r="M10" s="65">
        <f>L10</f>
        <v>3771405</v>
      </c>
    </row>
    <row r="11" spans="1:13" s="1" customFormat="1">
      <c r="B11" s="1" t="s">
        <v>208</v>
      </c>
      <c r="I11" s="76">
        <f>SUM(I9:I10)</f>
        <v>3960155</v>
      </c>
      <c r="J11" s="76">
        <f t="shared" ref="J11:K11" si="0">SUM(J9:J10)</f>
        <v>0</v>
      </c>
      <c r="K11" s="76">
        <f t="shared" si="0"/>
        <v>0</v>
      </c>
      <c r="L11" s="76">
        <f>SUM(L9:L10)</f>
        <v>3960155</v>
      </c>
      <c r="M11" s="76"/>
    </row>
    <row r="12" spans="1:13">
      <c r="A12" s="1" t="s">
        <v>331</v>
      </c>
      <c r="I12" s="38"/>
    </row>
    <row r="13" spans="1:13">
      <c r="A13" s="1"/>
      <c r="B13" s="2" t="s">
        <v>341</v>
      </c>
      <c r="I13" s="2">
        <v>1688635</v>
      </c>
      <c r="L13" s="2">
        <f>SUM(I13:K13)</f>
        <v>1688635</v>
      </c>
      <c r="M13" s="2">
        <f>L13</f>
        <v>1688635</v>
      </c>
    </row>
    <row r="14" spans="1:13">
      <c r="A14" s="1"/>
      <c r="B14" s="2" t="s">
        <v>342</v>
      </c>
      <c r="I14" s="2">
        <v>6005279</v>
      </c>
      <c r="L14" s="2">
        <f>SUM(I14:K14)</f>
        <v>6005279</v>
      </c>
    </row>
    <row r="15" spans="1:13">
      <c r="A15" s="1"/>
      <c r="B15" s="2" t="s">
        <v>71</v>
      </c>
      <c r="I15" s="2">
        <v>3478202</v>
      </c>
      <c r="J15" s="2">
        <v>51325</v>
      </c>
      <c r="K15" s="2">
        <v>-43966</v>
      </c>
      <c r="L15" s="2">
        <f>SUM(I15:K15)</f>
        <v>3485561</v>
      </c>
    </row>
    <row r="16" spans="1:13">
      <c r="A16" s="1"/>
      <c r="B16" s="2" t="s">
        <v>126</v>
      </c>
      <c r="I16" s="2">
        <v>517099</v>
      </c>
      <c r="J16" s="2">
        <v>45380</v>
      </c>
      <c r="K16" s="2">
        <v>-31968</v>
      </c>
      <c r="L16" s="2">
        <f>SUM(I16:K16)</f>
        <v>530511</v>
      </c>
    </row>
    <row r="17" spans="1:17">
      <c r="A17" s="1"/>
      <c r="B17" s="1" t="s">
        <v>333</v>
      </c>
      <c r="C17" s="1"/>
      <c r="I17" s="149">
        <f>SUM(I13:I16)</f>
        <v>11689215</v>
      </c>
      <c r="J17" s="67">
        <f t="shared" ref="J17:L17" si="1">SUM(J13:J16)</f>
        <v>96705</v>
      </c>
      <c r="K17" s="67">
        <f t="shared" si="1"/>
        <v>-75934</v>
      </c>
      <c r="L17" s="149">
        <f t="shared" si="1"/>
        <v>11709986</v>
      </c>
      <c r="N17" s="128" t="s">
        <v>343</v>
      </c>
      <c r="O17" s="128"/>
      <c r="P17" s="128"/>
      <c r="Q17" s="128"/>
    </row>
    <row r="18" spans="1:17">
      <c r="A18" s="1" t="s">
        <v>19</v>
      </c>
      <c r="J18" s="38"/>
      <c r="K18" s="38"/>
    </row>
    <row r="19" spans="1:17">
      <c r="B19" s="2" t="s">
        <v>342</v>
      </c>
      <c r="I19" s="38">
        <v>4559899</v>
      </c>
      <c r="J19" s="38">
        <v>145787</v>
      </c>
      <c r="K19" s="38"/>
      <c r="L19" s="38">
        <f>SUM(I19:K19)</f>
        <v>4705686</v>
      </c>
      <c r="M19" s="38">
        <f>L14-L19</f>
        <v>1299593</v>
      </c>
    </row>
    <row r="20" spans="1:17">
      <c r="B20" s="2" t="s">
        <v>71</v>
      </c>
      <c r="I20" s="38">
        <v>2588760</v>
      </c>
      <c r="J20" s="38">
        <v>233115</v>
      </c>
      <c r="K20" s="38">
        <v>-43966</v>
      </c>
      <c r="L20" s="38">
        <f>SUM(I20:K20)</f>
        <v>2777909</v>
      </c>
      <c r="M20" s="38">
        <f>L15-L20</f>
        <v>707652</v>
      </c>
    </row>
    <row r="21" spans="1:17">
      <c r="B21" s="2" t="s">
        <v>126</v>
      </c>
      <c r="I21" s="38">
        <v>413573</v>
      </c>
      <c r="J21" s="38">
        <v>53051</v>
      </c>
      <c r="K21" s="38">
        <v>-31968</v>
      </c>
      <c r="L21" s="38">
        <f>SUM(I21:K21)</f>
        <v>434656</v>
      </c>
      <c r="M21" s="65">
        <f>L16-L21</f>
        <v>95855</v>
      </c>
    </row>
    <row r="22" spans="1:17">
      <c r="B22" s="1" t="s">
        <v>20</v>
      </c>
      <c r="C22" s="1"/>
      <c r="I22" s="68">
        <f>SUM(I19:I21)</f>
        <v>7562232</v>
      </c>
      <c r="J22" s="68">
        <f t="shared" ref="J22:L22" si="2">SUM(J19:J21)</f>
        <v>431953</v>
      </c>
      <c r="K22" s="68">
        <f t="shared" si="2"/>
        <v>-75934</v>
      </c>
      <c r="L22" s="68">
        <f t="shared" si="2"/>
        <v>7918251</v>
      </c>
      <c r="M22" s="76"/>
    </row>
    <row r="23" spans="1:17">
      <c r="B23"/>
      <c r="C23"/>
      <c r="D23"/>
      <c r="E23"/>
      <c r="F23"/>
      <c r="G23"/>
      <c r="H23"/>
      <c r="I23"/>
      <c r="J23"/>
      <c r="K23"/>
      <c r="L23"/>
    </row>
    <row r="24" spans="1:17" s="1" customFormat="1">
      <c r="A24"/>
      <c r="B24"/>
      <c r="C24"/>
      <c r="D24" s="49" t="s">
        <v>22</v>
      </c>
      <c r="E24" s="33"/>
      <c r="F24" s="33"/>
      <c r="G24" s="33"/>
      <c r="H24" s="33"/>
      <c r="I24" s="69">
        <f>SUM(I17-I22+I11)</f>
        <v>8087138</v>
      </c>
      <c r="J24" s="69">
        <f t="shared" ref="J24:L24" si="3">SUM(J17-J22+J11)</f>
        <v>-335248</v>
      </c>
      <c r="K24" s="69">
        <f t="shared" si="3"/>
        <v>0</v>
      </c>
      <c r="L24" s="69">
        <f t="shared" si="3"/>
        <v>7751890</v>
      </c>
      <c r="M24" s="38">
        <f>SUM(M9:M21)</f>
        <v>7751890</v>
      </c>
    </row>
    <row r="25" spans="1:17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7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7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7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7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7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7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7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>
      <c r="C52"/>
      <c r="D52"/>
      <c r="E52"/>
      <c r="F52"/>
      <c r="G52"/>
      <c r="H52"/>
      <c r="I52"/>
      <c r="J52"/>
      <c r="K52"/>
      <c r="L52"/>
    </row>
    <row r="53" spans="1:13">
      <c r="B53"/>
      <c r="C53"/>
      <c r="D53"/>
      <c r="E53"/>
      <c r="F53"/>
      <c r="G53"/>
      <c r="H53"/>
      <c r="I53"/>
      <c r="J53"/>
      <c r="K53"/>
      <c r="L53"/>
    </row>
    <row r="54" spans="1:13">
      <c r="B54"/>
      <c r="C54"/>
      <c r="D54"/>
      <c r="E54"/>
      <c r="F54"/>
      <c r="G54"/>
      <c r="H54"/>
      <c r="I54"/>
      <c r="J54"/>
      <c r="K54"/>
      <c r="L54"/>
    </row>
    <row r="55" spans="1:13">
      <c r="B55"/>
      <c r="C55"/>
      <c r="D55"/>
      <c r="E55"/>
      <c r="F55"/>
      <c r="G55"/>
      <c r="H55"/>
      <c r="I55"/>
      <c r="J55"/>
      <c r="K55"/>
      <c r="L55"/>
    </row>
    <row r="56" spans="1:13">
      <c r="C56"/>
      <c r="D56"/>
      <c r="E56"/>
      <c r="F56"/>
      <c r="G56"/>
      <c r="H56"/>
      <c r="I56"/>
      <c r="J56"/>
      <c r="K56"/>
      <c r="L56"/>
    </row>
    <row r="57" spans="1:13">
      <c r="C57"/>
      <c r="D57"/>
      <c r="E57"/>
      <c r="F57"/>
      <c r="G57"/>
      <c r="H57"/>
      <c r="I57"/>
      <c r="J57"/>
      <c r="K57"/>
      <c r="L57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T151"/>
  <sheetViews>
    <sheetView topLeftCell="A99" zoomScale="50" zoomScaleNormal="50" zoomScalePageLayoutView="70" workbookViewId="0">
      <selection activeCell="J110" sqref="J110"/>
    </sheetView>
  </sheetViews>
  <sheetFormatPr defaultColWidth="8.85546875" defaultRowHeight="18.75"/>
  <cols>
    <col min="1" max="1" width="7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20.42578125" style="2" customWidth="1"/>
    <col min="10" max="10" width="22.140625" style="2" bestFit="1" customWidth="1"/>
    <col min="11" max="12" width="22.28515625" style="2" customWidth="1"/>
    <col min="13" max="13" width="23" style="2" bestFit="1" customWidth="1"/>
    <col min="14" max="14" width="17.85546875" style="2" customWidth="1"/>
    <col min="15" max="16384" width="8.85546875" style="2"/>
  </cols>
  <sheetData>
    <row r="1" spans="1:14">
      <c r="D1" s="159" t="s">
        <v>344</v>
      </c>
      <c r="E1" s="159"/>
      <c r="F1" s="159"/>
      <c r="G1" s="159"/>
      <c r="H1" s="159"/>
      <c r="I1" s="159"/>
    </row>
    <row r="2" spans="1:14">
      <c r="D2" s="159" t="s">
        <v>1</v>
      </c>
      <c r="E2" s="159"/>
      <c r="F2" s="159"/>
      <c r="G2" s="159"/>
      <c r="H2" s="159"/>
      <c r="I2" s="159"/>
    </row>
    <row r="3" spans="1:14">
      <c r="D3" s="159" t="s">
        <v>2</v>
      </c>
      <c r="E3" s="159"/>
      <c r="F3" s="159"/>
      <c r="G3" s="159"/>
      <c r="H3" s="159"/>
      <c r="I3" s="159"/>
    </row>
    <row r="4" spans="1:14" ht="14.25" customHeight="1">
      <c r="D4" s="151"/>
      <c r="E4" s="151"/>
      <c r="F4" s="151"/>
      <c r="G4" s="151"/>
      <c r="H4" s="151"/>
      <c r="I4" s="4"/>
      <c r="J4" s="3"/>
      <c r="K4" s="3"/>
      <c r="L4" s="3"/>
      <c r="M4" s="3"/>
      <c r="N4" s="3"/>
    </row>
    <row r="5" spans="1:14" ht="39" customHeight="1">
      <c r="I5" s="161" t="s">
        <v>3</v>
      </c>
      <c r="J5" s="152"/>
      <c r="K5" s="152"/>
      <c r="L5" s="152"/>
      <c r="M5" s="161" t="s">
        <v>6</v>
      </c>
      <c r="N5" s="161" t="s">
        <v>7</v>
      </c>
    </row>
    <row r="6" spans="1:14">
      <c r="I6" s="161"/>
      <c r="J6" s="152" t="s">
        <v>4</v>
      </c>
      <c r="K6" s="152" t="s">
        <v>5</v>
      </c>
      <c r="L6" s="152" t="s">
        <v>69</v>
      </c>
      <c r="M6" s="161"/>
      <c r="N6" s="161"/>
    </row>
    <row r="7" spans="1:14">
      <c r="A7" s="1" t="s">
        <v>313</v>
      </c>
      <c r="I7" s="152"/>
      <c r="J7" s="152"/>
      <c r="K7" s="152"/>
      <c r="L7" s="152"/>
      <c r="M7" s="152"/>
      <c r="N7" s="152"/>
    </row>
    <row r="8" spans="1:14">
      <c r="A8" s="1" t="s">
        <v>345</v>
      </c>
      <c r="B8" s="1"/>
      <c r="C8" s="1"/>
      <c r="D8" s="1"/>
      <c r="E8" s="1"/>
      <c r="F8" s="1"/>
      <c r="I8" s="3"/>
      <c r="J8" s="3"/>
      <c r="K8" s="3"/>
      <c r="L8" s="3"/>
      <c r="M8" s="3"/>
      <c r="N8" s="3"/>
    </row>
    <row r="9" spans="1:14">
      <c r="A9" s="1" t="s">
        <v>346</v>
      </c>
      <c r="B9" s="1"/>
      <c r="C9" s="1"/>
      <c r="D9" s="1"/>
      <c r="E9" s="1"/>
      <c r="F9" s="1"/>
      <c r="I9" s="3"/>
      <c r="J9" s="3"/>
      <c r="K9" s="3"/>
      <c r="L9" s="3"/>
      <c r="M9" s="3"/>
      <c r="N9" s="3"/>
    </row>
    <row r="10" spans="1:14">
      <c r="A10" s="1"/>
      <c r="B10" s="2" t="s">
        <v>10</v>
      </c>
      <c r="C10" s="1"/>
      <c r="D10" s="1"/>
      <c r="E10" s="1"/>
      <c r="F10" s="1"/>
      <c r="I10" s="3">
        <v>443958</v>
      </c>
      <c r="J10" s="3"/>
      <c r="K10" s="3"/>
      <c r="L10" s="3"/>
      <c r="M10" s="3">
        <f>SUM(I10:K10)</f>
        <v>443958</v>
      </c>
      <c r="N10" s="3">
        <f>M10</f>
        <v>443958</v>
      </c>
    </row>
    <row r="11" spans="1:14">
      <c r="A11" s="1"/>
      <c r="B11" s="2" t="s">
        <v>347</v>
      </c>
      <c r="C11" s="1"/>
      <c r="D11" s="1"/>
      <c r="E11" s="1"/>
      <c r="F11" s="1"/>
      <c r="I11" s="3">
        <v>45608</v>
      </c>
      <c r="J11" s="3"/>
      <c r="K11" s="3">
        <v>-45608</v>
      </c>
      <c r="L11" s="3"/>
      <c r="M11" s="3">
        <f>SUM(I11:K11)</f>
        <v>0</v>
      </c>
      <c r="N11" s="3">
        <f>M11</f>
        <v>0</v>
      </c>
    </row>
    <row r="12" spans="1:14">
      <c r="A12" s="1" t="s">
        <v>348</v>
      </c>
      <c r="B12" s="1"/>
      <c r="C12" s="1"/>
      <c r="D12" s="1"/>
      <c r="E12" s="1"/>
      <c r="F12" s="1"/>
      <c r="I12" s="3"/>
      <c r="J12" s="3"/>
      <c r="K12" s="3"/>
      <c r="L12" s="3"/>
      <c r="M12" s="3"/>
      <c r="N12" s="3"/>
    </row>
    <row r="13" spans="1:14">
      <c r="B13" s="2" t="s">
        <v>349</v>
      </c>
      <c r="I13" s="3">
        <v>5180471</v>
      </c>
      <c r="J13" s="3">
        <v>655759</v>
      </c>
      <c r="K13" s="3"/>
      <c r="L13" s="3">
        <v>-107000</v>
      </c>
      <c r="M13" s="3">
        <f>SUM(I13:L13)</f>
        <v>5729230</v>
      </c>
      <c r="N13" s="3"/>
    </row>
    <row r="14" spans="1:14">
      <c r="A14" s="1"/>
      <c r="B14" s="2" t="s">
        <v>350</v>
      </c>
      <c r="I14" s="3">
        <v>214873</v>
      </c>
      <c r="J14" s="3">
        <v>2524</v>
      </c>
      <c r="K14" s="3"/>
      <c r="L14" s="3"/>
      <c r="M14" s="3">
        <f>SUM(I14:K14)</f>
        <v>217397</v>
      </c>
      <c r="N14" s="3"/>
    </row>
    <row r="15" spans="1:14">
      <c r="A15" s="1"/>
      <c r="B15" s="2" t="s">
        <v>351</v>
      </c>
      <c r="I15" s="3">
        <v>58155</v>
      </c>
      <c r="J15" s="3"/>
      <c r="K15" s="3"/>
      <c r="L15" s="3"/>
      <c r="M15" s="3">
        <f>SUM(I15:K15)</f>
        <v>58155</v>
      </c>
      <c r="N15" s="3"/>
    </row>
    <row r="16" spans="1:14">
      <c r="A16" s="1"/>
      <c r="B16" s="2" t="s">
        <v>31</v>
      </c>
      <c r="I16" s="3">
        <v>230923</v>
      </c>
      <c r="J16" s="3"/>
      <c r="K16" s="3"/>
      <c r="L16" s="3">
        <v>-25571</v>
      </c>
      <c r="M16" s="3">
        <f>SUM(I16:L16)</f>
        <v>205352</v>
      </c>
      <c r="N16" s="3"/>
    </row>
    <row r="17" spans="1:14" ht="19.5" thickBot="1">
      <c r="A17" s="1"/>
      <c r="C17" s="1" t="s">
        <v>352</v>
      </c>
      <c r="I17" s="14">
        <f>SUM(I10:I16)</f>
        <v>6173988</v>
      </c>
      <c r="J17" s="14">
        <f>SUM(J10:J16)</f>
        <v>658283</v>
      </c>
      <c r="K17" s="14">
        <f>SUM(K10:K16)</f>
        <v>-45608</v>
      </c>
      <c r="L17" s="14">
        <f>SUM(L10:L16)</f>
        <v>-132571</v>
      </c>
      <c r="M17" s="14">
        <f>SUM(M10:M16)</f>
        <v>6654092</v>
      </c>
      <c r="N17" s="3"/>
    </row>
    <row r="18" spans="1:14">
      <c r="A18" s="1"/>
      <c r="C18" s="1"/>
      <c r="I18" s="15"/>
      <c r="J18" s="15"/>
      <c r="K18" s="15"/>
      <c r="L18" s="15"/>
      <c r="M18" s="15"/>
      <c r="N18" s="3"/>
    </row>
    <row r="19" spans="1:14">
      <c r="A19" s="1" t="s">
        <v>353</v>
      </c>
      <c r="I19" s="3"/>
      <c r="J19" s="3"/>
      <c r="K19" s="3"/>
      <c r="L19" s="3"/>
      <c r="M19" s="3"/>
      <c r="N19" s="3"/>
    </row>
    <row r="20" spans="1:14">
      <c r="B20" s="2" t="s">
        <v>349</v>
      </c>
      <c r="I20" s="3">
        <v>3434850</v>
      </c>
      <c r="J20" s="3">
        <v>74523</v>
      </c>
      <c r="K20" s="3"/>
      <c r="L20" s="3"/>
      <c r="M20" s="3">
        <f>SUM(I20:K20)</f>
        <v>3509373</v>
      </c>
      <c r="N20" s="3">
        <f>M13-M20</f>
        <v>2219857</v>
      </c>
    </row>
    <row r="21" spans="1:14">
      <c r="B21" s="2" t="s">
        <v>354</v>
      </c>
      <c r="I21" s="3">
        <v>212725</v>
      </c>
      <c r="J21" s="3">
        <v>1621</v>
      </c>
      <c r="K21" s="3"/>
      <c r="L21" s="3"/>
      <c r="M21" s="3">
        <f>SUM(I21:K21)</f>
        <v>214346</v>
      </c>
      <c r="N21" s="3">
        <f>M14-M21</f>
        <v>3051</v>
      </c>
    </row>
    <row r="22" spans="1:14">
      <c r="B22" s="2" t="s">
        <v>351</v>
      </c>
      <c r="I22" s="3">
        <v>49194</v>
      </c>
      <c r="J22" s="3">
        <v>1994</v>
      </c>
      <c r="K22" s="3"/>
      <c r="L22" s="3"/>
      <c r="M22" s="3">
        <f>SUM(I22:K22)</f>
        <v>51188</v>
      </c>
      <c r="N22" s="3">
        <f>M15-M22</f>
        <v>6967</v>
      </c>
    </row>
    <row r="23" spans="1:14">
      <c r="B23" s="2" t="s">
        <v>31</v>
      </c>
      <c r="I23" s="3">
        <v>230923</v>
      </c>
      <c r="J23" s="3"/>
      <c r="K23" s="3"/>
      <c r="L23" s="3">
        <v>-25571</v>
      </c>
      <c r="M23" s="3">
        <f>SUM(I23:L23)</f>
        <v>205352</v>
      </c>
      <c r="N23" s="3">
        <f>M16-M23</f>
        <v>0</v>
      </c>
    </row>
    <row r="24" spans="1:14">
      <c r="C24" s="1" t="s">
        <v>20</v>
      </c>
      <c r="I24" s="12">
        <f>SUM(I20:I23)</f>
        <v>3927692</v>
      </c>
      <c r="J24" s="12">
        <f>SUM(J20:J23)</f>
        <v>78138</v>
      </c>
      <c r="K24" s="12">
        <f t="shared" ref="K24:L24" si="0">SUM(K20:K23)</f>
        <v>0</v>
      </c>
      <c r="L24" s="12">
        <f t="shared" si="0"/>
        <v>-25571</v>
      </c>
      <c r="M24" s="12">
        <f>SUM(M20:M23)</f>
        <v>3980259</v>
      </c>
      <c r="N24" s="15"/>
    </row>
    <row r="25" spans="1:14">
      <c r="C25" s="1"/>
      <c r="I25" s="15"/>
      <c r="J25" s="15"/>
      <c r="K25" s="15"/>
      <c r="L25" s="15"/>
      <c r="M25" s="15"/>
      <c r="N25" s="15"/>
    </row>
    <row r="26" spans="1:14">
      <c r="A26" s="1" t="s">
        <v>355</v>
      </c>
      <c r="B26" s="1"/>
      <c r="C26" s="1"/>
      <c r="D26" s="1"/>
      <c r="E26" s="1"/>
      <c r="F26" s="1"/>
      <c r="I26" s="3"/>
      <c r="J26" s="3"/>
      <c r="K26" s="3"/>
      <c r="L26" s="3"/>
      <c r="M26" s="3"/>
      <c r="N26" s="3"/>
    </row>
    <row r="27" spans="1:14">
      <c r="A27" s="1" t="s">
        <v>356</v>
      </c>
      <c r="C27" s="1"/>
      <c r="D27" s="1"/>
      <c r="E27" s="1"/>
      <c r="F27" s="1"/>
      <c r="I27" s="3"/>
      <c r="J27" s="3"/>
      <c r="K27" s="3"/>
      <c r="L27" s="3"/>
      <c r="M27" s="3"/>
      <c r="N27" s="3"/>
    </row>
    <row r="28" spans="1:14">
      <c r="B28" s="2" t="s">
        <v>354</v>
      </c>
      <c r="I28" s="3">
        <v>38504</v>
      </c>
      <c r="J28" s="3"/>
      <c r="K28" s="3"/>
      <c r="L28" s="3"/>
      <c r="M28" s="3">
        <f>SUM(I28:K28)</f>
        <v>38504</v>
      </c>
      <c r="N28" s="3"/>
    </row>
    <row r="29" spans="1:14">
      <c r="B29" s="2" t="s">
        <v>351</v>
      </c>
      <c r="I29" s="3">
        <v>18265</v>
      </c>
      <c r="J29" s="3"/>
      <c r="K29" s="3">
        <v>-18265</v>
      </c>
      <c r="L29" s="3"/>
      <c r="M29" s="3">
        <f>SUM(I29:K29)</f>
        <v>0</v>
      </c>
      <c r="N29" s="3"/>
    </row>
    <row r="30" spans="1:14">
      <c r="A30" s="1"/>
      <c r="B30" s="1"/>
      <c r="C30" s="1" t="s">
        <v>352</v>
      </c>
      <c r="D30" s="1"/>
      <c r="E30" s="1"/>
      <c r="F30" s="1"/>
      <c r="G30" s="1"/>
      <c r="H30" s="1"/>
      <c r="I30" s="10">
        <f>SUM(I27:I29)</f>
        <v>56769</v>
      </c>
      <c r="J30" s="10">
        <f>SUM(J27:J29)</f>
        <v>0</v>
      </c>
      <c r="K30" s="10">
        <f>SUM(K27:K29)</f>
        <v>-18265</v>
      </c>
      <c r="L30" s="10">
        <f>SUM(L27:L29)</f>
        <v>0</v>
      </c>
      <c r="M30" s="10">
        <f>SUM(M27:M29)</f>
        <v>38504</v>
      </c>
      <c r="N30" s="15"/>
    </row>
    <row r="31" spans="1:14">
      <c r="A31" s="1"/>
      <c r="B31" s="1"/>
      <c r="C31" s="1"/>
      <c r="D31" s="1"/>
      <c r="E31" s="1"/>
      <c r="F31" s="1"/>
      <c r="G31" s="1"/>
      <c r="H31" s="1"/>
      <c r="I31" s="31"/>
      <c r="J31" s="31"/>
      <c r="K31" s="31"/>
      <c r="L31" s="31"/>
      <c r="M31" s="31"/>
      <c r="N31" s="15"/>
    </row>
    <row r="32" spans="1:14">
      <c r="A32" s="1" t="s">
        <v>353</v>
      </c>
      <c r="I32" s="3"/>
      <c r="J32" s="3"/>
      <c r="K32" s="3"/>
      <c r="L32" s="3"/>
      <c r="M32" s="3"/>
      <c r="N32" s="3"/>
    </row>
    <row r="33" spans="1:14">
      <c r="A33" s="1"/>
      <c r="B33" s="2" t="s">
        <v>354</v>
      </c>
      <c r="I33" s="3">
        <v>38504</v>
      </c>
      <c r="J33" s="3"/>
      <c r="K33" s="3"/>
      <c r="L33" s="3"/>
      <c r="M33" s="3">
        <f>SUM(I33:K33)</f>
        <v>38504</v>
      </c>
      <c r="N33" s="3">
        <f>SUM(M28-M33)</f>
        <v>0</v>
      </c>
    </row>
    <row r="34" spans="1:14">
      <c r="A34" s="1"/>
      <c r="B34" s="2" t="s">
        <v>351</v>
      </c>
      <c r="I34" s="3">
        <v>18265</v>
      </c>
      <c r="J34" s="3"/>
      <c r="K34" s="3">
        <v>-18265</v>
      </c>
      <c r="L34" s="3"/>
      <c r="M34" s="3">
        <f>SUM(I34:K34)</f>
        <v>0</v>
      </c>
      <c r="N34" s="3">
        <f>SUM(M29-M34)</f>
        <v>0</v>
      </c>
    </row>
    <row r="35" spans="1:14">
      <c r="C35" s="1" t="s">
        <v>20</v>
      </c>
      <c r="I35" s="12">
        <f>SUM(I33:I34)</f>
        <v>56769</v>
      </c>
      <c r="J35" s="12">
        <f>SUM(J33:J34)</f>
        <v>0</v>
      </c>
      <c r="K35" s="12">
        <f>SUM(K33:K34)</f>
        <v>-18265</v>
      </c>
      <c r="L35" s="12">
        <f>SUM(L33:L34)</f>
        <v>0</v>
      </c>
      <c r="M35" s="12">
        <f>SUM(M33:M34)</f>
        <v>38504</v>
      </c>
      <c r="N35" s="15"/>
    </row>
    <row r="36" spans="1:14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>
      <c r="A37" s="1" t="s">
        <v>357</v>
      </c>
      <c r="B37" s="1"/>
      <c r="C37" s="1"/>
      <c r="D37" s="1"/>
      <c r="E37" s="1"/>
      <c r="F37" s="1"/>
      <c r="I37" s="3"/>
      <c r="J37" s="3"/>
      <c r="K37" s="3"/>
      <c r="L37" s="3"/>
      <c r="M37" s="3"/>
      <c r="N37" s="3"/>
    </row>
    <row r="38" spans="1:14">
      <c r="A38" s="1" t="s">
        <v>358</v>
      </c>
      <c r="C38" s="1"/>
      <c r="D38" s="1"/>
      <c r="E38" s="1"/>
      <c r="F38" s="1"/>
      <c r="I38" s="3"/>
      <c r="J38" s="3"/>
      <c r="K38" s="3"/>
      <c r="L38" s="3"/>
      <c r="M38" s="3"/>
      <c r="N38" s="3"/>
    </row>
    <row r="39" spans="1:14">
      <c r="B39" s="2" t="s">
        <v>354</v>
      </c>
      <c r="I39" s="3">
        <v>38580</v>
      </c>
      <c r="J39" s="3"/>
      <c r="K39" s="3"/>
      <c r="L39" s="3"/>
      <c r="M39" s="3">
        <f>SUM(I39:K39)</f>
        <v>38580</v>
      </c>
      <c r="N39" s="3"/>
    </row>
    <row r="40" spans="1:14">
      <c r="B40" s="2" t="s">
        <v>351</v>
      </c>
      <c r="I40" s="3">
        <v>36564</v>
      </c>
      <c r="J40" s="3"/>
      <c r="K40" s="3"/>
      <c r="L40" s="3"/>
      <c r="M40" s="3">
        <f>SUM(I40:K40)</f>
        <v>36564</v>
      </c>
      <c r="N40" s="3"/>
    </row>
    <row r="41" spans="1:14">
      <c r="B41" s="2" t="s">
        <v>31</v>
      </c>
      <c r="I41" s="3"/>
      <c r="J41" s="3">
        <v>45272</v>
      </c>
      <c r="K41" s="3"/>
      <c r="L41" s="3"/>
      <c r="M41" s="3">
        <f>SUM(I41:L41)</f>
        <v>45272</v>
      </c>
      <c r="N41" s="3"/>
    </row>
    <row r="42" spans="1:14">
      <c r="A42" s="1"/>
      <c r="B42" s="1"/>
      <c r="C42" s="1" t="s">
        <v>352</v>
      </c>
      <c r="D42" s="1"/>
      <c r="E42" s="1"/>
      <c r="F42" s="1"/>
      <c r="G42" s="1"/>
      <c r="H42" s="1"/>
      <c r="I42" s="10">
        <f>SUM(I39:I41)</f>
        <v>75144</v>
      </c>
      <c r="J42" s="10">
        <f t="shared" ref="J42:L42" si="1">SUM(J39:J41)</f>
        <v>45272</v>
      </c>
      <c r="K42" s="10">
        <f t="shared" si="1"/>
        <v>0</v>
      </c>
      <c r="L42" s="10">
        <f t="shared" si="1"/>
        <v>0</v>
      </c>
      <c r="M42" s="10">
        <f>SUM(M39:M41)</f>
        <v>120416</v>
      </c>
      <c r="N42" s="15"/>
    </row>
    <row r="43" spans="1:14">
      <c r="A43" s="1"/>
      <c r="B43" s="1"/>
      <c r="C43" s="1"/>
      <c r="D43" s="1"/>
      <c r="E43" s="1"/>
      <c r="F43" s="1"/>
      <c r="G43" s="1"/>
      <c r="H43" s="1"/>
      <c r="I43" s="31"/>
      <c r="J43" s="31"/>
      <c r="K43" s="31"/>
      <c r="L43" s="31"/>
      <c r="M43" s="31"/>
      <c r="N43" s="15"/>
    </row>
    <row r="44" spans="1:14">
      <c r="A44" s="1" t="s">
        <v>353</v>
      </c>
      <c r="I44" s="3"/>
      <c r="J44" s="3"/>
      <c r="K44" s="3"/>
      <c r="L44" s="3"/>
      <c r="M44" s="3"/>
      <c r="N44" s="3"/>
    </row>
    <row r="45" spans="1:14">
      <c r="A45" s="1"/>
      <c r="B45" s="2" t="s">
        <v>354</v>
      </c>
      <c r="I45" s="3">
        <v>38580</v>
      </c>
      <c r="J45" s="3"/>
      <c r="K45" s="3"/>
      <c r="L45" s="3"/>
      <c r="M45" s="3">
        <f>SUM(I45:K45)</f>
        <v>38580</v>
      </c>
      <c r="N45" s="3">
        <f>SUM(M39-M45)</f>
        <v>0</v>
      </c>
    </row>
    <row r="46" spans="1:14">
      <c r="B46" s="2" t="s">
        <v>351</v>
      </c>
      <c r="I46" s="3">
        <v>36564</v>
      </c>
      <c r="J46" s="3"/>
      <c r="K46" s="3"/>
      <c r="L46" s="3"/>
      <c r="M46" s="3">
        <f>SUM(I46:K46)</f>
        <v>36564</v>
      </c>
      <c r="N46" s="3">
        <f t="shared" ref="N46:N47" si="2">SUM(M40-M46)</f>
        <v>0</v>
      </c>
    </row>
    <row r="47" spans="1:14">
      <c r="B47" s="2" t="s">
        <v>31</v>
      </c>
      <c r="I47" s="3"/>
      <c r="J47" s="3">
        <v>4814</v>
      </c>
      <c r="K47" s="3"/>
      <c r="L47" s="3"/>
      <c r="M47" s="3">
        <f>SUM(I47:K47)</f>
        <v>4814</v>
      </c>
      <c r="N47" s="3">
        <f t="shared" si="2"/>
        <v>40458</v>
      </c>
    </row>
    <row r="48" spans="1:14">
      <c r="C48" s="1" t="s">
        <v>20</v>
      </c>
      <c r="I48" s="12">
        <f>SUM(I45:I47)</f>
        <v>75144</v>
      </c>
      <c r="J48" s="12">
        <f>SUM(J45:J47)</f>
        <v>4814</v>
      </c>
      <c r="K48" s="12">
        <f t="shared" ref="K48:L48" si="3">SUM(K45:K47)</f>
        <v>0</v>
      </c>
      <c r="L48" s="12">
        <f t="shared" si="3"/>
        <v>0</v>
      </c>
      <c r="M48" s="12">
        <f>SUM(M45:M47)</f>
        <v>79958</v>
      </c>
      <c r="N48" s="15"/>
    </row>
    <row r="49" spans="1:1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ht="17.25" customHeight="1">
      <c r="A50" s="1" t="s">
        <v>341</v>
      </c>
      <c r="B50" s="1"/>
      <c r="C50" s="1"/>
      <c r="D50" s="1"/>
      <c r="E50" s="1"/>
      <c r="F50" s="1"/>
      <c r="I50" s="3"/>
      <c r="J50" s="3"/>
      <c r="K50" s="3"/>
      <c r="L50" s="3"/>
      <c r="M50" s="3"/>
      <c r="N50" s="3"/>
    </row>
    <row r="51" spans="1:14">
      <c r="A51" s="1" t="s">
        <v>358</v>
      </c>
      <c r="I51" s="3"/>
      <c r="J51" s="3"/>
      <c r="K51" s="3"/>
      <c r="L51" s="3"/>
      <c r="M51" s="3"/>
      <c r="N51" s="3"/>
    </row>
    <row r="52" spans="1:14">
      <c r="B52" s="2" t="s">
        <v>349</v>
      </c>
      <c r="I52" s="3">
        <v>846415</v>
      </c>
      <c r="J52" s="3">
        <v>2195</v>
      </c>
      <c r="K52" s="3"/>
      <c r="L52" s="3"/>
      <c r="M52" s="3">
        <f>SUM(I52:K52)</f>
        <v>848610</v>
      </c>
      <c r="N52" s="3"/>
    </row>
    <row r="53" spans="1:14">
      <c r="B53" s="2" t="s">
        <v>354</v>
      </c>
      <c r="I53" s="3">
        <v>56354</v>
      </c>
      <c r="J53" s="3"/>
      <c r="K53" s="3"/>
      <c r="L53" s="3"/>
      <c r="M53" s="3">
        <f t="shared" ref="M53:M55" si="4">SUM(I53:K53)</f>
        <v>56354</v>
      </c>
      <c r="N53" s="3"/>
    </row>
    <row r="54" spans="1:14">
      <c r="B54" s="2" t="s">
        <v>351</v>
      </c>
      <c r="I54" s="3">
        <v>66853</v>
      </c>
      <c r="J54" s="3">
        <v>26503</v>
      </c>
      <c r="K54" s="3">
        <v>-21245</v>
      </c>
      <c r="L54" s="3"/>
      <c r="M54" s="3">
        <f t="shared" si="4"/>
        <v>72111</v>
      </c>
      <c r="N54" s="3"/>
    </row>
    <row r="55" spans="1:14">
      <c r="B55" s="2" t="s">
        <v>31</v>
      </c>
      <c r="I55" s="3">
        <v>214790</v>
      </c>
      <c r="J55" s="3">
        <v>22045</v>
      </c>
      <c r="K55" s="3">
        <v>-20596</v>
      </c>
      <c r="L55" s="3"/>
      <c r="M55" s="3">
        <f t="shared" si="4"/>
        <v>216239</v>
      </c>
      <c r="N55" s="3"/>
    </row>
    <row r="56" spans="1:14">
      <c r="A56" s="1"/>
      <c r="B56" s="1"/>
      <c r="C56" s="1" t="s">
        <v>352</v>
      </c>
      <c r="D56" s="1"/>
      <c r="E56" s="1"/>
      <c r="F56" s="1"/>
      <c r="G56" s="1"/>
      <c r="H56" s="1"/>
      <c r="I56" s="10">
        <f>SUM(I51:I55)</f>
        <v>1184412</v>
      </c>
      <c r="J56" s="10">
        <f t="shared" ref="J56:M56" si="5">SUM(J51:J55)</f>
        <v>50743</v>
      </c>
      <c r="K56" s="10">
        <f t="shared" si="5"/>
        <v>-41841</v>
      </c>
      <c r="L56" s="10">
        <f t="shared" si="5"/>
        <v>0</v>
      </c>
      <c r="M56" s="10">
        <f t="shared" si="5"/>
        <v>1193314</v>
      </c>
      <c r="N56" s="15"/>
    </row>
    <row r="57" spans="1:14">
      <c r="A57" s="1"/>
      <c r="B57" s="1"/>
      <c r="C57" s="1"/>
      <c r="D57" s="1"/>
      <c r="E57" s="1"/>
      <c r="F57" s="1"/>
      <c r="G57" s="1"/>
      <c r="H57" s="1"/>
      <c r="I57" s="31"/>
      <c r="J57" s="31"/>
      <c r="K57" s="31"/>
      <c r="L57" s="31"/>
      <c r="M57" s="31"/>
      <c r="N57" s="15"/>
    </row>
    <row r="58" spans="1:14">
      <c r="A58" s="1" t="s">
        <v>353</v>
      </c>
      <c r="I58" s="3"/>
      <c r="J58" s="3"/>
      <c r="K58" s="3"/>
      <c r="L58" s="3"/>
      <c r="M58" s="3"/>
      <c r="N58" s="3"/>
    </row>
    <row r="59" spans="1:14">
      <c r="A59" s="1"/>
      <c r="B59" s="2" t="s">
        <v>349</v>
      </c>
      <c r="I59" s="3">
        <v>570220</v>
      </c>
      <c r="J59" s="3">
        <v>21307</v>
      </c>
      <c r="K59" s="3"/>
      <c r="L59" s="3"/>
      <c r="M59" s="3">
        <f>SUM(I59:L59)</f>
        <v>591527</v>
      </c>
      <c r="N59" s="3">
        <f>SUM(M52-M59)</f>
        <v>257083</v>
      </c>
    </row>
    <row r="60" spans="1:14">
      <c r="A60" s="1"/>
      <c r="B60" s="2" t="s">
        <v>354</v>
      </c>
      <c r="I60" s="3">
        <v>54056</v>
      </c>
      <c r="J60" s="3">
        <v>2298</v>
      </c>
      <c r="K60" s="3"/>
      <c r="L60" s="3"/>
      <c r="M60" s="3">
        <f t="shared" ref="M60:M62" si="6">SUM(I60:L60)</f>
        <v>56354</v>
      </c>
      <c r="N60" s="3">
        <f>SUM(M53-M60)</f>
        <v>0</v>
      </c>
    </row>
    <row r="61" spans="1:14">
      <c r="A61" s="1"/>
      <c r="B61" s="2" t="s">
        <v>351</v>
      </c>
      <c r="I61" s="3">
        <v>62339</v>
      </c>
      <c r="J61" s="3">
        <v>2332</v>
      </c>
      <c r="K61" s="3">
        <v>-18745</v>
      </c>
      <c r="L61" s="3"/>
      <c r="M61" s="3">
        <f t="shared" si="6"/>
        <v>45926</v>
      </c>
      <c r="N61" s="3">
        <f>SUM(M54-M61)</f>
        <v>26185</v>
      </c>
    </row>
    <row r="62" spans="1:14">
      <c r="A62" s="1"/>
      <c r="B62" s="2" t="s">
        <v>31</v>
      </c>
      <c r="I62" s="3">
        <v>154949</v>
      </c>
      <c r="J62" s="3">
        <v>17346</v>
      </c>
      <c r="K62" s="3">
        <v>-8826</v>
      </c>
      <c r="L62" s="3"/>
      <c r="M62" s="3">
        <f t="shared" si="6"/>
        <v>163469</v>
      </c>
      <c r="N62" s="3">
        <f>SUM(M55-M62)</f>
        <v>52770</v>
      </c>
    </row>
    <row r="63" spans="1:14">
      <c r="C63" s="1" t="s">
        <v>20</v>
      </c>
      <c r="I63" s="12">
        <f>SUM(I59:I62)</f>
        <v>841564</v>
      </c>
      <c r="J63" s="12">
        <f t="shared" ref="J63:M63" si="7">SUM(J59:J62)</f>
        <v>43283</v>
      </c>
      <c r="K63" s="12">
        <f t="shared" si="7"/>
        <v>-27571</v>
      </c>
      <c r="L63" s="12">
        <f t="shared" si="7"/>
        <v>0</v>
      </c>
      <c r="M63" s="12">
        <f t="shared" si="7"/>
        <v>857276</v>
      </c>
      <c r="N63" s="15"/>
    </row>
    <row r="64" spans="1:14">
      <c r="C64" s="1"/>
      <c r="I64" s="15"/>
      <c r="J64" s="15"/>
      <c r="K64" s="15"/>
      <c r="L64" s="15"/>
      <c r="M64" s="15"/>
      <c r="N64" s="15"/>
    </row>
    <row r="65" spans="1:14">
      <c r="A65" s="1" t="s">
        <v>359</v>
      </c>
      <c r="C65" s="1"/>
      <c r="I65" s="15"/>
      <c r="J65" s="15"/>
      <c r="K65" s="15"/>
      <c r="L65" s="15"/>
      <c r="M65" s="15"/>
      <c r="N65" s="15"/>
    </row>
    <row r="66" spans="1:14">
      <c r="A66" s="1" t="s">
        <v>358</v>
      </c>
      <c r="B66" s="1"/>
      <c r="C66" s="1"/>
      <c r="D66" s="1"/>
      <c r="E66" s="1"/>
      <c r="F66" s="1"/>
      <c r="I66" s="3"/>
      <c r="J66" s="3"/>
      <c r="K66" s="3"/>
      <c r="L66" s="3"/>
      <c r="M66" s="3"/>
      <c r="N66" s="3"/>
    </row>
    <row r="67" spans="1:14">
      <c r="B67" s="2" t="s">
        <v>349</v>
      </c>
      <c r="C67" s="1"/>
      <c r="I67" s="3"/>
      <c r="J67" s="3">
        <v>3800</v>
      </c>
      <c r="K67" s="3"/>
      <c r="L67" s="3">
        <v>107000</v>
      </c>
      <c r="M67" s="3">
        <f>SUM(I67:L67)</f>
        <v>110800</v>
      </c>
    </row>
    <row r="68" spans="1:14">
      <c r="B68" s="2" t="s">
        <v>351</v>
      </c>
      <c r="C68" s="1"/>
      <c r="I68" s="3">
        <v>40482</v>
      </c>
      <c r="J68" s="3">
        <v>12091</v>
      </c>
      <c r="K68" s="3"/>
      <c r="L68" s="3"/>
      <c r="M68" s="3">
        <f t="shared" ref="M68:M69" si="8">SUM(I68:L68)</f>
        <v>52573</v>
      </c>
      <c r="N68" s="3"/>
    </row>
    <row r="69" spans="1:14">
      <c r="B69" s="2" t="s">
        <v>31</v>
      </c>
      <c r="I69" s="66"/>
      <c r="J69" s="66"/>
      <c r="K69" s="66"/>
      <c r="L69" s="66"/>
      <c r="M69" s="3">
        <f t="shared" si="8"/>
        <v>0</v>
      </c>
    </row>
    <row r="70" spans="1:14" s="1" customFormat="1">
      <c r="C70" s="1" t="s">
        <v>352</v>
      </c>
      <c r="I70" s="12">
        <f>SUM(I67:I69)</f>
        <v>40482</v>
      </c>
      <c r="J70" s="12">
        <f t="shared" ref="J70:M70" si="9">SUM(J67:J69)</f>
        <v>15891</v>
      </c>
      <c r="K70" s="12">
        <f t="shared" si="9"/>
        <v>0</v>
      </c>
      <c r="L70" s="12">
        <f t="shared" si="9"/>
        <v>107000</v>
      </c>
      <c r="M70" s="12">
        <f t="shared" si="9"/>
        <v>163373</v>
      </c>
    </row>
    <row r="72" spans="1:14">
      <c r="A72" s="1" t="s">
        <v>353</v>
      </c>
      <c r="B72" s="1"/>
      <c r="C72" s="1"/>
      <c r="D72" s="1"/>
      <c r="E72" s="1"/>
    </row>
    <row r="73" spans="1:14">
      <c r="B73" s="2" t="s">
        <v>349</v>
      </c>
      <c r="J73" s="2">
        <v>4438</v>
      </c>
      <c r="M73" s="2">
        <f>SUM(I73:L73)</f>
        <v>4438</v>
      </c>
      <c r="N73" s="3">
        <f t="shared" ref="N73:N74" si="10">SUM(M67-M73)</f>
        <v>106362</v>
      </c>
    </row>
    <row r="74" spans="1:14">
      <c r="B74" s="2" t="s">
        <v>351</v>
      </c>
      <c r="I74" s="2">
        <v>22205</v>
      </c>
      <c r="J74" s="2">
        <v>4700</v>
      </c>
      <c r="M74" s="2">
        <f t="shared" ref="M74:M75" si="11">SUM(I74:L74)</f>
        <v>26905</v>
      </c>
      <c r="N74" s="3">
        <f t="shared" si="10"/>
        <v>25668</v>
      </c>
    </row>
    <row r="75" spans="1:14">
      <c r="B75" s="2" t="s">
        <v>31</v>
      </c>
      <c r="I75" s="66"/>
      <c r="J75" s="66"/>
      <c r="K75" s="66"/>
      <c r="L75" s="66"/>
      <c r="M75" s="2">
        <f t="shared" si="11"/>
        <v>0</v>
      </c>
      <c r="N75" s="3">
        <f>SUM(M69-M75)</f>
        <v>0</v>
      </c>
    </row>
    <row r="76" spans="1:14" s="1" customFormat="1" ht="17.25" customHeight="1">
      <c r="C76" s="1" t="s">
        <v>20</v>
      </c>
      <c r="I76" s="67">
        <f>SUM(I75)</f>
        <v>0</v>
      </c>
      <c r="J76" s="67">
        <f t="shared" ref="J76:L76" si="12">SUM(J75)</f>
        <v>0</v>
      </c>
      <c r="K76" s="67">
        <f t="shared" si="12"/>
        <v>0</v>
      </c>
      <c r="L76" s="67">
        <f t="shared" si="12"/>
        <v>0</v>
      </c>
      <c r="M76" s="67">
        <f t="shared" ref="M76" si="13">SUM(M75)</f>
        <v>0</v>
      </c>
    </row>
    <row r="78" spans="1:14">
      <c r="A78" s="1" t="s">
        <v>360</v>
      </c>
    </row>
    <row r="79" spans="1:14">
      <c r="A79" s="1" t="s">
        <v>358</v>
      </c>
      <c r="B79" s="1"/>
      <c r="C79" s="1"/>
      <c r="D79" s="1"/>
      <c r="E79" s="1"/>
    </row>
    <row r="80" spans="1:14">
      <c r="B80" s="2" t="s">
        <v>349</v>
      </c>
      <c r="I80" s="2">
        <v>135848</v>
      </c>
      <c r="J80" s="2">
        <v>21200</v>
      </c>
      <c r="M80" s="2">
        <f>SUM(I80:K80)</f>
        <v>157048</v>
      </c>
    </row>
    <row r="81" spans="1:14">
      <c r="B81" s="2" t="s">
        <v>354</v>
      </c>
      <c r="I81" s="2">
        <v>155209</v>
      </c>
      <c r="J81" s="2">
        <v>8051</v>
      </c>
      <c r="K81" s="2">
        <v>-1499</v>
      </c>
      <c r="M81" s="2">
        <f t="shared" ref="M81:M83" si="14">SUM(I81:K81)</f>
        <v>161761</v>
      </c>
    </row>
    <row r="82" spans="1:14">
      <c r="B82" s="2" t="s">
        <v>351</v>
      </c>
      <c r="I82" s="2">
        <v>362980</v>
      </c>
      <c r="J82" s="2">
        <v>14295</v>
      </c>
      <c r="K82" s="2">
        <v>-20606</v>
      </c>
      <c r="M82" s="2">
        <f t="shared" si="14"/>
        <v>356669</v>
      </c>
    </row>
    <row r="83" spans="1:14">
      <c r="B83" s="2" t="s">
        <v>31</v>
      </c>
      <c r="I83" s="66">
        <v>168351</v>
      </c>
      <c r="J83" s="66"/>
      <c r="K83" s="66"/>
      <c r="L83" s="66"/>
      <c r="M83" s="2">
        <f t="shared" si="14"/>
        <v>168351</v>
      </c>
    </row>
    <row r="84" spans="1:14" s="1" customFormat="1">
      <c r="C84" s="1" t="s">
        <v>352</v>
      </c>
      <c r="I84" s="67">
        <f>SUM(I80:I83)</f>
        <v>822388</v>
      </c>
      <c r="J84" s="67">
        <f t="shared" ref="J84:L84" si="15">SUM(J80:J83)</f>
        <v>43546</v>
      </c>
      <c r="K84" s="67">
        <f t="shared" si="15"/>
        <v>-22105</v>
      </c>
      <c r="L84" s="67">
        <f t="shared" si="15"/>
        <v>0</v>
      </c>
      <c r="M84" s="67">
        <f>SUM(M80:M83)</f>
        <v>843829</v>
      </c>
    </row>
    <row r="86" spans="1:14">
      <c r="A86" s="1" t="s">
        <v>353</v>
      </c>
      <c r="B86" s="1"/>
      <c r="C86" s="1"/>
      <c r="D86" s="1"/>
      <c r="E86" s="1"/>
    </row>
    <row r="87" spans="1:14">
      <c r="B87" s="2" t="s">
        <v>349</v>
      </c>
      <c r="I87" s="2">
        <v>123089</v>
      </c>
      <c r="J87" s="2">
        <v>6707</v>
      </c>
      <c r="M87" s="2">
        <f>SUM(I87:L87)</f>
        <v>129796</v>
      </c>
      <c r="N87" s="2">
        <f t="shared" ref="N87:N89" si="16">SUM(M80-M87)</f>
        <v>27252</v>
      </c>
    </row>
    <row r="88" spans="1:14">
      <c r="B88" s="2" t="s">
        <v>354</v>
      </c>
      <c r="I88" s="2">
        <v>153359</v>
      </c>
      <c r="J88" s="2">
        <v>2031</v>
      </c>
      <c r="K88" s="2">
        <v>-1499</v>
      </c>
      <c r="M88" s="2">
        <f t="shared" ref="M88:M90" si="17">SUM(I88:L88)</f>
        <v>153891</v>
      </c>
      <c r="N88" s="2">
        <f t="shared" si="16"/>
        <v>7870</v>
      </c>
    </row>
    <row r="89" spans="1:14">
      <c r="B89" s="2" t="s">
        <v>351</v>
      </c>
      <c r="I89" s="2">
        <v>269414</v>
      </c>
      <c r="J89" s="2">
        <v>26817</v>
      </c>
      <c r="K89" s="2">
        <v>-19696</v>
      </c>
      <c r="M89" s="2">
        <f t="shared" si="17"/>
        <v>276535</v>
      </c>
      <c r="N89" s="2">
        <f t="shared" si="16"/>
        <v>80134</v>
      </c>
    </row>
    <row r="90" spans="1:14">
      <c r="B90" s="2" t="s">
        <v>31</v>
      </c>
      <c r="I90" s="66">
        <v>168351</v>
      </c>
      <c r="J90" s="66"/>
      <c r="K90" s="66"/>
      <c r="L90" s="66"/>
      <c r="M90" s="2">
        <f t="shared" si="17"/>
        <v>168351</v>
      </c>
      <c r="N90" s="2">
        <f>SUM(M83-M90)</f>
        <v>0</v>
      </c>
    </row>
    <row r="91" spans="1:14" s="1" customFormat="1">
      <c r="C91" s="1" t="s">
        <v>20</v>
      </c>
      <c r="I91" s="67">
        <f>SUM(I87:I90)</f>
        <v>714213</v>
      </c>
      <c r="J91" s="67">
        <f t="shared" ref="J91:M91" si="18">SUM(J87:J90)</f>
        <v>35555</v>
      </c>
      <c r="K91" s="67">
        <f t="shared" si="18"/>
        <v>-21195</v>
      </c>
      <c r="L91" s="67">
        <f t="shared" si="18"/>
        <v>0</v>
      </c>
      <c r="M91" s="67">
        <f t="shared" si="18"/>
        <v>728573</v>
      </c>
    </row>
    <row r="93" spans="1:14">
      <c r="A93" s="1" t="s">
        <v>361</v>
      </c>
    </row>
    <row r="94" spans="1:14">
      <c r="A94" s="1" t="s">
        <v>358</v>
      </c>
      <c r="B94" s="1"/>
      <c r="C94" s="1"/>
      <c r="D94" s="1"/>
      <c r="E94" s="1"/>
    </row>
    <row r="95" spans="1:14">
      <c r="B95" s="2" t="s">
        <v>354</v>
      </c>
      <c r="I95" s="66">
        <v>2756</v>
      </c>
      <c r="J95" s="66"/>
      <c r="K95" s="66"/>
      <c r="L95" s="66"/>
      <c r="M95" s="66">
        <f>SUM(I95:L95)</f>
        <v>2756</v>
      </c>
    </row>
    <row r="96" spans="1:14" s="1" customFormat="1">
      <c r="C96" s="1" t="s">
        <v>352</v>
      </c>
      <c r="I96" s="67">
        <f>SUM(I95)</f>
        <v>2756</v>
      </c>
      <c r="J96" s="67">
        <f t="shared" ref="J96:M96" si="19">SUM(J95)</f>
        <v>0</v>
      </c>
      <c r="K96" s="67">
        <f t="shared" si="19"/>
        <v>0</v>
      </c>
      <c r="L96" s="67">
        <f t="shared" si="19"/>
        <v>0</v>
      </c>
      <c r="M96" s="67">
        <f t="shared" si="19"/>
        <v>2756</v>
      </c>
    </row>
    <row r="98" spans="1:14">
      <c r="A98" s="1" t="s">
        <v>353</v>
      </c>
      <c r="B98" s="1"/>
      <c r="C98" s="1"/>
      <c r="D98" s="1"/>
      <c r="E98" s="1"/>
    </row>
    <row r="99" spans="1:14">
      <c r="B99" s="2" t="s">
        <v>354</v>
      </c>
      <c r="I99" s="66">
        <v>2756</v>
      </c>
      <c r="J99" s="66"/>
      <c r="K99" s="66"/>
      <c r="L99" s="66"/>
      <c r="M99" s="66">
        <f>SUM(I99:L99)</f>
        <v>2756</v>
      </c>
      <c r="N99" s="2">
        <f>SUM(M95-M99)</f>
        <v>0</v>
      </c>
    </row>
    <row r="100" spans="1:14" s="1" customFormat="1">
      <c r="C100" s="1" t="s">
        <v>20</v>
      </c>
      <c r="I100" s="139">
        <f>SUM(I99)</f>
        <v>2756</v>
      </c>
      <c r="J100" s="139">
        <f t="shared" ref="J100:M100" si="20">SUM(J99)</f>
        <v>0</v>
      </c>
      <c r="K100" s="139">
        <f t="shared" si="20"/>
        <v>0</v>
      </c>
      <c r="L100" s="139">
        <f t="shared" si="20"/>
        <v>0</v>
      </c>
      <c r="M100" s="139">
        <f t="shared" si="20"/>
        <v>2756</v>
      </c>
    </row>
    <row r="102" spans="1:14">
      <c r="A102" s="1" t="s">
        <v>362</v>
      </c>
    </row>
    <row r="103" spans="1:14">
      <c r="A103" s="1" t="s">
        <v>358</v>
      </c>
      <c r="B103" s="1"/>
      <c r="C103" s="1"/>
      <c r="D103" s="1"/>
      <c r="E103" s="1"/>
    </row>
    <row r="104" spans="1:14">
      <c r="B104" s="2" t="s">
        <v>31</v>
      </c>
      <c r="I104" s="2">
        <v>15425</v>
      </c>
      <c r="K104" s="2">
        <v>-15425</v>
      </c>
      <c r="M104" s="2">
        <f>SUM(I104:L104)</f>
        <v>0</v>
      </c>
    </row>
    <row r="105" spans="1:14" s="1" customFormat="1">
      <c r="C105" s="1" t="s">
        <v>352</v>
      </c>
      <c r="I105" s="67">
        <f>SUM(I104)</f>
        <v>15425</v>
      </c>
      <c r="J105" s="67">
        <f t="shared" ref="J105:M105" si="21">SUM(J104)</f>
        <v>0</v>
      </c>
      <c r="K105" s="67">
        <f t="shared" si="21"/>
        <v>-15425</v>
      </c>
      <c r="L105" s="67">
        <f t="shared" si="21"/>
        <v>0</v>
      </c>
      <c r="M105" s="67">
        <f t="shared" si="21"/>
        <v>0</v>
      </c>
    </row>
    <row r="107" spans="1:14">
      <c r="A107" s="1" t="s">
        <v>353</v>
      </c>
      <c r="B107" s="1"/>
      <c r="C107" s="1"/>
      <c r="D107" s="1"/>
      <c r="E107" s="1"/>
    </row>
    <row r="108" spans="1:14">
      <c r="B108" s="2" t="s">
        <v>31</v>
      </c>
      <c r="I108" s="2">
        <v>15425</v>
      </c>
      <c r="K108" s="2">
        <v>-15425</v>
      </c>
      <c r="M108" s="2">
        <f>SUM(I108:K108)</f>
        <v>0</v>
      </c>
      <c r="N108" s="2">
        <f>SUM(M104-M108)</f>
        <v>0</v>
      </c>
    </row>
    <row r="109" spans="1:14" s="1" customFormat="1">
      <c r="C109" s="1" t="s">
        <v>20</v>
      </c>
      <c r="I109" s="67">
        <f>SUM(I108)</f>
        <v>15425</v>
      </c>
      <c r="J109" s="67">
        <f t="shared" ref="J109:K109" si="22">SUM(J108)</f>
        <v>0</v>
      </c>
      <c r="K109" s="67">
        <f t="shared" si="22"/>
        <v>-15425</v>
      </c>
      <c r="L109" s="67"/>
      <c r="M109" s="67">
        <f t="shared" ref="M109" si="23">SUM(M108)</f>
        <v>0</v>
      </c>
    </row>
    <row r="111" spans="1:14">
      <c r="A111" s="1" t="s">
        <v>287</v>
      </c>
    </row>
    <row r="112" spans="1:14">
      <c r="A112" s="1" t="s">
        <v>358</v>
      </c>
      <c r="B112" s="1"/>
      <c r="C112" s="1"/>
      <c r="D112" s="1"/>
      <c r="E112" s="1"/>
    </row>
    <row r="113" spans="1:14">
      <c r="B113" s="2" t="s">
        <v>354</v>
      </c>
      <c r="I113" s="2">
        <v>311700</v>
      </c>
      <c r="J113" s="2">
        <v>4991</v>
      </c>
      <c r="K113" s="2">
        <v>-2737</v>
      </c>
      <c r="M113" s="2">
        <f>SUM(I113:K113)</f>
        <v>313954</v>
      </c>
    </row>
    <row r="114" spans="1:14">
      <c r="B114" s="2" t="s">
        <v>31</v>
      </c>
      <c r="I114" s="2">
        <v>275501</v>
      </c>
      <c r="M114" s="2">
        <f t="shared" ref="M114:M115" si="24">SUM(I114:K114)</f>
        <v>275501</v>
      </c>
    </row>
    <row r="115" spans="1:14">
      <c r="B115" s="2" t="s">
        <v>363</v>
      </c>
      <c r="I115" s="2">
        <v>1938020</v>
      </c>
      <c r="J115" s="2">
        <v>124363</v>
      </c>
      <c r="K115" s="2">
        <v>-159043</v>
      </c>
      <c r="M115" s="2">
        <f t="shared" si="24"/>
        <v>1903340</v>
      </c>
    </row>
    <row r="116" spans="1:14" s="1" customFormat="1">
      <c r="C116" s="1" t="s">
        <v>352</v>
      </c>
      <c r="I116" s="67">
        <f>SUM(I113:I115)</f>
        <v>2525221</v>
      </c>
      <c r="J116" s="67">
        <f t="shared" ref="J116:M116" si="25">SUM(J113:J115)</f>
        <v>129354</v>
      </c>
      <c r="K116" s="67">
        <f t="shared" si="25"/>
        <v>-161780</v>
      </c>
      <c r="L116" s="67">
        <f t="shared" si="25"/>
        <v>0</v>
      </c>
      <c r="M116" s="67">
        <f t="shared" si="25"/>
        <v>2492795</v>
      </c>
    </row>
    <row r="118" spans="1:14">
      <c r="A118" s="1" t="s">
        <v>353</v>
      </c>
    </row>
    <row r="119" spans="1:14">
      <c r="B119" s="2" t="s">
        <v>354</v>
      </c>
      <c r="I119" s="2">
        <v>269655</v>
      </c>
      <c r="J119" s="2">
        <v>13029</v>
      </c>
      <c r="K119" s="2">
        <v>-2737</v>
      </c>
      <c r="M119" s="2">
        <f>SUM(I119:L119)</f>
        <v>279947</v>
      </c>
      <c r="N119" s="2">
        <f>SUM(M113-M119)</f>
        <v>34007</v>
      </c>
    </row>
    <row r="120" spans="1:14">
      <c r="B120" s="2" t="s">
        <v>31</v>
      </c>
      <c r="I120" s="2">
        <v>209128</v>
      </c>
      <c r="J120" s="2">
        <v>23506</v>
      </c>
      <c r="M120" s="2">
        <f t="shared" ref="M120:M121" si="26">SUM(I120:L120)</f>
        <v>232634</v>
      </c>
      <c r="N120" s="2">
        <f>SUM(M114-M120)</f>
        <v>42867</v>
      </c>
    </row>
    <row r="121" spans="1:14">
      <c r="B121" s="2" t="s">
        <v>363</v>
      </c>
      <c r="I121" s="2">
        <v>1601005</v>
      </c>
      <c r="J121" s="2">
        <v>161384</v>
      </c>
      <c r="K121" s="2">
        <v>-159043</v>
      </c>
      <c r="M121" s="2">
        <f t="shared" si="26"/>
        <v>1603346</v>
      </c>
      <c r="N121" s="2">
        <f>SUM(M115-M121)</f>
        <v>299994</v>
      </c>
    </row>
    <row r="122" spans="1:14" s="1" customFormat="1">
      <c r="C122" s="1" t="s">
        <v>20</v>
      </c>
      <c r="I122" s="67">
        <f>SUM(I119:I121)</f>
        <v>2079788</v>
      </c>
      <c r="J122" s="67">
        <f t="shared" ref="J122:M122" si="27">SUM(J119:J121)</f>
        <v>197919</v>
      </c>
      <c r="K122" s="67">
        <f t="shared" si="27"/>
        <v>-161780</v>
      </c>
      <c r="L122" s="67">
        <f t="shared" si="27"/>
        <v>0</v>
      </c>
      <c r="M122" s="67">
        <f t="shared" si="27"/>
        <v>2115927</v>
      </c>
    </row>
    <row r="124" spans="1:14">
      <c r="A124" s="1" t="s">
        <v>364</v>
      </c>
    </row>
    <row r="125" spans="1:14">
      <c r="A125" s="1" t="s">
        <v>365</v>
      </c>
    </row>
    <row r="126" spans="1:14">
      <c r="B126" s="2" t="s">
        <v>10</v>
      </c>
      <c r="I126" s="2">
        <v>48112</v>
      </c>
      <c r="M126" s="2">
        <f>SUM(I126:L126)</f>
        <v>48112</v>
      </c>
    </row>
    <row r="128" spans="1:14">
      <c r="A128" s="1" t="s">
        <v>358</v>
      </c>
      <c r="B128" s="1"/>
      <c r="C128" s="1"/>
      <c r="D128" s="1"/>
      <c r="E128" s="1"/>
    </row>
    <row r="129" spans="1:20">
      <c r="B129" s="2" t="s">
        <v>349</v>
      </c>
      <c r="I129" s="2">
        <v>511216</v>
      </c>
      <c r="J129" s="2">
        <v>1407</v>
      </c>
      <c r="M129" s="2">
        <f t="shared" ref="M129:M134" si="28">SUM(I129:K129)</f>
        <v>512623</v>
      </c>
    </row>
    <row r="130" spans="1:20">
      <c r="B130" s="2" t="s">
        <v>354</v>
      </c>
      <c r="I130" s="2">
        <v>16250</v>
      </c>
      <c r="K130" s="2">
        <v>-1042</v>
      </c>
      <c r="M130" s="2">
        <f t="shared" si="28"/>
        <v>15208</v>
      </c>
    </row>
    <row r="131" spans="1:20">
      <c r="B131" s="2" t="s">
        <v>351</v>
      </c>
      <c r="I131" s="2">
        <v>986892</v>
      </c>
      <c r="J131" s="2">
        <v>36743</v>
      </c>
      <c r="M131" s="2">
        <f t="shared" si="28"/>
        <v>1023635</v>
      </c>
    </row>
    <row r="132" spans="1:20">
      <c r="B132" s="2" t="s">
        <v>31</v>
      </c>
      <c r="I132" s="2">
        <v>964915</v>
      </c>
      <c r="L132" s="2">
        <v>25571</v>
      </c>
      <c r="M132" s="2">
        <f>SUM(I132:L132)</f>
        <v>990486</v>
      </c>
    </row>
    <row r="133" spans="1:20">
      <c r="B133" s="2" t="s">
        <v>73</v>
      </c>
      <c r="I133" s="2">
        <v>10859351</v>
      </c>
      <c r="M133" s="2">
        <f t="shared" si="28"/>
        <v>10859351</v>
      </c>
    </row>
    <row r="134" spans="1:20">
      <c r="B134" s="2" t="s">
        <v>54</v>
      </c>
      <c r="I134" s="2">
        <v>10231014</v>
      </c>
      <c r="M134" s="2">
        <f t="shared" si="28"/>
        <v>10231014</v>
      </c>
    </row>
    <row r="135" spans="1:20" s="1" customFormat="1">
      <c r="C135" s="1" t="s">
        <v>352</v>
      </c>
      <c r="I135" s="67">
        <f>SUM(I126:I134)</f>
        <v>23617750</v>
      </c>
      <c r="J135" s="67">
        <f t="shared" ref="J135:M135" si="29">SUM(J126:J134)</f>
        <v>38150</v>
      </c>
      <c r="K135" s="67">
        <f t="shared" si="29"/>
        <v>-1042</v>
      </c>
      <c r="L135" s="67">
        <f t="shared" si="29"/>
        <v>25571</v>
      </c>
      <c r="M135" s="67">
        <f t="shared" si="29"/>
        <v>23680429</v>
      </c>
    </row>
    <row r="137" spans="1:20">
      <c r="A137" s="1" t="s">
        <v>353</v>
      </c>
      <c r="B137" s="1"/>
      <c r="C137" s="1"/>
      <c r="D137" s="1"/>
      <c r="E137" s="1"/>
    </row>
    <row r="138" spans="1:20">
      <c r="B138" s="2" t="s">
        <v>349</v>
      </c>
      <c r="I138" s="2">
        <v>350980</v>
      </c>
      <c r="J138" s="2">
        <v>15430</v>
      </c>
      <c r="M138" s="2">
        <f>SUM(I138:L138)</f>
        <v>366410</v>
      </c>
      <c r="N138" s="2">
        <f>SUM(M129-M138)</f>
        <v>146213</v>
      </c>
    </row>
    <row r="139" spans="1:20">
      <c r="B139" s="2" t="s">
        <v>354</v>
      </c>
      <c r="I139" s="2">
        <v>16250</v>
      </c>
      <c r="K139" s="2">
        <v>-1042</v>
      </c>
      <c r="M139" s="2">
        <f t="shared" ref="M139:M142" si="30">SUM(I139:L139)</f>
        <v>15208</v>
      </c>
      <c r="N139" s="2">
        <f t="shared" ref="N139:N142" si="31">SUM(M130-M139)</f>
        <v>0</v>
      </c>
    </row>
    <row r="140" spans="1:20">
      <c r="B140" s="2" t="s">
        <v>351</v>
      </c>
      <c r="I140" s="2">
        <v>706345</v>
      </c>
      <c r="J140" s="2">
        <v>54890</v>
      </c>
      <c r="M140" s="2">
        <f t="shared" si="30"/>
        <v>761235</v>
      </c>
      <c r="N140" s="2">
        <f t="shared" si="31"/>
        <v>262400</v>
      </c>
    </row>
    <row r="141" spans="1:20">
      <c r="B141" s="2" t="s">
        <v>31</v>
      </c>
      <c r="I141" s="2">
        <v>719990</v>
      </c>
      <c r="J141" s="2">
        <v>65687</v>
      </c>
      <c r="L141" s="2">
        <v>25571</v>
      </c>
      <c r="M141" s="2">
        <f>SUM(I141:L141)</f>
        <v>811248</v>
      </c>
      <c r="N141" s="2">
        <f t="shared" si="31"/>
        <v>179238</v>
      </c>
    </row>
    <row r="142" spans="1:20">
      <c r="B142" s="2" t="s">
        <v>73</v>
      </c>
      <c r="I142" s="2">
        <v>4331791</v>
      </c>
      <c r="J142" s="2">
        <v>177166</v>
      </c>
      <c r="M142" s="128">
        <f>SUM(I142:L142)</f>
        <v>4508957</v>
      </c>
      <c r="N142" s="2">
        <f t="shared" si="31"/>
        <v>6350394</v>
      </c>
      <c r="Q142" s="128" t="s">
        <v>366</v>
      </c>
      <c r="R142" s="128"/>
      <c r="S142" s="128"/>
      <c r="T142" s="128"/>
    </row>
    <row r="143" spans="1:20">
      <c r="B143" s="2" t="s">
        <v>54</v>
      </c>
      <c r="I143" s="2">
        <v>10105215</v>
      </c>
      <c r="J143" s="2">
        <v>5003</v>
      </c>
      <c r="M143" s="128">
        <f>SUM(I143:L143)</f>
        <v>10110218</v>
      </c>
      <c r="N143" s="2">
        <f>SUM(M134-M143)</f>
        <v>120796</v>
      </c>
    </row>
    <row r="144" spans="1:20" s="1" customFormat="1">
      <c r="C144" s="1" t="s">
        <v>20</v>
      </c>
      <c r="I144" s="67">
        <f>SUM(I138:I143)</f>
        <v>16230571</v>
      </c>
      <c r="J144" s="67">
        <f>SUM(J138:J143)</f>
        <v>318176</v>
      </c>
      <c r="K144" s="67">
        <f>SUM(K138:K143)</f>
        <v>-1042</v>
      </c>
      <c r="L144" s="67">
        <f t="shared" ref="L144:M144" si="32">SUM(L138:L143)</f>
        <v>25571</v>
      </c>
      <c r="M144" s="67">
        <f>SUM(M138:M143)</f>
        <v>16573276</v>
      </c>
    </row>
    <row r="145" spans="3:19" s="1" customFormat="1"/>
    <row r="146" spans="3:19" s="1" customFormat="1">
      <c r="D146" s="1" t="s">
        <v>310</v>
      </c>
      <c r="I146" s="8">
        <f>I135+I116+I105+I96+I84+I70+I56+I42+I30+I17</f>
        <v>34514335</v>
      </c>
      <c r="J146" s="8">
        <f t="shared" ref="J146:M146" si="33">J135+J116+J105+J96+J84+J70+J56+J42+J30+J17</f>
        <v>981239</v>
      </c>
      <c r="K146" s="8">
        <f t="shared" si="33"/>
        <v>-306066</v>
      </c>
      <c r="L146" s="8">
        <f t="shared" si="33"/>
        <v>0</v>
      </c>
      <c r="M146" s="8">
        <f t="shared" si="33"/>
        <v>35189508</v>
      </c>
    </row>
    <row r="147" spans="3:19" s="1" customFormat="1"/>
    <row r="148" spans="3:19" s="1" customFormat="1">
      <c r="C148" s="1" t="s">
        <v>20</v>
      </c>
      <c r="I148" s="138">
        <f>I144+I122+I109+I100+I91+I76+I63+I48+I35+I24</f>
        <v>23943922</v>
      </c>
      <c r="J148" s="138">
        <f t="shared" ref="J148:L148" si="34">J144+J122+J109+J100+J91+J76+J63+J48+J35+J24</f>
        <v>677885</v>
      </c>
      <c r="K148" s="138">
        <f t="shared" si="34"/>
        <v>-245278</v>
      </c>
      <c r="L148" s="138">
        <f t="shared" si="34"/>
        <v>0</v>
      </c>
      <c r="M148" s="138">
        <f>SUM(I148:L148)</f>
        <v>24376529</v>
      </c>
      <c r="N148" s="132"/>
      <c r="O148" s="132" t="s">
        <v>367</v>
      </c>
      <c r="P148" s="132"/>
      <c r="Q148" s="132"/>
      <c r="R148" s="132"/>
      <c r="S148" s="132"/>
    </row>
    <row r="149" spans="3:19" s="1" customFormat="1"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</row>
    <row r="150" spans="3:19" s="1" customFormat="1">
      <c r="C150" s="1" t="s">
        <v>368</v>
      </c>
      <c r="I150" s="138">
        <f>I146-I148</f>
        <v>10570413</v>
      </c>
      <c r="J150" s="138">
        <f t="shared" ref="J150:M150" si="35">J146-J148</f>
        <v>303354</v>
      </c>
      <c r="K150" s="138">
        <f t="shared" si="35"/>
        <v>-60788</v>
      </c>
      <c r="L150" s="138">
        <f t="shared" si="35"/>
        <v>0</v>
      </c>
      <c r="M150" s="138">
        <f t="shared" si="35"/>
        <v>10812979</v>
      </c>
      <c r="N150" s="132"/>
      <c r="O150" s="132"/>
      <c r="P150" s="132"/>
      <c r="Q150" s="132"/>
      <c r="R150" s="132"/>
      <c r="S150" s="132"/>
    </row>
    <row r="151" spans="3:19"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</row>
  </sheetData>
  <mergeCells count="6">
    <mergeCell ref="N5:N6"/>
    <mergeCell ref="D1:I1"/>
    <mergeCell ref="D2:I2"/>
    <mergeCell ref="D3:I3"/>
    <mergeCell ref="I5:I6"/>
    <mergeCell ref="M5:M6"/>
  </mergeCells>
  <pageMargins left="0.7" right="0.7" top="0.75" bottom="0.75" header="0.3" footer="0.3"/>
  <pageSetup orientation="portrait" r:id="rId1"/>
  <ignoredErrors>
    <ignoredError sqref="M132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6"/>
  <sheetViews>
    <sheetView zoomScale="70" zoomScaleNormal="70" workbookViewId="0">
      <selection activeCell="P18" sqref="P18"/>
    </sheetView>
  </sheetViews>
  <sheetFormatPr defaultColWidth="8.85546875" defaultRowHeight="18.75"/>
  <cols>
    <col min="1" max="1" width="4.42578125" style="2" customWidth="1"/>
    <col min="2" max="2" width="3.7109375" style="2" customWidth="1"/>
    <col min="3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8.42578125" style="2" customWidth="1"/>
    <col min="10" max="10" width="14.28515625" style="2" bestFit="1" customWidth="1"/>
    <col min="11" max="12" width="16.85546875" style="2" customWidth="1"/>
    <col min="13" max="13" width="16.7109375" style="2" bestFit="1" customWidth="1"/>
    <col min="14" max="14" width="17.42578125" style="2" customWidth="1"/>
    <col min="15" max="16384" width="8.85546875" style="2"/>
  </cols>
  <sheetData>
    <row r="1" spans="1:14">
      <c r="D1" s="159" t="s">
        <v>369</v>
      </c>
      <c r="E1" s="159"/>
      <c r="F1" s="159"/>
      <c r="G1" s="159"/>
      <c r="H1" s="159"/>
      <c r="I1" s="159"/>
    </row>
    <row r="2" spans="1:14">
      <c r="D2" s="159" t="s">
        <v>1</v>
      </c>
      <c r="E2" s="159"/>
      <c r="F2" s="159"/>
      <c r="G2" s="159"/>
      <c r="H2" s="159"/>
      <c r="I2" s="159"/>
    </row>
    <row r="3" spans="1:14">
      <c r="D3" s="159" t="s">
        <v>2</v>
      </c>
      <c r="E3" s="159"/>
      <c r="F3" s="159"/>
      <c r="G3" s="159"/>
      <c r="H3" s="159"/>
      <c r="I3" s="159"/>
    </row>
    <row r="4" spans="1:14">
      <c r="D4" s="151"/>
      <c r="E4" s="151"/>
      <c r="F4" s="151"/>
      <c r="G4" s="151"/>
      <c r="H4" s="151"/>
      <c r="I4" s="151"/>
    </row>
    <row r="5" spans="1:14" ht="56.25">
      <c r="I5" s="63" t="s">
        <v>312</v>
      </c>
      <c r="J5" s="63" t="s">
        <v>63</v>
      </c>
      <c r="K5" s="63" t="s">
        <v>68</v>
      </c>
      <c r="L5" s="63" t="s">
        <v>370</v>
      </c>
      <c r="M5" s="63" t="s">
        <v>89</v>
      </c>
      <c r="N5" s="1" t="s">
        <v>7</v>
      </c>
    </row>
    <row r="6" spans="1:14">
      <c r="I6" s="70"/>
      <c r="J6" s="70"/>
      <c r="K6" s="70"/>
      <c r="L6" s="70"/>
      <c r="M6" s="70"/>
    </row>
    <row r="7" spans="1:14">
      <c r="A7" s="1" t="s">
        <v>371</v>
      </c>
      <c r="B7" s="1"/>
      <c r="C7" s="1"/>
      <c r="D7" s="1"/>
      <c r="E7" s="1"/>
      <c r="F7" s="1"/>
      <c r="I7" s="38"/>
      <c r="J7" s="38"/>
      <c r="K7" s="38"/>
      <c r="L7" s="38"/>
      <c r="M7" s="38"/>
    </row>
    <row r="8" spans="1:14">
      <c r="B8" s="2" t="s">
        <v>10</v>
      </c>
      <c r="I8" s="38">
        <v>94474</v>
      </c>
      <c r="M8" s="38">
        <f>SUM(I8:L8)</f>
        <v>94474</v>
      </c>
      <c r="N8" s="38">
        <f>M8</f>
        <v>94474</v>
      </c>
    </row>
    <row r="9" spans="1:14">
      <c r="B9" s="2" t="s">
        <v>11</v>
      </c>
      <c r="I9" s="2">
        <v>396705</v>
      </c>
      <c r="J9" s="2">
        <v>107356</v>
      </c>
      <c r="L9" s="2">
        <v>-96652</v>
      </c>
      <c r="M9" s="38">
        <f>SUM(I9:L9)</f>
        <v>407409</v>
      </c>
      <c r="N9" s="65">
        <f>M9</f>
        <v>407409</v>
      </c>
    </row>
    <row r="10" spans="1:14">
      <c r="A10" s="1"/>
      <c r="B10" s="1"/>
      <c r="C10" s="1" t="s">
        <v>372</v>
      </c>
      <c r="D10" s="1"/>
      <c r="E10" s="1"/>
      <c r="F10" s="1"/>
      <c r="G10" s="1"/>
      <c r="H10" s="1"/>
      <c r="I10" s="71">
        <f>SUM(I8:I9)</f>
        <v>491179</v>
      </c>
      <c r="J10" s="71">
        <f>SUM(J8:J9)</f>
        <v>107356</v>
      </c>
      <c r="K10" s="71">
        <f>SUM(K8:K9)</f>
        <v>0</v>
      </c>
      <c r="L10" s="71">
        <f>SUM(L8:L9)</f>
        <v>-96652</v>
      </c>
      <c r="M10" s="71">
        <f>SUM(M8:M9)</f>
        <v>501883</v>
      </c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72"/>
      <c r="J11" s="72"/>
      <c r="K11" s="72"/>
      <c r="L11" s="72"/>
      <c r="M11" s="72"/>
      <c r="N11" s="1"/>
    </row>
    <row r="12" spans="1:14">
      <c r="A12" s="1" t="s">
        <v>174</v>
      </c>
    </row>
    <row r="13" spans="1:14">
      <c r="A13" s="1"/>
      <c r="B13" s="2" t="s">
        <v>373</v>
      </c>
      <c r="I13" s="2">
        <v>2594250</v>
      </c>
      <c r="J13" s="2">
        <v>5209</v>
      </c>
      <c r="L13" s="2">
        <v>-3987</v>
      </c>
      <c r="M13" s="2">
        <f>SUM(I13:L13)</f>
        <v>2595472</v>
      </c>
    </row>
    <row r="14" spans="1:14">
      <c r="A14" s="1"/>
      <c r="B14" s="2" t="s">
        <v>374</v>
      </c>
      <c r="I14" s="2">
        <v>422462</v>
      </c>
      <c r="J14" s="2">
        <v>80944</v>
      </c>
      <c r="L14" s="2">
        <v>3987</v>
      </c>
      <c r="M14" s="2">
        <f t="shared" ref="M14:M16" si="0">SUM(I14:L14)</f>
        <v>507393</v>
      </c>
    </row>
    <row r="15" spans="1:14">
      <c r="B15" s="2" t="s">
        <v>375</v>
      </c>
      <c r="I15" s="38">
        <v>104231</v>
      </c>
      <c r="J15" s="38">
        <v>11628</v>
      </c>
      <c r="K15" s="38">
        <v>-47</v>
      </c>
      <c r="L15" s="38"/>
      <c r="M15" s="2">
        <f t="shared" si="0"/>
        <v>115812</v>
      </c>
    </row>
    <row r="16" spans="1:14">
      <c r="B16" s="2" t="s">
        <v>376</v>
      </c>
      <c r="I16" s="38">
        <v>40492</v>
      </c>
      <c r="J16" s="38"/>
      <c r="K16" s="38"/>
      <c r="L16" s="38"/>
      <c r="M16" s="2">
        <f t="shared" si="0"/>
        <v>40492</v>
      </c>
    </row>
    <row r="17" spans="1:14">
      <c r="C17" s="1" t="s">
        <v>377</v>
      </c>
      <c r="I17" s="68">
        <f>SUM(I13:I16)</f>
        <v>3161435</v>
      </c>
      <c r="J17" s="68">
        <f t="shared" ref="J17:M17" si="1">SUM(J13:J16)</f>
        <v>97781</v>
      </c>
      <c r="K17" s="68">
        <f t="shared" si="1"/>
        <v>-47</v>
      </c>
      <c r="L17" s="68">
        <f t="shared" si="1"/>
        <v>0</v>
      </c>
      <c r="M17" s="68">
        <f t="shared" si="1"/>
        <v>3259169</v>
      </c>
    </row>
    <row r="18" spans="1:14" s="33" customFormat="1"/>
    <row r="19" spans="1:14" s="1" customFormat="1">
      <c r="A19" s="1" t="s">
        <v>19</v>
      </c>
    </row>
    <row r="20" spans="1:14">
      <c r="B20" s="2" t="s">
        <v>373</v>
      </c>
      <c r="I20" s="38">
        <v>1820222</v>
      </c>
      <c r="J20" s="38">
        <v>60643</v>
      </c>
      <c r="K20" s="38"/>
      <c r="L20" s="38">
        <v>-322</v>
      </c>
      <c r="M20" s="38">
        <f>SUM(I20:L20)</f>
        <v>1880543</v>
      </c>
      <c r="N20" s="38">
        <f>M13-M20</f>
        <v>714929</v>
      </c>
    </row>
    <row r="21" spans="1:14">
      <c r="B21" s="2" t="s">
        <v>342</v>
      </c>
      <c r="I21" s="38">
        <v>123287</v>
      </c>
      <c r="J21" s="38">
        <v>19147</v>
      </c>
      <c r="K21" s="38"/>
      <c r="L21" s="38">
        <v>322</v>
      </c>
      <c r="M21" s="38">
        <f t="shared" ref="M21:M23" si="2">SUM(I21:L21)</f>
        <v>142756</v>
      </c>
      <c r="N21" s="38">
        <f>M14-M21</f>
        <v>364637</v>
      </c>
    </row>
    <row r="22" spans="1:14">
      <c r="B22" s="2" t="s">
        <v>375</v>
      </c>
      <c r="I22" s="38">
        <v>88515</v>
      </c>
      <c r="J22" s="38">
        <v>5309</v>
      </c>
      <c r="K22" s="38">
        <v>-47</v>
      </c>
      <c r="L22" s="38"/>
      <c r="M22" s="38">
        <f t="shared" si="2"/>
        <v>93777</v>
      </c>
      <c r="N22" s="38">
        <f>M15-M22</f>
        <v>22035</v>
      </c>
    </row>
    <row r="23" spans="1:14">
      <c r="B23" s="2" t="s">
        <v>376</v>
      </c>
      <c r="I23" s="38">
        <v>31537</v>
      </c>
      <c r="J23" s="38">
        <v>1307</v>
      </c>
      <c r="K23" s="38"/>
      <c r="L23" s="38"/>
      <c r="M23" s="38">
        <f t="shared" si="2"/>
        <v>32844</v>
      </c>
      <c r="N23" s="65">
        <f>M16-M23</f>
        <v>7648</v>
      </c>
    </row>
    <row r="24" spans="1:14">
      <c r="A24" s="1"/>
      <c r="B24" s="1"/>
      <c r="C24" s="1" t="s">
        <v>20</v>
      </c>
      <c r="D24" s="1"/>
      <c r="E24" s="1"/>
      <c r="F24" s="1"/>
      <c r="G24" s="1"/>
      <c r="H24" s="1"/>
      <c r="I24" s="71">
        <f>SUM(I20:I23)</f>
        <v>2063561</v>
      </c>
      <c r="J24" s="71">
        <f>SUM(J20:J23)</f>
        <v>86406</v>
      </c>
      <c r="K24" s="71">
        <f>SUM(K20:K23)</f>
        <v>-47</v>
      </c>
      <c r="L24" s="71">
        <f>SUM(L20:L23)</f>
        <v>0</v>
      </c>
      <c r="M24" s="71">
        <f>SUM(M20:M23)</f>
        <v>2149920</v>
      </c>
      <c r="N24" s="1"/>
    </row>
    <row r="25" spans="1:14">
      <c r="A25" s="1"/>
      <c r="B25" s="1" t="s">
        <v>325</v>
      </c>
      <c r="C25" s="1"/>
      <c r="D25" s="1"/>
      <c r="E25" s="1"/>
      <c r="F25" s="1"/>
      <c r="G25" s="1"/>
      <c r="H25" s="1"/>
      <c r="I25" s="71">
        <f>I17-I24</f>
        <v>1097874</v>
      </c>
      <c r="J25" s="71">
        <f t="shared" ref="J25:M25" si="3">J17-J24</f>
        <v>11375</v>
      </c>
      <c r="K25" s="71">
        <f t="shared" si="3"/>
        <v>0</v>
      </c>
      <c r="L25" s="71">
        <f t="shared" si="3"/>
        <v>0</v>
      </c>
      <c r="M25" s="71">
        <f t="shared" si="3"/>
        <v>1109249</v>
      </c>
      <c r="N25" s="1"/>
    </row>
    <row r="26" spans="1:14" ht="19.5" thickBot="1">
      <c r="A26" s="1"/>
      <c r="B26" s="1" t="s">
        <v>378</v>
      </c>
      <c r="I26" s="73">
        <f>I25+I10</f>
        <v>1589053</v>
      </c>
      <c r="J26" s="73">
        <f t="shared" ref="J26:M26" si="4">J25+J10</f>
        <v>118731</v>
      </c>
      <c r="K26" s="73">
        <f t="shared" si="4"/>
        <v>0</v>
      </c>
      <c r="L26" s="73">
        <f t="shared" si="4"/>
        <v>-96652</v>
      </c>
      <c r="M26" s="73">
        <f t="shared" si="4"/>
        <v>1611132</v>
      </c>
      <c r="N26" s="65">
        <f>SUM(N8:N23)</f>
        <v>1611132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42"/>
  <sheetViews>
    <sheetView zoomScale="60" zoomScaleNormal="60" zoomScalePageLayoutView="80" workbookViewId="0">
      <selection activeCell="I33" sqref="I33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9.140625" style="2" bestFit="1" customWidth="1"/>
    <col min="10" max="10" width="22.140625" style="2" bestFit="1" customWidth="1"/>
    <col min="11" max="11" width="16.85546875" style="2" customWidth="1"/>
    <col min="12" max="12" width="23" style="2" bestFit="1" customWidth="1"/>
    <col min="13" max="13" width="17.85546875" style="2" customWidth="1"/>
    <col min="14" max="16384" width="8.85546875" style="2"/>
  </cols>
  <sheetData>
    <row r="1" spans="1:13">
      <c r="D1" s="159" t="s">
        <v>379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>
      <c r="D4" s="151"/>
      <c r="E4" s="151"/>
      <c r="F4" s="151"/>
      <c r="G4" s="151"/>
      <c r="H4" s="151"/>
      <c r="I4" s="4"/>
      <c r="J4" s="3"/>
      <c r="K4" s="3"/>
      <c r="L4" s="3"/>
      <c r="M4" s="3"/>
    </row>
    <row r="5" spans="1:13" ht="37.5" customHeight="1">
      <c r="I5" s="86"/>
      <c r="J5" s="162" t="s">
        <v>313</v>
      </c>
      <c r="K5" s="162"/>
      <c r="L5" s="66"/>
      <c r="M5" s="66"/>
    </row>
    <row r="6" spans="1:13" ht="56.25">
      <c r="I6" s="152" t="s">
        <v>312</v>
      </c>
      <c r="J6" s="152" t="s">
        <v>380</v>
      </c>
      <c r="K6" s="152" t="s">
        <v>381</v>
      </c>
      <c r="L6" s="152" t="s">
        <v>89</v>
      </c>
      <c r="M6" s="152" t="s">
        <v>7</v>
      </c>
    </row>
    <row r="7" spans="1:13">
      <c r="A7" s="1"/>
      <c r="B7" s="1"/>
      <c r="C7" s="1"/>
      <c r="D7" s="1"/>
      <c r="E7" s="1"/>
      <c r="F7" s="1"/>
      <c r="I7" s="3"/>
      <c r="J7" s="3"/>
      <c r="K7" s="3"/>
      <c r="L7" s="3"/>
      <c r="M7" s="3"/>
    </row>
    <row r="8" spans="1:13">
      <c r="A8" s="1" t="s">
        <v>382</v>
      </c>
      <c r="B8" s="1"/>
      <c r="C8" s="1"/>
      <c r="D8" s="1"/>
      <c r="E8" s="1"/>
      <c r="F8" s="1"/>
      <c r="I8" s="3"/>
      <c r="J8" s="3"/>
      <c r="K8" s="3"/>
      <c r="L8" s="3"/>
      <c r="M8" s="3"/>
    </row>
    <row r="9" spans="1:13">
      <c r="B9" s="2" t="s">
        <v>10</v>
      </c>
      <c r="I9" s="3">
        <v>12244547</v>
      </c>
      <c r="J9" s="3"/>
      <c r="K9" s="3"/>
      <c r="L9" s="3">
        <f>SUM(I9:K9)</f>
        <v>12244547</v>
      </c>
      <c r="M9" s="3">
        <f>SUM(L9)</f>
        <v>12244547</v>
      </c>
    </row>
    <row r="10" spans="1:13">
      <c r="B10" s="2" t="s">
        <v>11</v>
      </c>
      <c r="I10" s="3">
        <v>10535196</v>
      </c>
      <c r="J10" s="3">
        <v>9817301</v>
      </c>
      <c r="K10" s="3">
        <v>-550787</v>
      </c>
      <c r="L10" s="3">
        <f>SUM(I10:K10)</f>
        <v>19801710</v>
      </c>
      <c r="M10" s="3">
        <f>SUM(L10)</f>
        <v>19801710</v>
      </c>
    </row>
    <row r="11" spans="1:13">
      <c r="A11" s="1"/>
      <c r="B11" s="1"/>
      <c r="C11" s="1" t="s">
        <v>383</v>
      </c>
      <c r="D11" s="1"/>
      <c r="E11" s="1"/>
      <c r="F11" s="1"/>
      <c r="G11" s="1"/>
      <c r="H11" s="1"/>
      <c r="I11" s="10">
        <f>SUM(I9:I10)</f>
        <v>22779743</v>
      </c>
      <c r="J11" s="10">
        <f t="shared" ref="J11:L11" si="0">SUM(J9:J10)</f>
        <v>9817301</v>
      </c>
      <c r="K11" s="10">
        <f t="shared" si="0"/>
        <v>-550787</v>
      </c>
      <c r="L11" s="10">
        <f t="shared" si="0"/>
        <v>32046257</v>
      </c>
      <c r="M11" s="15"/>
    </row>
    <row r="12" spans="1:13">
      <c r="A12" s="1"/>
      <c r="B12" s="1"/>
      <c r="C12" s="1"/>
      <c r="D12" s="1"/>
      <c r="E12" s="1"/>
      <c r="F12" s="1"/>
      <c r="G12" s="1"/>
      <c r="H12" s="1"/>
      <c r="I12" s="31"/>
      <c r="J12" s="31"/>
      <c r="K12" s="31"/>
      <c r="L12" s="31"/>
      <c r="M12" s="15"/>
    </row>
    <row r="13" spans="1:13">
      <c r="A13" s="1" t="s">
        <v>384</v>
      </c>
      <c r="I13" s="3"/>
      <c r="J13" s="3"/>
      <c r="K13" s="3"/>
      <c r="L13" s="3"/>
      <c r="M13" s="3"/>
    </row>
    <row r="14" spans="1:13">
      <c r="A14" s="1"/>
      <c r="B14" s="2" t="s">
        <v>128</v>
      </c>
      <c r="I14" s="3">
        <v>58928974</v>
      </c>
      <c r="J14" s="3">
        <v>327560</v>
      </c>
      <c r="K14" s="3">
        <v>-40343</v>
      </c>
      <c r="L14" s="3">
        <f t="shared" ref="L14:L20" si="1">SUM(I14:K14)</f>
        <v>59216191</v>
      </c>
      <c r="M14" s="3"/>
    </row>
    <row r="15" spans="1:13">
      <c r="A15" s="1"/>
      <c r="B15" s="2" t="s">
        <v>210</v>
      </c>
      <c r="I15" s="3">
        <v>33034265</v>
      </c>
      <c r="J15" s="3">
        <v>2976955</v>
      </c>
      <c r="K15" s="3">
        <v>-731267</v>
      </c>
      <c r="L15" s="3">
        <f t="shared" si="1"/>
        <v>35279953</v>
      </c>
      <c r="M15" s="3"/>
    </row>
    <row r="16" spans="1:13">
      <c r="A16" s="1"/>
      <c r="B16" s="2" t="s">
        <v>290</v>
      </c>
      <c r="I16" s="3">
        <v>4307666</v>
      </c>
      <c r="J16" s="3">
        <v>570318</v>
      </c>
      <c r="K16" s="3">
        <v>-396517</v>
      </c>
      <c r="L16" s="3">
        <f t="shared" si="1"/>
        <v>4481467</v>
      </c>
      <c r="M16" s="3"/>
    </row>
    <row r="17" spans="1:13">
      <c r="A17" s="1"/>
      <c r="B17" s="2" t="s">
        <v>385</v>
      </c>
      <c r="I17" s="3"/>
      <c r="J17" s="3"/>
      <c r="K17" s="3"/>
      <c r="L17" s="3"/>
      <c r="M17" s="3"/>
    </row>
    <row r="18" spans="1:13">
      <c r="A18" s="1"/>
      <c r="C18" s="2" t="s">
        <v>54</v>
      </c>
      <c r="I18" s="3">
        <v>256020340</v>
      </c>
      <c r="J18" s="3"/>
      <c r="K18" s="3"/>
      <c r="L18" s="3">
        <f t="shared" si="1"/>
        <v>256020340</v>
      </c>
      <c r="M18" s="3"/>
    </row>
    <row r="19" spans="1:13">
      <c r="A19" s="1"/>
      <c r="C19" s="2" t="s">
        <v>73</v>
      </c>
      <c r="I19" s="3">
        <v>6541105</v>
      </c>
      <c r="J19" s="3"/>
      <c r="K19" s="3"/>
      <c r="L19" s="3">
        <f t="shared" si="1"/>
        <v>6541105</v>
      </c>
      <c r="M19" s="3"/>
    </row>
    <row r="20" spans="1:13">
      <c r="A20" s="1"/>
      <c r="C20" s="2" t="s">
        <v>386</v>
      </c>
      <c r="I20" s="3">
        <v>2456171</v>
      </c>
      <c r="J20" s="3">
        <v>551436</v>
      </c>
      <c r="K20" s="3"/>
      <c r="L20" s="3">
        <f t="shared" si="1"/>
        <v>3007607</v>
      </c>
      <c r="M20" s="3"/>
    </row>
    <row r="21" spans="1:13" ht="19.5" thickBot="1">
      <c r="A21" s="1"/>
      <c r="C21" s="1" t="s">
        <v>307</v>
      </c>
      <c r="I21" s="14">
        <f>SUM(I14:I20)</f>
        <v>361288521</v>
      </c>
      <c r="J21" s="14">
        <f t="shared" ref="J21:L21" si="2">SUM(J14:J20)</f>
        <v>4426269</v>
      </c>
      <c r="K21" s="14">
        <f t="shared" si="2"/>
        <v>-1168127</v>
      </c>
      <c r="L21" s="14">
        <f t="shared" si="2"/>
        <v>364546663</v>
      </c>
      <c r="M21" s="3"/>
    </row>
    <row r="22" spans="1:13">
      <c r="A22" s="1"/>
      <c r="C22" s="1"/>
      <c r="I22" s="15"/>
      <c r="J22" s="15"/>
      <c r="K22" s="15"/>
      <c r="L22" s="15"/>
      <c r="M22" s="3"/>
    </row>
    <row r="23" spans="1:13">
      <c r="A23" s="1" t="s">
        <v>387</v>
      </c>
      <c r="C23" s="1"/>
      <c r="I23" s="8">
        <f>I21+I11</f>
        <v>384068264</v>
      </c>
      <c r="J23" s="8">
        <f t="shared" ref="J23:L23" si="3">J21+J11</f>
        <v>14243570</v>
      </c>
      <c r="K23" s="8">
        <f t="shared" si="3"/>
        <v>-1718914</v>
      </c>
      <c r="L23" s="8">
        <f t="shared" si="3"/>
        <v>396592920</v>
      </c>
      <c r="M23" s="3"/>
    </row>
    <row r="24" spans="1:13">
      <c r="A24" s="1"/>
      <c r="C24" s="1"/>
      <c r="I24" s="15"/>
      <c r="J24" s="15"/>
      <c r="K24" s="15"/>
      <c r="L24" s="15"/>
      <c r="M24" s="3"/>
    </row>
    <row r="25" spans="1:13">
      <c r="A25" s="1" t="s">
        <v>334</v>
      </c>
      <c r="I25" s="3"/>
      <c r="J25" s="3"/>
      <c r="K25" s="3"/>
      <c r="L25" s="3"/>
      <c r="M25" s="3"/>
    </row>
    <row r="26" spans="1:13">
      <c r="B26" s="2" t="s">
        <v>33</v>
      </c>
      <c r="I26" s="3">
        <v>22099502</v>
      </c>
      <c r="J26" s="3">
        <v>1381228</v>
      </c>
      <c r="K26" s="3">
        <v>-18457</v>
      </c>
      <c r="L26" s="3">
        <f t="shared" ref="L26:L32" si="4">SUM(I26:K26)</f>
        <v>23462273</v>
      </c>
      <c r="M26" s="3">
        <f>L14-L26</f>
        <v>35753918</v>
      </c>
    </row>
    <row r="27" spans="1:13">
      <c r="B27" s="2" t="s">
        <v>210</v>
      </c>
      <c r="I27" s="3">
        <v>21214818</v>
      </c>
      <c r="J27" s="3">
        <v>2299364</v>
      </c>
      <c r="K27" s="3">
        <v>-721532</v>
      </c>
      <c r="L27" s="3">
        <f t="shared" si="4"/>
        <v>22792650</v>
      </c>
      <c r="M27" s="3">
        <f>L15-L27</f>
        <v>12487303</v>
      </c>
    </row>
    <row r="28" spans="1:13">
      <c r="B28" s="2" t="s">
        <v>290</v>
      </c>
      <c r="I28" s="3">
        <v>2768792</v>
      </c>
      <c r="J28" s="3">
        <v>510563</v>
      </c>
      <c r="K28" s="3">
        <v>-396517</v>
      </c>
      <c r="L28" s="3">
        <f t="shared" si="4"/>
        <v>2882838</v>
      </c>
      <c r="M28" s="3">
        <f>L16-L28</f>
        <v>1598629</v>
      </c>
    </row>
    <row r="29" spans="1:13">
      <c r="B29" s="2" t="s">
        <v>385</v>
      </c>
      <c r="I29" s="3"/>
      <c r="J29" s="3"/>
      <c r="K29" s="3"/>
      <c r="L29" s="3"/>
      <c r="M29" s="3"/>
    </row>
    <row r="30" spans="1:13">
      <c r="C30" s="2" t="s">
        <v>54</v>
      </c>
      <c r="I30" s="3">
        <v>154018282</v>
      </c>
      <c r="J30" s="3">
        <v>6391762</v>
      </c>
      <c r="K30" s="3"/>
      <c r="L30" s="3">
        <f t="shared" si="4"/>
        <v>160410044</v>
      </c>
      <c r="M30" s="3">
        <f>L18-L30</f>
        <v>95610296</v>
      </c>
    </row>
    <row r="31" spans="1:13">
      <c r="C31" s="2" t="s">
        <v>73</v>
      </c>
      <c r="I31" s="3">
        <v>2703374</v>
      </c>
      <c r="J31" s="3">
        <v>87215</v>
      </c>
      <c r="K31" s="3"/>
      <c r="L31" s="3">
        <f t="shared" si="4"/>
        <v>2790589</v>
      </c>
      <c r="M31" s="3">
        <f>L19-L31</f>
        <v>3750516</v>
      </c>
    </row>
    <row r="32" spans="1:13">
      <c r="C32" s="2" t="s">
        <v>386</v>
      </c>
      <c r="I32" s="3">
        <v>296920</v>
      </c>
      <c r="J32" s="3">
        <v>118467</v>
      </c>
      <c r="K32" s="3"/>
      <c r="L32" s="3">
        <f t="shared" si="4"/>
        <v>415387</v>
      </c>
      <c r="M32" s="3">
        <f>L20-L32</f>
        <v>2592220</v>
      </c>
    </row>
    <row r="33" spans="1:13">
      <c r="C33" s="1" t="s">
        <v>20</v>
      </c>
      <c r="I33" s="12">
        <f>SUM(I26:I32)</f>
        <v>203101688</v>
      </c>
      <c r="J33" s="12">
        <f t="shared" ref="J33:K33" si="5">SUM(J26:J32)</f>
        <v>10788599</v>
      </c>
      <c r="K33" s="12">
        <f t="shared" si="5"/>
        <v>-1136506</v>
      </c>
      <c r="L33" s="12">
        <f>SUM(L26:L32)</f>
        <v>212753781</v>
      </c>
      <c r="M33" s="15"/>
    </row>
    <row r="34" spans="1:13" ht="19.5" thickBot="1">
      <c r="B34" s="1" t="s">
        <v>22</v>
      </c>
      <c r="C34" s="1"/>
      <c r="D34" s="1"/>
      <c r="E34" s="1"/>
      <c r="F34" s="1"/>
      <c r="I34" s="14">
        <f>I23-I33</f>
        <v>180966576</v>
      </c>
      <c r="J34" s="14">
        <f t="shared" ref="J34:L34" si="6">J23-J33</f>
        <v>3454971</v>
      </c>
      <c r="K34" s="14">
        <f t="shared" si="6"/>
        <v>-582408</v>
      </c>
      <c r="L34" s="14">
        <f t="shared" si="6"/>
        <v>183839139</v>
      </c>
      <c r="M34" s="3">
        <f>SUM(M26:M32,M9:M10)</f>
        <v>183839139</v>
      </c>
    </row>
    <row r="35" spans="1:13" s="1" customFormat="1">
      <c r="A35"/>
      <c r="B35"/>
      <c r="C35"/>
      <c r="D35"/>
      <c r="E35"/>
      <c r="F35"/>
      <c r="G35"/>
      <c r="H35"/>
      <c r="I35" s="62"/>
      <c r="J35" s="62"/>
      <c r="K35" s="62"/>
      <c r="L35" s="62"/>
      <c r="M35" s="62"/>
    </row>
    <row r="36" spans="1:13">
      <c r="A36"/>
      <c r="B36"/>
      <c r="C36"/>
      <c r="D36"/>
      <c r="E36"/>
      <c r="F36"/>
      <c r="G36"/>
      <c r="H36"/>
      <c r="I36" s="62"/>
      <c r="J36"/>
      <c r="K36"/>
      <c r="L36"/>
      <c r="M36"/>
    </row>
    <row r="37" spans="1:13">
      <c r="C37"/>
      <c r="D37"/>
      <c r="E37"/>
      <c r="F37"/>
      <c r="G37"/>
      <c r="H37"/>
      <c r="I37" s="62"/>
      <c r="J37"/>
      <c r="K37"/>
      <c r="L37"/>
    </row>
    <row r="38" spans="1:13">
      <c r="B38"/>
      <c r="C38"/>
      <c r="D38"/>
      <c r="E38"/>
      <c r="F38"/>
      <c r="G38"/>
      <c r="H38"/>
      <c r="I38"/>
      <c r="J38"/>
      <c r="K38"/>
      <c r="L38"/>
    </row>
    <row r="39" spans="1:13">
      <c r="B39"/>
      <c r="C39"/>
      <c r="D39"/>
      <c r="E39"/>
      <c r="F39"/>
      <c r="G39"/>
      <c r="H39"/>
      <c r="I39"/>
      <c r="J39"/>
      <c r="K39"/>
      <c r="L39"/>
    </row>
    <row r="40" spans="1:13">
      <c r="B40"/>
      <c r="C40"/>
      <c r="D40"/>
      <c r="E40"/>
      <c r="F40"/>
      <c r="G40"/>
      <c r="H40"/>
      <c r="I40"/>
      <c r="J40"/>
      <c r="K40"/>
      <c r="L40"/>
    </row>
    <row r="41" spans="1:13">
      <c r="C41"/>
      <c r="D41"/>
      <c r="E41"/>
      <c r="F41"/>
      <c r="G41"/>
      <c r="H41"/>
      <c r="I41"/>
      <c r="J41"/>
      <c r="K41"/>
      <c r="L41"/>
    </row>
    <row r="42" spans="1:13">
      <c r="C42"/>
      <c r="D42"/>
      <c r="E42"/>
      <c r="F42"/>
      <c r="G42"/>
      <c r="H42"/>
      <c r="I42"/>
      <c r="J42"/>
      <c r="K42"/>
      <c r="L42"/>
    </row>
  </sheetData>
  <mergeCells count="4">
    <mergeCell ref="J5:K5"/>
    <mergeCell ref="D1:I1"/>
    <mergeCell ref="D2:I2"/>
    <mergeCell ref="D3:I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54"/>
  <sheetViews>
    <sheetView zoomScale="60" zoomScaleNormal="60" zoomScalePageLayoutView="70" workbookViewId="0">
      <selection activeCell="M22" sqref="M22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8.85546875" style="2" customWidth="1"/>
    <col min="10" max="10" width="18.42578125" style="2" customWidth="1"/>
    <col min="11" max="11" width="19.85546875" style="2" bestFit="1" customWidth="1"/>
    <col min="12" max="12" width="18" style="2" customWidth="1"/>
    <col min="13" max="13" width="21" style="2" customWidth="1"/>
    <col min="14" max="16384" width="8.85546875" style="2"/>
  </cols>
  <sheetData>
    <row r="1" spans="1:13">
      <c r="D1" s="159" t="s">
        <v>388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 ht="14.25" customHeight="1">
      <c r="D4" s="151"/>
      <c r="E4" s="151"/>
      <c r="F4" s="151"/>
      <c r="G4" s="151"/>
      <c r="H4" s="151"/>
      <c r="I4" s="151"/>
    </row>
    <row r="5" spans="1:13" ht="37.5">
      <c r="I5" s="63" t="s">
        <v>3</v>
      </c>
      <c r="J5" s="63" t="s">
        <v>63</v>
      </c>
      <c r="K5" s="63" t="s">
        <v>389</v>
      </c>
      <c r="L5" s="63" t="s">
        <v>6</v>
      </c>
      <c r="M5" s="108" t="s">
        <v>7</v>
      </c>
    </row>
    <row r="6" spans="1:13">
      <c r="A6" s="1" t="s">
        <v>390</v>
      </c>
      <c r="B6" s="1"/>
      <c r="C6" s="1"/>
      <c r="D6" s="1"/>
      <c r="E6" s="1"/>
      <c r="F6" s="1"/>
    </row>
    <row r="7" spans="1:13">
      <c r="A7" s="1" t="s">
        <v>9</v>
      </c>
      <c r="B7" s="1"/>
      <c r="C7" s="1"/>
      <c r="D7" s="1"/>
      <c r="E7" s="1"/>
      <c r="F7" s="1"/>
      <c r="I7" s="38"/>
      <c r="J7" s="38"/>
      <c r="K7" s="38"/>
      <c r="L7" s="38"/>
    </row>
    <row r="8" spans="1:13">
      <c r="B8" s="2" t="s">
        <v>10</v>
      </c>
      <c r="I8" s="38">
        <v>13523564</v>
      </c>
      <c r="J8" s="38"/>
      <c r="K8" s="38"/>
      <c r="L8" s="38">
        <f>SUM(I8:K8)</f>
        <v>13523564</v>
      </c>
      <c r="M8" s="38">
        <f>L8</f>
        <v>13523564</v>
      </c>
    </row>
    <row r="9" spans="1:13">
      <c r="B9" s="2" t="s">
        <v>391</v>
      </c>
      <c r="I9" s="38">
        <v>134839305</v>
      </c>
      <c r="J9" s="38">
        <v>19545520</v>
      </c>
      <c r="K9" s="38">
        <v>-57406127</v>
      </c>
      <c r="L9" s="38">
        <f t="shared" ref="L9:L10" si="0">SUM(I9:K9)</f>
        <v>96978698</v>
      </c>
      <c r="M9" s="38">
        <f>L9</f>
        <v>96978698</v>
      </c>
    </row>
    <row r="10" spans="1:13">
      <c r="B10" s="2" t="s">
        <v>392</v>
      </c>
      <c r="I10" s="2">
        <v>12492211</v>
      </c>
      <c r="J10" s="2">
        <v>12064144</v>
      </c>
      <c r="L10" s="38">
        <f t="shared" si="0"/>
        <v>24556355</v>
      </c>
      <c r="M10" s="38">
        <f>L10</f>
        <v>24556355</v>
      </c>
    </row>
    <row r="11" spans="1:13">
      <c r="A11" s="1"/>
      <c r="B11" s="1"/>
      <c r="C11" s="1" t="s">
        <v>393</v>
      </c>
      <c r="D11" s="1"/>
      <c r="E11" s="1"/>
      <c r="F11" s="1"/>
      <c r="G11" s="1"/>
      <c r="H11" s="1"/>
      <c r="I11" s="74">
        <f>SUM(I8:I10)</f>
        <v>160855080</v>
      </c>
      <c r="J11" s="74">
        <f t="shared" ref="J11:L11" si="1">SUM(J8:J10)</f>
        <v>31609664</v>
      </c>
      <c r="K11" s="74">
        <f t="shared" si="1"/>
        <v>-57406127</v>
      </c>
      <c r="L11" s="74">
        <f t="shared" si="1"/>
        <v>135058617</v>
      </c>
      <c r="M11" s="1"/>
    </row>
    <row r="13" spans="1:13">
      <c r="A13" s="1" t="s">
        <v>216</v>
      </c>
    </row>
    <row r="14" spans="1:13">
      <c r="B14" s="2" t="s">
        <v>14</v>
      </c>
      <c r="I14" s="2">
        <v>161537374</v>
      </c>
      <c r="J14" s="38">
        <v>6695539</v>
      </c>
      <c r="K14" s="38">
        <v>-3204873</v>
      </c>
      <c r="L14" s="38">
        <f>SUM(I14:K14)</f>
        <v>165028040</v>
      </c>
    </row>
    <row r="15" spans="1:13">
      <c r="B15" s="2" t="s">
        <v>204</v>
      </c>
      <c r="I15" s="2">
        <v>85604109</v>
      </c>
      <c r="J15" s="38">
        <v>11391664</v>
      </c>
      <c r="K15" s="38">
        <v>-13976601</v>
      </c>
      <c r="L15" s="38">
        <f>SUM(I15:K15)</f>
        <v>83019172</v>
      </c>
    </row>
    <row r="16" spans="1:13">
      <c r="B16" s="2" t="s">
        <v>104</v>
      </c>
      <c r="I16" s="2">
        <v>43562198</v>
      </c>
      <c r="J16" s="38">
        <v>2961802</v>
      </c>
      <c r="K16" s="38">
        <v>-2011046</v>
      </c>
      <c r="L16" s="38">
        <f>SUM(I16:K16)</f>
        <v>44512954</v>
      </c>
    </row>
    <row r="17" spans="1:13">
      <c r="B17" s="2" t="s">
        <v>17</v>
      </c>
      <c r="I17" s="2">
        <v>252815578</v>
      </c>
      <c r="J17" s="38">
        <v>26124290</v>
      </c>
      <c r="K17" s="38">
        <v>-904089</v>
      </c>
      <c r="L17" s="38">
        <f>SUM(I17:K17)</f>
        <v>278035779</v>
      </c>
    </row>
    <row r="18" spans="1:13">
      <c r="C18" s="1" t="s">
        <v>18</v>
      </c>
      <c r="I18" s="75">
        <f>SUM(I14:I17)</f>
        <v>543519259</v>
      </c>
      <c r="J18" s="75">
        <f t="shared" ref="J18:L18" si="2">SUM(J14:J17)</f>
        <v>47173295</v>
      </c>
      <c r="K18" s="75">
        <f t="shared" si="2"/>
        <v>-20096609</v>
      </c>
      <c r="L18" s="75">
        <f t="shared" si="2"/>
        <v>570595945</v>
      </c>
    </row>
    <row r="20" spans="1:13">
      <c r="A20" s="1" t="s">
        <v>117</v>
      </c>
      <c r="J20" s="38"/>
      <c r="K20" s="38"/>
      <c r="L20" s="38"/>
    </row>
    <row r="21" spans="1:13">
      <c r="B21" s="2" t="s">
        <v>394</v>
      </c>
      <c r="I21" s="38">
        <v>-34192089</v>
      </c>
      <c r="J21" s="38">
        <v>-4501520</v>
      </c>
      <c r="K21" s="38">
        <v>52245</v>
      </c>
      <c r="L21" s="38">
        <f>SUM(I21:K21)</f>
        <v>-38641364</v>
      </c>
      <c r="M21" s="38">
        <f>L14+L21</f>
        <v>126386676</v>
      </c>
    </row>
    <row r="22" spans="1:13">
      <c r="B22" s="2" t="s">
        <v>204</v>
      </c>
      <c r="I22" s="38">
        <v>-9500606</v>
      </c>
      <c r="J22" s="38">
        <v>-2426343</v>
      </c>
      <c r="K22" s="38">
        <v>260880</v>
      </c>
      <c r="L22" s="38">
        <f>SUM(I22:K22)</f>
        <v>-11666069</v>
      </c>
      <c r="M22" s="38">
        <f t="shared" ref="M22:M24" si="3">L15+L22</f>
        <v>71353103</v>
      </c>
    </row>
    <row r="23" spans="1:13">
      <c r="B23" s="2" t="s">
        <v>104</v>
      </c>
      <c r="I23" s="38">
        <v>-21137335</v>
      </c>
      <c r="J23" s="38">
        <v>-2445833</v>
      </c>
      <c r="K23" s="38">
        <v>1199558</v>
      </c>
      <c r="L23" s="38">
        <f>SUM(I23:K23)</f>
        <v>-22383610</v>
      </c>
      <c r="M23" s="38">
        <f t="shared" si="3"/>
        <v>22129344</v>
      </c>
    </row>
    <row r="24" spans="1:13">
      <c r="B24" s="2" t="s">
        <v>17</v>
      </c>
      <c r="I24" s="2">
        <v>-166618823</v>
      </c>
      <c r="J24" s="38">
        <v>-2186611</v>
      </c>
      <c r="K24" s="38"/>
      <c r="L24" s="38">
        <f>SUM(I24:K24)</f>
        <v>-168805434</v>
      </c>
      <c r="M24" s="38">
        <f t="shared" si="3"/>
        <v>109230345</v>
      </c>
    </row>
    <row r="25" spans="1:13">
      <c r="A25" s="1"/>
      <c r="C25" s="1" t="s">
        <v>20</v>
      </c>
      <c r="I25" s="68">
        <f>SUM(I21:I24)</f>
        <v>-231448853</v>
      </c>
      <c r="J25" s="68">
        <f t="shared" ref="J25:L25" si="4">SUM(J21:J24)</f>
        <v>-11560307</v>
      </c>
      <c r="K25" s="68">
        <f t="shared" si="4"/>
        <v>1512683</v>
      </c>
      <c r="L25" s="68">
        <f t="shared" si="4"/>
        <v>-241496477</v>
      </c>
      <c r="M25" s="1"/>
    </row>
    <row r="27" spans="1:13">
      <c r="A27" s="1" t="s">
        <v>395</v>
      </c>
      <c r="C27" s="1"/>
      <c r="I27" s="68">
        <f>I18+I25</f>
        <v>312070406</v>
      </c>
      <c r="J27" s="68">
        <f t="shared" ref="J27:L27" si="5">J18+J25</f>
        <v>35612988</v>
      </c>
      <c r="K27" s="68">
        <f t="shared" si="5"/>
        <v>-18583926</v>
      </c>
      <c r="L27" s="68">
        <f t="shared" si="5"/>
        <v>329099468</v>
      </c>
    </row>
    <row r="28" spans="1:13">
      <c r="A28" s="1" t="s">
        <v>396</v>
      </c>
      <c r="C28" s="1"/>
      <c r="I28" s="68">
        <f>I11+I27</f>
        <v>472925486</v>
      </c>
      <c r="J28" s="68">
        <f t="shared" ref="J28:K28" si="6">J11+J27</f>
        <v>67222652</v>
      </c>
      <c r="K28" s="68">
        <f t="shared" si="6"/>
        <v>-75990053</v>
      </c>
      <c r="L28" s="68">
        <f>L11+L27</f>
        <v>464158085</v>
      </c>
      <c r="M28" s="38">
        <f>SUM(M8:M25)</f>
        <v>464158085</v>
      </c>
    </row>
    <row r="29" spans="1:13">
      <c r="C29" s="1"/>
      <c r="I29" s="76"/>
      <c r="J29" s="76"/>
      <c r="K29" s="76"/>
      <c r="L29" s="76"/>
    </row>
    <row r="30" spans="1:13">
      <c r="C30" s="1"/>
      <c r="I30" s="76"/>
      <c r="J30" s="76"/>
      <c r="K30" s="76"/>
      <c r="L30" s="76"/>
    </row>
    <row r="31" spans="1:13">
      <c r="A31" s="1" t="s">
        <v>36</v>
      </c>
      <c r="B31" s="1"/>
      <c r="C31" s="1"/>
      <c r="D31" s="1"/>
      <c r="E31" s="1"/>
      <c r="F31" s="1"/>
    </row>
    <row r="32" spans="1:13">
      <c r="A32" s="1" t="s">
        <v>9</v>
      </c>
      <c r="B32" s="1"/>
      <c r="C32" s="1"/>
      <c r="D32" s="1"/>
      <c r="E32" s="1"/>
      <c r="F32" s="1"/>
      <c r="I32" s="38"/>
      <c r="J32" s="38"/>
      <c r="K32" s="38"/>
      <c r="L32" s="38"/>
    </row>
    <row r="33" spans="1:13">
      <c r="A33" s="1"/>
      <c r="B33" s="2" t="s">
        <v>10</v>
      </c>
      <c r="C33" s="1"/>
      <c r="D33" s="1"/>
      <c r="E33" s="1"/>
      <c r="F33" s="1"/>
      <c r="I33" s="38">
        <v>52000</v>
      </c>
      <c r="J33" s="38"/>
      <c r="K33" s="38"/>
      <c r="L33" s="38">
        <f>SUM(I33:K33)</f>
        <v>52000</v>
      </c>
      <c r="M33" s="38">
        <f>L33</f>
        <v>52000</v>
      </c>
    </row>
    <row r="34" spans="1:13">
      <c r="B34" s="2" t="s">
        <v>397</v>
      </c>
      <c r="I34" s="38">
        <v>27712347</v>
      </c>
      <c r="J34" s="38">
        <v>5523911</v>
      </c>
      <c r="K34" s="38">
        <v>-7251313</v>
      </c>
      <c r="L34" s="38">
        <f>SUM(I34:K34)</f>
        <v>25984945</v>
      </c>
      <c r="M34" s="38">
        <f>L34</f>
        <v>25984945</v>
      </c>
    </row>
    <row r="35" spans="1:13">
      <c r="A35" s="1" t="s">
        <v>92</v>
      </c>
      <c r="B35" s="1"/>
      <c r="C35" s="1"/>
      <c r="D35" s="1"/>
      <c r="E35" s="1"/>
      <c r="F35" s="1"/>
      <c r="G35" s="1"/>
      <c r="H35" s="1"/>
      <c r="I35" s="71">
        <f>SUM(I33:I34)</f>
        <v>27764347</v>
      </c>
      <c r="J35" s="71">
        <f t="shared" ref="J35:L35" si="7">SUM(J33:J34)</f>
        <v>5523911</v>
      </c>
      <c r="K35" s="71">
        <f t="shared" si="7"/>
        <v>-7251313</v>
      </c>
      <c r="L35" s="71">
        <f t="shared" si="7"/>
        <v>26036945</v>
      </c>
    </row>
    <row r="37" spans="1:13">
      <c r="A37" s="1" t="s">
        <v>384</v>
      </c>
      <c r="B37" s="33"/>
      <c r="C37" s="1"/>
      <c r="I37" s="77"/>
      <c r="J37" s="77"/>
      <c r="K37" s="77"/>
      <c r="L37" s="77"/>
    </row>
    <row r="38" spans="1:13">
      <c r="A38" s="1"/>
      <c r="B38" s="33" t="s">
        <v>74</v>
      </c>
      <c r="C38" s="1"/>
      <c r="I38" s="48">
        <v>36166045</v>
      </c>
      <c r="J38" s="48">
        <v>2869620</v>
      </c>
      <c r="K38" s="48">
        <v>-58133</v>
      </c>
      <c r="L38" s="48">
        <f>SUM(I38:K38)</f>
        <v>38977532</v>
      </c>
    </row>
    <row r="39" spans="1:13">
      <c r="A39" s="1"/>
      <c r="B39" s="33" t="s">
        <v>204</v>
      </c>
      <c r="C39" s="1"/>
      <c r="I39" s="48">
        <v>91736274</v>
      </c>
      <c r="J39" s="48">
        <v>291945</v>
      </c>
      <c r="K39" s="48">
        <v>-257392</v>
      </c>
      <c r="L39" s="48">
        <f>SUM(I39:K39)</f>
        <v>91770827</v>
      </c>
    </row>
    <row r="40" spans="1:13">
      <c r="A40" s="1"/>
      <c r="B40" s="33" t="s">
        <v>104</v>
      </c>
      <c r="C40" s="1"/>
      <c r="I40" s="48">
        <v>3832014</v>
      </c>
      <c r="J40" s="48">
        <v>447744</v>
      </c>
      <c r="K40" s="48">
        <v>-378698</v>
      </c>
      <c r="L40" s="48">
        <f>SUM(I40:K40)</f>
        <v>3901060</v>
      </c>
    </row>
    <row r="41" spans="1:13">
      <c r="A41" s="1"/>
      <c r="B41" s="33" t="s">
        <v>17</v>
      </c>
      <c r="C41" s="1"/>
      <c r="I41" s="48">
        <v>4451924</v>
      </c>
      <c r="J41" s="48">
        <v>4638425</v>
      </c>
      <c r="K41" s="48"/>
      <c r="L41" s="48">
        <f>SUM(I41:K41)</f>
        <v>9090349</v>
      </c>
      <c r="M41" s="38"/>
    </row>
    <row r="42" spans="1:13">
      <c r="C42" s="49" t="s">
        <v>18</v>
      </c>
      <c r="D42" s="33"/>
      <c r="E42" s="33"/>
      <c r="F42" s="33"/>
      <c r="G42" s="33"/>
      <c r="H42" s="33"/>
      <c r="I42" s="78">
        <f>SUM(I38:I41)</f>
        <v>136186257</v>
      </c>
      <c r="J42" s="78">
        <f t="shared" ref="J42:L42" si="8">SUM(J38:J41)</f>
        <v>8247734</v>
      </c>
      <c r="K42" s="78">
        <f t="shared" si="8"/>
        <v>-694223</v>
      </c>
      <c r="L42" s="78">
        <f t="shared" si="8"/>
        <v>143739768</v>
      </c>
    </row>
    <row r="43" spans="1:13">
      <c r="A43" s="1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3">
      <c r="A44" s="1" t="s">
        <v>398</v>
      </c>
      <c r="B44" s="49"/>
      <c r="C44" s="33"/>
      <c r="D44" s="33"/>
      <c r="E44" s="33"/>
      <c r="F44" s="33"/>
      <c r="G44" s="33"/>
      <c r="H44" s="33"/>
      <c r="I44" s="77"/>
      <c r="J44" s="77"/>
      <c r="K44" s="77"/>
      <c r="L44" s="77"/>
    </row>
    <row r="45" spans="1:13">
      <c r="B45" s="33" t="s">
        <v>74</v>
      </c>
      <c r="C45" s="33"/>
      <c r="D45" s="33"/>
      <c r="E45" s="33"/>
      <c r="F45" s="33"/>
      <c r="G45" s="33"/>
      <c r="H45" s="33"/>
      <c r="I45" s="33">
        <v>-10188074</v>
      </c>
      <c r="J45" s="33">
        <v>-827992</v>
      </c>
      <c r="K45" s="33"/>
      <c r="L45" s="33">
        <f>SUM(I45:K45)</f>
        <v>-11016066</v>
      </c>
      <c r="M45" s="38">
        <f>L38+L45</f>
        <v>27961466</v>
      </c>
    </row>
    <row r="46" spans="1:13">
      <c r="B46" s="33" t="s">
        <v>204</v>
      </c>
      <c r="C46" s="33"/>
      <c r="D46" s="33"/>
      <c r="E46" s="33"/>
      <c r="F46" s="33"/>
      <c r="G46" s="33"/>
      <c r="H46" s="33"/>
      <c r="I46" s="33">
        <v>-47666191</v>
      </c>
      <c r="J46" s="33">
        <v>-3289596</v>
      </c>
      <c r="K46" s="33"/>
      <c r="L46" s="33">
        <f>SUM(I46:K46)</f>
        <v>-50955787</v>
      </c>
      <c r="M46" s="38">
        <f t="shared" ref="M46:M48" si="9">L39+L46</f>
        <v>40815040</v>
      </c>
    </row>
    <row r="47" spans="1:13">
      <c r="A47" s="1"/>
      <c r="B47" s="2" t="s">
        <v>104</v>
      </c>
      <c r="C47" s="33"/>
      <c r="D47" s="33"/>
      <c r="E47" s="33"/>
      <c r="F47" s="33"/>
      <c r="G47" s="33"/>
      <c r="H47" s="33"/>
      <c r="I47" s="33">
        <v>-2465756</v>
      </c>
      <c r="J47" s="33">
        <v>-231085</v>
      </c>
      <c r="K47" s="33">
        <v>343947</v>
      </c>
      <c r="L47" s="33">
        <f>SUM(I47:K47)</f>
        <v>-2352894</v>
      </c>
      <c r="M47" s="38">
        <f t="shared" si="9"/>
        <v>1548166</v>
      </c>
    </row>
    <row r="48" spans="1:13">
      <c r="A48" s="1"/>
      <c r="B48" s="2" t="s">
        <v>17</v>
      </c>
      <c r="C48" s="33"/>
      <c r="D48" s="33"/>
      <c r="E48" s="33"/>
      <c r="F48" s="33"/>
      <c r="G48" s="33"/>
      <c r="H48" s="33"/>
      <c r="I48" s="33">
        <v>-119833</v>
      </c>
      <c r="J48" s="33">
        <v>-142696</v>
      </c>
      <c r="K48" s="33"/>
      <c r="L48" s="33">
        <f>SUM(I48:K48)</f>
        <v>-262529</v>
      </c>
      <c r="M48" s="38">
        <f t="shared" si="9"/>
        <v>8827820</v>
      </c>
    </row>
    <row r="49" spans="1:13">
      <c r="A49" s="1"/>
      <c r="B49" s="1"/>
      <c r="C49" s="49" t="s">
        <v>20</v>
      </c>
      <c r="D49" s="33"/>
      <c r="E49" s="33"/>
      <c r="F49" s="33"/>
      <c r="G49" s="33"/>
      <c r="H49" s="33"/>
      <c r="I49" s="78">
        <f>SUM(I45:I48)</f>
        <v>-60439854</v>
      </c>
      <c r="J49" s="78">
        <f>SUM(J45:J48)</f>
        <v>-4491369</v>
      </c>
      <c r="K49" s="78">
        <f>SUM(K45:K48)</f>
        <v>343947</v>
      </c>
      <c r="L49" s="78">
        <f>SUM(L45:L48)</f>
        <v>-64587276</v>
      </c>
    </row>
    <row r="50" spans="1:13">
      <c r="A50" s="1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3">
      <c r="A51" s="1" t="s">
        <v>21</v>
      </c>
      <c r="B51" s="49"/>
      <c r="C51" s="33"/>
      <c r="D51" s="33"/>
      <c r="E51" s="33"/>
      <c r="F51" s="33"/>
      <c r="G51" s="33"/>
      <c r="H51" s="33"/>
      <c r="I51" s="69">
        <f>I42+I49</f>
        <v>75746403</v>
      </c>
      <c r="J51" s="69">
        <f t="shared" ref="J51:L51" si="10">J42+J49</f>
        <v>3756365</v>
      </c>
      <c r="K51" s="69">
        <f t="shared" si="10"/>
        <v>-350276</v>
      </c>
      <c r="L51" s="69">
        <f t="shared" si="10"/>
        <v>79152492</v>
      </c>
    </row>
    <row r="52" spans="1:13">
      <c r="B52" s="49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3" ht="19.5" thickBot="1">
      <c r="A53" s="1" t="s">
        <v>399</v>
      </c>
      <c r="B53" s="1"/>
      <c r="C53" s="33"/>
      <c r="D53" s="33"/>
      <c r="E53" s="33"/>
      <c r="F53" s="33"/>
      <c r="G53" s="33"/>
      <c r="H53" s="33"/>
      <c r="I53" s="79">
        <f>I35+I51</f>
        <v>103510750</v>
      </c>
      <c r="J53" s="79">
        <f t="shared" ref="J53:L53" si="11">J35+J51</f>
        <v>9280276</v>
      </c>
      <c r="K53" s="79">
        <f t="shared" si="11"/>
        <v>-7601589</v>
      </c>
      <c r="L53" s="79">
        <f t="shared" si="11"/>
        <v>105189437</v>
      </c>
      <c r="M53" s="38">
        <f>SUM(M33:M51)</f>
        <v>105189437</v>
      </c>
    </row>
    <row r="54" spans="1:13">
      <c r="A54" s="1"/>
      <c r="B54" s="1"/>
      <c r="C54" s="33"/>
      <c r="D54" s="33"/>
      <c r="E54" s="33"/>
      <c r="F54" s="33"/>
      <c r="G54" s="33"/>
      <c r="H54" s="33"/>
      <c r="I54" s="77"/>
      <c r="J54" s="77"/>
      <c r="K54" s="77"/>
      <c r="L54" s="77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42"/>
  <sheetViews>
    <sheetView topLeftCell="A10" zoomScale="90" zoomScaleNormal="90" zoomScalePageLayoutView="70" workbookViewId="0">
      <selection activeCell="J42" sqref="J42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22" style="2" bestFit="1" customWidth="1"/>
    <col min="10" max="10" width="15.7109375" style="2" bestFit="1" customWidth="1"/>
    <col min="11" max="11" width="19.85546875" style="2" bestFit="1" customWidth="1"/>
    <col min="12" max="12" width="16.42578125" style="2" bestFit="1" customWidth="1"/>
    <col min="13" max="13" width="17.28515625" customWidth="1"/>
  </cols>
  <sheetData>
    <row r="1" spans="1:13">
      <c r="D1" s="159" t="s">
        <v>400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>
      <c r="D4" s="151"/>
      <c r="E4" s="151"/>
      <c r="F4" s="151"/>
      <c r="G4" s="151"/>
      <c r="H4" s="151"/>
      <c r="I4" s="151"/>
    </row>
    <row r="5" spans="1:13" ht="37.5">
      <c r="I5" s="63" t="s">
        <v>3</v>
      </c>
      <c r="J5" s="63" t="s">
        <v>4</v>
      </c>
      <c r="K5" s="63" t="s">
        <v>5</v>
      </c>
      <c r="L5" s="63" t="s">
        <v>6</v>
      </c>
      <c r="M5" s="63" t="s">
        <v>7</v>
      </c>
    </row>
    <row r="6" spans="1:13">
      <c r="A6" s="1" t="s">
        <v>8</v>
      </c>
      <c r="B6" s="1"/>
      <c r="C6" s="1"/>
      <c r="D6" s="1"/>
      <c r="E6" s="1"/>
      <c r="F6" s="1"/>
    </row>
    <row r="7" spans="1:13">
      <c r="A7" s="1" t="s">
        <v>9</v>
      </c>
      <c r="B7" s="1"/>
      <c r="C7" s="1"/>
      <c r="D7" s="1"/>
      <c r="E7" s="1"/>
      <c r="F7" s="1"/>
      <c r="I7" s="38"/>
      <c r="J7" s="38"/>
      <c r="K7" s="38"/>
      <c r="L7" s="38"/>
    </row>
    <row r="8" spans="1:13">
      <c r="B8" s="2" t="s">
        <v>10</v>
      </c>
      <c r="I8" s="38">
        <v>841274</v>
      </c>
      <c r="J8" s="38"/>
      <c r="K8" s="38"/>
      <c r="L8" s="38">
        <f>SUM(I8:K8)</f>
        <v>841274</v>
      </c>
      <c r="M8" s="50">
        <f>L8</f>
        <v>841274</v>
      </c>
    </row>
    <row r="9" spans="1:13">
      <c r="B9" s="2" t="s">
        <v>401</v>
      </c>
      <c r="I9" s="38">
        <v>618897</v>
      </c>
      <c r="J9" s="38">
        <v>2584578</v>
      </c>
      <c r="K9" s="38"/>
      <c r="L9" s="38">
        <f>SUM(I9:K9)</f>
        <v>3203475</v>
      </c>
      <c r="M9" s="50">
        <f>L9</f>
        <v>3203475</v>
      </c>
    </row>
    <row r="10" spans="1:13">
      <c r="A10" s="1"/>
      <c r="B10" s="1"/>
      <c r="C10" s="1" t="s">
        <v>402</v>
      </c>
      <c r="D10" s="1"/>
      <c r="E10" s="1"/>
      <c r="F10" s="1"/>
      <c r="G10" s="1"/>
      <c r="H10" s="1"/>
      <c r="I10" s="74">
        <f>SUM(I8:I9)</f>
        <v>1460171</v>
      </c>
      <c r="J10" s="74">
        <f>SUM(J8:J9)</f>
        <v>2584578</v>
      </c>
      <c r="K10" s="74">
        <f>SUM(K8:K9)</f>
        <v>0</v>
      </c>
      <c r="L10" s="74">
        <f>SUM(L8:L9)</f>
        <v>4044749</v>
      </c>
    </row>
    <row r="12" spans="1:13">
      <c r="A12" s="1" t="s">
        <v>216</v>
      </c>
    </row>
    <row r="13" spans="1:13">
      <c r="B13" s="2" t="s">
        <v>14</v>
      </c>
      <c r="I13" s="32">
        <v>9156077</v>
      </c>
      <c r="J13" s="38">
        <v>652962</v>
      </c>
      <c r="K13" s="38"/>
      <c r="L13" s="38">
        <f>SUM(I13:K13)</f>
        <v>9809039</v>
      </c>
    </row>
    <row r="14" spans="1:13">
      <c r="B14" s="2" t="s">
        <v>403</v>
      </c>
      <c r="I14" s="32">
        <v>3065316</v>
      </c>
      <c r="J14" s="38">
        <v>95570</v>
      </c>
      <c r="K14" s="38">
        <v>-4042</v>
      </c>
      <c r="L14" s="38">
        <f>SUM(I14:K14)</f>
        <v>3156844</v>
      </c>
    </row>
    <row r="15" spans="1:13">
      <c r="B15" s="2" t="s">
        <v>404</v>
      </c>
      <c r="I15" s="32">
        <v>7196401</v>
      </c>
      <c r="J15" s="38">
        <v>106030</v>
      </c>
      <c r="K15" s="38"/>
      <c r="L15" s="38">
        <f>SUM(I15:K15)</f>
        <v>7302431</v>
      </c>
    </row>
    <row r="16" spans="1:13">
      <c r="B16" s="2" t="s">
        <v>17</v>
      </c>
      <c r="I16" s="32">
        <v>13260397</v>
      </c>
      <c r="J16" s="38">
        <v>27775</v>
      </c>
      <c r="K16" s="38"/>
      <c r="L16" s="38">
        <f>SUM(I16:K16)</f>
        <v>13288172</v>
      </c>
    </row>
    <row r="17" spans="1:13">
      <c r="C17" s="1" t="s">
        <v>18</v>
      </c>
      <c r="I17" s="75">
        <f>SUM(I13:I16)</f>
        <v>32678191</v>
      </c>
      <c r="J17" s="75">
        <f t="shared" ref="J17:L17" si="0">SUM(J13:J16)</f>
        <v>882337</v>
      </c>
      <c r="K17" s="75">
        <f t="shared" si="0"/>
        <v>-4042</v>
      </c>
      <c r="L17" s="75">
        <f t="shared" si="0"/>
        <v>33556486</v>
      </c>
    </row>
    <row r="19" spans="1:13">
      <c r="A19" s="1" t="s">
        <v>398</v>
      </c>
      <c r="J19" s="38"/>
      <c r="K19" s="38"/>
      <c r="L19" s="38"/>
    </row>
    <row r="20" spans="1:13">
      <c r="B20" s="2" t="s">
        <v>14</v>
      </c>
      <c r="I20" s="38">
        <v>4326307</v>
      </c>
      <c r="J20" s="38">
        <v>226560</v>
      </c>
      <c r="K20" s="38"/>
      <c r="L20" s="38">
        <f>SUM(I20:K20)</f>
        <v>4552867</v>
      </c>
      <c r="M20" s="50">
        <f>L13+L20</f>
        <v>14361906</v>
      </c>
    </row>
    <row r="21" spans="1:13">
      <c r="B21" s="2" t="s">
        <v>403</v>
      </c>
      <c r="I21" s="38">
        <v>2602281</v>
      </c>
      <c r="J21" s="38">
        <v>128808</v>
      </c>
      <c r="K21" s="38">
        <v>-4042</v>
      </c>
      <c r="L21" s="38">
        <f>SUM(I21:K21)</f>
        <v>2727047</v>
      </c>
      <c r="M21" s="50">
        <f>L14+L21</f>
        <v>5883891</v>
      </c>
    </row>
    <row r="22" spans="1:13">
      <c r="B22" s="2" t="s">
        <v>404</v>
      </c>
      <c r="I22" s="38">
        <v>6851465</v>
      </c>
      <c r="J22" s="38">
        <v>124939</v>
      </c>
      <c r="K22" s="38"/>
      <c r="L22" s="38">
        <f>SUM(I22:K22)</f>
        <v>6976404</v>
      </c>
      <c r="M22" s="50">
        <f>L15+L22</f>
        <v>14278835</v>
      </c>
    </row>
    <row r="23" spans="1:13">
      <c r="B23" s="2" t="s">
        <v>17</v>
      </c>
      <c r="I23" s="2">
        <v>3424582</v>
      </c>
      <c r="J23" s="38">
        <v>685271</v>
      </c>
      <c r="K23" s="38"/>
      <c r="L23" s="38">
        <f>SUM(I23:K23)</f>
        <v>4109853</v>
      </c>
      <c r="M23" s="50">
        <f>L16+L23</f>
        <v>17398025</v>
      </c>
    </row>
    <row r="24" spans="1:13">
      <c r="A24" s="1"/>
      <c r="C24" s="1" t="s">
        <v>20</v>
      </c>
      <c r="I24" s="68">
        <f>SUM(I20:I23)</f>
        <v>17204635</v>
      </c>
      <c r="J24" s="68">
        <f t="shared" ref="J24:L24" si="1">SUM(J20:J23)</f>
        <v>1165578</v>
      </c>
      <c r="K24" s="68">
        <f t="shared" si="1"/>
        <v>-4042</v>
      </c>
      <c r="L24" s="68">
        <f t="shared" si="1"/>
        <v>18366171</v>
      </c>
    </row>
    <row r="26" spans="1:13">
      <c r="A26" s="1" t="s">
        <v>395</v>
      </c>
      <c r="C26" s="1"/>
      <c r="I26" s="68">
        <f>I17+I24</f>
        <v>49882826</v>
      </c>
      <c r="J26" s="68">
        <f t="shared" ref="J26:L26" si="2">J17+J24</f>
        <v>2047915</v>
      </c>
      <c r="K26" s="68">
        <f t="shared" si="2"/>
        <v>-8084</v>
      </c>
      <c r="L26" s="68">
        <f t="shared" si="2"/>
        <v>51922657</v>
      </c>
    </row>
    <row r="27" spans="1:13">
      <c r="A27" s="1" t="s">
        <v>405</v>
      </c>
      <c r="C27" s="1"/>
      <c r="I27" s="68">
        <f>I10+I26</f>
        <v>51342997</v>
      </c>
      <c r="J27" s="68">
        <f t="shared" ref="J27:K27" si="3">J10+J26</f>
        <v>4632493</v>
      </c>
      <c r="K27" s="68">
        <f t="shared" si="3"/>
        <v>-8084</v>
      </c>
      <c r="L27" s="68">
        <f>L10+L26</f>
        <v>55967406</v>
      </c>
      <c r="M27" s="50">
        <f>SUM(M8:M25)</f>
        <v>55967406</v>
      </c>
    </row>
    <row r="28" spans="1:13">
      <c r="C28" s="1"/>
      <c r="I28" s="76"/>
      <c r="J28" s="76"/>
      <c r="K28" s="76"/>
      <c r="L28" s="76"/>
    </row>
    <row r="29" spans="1:13">
      <c r="C29" s="1"/>
      <c r="I29" s="76"/>
      <c r="J29" s="76"/>
      <c r="K29" s="76"/>
      <c r="L29" s="76"/>
    </row>
    <row r="30" spans="1:13">
      <c r="A30" s="1" t="s">
        <v>36</v>
      </c>
      <c r="B30" s="1"/>
      <c r="C30" s="1"/>
      <c r="D30" s="1"/>
      <c r="E30" s="1"/>
      <c r="F30" s="1"/>
    </row>
    <row r="31" spans="1:13">
      <c r="A31" s="1" t="s">
        <v>9</v>
      </c>
      <c r="B31" s="1"/>
      <c r="C31" s="1"/>
      <c r="D31" s="1"/>
      <c r="E31" s="1"/>
      <c r="F31" s="1"/>
      <c r="I31" s="38"/>
      <c r="J31" s="38"/>
      <c r="K31" s="38"/>
      <c r="L31" s="38"/>
    </row>
    <row r="32" spans="1:13">
      <c r="A32" s="1"/>
      <c r="B32" s="2" t="s">
        <v>397</v>
      </c>
      <c r="C32" s="1"/>
      <c r="D32" s="1"/>
      <c r="E32" s="1"/>
      <c r="F32" s="1"/>
      <c r="I32" s="38"/>
      <c r="J32" s="38">
        <v>191535</v>
      </c>
      <c r="K32" s="38"/>
      <c r="L32" s="38">
        <f>SUM(I32:K32)</f>
        <v>191535</v>
      </c>
      <c r="M32" s="50">
        <f>L32</f>
        <v>191535</v>
      </c>
    </row>
    <row r="33" spans="1:13">
      <c r="A33" s="1"/>
      <c r="B33" s="2" t="s">
        <v>10</v>
      </c>
      <c r="C33" s="1"/>
      <c r="D33" s="1"/>
      <c r="E33" s="1"/>
      <c r="F33" s="1"/>
      <c r="I33" s="65">
        <v>45233</v>
      </c>
      <c r="J33" s="65"/>
      <c r="K33" s="65"/>
      <c r="L33" s="65">
        <f>SUM(I33:K33)</f>
        <v>45233</v>
      </c>
      <c r="M33" s="50">
        <f>L33</f>
        <v>45233</v>
      </c>
    </row>
    <row r="35" spans="1:13">
      <c r="A35" s="1" t="s">
        <v>384</v>
      </c>
      <c r="B35" s="33"/>
      <c r="C35" s="1"/>
      <c r="I35" s="77"/>
      <c r="J35" s="77"/>
      <c r="K35" s="77"/>
      <c r="L35" s="77"/>
    </row>
    <row r="36" spans="1:13">
      <c r="A36" s="1"/>
      <c r="B36" s="33" t="s">
        <v>406</v>
      </c>
      <c r="C36" s="1"/>
      <c r="I36" s="48">
        <v>7924013</v>
      </c>
      <c r="J36" s="48">
        <v>249406</v>
      </c>
      <c r="K36" s="48"/>
      <c r="L36" s="48">
        <f>SUM(I36:K36)</f>
        <v>8173419</v>
      </c>
    </row>
    <row r="37" spans="1:13">
      <c r="A37" s="1"/>
      <c r="B37" s="33" t="s">
        <v>334</v>
      </c>
      <c r="C37" s="33"/>
      <c r="D37" s="33"/>
      <c r="E37" s="33"/>
      <c r="F37" s="33"/>
      <c r="G37" s="33"/>
      <c r="H37" s="33"/>
      <c r="I37" s="85">
        <v>-5862789</v>
      </c>
      <c r="J37" s="85">
        <v>-226652</v>
      </c>
      <c r="K37" s="85"/>
      <c r="L37" s="85">
        <f>SUM(I37:K37)</f>
        <v>-6089441</v>
      </c>
      <c r="M37" s="50"/>
    </row>
    <row r="38" spans="1:13">
      <c r="A38" s="1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spans="1:13">
      <c r="A39" s="1" t="s">
        <v>21</v>
      </c>
      <c r="B39" s="49"/>
      <c r="C39" s="33"/>
      <c r="D39" s="33"/>
      <c r="E39" s="33"/>
      <c r="F39" s="33"/>
      <c r="G39" s="33"/>
      <c r="H39" s="33"/>
      <c r="I39" s="69">
        <f>SUM(I36:I37)</f>
        <v>2061224</v>
      </c>
      <c r="J39" s="69">
        <f t="shared" ref="J39:L39" si="4">SUM(J36:J37)</f>
        <v>22754</v>
      </c>
      <c r="K39" s="69">
        <f t="shared" si="4"/>
        <v>0</v>
      </c>
      <c r="L39" s="69">
        <f t="shared" si="4"/>
        <v>2083978</v>
      </c>
      <c r="M39" s="50">
        <f>L39</f>
        <v>2083978</v>
      </c>
    </row>
    <row r="40" spans="1:13">
      <c r="B40" s="49"/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1" spans="1:13" ht="19.5" thickBot="1">
      <c r="A41" s="1" t="s">
        <v>44</v>
      </c>
      <c r="B41" s="1"/>
      <c r="C41" s="33"/>
      <c r="D41" s="33"/>
      <c r="E41" s="33"/>
      <c r="F41" s="33"/>
      <c r="G41" s="33"/>
      <c r="H41" s="33"/>
      <c r="I41" s="79">
        <f t="shared" ref="I41:K41" si="5">SUM(I39,I33)</f>
        <v>2106457</v>
      </c>
      <c r="J41" s="79">
        <f t="shared" si="5"/>
        <v>22754</v>
      </c>
      <c r="K41" s="79">
        <f t="shared" si="5"/>
        <v>0</v>
      </c>
      <c r="L41" s="79">
        <f>SUM(L39,L33)</f>
        <v>2129211</v>
      </c>
      <c r="M41" s="50">
        <f>SUM(M33:M39)</f>
        <v>2129211</v>
      </c>
    </row>
    <row r="42" spans="1:13">
      <c r="A42" s="1"/>
      <c r="B42" s="1"/>
      <c r="C42" s="33"/>
      <c r="D42" s="33"/>
      <c r="E42" s="33"/>
      <c r="F42" s="33"/>
      <c r="G42" s="33"/>
      <c r="H42" s="33"/>
      <c r="I42" s="77"/>
      <c r="J42" s="77"/>
      <c r="K42" s="77"/>
      <c r="L42" s="77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K20"/>
  <sheetViews>
    <sheetView zoomScaleNormal="100" workbookViewId="0">
      <selection activeCell="G16" sqref="G16"/>
    </sheetView>
  </sheetViews>
  <sheetFormatPr defaultColWidth="8.85546875" defaultRowHeight="18.75"/>
  <cols>
    <col min="1" max="1" width="4.42578125" style="2" customWidth="1"/>
    <col min="2" max="2" width="4.7109375" style="2" customWidth="1"/>
    <col min="3" max="3" width="4.140625" style="2" customWidth="1"/>
    <col min="4" max="4" width="31.42578125" style="2" customWidth="1"/>
    <col min="5" max="5" width="21.140625" style="2" bestFit="1" customWidth="1"/>
    <col min="6" max="6" width="21" style="2" customWidth="1"/>
    <col min="7" max="7" width="20.28515625" style="2" customWidth="1"/>
    <col min="8" max="8" width="18.140625" style="2" customWidth="1"/>
    <col min="9" max="9" width="18.42578125" style="2" bestFit="1" customWidth="1"/>
    <col min="10" max="10" width="19.42578125" style="2" customWidth="1"/>
    <col min="11" max="11" width="17.42578125" style="2" bestFit="1" customWidth="1"/>
    <col min="12" max="16384" width="8.85546875" style="2"/>
  </cols>
  <sheetData>
    <row r="1" spans="2:11">
      <c r="D1" s="159" t="s">
        <v>407</v>
      </c>
      <c r="E1" s="159"/>
      <c r="F1" s="159"/>
      <c r="G1" s="159"/>
      <c r="H1" s="159"/>
    </row>
    <row r="2" spans="2:11">
      <c r="D2" s="159" t="s">
        <v>1</v>
      </c>
      <c r="E2" s="159"/>
      <c r="F2" s="159"/>
      <c r="G2" s="159"/>
      <c r="H2" s="159"/>
    </row>
    <row r="3" spans="2:11">
      <c r="D3" s="159" t="s">
        <v>2</v>
      </c>
      <c r="E3" s="159"/>
      <c r="F3" s="159"/>
      <c r="G3" s="159"/>
      <c r="H3" s="159"/>
    </row>
    <row r="4" spans="2:11">
      <c r="D4" s="151"/>
      <c r="E4" s="151"/>
      <c r="F4" s="151"/>
      <c r="G4" s="151"/>
      <c r="H4" s="151"/>
    </row>
    <row r="5" spans="2:11">
      <c r="C5" s="1" t="s">
        <v>219</v>
      </c>
      <c r="D5" s="151"/>
      <c r="E5" s="151"/>
      <c r="F5" s="151"/>
      <c r="G5" s="151"/>
      <c r="H5" s="151"/>
    </row>
    <row r="6" spans="2:11" ht="37.5">
      <c r="E6" s="80" t="s">
        <v>10</v>
      </c>
      <c r="F6" s="81" t="s">
        <v>220</v>
      </c>
      <c r="G6" s="81" t="s">
        <v>74</v>
      </c>
      <c r="H6" s="81" t="s">
        <v>222</v>
      </c>
      <c r="I6" s="81" t="s">
        <v>17</v>
      </c>
      <c r="J6" s="81" t="s">
        <v>208</v>
      </c>
      <c r="K6" s="1"/>
    </row>
    <row r="7" spans="2:11">
      <c r="C7" s="2" t="s">
        <v>408</v>
      </c>
      <c r="E7" s="3">
        <v>1991998</v>
      </c>
      <c r="F7" s="3">
        <v>4503009</v>
      </c>
      <c r="G7" s="3">
        <v>25842304</v>
      </c>
      <c r="H7" s="3">
        <v>23946814</v>
      </c>
      <c r="I7" s="3">
        <v>346773509</v>
      </c>
      <c r="J7" s="3">
        <f>SUM(E7:I7)</f>
        <v>403057634</v>
      </c>
      <c r="K7" s="3"/>
    </row>
    <row r="8" spans="2:11">
      <c r="D8" s="2" t="s">
        <v>63</v>
      </c>
      <c r="E8" s="3">
        <v>1133050</v>
      </c>
      <c r="F8" s="3">
        <v>11789224</v>
      </c>
      <c r="G8" s="3">
        <v>482721</v>
      </c>
      <c r="H8" s="3">
        <v>805282</v>
      </c>
      <c r="I8" s="3">
        <v>2842177</v>
      </c>
      <c r="J8" s="3">
        <f t="shared" ref="J8:J10" si="0">SUM(E8:I8)</f>
        <v>17052454</v>
      </c>
      <c r="K8" s="3"/>
    </row>
    <row r="9" spans="2:11">
      <c r="D9" s="2" t="s">
        <v>68</v>
      </c>
      <c r="E9" s="6"/>
      <c r="F9" s="6">
        <v>-3950167</v>
      </c>
      <c r="G9" s="6">
        <v>-139311</v>
      </c>
      <c r="H9" s="6">
        <v>-1217194</v>
      </c>
      <c r="I9" s="6"/>
      <c r="J9" s="6">
        <f t="shared" si="0"/>
        <v>-5306672</v>
      </c>
    </row>
    <row r="10" spans="2:11">
      <c r="C10" s="2" t="s">
        <v>241</v>
      </c>
      <c r="E10" s="6">
        <f>SUM(E7:E9)</f>
        <v>3125048</v>
      </c>
      <c r="F10" s="6">
        <f t="shared" ref="F10:I10" si="1">SUM(F7:F9)</f>
        <v>12342066</v>
      </c>
      <c r="G10" s="6">
        <f t="shared" si="1"/>
        <v>26185714</v>
      </c>
      <c r="H10" s="6">
        <f t="shared" si="1"/>
        <v>23534902</v>
      </c>
      <c r="I10" s="6">
        <f t="shared" si="1"/>
        <v>349615686</v>
      </c>
      <c r="J10" s="6">
        <f t="shared" si="0"/>
        <v>414803416</v>
      </c>
    </row>
    <row r="11" spans="2:11">
      <c r="E11" s="3"/>
      <c r="F11" s="3"/>
      <c r="G11" s="3"/>
      <c r="H11" s="3"/>
      <c r="I11" s="3"/>
      <c r="J11" s="3" t="s">
        <v>153</v>
      </c>
    </row>
    <row r="12" spans="2:11">
      <c r="B12" s="2" t="s">
        <v>353</v>
      </c>
      <c r="E12" s="3"/>
      <c r="F12" s="3"/>
      <c r="G12" s="3"/>
      <c r="H12" s="3"/>
      <c r="I12" s="3"/>
      <c r="J12" s="3" t="s">
        <v>153</v>
      </c>
    </row>
    <row r="13" spans="2:11">
      <c r="C13" s="2" t="s">
        <v>408</v>
      </c>
      <c r="D13" s="82"/>
      <c r="E13" s="3"/>
      <c r="F13" s="3"/>
      <c r="G13" s="3">
        <v>-15819276</v>
      </c>
      <c r="H13" s="3">
        <v>-15912415</v>
      </c>
      <c r="I13" s="3">
        <v>-317214998</v>
      </c>
      <c r="J13" s="3">
        <f>SUM(E13:I13)</f>
        <v>-348946689</v>
      </c>
      <c r="K13" s="3"/>
    </row>
    <row r="14" spans="2:11">
      <c r="D14" s="2" t="s">
        <v>63</v>
      </c>
      <c r="E14" s="3"/>
      <c r="F14" s="3"/>
      <c r="G14" s="3">
        <v>-582821</v>
      </c>
      <c r="H14" s="3">
        <v>-1355651</v>
      </c>
      <c r="I14" s="3">
        <v>-1047236</v>
      </c>
      <c r="J14" s="3">
        <f>SUM(E14:I14)</f>
        <v>-2985708</v>
      </c>
      <c r="K14" s="3"/>
    </row>
    <row r="15" spans="2:11">
      <c r="D15" s="2" t="s">
        <v>68</v>
      </c>
      <c r="E15" s="6"/>
      <c r="F15" s="6"/>
      <c r="G15" s="6">
        <v>139311</v>
      </c>
      <c r="H15" s="6">
        <v>1107918</v>
      </c>
      <c r="I15" s="6"/>
      <c r="J15" s="6">
        <f>SUM(E15:I15)</f>
        <v>1247229</v>
      </c>
      <c r="K15" s="3"/>
    </row>
    <row r="16" spans="2:11">
      <c r="C16" s="2" t="s">
        <v>241</v>
      </c>
      <c r="E16" s="6">
        <f>SUM(E13:E15)</f>
        <v>0</v>
      </c>
      <c r="F16" s="6">
        <f t="shared" ref="F16:I16" si="2">SUM(F13:F15)</f>
        <v>0</v>
      </c>
      <c r="G16" s="6">
        <f t="shared" si="2"/>
        <v>-16262786</v>
      </c>
      <c r="H16" s="6">
        <f t="shared" si="2"/>
        <v>-16160148</v>
      </c>
      <c r="I16" s="6">
        <f t="shared" si="2"/>
        <v>-318262234</v>
      </c>
      <c r="J16" s="6">
        <f>SUM(J13:J15)</f>
        <v>-350685168</v>
      </c>
    </row>
    <row r="17" spans="3:11">
      <c r="E17" s="3"/>
      <c r="F17" s="3"/>
      <c r="G17" s="3"/>
      <c r="H17" s="3"/>
      <c r="I17" s="3"/>
      <c r="J17" s="3" t="s">
        <v>153</v>
      </c>
    </row>
    <row r="18" spans="3:11">
      <c r="C18" s="2" t="s">
        <v>409</v>
      </c>
      <c r="E18" s="6">
        <f>SUM(E16,E10)</f>
        <v>3125048</v>
      </c>
      <c r="F18" s="6">
        <f t="shared" ref="F18:I18" si="3">SUM(F16,F10)</f>
        <v>12342066</v>
      </c>
      <c r="G18" s="6">
        <f t="shared" si="3"/>
        <v>9922928</v>
      </c>
      <c r="H18" s="6">
        <f t="shared" si="3"/>
        <v>7374754</v>
      </c>
      <c r="I18" s="6">
        <f t="shared" si="3"/>
        <v>31353452</v>
      </c>
      <c r="J18" s="6">
        <f>SUM(J16,J10)</f>
        <v>64118248</v>
      </c>
      <c r="K18" s="3"/>
    </row>
    <row r="19" spans="3:11" s="83" customFormat="1">
      <c r="C19" s="2"/>
      <c r="E19" s="84"/>
      <c r="F19" s="84"/>
      <c r="G19" s="84"/>
      <c r="H19" s="84"/>
      <c r="I19" s="84"/>
    </row>
    <row r="20" spans="3:11">
      <c r="C20" s="2" t="s">
        <v>7</v>
      </c>
      <c r="E20" s="98">
        <f>E10</f>
        <v>3125048</v>
      </c>
      <c r="F20" s="98">
        <f>F10</f>
        <v>12342066</v>
      </c>
      <c r="G20" s="98">
        <f>G10+G16</f>
        <v>9922928</v>
      </c>
      <c r="H20" s="98">
        <f>H10+H16</f>
        <v>7374754</v>
      </c>
      <c r="I20" s="98">
        <f>I10+I16</f>
        <v>31353452</v>
      </c>
      <c r="J20" s="98">
        <f>J10+J16</f>
        <v>64118248</v>
      </c>
    </row>
  </sheetData>
  <mergeCells count="3">
    <mergeCell ref="D1:H1"/>
    <mergeCell ref="D2:H2"/>
    <mergeCell ref="D3:H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</sheetPr>
  <dimension ref="A1:O50"/>
  <sheetViews>
    <sheetView topLeftCell="J41" zoomScale="76" zoomScaleNormal="76" zoomScalePageLayoutView="80" workbookViewId="0">
      <selection activeCell="M49" sqref="M49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22" style="2" bestFit="1" customWidth="1"/>
    <col min="10" max="10" width="15.7109375" style="2" bestFit="1" customWidth="1"/>
    <col min="11" max="11" width="19.85546875" style="2" bestFit="1" customWidth="1"/>
    <col min="12" max="12" width="21.42578125" style="2" customWidth="1"/>
    <col min="13" max="13" width="17.28515625" customWidth="1"/>
  </cols>
  <sheetData>
    <row r="1" spans="1:13">
      <c r="D1" s="159" t="s">
        <v>410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  <c r="J3"/>
      <c r="K3"/>
      <c r="L3"/>
    </row>
    <row r="4" spans="1:13">
      <c r="D4" s="151"/>
      <c r="E4" s="151"/>
      <c r="F4" s="151"/>
      <c r="G4" s="151"/>
      <c r="H4" s="151"/>
      <c r="I4" s="151"/>
    </row>
    <row r="5" spans="1:13" ht="56.25">
      <c r="I5" s="63" t="s">
        <v>411</v>
      </c>
      <c r="J5" s="63" t="s">
        <v>63</v>
      </c>
      <c r="K5" s="63" t="s">
        <v>412</v>
      </c>
      <c r="L5" s="63" t="s">
        <v>413</v>
      </c>
      <c r="M5" s="63" t="s">
        <v>7</v>
      </c>
    </row>
    <row r="6" spans="1:13">
      <c r="A6" s="1"/>
      <c r="B6" s="1"/>
      <c r="C6" s="1"/>
      <c r="D6" s="1"/>
      <c r="E6" s="1"/>
      <c r="F6" s="1"/>
    </row>
    <row r="7" spans="1:13">
      <c r="A7" s="1" t="s">
        <v>9</v>
      </c>
      <c r="B7" s="1"/>
      <c r="C7" s="1"/>
      <c r="D7" s="1"/>
      <c r="E7" s="1"/>
      <c r="F7" s="1"/>
      <c r="I7" s="38"/>
      <c r="J7" s="38"/>
      <c r="K7" s="38"/>
      <c r="L7" s="38"/>
    </row>
    <row r="8" spans="1:13">
      <c r="B8" s="2" t="s">
        <v>10</v>
      </c>
      <c r="I8" s="38">
        <v>301537</v>
      </c>
      <c r="J8" s="38"/>
      <c r="K8" s="38"/>
      <c r="L8" s="38">
        <f>SUM(I8:K8)</f>
        <v>301537</v>
      </c>
      <c r="M8" s="48">
        <f>L8</f>
        <v>301537</v>
      </c>
    </row>
    <row r="9" spans="1:13">
      <c r="B9" s="2" t="s">
        <v>391</v>
      </c>
      <c r="I9" s="38">
        <v>792015</v>
      </c>
      <c r="J9" s="38">
        <v>196344</v>
      </c>
      <c r="K9" s="38">
        <v>-293735</v>
      </c>
      <c r="L9" s="38">
        <f>SUM(I9:K9)</f>
        <v>694624</v>
      </c>
      <c r="M9" s="48">
        <f>L9</f>
        <v>694624</v>
      </c>
    </row>
    <row r="10" spans="1:13">
      <c r="A10" s="1"/>
      <c r="B10" s="1"/>
      <c r="C10" s="1" t="s">
        <v>393</v>
      </c>
      <c r="D10" s="1"/>
      <c r="E10" s="1"/>
      <c r="F10" s="1"/>
      <c r="G10" s="1"/>
      <c r="H10" s="1"/>
      <c r="I10" s="74">
        <f>SUM(I8:I9)</f>
        <v>1093552</v>
      </c>
      <c r="J10" s="74">
        <f>SUM(J8:J9)</f>
        <v>196344</v>
      </c>
      <c r="K10" s="74">
        <f>SUM(K8:K9)</f>
        <v>-293735</v>
      </c>
      <c r="L10" s="74">
        <f>SUM(L8:L9)</f>
        <v>996161</v>
      </c>
      <c r="M10" s="33"/>
    </row>
    <row r="11" spans="1:13">
      <c r="M11" s="33"/>
    </row>
    <row r="12" spans="1:13">
      <c r="A12" s="1" t="s">
        <v>216</v>
      </c>
      <c r="M12" s="33"/>
    </row>
    <row r="13" spans="1:13">
      <c r="B13" s="2" t="s">
        <v>414</v>
      </c>
      <c r="I13" s="32">
        <v>10797497</v>
      </c>
      <c r="J13" s="38">
        <v>54864</v>
      </c>
      <c r="K13" s="38"/>
      <c r="L13" s="38">
        <f>SUM(I13:K13)</f>
        <v>10852361</v>
      </c>
      <c r="M13" s="33"/>
    </row>
    <row r="14" spans="1:13">
      <c r="B14" s="2" t="s">
        <v>334</v>
      </c>
      <c r="I14" s="32">
        <v>-6067854</v>
      </c>
      <c r="J14" s="38">
        <v>-325311</v>
      </c>
      <c r="K14" s="38"/>
      <c r="L14" s="38">
        <f>SUM(I14:K14)</f>
        <v>-6393165</v>
      </c>
      <c r="M14" s="48">
        <f>L13+L14</f>
        <v>4459196</v>
      </c>
    </row>
    <row r="15" spans="1:13">
      <c r="C15" s="1" t="s">
        <v>415</v>
      </c>
      <c r="I15" s="75">
        <f>SUM(I13:I14)</f>
        <v>4729643</v>
      </c>
      <c r="J15" s="75">
        <f>SUM(J13:J14)</f>
        <v>-270447</v>
      </c>
      <c r="K15" s="75">
        <f>SUM(K13:K14)</f>
        <v>0</v>
      </c>
      <c r="L15" s="75">
        <f>SUM(L13:L14)</f>
        <v>4459196</v>
      </c>
      <c r="M15" s="33"/>
    </row>
    <row r="16" spans="1:13">
      <c r="M16" s="33"/>
    </row>
    <row r="17" spans="1:15">
      <c r="B17" s="2" t="s">
        <v>416</v>
      </c>
      <c r="I17" s="38">
        <v>10776243</v>
      </c>
      <c r="J17" s="38">
        <v>2271979</v>
      </c>
      <c r="K17" s="38"/>
      <c r="L17" s="38">
        <f>SUM(I17:K17)</f>
        <v>13048222</v>
      </c>
      <c r="M17" s="48"/>
    </row>
    <row r="18" spans="1:15">
      <c r="B18" s="2" t="s">
        <v>334</v>
      </c>
      <c r="I18" s="65">
        <v>-2496273</v>
      </c>
      <c r="J18" s="65">
        <v>-1107283</v>
      </c>
      <c r="K18" s="65"/>
      <c r="L18" s="65">
        <f>SUM(I18:K18)</f>
        <v>-3603556</v>
      </c>
      <c r="M18" s="48">
        <f>L17+L18</f>
        <v>9444666</v>
      </c>
    </row>
    <row r="19" spans="1:15">
      <c r="C19" s="1" t="s">
        <v>417</v>
      </c>
      <c r="I19" s="76">
        <f>SUM(I17:I18)</f>
        <v>8279970</v>
      </c>
      <c r="J19" s="76">
        <f t="shared" ref="J19:L19" si="0">SUM(J17:J18)</f>
        <v>1164696</v>
      </c>
      <c r="K19" s="76">
        <f t="shared" si="0"/>
        <v>0</v>
      </c>
      <c r="L19" s="76">
        <f t="shared" si="0"/>
        <v>9444666</v>
      </c>
      <c r="M19" s="48"/>
    </row>
    <row r="20" spans="1:15">
      <c r="I20" s="38"/>
      <c r="J20" s="38"/>
      <c r="K20" s="38"/>
      <c r="L20" s="38"/>
      <c r="M20" s="48"/>
    </row>
    <row r="21" spans="1:15">
      <c r="B21" s="2" t="s">
        <v>418</v>
      </c>
      <c r="I21" s="38">
        <v>3076922</v>
      </c>
      <c r="J21" s="38">
        <v>421680</v>
      </c>
      <c r="K21" s="38"/>
      <c r="L21" s="38">
        <f>SUM(I21:K21)</f>
        <v>3498602</v>
      </c>
      <c r="M21" s="48"/>
    </row>
    <row r="22" spans="1:15">
      <c r="B22" s="2" t="s">
        <v>334</v>
      </c>
      <c r="I22" s="2">
        <v>-1955699</v>
      </c>
      <c r="J22" s="38">
        <v>-471449</v>
      </c>
      <c r="K22" s="38"/>
      <c r="L22" s="38">
        <f>SUM(I22:K22)</f>
        <v>-2427148</v>
      </c>
      <c r="M22" s="48">
        <f>L21+L22</f>
        <v>1071454</v>
      </c>
    </row>
    <row r="23" spans="1:15">
      <c r="A23" s="1"/>
      <c r="C23" s="1" t="s">
        <v>419</v>
      </c>
      <c r="I23" s="68">
        <f>SUM(I21:I22)</f>
        <v>1121223</v>
      </c>
      <c r="J23" s="68">
        <f t="shared" ref="J23:L23" si="1">SUM(J21:J22)</f>
        <v>-49769</v>
      </c>
      <c r="K23" s="68">
        <f t="shared" si="1"/>
        <v>0</v>
      </c>
      <c r="L23" s="68">
        <f t="shared" si="1"/>
        <v>1071454</v>
      </c>
      <c r="M23" s="33"/>
    </row>
    <row r="24" spans="1:15">
      <c r="M24" s="33"/>
    </row>
    <row r="25" spans="1:15">
      <c r="A25" s="1"/>
      <c r="B25" s="33" t="s">
        <v>420</v>
      </c>
      <c r="C25" s="1"/>
      <c r="I25" s="48">
        <v>216528</v>
      </c>
      <c r="J25" s="48">
        <v>16004</v>
      </c>
      <c r="K25" s="48">
        <v>-63415</v>
      </c>
      <c r="L25" s="48">
        <f>SUM(I25:K25)</f>
        <v>169117</v>
      </c>
      <c r="M25" s="33"/>
    </row>
    <row r="26" spans="1:15">
      <c r="A26" s="1"/>
      <c r="B26" s="33" t="s">
        <v>334</v>
      </c>
      <c r="C26" s="33"/>
      <c r="D26" s="33"/>
      <c r="E26" s="33"/>
      <c r="F26" s="33"/>
      <c r="G26" s="33"/>
      <c r="H26" s="33"/>
      <c r="I26" s="85">
        <v>-142622</v>
      </c>
      <c r="J26" s="85">
        <v>-16911</v>
      </c>
      <c r="K26" s="85">
        <v>63415</v>
      </c>
      <c r="L26" s="85">
        <f>SUM(I26:K26)</f>
        <v>-96118</v>
      </c>
      <c r="M26" s="48">
        <f>L25+L26</f>
        <v>72999</v>
      </c>
    </row>
    <row r="27" spans="1:15">
      <c r="A27" s="1"/>
      <c r="B27" s="33"/>
      <c r="C27" s="49" t="s">
        <v>421</v>
      </c>
      <c r="D27" s="33"/>
      <c r="E27" s="33"/>
      <c r="F27" s="33"/>
      <c r="G27" s="33"/>
      <c r="H27" s="33"/>
      <c r="I27" s="77">
        <f>SUM(I25:I26)</f>
        <v>73906</v>
      </c>
      <c r="J27" s="77">
        <f t="shared" ref="J27:L27" si="2">SUM(J25:J26)</f>
        <v>-907</v>
      </c>
      <c r="K27" s="77">
        <f t="shared" si="2"/>
        <v>0</v>
      </c>
      <c r="L27" s="77">
        <f t="shared" si="2"/>
        <v>72999</v>
      </c>
      <c r="M27" s="48"/>
    </row>
    <row r="28" spans="1:15">
      <c r="A28" s="1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1:15">
      <c r="A29" s="1" t="s">
        <v>18</v>
      </c>
      <c r="B29" s="49"/>
      <c r="C29" s="33"/>
      <c r="D29" s="33"/>
      <c r="E29" s="33"/>
      <c r="F29" s="33"/>
      <c r="G29" s="33"/>
      <c r="H29" s="33"/>
      <c r="I29" s="69">
        <f>I27+I23+I19+I15</f>
        <v>14204742</v>
      </c>
      <c r="J29" s="69">
        <f t="shared" ref="J29:L29" si="3">J27+J23+J19+J15</f>
        <v>843573</v>
      </c>
      <c r="K29" s="69">
        <f t="shared" si="3"/>
        <v>0</v>
      </c>
      <c r="L29" s="156">
        <f>L27+L23+L19+L15</f>
        <v>15048315</v>
      </c>
      <c r="M29" s="33"/>
    </row>
    <row r="30" spans="1:15">
      <c r="B30" s="49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5" ht="19.5" thickBot="1">
      <c r="A31" s="1" t="s">
        <v>422</v>
      </c>
      <c r="B31" s="1"/>
      <c r="C31" s="33"/>
      <c r="D31" s="33"/>
      <c r="E31" s="33"/>
      <c r="F31" s="33"/>
      <c r="G31" s="33"/>
      <c r="H31" s="33"/>
      <c r="I31" s="79">
        <f>I29+I10</f>
        <v>15298294</v>
      </c>
      <c r="J31" s="79">
        <f t="shared" ref="J31:L31" si="4">J29+J10</f>
        <v>1039917</v>
      </c>
      <c r="K31" s="79">
        <f t="shared" si="4"/>
        <v>-293735</v>
      </c>
      <c r="L31" s="157">
        <f t="shared" si="4"/>
        <v>16044476</v>
      </c>
      <c r="M31" s="48">
        <f>SUM(M8:M29)</f>
        <v>16044476</v>
      </c>
      <c r="O31" s="101"/>
    </row>
    <row r="32" spans="1:15">
      <c r="A32" s="1"/>
      <c r="B32" s="1"/>
      <c r="C32" s="33"/>
      <c r="D32" s="33"/>
      <c r="E32" s="33"/>
      <c r="F32" s="33"/>
      <c r="G32" s="33"/>
      <c r="H32" s="33"/>
      <c r="I32" s="77"/>
      <c r="J32" s="77"/>
      <c r="K32" s="77"/>
      <c r="L32" s="77"/>
      <c r="M32" s="48"/>
    </row>
    <row r="33" spans="1:14">
      <c r="A33" s="1" t="s">
        <v>423</v>
      </c>
      <c r="B33" s="1"/>
      <c r="C33" s="33"/>
      <c r="D33" s="33"/>
      <c r="E33" s="33"/>
      <c r="F33" s="33"/>
      <c r="G33" s="33"/>
      <c r="H33" s="33"/>
      <c r="I33" s="77"/>
      <c r="J33" s="77"/>
      <c r="K33" s="77"/>
      <c r="L33" s="77"/>
      <c r="M33" s="48"/>
    </row>
    <row r="34" spans="1:14">
      <c r="A34" s="1" t="s">
        <v>382</v>
      </c>
      <c r="B34" s="1"/>
      <c r="C34" s="33"/>
      <c r="D34" s="33"/>
      <c r="E34" s="33"/>
      <c r="F34" s="33"/>
      <c r="G34" s="33"/>
      <c r="H34" s="33"/>
      <c r="I34" s="77"/>
      <c r="J34" s="77"/>
      <c r="K34" s="77"/>
      <c r="L34" s="77"/>
      <c r="M34" s="48"/>
    </row>
    <row r="35" spans="1:14">
      <c r="B35" s="2" t="s">
        <v>424</v>
      </c>
      <c r="I35" s="38"/>
      <c r="J35" s="38">
        <v>23130</v>
      </c>
      <c r="K35" s="38"/>
      <c r="L35" s="38">
        <f>SUM(I35:K35)</f>
        <v>23130</v>
      </c>
      <c r="M35" s="38">
        <f>L35</f>
        <v>23130</v>
      </c>
      <c r="N35" s="50"/>
    </row>
    <row r="36" spans="1:14">
      <c r="A36" s="1"/>
      <c r="B36" s="1" t="s">
        <v>70</v>
      </c>
      <c r="C36" s="1"/>
      <c r="D36" s="1"/>
      <c r="E36" s="1"/>
      <c r="F36" s="1"/>
      <c r="G36" s="1"/>
      <c r="H36" s="1"/>
      <c r="I36" s="71">
        <f>SUM(I34:I35)</f>
        <v>0</v>
      </c>
      <c r="J36" s="71">
        <f>SUM(J34:J35)</f>
        <v>23130</v>
      </c>
      <c r="K36" s="71">
        <f>SUM(K34:K35)</f>
        <v>0</v>
      </c>
      <c r="L36" s="71">
        <f>SUM(L34:L35)</f>
        <v>23130</v>
      </c>
      <c r="M36" s="38"/>
    </row>
    <row r="37" spans="1:14">
      <c r="A37" s="1"/>
      <c r="B37" s="1"/>
      <c r="C37" s="33"/>
      <c r="D37" s="33"/>
      <c r="E37" s="33"/>
      <c r="F37" s="33"/>
      <c r="G37" s="33"/>
      <c r="H37" s="33"/>
      <c r="I37" s="77"/>
      <c r="J37" s="77"/>
      <c r="K37" s="77"/>
      <c r="L37" s="77"/>
      <c r="M37" s="48"/>
    </row>
    <row r="38" spans="1:14">
      <c r="A38" s="1"/>
      <c r="B38" s="1"/>
      <c r="C38" s="33"/>
      <c r="D38" s="33"/>
      <c r="E38" s="33"/>
      <c r="F38" s="33"/>
      <c r="G38" s="33"/>
      <c r="H38" s="33"/>
      <c r="I38" s="77"/>
      <c r="J38" s="77"/>
      <c r="K38" s="77"/>
      <c r="L38" s="77"/>
      <c r="M38" s="48"/>
    </row>
    <row r="39" spans="1:14">
      <c r="A39" s="1" t="s">
        <v>425</v>
      </c>
      <c r="B39" s="1"/>
      <c r="C39" s="33"/>
      <c r="D39" s="33"/>
      <c r="E39" s="33"/>
      <c r="F39" s="33"/>
      <c r="G39" s="33"/>
      <c r="H39" s="33"/>
      <c r="I39" s="77"/>
      <c r="J39" s="77"/>
      <c r="K39" s="77"/>
      <c r="L39" s="77"/>
      <c r="M39" s="48"/>
    </row>
    <row r="40" spans="1:14">
      <c r="A40" s="1"/>
      <c r="B40" s="2" t="s">
        <v>157</v>
      </c>
      <c r="C40" s="33"/>
      <c r="D40" s="33"/>
      <c r="E40" s="33"/>
      <c r="F40" s="33"/>
      <c r="G40" s="33"/>
      <c r="H40" s="33"/>
      <c r="I40" s="48">
        <v>1205548</v>
      </c>
      <c r="J40" s="48"/>
      <c r="K40" s="48"/>
      <c r="L40" s="48">
        <f>SUM(I40:K40)</f>
        <v>1205548</v>
      </c>
      <c r="M40" s="107"/>
    </row>
    <row r="41" spans="1:14">
      <c r="A41" s="1"/>
      <c r="B41" s="2" t="s">
        <v>426</v>
      </c>
      <c r="C41" s="33"/>
      <c r="D41" s="33"/>
      <c r="E41" s="33"/>
      <c r="F41" s="33"/>
      <c r="G41" s="33"/>
      <c r="H41" s="33"/>
      <c r="I41" s="85">
        <v>-942668</v>
      </c>
      <c r="J41" s="85">
        <v>-80790</v>
      </c>
      <c r="K41" s="85"/>
      <c r="L41" s="85">
        <f>SUM(I41:K41)</f>
        <v>-1023458</v>
      </c>
      <c r="M41" s="107">
        <f>SUM(L40:L41)</f>
        <v>182090</v>
      </c>
    </row>
    <row r="42" spans="1:14">
      <c r="A42" s="1"/>
      <c r="B42" s="1"/>
      <c r="C42" s="33" t="s">
        <v>427</v>
      </c>
      <c r="D42" s="33"/>
      <c r="E42" s="33"/>
      <c r="F42" s="33"/>
      <c r="G42" s="33"/>
      <c r="H42" s="33"/>
      <c r="I42" s="48">
        <f>SUM(I40:I41)</f>
        <v>262880</v>
      </c>
      <c r="J42" s="48">
        <f t="shared" ref="J42:L42" si="5">SUM(J40:J41)</f>
        <v>-80790</v>
      </c>
      <c r="K42" s="48">
        <f t="shared" si="5"/>
        <v>0</v>
      </c>
      <c r="L42" s="48">
        <f t="shared" si="5"/>
        <v>182090</v>
      </c>
      <c r="M42" s="107"/>
    </row>
    <row r="43" spans="1:14">
      <c r="A43" s="1"/>
      <c r="B43" s="1"/>
      <c r="C43" s="33"/>
      <c r="D43" s="33"/>
      <c r="E43" s="33"/>
      <c r="F43" s="33"/>
      <c r="G43" s="33"/>
      <c r="H43" s="33"/>
      <c r="I43" s="77"/>
      <c r="J43" s="77"/>
      <c r="K43" s="77"/>
      <c r="L43" s="77"/>
      <c r="M43" s="107"/>
    </row>
    <row r="44" spans="1:14">
      <c r="A44" s="1"/>
      <c r="B44" s="1"/>
      <c r="C44" s="49" t="s">
        <v>307</v>
      </c>
      <c r="D44" s="33"/>
      <c r="E44" s="33"/>
      <c r="F44" s="33"/>
      <c r="G44" s="33"/>
      <c r="H44" s="33"/>
      <c r="I44" s="69">
        <f t="shared" ref="I44:K44" si="6">SUM(I42)</f>
        <v>262880</v>
      </c>
      <c r="J44" s="69">
        <f t="shared" si="6"/>
        <v>-80790</v>
      </c>
      <c r="K44" s="69">
        <f t="shared" si="6"/>
        <v>0</v>
      </c>
      <c r="L44" s="69">
        <f>SUM(L42)</f>
        <v>182090</v>
      </c>
      <c r="M44" s="107">
        <f>M41</f>
        <v>182090</v>
      </c>
    </row>
    <row r="45" spans="1:14">
      <c r="A45" s="1"/>
      <c r="B45" s="1"/>
      <c r="C45" s="33"/>
      <c r="D45" s="33"/>
      <c r="E45" s="33"/>
      <c r="F45" s="33"/>
      <c r="G45" s="33"/>
      <c r="H45" s="33"/>
      <c r="I45" s="77"/>
      <c r="J45" s="77"/>
      <c r="K45" s="77"/>
      <c r="L45" s="77"/>
      <c r="M45" s="107"/>
    </row>
    <row r="46" spans="1:14">
      <c r="A46" s="1" t="s">
        <v>428</v>
      </c>
      <c r="B46" s="1"/>
      <c r="C46" s="33"/>
      <c r="D46" s="33"/>
      <c r="E46" s="33"/>
      <c r="F46" s="33"/>
      <c r="G46" s="33"/>
      <c r="H46" s="33"/>
      <c r="I46" s="77"/>
      <c r="J46" s="77"/>
      <c r="K46" s="77"/>
      <c r="L46" s="77"/>
      <c r="M46" s="107"/>
    </row>
    <row r="47" spans="1:14">
      <c r="A47" s="1"/>
      <c r="B47" s="1"/>
      <c r="C47" s="33" t="s">
        <v>118</v>
      </c>
      <c r="D47" s="33"/>
      <c r="E47" s="33"/>
      <c r="F47" s="33"/>
      <c r="G47" s="33"/>
      <c r="H47" s="33"/>
      <c r="I47" s="69">
        <f>SUM(I44+I36)</f>
        <v>262880</v>
      </c>
      <c r="J47" s="69">
        <f>SUM(J44+J36)</f>
        <v>-57660</v>
      </c>
      <c r="K47" s="69">
        <f t="shared" ref="K47:L47" si="7">SUM(K44+K36)</f>
        <v>0</v>
      </c>
      <c r="L47" s="69">
        <f t="shared" si="7"/>
        <v>205220</v>
      </c>
      <c r="M47" s="107"/>
    </row>
    <row r="48" spans="1:14">
      <c r="A48" s="1" t="s">
        <v>429</v>
      </c>
      <c r="B48" s="1"/>
      <c r="C48" s="33"/>
      <c r="D48" s="33"/>
      <c r="E48" s="33"/>
      <c r="F48" s="33"/>
      <c r="G48" s="33"/>
      <c r="H48" s="33"/>
      <c r="I48" s="77"/>
      <c r="J48" s="77"/>
      <c r="K48" s="77"/>
      <c r="L48" s="77"/>
      <c r="M48" s="102"/>
    </row>
    <row r="49" spans="1:13">
      <c r="A49" s="1"/>
      <c r="B49" s="1"/>
      <c r="C49" s="33" t="s">
        <v>118</v>
      </c>
      <c r="D49" s="33"/>
      <c r="E49" s="33"/>
      <c r="F49" s="33"/>
      <c r="G49" s="33"/>
      <c r="H49" s="33"/>
      <c r="I49" s="69">
        <f>SUM(I31+I47)</f>
        <v>15561174</v>
      </c>
      <c r="J49" s="69">
        <f t="shared" ref="J49:L49" si="8">SUM(J31+J47)</f>
        <v>982257</v>
      </c>
      <c r="K49" s="69">
        <f t="shared" si="8"/>
        <v>-293735</v>
      </c>
      <c r="L49" s="156">
        <f>SUM(L31+L47)</f>
        <v>16249696</v>
      </c>
      <c r="M49" s="146">
        <f>SUM(M8:M41)</f>
        <v>32294172</v>
      </c>
    </row>
    <row r="50" spans="1:13">
      <c r="M50" s="101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/>
  <ignoredErrors>
    <ignoredError sqref="J47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3"/>
  <sheetViews>
    <sheetView topLeftCell="A4" zoomScaleNormal="100" workbookViewId="0">
      <selection activeCell="N26" sqref="N26"/>
    </sheetView>
  </sheetViews>
  <sheetFormatPr defaultColWidth="8.85546875" defaultRowHeight="15"/>
  <cols>
    <col min="9" max="9" width="15.140625" bestFit="1" customWidth="1"/>
    <col min="10" max="10" width="14.28515625" bestFit="1" customWidth="1"/>
    <col min="11" max="11" width="13.7109375" bestFit="1" customWidth="1"/>
    <col min="12" max="12" width="15.140625" bestFit="1" customWidth="1"/>
    <col min="13" max="13" width="20.42578125" customWidth="1"/>
  </cols>
  <sheetData>
    <row r="1" spans="1:13" ht="18.75">
      <c r="A1" s="2"/>
      <c r="B1" s="2"/>
      <c r="C1" s="2"/>
      <c r="D1" s="159" t="s">
        <v>430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56.25">
      <c r="A5" s="2"/>
      <c r="B5" s="2"/>
      <c r="C5" s="2"/>
      <c r="D5" s="2"/>
      <c r="E5" s="2"/>
      <c r="F5" s="2"/>
      <c r="G5" s="2"/>
      <c r="H5" s="2"/>
      <c r="I5" s="63" t="s">
        <v>431</v>
      </c>
      <c r="J5" s="63" t="s">
        <v>63</v>
      </c>
      <c r="K5" s="63" t="s">
        <v>68</v>
      </c>
      <c r="L5" s="63" t="s">
        <v>432</v>
      </c>
      <c r="M5" s="63" t="s">
        <v>7</v>
      </c>
    </row>
    <row r="6" spans="1:13" ht="18.75">
      <c r="A6" s="1"/>
      <c r="B6" s="2"/>
      <c r="C6" s="2"/>
      <c r="D6" s="2"/>
      <c r="E6" s="2"/>
      <c r="F6" s="2"/>
      <c r="G6" s="2"/>
      <c r="H6" s="2"/>
      <c r="I6" s="70"/>
      <c r="J6" s="70"/>
      <c r="K6" s="70"/>
      <c r="L6" s="70"/>
    </row>
    <row r="7" spans="1:13" ht="18.75">
      <c r="A7" s="1"/>
      <c r="B7" s="1"/>
      <c r="C7" s="1"/>
      <c r="D7" s="1"/>
      <c r="E7" s="1"/>
      <c r="F7" s="1"/>
      <c r="G7" s="2"/>
      <c r="H7" s="2"/>
      <c r="I7" s="2"/>
      <c r="J7" s="2"/>
      <c r="K7" s="2"/>
      <c r="L7" s="2"/>
    </row>
    <row r="8" spans="1:13" ht="18.75">
      <c r="A8" s="1" t="s">
        <v>9</v>
      </c>
      <c r="B8" s="1"/>
      <c r="C8" s="1"/>
      <c r="D8" s="1"/>
      <c r="E8" s="1"/>
      <c r="F8" s="1"/>
      <c r="G8" s="2"/>
      <c r="H8" s="2"/>
      <c r="I8" s="38"/>
      <c r="J8" s="38"/>
      <c r="K8" s="38"/>
      <c r="L8" s="38"/>
    </row>
    <row r="9" spans="1:13" ht="18.75">
      <c r="A9" s="2"/>
      <c r="B9" s="2" t="s">
        <v>10</v>
      </c>
      <c r="C9" s="2"/>
      <c r="D9" s="2"/>
      <c r="E9" s="2"/>
      <c r="F9" s="2"/>
      <c r="G9" s="2"/>
      <c r="H9" s="2"/>
      <c r="I9" s="38">
        <v>311523</v>
      </c>
      <c r="J9" s="38"/>
      <c r="K9" s="38"/>
      <c r="L9" s="38">
        <f>SUM(I9:K9)</f>
        <v>311523</v>
      </c>
      <c r="M9" s="48">
        <f>L9</f>
        <v>311523</v>
      </c>
    </row>
    <row r="10" spans="1:13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3"/>
    </row>
    <row r="11" spans="1:13" ht="18.75">
      <c r="A11" s="1" t="s">
        <v>216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3"/>
    </row>
    <row r="12" spans="1:13" ht="18.75">
      <c r="A12" s="2"/>
      <c r="B12" s="2" t="s">
        <v>14</v>
      </c>
      <c r="C12" s="2"/>
      <c r="D12" s="2"/>
      <c r="E12" s="2"/>
      <c r="F12" s="2"/>
      <c r="G12" s="2"/>
      <c r="H12" s="2"/>
      <c r="I12" s="2">
        <v>3106781</v>
      </c>
      <c r="J12" s="38"/>
      <c r="K12" s="38"/>
      <c r="L12" s="38">
        <f>SUM(I12:K12)</f>
        <v>3106781</v>
      </c>
      <c r="M12" s="33"/>
    </row>
    <row r="13" spans="1:13" ht="18.75">
      <c r="A13" s="2"/>
      <c r="B13" s="2" t="s">
        <v>15</v>
      </c>
      <c r="C13" s="2"/>
      <c r="D13" s="2"/>
      <c r="E13" s="2"/>
      <c r="F13" s="2"/>
      <c r="G13" s="2"/>
      <c r="H13" s="2"/>
      <c r="I13" s="2">
        <v>3975875</v>
      </c>
      <c r="J13" s="38">
        <v>195045</v>
      </c>
      <c r="K13" s="38"/>
      <c r="L13" s="38">
        <f>SUM(I13:K13)</f>
        <v>4170920</v>
      </c>
      <c r="M13" s="33"/>
    </row>
    <row r="14" spans="1:13" ht="18.75">
      <c r="A14" s="2"/>
      <c r="B14" s="2"/>
      <c r="C14" s="1" t="s">
        <v>18</v>
      </c>
      <c r="D14" s="2"/>
      <c r="E14" s="2"/>
      <c r="F14" s="2"/>
      <c r="G14" s="2"/>
      <c r="H14" s="2"/>
      <c r="I14" s="75">
        <f>SUM(I12:I13)</f>
        <v>7082656</v>
      </c>
      <c r="J14" s="75">
        <f>SUM(J12:J13)</f>
        <v>195045</v>
      </c>
      <c r="K14" s="75">
        <f>SUM(K12:K13)</f>
        <v>0</v>
      </c>
      <c r="L14" s="75">
        <f>SUM(L12:L13)</f>
        <v>7277701</v>
      </c>
      <c r="M14" s="33"/>
    </row>
    <row r="15" spans="1:13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3"/>
    </row>
    <row r="16" spans="1:13" ht="18.75">
      <c r="A16" s="1" t="s">
        <v>398</v>
      </c>
      <c r="B16" s="2"/>
      <c r="C16" s="2"/>
      <c r="D16" s="2"/>
      <c r="E16" s="2"/>
      <c r="F16" s="2"/>
      <c r="G16" s="2"/>
      <c r="H16" s="2"/>
      <c r="I16" s="2"/>
      <c r="J16" s="38"/>
      <c r="K16" s="38"/>
      <c r="L16" s="38"/>
      <c r="M16" s="33"/>
    </row>
    <row r="17" spans="1:13" ht="18.75">
      <c r="A17" s="2"/>
      <c r="B17" s="2" t="s">
        <v>14</v>
      </c>
      <c r="C17" s="2"/>
      <c r="D17" s="2"/>
      <c r="E17" s="2"/>
      <c r="F17" s="2"/>
      <c r="G17" s="2"/>
      <c r="H17" s="2"/>
      <c r="I17" s="38">
        <v>1427793</v>
      </c>
      <c r="J17" s="38">
        <v>43555</v>
      </c>
      <c r="K17" s="38"/>
      <c r="L17" s="38">
        <f>SUM(I17:K17)</f>
        <v>1471348</v>
      </c>
      <c r="M17" s="48">
        <f>L12-L17</f>
        <v>1635433</v>
      </c>
    </row>
    <row r="18" spans="1:13" ht="18.75">
      <c r="A18" s="2"/>
      <c r="B18" s="2" t="s">
        <v>104</v>
      </c>
      <c r="C18" s="2"/>
      <c r="D18" s="2"/>
      <c r="E18" s="2"/>
      <c r="F18" s="2"/>
      <c r="G18" s="2"/>
      <c r="H18" s="2"/>
      <c r="I18" s="38">
        <v>3346584</v>
      </c>
      <c r="J18" s="38">
        <v>206986</v>
      </c>
      <c r="K18" s="38"/>
      <c r="L18" s="38">
        <f>SUM(I18:K18)</f>
        <v>3553570</v>
      </c>
      <c r="M18" s="48">
        <f>L13-L18</f>
        <v>617350</v>
      </c>
    </row>
    <row r="19" spans="1:13" ht="18.75">
      <c r="A19" s="1"/>
      <c r="B19" s="2"/>
      <c r="C19" s="1" t="s">
        <v>20</v>
      </c>
      <c r="D19" s="2"/>
      <c r="E19" s="2"/>
      <c r="F19" s="2"/>
      <c r="G19" s="2"/>
      <c r="H19" s="2"/>
      <c r="I19" s="68">
        <f>SUM(I17:I18)</f>
        <v>4774377</v>
      </c>
      <c r="J19" s="68">
        <f>SUM(J17:J18)</f>
        <v>250541</v>
      </c>
      <c r="K19" s="68">
        <f>SUM(K17:K18)</f>
        <v>0</v>
      </c>
      <c r="L19" s="68">
        <f>SUM(L17:L18)</f>
        <v>5024918</v>
      </c>
      <c r="M19" s="33"/>
    </row>
    <row r="20" spans="1:13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3"/>
    </row>
    <row r="21" spans="1:13" ht="18.75">
      <c r="A21" s="1" t="s">
        <v>433</v>
      </c>
      <c r="B21" s="2"/>
      <c r="C21" s="1"/>
      <c r="D21" s="2"/>
      <c r="E21" s="2"/>
      <c r="F21" s="2"/>
      <c r="G21" s="2"/>
      <c r="H21" s="2"/>
      <c r="I21" s="68">
        <f>I14-I19</f>
        <v>2308279</v>
      </c>
      <c r="J21" s="68">
        <f t="shared" ref="J21:K21" si="0">J14-J19</f>
        <v>-55496</v>
      </c>
      <c r="K21" s="68">
        <f t="shared" si="0"/>
        <v>0</v>
      </c>
      <c r="L21" s="68">
        <f>L14-L19</f>
        <v>2252783</v>
      </c>
      <c r="M21" s="48"/>
    </row>
    <row r="23" spans="1:13" s="33" customFormat="1" ht="18.75">
      <c r="A23" s="33" t="s">
        <v>368</v>
      </c>
      <c r="I23" s="99">
        <f>SUM(I9+I21)</f>
        <v>2619802</v>
      </c>
      <c r="J23" s="99">
        <f t="shared" ref="J23:L23" si="1">SUM(J9+J21)</f>
        <v>-55496</v>
      </c>
      <c r="K23" s="99">
        <f t="shared" si="1"/>
        <v>0</v>
      </c>
      <c r="L23" s="99">
        <f t="shared" si="1"/>
        <v>2564306</v>
      </c>
      <c r="M23" s="48">
        <f>SUM(M8:M19)</f>
        <v>2564306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T24"/>
  <sheetViews>
    <sheetView topLeftCell="I10" zoomScale="60" zoomScaleNormal="60" workbookViewId="0">
      <selection activeCell="Q38" sqref="Q38"/>
    </sheetView>
  </sheetViews>
  <sheetFormatPr defaultColWidth="8.85546875" defaultRowHeight="15"/>
  <cols>
    <col min="9" max="9" width="20" customWidth="1"/>
    <col min="10" max="10" width="14.28515625" bestFit="1" customWidth="1"/>
    <col min="11" max="11" width="14.85546875" customWidth="1"/>
    <col min="12" max="12" width="17" customWidth="1"/>
    <col min="13" max="13" width="20.42578125" customWidth="1"/>
  </cols>
  <sheetData>
    <row r="1" spans="1:13" ht="18.75">
      <c r="A1" s="2"/>
      <c r="B1" s="2"/>
      <c r="C1" s="2"/>
      <c r="D1" s="159" t="s">
        <v>434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63" t="s">
        <v>3</v>
      </c>
      <c r="J5" s="63" t="s">
        <v>63</v>
      </c>
      <c r="K5" s="63" t="s">
        <v>389</v>
      </c>
      <c r="L5" s="63" t="s">
        <v>6</v>
      </c>
      <c r="M5" s="63" t="s">
        <v>7</v>
      </c>
    </row>
    <row r="6" spans="1:13" ht="18.75">
      <c r="A6" s="2"/>
      <c r="B6" s="2" t="s">
        <v>10</v>
      </c>
      <c r="C6" s="2"/>
      <c r="D6" s="2"/>
      <c r="E6" s="2"/>
      <c r="F6" s="2"/>
      <c r="G6" s="2"/>
      <c r="H6" s="2"/>
      <c r="I6" s="38">
        <v>639576</v>
      </c>
      <c r="J6" s="38"/>
      <c r="K6" s="38"/>
      <c r="L6" s="38">
        <f>SUM(I6:K6)</f>
        <v>639576</v>
      </c>
      <c r="M6" s="48">
        <f>L6</f>
        <v>639576</v>
      </c>
    </row>
    <row r="7" spans="1:13" ht="18.75">
      <c r="A7" s="2"/>
      <c r="B7" s="2" t="s">
        <v>11</v>
      </c>
      <c r="C7" s="2"/>
      <c r="D7" s="2"/>
      <c r="E7" s="2"/>
      <c r="F7" s="2"/>
      <c r="G7" s="2"/>
      <c r="H7" s="2"/>
      <c r="I7" s="2">
        <v>2281793</v>
      </c>
      <c r="J7" s="2">
        <v>21717</v>
      </c>
      <c r="K7" s="2">
        <v>-2303510</v>
      </c>
      <c r="L7" s="38">
        <f>SUM(I7:K7)</f>
        <v>0</v>
      </c>
      <c r="M7" s="48">
        <f>L7</f>
        <v>0</v>
      </c>
    </row>
    <row r="8" spans="1:13" ht="18.75">
      <c r="A8" s="2"/>
      <c r="B8" s="2" t="s">
        <v>33</v>
      </c>
      <c r="C8" s="2"/>
      <c r="D8" s="2"/>
      <c r="E8" s="2"/>
      <c r="F8" s="2"/>
      <c r="G8" s="2"/>
      <c r="H8" s="2"/>
      <c r="I8" s="2">
        <v>3339381</v>
      </c>
      <c r="J8" s="38"/>
      <c r="K8" s="38"/>
      <c r="L8" s="38">
        <f t="shared" ref="L8:L9" si="0">SUM(I8:K8)</f>
        <v>3339381</v>
      </c>
      <c r="M8" s="33"/>
    </row>
    <row r="9" spans="1:13" ht="18.75">
      <c r="A9" s="2"/>
      <c r="B9" s="2" t="s">
        <v>15</v>
      </c>
      <c r="C9" s="2"/>
      <c r="D9" s="2"/>
      <c r="E9" s="2"/>
      <c r="F9" s="2"/>
      <c r="G9" s="2"/>
      <c r="H9" s="2"/>
      <c r="I9" s="2">
        <v>6177923</v>
      </c>
      <c r="J9" s="38">
        <v>363883</v>
      </c>
      <c r="K9" s="38"/>
      <c r="L9" s="38">
        <f t="shared" si="0"/>
        <v>6541806</v>
      </c>
      <c r="M9" s="33"/>
    </row>
    <row r="10" spans="1:13" ht="18.75">
      <c r="A10" s="2"/>
      <c r="B10" s="2" t="s">
        <v>30</v>
      </c>
      <c r="C10" s="2"/>
      <c r="D10" s="2"/>
      <c r="E10" s="2"/>
      <c r="F10" s="2"/>
      <c r="G10" s="2"/>
      <c r="H10" s="2"/>
      <c r="I10" s="2">
        <v>93561</v>
      </c>
      <c r="J10" s="38">
        <v>13854</v>
      </c>
      <c r="K10" s="38"/>
      <c r="L10" s="38">
        <f>SUM(I10:K10)</f>
        <v>107415</v>
      </c>
      <c r="M10" s="33"/>
    </row>
    <row r="11" spans="1:13" ht="18.75">
      <c r="A11" s="2"/>
      <c r="B11" s="2" t="s">
        <v>435</v>
      </c>
      <c r="C11" s="2"/>
      <c r="D11" s="2"/>
      <c r="E11" s="2"/>
      <c r="F11" s="2"/>
      <c r="G11" s="2"/>
      <c r="H11" s="2"/>
      <c r="I11" s="2">
        <v>66408345</v>
      </c>
      <c r="J11" s="38">
        <v>2303510</v>
      </c>
      <c r="K11" s="38"/>
      <c r="L11" s="38">
        <f>SUM(I11:K11)</f>
        <v>68711855</v>
      </c>
      <c r="M11" s="33"/>
    </row>
    <row r="12" spans="1:13" ht="18.75">
      <c r="A12" s="2"/>
      <c r="B12" s="2"/>
      <c r="C12" s="1" t="s">
        <v>194</v>
      </c>
      <c r="D12" s="2"/>
      <c r="E12" s="2"/>
      <c r="F12" s="2"/>
      <c r="G12" s="2"/>
      <c r="H12" s="2"/>
      <c r="I12" s="75">
        <f>SUM(I6:I11)</f>
        <v>78940579</v>
      </c>
      <c r="J12" s="75">
        <f t="shared" ref="J12:L12" si="1">SUM(J6:J11)</f>
        <v>2702964</v>
      </c>
      <c r="K12" s="75">
        <f t="shared" si="1"/>
        <v>-2303510</v>
      </c>
      <c r="L12" s="75">
        <f t="shared" si="1"/>
        <v>79340033</v>
      </c>
      <c r="M12" s="33"/>
    </row>
    <row r="13" spans="1:13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3"/>
    </row>
    <row r="14" spans="1:13" ht="18.75">
      <c r="A14" s="1" t="s">
        <v>436</v>
      </c>
      <c r="B14" s="2"/>
      <c r="C14" s="2"/>
      <c r="D14" s="2"/>
      <c r="E14" s="2"/>
      <c r="F14" s="2"/>
      <c r="G14" s="2"/>
      <c r="H14" s="2"/>
      <c r="I14" s="2"/>
      <c r="J14" s="38"/>
      <c r="K14" s="38"/>
      <c r="L14" s="38"/>
      <c r="M14" s="33"/>
    </row>
    <row r="15" spans="1:13" ht="18.75">
      <c r="A15" s="2"/>
      <c r="B15" s="2" t="s">
        <v>33</v>
      </c>
      <c r="C15" s="2"/>
      <c r="D15" s="2"/>
      <c r="E15" s="2"/>
      <c r="F15" s="2"/>
      <c r="G15" s="2"/>
      <c r="H15" s="2"/>
      <c r="I15" s="38">
        <v>-1140090</v>
      </c>
      <c r="J15" s="38">
        <v>-69588</v>
      </c>
      <c r="K15" s="38"/>
      <c r="L15" s="38">
        <f>SUM(I15:K15)</f>
        <v>-1209678</v>
      </c>
      <c r="M15" s="48">
        <f>L8+L15</f>
        <v>2129703</v>
      </c>
    </row>
    <row r="16" spans="1:13" ht="18.75">
      <c r="A16" s="2"/>
      <c r="B16" s="2" t="s">
        <v>104</v>
      </c>
      <c r="C16" s="2"/>
      <c r="D16" s="2"/>
      <c r="E16" s="2"/>
      <c r="F16" s="2"/>
      <c r="G16" s="2"/>
      <c r="H16" s="2"/>
      <c r="I16" s="38">
        <v>-3234448</v>
      </c>
      <c r="J16" s="38">
        <v>-323480</v>
      </c>
      <c r="K16" s="38"/>
      <c r="L16" s="38">
        <f>SUM(I16:K16)</f>
        <v>-3557928</v>
      </c>
      <c r="M16" s="48">
        <f t="shared" ref="M16:M18" si="2">L9+L16</f>
        <v>2983878</v>
      </c>
    </row>
    <row r="17" spans="1:20" ht="18.75">
      <c r="A17" s="2"/>
      <c r="B17" s="2" t="s">
        <v>30</v>
      </c>
      <c r="C17" s="2"/>
      <c r="D17" s="2"/>
      <c r="E17" s="2"/>
      <c r="F17" s="2"/>
      <c r="G17" s="2"/>
      <c r="H17" s="2"/>
      <c r="I17" s="38">
        <v>-80988</v>
      </c>
      <c r="J17" s="38">
        <v>-5346</v>
      </c>
      <c r="K17" s="38"/>
      <c r="L17" s="38">
        <f>SUM(I17:K17)</f>
        <v>-86334</v>
      </c>
      <c r="M17" s="48">
        <f t="shared" si="2"/>
        <v>21081</v>
      </c>
    </row>
    <row r="18" spans="1:20" ht="18.75">
      <c r="A18" s="2"/>
      <c r="B18" s="2" t="s">
        <v>17</v>
      </c>
      <c r="C18" s="2"/>
      <c r="D18" s="2"/>
      <c r="E18" s="2"/>
      <c r="F18" s="2"/>
      <c r="G18" s="2"/>
      <c r="H18" s="2"/>
      <c r="I18" s="38">
        <v>-60607508</v>
      </c>
      <c r="J18" s="38">
        <v>-143379</v>
      </c>
      <c r="K18" s="38"/>
      <c r="L18" s="38">
        <f>SUM(I18:K18)</f>
        <v>-60750887</v>
      </c>
      <c r="M18" s="48">
        <f t="shared" si="2"/>
        <v>7960968</v>
      </c>
    </row>
    <row r="19" spans="1:20" ht="18.75">
      <c r="A19" s="1"/>
      <c r="B19" s="2"/>
      <c r="C19" s="1" t="s">
        <v>20</v>
      </c>
      <c r="D19" s="2"/>
      <c r="E19" s="2"/>
      <c r="F19" s="2"/>
      <c r="G19" s="2"/>
      <c r="H19" s="2"/>
      <c r="I19" s="68">
        <f>SUM(I15:I18)</f>
        <v>-65063034</v>
      </c>
      <c r="J19" s="68">
        <f t="shared" ref="J19:L19" si="3">SUM(J15:J18)</f>
        <v>-541793</v>
      </c>
      <c r="K19" s="68">
        <f t="shared" si="3"/>
        <v>0</v>
      </c>
      <c r="L19" s="68">
        <f t="shared" si="3"/>
        <v>-65604827</v>
      </c>
      <c r="M19" s="33"/>
    </row>
    <row r="20" spans="1:20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3"/>
    </row>
    <row r="21" spans="1:20" ht="18.75">
      <c r="A21" s="1" t="s">
        <v>437</v>
      </c>
      <c r="B21" s="2"/>
      <c r="C21" s="1"/>
      <c r="D21" s="2"/>
      <c r="E21" s="2"/>
      <c r="F21" s="2"/>
      <c r="G21" s="2"/>
      <c r="H21" s="2"/>
      <c r="I21" s="68">
        <f>SUM(I12+I19)</f>
        <v>13877545</v>
      </c>
      <c r="J21" s="68">
        <f t="shared" ref="J21:K21" si="4">SUM(J12+J19)</f>
        <v>2161171</v>
      </c>
      <c r="K21" s="68">
        <f t="shared" si="4"/>
        <v>-2303510</v>
      </c>
      <c r="L21" s="68">
        <f>SUM(L12+L19)</f>
        <v>13735206</v>
      </c>
      <c r="M21" s="48">
        <f>SUM(M6:M18)</f>
        <v>13735206</v>
      </c>
    </row>
    <row r="24" spans="1:20">
      <c r="Q24" s="37"/>
      <c r="R24" s="37"/>
      <c r="S24" s="37"/>
      <c r="T24" s="37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A1:N56"/>
  <sheetViews>
    <sheetView topLeftCell="G17" zoomScale="80" zoomScaleNormal="80" zoomScalePageLayoutView="90" workbookViewId="0">
      <selection activeCell="N29" sqref="N29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6.140625" style="2" customWidth="1"/>
    <col min="10" max="10" width="18" style="2" customWidth="1"/>
    <col min="11" max="11" width="19.85546875" style="2" bestFit="1" customWidth="1"/>
    <col min="12" max="12" width="20.140625" style="2" customWidth="1"/>
    <col min="13" max="13" width="23.28515625" style="2" customWidth="1"/>
    <col min="14" max="14" width="23.42578125" style="2" customWidth="1"/>
    <col min="15" max="17" width="8.85546875" style="2"/>
    <col min="18" max="18" width="13.7109375" style="2" bestFit="1" customWidth="1"/>
    <col min="19" max="16384" width="8.85546875" style="2"/>
  </cols>
  <sheetData>
    <row r="1" spans="1:13">
      <c r="D1" s="159" t="s">
        <v>438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>
      <c r="D4" s="151"/>
      <c r="E4" s="151"/>
      <c r="F4" s="151"/>
      <c r="G4" s="151"/>
      <c r="H4" s="151"/>
      <c r="I4" s="151"/>
      <c r="L4" s="64"/>
    </row>
    <row r="5" spans="1:13" ht="56.25">
      <c r="I5" s="63" t="s">
        <v>312</v>
      </c>
      <c r="J5" s="63" t="s">
        <v>63</v>
      </c>
      <c r="K5" s="63" t="s">
        <v>439</v>
      </c>
      <c r="L5" s="63" t="s">
        <v>89</v>
      </c>
      <c r="M5" s="112" t="s">
        <v>7</v>
      </c>
    </row>
    <row r="6" spans="1:13">
      <c r="A6" s="1" t="s">
        <v>390</v>
      </c>
      <c r="B6" s="1"/>
      <c r="C6" s="1"/>
      <c r="D6" s="1"/>
      <c r="E6" s="1"/>
      <c r="F6" s="1"/>
    </row>
    <row r="7" spans="1:13">
      <c r="A7" s="1" t="s">
        <v>371</v>
      </c>
      <c r="B7" s="1"/>
      <c r="C7" s="1"/>
      <c r="D7" s="1"/>
      <c r="E7" s="1"/>
      <c r="F7" s="1"/>
      <c r="I7" s="38"/>
      <c r="J7" s="38"/>
      <c r="K7" s="38"/>
      <c r="L7" s="38"/>
    </row>
    <row r="8" spans="1:13">
      <c r="B8" s="2" t="s">
        <v>10</v>
      </c>
      <c r="I8" s="38">
        <v>19826039</v>
      </c>
      <c r="J8" s="38">
        <v>32115</v>
      </c>
      <c r="K8" s="38"/>
      <c r="L8" s="38">
        <f>SUM(I8:K8)</f>
        <v>19858154</v>
      </c>
      <c r="M8" s="38">
        <f>L8</f>
        <v>19858154</v>
      </c>
    </row>
    <row r="9" spans="1:13">
      <c r="B9" s="2" t="s">
        <v>11</v>
      </c>
      <c r="I9" s="2">
        <v>16929777</v>
      </c>
      <c r="J9" s="2">
        <v>20736569</v>
      </c>
      <c r="K9" s="2">
        <v>-3159924</v>
      </c>
      <c r="L9" s="38">
        <f>SUM(I9:K9)</f>
        <v>34506422</v>
      </c>
      <c r="M9" s="38">
        <f>L9</f>
        <v>34506422</v>
      </c>
    </row>
    <row r="10" spans="1:13">
      <c r="A10" s="1"/>
      <c r="B10" s="1"/>
      <c r="C10" s="1" t="s">
        <v>372</v>
      </c>
      <c r="D10" s="1"/>
      <c r="E10" s="1"/>
      <c r="F10" s="1"/>
      <c r="G10" s="1"/>
      <c r="H10" s="1"/>
      <c r="I10" s="74">
        <f>SUM(I8:I9)</f>
        <v>36755816</v>
      </c>
      <c r="J10" s="74">
        <f>SUM(J8:J9)</f>
        <v>20768684</v>
      </c>
      <c r="K10" s="74">
        <f>SUM(K8:K9)</f>
        <v>-3159924</v>
      </c>
      <c r="L10" s="74">
        <f>SUM(L8:L9)</f>
        <v>54364576</v>
      </c>
      <c r="M10" s="1"/>
    </row>
    <row r="12" spans="1:13">
      <c r="A12" s="1" t="s">
        <v>174</v>
      </c>
    </row>
    <row r="13" spans="1:13">
      <c r="B13" s="2" t="s">
        <v>106</v>
      </c>
      <c r="I13" s="2">
        <v>862954</v>
      </c>
      <c r="J13" s="38"/>
      <c r="K13" s="38"/>
      <c r="L13" s="38">
        <f t="shared" ref="L13:L18" si="0">SUM(I13:K13)</f>
        <v>862954</v>
      </c>
    </row>
    <row r="14" spans="1:13">
      <c r="B14" s="2" t="s">
        <v>14</v>
      </c>
      <c r="I14" s="2">
        <v>132127057</v>
      </c>
      <c r="J14" s="38">
        <v>1453663</v>
      </c>
      <c r="K14" s="38"/>
      <c r="L14" s="38">
        <f t="shared" si="0"/>
        <v>133580720</v>
      </c>
    </row>
    <row r="15" spans="1:13">
      <c r="B15" s="2" t="s">
        <v>440</v>
      </c>
      <c r="I15" s="2">
        <v>440835</v>
      </c>
      <c r="J15" s="38">
        <v>34995</v>
      </c>
      <c r="K15" s="38"/>
      <c r="L15" s="38">
        <f t="shared" si="0"/>
        <v>475830</v>
      </c>
    </row>
    <row r="16" spans="1:13">
      <c r="B16" s="2" t="s">
        <v>15</v>
      </c>
      <c r="I16" s="2">
        <v>19119119</v>
      </c>
      <c r="J16" s="38">
        <v>2229746</v>
      </c>
      <c r="K16" s="38">
        <v>-2702960</v>
      </c>
      <c r="L16" s="38">
        <f t="shared" si="0"/>
        <v>18645905</v>
      </c>
    </row>
    <row r="17" spans="1:14">
      <c r="B17" s="2" t="s">
        <v>441</v>
      </c>
      <c r="I17" s="2">
        <v>260907225</v>
      </c>
      <c r="J17" s="38">
        <v>1765763</v>
      </c>
      <c r="K17" s="38"/>
      <c r="L17" s="38">
        <f t="shared" si="0"/>
        <v>262672988</v>
      </c>
    </row>
    <row r="18" spans="1:14">
      <c r="B18" s="2" t="s">
        <v>73</v>
      </c>
      <c r="I18" s="2">
        <v>1363360</v>
      </c>
      <c r="J18" s="38"/>
      <c r="K18" s="38"/>
      <c r="L18" s="38">
        <f t="shared" si="0"/>
        <v>1363360</v>
      </c>
    </row>
    <row r="19" spans="1:14">
      <c r="C19" s="1" t="s">
        <v>377</v>
      </c>
      <c r="I19" s="75">
        <f>SUM(I13:I18)</f>
        <v>414820550</v>
      </c>
      <c r="J19" s="75">
        <f>SUM(J13:J18)</f>
        <v>5484167</v>
      </c>
      <c r="K19" s="75">
        <f>SUM(K13:K18)</f>
        <v>-2702960</v>
      </c>
      <c r="L19" s="75">
        <f>SUM(L13:L18)</f>
        <v>417601757</v>
      </c>
    </row>
    <row r="20" spans="1:14">
      <c r="C20" s="1"/>
      <c r="I20" s="76"/>
      <c r="J20" s="76"/>
      <c r="K20" s="76"/>
      <c r="L20" s="76"/>
    </row>
    <row r="21" spans="1:14">
      <c r="A21" s="1" t="s">
        <v>185</v>
      </c>
      <c r="K21" s="76"/>
      <c r="L21" s="76"/>
    </row>
    <row r="22" spans="1:14">
      <c r="A22" s="1"/>
      <c r="C22" s="2" t="s">
        <v>217</v>
      </c>
      <c r="I22" s="147"/>
      <c r="J22" s="147"/>
      <c r="K22" s="147"/>
      <c r="L22" s="147"/>
      <c r="M22" s="38">
        <f>L13+L22</f>
        <v>862954</v>
      </c>
    </row>
    <row r="23" spans="1:14">
      <c r="A23" s="1"/>
      <c r="C23" s="33" t="s">
        <v>33</v>
      </c>
      <c r="I23" s="147"/>
      <c r="J23" s="147"/>
      <c r="K23" s="147"/>
      <c r="L23" s="147"/>
      <c r="M23" s="38">
        <f t="shared" ref="M23:M27" si="1">L14+L23</f>
        <v>133580720</v>
      </c>
    </row>
    <row r="24" spans="1:14">
      <c r="A24" s="1"/>
      <c r="C24" s="33" t="s">
        <v>440</v>
      </c>
      <c r="I24" s="147"/>
      <c r="J24" s="147"/>
      <c r="K24" s="147"/>
      <c r="L24" s="147"/>
      <c r="M24" s="38">
        <f t="shared" si="1"/>
        <v>475830</v>
      </c>
      <c r="N24" s="32"/>
    </row>
    <row r="25" spans="1:14">
      <c r="A25" s="1"/>
      <c r="C25" s="33" t="s">
        <v>15</v>
      </c>
      <c r="I25" s="147" t="s">
        <v>442</v>
      </c>
      <c r="J25" s="147"/>
      <c r="K25" s="147"/>
      <c r="L25" s="147"/>
      <c r="M25" s="38">
        <f t="shared" si="1"/>
        <v>18645905</v>
      </c>
      <c r="N25" s="32"/>
    </row>
    <row r="26" spans="1:14">
      <c r="A26" s="1"/>
      <c r="C26" s="33" t="s">
        <v>441</v>
      </c>
      <c r="I26" s="147"/>
      <c r="J26" s="147"/>
      <c r="K26" s="147"/>
      <c r="L26" s="147"/>
      <c r="M26" s="38">
        <f t="shared" si="1"/>
        <v>262672988</v>
      </c>
      <c r="N26" s="32"/>
    </row>
    <row r="27" spans="1:14">
      <c r="A27" s="1"/>
      <c r="C27" s="33" t="s">
        <v>73</v>
      </c>
      <c r="I27" s="147"/>
      <c r="J27" s="147"/>
      <c r="K27" s="147"/>
      <c r="L27" s="147"/>
      <c r="M27" s="38">
        <f t="shared" si="1"/>
        <v>1363360</v>
      </c>
      <c r="N27" s="32"/>
    </row>
    <row r="28" spans="1:14">
      <c r="A28" s="1"/>
      <c r="C28" s="49" t="s">
        <v>20</v>
      </c>
      <c r="I28" s="75">
        <v>-66718456</v>
      </c>
      <c r="J28" s="75">
        <v>-16406778</v>
      </c>
      <c r="K28" s="75">
        <v>1995698</v>
      </c>
      <c r="L28" s="75">
        <f>SUM(I28:K28)</f>
        <v>-81129536</v>
      </c>
      <c r="N28" s="32"/>
    </row>
    <row r="29" spans="1:14">
      <c r="A29" s="1"/>
      <c r="C29" s="1"/>
      <c r="I29" s="76"/>
      <c r="J29" s="76"/>
      <c r="K29" s="76"/>
      <c r="L29" s="76"/>
      <c r="N29" s="32"/>
    </row>
    <row r="30" spans="1:14">
      <c r="A30" s="1"/>
      <c r="C30" s="1" t="s">
        <v>325</v>
      </c>
      <c r="I30" s="114">
        <f>SUM(I28+I19)</f>
        <v>348102094</v>
      </c>
      <c r="J30" s="114">
        <f t="shared" ref="J30:L30" si="2">SUM(J28+J19)</f>
        <v>-10922611</v>
      </c>
      <c r="K30" s="114">
        <f t="shared" si="2"/>
        <v>-707262</v>
      </c>
      <c r="L30" s="114">
        <f t="shared" si="2"/>
        <v>336472221</v>
      </c>
    </row>
    <row r="31" spans="1:14">
      <c r="A31" s="1"/>
      <c r="C31" s="1" t="s">
        <v>443</v>
      </c>
      <c r="I31" s="68">
        <f>SUM(I30+I10)</f>
        <v>384857910</v>
      </c>
      <c r="J31" s="68">
        <f t="shared" ref="J31:L31" si="3">SUM(J30+J10)</f>
        <v>9846073</v>
      </c>
      <c r="K31" s="68">
        <f t="shared" si="3"/>
        <v>-3867186</v>
      </c>
      <c r="L31" s="68">
        <f t="shared" si="3"/>
        <v>390836797</v>
      </c>
      <c r="M31" s="38">
        <f>SUM(M8:M27)</f>
        <v>471966333</v>
      </c>
    </row>
    <row r="32" spans="1:14">
      <c r="C32" s="1"/>
      <c r="I32" s="76"/>
      <c r="J32" s="76"/>
      <c r="K32" s="76"/>
      <c r="L32" s="76"/>
    </row>
    <row r="33" spans="1:14">
      <c r="C33" s="1"/>
      <c r="I33" s="76"/>
      <c r="J33" s="76"/>
      <c r="K33" s="76"/>
      <c r="L33" s="76"/>
    </row>
    <row r="34" spans="1:14">
      <c r="A34" s="1" t="s">
        <v>36</v>
      </c>
      <c r="B34" s="1"/>
      <c r="C34" s="1"/>
      <c r="D34" s="1"/>
      <c r="E34" s="1"/>
      <c r="F34" s="1"/>
    </row>
    <row r="35" spans="1:14">
      <c r="A35" s="1" t="s">
        <v>371</v>
      </c>
      <c r="B35" s="1"/>
      <c r="C35" s="1"/>
      <c r="D35" s="1"/>
      <c r="E35" s="1"/>
      <c r="F35" s="1"/>
      <c r="I35" s="38"/>
      <c r="J35" s="38"/>
      <c r="K35" s="38"/>
      <c r="L35" s="38"/>
    </row>
    <row r="36" spans="1:14">
      <c r="A36" s="1"/>
      <c r="B36" s="2" t="s">
        <v>10</v>
      </c>
      <c r="C36" s="1"/>
      <c r="D36" s="1"/>
      <c r="E36" s="1"/>
      <c r="F36" s="1"/>
      <c r="I36" s="38">
        <v>221036</v>
      </c>
      <c r="J36" s="38"/>
      <c r="K36" s="38"/>
      <c r="L36" s="38">
        <f>SUM(I36:K36)</f>
        <v>221036</v>
      </c>
      <c r="M36" s="38">
        <f>L36</f>
        <v>221036</v>
      </c>
    </row>
    <row r="37" spans="1:14">
      <c r="A37" s="1"/>
      <c r="B37" s="2" t="s">
        <v>11</v>
      </c>
      <c r="C37" s="1"/>
      <c r="D37" s="1"/>
      <c r="E37" s="1"/>
      <c r="F37" s="1"/>
      <c r="I37" s="38">
        <v>54919030</v>
      </c>
      <c r="J37" s="38">
        <v>4848194</v>
      </c>
      <c r="K37" s="38"/>
      <c r="L37" s="38">
        <f>SUM(I37:K37)</f>
        <v>59767224</v>
      </c>
      <c r="M37" s="65">
        <f>L37</f>
        <v>59767224</v>
      </c>
    </row>
    <row r="38" spans="1:14">
      <c r="A38" s="1"/>
      <c r="B38" s="1"/>
      <c r="C38" s="1" t="s">
        <v>372</v>
      </c>
      <c r="D38" s="1"/>
      <c r="E38" s="1"/>
      <c r="F38" s="1"/>
      <c r="G38" s="1"/>
      <c r="H38" s="1"/>
      <c r="I38" s="71">
        <f>SUM(I36:I37)</f>
        <v>55140066</v>
      </c>
      <c r="J38" s="71">
        <f>SUM(J37:J37)</f>
        <v>4848194</v>
      </c>
      <c r="K38" s="71">
        <f>SUM(K37:K37)</f>
        <v>0</v>
      </c>
      <c r="L38" s="71">
        <f>SUM(L36:L37)</f>
        <v>59988260</v>
      </c>
    </row>
    <row r="40" spans="1:14">
      <c r="A40" s="1" t="s">
        <v>174</v>
      </c>
      <c r="B40" s="33"/>
      <c r="C40" s="1"/>
      <c r="I40" s="77"/>
      <c r="J40" s="77"/>
      <c r="K40" s="77"/>
      <c r="L40" s="77"/>
    </row>
    <row r="41" spans="1:14">
      <c r="A41" s="1"/>
      <c r="B41" s="33" t="s">
        <v>33</v>
      </c>
      <c r="C41" s="1"/>
      <c r="I41" s="48">
        <v>87242281</v>
      </c>
      <c r="J41" s="48"/>
      <c r="K41" s="77"/>
      <c r="L41" s="48">
        <f>SUM(I41:K41)</f>
        <v>87242281</v>
      </c>
    </row>
    <row r="42" spans="1:14">
      <c r="A42" s="1"/>
      <c r="B42" s="33" t="s">
        <v>440</v>
      </c>
      <c r="C42" s="1"/>
      <c r="I42" s="48">
        <v>36492</v>
      </c>
      <c r="J42" s="48"/>
      <c r="K42" s="77"/>
      <c r="L42" s="48">
        <f>SUM(I42:K42)</f>
        <v>36492</v>
      </c>
    </row>
    <row r="43" spans="1:14">
      <c r="A43" s="1"/>
      <c r="B43" s="33" t="s">
        <v>15</v>
      </c>
      <c r="C43" s="1"/>
      <c r="I43" s="48">
        <v>1667222</v>
      </c>
      <c r="J43" s="48">
        <v>539259</v>
      </c>
      <c r="K43" s="48">
        <v>-116492</v>
      </c>
      <c r="L43" s="48">
        <f>SUM(I43:K43)</f>
        <v>2089989</v>
      </c>
    </row>
    <row r="44" spans="1:14">
      <c r="A44" s="1"/>
      <c r="B44" s="33" t="s">
        <v>17</v>
      </c>
      <c r="C44" s="1"/>
      <c r="I44" s="48">
        <v>187944606</v>
      </c>
      <c r="J44" s="48">
        <v>86891</v>
      </c>
      <c r="K44" s="48"/>
      <c r="L44" s="48">
        <f>SUM(I44:K44)</f>
        <v>188031497</v>
      </c>
    </row>
    <row r="45" spans="1:14">
      <c r="C45" s="49" t="s">
        <v>377</v>
      </c>
      <c r="D45" s="33"/>
      <c r="E45" s="33"/>
      <c r="F45" s="33"/>
      <c r="G45" s="33"/>
      <c r="H45" s="33"/>
      <c r="I45" s="78">
        <f>SUM(I41:I44)</f>
        <v>276890601</v>
      </c>
      <c r="J45" s="78">
        <f>SUM(J41:J44)</f>
        <v>626150</v>
      </c>
      <c r="K45" s="78">
        <f>SUM(K41:K44)</f>
        <v>-116492</v>
      </c>
      <c r="L45" s="78">
        <f>SUM(L41:L44)</f>
        <v>277400259</v>
      </c>
    </row>
    <row r="46" spans="1:14">
      <c r="C46" s="49"/>
      <c r="D46" s="33"/>
      <c r="E46" s="33"/>
      <c r="F46" s="33"/>
      <c r="G46" s="33"/>
      <c r="H46" s="33"/>
      <c r="I46" s="77"/>
      <c r="J46" s="77"/>
      <c r="K46" s="77"/>
      <c r="L46" s="77"/>
    </row>
    <row r="47" spans="1:14">
      <c r="A47" s="49" t="s">
        <v>185</v>
      </c>
      <c r="D47" s="33"/>
      <c r="E47" s="33"/>
      <c r="F47" s="33"/>
      <c r="G47" s="33"/>
      <c r="H47" s="33"/>
      <c r="K47" s="77"/>
      <c r="L47" s="77"/>
    </row>
    <row r="48" spans="1:14">
      <c r="B48" s="33" t="s">
        <v>33</v>
      </c>
      <c r="D48" s="33"/>
      <c r="E48" s="33"/>
      <c r="F48" s="33"/>
      <c r="G48" s="33"/>
      <c r="H48" s="33"/>
      <c r="I48" s="147"/>
      <c r="J48" s="148"/>
      <c r="K48" s="148"/>
      <c r="L48" s="148"/>
      <c r="M48" s="38">
        <f>L41+L48</f>
        <v>87242281</v>
      </c>
      <c r="N48" s="32"/>
    </row>
    <row r="49" spans="1:14">
      <c r="B49" s="33" t="s">
        <v>440</v>
      </c>
      <c r="D49" s="33"/>
      <c r="E49" s="33"/>
      <c r="F49" s="33"/>
      <c r="G49" s="33"/>
      <c r="H49" s="33"/>
      <c r="I49" s="147" t="s">
        <v>442</v>
      </c>
      <c r="J49" s="148"/>
      <c r="K49" s="148"/>
      <c r="L49" s="148"/>
      <c r="M49" s="38">
        <f t="shared" ref="M49:M51" si="4">L42+L49</f>
        <v>36492</v>
      </c>
      <c r="N49" s="32"/>
    </row>
    <row r="50" spans="1:14">
      <c r="B50" s="33" t="s">
        <v>15</v>
      </c>
      <c r="D50" s="33"/>
      <c r="E50" s="33"/>
      <c r="F50" s="33"/>
      <c r="G50" s="33"/>
      <c r="H50" s="33"/>
      <c r="I50" s="147"/>
      <c r="J50" s="148"/>
      <c r="K50" s="148"/>
      <c r="L50" s="148"/>
      <c r="M50" s="38">
        <f t="shared" si="4"/>
        <v>2089989</v>
      </c>
      <c r="N50" s="32"/>
    </row>
    <row r="51" spans="1:14">
      <c r="B51" s="33" t="s">
        <v>17</v>
      </c>
      <c r="D51" s="33"/>
      <c r="E51" s="33"/>
      <c r="F51" s="33"/>
      <c r="G51" s="33"/>
      <c r="H51" s="33"/>
      <c r="I51" s="128"/>
      <c r="J51" s="128"/>
      <c r="K51" s="148"/>
      <c r="L51" s="148"/>
      <c r="M51" s="38">
        <f t="shared" si="4"/>
        <v>188031497</v>
      </c>
      <c r="N51" s="32"/>
    </row>
    <row r="52" spans="1:14">
      <c r="B52" s="33"/>
      <c r="C52" s="1" t="s">
        <v>20</v>
      </c>
      <c r="D52" s="33"/>
      <c r="E52" s="33"/>
      <c r="F52" s="33"/>
      <c r="G52" s="33"/>
      <c r="H52" s="33"/>
      <c r="I52" s="75">
        <v>-114547938</v>
      </c>
      <c r="J52" s="75">
        <v>-15938797</v>
      </c>
      <c r="K52" s="75">
        <v>106343</v>
      </c>
      <c r="L52" s="113">
        <f>SUM(I52:K52)</f>
        <v>-130380392</v>
      </c>
      <c r="N52" s="32"/>
    </row>
    <row r="53" spans="1:14">
      <c r="B53" s="33"/>
      <c r="D53" s="33"/>
      <c r="E53" s="33"/>
      <c r="F53" s="33"/>
      <c r="G53" s="33"/>
      <c r="H53" s="33"/>
      <c r="I53" s="76"/>
      <c r="J53" s="77"/>
      <c r="K53" s="77"/>
      <c r="L53" s="77"/>
      <c r="N53" s="32"/>
    </row>
    <row r="54" spans="1:14">
      <c r="A54" s="1"/>
      <c r="B54" s="49"/>
      <c r="C54" s="49" t="s">
        <v>325</v>
      </c>
      <c r="D54" s="33"/>
      <c r="E54" s="33"/>
      <c r="F54" s="33"/>
      <c r="G54" s="33"/>
      <c r="H54" s="33"/>
      <c r="I54" s="69">
        <f>SUM(I45+I52)</f>
        <v>162342663</v>
      </c>
      <c r="J54" s="69">
        <f t="shared" ref="J54:L54" si="5">SUM(J45+J52)</f>
        <v>-15312647</v>
      </c>
      <c r="K54" s="69">
        <f t="shared" si="5"/>
        <v>-10149</v>
      </c>
      <c r="L54" s="69">
        <f t="shared" si="5"/>
        <v>147019867</v>
      </c>
    </row>
    <row r="55" spans="1:14" ht="19.5" thickBot="1">
      <c r="A55" s="1"/>
      <c r="B55" s="1"/>
      <c r="C55" s="49" t="s">
        <v>444</v>
      </c>
      <c r="D55" s="33"/>
      <c r="E55" s="33"/>
      <c r="F55" s="33"/>
      <c r="G55" s="33"/>
      <c r="H55" s="33"/>
      <c r="I55" s="79">
        <f>I38+I54</f>
        <v>217482729</v>
      </c>
      <c r="J55" s="79">
        <f>J38+J54</f>
        <v>-10464453</v>
      </c>
      <c r="K55" s="79">
        <f>K38+K54</f>
        <v>-10149</v>
      </c>
      <c r="L55" s="79">
        <f>L38+L54</f>
        <v>207008127</v>
      </c>
      <c r="M55" s="65">
        <f>SUM(M36:M51)</f>
        <v>337388519</v>
      </c>
      <c r="N55" s="32"/>
    </row>
    <row r="56" spans="1:14">
      <c r="A56" s="1"/>
      <c r="B56" s="1"/>
      <c r="C56" s="33"/>
      <c r="D56" s="33"/>
      <c r="E56" s="33"/>
      <c r="F56" s="33"/>
      <c r="G56" s="33"/>
      <c r="H56" s="33"/>
      <c r="I56" s="77"/>
      <c r="J56" s="77"/>
      <c r="K56" s="77"/>
      <c r="L56" s="77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58"/>
  <sheetViews>
    <sheetView topLeftCell="A13" zoomScaleNormal="100" zoomScalePageLayoutView="60" workbookViewId="0">
      <selection activeCell="A34" sqref="A34:XFD35"/>
    </sheetView>
  </sheetViews>
  <sheetFormatPr defaultColWidth="8.85546875" defaultRowHeight="15"/>
  <cols>
    <col min="1" max="1" width="5.42578125" customWidth="1"/>
    <col min="2" max="2" width="4.7109375" customWidth="1"/>
    <col min="3" max="3" width="3.7109375" customWidth="1"/>
    <col min="9" max="9" width="16.7109375" bestFit="1" customWidth="1"/>
    <col min="10" max="10" width="15.28515625" bestFit="1" customWidth="1"/>
    <col min="11" max="11" width="15.140625" bestFit="1" customWidth="1"/>
    <col min="12" max="12" width="16.42578125" customWidth="1"/>
    <col min="13" max="13" width="16.7109375" bestFit="1" customWidth="1"/>
    <col min="14" max="14" width="21.85546875" customWidth="1"/>
  </cols>
  <sheetData>
    <row r="1" spans="1:14" ht="18.75">
      <c r="A1" s="2"/>
      <c r="B1" s="2"/>
      <c r="C1" s="2"/>
      <c r="D1" s="159" t="s">
        <v>445</v>
      </c>
      <c r="E1" s="159"/>
      <c r="F1" s="159"/>
      <c r="G1" s="159"/>
      <c r="H1" s="159"/>
      <c r="I1" s="159"/>
      <c r="J1" s="2"/>
      <c r="K1" s="2"/>
      <c r="L1" s="2"/>
      <c r="M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  <c r="M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  <c r="M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  <c r="M4" s="2"/>
    </row>
    <row r="5" spans="1:14" ht="56.25">
      <c r="A5" s="2"/>
      <c r="B5" s="2"/>
      <c r="C5" s="2"/>
      <c r="D5" s="2"/>
      <c r="E5" s="2"/>
      <c r="F5" s="2"/>
      <c r="G5" s="2"/>
      <c r="H5" s="2"/>
      <c r="I5" s="87" t="s">
        <v>411</v>
      </c>
      <c r="J5" s="63" t="s">
        <v>63</v>
      </c>
      <c r="K5" s="63" t="s">
        <v>68</v>
      </c>
      <c r="L5" s="63" t="s">
        <v>120</v>
      </c>
      <c r="M5" s="87" t="s">
        <v>413</v>
      </c>
      <c r="N5" s="63" t="s">
        <v>7</v>
      </c>
    </row>
    <row r="6" spans="1:14" ht="18.75">
      <c r="A6" s="1" t="s">
        <v>313</v>
      </c>
      <c r="B6" s="2"/>
      <c r="C6" s="2"/>
      <c r="D6" s="2"/>
      <c r="E6" s="2"/>
      <c r="F6" s="2"/>
      <c r="G6" s="2"/>
      <c r="H6" s="2"/>
      <c r="I6" s="87"/>
      <c r="J6" s="63"/>
      <c r="K6" s="63"/>
      <c r="L6" s="63"/>
      <c r="M6" s="87"/>
      <c r="N6" s="63"/>
    </row>
    <row r="7" spans="1:14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  <c r="M7" s="38"/>
    </row>
    <row r="8" spans="1:14" ht="18.75">
      <c r="A8" s="2" t="s">
        <v>10</v>
      </c>
      <c r="B8" s="2"/>
      <c r="C8" s="2"/>
      <c r="D8" s="2"/>
      <c r="E8" s="2"/>
      <c r="F8" s="2"/>
      <c r="G8" s="2"/>
      <c r="H8" s="2"/>
      <c r="I8" s="38">
        <v>10484811</v>
      </c>
      <c r="J8" s="38">
        <v>165000</v>
      </c>
      <c r="K8" s="38"/>
      <c r="L8" s="38">
        <v>20000</v>
      </c>
      <c r="M8" s="38">
        <f>SUM(I8:L8)</f>
        <v>10669811</v>
      </c>
      <c r="N8" s="50">
        <f>M8</f>
        <v>10669811</v>
      </c>
    </row>
    <row r="9" spans="1:14" ht="18.75">
      <c r="A9" s="2" t="s">
        <v>17</v>
      </c>
      <c r="B9" s="2"/>
      <c r="C9" s="2"/>
      <c r="D9" s="2"/>
      <c r="E9" s="2"/>
      <c r="F9" s="2"/>
      <c r="G9" s="2"/>
      <c r="H9" s="2"/>
      <c r="I9" s="38">
        <v>14855447</v>
      </c>
      <c r="J9" s="38"/>
      <c r="K9" s="38"/>
      <c r="L9" s="38"/>
      <c r="M9" s="38">
        <f>SUM(I9:L9)</f>
        <v>14855447</v>
      </c>
      <c r="N9" s="50">
        <f>M9</f>
        <v>14855447</v>
      </c>
    </row>
    <row r="10" spans="1:14" ht="18.75">
      <c r="A10" s="2" t="s">
        <v>11</v>
      </c>
      <c r="B10" s="2"/>
      <c r="C10" s="2"/>
      <c r="D10" s="2"/>
      <c r="E10" s="2"/>
      <c r="F10" s="2"/>
      <c r="G10" s="2"/>
      <c r="H10" s="2"/>
      <c r="I10" s="38">
        <v>34185224</v>
      </c>
      <c r="J10" s="38">
        <v>25048849</v>
      </c>
      <c r="K10" s="38">
        <v>-7378764</v>
      </c>
      <c r="L10" s="38">
        <v>-1500</v>
      </c>
      <c r="M10" s="38">
        <f>SUM(I10:L10)</f>
        <v>51853809</v>
      </c>
      <c r="N10" s="50">
        <f>M10</f>
        <v>51853809</v>
      </c>
    </row>
    <row r="11" spans="1:14" ht="18.75">
      <c r="A11" s="1"/>
      <c r="B11" s="1" t="s">
        <v>70</v>
      </c>
      <c r="C11" s="1"/>
      <c r="D11" s="1"/>
      <c r="E11" s="1"/>
      <c r="F11" s="1"/>
      <c r="G11" s="1"/>
      <c r="H11" s="1"/>
      <c r="I11" s="71">
        <f>SUM(I8:I10)</f>
        <v>59525482</v>
      </c>
      <c r="J11" s="71">
        <f>SUM(J8:J10)</f>
        <v>25213849</v>
      </c>
      <c r="K11" s="71">
        <f>SUM(K8:K10)</f>
        <v>-7378764</v>
      </c>
      <c r="L11" s="71">
        <f>SUM(L8:L10)</f>
        <v>18500</v>
      </c>
      <c r="M11" s="71">
        <f>SUM(M8:M10)</f>
        <v>77379067</v>
      </c>
    </row>
    <row r="12" spans="1:14" ht="18.75">
      <c r="A12" s="1"/>
      <c r="B12" s="1"/>
      <c r="C12" s="1"/>
      <c r="D12" s="1"/>
      <c r="E12" s="1"/>
      <c r="F12" s="1"/>
      <c r="G12" s="1"/>
      <c r="H12" s="1"/>
      <c r="I12" s="72"/>
      <c r="J12" s="72"/>
      <c r="K12" s="72"/>
      <c r="L12" s="72"/>
      <c r="M12" s="72"/>
    </row>
    <row r="13" spans="1:14" ht="18.75">
      <c r="A13" s="1" t="s">
        <v>216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ht="18.75">
      <c r="A14" s="2" t="s">
        <v>128</v>
      </c>
      <c r="B14" s="2"/>
      <c r="C14" s="2"/>
      <c r="D14" s="2"/>
      <c r="E14" s="2"/>
      <c r="F14" s="2"/>
      <c r="G14" s="2"/>
      <c r="H14" s="2"/>
      <c r="I14" s="2">
        <v>51008943</v>
      </c>
      <c r="J14" s="2">
        <v>1359732</v>
      </c>
      <c r="K14" s="2">
        <v>-108737</v>
      </c>
      <c r="L14" s="2"/>
      <c r="M14" s="2">
        <f>SUM(I14:L14)</f>
        <v>52259938</v>
      </c>
    </row>
    <row r="15" spans="1:14" ht="18.75">
      <c r="A15" s="2" t="s">
        <v>204</v>
      </c>
      <c r="B15" s="2"/>
      <c r="C15" s="2"/>
      <c r="D15" s="2"/>
      <c r="E15" s="2"/>
      <c r="F15" s="2"/>
      <c r="G15" s="2"/>
      <c r="H15" s="2"/>
      <c r="I15" s="2">
        <v>84057170</v>
      </c>
      <c r="J15" s="2">
        <v>6534160</v>
      </c>
      <c r="K15" s="2">
        <v>-20180</v>
      </c>
      <c r="L15" s="2">
        <v>276714</v>
      </c>
      <c r="M15" s="2">
        <f>SUM(I15:L15)</f>
        <v>90847864</v>
      </c>
    </row>
    <row r="16" spans="1:14" ht="18.75">
      <c r="A16" s="2" t="s">
        <v>15</v>
      </c>
      <c r="B16" s="2"/>
      <c r="C16" s="2"/>
      <c r="D16" s="2"/>
      <c r="E16" s="2"/>
      <c r="F16" s="2"/>
      <c r="G16" s="2"/>
      <c r="H16" s="2"/>
      <c r="I16" s="2">
        <v>39412787</v>
      </c>
      <c r="J16" s="2">
        <v>2799874</v>
      </c>
      <c r="K16" s="2">
        <v>-852457</v>
      </c>
      <c r="L16" s="2">
        <v>-18623</v>
      </c>
      <c r="M16" s="2">
        <f>SUM(I16:L16)</f>
        <v>41341581</v>
      </c>
    </row>
    <row r="17" spans="1:19" ht="18.75">
      <c r="A17" s="2" t="s">
        <v>17</v>
      </c>
      <c r="B17" s="2"/>
      <c r="C17" s="2"/>
      <c r="D17" s="2"/>
      <c r="E17" s="2"/>
      <c r="F17" s="2"/>
      <c r="G17" s="2"/>
      <c r="H17" s="2"/>
      <c r="I17" s="2">
        <v>111422111</v>
      </c>
      <c r="J17" s="38"/>
      <c r="K17" s="38">
        <v>-635245</v>
      </c>
      <c r="L17" s="38">
        <v>1623977</v>
      </c>
      <c r="M17" s="2">
        <f>SUM(I17:L17)</f>
        <v>112410843</v>
      </c>
    </row>
    <row r="18" spans="1:19" ht="18.75">
      <c r="A18" s="1"/>
      <c r="B18" s="1"/>
      <c r="C18" s="1" t="s">
        <v>18</v>
      </c>
      <c r="D18" s="1"/>
      <c r="E18" s="1"/>
      <c r="F18" s="2"/>
      <c r="G18" s="2"/>
      <c r="H18" s="2"/>
      <c r="I18" s="68">
        <f>SUM(I14:I17)</f>
        <v>285901011</v>
      </c>
      <c r="J18" s="68">
        <f>SUM(J14:J17)</f>
        <v>10693766</v>
      </c>
      <c r="K18" s="68">
        <f>SUM(K14:K17)</f>
        <v>-1616619</v>
      </c>
      <c r="L18" s="68">
        <f>SUM(L14:L17)</f>
        <v>1882068</v>
      </c>
      <c r="M18" s="68">
        <f>SUM(M14:M17)</f>
        <v>296860226</v>
      </c>
    </row>
    <row r="19" spans="1:19" ht="18.75">
      <c r="A19" s="1"/>
      <c r="B19" s="1"/>
      <c r="C19" s="1"/>
      <c r="D19" s="1"/>
      <c r="E19" s="1"/>
      <c r="F19" s="2"/>
      <c r="G19" s="2"/>
      <c r="H19" s="2"/>
      <c r="I19" s="76"/>
      <c r="J19" s="76"/>
      <c r="K19" s="76"/>
      <c r="L19" s="76"/>
      <c r="M19" s="76"/>
    </row>
    <row r="20" spans="1:19" ht="18.75">
      <c r="A20" s="1" t="s">
        <v>19</v>
      </c>
      <c r="B20" s="2"/>
      <c r="C20" s="2"/>
      <c r="D20" s="2"/>
      <c r="E20" s="2"/>
      <c r="F20" s="2"/>
      <c r="G20" s="2"/>
      <c r="H20" s="2"/>
      <c r="I20" s="2"/>
      <c r="J20" s="38"/>
      <c r="K20" s="38"/>
      <c r="L20" s="38"/>
      <c r="M20" s="38"/>
    </row>
    <row r="21" spans="1:19" ht="18.75">
      <c r="A21" s="2" t="s">
        <v>128</v>
      </c>
      <c r="B21" s="2"/>
      <c r="C21" s="2"/>
      <c r="D21" s="2"/>
      <c r="E21" s="2"/>
      <c r="F21" s="2"/>
      <c r="G21" s="2"/>
      <c r="H21" s="2"/>
      <c r="I21" s="38">
        <v>-13081461</v>
      </c>
      <c r="J21" s="38">
        <v>-1405179</v>
      </c>
      <c r="K21" s="38">
        <v>92524</v>
      </c>
      <c r="L21" s="38"/>
      <c r="M21" s="38">
        <f>SUM(I21:L21)</f>
        <v>-14394116</v>
      </c>
      <c r="N21" s="50">
        <f>M14+M21</f>
        <v>37865822</v>
      </c>
    </row>
    <row r="22" spans="1:19" ht="18.75">
      <c r="A22" s="2" t="s">
        <v>204</v>
      </c>
      <c r="B22" s="2"/>
      <c r="C22" s="2"/>
      <c r="D22" s="2"/>
      <c r="E22" s="2"/>
      <c r="F22" s="2"/>
      <c r="G22" s="2"/>
      <c r="H22" s="2"/>
      <c r="I22" s="38">
        <v>-37015483</v>
      </c>
      <c r="J22" s="38">
        <v>-4362465</v>
      </c>
      <c r="K22" s="38">
        <v>19701</v>
      </c>
      <c r="L22" s="38"/>
      <c r="M22" s="38">
        <f>SUM(I22:L22)</f>
        <v>-41358247</v>
      </c>
      <c r="N22" s="50">
        <f>M15+M22</f>
        <v>49489617</v>
      </c>
    </row>
    <row r="23" spans="1:19" ht="18.75">
      <c r="A23" s="2" t="s">
        <v>15</v>
      </c>
      <c r="B23" s="2"/>
      <c r="C23" s="2"/>
      <c r="D23" s="2"/>
      <c r="E23" s="2"/>
      <c r="F23" s="2"/>
      <c r="G23" s="2"/>
      <c r="H23" s="2"/>
      <c r="I23" s="38">
        <v>-29017151</v>
      </c>
      <c r="J23" s="38">
        <v>-2275415</v>
      </c>
      <c r="K23" s="38">
        <v>868124</v>
      </c>
      <c r="L23" s="38"/>
      <c r="M23" s="38">
        <f>SUM(I23:L23)</f>
        <v>-30424442</v>
      </c>
      <c r="N23" s="50">
        <f>M16+M23</f>
        <v>10917139</v>
      </c>
    </row>
    <row r="24" spans="1:19" ht="18.75">
      <c r="A24" s="2" t="s">
        <v>17</v>
      </c>
      <c r="B24" s="2"/>
      <c r="C24" s="2"/>
      <c r="D24" s="2"/>
      <c r="E24" s="2"/>
      <c r="F24" s="2"/>
      <c r="G24" s="2"/>
      <c r="H24" s="2"/>
      <c r="I24" s="38">
        <v>-68695022</v>
      </c>
      <c r="J24" s="38">
        <v>-3317181</v>
      </c>
      <c r="K24" s="38">
        <v>132449</v>
      </c>
      <c r="L24" s="38"/>
      <c r="M24" s="38">
        <f>SUM(I24:L24)</f>
        <v>-71879754</v>
      </c>
      <c r="N24" s="50">
        <f>M17+M24</f>
        <v>40531089</v>
      </c>
    </row>
    <row r="25" spans="1:19" ht="18.75">
      <c r="A25" s="1"/>
      <c r="B25" s="1"/>
      <c r="C25" s="1" t="s">
        <v>20</v>
      </c>
      <c r="D25" s="1"/>
      <c r="E25" s="2"/>
      <c r="F25" s="2"/>
      <c r="G25" s="2"/>
      <c r="H25" s="2"/>
      <c r="I25" s="68">
        <f>SUM(I21:I24)</f>
        <v>-147809117</v>
      </c>
      <c r="J25" s="68">
        <f>SUM(J21:J24)</f>
        <v>-11360240</v>
      </c>
      <c r="K25" s="68">
        <f>SUM(K21:K24)</f>
        <v>1112798</v>
      </c>
      <c r="L25" s="68">
        <f>SUM(L21:L24)</f>
        <v>0</v>
      </c>
      <c r="M25" s="68">
        <f>SUM(M21:M24)</f>
        <v>-158056559</v>
      </c>
    </row>
    <row r="26" spans="1:19" ht="18.75">
      <c r="A26" s="1"/>
      <c r="B26" s="1"/>
      <c r="C26" s="1"/>
      <c r="D26" s="1"/>
      <c r="E26" s="2"/>
      <c r="F26" s="2"/>
      <c r="G26" s="2"/>
      <c r="H26" s="2"/>
      <c r="I26" s="68"/>
      <c r="J26" s="68"/>
      <c r="K26" s="68"/>
      <c r="L26" s="68"/>
      <c r="M26" s="68"/>
    </row>
    <row r="27" spans="1:19" ht="18.75">
      <c r="A27" s="1" t="s">
        <v>21</v>
      </c>
      <c r="B27" s="1"/>
      <c r="C27" s="1"/>
      <c r="D27" s="1"/>
      <c r="E27" s="2"/>
      <c r="F27" s="2"/>
      <c r="G27" s="2"/>
      <c r="H27" s="2"/>
      <c r="I27" s="68">
        <f>SUM(I18+I25)</f>
        <v>138091894</v>
      </c>
      <c r="J27" s="68">
        <f>SUM(J18+J25)</f>
        <v>-666474</v>
      </c>
      <c r="K27" s="68">
        <f t="shared" ref="K27:M27" si="0">SUM(K18+K25)</f>
        <v>-503821</v>
      </c>
      <c r="L27" s="68">
        <f t="shared" si="0"/>
        <v>1882068</v>
      </c>
      <c r="M27" s="68">
        <f t="shared" si="0"/>
        <v>138803667</v>
      </c>
    </row>
    <row r="28" spans="1:19" ht="18.75">
      <c r="A28" s="1"/>
      <c r="B28" s="1"/>
      <c r="C28" s="1"/>
      <c r="D28" s="1"/>
      <c r="E28" s="2"/>
      <c r="F28" s="2"/>
      <c r="G28" s="2"/>
      <c r="H28" s="2"/>
      <c r="I28" s="68"/>
      <c r="J28" s="68"/>
      <c r="K28" s="68"/>
      <c r="L28" s="68"/>
      <c r="M28" s="68"/>
    </row>
    <row r="29" spans="1:19" ht="18.75">
      <c r="A29" s="1" t="s">
        <v>443</v>
      </c>
      <c r="B29" s="88"/>
      <c r="C29" s="1"/>
      <c r="D29" s="2"/>
      <c r="E29" s="2"/>
      <c r="F29" s="2"/>
      <c r="G29" s="2"/>
      <c r="H29" s="2"/>
      <c r="I29" s="68">
        <f>I11+I27</f>
        <v>197617376</v>
      </c>
      <c r="J29" s="68">
        <f>J11+J27</f>
        <v>24547375</v>
      </c>
      <c r="K29" s="68">
        <f>K11+K27</f>
        <v>-7882585</v>
      </c>
      <c r="L29" s="68">
        <f>L11+L27</f>
        <v>1900568</v>
      </c>
      <c r="M29" s="68">
        <f>M11+M27</f>
        <v>216182734</v>
      </c>
      <c r="N29" s="50">
        <f>SUM(N8:N27)</f>
        <v>216182734</v>
      </c>
    </row>
    <row r="30" spans="1:19" ht="18.7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 ht="18.7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 spans="1:19" ht="18.75">
      <c r="A32" s="1" t="s">
        <v>423</v>
      </c>
      <c r="B32" s="1"/>
      <c r="C32" s="1"/>
      <c r="D32" s="1"/>
      <c r="E32" s="1"/>
      <c r="F32" s="1"/>
      <c r="G32" s="2"/>
      <c r="H32" s="2"/>
      <c r="I32" s="38"/>
      <c r="J32" s="38"/>
      <c r="K32" s="38"/>
      <c r="L32" s="38"/>
      <c r="M32" s="38"/>
    </row>
    <row r="33" spans="1:14" ht="18.75">
      <c r="A33" s="2" t="s">
        <v>10</v>
      </c>
      <c r="B33" s="2"/>
      <c r="C33" s="2"/>
      <c r="D33" s="2"/>
      <c r="E33" s="2"/>
      <c r="F33" s="2"/>
      <c r="G33" s="2"/>
      <c r="H33" s="2"/>
      <c r="I33" s="38">
        <v>824777</v>
      </c>
      <c r="J33" s="38"/>
      <c r="K33" s="38"/>
      <c r="L33" s="38"/>
      <c r="M33" s="38">
        <f>SUM(I33:L33)</f>
        <v>824777</v>
      </c>
      <c r="N33" s="50">
        <f>M33</f>
        <v>824777</v>
      </c>
    </row>
    <row r="34" spans="1:14" ht="18.75">
      <c r="A34" s="2" t="s">
        <v>11</v>
      </c>
      <c r="B34" s="2"/>
      <c r="C34" s="2"/>
      <c r="D34" s="2"/>
      <c r="E34" s="2"/>
      <c r="F34" s="2"/>
      <c r="G34" s="2"/>
      <c r="H34" s="2"/>
      <c r="I34" s="38">
        <v>3944738</v>
      </c>
      <c r="J34" s="38">
        <v>842378</v>
      </c>
      <c r="K34" s="38">
        <v>-2144768</v>
      </c>
      <c r="L34" s="38"/>
      <c r="M34" s="38">
        <f>SUM(I34:L34)</f>
        <v>2642348</v>
      </c>
      <c r="N34" s="50">
        <f>M34</f>
        <v>2642348</v>
      </c>
    </row>
    <row r="35" spans="1:14" ht="18.75">
      <c r="A35" s="1"/>
      <c r="B35" s="1" t="s">
        <v>70</v>
      </c>
      <c r="C35" s="1"/>
      <c r="D35" s="1"/>
      <c r="E35" s="1"/>
      <c r="F35" s="1"/>
      <c r="G35" s="1"/>
      <c r="H35" s="1"/>
      <c r="I35" s="71">
        <f>SUM(I33:I34)</f>
        <v>4769515</v>
      </c>
      <c r="J35" s="71">
        <f>SUM(J33:J34)</f>
        <v>842378</v>
      </c>
      <c r="K35" s="71">
        <f>SUM(K33:K34)</f>
        <v>-2144768</v>
      </c>
      <c r="L35" s="71">
        <f>SUM(L33:L34)</f>
        <v>0</v>
      </c>
      <c r="M35" s="71">
        <f>SUM(M33:M34)</f>
        <v>3467125</v>
      </c>
    </row>
    <row r="36" spans="1:14" ht="18.75">
      <c r="A36" s="1"/>
      <c r="B36" s="1"/>
      <c r="C36" s="1"/>
      <c r="D36" s="1"/>
      <c r="E36" s="1"/>
      <c r="F36" s="1"/>
      <c r="G36" s="1"/>
      <c r="H36" s="1"/>
      <c r="I36" s="72"/>
      <c r="J36" s="72"/>
      <c r="K36" s="72"/>
      <c r="L36" s="72"/>
      <c r="M36" s="72"/>
    </row>
    <row r="37" spans="1:14" ht="18.75">
      <c r="A37" s="1" t="s">
        <v>216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4" ht="18.75">
      <c r="A38" s="2" t="s">
        <v>446</v>
      </c>
      <c r="B38" s="2"/>
      <c r="C38" s="2"/>
      <c r="D38" s="2"/>
      <c r="E38" s="2"/>
      <c r="F38" s="2"/>
      <c r="G38" s="2"/>
      <c r="H38" s="2"/>
      <c r="I38" s="2">
        <v>213642913</v>
      </c>
      <c r="J38" s="2">
        <v>2666344</v>
      </c>
      <c r="K38" s="2">
        <v>-102193</v>
      </c>
      <c r="L38" s="2">
        <v>564794</v>
      </c>
      <c r="M38" s="2">
        <f>SUM(I38:L38)</f>
        <v>216771858</v>
      </c>
    </row>
    <row r="39" spans="1:14" ht="18.75">
      <c r="A39" s="2" t="s">
        <v>15</v>
      </c>
      <c r="B39" s="2"/>
      <c r="C39" s="2"/>
      <c r="D39" s="2"/>
      <c r="E39" s="2"/>
      <c r="F39" s="2"/>
      <c r="G39" s="2"/>
      <c r="H39" s="2"/>
      <c r="I39" s="2">
        <v>15591141</v>
      </c>
      <c r="J39" s="2">
        <v>466649</v>
      </c>
      <c r="K39" s="2">
        <v>-482608</v>
      </c>
      <c r="L39" s="2">
        <v>15794</v>
      </c>
      <c r="M39" s="2">
        <f>SUM(I39:L39)</f>
        <v>15590976</v>
      </c>
    </row>
    <row r="40" spans="1:14" ht="18.75">
      <c r="A40" s="1"/>
      <c r="B40" s="1"/>
      <c r="C40" s="1" t="s">
        <v>18</v>
      </c>
      <c r="D40" s="1"/>
      <c r="E40" s="1"/>
      <c r="F40" s="2"/>
      <c r="G40" s="2"/>
      <c r="H40" s="2"/>
      <c r="I40" s="68">
        <f>SUM(I38:I39)</f>
        <v>229234054</v>
      </c>
      <c r="J40" s="68">
        <f>SUM(J38:J39)</f>
        <v>3132993</v>
      </c>
      <c r="K40" s="68">
        <f>SUM(K38:K39)</f>
        <v>-584801</v>
      </c>
      <c r="L40" s="68">
        <f>SUM(L38:L39)</f>
        <v>580588</v>
      </c>
      <c r="M40" s="68">
        <f>SUM(M38:M39)</f>
        <v>232362834</v>
      </c>
    </row>
    <row r="41" spans="1:14" ht="18.75">
      <c r="A41" s="1"/>
      <c r="B41" s="1"/>
      <c r="C41" s="1"/>
      <c r="D41" s="1"/>
      <c r="E41" s="1"/>
      <c r="F41" s="2"/>
      <c r="G41" s="2"/>
      <c r="H41" s="2"/>
      <c r="I41" s="76"/>
      <c r="J41" s="76"/>
      <c r="K41" s="76"/>
      <c r="L41" s="76"/>
      <c r="M41" s="76"/>
    </row>
    <row r="42" spans="1:14" ht="18.75">
      <c r="A42" s="1" t="s">
        <v>19</v>
      </c>
      <c r="B42" s="2"/>
      <c r="C42" s="2"/>
      <c r="D42" s="2"/>
      <c r="E42" s="2"/>
      <c r="F42" s="2"/>
      <c r="G42" s="2"/>
      <c r="H42" s="2"/>
      <c r="I42" s="2"/>
      <c r="J42" s="38"/>
      <c r="K42" s="38"/>
      <c r="L42" s="38"/>
      <c r="M42" s="38"/>
    </row>
    <row r="43" spans="1:14" ht="18.75">
      <c r="A43" s="2" t="s">
        <v>446</v>
      </c>
      <c r="B43" s="2"/>
      <c r="C43" s="2"/>
      <c r="D43" s="2"/>
      <c r="E43" s="2"/>
      <c r="F43" s="2"/>
      <c r="G43" s="2"/>
      <c r="H43" s="2"/>
      <c r="I43" s="38">
        <v>-87221759</v>
      </c>
      <c r="J43" s="38">
        <v>-5694841</v>
      </c>
      <c r="K43" s="38">
        <v>102193</v>
      </c>
      <c r="L43" s="38"/>
      <c r="M43" s="38">
        <f>SUM(I43:L43)</f>
        <v>-92814407</v>
      </c>
      <c r="N43" s="50">
        <f>M38+M43</f>
        <v>123957451</v>
      </c>
    </row>
    <row r="44" spans="1:14" ht="18.75">
      <c r="A44" s="2" t="s">
        <v>15</v>
      </c>
      <c r="B44" s="2"/>
      <c r="C44" s="2"/>
      <c r="D44" s="2"/>
      <c r="E44" s="2"/>
      <c r="F44" s="2"/>
      <c r="G44" s="2"/>
      <c r="H44" s="2"/>
      <c r="I44" s="38">
        <v>-13816530</v>
      </c>
      <c r="J44" s="38">
        <v>-543160</v>
      </c>
      <c r="K44" s="38">
        <v>482608</v>
      </c>
      <c r="L44" s="38"/>
      <c r="M44" s="38">
        <f>SUM(I44:L44)</f>
        <v>-13877082</v>
      </c>
      <c r="N44" s="50">
        <f>M39+M44</f>
        <v>1713894</v>
      </c>
    </row>
    <row r="45" spans="1:14" ht="18.75">
      <c r="A45" s="1"/>
      <c r="B45" s="1"/>
      <c r="C45" s="1" t="s">
        <v>20</v>
      </c>
      <c r="D45" s="1"/>
      <c r="E45" s="2"/>
      <c r="F45" s="2"/>
      <c r="G45" s="2"/>
      <c r="H45" s="2"/>
      <c r="I45" s="68">
        <f>SUM(I43:I44)</f>
        <v>-101038289</v>
      </c>
      <c r="J45" s="68">
        <f>SUM(J43:J44)</f>
        <v>-6238001</v>
      </c>
      <c r="K45" s="68">
        <f>SUM(K43:K44)</f>
        <v>584801</v>
      </c>
      <c r="L45" s="68">
        <f>SUM(L43:L44)</f>
        <v>0</v>
      </c>
      <c r="M45" s="68">
        <f>SUM(M43:M44)</f>
        <v>-106691489</v>
      </c>
    </row>
    <row r="46" spans="1:14" ht="18.75">
      <c r="A46" s="1"/>
      <c r="B46" s="1"/>
      <c r="C46" s="1"/>
      <c r="D46" s="1"/>
      <c r="E46" s="2"/>
      <c r="F46" s="2"/>
      <c r="G46" s="2"/>
      <c r="H46" s="2"/>
      <c r="I46" s="68"/>
      <c r="J46" s="68"/>
      <c r="K46" s="68"/>
      <c r="L46" s="68"/>
      <c r="M46" s="68"/>
    </row>
    <row r="47" spans="1:14" ht="18.75">
      <c r="A47" s="1" t="s">
        <v>21</v>
      </c>
      <c r="B47" s="1"/>
      <c r="C47" s="1"/>
      <c r="D47" s="1"/>
      <c r="E47" s="2"/>
      <c r="F47" s="2"/>
      <c r="G47" s="2"/>
      <c r="H47" s="2"/>
      <c r="I47" s="68">
        <f>SUM(I40+I45)</f>
        <v>128195765</v>
      </c>
      <c r="J47" s="68">
        <f t="shared" ref="J47:M47" si="1">SUM(J40+J45)</f>
        <v>-3105008</v>
      </c>
      <c r="K47" s="68">
        <f t="shared" si="1"/>
        <v>0</v>
      </c>
      <c r="L47" s="68">
        <f t="shared" si="1"/>
        <v>580588</v>
      </c>
      <c r="M47" s="68">
        <f t="shared" si="1"/>
        <v>125671345</v>
      </c>
    </row>
    <row r="48" spans="1:14" ht="18.75">
      <c r="A48" s="1"/>
      <c r="B48" s="1"/>
      <c r="C48" s="1"/>
      <c r="D48" s="1"/>
      <c r="E48" s="2"/>
      <c r="F48" s="2"/>
      <c r="G48" s="2"/>
      <c r="H48" s="2"/>
      <c r="I48" s="68"/>
      <c r="J48" s="68"/>
      <c r="K48" s="68"/>
      <c r="L48" s="68"/>
      <c r="M48" s="68"/>
    </row>
    <row r="49" spans="1:14" ht="18.75">
      <c r="A49" s="1" t="s">
        <v>447</v>
      </c>
      <c r="B49" s="88"/>
      <c r="C49" s="1"/>
      <c r="D49" s="2"/>
      <c r="E49" s="2"/>
      <c r="F49" s="2"/>
      <c r="G49" s="2"/>
      <c r="H49" s="2"/>
      <c r="I49" s="68">
        <f>I35+I47</f>
        <v>132965280</v>
      </c>
      <c r="J49" s="68">
        <f>J35+J47</f>
        <v>-2262630</v>
      </c>
      <c r="K49" s="68">
        <f>K35+K47</f>
        <v>-2144768</v>
      </c>
      <c r="L49" s="68">
        <f>L35+L47</f>
        <v>580588</v>
      </c>
      <c r="M49" s="68">
        <f>M35+M47</f>
        <v>129138470</v>
      </c>
      <c r="N49" s="50">
        <f>SUM(N33:N47)</f>
        <v>129138470</v>
      </c>
    </row>
    <row r="58" spans="1:14" ht="18.75">
      <c r="I58" s="76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25"/>
  <sheetViews>
    <sheetView topLeftCell="A7" zoomScale="110" zoomScaleNormal="110" workbookViewId="0">
      <selection activeCell="M27" sqref="M27"/>
    </sheetView>
  </sheetViews>
  <sheetFormatPr defaultColWidth="8.85546875" defaultRowHeight="15"/>
  <cols>
    <col min="9" max="9" width="15.140625" bestFit="1" customWidth="1"/>
    <col min="10" max="10" width="14.28515625" bestFit="1" customWidth="1"/>
    <col min="11" max="11" width="13.7109375" bestFit="1" customWidth="1"/>
    <col min="12" max="12" width="15.7109375" customWidth="1"/>
    <col min="13" max="13" width="15.140625" bestFit="1" customWidth="1"/>
    <col min="14" max="14" width="20.42578125" customWidth="1"/>
  </cols>
  <sheetData>
    <row r="1" spans="1:14" ht="18.75">
      <c r="A1" s="2"/>
      <c r="B1" s="2"/>
      <c r="C1" s="2"/>
      <c r="D1" s="159" t="s">
        <v>448</v>
      </c>
      <c r="E1" s="159"/>
      <c r="F1" s="159"/>
      <c r="G1" s="159"/>
      <c r="H1" s="159"/>
      <c r="I1" s="159"/>
      <c r="J1" s="2"/>
      <c r="K1" s="2"/>
      <c r="L1" s="2"/>
      <c r="M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  <c r="M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  <c r="M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  <c r="M4" s="2"/>
    </row>
    <row r="5" spans="1:14" ht="37.5">
      <c r="A5" s="2"/>
      <c r="B5" s="2"/>
      <c r="C5" s="2"/>
      <c r="D5" s="2"/>
      <c r="E5" s="2"/>
      <c r="F5" s="2"/>
      <c r="G5" s="2"/>
      <c r="H5" s="2"/>
      <c r="I5" s="63" t="s">
        <v>3</v>
      </c>
      <c r="J5" s="63" t="s">
        <v>4</v>
      </c>
      <c r="K5" s="63" t="s">
        <v>5</v>
      </c>
      <c r="L5" s="63" t="s">
        <v>120</v>
      </c>
      <c r="M5" s="63" t="s">
        <v>6</v>
      </c>
      <c r="N5" s="63" t="s">
        <v>7</v>
      </c>
    </row>
    <row r="6" spans="1:14" ht="18.75">
      <c r="A6" s="1" t="s">
        <v>449</v>
      </c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</row>
    <row r="7" spans="1:14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  <c r="M7" s="38"/>
    </row>
    <row r="8" spans="1:14" ht="18.75">
      <c r="A8" s="2"/>
      <c r="B8" s="2" t="s">
        <v>10</v>
      </c>
      <c r="C8" s="2"/>
      <c r="D8" s="2"/>
      <c r="E8" s="2"/>
      <c r="F8" s="2"/>
      <c r="G8" s="2"/>
      <c r="H8" s="2"/>
      <c r="I8" s="38">
        <v>235036</v>
      </c>
      <c r="J8" s="38">
        <v>7700</v>
      </c>
      <c r="K8" s="38"/>
      <c r="L8" s="38"/>
      <c r="M8" s="38">
        <f>SUM(I8:L8)</f>
        <v>242736</v>
      </c>
      <c r="N8" s="50">
        <f>M8</f>
        <v>242736</v>
      </c>
    </row>
    <row r="9" spans="1:14" ht="18.75">
      <c r="A9" s="2"/>
      <c r="B9" s="2" t="s">
        <v>11</v>
      </c>
      <c r="C9" s="2"/>
      <c r="D9" s="2"/>
      <c r="E9" s="2"/>
      <c r="F9" s="2"/>
      <c r="G9" s="2"/>
      <c r="H9" s="2"/>
      <c r="I9" s="2">
        <v>2104367</v>
      </c>
      <c r="J9" s="2">
        <v>469304</v>
      </c>
      <c r="K9" s="2">
        <v>-2137914</v>
      </c>
      <c r="L9" s="2"/>
      <c r="M9" s="38">
        <f>SUM(I9:L9)</f>
        <v>435757</v>
      </c>
      <c r="N9" s="50">
        <f>M9</f>
        <v>435757</v>
      </c>
    </row>
    <row r="10" spans="1:14" ht="18.75">
      <c r="A10" s="1"/>
      <c r="B10" s="1"/>
      <c r="C10" s="1" t="s">
        <v>70</v>
      </c>
      <c r="D10" s="1"/>
      <c r="E10" s="1"/>
      <c r="F10" s="1"/>
      <c r="G10" s="1"/>
      <c r="H10" s="1"/>
      <c r="I10" s="74">
        <f>SUM(I8:I9)</f>
        <v>2339403</v>
      </c>
      <c r="J10" s="74">
        <f>SUM(J8:J9)</f>
        <v>477004</v>
      </c>
      <c r="K10" s="74">
        <f>SUM(K8:K9)</f>
        <v>-2137914</v>
      </c>
      <c r="L10" s="74">
        <f>SUM(L8:L9)</f>
        <v>0</v>
      </c>
      <c r="M10" s="74">
        <f>SUM(M8:M9)</f>
        <v>678493</v>
      </c>
    </row>
    <row r="11" spans="1:14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ht="18.75">
      <c r="A12" s="1" t="s">
        <v>216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ht="18.75">
      <c r="A13" s="2"/>
      <c r="B13" s="2" t="s">
        <v>14</v>
      </c>
      <c r="C13" s="2"/>
      <c r="D13" s="2"/>
      <c r="E13" s="2"/>
      <c r="F13" s="2"/>
      <c r="G13" s="2"/>
      <c r="H13" s="2"/>
      <c r="I13" s="2">
        <v>5807271</v>
      </c>
      <c r="J13" s="38">
        <v>456694</v>
      </c>
      <c r="K13" s="38">
        <v>-16188</v>
      </c>
      <c r="L13" s="38"/>
      <c r="M13" s="38">
        <f>SUM(I13:L13)</f>
        <v>6247777</v>
      </c>
    </row>
    <row r="14" spans="1:14" ht="18.75">
      <c r="A14" s="2"/>
      <c r="B14" s="2" t="s">
        <v>450</v>
      </c>
      <c r="C14" s="2"/>
      <c r="D14" s="2"/>
      <c r="E14" s="2"/>
      <c r="F14" s="2"/>
      <c r="G14" s="2"/>
      <c r="H14" s="2"/>
      <c r="I14" s="2">
        <v>6583657</v>
      </c>
      <c r="J14" s="38">
        <v>357161</v>
      </c>
      <c r="K14" s="38">
        <v>-467835</v>
      </c>
      <c r="L14" s="38"/>
      <c r="M14" s="38">
        <f>SUM(I14:L14)</f>
        <v>6472983</v>
      </c>
    </row>
    <row r="15" spans="1:14" ht="18.75">
      <c r="A15" s="2"/>
      <c r="B15" s="2" t="s">
        <v>435</v>
      </c>
      <c r="C15" s="2"/>
      <c r="D15" s="2"/>
      <c r="E15" s="2"/>
      <c r="F15" s="2"/>
      <c r="G15" s="2"/>
      <c r="H15" s="2"/>
      <c r="I15" s="2">
        <v>10537775</v>
      </c>
      <c r="J15" s="38">
        <v>1692804</v>
      </c>
      <c r="K15" s="38"/>
      <c r="L15" s="38"/>
      <c r="M15" s="38">
        <f>SUM(I15:L15)</f>
        <v>12230579</v>
      </c>
    </row>
    <row r="16" spans="1:14" ht="18.75">
      <c r="A16" s="2"/>
      <c r="B16" s="2"/>
      <c r="C16" s="1" t="s">
        <v>18</v>
      </c>
      <c r="D16" s="2"/>
      <c r="E16" s="2"/>
      <c r="F16" s="2"/>
      <c r="G16" s="2"/>
      <c r="H16" s="2"/>
      <c r="I16" s="75">
        <f>SUM(I13:I15)</f>
        <v>22928703</v>
      </c>
      <c r="J16" s="75">
        <f>SUM(J13:J15)</f>
        <v>2506659</v>
      </c>
      <c r="K16" s="75">
        <f>SUM(K13:K15)</f>
        <v>-484023</v>
      </c>
      <c r="L16" s="75">
        <f>SUM(L13:L15)</f>
        <v>0</v>
      </c>
      <c r="M16" s="75">
        <f>SUM(M13:M15)</f>
        <v>24951339</v>
      </c>
    </row>
    <row r="17" spans="1:14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4" ht="18.75">
      <c r="A18" s="1" t="s">
        <v>398</v>
      </c>
      <c r="B18" s="2"/>
      <c r="C18" s="2"/>
      <c r="D18" s="2"/>
      <c r="E18" s="2"/>
      <c r="F18" s="2"/>
      <c r="G18" s="2"/>
      <c r="H18" s="2"/>
      <c r="I18" s="2"/>
      <c r="J18" s="38"/>
      <c r="K18" s="38"/>
      <c r="L18" s="38"/>
      <c r="M18" s="38"/>
    </row>
    <row r="19" spans="1:14" ht="18.75">
      <c r="A19" s="2"/>
      <c r="B19" s="2" t="s">
        <v>14</v>
      </c>
      <c r="C19" s="2"/>
      <c r="D19" s="2"/>
      <c r="E19" s="2"/>
      <c r="F19" s="2"/>
      <c r="G19" s="2"/>
      <c r="H19" s="2"/>
      <c r="I19" s="38">
        <v>-2036901</v>
      </c>
      <c r="J19" s="38">
        <v>-146494</v>
      </c>
      <c r="K19" s="38">
        <v>7091</v>
      </c>
      <c r="L19" s="38"/>
      <c r="M19" s="38">
        <f>SUM(I19:L19)</f>
        <v>-2176304</v>
      </c>
      <c r="N19" s="50">
        <f>M13+M19</f>
        <v>4071473</v>
      </c>
    </row>
    <row r="20" spans="1:14" ht="18.75">
      <c r="A20" s="2"/>
      <c r="B20" s="2" t="s">
        <v>104</v>
      </c>
      <c r="C20" s="2"/>
      <c r="D20" s="2"/>
      <c r="E20" s="2"/>
      <c r="F20" s="2"/>
      <c r="G20" s="2"/>
      <c r="H20" s="2"/>
      <c r="I20" s="38">
        <v>-4121126</v>
      </c>
      <c r="J20" s="38">
        <v>-451811</v>
      </c>
      <c r="K20" s="38">
        <v>439326</v>
      </c>
      <c r="L20" s="38"/>
      <c r="M20" s="38">
        <f>SUM(I20:L20)</f>
        <v>-4133611</v>
      </c>
      <c r="N20" s="50">
        <f>M14+M20</f>
        <v>2339372</v>
      </c>
    </row>
    <row r="21" spans="1:14" ht="18.75">
      <c r="A21" s="2"/>
      <c r="B21" s="2" t="s">
        <v>17</v>
      </c>
      <c r="C21" s="2"/>
      <c r="D21" s="2"/>
      <c r="E21" s="2"/>
      <c r="F21" s="2"/>
      <c r="G21" s="2"/>
      <c r="H21" s="2"/>
      <c r="I21" s="38">
        <v>-1242614</v>
      </c>
      <c r="J21" s="38">
        <v>-281158</v>
      </c>
      <c r="K21" s="38"/>
      <c r="L21" s="38"/>
      <c r="M21" s="38">
        <f>SUM(I21:L21)</f>
        <v>-1523772</v>
      </c>
      <c r="N21" s="50">
        <f>M15+M21</f>
        <v>10706807</v>
      </c>
    </row>
    <row r="22" spans="1:14" ht="18.75">
      <c r="A22" s="1"/>
      <c r="B22" s="2"/>
      <c r="C22" s="1" t="s">
        <v>20</v>
      </c>
      <c r="D22" s="2"/>
      <c r="E22" s="2"/>
      <c r="F22" s="2"/>
      <c r="G22" s="2"/>
      <c r="H22" s="2"/>
      <c r="I22" s="68">
        <f>SUM(I19:I21)</f>
        <v>-7400641</v>
      </c>
      <c r="J22" s="68">
        <f>SUM(J19:J21)</f>
        <v>-879463</v>
      </c>
      <c r="K22" s="68">
        <f>SUM(K19:K21)</f>
        <v>446417</v>
      </c>
      <c r="L22" s="68">
        <f>SUM(L19:L21)</f>
        <v>0</v>
      </c>
      <c r="M22" s="68">
        <f>SUM(M19:M21)</f>
        <v>-7833687</v>
      </c>
    </row>
    <row r="23" spans="1:14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4" ht="18.75">
      <c r="A24" s="1" t="s">
        <v>395</v>
      </c>
      <c r="B24" s="2"/>
      <c r="C24" s="1"/>
      <c r="D24" s="2"/>
      <c r="E24" s="2"/>
      <c r="F24" s="2"/>
      <c r="G24" s="2"/>
      <c r="H24" s="2"/>
      <c r="I24" s="68">
        <f>I16+I22</f>
        <v>15528062</v>
      </c>
      <c r="J24" s="68">
        <f>J16+J22</f>
        <v>1627196</v>
      </c>
      <c r="K24" s="68">
        <f>K16+K22</f>
        <v>-37606</v>
      </c>
      <c r="L24" s="68">
        <f>L16+L22</f>
        <v>0</v>
      </c>
      <c r="M24" s="68">
        <f>M16+M22</f>
        <v>17117652</v>
      </c>
    </row>
    <row r="25" spans="1:14" ht="18.75">
      <c r="A25" s="1" t="s">
        <v>451</v>
      </c>
      <c r="B25" s="2"/>
      <c r="C25" s="1"/>
      <c r="D25" s="2"/>
      <c r="E25" s="2"/>
      <c r="F25" s="2"/>
      <c r="G25" s="2"/>
      <c r="H25" s="2"/>
      <c r="I25" s="68">
        <f>I10+I24</f>
        <v>17867465</v>
      </c>
      <c r="J25" s="68">
        <f t="shared" ref="J25:M25" si="0">J10+J24</f>
        <v>2104200</v>
      </c>
      <c r="K25" s="68">
        <f t="shared" si="0"/>
        <v>-2175520</v>
      </c>
      <c r="L25" s="68">
        <f t="shared" si="0"/>
        <v>0</v>
      </c>
      <c r="M25" s="68">
        <f t="shared" si="0"/>
        <v>17796145</v>
      </c>
      <c r="N25" s="50">
        <f>SUM(N8:N23)</f>
        <v>17796145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58"/>
  <sheetViews>
    <sheetView topLeftCell="A25" zoomScale="80" zoomScaleNormal="80" zoomScalePageLayoutView="80" workbookViewId="0">
      <selection activeCell="P44" sqref="P44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18.85546875" style="2" customWidth="1"/>
    <col min="10" max="10" width="16.85546875" style="2" bestFit="1" customWidth="1"/>
    <col min="11" max="11" width="20" style="2" bestFit="1" customWidth="1"/>
    <col min="12" max="12" width="20.42578125" style="2" bestFit="1" customWidth="1"/>
    <col min="13" max="13" width="17.7109375" style="2" customWidth="1"/>
    <col min="14" max="16384" width="8.85546875" style="2"/>
  </cols>
  <sheetData>
    <row r="1" spans="1:13">
      <c r="D1" s="159" t="s">
        <v>452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</v>
      </c>
      <c r="E3" s="159"/>
      <c r="F3" s="159"/>
      <c r="G3" s="159"/>
      <c r="H3" s="159"/>
      <c r="I3" s="159"/>
    </row>
    <row r="4" spans="1:13" ht="14.25" customHeight="1">
      <c r="D4" s="151"/>
      <c r="E4" s="151"/>
      <c r="F4" s="151"/>
      <c r="G4" s="151"/>
      <c r="H4" s="151"/>
      <c r="I4" s="151"/>
    </row>
    <row r="5" spans="1:13" ht="37.5">
      <c r="I5" s="63" t="s">
        <v>3</v>
      </c>
      <c r="J5" s="63" t="s">
        <v>4</v>
      </c>
      <c r="K5" s="63" t="s">
        <v>5</v>
      </c>
      <c r="L5" s="63" t="s">
        <v>6</v>
      </c>
      <c r="M5" s="1" t="s">
        <v>7</v>
      </c>
    </row>
    <row r="6" spans="1:13">
      <c r="A6" s="1" t="s">
        <v>8</v>
      </c>
      <c r="I6" s="70"/>
      <c r="J6" s="70"/>
      <c r="K6" s="70"/>
      <c r="L6" s="70"/>
    </row>
    <row r="7" spans="1:13">
      <c r="A7" s="1" t="s">
        <v>9</v>
      </c>
      <c r="B7" s="1"/>
      <c r="C7" s="1"/>
      <c r="D7" s="1"/>
      <c r="E7" s="1"/>
      <c r="F7" s="1"/>
      <c r="I7" s="38"/>
      <c r="J7" s="38"/>
      <c r="K7" s="38"/>
      <c r="L7" s="38"/>
    </row>
    <row r="8" spans="1:13">
      <c r="B8" s="2" t="s">
        <v>10</v>
      </c>
      <c r="I8" s="38">
        <v>21340364</v>
      </c>
      <c r="J8" s="38">
        <v>3216059</v>
      </c>
      <c r="K8" s="38"/>
      <c r="L8" s="38">
        <f>SUM(I8:K8)</f>
        <v>24556423</v>
      </c>
      <c r="M8" s="38">
        <f>L8</f>
        <v>24556423</v>
      </c>
    </row>
    <row r="9" spans="1:13">
      <c r="B9" s="2" t="s">
        <v>11</v>
      </c>
      <c r="I9" s="2">
        <v>7175955</v>
      </c>
      <c r="J9" s="2">
        <v>2655358</v>
      </c>
      <c r="K9" s="2">
        <v>-1637686</v>
      </c>
      <c r="L9" s="38">
        <f>SUM(I9:K9)</f>
        <v>8193627</v>
      </c>
      <c r="M9" s="38">
        <f>L9</f>
        <v>8193627</v>
      </c>
    </row>
    <row r="10" spans="1:13">
      <c r="A10" s="1"/>
      <c r="B10" s="1"/>
      <c r="C10" s="1" t="s">
        <v>70</v>
      </c>
      <c r="D10" s="1"/>
      <c r="E10" s="1"/>
      <c r="F10" s="1"/>
      <c r="G10" s="1"/>
      <c r="H10" s="1"/>
      <c r="I10" s="74">
        <f>SUM(I8:I9)</f>
        <v>28516319</v>
      </c>
      <c r="J10" s="74">
        <f>SUM(J8:J9)</f>
        <v>5871417</v>
      </c>
      <c r="K10" s="74">
        <f>SUM(K8:K9)</f>
        <v>-1637686</v>
      </c>
      <c r="L10" s="74">
        <f>SUM(L8:L9)</f>
        <v>32750050</v>
      </c>
      <c r="M10" s="1"/>
    </row>
    <row r="12" spans="1:13">
      <c r="A12" s="1" t="s">
        <v>425</v>
      </c>
    </row>
    <row r="13" spans="1:13">
      <c r="A13" s="2" t="s">
        <v>33</v>
      </c>
      <c r="I13" s="2">
        <v>21261074</v>
      </c>
      <c r="J13" s="38">
        <v>829737</v>
      </c>
      <c r="K13" s="38">
        <v>-635919</v>
      </c>
      <c r="L13" s="38">
        <f>SUM(I13:K13)</f>
        <v>21454892</v>
      </c>
    </row>
    <row r="14" spans="1:13">
      <c r="A14" s="2" t="s">
        <v>204</v>
      </c>
      <c r="I14" s="2">
        <v>4688312</v>
      </c>
      <c r="J14" s="38">
        <v>93210</v>
      </c>
      <c r="K14" s="38"/>
      <c r="L14" s="38">
        <f>SUM(I14:K14)</f>
        <v>4781522</v>
      </c>
    </row>
    <row r="15" spans="1:13">
      <c r="A15" s="2" t="s">
        <v>15</v>
      </c>
      <c r="I15" s="2">
        <v>15005944</v>
      </c>
      <c r="J15" s="38">
        <v>1896380</v>
      </c>
      <c r="K15" s="38">
        <v>-393013</v>
      </c>
      <c r="L15" s="38">
        <f>SUM(I15:K15)</f>
        <v>16509311</v>
      </c>
    </row>
    <row r="16" spans="1:13">
      <c r="A16" s="2" t="s">
        <v>403</v>
      </c>
      <c r="I16" s="2">
        <v>1907503</v>
      </c>
      <c r="J16" s="38">
        <v>87209</v>
      </c>
      <c r="K16" s="38">
        <v>-3532</v>
      </c>
      <c r="L16" s="38">
        <f>SUM(I16:K16)</f>
        <v>1991180</v>
      </c>
    </row>
    <row r="17" spans="1:15">
      <c r="A17" s="2" t="s">
        <v>17</v>
      </c>
      <c r="I17" s="2">
        <v>58191263</v>
      </c>
      <c r="J17" s="38"/>
      <c r="K17" s="38"/>
      <c r="L17" s="38">
        <f>SUM(I17:K17)</f>
        <v>58191263</v>
      </c>
    </row>
    <row r="18" spans="1:15">
      <c r="B18" s="1" t="s">
        <v>18</v>
      </c>
      <c r="C18" s="1"/>
      <c r="I18" s="75">
        <f>SUM(I13:I17)</f>
        <v>101054096</v>
      </c>
      <c r="J18" s="75">
        <f t="shared" ref="J18:L18" si="0">SUM(J13:J17)</f>
        <v>2906536</v>
      </c>
      <c r="K18" s="75">
        <f t="shared" si="0"/>
        <v>-1032464</v>
      </c>
      <c r="L18" s="75">
        <f t="shared" si="0"/>
        <v>102928168</v>
      </c>
    </row>
    <row r="20" spans="1:15">
      <c r="A20" s="1" t="s">
        <v>398</v>
      </c>
      <c r="J20" s="38"/>
      <c r="K20" s="38"/>
      <c r="L20" s="38"/>
    </row>
    <row r="21" spans="1:15">
      <c r="A21" s="2" t="s">
        <v>33</v>
      </c>
      <c r="I21" s="38">
        <v>-7356971</v>
      </c>
      <c r="J21" s="38">
        <v>-663822</v>
      </c>
      <c r="K21" s="38">
        <v>348673</v>
      </c>
      <c r="L21" s="38">
        <f>SUM(I21:K21)</f>
        <v>-7672120</v>
      </c>
      <c r="M21" s="38">
        <f>L13+L21</f>
        <v>13782772</v>
      </c>
    </row>
    <row r="22" spans="1:15">
      <c r="A22" s="2" t="s">
        <v>204</v>
      </c>
      <c r="I22" s="38">
        <v>-1499493</v>
      </c>
      <c r="J22" s="38">
        <v>-193578</v>
      </c>
      <c r="K22" s="38"/>
      <c r="L22" s="38">
        <f>SUM(I22:K22)</f>
        <v>-1693071</v>
      </c>
      <c r="M22" s="38">
        <f>L14+L22</f>
        <v>3088451</v>
      </c>
    </row>
    <row r="23" spans="1:15">
      <c r="A23" s="2" t="s">
        <v>15</v>
      </c>
      <c r="I23" s="38">
        <v>-9398519</v>
      </c>
      <c r="J23" s="38">
        <v>-1218641</v>
      </c>
      <c r="K23" s="38">
        <v>339586</v>
      </c>
      <c r="L23" s="38">
        <f>SUM(I23:K23)</f>
        <v>-10277574</v>
      </c>
      <c r="M23" s="38">
        <f>L15+L23</f>
        <v>6231737</v>
      </c>
    </row>
    <row r="24" spans="1:15">
      <c r="A24" s="2" t="s">
        <v>403</v>
      </c>
      <c r="I24" s="38">
        <v>-1837029</v>
      </c>
      <c r="J24" s="38">
        <v>-70474</v>
      </c>
      <c r="K24" s="38">
        <v>3532</v>
      </c>
      <c r="L24" s="38">
        <f>SUM(I24:K24)</f>
        <v>-1903971</v>
      </c>
      <c r="M24" s="38">
        <f>L16+L24</f>
        <v>87209</v>
      </c>
    </row>
    <row r="25" spans="1:15">
      <c r="A25" s="2" t="s">
        <v>17</v>
      </c>
      <c r="I25" s="2">
        <v>-46351040</v>
      </c>
      <c r="J25" s="38">
        <v>-1485746</v>
      </c>
      <c r="K25" s="38"/>
      <c r="L25" s="38">
        <f>SUM(I25:K25)</f>
        <v>-47836786</v>
      </c>
      <c r="M25" s="38">
        <f>L17+L25</f>
        <v>10354477</v>
      </c>
    </row>
    <row r="26" spans="1:15">
      <c r="A26" s="1" t="s">
        <v>20</v>
      </c>
      <c r="B26" s="1"/>
      <c r="C26" s="1"/>
      <c r="I26" s="68">
        <f>SUM(I21:I25)</f>
        <v>-66443052</v>
      </c>
      <c r="J26" s="68">
        <f t="shared" ref="J26:L26" si="1">SUM(J21:J25)</f>
        <v>-3632261</v>
      </c>
      <c r="K26" s="68">
        <f t="shared" si="1"/>
        <v>691791</v>
      </c>
      <c r="L26" s="68">
        <f t="shared" si="1"/>
        <v>-69383522</v>
      </c>
      <c r="M26" s="1"/>
    </row>
    <row r="27" spans="1:15">
      <c r="A27" s="1"/>
      <c r="C27" s="1"/>
      <c r="I27" s="76"/>
      <c r="J27" s="76"/>
      <c r="K27" s="76"/>
      <c r="L27" s="76"/>
    </row>
    <row r="28" spans="1:15">
      <c r="A28" s="1" t="s">
        <v>453</v>
      </c>
      <c r="B28" s="49"/>
      <c r="C28" s="33"/>
      <c r="D28" s="33"/>
      <c r="E28" s="33"/>
      <c r="F28" s="33"/>
      <c r="G28" s="33"/>
      <c r="H28" s="33"/>
      <c r="I28" s="69">
        <f>SUM(I26+I18)</f>
        <v>34611044</v>
      </c>
      <c r="J28" s="69">
        <f t="shared" ref="J28:L28" si="2">SUM(J26+J18)</f>
        <v>-725725</v>
      </c>
      <c r="K28" s="69">
        <f t="shared" si="2"/>
        <v>-340673</v>
      </c>
      <c r="L28" s="69">
        <f t="shared" si="2"/>
        <v>33544646</v>
      </c>
    </row>
    <row r="29" spans="1:15" ht="19.5" thickBot="1">
      <c r="A29" s="1" t="s">
        <v>22</v>
      </c>
      <c r="B29" s="49"/>
      <c r="C29" s="33"/>
      <c r="D29" s="33"/>
      <c r="E29" s="33"/>
      <c r="F29" s="33"/>
      <c r="G29" s="33"/>
      <c r="H29" s="33"/>
      <c r="I29" s="90">
        <f>SUM(I10+I18+I26)</f>
        <v>63127363</v>
      </c>
      <c r="J29" s="90">
        <f t="shared" ref="J29:L29" si="3">SUM(J10+J18+J26)</f>
        <v>5145692</v>
      </c>
      <c r="K29" s="90">
        <f t="shared" si="3"/>
        <v>-1978359</v>
      </c>
      <c r="L29" s="90">
        <f t="shared" si="3"/>
        <v>66294696</v>
      </c>
      <c r="M29" s="38">
        <f>SUM(M8:M25)</f>
        <v>66294696</v>
      </c>
    </row>
    <row r="30" spans="1:15">
      <c r="A30" s="1"/>
      <c r="B30" s="1"/>
      <c r="C30" s="33"/>
      <c r="D30" s="33"/>
      <c r="E30" s="33"/>
      <c r="F30" s="33"/>
      <c r="G30" s="33"/>
      <c r="H30" s="33"/>
      <c r="I30" s="77"/>
      <c r="J30" s="77"/>
      <c r="K30" s="77"/>
      <c r="L30" s="77"/>
    </row>
    <row r="31" spans="1:15">
      <c r="A31" s="1" t="s">
        <v>454</v>
      </c>
      <c r="I31" s="103"/>
      <c r="J31" s="103"/>
      <c r="K31" s="103"/>
      <c r="L31" s="103"/>
      <c r="M31" s="104"/>
      <c r="N31" s="104"/>
      <c r="O31" s="104"/>
    </row>
    <row r="32" spans="1:15">
      <c r="A32" s="2" t="s">
        <v>382</v>
      </c>
      <c r="I32" s="103"/>
      <c r="J32" s="103"/>
      <c r="K32" s="103"/>
      <c r="L32" s="103"/>
      <c r="M32" s="104"/>
      <c r="N32" s="104"/>
      <c r="O32" s="104"/>
    </row>
    <row r="33" spans="1:15">
      <c r="A33" s="2" t="s">
        <v>10</v>
      </c>
      <c r="I33" s="103">
        <v>1050000</v>
      </c>
      <c r="J33" s="103"/>
      <c r="K33" s="103"/>
      <c r="L33" s="103">
        <f>SUM(I33:K33)</f>
        <v>1050000</v>
      </c>
      <c r="M33" s="104">
        <f>L33</f>
        <v>1050000</v>
      </c>
      <c r="N33" s="104"/>
      <c r="O33" s="104"/>
    </row>
    <row r="34" spans="1:15">
      <c r="A34" s="2" t="s">
        <v>11</v>
      </c>
      <c r="I34" s="105">
        <v>47480</v>
      </c>
      <c r="J34" s="105">
        <v>112176</v>
      </c>
      <c r="K34" s="105"/>
      <c r="L34" s="105">
        <f>SUM(I34:K34)</f>
        <v>159656</v>
      </c>
      <c r="M34" s="104">
        <f>L34</f>
        <v>159656</v>
      </c>
      <c r="N34" s="104"/>
      <c r="O34" s="104"/>
    </row>
    <row r="35" spans="1:15">
      <c r="A35" s="1" t="s">
        <v>12</v>
      </c>
      <c r="I35" s="105">
        <f>SUM(I33:I34)</f>
        <v>1097480</v>
      </c>
      <c r="J35" s="105">
        <f t="shared" ref="J35:L35" si="4">SUM(J33:J34)</f>
        <v>112176</v>
      </c>
      <c r="K35" s="105">
        <f t="shared" si="4"/>
        <v>0</v>
      </c>
      <c r="L35" s="105">
        <f t="shared" si="4"/>
        <v>1209656</v>
      </c>
      <c r="M35" s="104"/>
      <c r="N35" s="104"/>
      <c r="O35" s="104"/>
    </row>
    <row r="36" spans="1:15">
      <c r="I36" s="103"/>
      <c r="J36" s="103"/>
      <c r="K36" s="103"/>
      <c r="L36" s="103"/>
      <c r="M36" s="104"/>
      <c r="N36" s="104"/>
      <c r="O36" s="104"/>
    </row>
    <row r="37" spans="1:15">
      <c r="A37" s="1" t="s">
        <v>425</v>
      </c>
      <c r="I37" s="103"/>
      <c r="J37" s="103"/>
      <c r="K37" s="103"/>
      <c r="L37" s="103"/>
      <c r="M37" s="104"/>
      <c r="N37" s="104"/>
      <c r="O37" s="104"/>
    </row>
    <row r="38" spans="1:15">
      <c r="A38" s="2" t="s">
        <v>33</v>
      </c>
      <c r="I38" s="103">
        <v>6061170</v>
      </c>
      <c r="J38" s="103"/>
      <c r="K38" s="103"/>
      <c r="L38" s="103">
        <f>SUM(I38:K38)</f>
        <v>6061170</v>
      </c>
      <c r="M38" s="104"/>
      <c r="N38" s="104"/>
      <c r="O38" s="104"/>
    </row>
    <row r="39" spans="1:15">
      <c r="A39" s="2" t="s">
        <v>455</v>
      </c>
      <c r="I39" s="103">
        <v>2098948</v>
      </c>
      <c r="J39" s="103"/>
      <c r="K39" s="103"/>
      <c r="L39" s="103">
        <f t="shared" ref="L39:L42" si="5">SUM(I39:K39)</f>
        <v>2098948</v>
      </c>
      <c r="M39" s="104"/>
      <c r="N39" s="104"/>
      <c r="O39" s="104"/>
    </row>
    <row r="40" spans="1:15">
      <c r="A40" s="2" t="s">
        <v>456</v>
      </c>
      <c r="I40" s="103">
        <v>21854558</v>
      </c>
      <c r="J40" s="103">
        <v>656847</v>
      </c>
      <c r="K40" s="103"/>
      <c r="L40" s="103">
        <f t="shared" si="5"/>
        <v>22511405</v>
      </c>
      <c r="M40" s="104"/>
      <c r="N40" s="104"/>
      <c r="O40" s="104"/>
    </row>
    <row r="41" spans="1:15">
      <c r="A41" s="2" t="s">
        <v>457</v>
      </c>
      <c r="I41" s="103">
        <v>751073</v>
      </c>
      <c r="J41" s="103"/>
      <c r="K41" s="103"/>
      <c r="L41" s="103">
        <f t="shared" si="5"/>
        <v>751073</v>
      </c>
      <c r="M41" s="104"/>
      <c r="N41" s="104"/>
      <c r="O41" s="104"/>
    </row>
    <row r="42" spans="1:15">
      <c r="A42" s="2" t="s">
        <v>458</v>
      </c>
      <c r="I42" s="105">
        <v>593885</v>
      </c>
      <c r="J42" s="105">
        <v>17776</v>
      </c>
      <c r="K42" s="105">
        <v>-95727</v>
      </c>
      <c r="L42" s="105">
        <f t="shared" si="5"/>
        <v>515934</v>
      </c>
      <c r="M42" s="104"/>
      <c r="N42" s="104"/>
      <c r="O42" s="104"/>
    </row>
    <row r="43" spans="1:15">
      <c r="A43" s="1" t="s">
        <v>459</v>
      </c>
      <c r="I43" s="105">
        <f>SUM(I38:I42)</f>
        <v>31359634</v>
      </c>
      <c r="J43" s="105">
        <f t="shared" ref="J43:L43" si="6">SUM(J38:J42)</f>
        <v>674623</v>
      </c>
      <c r="K43" s="105">
        <f t="shared" si="6"/>
        <v>-95727</v>
      </c>
      <c r="L43" s="105">
        <f t="shared" si="6"/>
        <v>31938530</v>
      </c>
      <c r="M43" s="104"/>
      <c r="N43" s="104"/>
      <c r="O43" s="104"/>
    </row>
    <row r="44" spans="1:15">
      <c r="I44" s="103"/>
      <c r="J44" s="103"/>
      <c r="K44" s="103"/>
      <c r="L44" s="103"/>
      <c r="M44" s="104"/>
      <c r="N44" s="104"/>
      <c r="O44" s="104"/>
    </row>
    <row r="45" spans="1:15">
      <c r="A45" s="1" t="s">
        <v>398</v>
      </c>
      <c r="I45" s="103"/>
      <c r="J45" s="103"/>
      <c r="K45" s="103"/>
      <c r="L45" s="103"/>
      <c r="M45" s="104"/>
      <c r="N45" s="104"/>
      <c r="O45" s="104"/>
    </row>
    <row r="46" spans="1:15">
      <c r="A46" s="2" t="s">
        <v>33</v>
      </c>
      <c r="I46" s="103">
        <v>-5521169</v>
      </c>
      <c r="J46" s="103">
        <v>-188710</v>
      </c>
      <c r="K46" s="103"/>
      <c r="L46" s="103">
        <f>SUM(I46:K46)</f>
        <v>-5709879</v>
      </c>
      <c r="M46" s="104">
        <f>SUM(L38+L46)</f>
        <v>351291</v>
      </c>
      <c r="N46" s="104"/>
      <c r="O46" s="104"/>
    </row>
    <row r="47" spans="1:15">
      <c r="A47" s="2" t="s">
        <v>455</v>
      </c>
      <c r="I47" s="103">
        <v>-1591610</v>
      </c>
      <c r="J47" s="103">
        <v>-22122</v>
      </c>
      <c r="K47" s="103"/>
      <c r="L47" s="103">
        <f t="shared" ref="L47:L50" si="7">SUM(I47:K47)</f>
        <v>-1613732</v>
      </c>
      <c r="M47" s="104">
        <f t="shared" ref="M47" si="8">SUM(L39+L47)</f>
        <v>485216</v>
      </c>
      <c r="N47" s="104"/>
      <c r="O47" s="104"/>
    </row>
    <row r="48" spans="1:15">
      <c r="A48" s="2" t="s">
        <v>456</v>
      </c>
      <c r="I48" s="103">
        <v>-11104329</v>
      </c>
      <c r="J48" s="103">
        <v>-615291</v>
      </c>
      <c r="K48" s="103"/>
      <c r="L48" s="103">
        <f t="shared" si="7"/>
        <v>-11719620</v>
      </c>
      <c r="M48" s="104">
        <f>SUM(L40+L48)</f>
        <v>10791785</v>
      </c>
      <c r="N48" s="104"/>
      <c r="O48" s="104"/>
    </row>
    <row r="49" spans="1:15">
      <c r="A49" s="2" t="s">
        <v>457</v>
      </c>
      <c r="I49" s="103">
        <v>-733578</v>
      </c>
      <c r="J49" s="103">
        <v>-6336</v>
      </c>
      <c r="K49" s="103"/>
      <c r="L49" s="103">
        <f t="shared" si="7"/>
        <v>-739914</v>
      </c>
      <c r="M49" s="104">
        <f>SUM(L41+L49)</f>
        <v>11159</v>
      </c>
      <c r="N49" s="104"/>
      <c r="O49" s="104"/>
    </row>
    <row r="50" spans="1:15">
      <c r="A50" s="2" t="s">
        <v>458</v>
      </c>
      <c r="I50" s="105">
        <v>-370315</v>
      </c>
      <c r="J50" s="105">
        <v>-62304</v>
      </c>
      <c r="K50" s="105">
        <v>95436</v>
      </c>
      <c r="L50" s="105">
        <f t="shared" si="7"/>
        <v>-337183</v>
      </c>
      <c r="M50" s="104">
        <f>SUM(L42+L50)</f>
        <v>178751</v>
      </c>
      <c r="N50" s="104"/>
      <c r="O50" s="104"/>
    </row>
    <row r="51" spans="1:15">
      <c r="A51" s="1" t="s">
        <v>20</v>
      </c>
      <c r="I51" s="105">
        <f>SUM(I46:I50)</f>
        <v>-19321001</v>
      </c>
      <c r="J51" s="105">
        <f t="shared" ref="J51:L51" si="9">SUM(J46:J50)</f>
        <v>-894763</v>
      </c>
      <c r="K51" s="105">
        <f t="shared" si="9"/>
        <v>95436</v>
      </c>
      <c r="L51" s="105">
        <f t="shared" si="9"/>
        <v>-20120328</v>
      </c>
      <c r="M51" s="104"/>
      <c r="N51" s="104"/>
      <c r="O51" s="104"/>
    </row>
    <row r="52" spans="1:15">
      <c r="I52" s="103"/>
      <c r="J52" s="103"/>
      <c r="K52" s="103"/>
      <c r="L52" s="103"/>
      <c r="M52" s="104"/>
      <c r="N52" s="104"/>
      <c r="O52" s="104"/>
    </row>
    <row r="53" spans="1:15">
      <c r="A53" s="1" t="s">
        <v>453</v>
      </c>
      <c r="I53" s="105">
        <f>SUM(I43+I51)</f>
        <v>12038633</v>
      </c>
      <c r="J53" s="105">
        <f t="shared" ref="J53:L53" si="10">SUM(J43+J51)</f>
        <v>-220140</v>
      </c>
      <c r="K53" s="105">
        <f t="shared" si="10"/>
        <v>-291</v>
      </c>
      <c r="L53" s="105">
        <f t="shared" si="10"/>
        <v>11818202</v>
      </c>
      <c r="M53" s="104"/>
      <c r="N53" s="104"/>
      <c r="O53" s="104"/>
    </row>
    <row r="54" spans="1:15">
      <c r="I54" s="103"/>
      <c r="J54" s="103"/>
      <c r="K54" s="103"/>
      <c r="L54" s="103"/>
      <c r="M54" s="104"/>
      <c r="N54" s="104"/>
      <c r="O54" s="104"/>
    </row>
    <row r="55" spans="1:15">
      <c r="A55" s="1" t="s">
        <v>44</v>
      </c>
      <c r="I55" s="105">
        <f>SUM(I35+I53)</f>
        <v>13136113</v>
      </c>
      <c r="J55" s="105">
        <f t="shared" ref="J55:L55" si="11">SUM(J35+J53)</f>
        <v>-107964</v>
      </c>
      <c r="K55" s="105">
        <f t="shared" si="11"/>
        <v>-291</v>
      </c>
      <c r="L55" s="105">
        <f t="shared" si="11"/>
        <v>13027858</v>
      </c>
      <c r="M55" s="106">
        <f>SUM(M33:M50)</f>
        <v>13027858</v>
      </c>
      <c r="N55" s="104"/>
      <c r="O55" s="104"/>
    </row>
    <row r="56" spans="1:15">
      <c r="I56" s="103"/>
      <c r="J56" s="103"/>
      <c r="K56" s="103"/>
      <c r="L56" s="103"/>
      <c r="M56" s="104"/>
      <c r="N56" s="104"/>
      <c r="O56" s="104"/>
    </row>
    <row r="57" spans="1:15">
      <c r="I57" s="103"/>
      <c r="J57" s="103"/>
      <c r="K57" s="103"/>
      <c r="L57" s="103"/>
      <c r="M57" s="104"/>
      <c r="N57" s="104"/>
      <c r="O57" s="104"/>
    </row>
    <row r="58" spans="1:15">
      <c r="I58" s="103"/>
      <c r="J58" s="103"/>
      <c r="K58" s="103"/>
      <c r="L58" s="103"/>
      <c r="M58" s="103"/>
      <c r="N58" s="103"/>
      <c r="O58" s="103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51"/>
  <sheetViews>
    <sheetView zoomScale="80" zoomScaleNormal="80" zoomScalePageLayoutView="60" workbookViewId="0">
      <selection activeCell="R49" sqref="R49"/>
    </sheetView>
  </sheetViews>
  <sheetFormatPr defaultColWidth="8.85546875" defaultRowHeight="18.75"/>
  <cols>
    <col min="1" max="1" width="4.42578125" style="2" customWidth="1"/>
    <col min="2" max="3" width="4.7109375" style="2" customWidth="1"/>
    <col min="4" max="6" width="8.85546875" style="2"/>
    <col min="7" max="7" width="14.28515625" style="2" bestFit="1" customWidth="1"/>
    <col min="8" max="8" width="12.7109375" style="2" bestFit="1" customWidth="1"/>
    <col min="9" max="9" width="32.28515625" style="2" customWidth="1"/>
    <col min="10" max="10" width="14.28515625" style="2" bestFit="1" customWidth="1"/>
    <col min="11" max="11" width="19.85546875" style="2" bestFit="1" customWidth="1"/>
    <col min="12" max="12" width="15.85546875" style="2" bestFit="1" customWidth="1"/>
    <col min="13" max="13" width="20" style="2" customWidth="1"/>
    <col min="14" max="16384" width="8.85546875" style="2"/>
  </cols>
  <sheetData>
    <row r="1" spans="1:13">
      <c r="D1" s="159" t="s">
        <v>460</v>
      </c>
      <c r="E1" s="159"/>
      <c r="F1" s="159"/>
      <c r="G1" s="159"/>
      <c r="H1" s="159"/>
      <c r="I1" s="159"/>
    </row>
    <row r="2" spans="1:13">
      <c r="D2" s="159" t="s">
        <v>1</v>
      </c>
      <c r="E2" s="159"/>
      <c r="F2" s="159"/>
      <c r="G2" s="159"/>
      <c r="H2" s="159"/>
      <c r="I2" s="159"/>
    </row>
    <row r="3" spans="1:13">
      <c r="D3" s="159" t="s">
        <v>273</v>
      </c>
      <c r="E3" s="159"/>
      <c r="F3" s="159"/>
      <c r="G3" s="159"/>
      <c r="H3" s="159"/>
      <c r="I3" s="159"/>
    </row>
    <row r="4" spans="1:13" ht="14.25" customHeight="1">
      <c r="D4" s="151"/>
      <c r="E4" s="151"/>
      <c r="F4" s="151"/>
      <c r="G4" s="151"/>
      <c r="H4" s="151"/>
      <c r="I4" s="151"/>
    </row>
    <row r="5" spans="1:13" ht="37.5">
      <c r="I5" s="126">
        <v>42005</v>
      </c>
      <c r="J5" s="63" t="s">
        <v>63</v>
      </c>
      <c r="K5" s="63" t="s">
        <v>88</v>
      </c>
      <c r="L5" s="63" t="s">
        <v>461</v>
      </c>
      <c r="M5" s="2" t="s">
        <v>7</v>
      </c>
    </row>
    <row r="6" spans="1:13">
      <c r="A6" s="91" t="s">
        <v>313</v>
      </c>
      <c r="B6" s="91"/>
      <c r="C6" s="91"/>
      <c r="D6" s="91"/>
      <c r="E6" s="91"/>
      <c r="F6" s="91"/>
    </row>
    <row r="7" spans="1:13">
      <c r="A7" s="1" t="s">
        <v>9</v>
      </c>
      <c r="B7" s="1"/>
      <c r="C7" s="1"/>
      <c r="D7" s="1"/>
      <c r="E7" s="1"/>
      <c r="F7" s="1"/>
      <c r="I7" s="38"/>
      <c r="J7" s="38"/>
      <c r="K7" s="38"/>
      <c r="L7" s="38"/>
    </row>
    <row r="8" spans="1:13">
      <c r="B8" s="2" t="s">
        <v>10</v>
      </c>
      <c r="I8" s="38">
        <v>3976254</v>
      </c>
      <c r="J8" s="38"/>
      <c r="K8" s="38"/>
      <c r="L8" s="38">
        <f>SUM(I8:K8)</f>
        <v>3976254</v>
      </c>
      <c r="M8" s="38">
        <f>L8</f>
        <v>3976254</v>
      </c>
    </row>
    <row r="9" spans="1:13">
      <c r="B9" s="2" t="s">
        <v>11</v>
      </c>
      <c r="I9" s="38">
        <v>11706152</v>
      </c>
      <c r="J9" s="38">
        <v>13666808</v>
      </c>
      <c r="K9" s="38">
        <v>-5995118</v>
      </c>
      <c r="L9" s="38">
        <f>SUM(I9:K9)</f>
        <v>19377842</v>
      </c>
      <c r="M9" s="38">
        <f>L9</f>
        <v>19377842</v>
      </c>
    </row>
    <row r="10" spans="1:13">
      <c r="A10" s="1"/>
      <c r="B10" s="88" t="s">
        <v>70</v>
      </c>
      <c r="C10" s="88"/>
      <c r="D10" s="88"/>
      <c r="E10" s="88"/>
      <c r="F10" s="88"/>
      <c r="G10" s="88"/>
      <c r="H10" s="1"/>
      <c r="I10" s="71">
        <f>SUM(I8:I9)</f>
        <v>15682406</v>
      </c>
      <c r="J10" s="71">
        <f>SUM(J8:J9)</f>
        <v>13666808</v>
      </c>
      <c r="K10" s="71">
        <f>SUM(K8:K9)</f>
        <v>-5995118</v>
      </c>
      <c r="L10" s="71">
        <f>SUM(L8:L9)</f>
        <v>23354096</v>
      </c>
      <c r="M10" s="1"/>
    </row>
    <row r="11" spans="1:13">
      <c r="A11" s="1"/>
      <c r="B11" s="88"/>
      <c r="C11" s="88"/>
      <c r="D11" s="88"/>
      <c r="E11" s="88"/>
      <c r="F11" s="88"/>
      <c r="G11" s="88"/>
      <c r="H11" s="1"/>
      <c r="I11" s="72"/>
      <c r="J11" s="72"/>
      <c r="K11" s="72"/>
      <c r="L11" s="72"/>
      <c r="M11" s="1"/>
    </row>
    <row r="12" spans="1:13">
      <c r="A12" s="1" t="s">
        <v>216</v>
      </c>
    </row>
    <row r="13" spans="1:13">
      <c r="A13" s="1"/>
      <c r="B13" s="2" t="s">
        <v>414</v>
      </c>
      <c r="I13" s="2">
        <v>33894846</v>
      </c>
      <c r="J13" s="2">
        <v>3881722</v>
      </c>
      <c r="L13" s="2">
        <f>SUM(I13:K13)</f>
        <v>37776568</v>
      </c>
    </row>
    <row r="14" spans="1:13">
      <c r="A14" s="1"/>
      <c r="B14" s="2" t="s">
        <v>17</v>
      </c>
      <c r="I14" s="2">
        <v>173920180</v>
      </c>
      <c r="J14" s="2">
        <v>1389074</v>
      </c>
      <c r="L14" s="2">
        <f>SUM(I14:K14)</f>
        <v>175309254</v>
      </c>
    </row>
    <row r="15" spans="1:13">
      <c r="A15" s="1"/>
      <c r="B15" s="2" t="s">
        <v>462</v>
      </c>
      <c r="I15" s="2">
        <v>21421466</v>
      </c>
      <c r="J15" s="2">
        <v>89745</v>
      </c>
      <c r="L15" s="2">
        <f>SUM(I15:K15)</f>
        <v>21511211</v>
      </c>
    </row>
    <row r="16" spans="1:13">
      <c r="B16" s="2" t="s">
        <v>440</v>
      </c>
      <c r="I16" s="2">
        <v>11265398</v>
      </c>
      <c r="J16" s="38">
        <v>399664</v>
      </c>
      <c r="K16" s="38">
        <v>-49242</v>
      </c>
      <c r="L16" s="2">
        <f>SUM(I16:K16)</f>
        <v>11615820</v>
      </c>
    </row>
    <row r="17" spans="1:13">
      <c r="B17" s="2" t="s">
        <v>31</v>
      </c>
      <c r="I17" s="2">
        <v>9705461</v>
      </c>
      <c r="J17" s="38">
        <v>2519639</v>
      </c>
      <c r="K17" s="38">
        <v>-13537</v>
      </c>
      <c r="L17" s="2">
        <f>SUM(I17:K17)</f>
        <v>12211563</v>
      </c>
    </row>
    <row r="18" spans="1:13">
      <c r="B18" s="88" t="s">
        <v>18</v>
      </c>
      <c r="C18" s="1"/>
      <c r="I18" s="68">
        <f>SUM(I13:I17)</f>
        <v>250207351</v>
      </c>
      <c r="J18" s="68">
        <f>SUM(J13:J17)</f>
        <v>8279844</v>
      </c>
      <c r="K18" s="68">
        <f>SUM(K13:K17)</f>
        <v>-62779</v>
      </c>
      <c r="L18" s="68">
        <f>SUM(L13:L17)</f>
        <v>258424416</v>
      </c>
    </row>
    <row r="19" spans="1:13">
      <c r="B19" s="88"/>
      <c r="C19" s="1"/>
      <c r="I19" s="76"/>
      <c r="J19" s="76"/>
      <c r="K19" s="76"/>
      <c r="L19" s="76"/>
    </row>
    <row r="20" spans="1:13">
      <c r="A20" s="1" t="s">
        <v>19</v>
      </c>
      <c r="J20" s="38"/>
      <c r="K20" s="38"/>
      <c r="L20" s="38"/>
    </row>
    <row r="21" spans="1:13">
      <c r="B21" s="2" t="s">
        <v>414</v>
      </c>
      <c r="I21" s="38">
        <v>10040474</v>
      </c>
      <c r="J21" s="38">
        <v>1160619</v>
      </c>
      <c r="K21" s="38"/>
      <c r="L21" s="38">
        <f t="shared" ref="L21:L25" si="0">SUM(I21:K21)</f>
        <v>11201093</v>
      </c>
      <c r="M21" s="38">
        <f>L13-L21</f>
        <v>26575475</v>
      </c>
    </row>
    <row r="22" spans="1:13">
      <c r="B22" s="2" t="s">
        <v>17</v>
      </c>
      <c r="I22" s="38">
        <v>147338268</v>
      </c>
      <c r="J22" s="38">
        <v>1906237</v>
      </c>
      <c r="K22" s="38"/>
      <c r="L22" s="38">
        <f t="shared" si="0"/>
        <v>149244505</v>
      </c>
      <c r="M22" s="38">
        <f>L14-L22</f>
        <v>26064749</v>
      </c>
    </row>
    <row r="23" spans="1:13">
      <c r="B23" s="2" t="s">
        <v>462</v>
      </c>
      <c r="I23" s="38">
        <v>6683164</v>
      </c>
      <c r="J23" s="38">
        <v>533625</v>
      </c>
      <c r="K23" s="38"/>
      <c r="L23" s="38">
        <f t="shared" si="0"/>
        <v>7216789</v>
      </c>
      <c r="M23" s="38">
        <f>L15-L23</f>
        <v>14294422</v>
      </c>
    </row>
    <row r="24" spans="1:13">
      <c r="B24" s="2" t="s">
        <v>440</v>
      </c>
      <c r="I24" s="38">
        <v>8088701</v>
      </c>
      <c r="J24" s="38">
        <v>823762</v>
      </c>
      <c r="K24" s="38">
        <v>-49242</v>
      </c>
      <c r="L24" s="38">
        <f>SUM(I24:K24)</f>
        <v>8863221</v>
      </c>
      <c r="M24" s="38">
        <f>L16-L24</f>
        <v>2752599</v>
      </c>
    </row>
    <row r="25" spans="1:13">
      <c r="B25" s="2" t="s">
        <v>31</v>
      </c>
      <c r="I25" s="38">
        <v>7561507</v>
      </c>
      <c r="J25" s="38">
        <v>536129</v>
      </c>
      <c r="K25" s="38">
        <v>-13537</v>
      </c>
      <c r="L25" s="38">
        <f t="shared" si="0"/>
        <v>8084099</v>
      </c>
      <c r="M25" s="38">
        <f>L17-L25</f>
        <v>4127464</v>
      </c>
    </row>
    <row r="26" spans="1:13">
      <c r="A26" s="1"/>
      <c r="B26" s="1" t="s">
        <v>20</v>
      </c>
      <c r="C26" s="1"/>
      <c r="I26" s="68">
        <f>SUM(I21:I25)</f>
        <v>179712114</v>
      </c>
      <c r="J26" s="68">
        <f t="shared" ref="J26:L26" si="1">SUM(J21:J25)</f>
        <v>4960372</v>
      </c>
      <c r="K26" s="68">
        <f t="shared" si="1"/>
        <v>-62779</v>
      </c>
      <c r="L26" s="68">
        <f t="shared" si="1"/>
        <v>184609707</v>
      </c>
      <c r="M26" s="1"/>
    </row>
    <row r="27" spans="1:13">
      <c r="A27" s="88" t="s">
        <v>21</v>
      </c>
      <c r="B27" s="88"/>
      <c r="C27" s="1"/>
      <c r="I27" s="68">
        <f>SUM(I18-I26)</f>
        <v>70495237</v>
      </c>
      <c r="J27" s="68">
        <f t="shared" ref="J27:L27" si="2">SUM(J18-J26)</f>
        <v>3319472</v>
      </c>
      <c r="K27" s="68">
        <f t="shared" si="2"/>
        <v>0</v>
      </c>
      <c r="L27" s="68">
        <f t="shared" si="2"/>
        <v>73814709</v>
      </c>
      <c r="M27" s="1"/>
    </row>
    <row r="28" spans="1:13">
      <c r="A28" s="88" t="s">
        <v>443</v>
      </c>
      <c r="C28" s="1"/>
      <c r="I28" s="68">
        <f>SUM(I10+I27)</f>
        <v>86177643</v>
      </c>
      <c r="J28" s="68">
        <f t="shared" ref="J28:L28" si="3">SUM(J10+J27)</f>
        <v>16986280</v>
      </c>
      <c r="K28" s="68">
        <f t="shared" si="3"/>
        <v>-5995118</v>
      </c>
      <c r="L28" s="68">
        <f t="shared" si="3"/>
        <v>97168805</v>
      </c>
      <c r="M28" s="38">
        <f>SUM(M8:M26)</f>
        <v>97168805</v>
      </c>
    </row>
    <row r="29" spans="1:13">
      <c r="C29" s="1"/>
      <c r="I29" s="76"/>
      <c r="J29" s="76"/>
      <c r="K29" s="76"/>
      <c r="L29" s="76"/>
    </row>
    <row r="30" spans="1:13">
      <c r="C30" s="1"/>
      <c r="I30" s="76"/>
      <c r="J30" s="76"/>
      <c r="K30" s="76"/>
      <c r="L30" s="76"/>
    </row>
    <row r="31" spans="1:13">
      <c r="A31" s="1" t="s">
        <v>36</v>
      </c>
      <c r="B31" s="1"/>
      <c r="C31" s="1"/>
      <c r="D31" s="1"/>
      <c r="E31" s="1"/>
      <c r="F31" s="1"/>
      <c r="I31" s="76"/>
    </row>
    <row r="32" spans="1:13">
      <c r="A32" s="1" t="s">
        <v>9</v>
      </c>
      <c r="B32" s="1"/>
      <c r="C32" s="1"/>
      <c r="D32" s="1"/>
      <c r="E32" s="1"/>
      <c r="F32" s="1"/>
      <c r="I32" s="38"/>
      <c r="J32" s="38"/>
      <c r="K32" s="38"/>
    </row>
    <row r="33" spans="1:13">
      <c r="A33" s="1"/>
      <c r="B33" s="2" t="s">
        <v>10</v>
      </c>
      <c r="C33" s="1"/>
      <c r="D33" s="1"/>
      <c r="E33" s="1"/>
      <c r="F33" s="1"/>
      <c r="I33" s="38">
        <v>1678616</v>
      </c>
      <c r="J33" s="38"/>
      <c r="K33" s="38"/>
      <c r="L33" s="38">
        <f>SUM(I33:K33)</f>
        <v>1678616</v>
      </c>
      <c r="M33" s="38">
        <f>L33</f>
        <v>1678616</v>
      </c>
    </row>
    <row r="34" spans="1:13">
      <c r="A34" s="1"/>
      <c r="B34" s="2" t="s">
        <v>11</v>
      </c>
      <c r="C34" s="1"/>
      <c r="D34" s="1"/>
      <c r="E34" s="1"/>
      <c r="F34" s="1"/>
      <c r="I34" s="38">
        <v>1487729</v>
      </c>
      <c r="J34" s="38">
        <v>2489079</v>
      </c>
      <c r="K34" s="38">
        <v>-626996</v>
      </c>
      <c r="L34" s="38">
        <f>SUM(I34:K34)</f>
        <v>3349812</v>
      </c>
      <c r="M34" s="38">
        <f>L34</f>
        <v>3349812</v>
      </c>
    </row>
    <row r="35" spans="1:13">
      <c r="A35" s="1"/>
      <c r="B35" s="1"/>
      <c r="C35" s="1" t="s">
        <v>92</v>
      </c>
      <c r="D35" s="1"/>
      <c r="E35" s="1"/>
      <c r="F35" s="1"/>
      <c r="G35" s="1"/>
      <c r="H35" s="1"/>
      <c r="I35" s="71">
        <f>SUM(I33:I34)</f>
        <v>3166345</v>
      </c>
      <c r="J35" s="71">
        <f>SUM(J33:J34)</f>
        <v>2489079</v>
      </c>
      <c r="K35" s="71">
        <f>SUM(K33:K34)</f>
        <v>-626996</v>
      </c>
      <c r="L35" s="71">
        <f>SUM(L33:L34)</f>
        <v>5028428</v>
      </c>
    </row>
    <row r="36" spans="1:13">
      <c r="L36" s="72"/>
    </row>
    <row r="37" spans="1:13">
      <c r="A37" s="1" t="s">
        <v>425</v>
      </c>
      <c r="B37" s="33"/>
      <c r="C37" s="1"/>
      <c r="I37" s="77"/>
      <c r="J37" s="77"/>
      <c r="K37" s="77"/>
    </row>
    <row r="38" spans="1:13">
      <c r="A38" s="2" t="s">
        <v>414</v>
      </c>
      <c r="B38" s="33"/>
      <c r="C38" s="1"/>
      <c r="I38" s="48">
        <v>14522758</v>
      </c>
      <c r="J38" s="48">
        <v>20509</v>
      </c>
      <c r="K38" s="48"/>
      <c r="L38" s="38">
        <f>SUM(I38:K38)</f>
        <v>14543267</v>
      </c>
    </row>
    <row r="39" spans="1:13">
      <c r="A39" s="2" t="s">
        <v>463</v>
      </c>
      <c r="B39" s="33"/>
      <c r="C39" s="1"/>
      <c r="I39" s="48">
        <v>208285994</v>
      </c>
      <c r="J39" s="48">
        <v>2384589</v>
      </c>
      <c r="K39" s="48"/>
      <c r="L39" s="38">
        <f>SUM(I39:K39)</f>
        <v>210670583</v>
      </c>
    </row>
    <row r="40" spans="1:13">
      <c r="A40" s="2" t="s">
        <v>440</v>
      </c>
      <c r="B40" s="33"/>
      <c r="C40" s="1"/>
      <c r="I40" s="48">
        <v>5704270</v>
      </c>
      <c r="J40" s="48">
        <v>79923</v>
      </c>
      <c r="K40" s="48">
        <v>-4649</v>
      </c>
      <c r="L40" s="38">
        <f>SUM(I40:K40)</f>
        <v>5779544</v>
      </c>
    </row>
    <row r="41" spans="1:13">
      <c r="A41" s="2" t="s">
        <v>31</v>
      </c>
      <c r="B41" s="33"/>
      <c r="C41" s="1"/>
      <c r="I41" s="48">
        <v>1927212</v>
      </c>
      <c r="J41" s="48">
        <v>58016</v>
      </c>
      <c r="K41" s="48">
        <v>-135024</v>
      </c>
      <c r="L41" s="38">
        <f>SUM(I41:K41)</f>
        <v>1850204</v>
      </c>
    </row>
    <row r="42" spans="1:13">
      <c r="A42" s="49" t="s">
        <v>307</v>
      </c>
      <c r="C42" s="49"/>
      <c r="D42" s="33"/>
      <c r="E42" s="33"/>
      <c r="F42" s="33"/>
      <c r="G42" s="33"/>
      <c r="H42" s="33"/>
      <c r="I42" s="78">
        <f>SUM(I38:I41)</f>
        <v>230440234</v>
      </c>
      <c r="J42" s="78">
        <f>SUM(J38:J41)</f>
        <v>2543037</v>
      </c>
      <c r="K42" s="78">
        <f>SUM(K38:K41)</f>
        <v>-139673</v>
      </c>
      <c r="L42" s="68">
        <f>SUM(I42:K42)</f>
        <v>232843598</v>
      </c>
    </row>
    <row r="43" spans="1:13">
      <c r="A43" s="1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76"/>
    </row>
    <row r="44" spans="1:13">
      <c r="A44" s="1" t="s">
        <v>398</v>
      </c>
      <c r="B44" s="49"/>
      <c r="C44" s="33"/>
      <c r="D44" s="33"/>
      <c r="E44" s="33"/>
      <c r="F44" s="33"/>
      <c r="G44" s="33"/>
      <c r="H44" s="33"/>
      <c r="I44" s="77"/>
      <c r="J44" s="77"/>
      <c r="K44" s="77"/>
      <c r="L44" s="38"/>
    </row>
    <row r="45" spans="1:13">
      <c r="A45" s="2" t="s">
        <v>464</v>
      </c>
      <c r="B45" s="33"/>
      <c r="C45" s="33"/>
      <c r="D45" s="33"/>
      <c r="E45" s="33"/>
      <c r="F45" s="33"/>
      <c r="G45" s="33"/>
      <c r="H45" s="33"/>
      <c r="I45" s="33">
        <v>2702149</v>
      </c>
      <c r="J45" s="33">
        <v>388398</v>
      </c>
      <c r="K45" s="33"/>
      <c r="L45" s="38">
        <f t="shared" ref="L45:L49" si="4">SUM(I45:K45)</f>
        <v>3090547</v>
      </c>
      <c r="M45" s="38">
        <f>L38-L45</f>
        <v>11452720</v>
      </c>
    </row>
    <row r="46" spans="1:13">
      <c r="A46" s="2" t="s">
        <v>463</v>
      </c>
      <c r="C46" s="33"/>
      <c r="D46" s="33"/>
      <c r="E46" s="33"/>
      <c r="F46" s="33"/>
      <c r="G46" s="33"/>
      <c r="H46" s="33"/>
      <c r="I46" s="33">
        <v>98947309</v>
      </c>
      <c r="J46" s="33">
        <v>4510636</v>
      </c>
      <c r="K46" s="33"/>
      <c r="L46" s="38">
        <f t="shared" si="4"/>
        <v>103457945</v>
      </c>
      <c r="M46" s="38">
        <f>L39-L46</f>
        <v>107212638</v>
      </c>
    </row>
    <row r="47" spans="1:13">
      <c r="A47" s="2" t="s">
        <v>440</v>
      </c>
      <c r="C47" s="33"/>
      <c r="D47" s="33"/>
      <c r="E47" s="33"/>
      <c r="F47" s="33"/>
      <c r="G47" s="33"/>
      <c r="H47" s="33"/>
      <c r="I47" s="33">
        <v>2524196</v>
      </c>
      <c r="J47" s="33">
        <v>256826</v>
      </c>
      <c r="K47" s="33">
        <v>-4473</v>
      </c>
      <c r="L47" s="38">
        <f t="shared" si="4"/>
        <v>2776549</v>
      </c>
      <c r="M47" s="38">
        <f>L40-L47</f>
        <v>3002995</v>
      </c>
    </row>
    <row r="48" spans="1:13">
      <c r="A48" s="2" t="s">
        <v>31</v>
      </c>
      <c r="C48" s="33"/>
      <c r="D48" s="33"/>
      <c r="E48" s="33"/>
      <c r="F48" s="33"/>
      <c r="G48" s="33"/>
      <c r="H48" s="33"/>
      <c r="I48" s="33">
        <v>1749737</v>
      </c>
      <c r="J48" s="33">
        <v>61396</v>
      </c>
      <c r="K48" s="33">
        <v>-121154</v>
      </c>
      <c r="L48" s="38">
        <f t="shared" si="4"/>
        <v>1689979</v>
      </c>
      <c r="M48" s="38">
        <f>L41-L48</f>
        <v>160225</v>
      </c>
    </row>
    <row r="49" spans="1:13">
      <c r="A49" s="49" t="s">
        <v>20</v>
      </c>
      <c r="B49" s="49"/>
      <c r="C49" s="33"/>
      <c r="D49" s="33"/>
      <c r="E49" s="33"/>
      <c r="F49" s="33"/>
      <c r="G49" s="33"/>
      <c r="H49" s="33"/>
      <c r="I49" s="89">
        <f>SUM(I45:I48)</f>
        <v>105923391</v>
      </c>
      <c r="J49" s="89">
        <f>SUM(J45:J48)</f>
        <v>5217256</v>
      </c>
      <c r="K49" s="89">
        <f>SUM(K45:K48)</f>
        <v>-125627</v>
      </c>
      <c r="L49" s="68">
        <f t="shared" si="4"/>
        <v>111015020</v>
      </c>
    </row>
    <row r="50" spans="1:13">
      <c r="A50" s="1" t="s">
        <v>453</v>
      </c>
      <c r="B50" s="49"/>
      <c r="C50" s="33"/>
      <c r="D50" s="33"/>
      <c r="E50" s="33"/>
      <c r="F50" s="33"/>
      <c r="G50" s="33"/>
      <c r="H50" s="33"/>
      <c r="I50" s="69">
        <f>SUM(I42-I49)</f>
        <v>124516843</v>
      </c>
      <c r="J50" s="69">
        <f t="shared" ref="J50:L50" si="5">SUM(J42-J49)</f>
        <v>-2674219</v>
      </c>
      <c r="K50" s="69">
        <f t="shared" si="5"/>
        <v>-14046</v>
      </c>
      <c r="L50" s="69">
        <f t="shared" si="5"/>
        <v>121828578</v>
      </c>
    </row>
    <row r="51" spans="1:13" ht="19.5" thickBot="1">
      <c r="A51" s="1" t="s">
        <v>444</v>
      </c>
      <c r="B51" s="49"/>
      <c r="C51" s="33"/>
      <c r="D51" s="33"/>
      <c r="E51" s="33"/>
      <c r="F51" s="33"/>
      <c r="G51" s="33"/>
      <c r="H51" s="33"/>
      <c r="I51" s="90">
        <f>SUM(I35+I50)</f>
        <v>127683188</v>
      </c>
      <c r="J51" s="90">
        <f t="shared" ref="J51:L51" si="6">SUM(J35+J50)</f>
        <v>-185140</v>
      </c>
      <c r="K51" s="90">
        <f t="shared" si="6"/>
        <v>-641042</v>
      </c>
      <c r="L51" s="90">
        <f t="shared" si="6"/>
        <v>126857006</v>
      </c>
      <c r="M51" s="38">
        <f>SUM(M33:M49)</f>
        <v>126857006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28"/>
  <sheetViews>
    <sheetView topLeftCell="A7" zoomScaleNormal="100" zoomScalePageLayoutView="80" workbookViewId="0">
      <selection activeCell="M23" sqref="M23"/>
    </sheetView>
  </sheetViews>
  <sheetFormatPr defaultColWidth="8.85546875" defaultRowHeight="15"/>
  <cols>
    <col min="1" max="1" width="4.42578125" customWidth="1"/>
    <col min="2" max="2" width="7" customWidth="1"/>
    <col min="9" max="9" width="15.42578125" customWidth="1"/>
    <col min="10" max="10" width="14.28515625" bestFit="1" customWidth="1"/>
    <col min="11" max="11" width="13.7109375" bestFit="1" customWidth="1"/>
    <col min="12" max="12" width="15.28515625" bestFit="1" customWidth="1"/>
    <col min="13" max="13" width="16.42578125" customWidth="1"/>
  </cols>
  <sheetData>
    <row r="1" spans="1:18" ht="18.75">
      <c r="A1" s="2"/>
      <c r="B1" s="2"/>
      <c r="C1" s="2"/>
      <c r="D1" s="159" t="s">
        <v>465</v>
      </c>
      <c r="E1" s="159"/>
      <c r="F1" s="159"/>
      <c r="G1" s="159"/>
      <c r="H1" s="159"/>
      <c r="I1" s="159"/>
      <c r="J1" s="2"/>
      <c r="K1" s="2"/>
      <c r="L1" s="2"/>
    </row>
    <row r="2" spans="1:18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8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8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8" ht="37.5">
      <c r="A5" s="2"/>
      <c r="B5" s="2"/>
      <c r="C5" s="2"/>
      <c r="D5" s="2"/>
      <c r="E5" s="2"/>
      <c r="F5" s="2"/>
      <c r="G5" s="2"/>
      <c r="H5" s="2"/>
      <c r="I5" s="63" t="s">
        <v>64</v>
      </c>
      <c r="J5" s="63" t="s">
        <v>63</v>
      </c>
      <c r="K5" s="63" t="s">
        <v>68</v>
      </c>
      <c r="L5" s="63" t="s">
        <v>64</v>
      </c>
      <c r="M5" s="63" t="s">
        <v>7</v>
      </c>
    </row>
    <row r="6" spans="1:18" ht="18.75">
      <c r="A6" s="1" t="s">
        <v>51</v>
      </c>
      <c r="B6" s="2"/>
      <c r="C6" s="2"/>
      <c r="D6" s="2"/>
      <c r="E6" s="2"/>
      <c r="F6" s="2"/>
      <c r="G6" s="2"/>
      <c r="H6" s="2"/>
      <c r="I6" s="63"/>
      <c r="J6" s="63"/>
      <c r="K6" s="63"/>
      <c r="L6" s="63"/>
      <c r="M6" s="63"/>
    </row>
    <row r="7" spans="1:18" ht="18.75">
      <c r="A7" s="1" t="s">
        <v>8</v>
      </c>
      <c r="B7" s="1"/>
      <c r="C7" s="1"/>
      <c r="D7" s="1"/>
      <c r="E7" s="1"/>
      <c r="F7" s="1"/>
      <c r="G7" s="2"/>
      <c r="H7" s="2"/>
      <c r="I7" s="2"/>
      <c r="J7" s="2"/>
      <c r="K7" s="2"/>
      <c r="L7" s="2"/>
    </row>
    <row r="8" spans="1:18" ht="18.75">
      <c r="A8" s="1" t="s">
        <v>9</v>
      </c>
      <c r="B8" s="1"/>
      <c r="C8" s="1"/>
      <c r="D8" s="1"/>
      <c r="E8" s="1"/>
      <c r="F8" s="1"/>
      <c r="G8" s="2"/>
      <c r="H8" s="2"/>
      <c r="I8" s="38"/>
      <c r="J8" s="38"/>
      <c r="K8" s="38"/>
      <c r="L8" s="38"/>
      <c r="M8" s="33"/>
      <c r="N8" s="33"/>
      <c r="O8" s="33"/>
      <c r="P8" s="33"/>
      <c r="Q8" s="33"/>
      <c r="R8" s="33"/>
    </row>
    <row r="9" spans="1:18" ht="18.75">
      <c r="A9" s="2"/>
      <c r="B9" s="2" t="s">
        <v>10</v>
      </c>
      <c r="C9" s="2"/>
      <c r="D9" s="2"/>
      <c r="E9" s="2"/>
      <c r="F9" s="2"/>
      <c r="G9" s="2"/>
      <c r="H9" s="2"/>
      <c r="I9" s="38">
        <v>499243</v>
      </c>
      <c r="J9" s="38"/>
      <c r="K9" s="38"/>
      <c r="L9" s="38">
        <f>SUM(I9:K9)</f>
        <v>499243</v>
      </c>
      <c r="M9" s="48">
        <f>L9</f>
        <v>499243</v>
      </c>
      <c r="N9" s="33"/>
      <c r="O9" s="33"/>
      <c r="P9" s="33"/>
      <c r="Q9" s="33"/>
      <c r="R9" s="33"/>
    </row>
    <row r="10" spans="1:18" ht="18.75">
      <c r="A10" s="2"/>
      <c r="B10" s="2" t="s">
        <v>466</v>
      </c>
      <c r="C10" s="2"/>
      <c r="D10" s="2"/>
      <c r="E10" s="2"/>
      <c r="F10" s="2"/>
      <c r="G10" s="2"/>
      <c r="H10" s="2"/>
      <c r="I10" s="38">
        <v>9080748</v>
      </c>
      <c r="J10" s="38">
        <v>9583390</v>
      </c>
      <c r="K10" s="38">
        <v>-9080748</v>
      </c>
      <c r="L10" s="38">
        <f>SUM(I10:K10)</f>
        <v>9583390</v>
      </c>
      <c r="M10" s="48">
        <f>L10</f>
        <v>9583390</v>
      </c>
      <c r="N10" s="33"/>
      <c r="O10" s="33"/>
      <c r="P10" s="33"/>
      <c r="Q10" s="33"/>
      <c r="R10" s="33"/>
    </row>
    <row r="11" spans="1:18" ht="18.75">
      <c r="A11" s="2"/>
      <c r="B11" s="2"/>
      <c r="C11" s="2"/>
      <c r="D11" s="2"/>
      <c r="E11" s="2"/>
      <c r="F11" s="2"/>
      <c r="G11" s="2"/>
      <c r="H11" s="2"/>
      <c r="I11" s="93">
        <f>SUM(I9:I10)</f>
        <v>9579991</v>
      </c>
      <c r="J11" s="93">
        <f t="shared" ref="J11:L11" si="0">SUM(J9:J10)</f>
        <v>9583390</v>
      </c>
      <c r="K11" s="93">
        <f t="shared" si="0"/>
        <v>-9080748</v>
      </c>
      <c r="L11" s="93">
        <f t="shared" si="0"/>
        <v>10082633</v>
      </c>
      <c r="M11" s="33"/>
      <c r="N11" s="33"/>
      <c r="O11" s="33"/>
      <c r="P11" s="33"/>
      <c r="Q11" s="33"/>
      <c r="R11" s="33"/>
    </row>
    <row r="12" spans="1:18" ht="18.75">
      <c r="A12" s="1" t="s">
        <v>216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3"/>
      <c r="N12" s="33"/>
      <c r="O12" s="33"/>
      <c r="P12" s="33"/>
      <c r="Q12" s="33"/>
      <c r="R12" s="33"/>
    </row>
    <row r="13" spans="1:18" ht="18.75">
      <c r="A13" s="2"/>
      <c r="B13" s="2" t="s">
        <v>14</v>
      </c>
      <c r="C13" s="2"/>
      <c r="D13" s="2"/>
      <c r="E13" s="2"/>
      <c r="F13" s="2"/>
      <c r="G13" s="2"/>
      <c r="H13" s="2"/>
      <c r="I13" s="2">
        <v>14525602</v>
      </c>
      <c r="J13" s="38">
        <v>7983</v>
      </c>
      <c r="K13" s="38"/>
      <c r="L13" s="38">
        <f>SUM(I13:K13)</f>
        <v>14533585</v>
      </c>
      <c r="M13" s="33"/>
      <c r="N13" s="33"/>
      <c r="O13" s="33"/>
      <c r="P13" s="33"/>
      <c r="Q13" s="33"/>
      <c r="R13" s="33"/>
    </row>
    <row r="14" spans="1:18" ht="18.75">
      <c r="A14" s="2"/>
      <c r="B14" s="2" t="s">
        <v>31</v>
      </c>
      <c r="C14" s="2"/>
      <c r="D14" s="2"/>
      <c r="E14" s="2"/>
      <c r="F14" s="2"/>
      <c r="G14" s="2"/>
      <c r="H14" s="2"/>
      <c r="I14" s="2">
        <v>520767</v>
      </c>
      <c r="J14" s="38"/>
      <c r="K14" s="38">
        <v>-31212</v>
      </c>
      <c r="L14" s="38">
        <f t="shared" ref="L14:L16" si="1">SUM(I14:K14)</f>
        <v>489555</v>
      </c>
      <c r="M14" s="33"/>
      <c r="N14" s="33"/>
      <c r="O14" s="33"/>
      <c r="P14" s="33"/>
      <c r="Q14" s="33"/>
      <c r="R14" s="33"/>
    </row>
    <row r="15" spans="1:18" ht="18.75">
      <c r="A15" s="2"/>
      <c r="B15" s="2" t="s">
        <v>65</v>
      </c>
      <c r="C15" s="2"/>
      <c r="D15" s="2"/>
      <c r="E15" s="2"/>
      <c r="F15" s="2"/>
      <c r="G15" s="2"/>
      <c r="H15" s="2"/>
      <c r="I15" s="2">
        <v>4439245</v>
      </c>
      <c r="J15" s="38">
        <v>5403</v>
      </c>
      <c r="K15" s="38">
        <v>-303809</v>
      </c>
      <c r="L15" s="38">
        <f t="shared" si="1"/>
        <v>4140839</v>
      </c>
      <c r="M15" s="33"/>
      <c r="N15" s="33"/>
      <c r="O15" s="33"/>
      <c r="P15" s="33"/>
      <c r="Q15" s="33"/>
      <c r="R15" s="33"/>
    </row>
    <row r="16" spans="1:18" ht="18.75">
      <c r="A16" s="2"/>
      <c r="B16" s="2" t="s">
        <v>204</v>
      </c>
      <c r="C16" s="2"/>
      <c r="D16" s="2"/>
      <c r="E16" s="2"/>
      <c r="F16" s="2"/>
      <c r="G16" s="2"/>
      <c r="H16" s="2"/>
      <c r="I16" s="2">
        <v>6619637</v>
      </c>
      <c r="J16" s="38"/>
      <c r="K16" s="38"/>
      <c r="L16" s="38">
        <f t="shared" si="1"/>
        <v>6619637</v>
      </c>
      <c r="M16" s="33"/>
      <c r="N16" s="33"/>
      <c r="O16" s="33"/>
      <c r="P16" s="33"/>
      <c r="Q16" s="33"/>
      <c r="R16" s="33"/>
    </row>
    <row r="17" spans="1:18" ht="18.75">
      <c r="A17" s="2"/>
      <c r="B17" s="2"/>
      <c r="C17" s="2"/>
      <c r="D17" s="2"/>
      <c r="E17" s="2"/>
      <c r="F17" s="2"/>
      <c r="G17" s="2"/>
      <c r="H17" s="2"/>
      <c r="I17" s="92">
        <f>SUM(I13:I16)</f>
        <v>26105251</v>
      </c>
      <c r="J17" s="93">
        <f>SUM(J13:J16)</f>
        <v>13386</v>
      </c>
      <c r="K17" s="93">
        <f>SUM(K13:K16)</f>
        <v>-335021</v>
      </c>
      <c r="L17" s="92">
        <f>SUM(I17:K17)</f>
        <v>25783616</v>
      </c>
      <c r="M17" s="33"/>
      <c r="N17" s="33"/>
      <c r="O17" s="33"/>
      <c r="P17" s="33"/>
      <c r="Q17" s="33"/>
      <c r="R17" s="33"/>
    </row>
    <row r="18" spans="1:18" ht="18.75">
      <c r="A18" s="1" t="s">
        <v>398</v>
      </c>
      <c r="B18" s="2"/>
      <c r="C18" s="2"/>
      <c r="D18" s="2"/>
      <c r="E18" s="2"/>
      <c r="F18" s="2"/>
      <c r="G18" s="2"/>
      <c r="H18" s="2"/>
      <c r="I18" s="2"/>
      <c r="J18" s="38"/>
      <c r="K18" s="38"/>
      <c r="L18" s="38"/>
      <c r="M18" s="33"/>
      <c r="N18" s="33"/>
      <c r="O18" s="33"/>
      <c r="P18" s="33"/>
      <c r="Q18" s="33"/>
      <c r="R18" s="33"/>
    </row>
    <row r="19" spans="1:18" ht="18.75">
      <c r="A19" s="2"/>
      <c r="B19" s="2" t="s">
        <v>14</v>
      </c>
      <c r="C19" s="2"/>
      <c r="D19" s="2"/>
      <c r="E19" s="2"/>
      <c r="F19" s="2"/>
      <c r="G19" s="2"/>
      <c r="H19" s="2"/>
      <c r="I19" s="38">
        <v>-10860739</v>
      </c>
      <c r="J19" s="38">
        <v>-253565</v>
      </c>
      <c r="K19" s="38"/>
      <c r="L19" s="38">
        <f>SUM(I19:K19)</f>
        <v>-11114304</v>
      </c>
      <c r="M19" s="48">
        <f>L13+L19</f>
        <v>3419281</v>
      </c>
      <c r="N19" s="33"/>
      <c r="O19" s="33"/>
      <c r="P19" s="33"/>
      <c r="Q19" s="33"/>
      <c r="R19" s="33"/>
    </row>
    <row r="20" spans="1:18" ht="18.75">
      <c r="A20" s="2"/>
      <c r="B20" s="2" t="s">
        <v>31</v>
      </c>
      <c r="C20" s="2"/>
      <c r="D20" s="2"/>
      <c r="E20" s="2"/>
      <c r="F20" s="2"/>
      <c r="G20" s="2"/>
      <c r="H20" s="2"/>
      <c r="I20" s="38">
        <v>-233144</v>
      </c>
      <c r="J20" s="38">
        <v>-78944</v>
      </c>
      <c r="K20" s="38">
        <v>31176</v>
      </c>
      <c r="L20" s="38">
        <f t="shared" ref="L20:L22" si="2">SUM(I20:K20)</f>
        <v>-280912</v>
      </c>
      <c r="M20" s="48">
        <f>L14+L20</f>
        <v>208643</v>
      </c>
      <c r="N20" s="33"/>
      <c r="O20" s="33"/>
      <c r="P20" s="33"/>
      <c r="Q20" s="33"/>
      <c r="R20" s="33"/>
    </row>
    <row r="21" spans="1:18" ht="18.75">
      <c r="A21" s="2"/>
      <c r="B21" s="2" t="s">
        <v>65</v>
      </c>
      <c r="C21" s="2"/>
      <c r="D21" s="2"/>
      <c r="E21" s="2"/>
      <c r="F21" s="2"/>
      <c r="G21" s="2"/>
      <c r="H21" s="2"/>
      <c r="I21" s="38">
        <v>-3425449</v>
      </c>
      <c r="J21" s="38">
        <v>-324539</v>
      </c>
      <c r="K21" s="38">
        <v>302708</v>
      </c>
      <c r="L21" s="38">
        <f t="shared" si="2"/>
        <v>-3447280</v>
      </c>
      <c r="M21" s="48">
        <f>L15+L21</f>
        <v>693559</v>
      </c>
      <c r="N21" s="33"/>
      <c r="O21" s="33"/>
      <c r="P21" s="33"/>
      <c r="Q21" s="33"/>
      <c r="R21" s="33"/>
    </row>
    <row r="22" spans="1:18" ht="18.75">
      <c r="A22" s="2"/>
      <c r="B22" s="2" t="s">
        <v>204</v>
      </c>
      <c r="C22" s="2"/>
      <c r="D22" s="2"/>
      <c r="E22" s="2"/>
      <c r="F22" s="2"/>
      <c r="G22" s="2"/>
      <c r="H22" s="2"/>
      <c r="I22" s="38">
        <v>-3084763</v>
      </c>
      <c r="J22" s="38">
        <v>-236467</v>
      </c>
      <c r="K22" s="38"/>
      <c r="L22" s="38">
        <f t="shared" si="2"/>
        <v>-3321230</v>
      </c>
      <c r="M22" s="48">
        <f>L16+L22</f>
        <v>3298407</v>
      </c>
      <c r="N22" s="33"/>
      <c r="O22" s="33"/>
      <c r="P22" s="33"/>
      <c r="Q22" s="33"/>
      <c r="R22" s="33"/>
    </row>
    <row r="23" spans="1:18" ht="18.75">
      <c r="A23" s="1"/>
      <c r="B23" s="2"/>
      <c r="C23" s="1"/>
      <c r="D23" s="2"/>
      <c r="E23" s="2"/>
      <c r="F23" s="2"/>
      <c r="G23" s="2"/>
      <c r="H23" s="2"/>
      <c r="I23" s="68">
        <f>SUM(I19:I22)</f>
        <v>-17604095</v>
      </c>
      <c r="J23" s="68">
        <f>SUM(J19:J22)</f>
        <v>-893515</v>
      </c>
      <c r="K23" s="68">
        <f>SUM(K19:K22)</f>
        <v>333884</v>
      </c>
      <c r="L23" s="68">
        <f>SUM(L19:L22)</f>
        <v>-18163726</v>
      </c>
      <c r="M23" s="33"/>
      <c r="N23" s="33"/>
      <c r="O23" s="33"/>
      <c r="P23" s="33"/>
      <c r="Q23" s="33"/>
      <c r="R23" s="33"/>
    </row>
    <row r="24" spans="1:18" ht="18.75">
      <c r="A24" s="1" t="s">
        <v>467</v>
      </c>
      <c r="B24" s="2"/>
      <c r="C24" s="1"/>
      <c r="D24" s="2"/>
      <c r="E24" s="2"/>
      <c r="F24" s="2"/>
      <c r="G24" s="2"/>
      <c r="H24" s="2"/>
      <c r="I24" s="68">
        <f>SUM(I17+I23)</f>
        <v>8501156</v>
      </c>
      <c r="J24" s="68">
        <f t="shared" ref="J24:L24" si="3">SUM(J17+J23)</f>
        <v>-880129</v>
      </c>
      <c r="K24" s="68">
        <f t="shared" si="3"/>
        <v>-1137</v>
      </c>
      <c r="L24" s="68">
        <f t="shared" si="3"/>
        <v>7619890</v>
      </c>
      <c r="M24" s="33"/>
      <c r="N24" s="33"/>
      <c r="O24" s="33"/>
      <c r="P24" s="33"/>
      <c r="Q24" s="33"/>
      <c r="R24" s="33"/>
    </row>
    <row r="25" spans="1:18" ht="18.75">
      <c r="A25" s="1" t="s">
        <v>22</v>
      </c>
      <c r="B25" s="2"/>
      <c r="C25" s="1"/>
      <c r="D25" s="2"/>
      <c r="E25" s="2"/>
      <c r="F25" s="2"/>
      <c r="G25" s="2"/>
      <c r="H25" s="2"/>
      <c r="I25" s="68">
        <f>SUM(I11+I17+I23)</f>
        <v>18081147</v>
      </c>
      <c r="J25" s="68">
        <f t="shared" ref="J25:L25" si="4">SUM(J11+J17+J23)</f>
        <v>8703261</v>
      </c>
      <c r="K25" s="68">
        <f t="shared" si="4"/>
        <v>-9081885</v>
      </c>
      <c r="L25" s="68">
        <f t="shared" si="4"/>
        <v>17702523</v>
      </c>
      <c r="M25" s="48">
        <f>SUM(M9:M23)</f>
        <v>17702523</v>
      </c>
      <c r="N25" s="33"/>
      <c r="O25" s="33"/>
      <c r="P25" s="33"/>
      <c r="Q25" s="33"/>
      <c r="R25" s="33"/>
    </row>
    <row r="26" spans="1:18" ht="18.75">
      <c r="M26" s="33"/>
      <c r="N26" s="33"/>
      <c r="O26" s="33"/>
      <c r="P26" s="33"/>
      <c r="Q26" s="33"/>
      <c r="R26" s="33"/>
    </row>
    <row r="27" spans="1:18" ht="18.75">
      <c r="M27" s="33"/>
      <c r="N27" s="33"/>
      <c r="O27" s="33"/>
      <c r="P27" s="33"/>
      <c r="Q27" s="33"/>
      <c r="R27" s="33"/>
    </row>
    <row r="28" spans="1:18" ht="18.75">
      <c r="M28" s="33"/>
      <c r="N28" s="33"/>
      <c r="O28" s="33"/>
      <c r="P28" s="33"/>
      <c r="Q28" s="33"/>
      <c r="R28" s="33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8"/>
  <sheetViews>
    <sheetView topLeftCell="A4" zoomScaleNormal="100" zoomScalePageLayoutView="80" workbookViewId="0">
      <selection activeCell="P26" sqref="P26"/>
    </sheetView>
  </sheetViews>
  <sheetFormatPr defaultColWidth="8.85546875" defaultRowHeight="15"/>
  <cols>
    <col min="9" max="9" width="17.42578125" customWidth="1"/>
    <col min="10" max="10" width="15.7109375" customWidth="1"/>
    <col min="11" max="11" width="15" customWidth="1"/>
    <col min="12" max="13" width="20.42578125" customWidth="1"/>
  </cols>
  <sheetData>
    <row r="1" spans="1:13" ht="18.75">
      <c r="A1" s="2"/>
      <c r="B1" s="2"/>
      <c r="C1" s="2"/>
      <c r="D1" s="159" t="s">
        <v>468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63" t="s">
        <v>3</v>
      </c>
      <c r="J5" s="63" t="s">
        <v>469</v>
      </c>
      <c r="K5" s="63" t="s">
        <v>145</v>
      </c>
      <c r="L5" s="63" t="s">
        <v>6</v>
      </c>
      <c r="M5" s="63" t="s">
        <v>7</v>
      </c>
    </row>
    <row r="6" spans="1:13" ht="18.75">
      <c r="A6" s="1" t="s">
        <v>51</v>
      </c>
      <c r="B6" s="2"/>
      <c r="C6" s="2"/>
      <c r="D6" s="2"/>
      <c r="E6" s="2"/>
      <c r="F6" s="2"/>
      <c r="G6" s="2"/>
      <c r="H6" s="2"/>
      <c r="I6" s="70"/>
      <c r="J6" s="70"/>
      <c r="K6" s="70"/>
      <c r="L6" s="70"/>
    </row>
    <row r="7" spans="1:13" ht="18.75">
      <c r="A7" s="1" t="s">
        <v>390</v>
      </c>
      <c r="B7" s="1"/>
      <c r="C7" s="1"/>
      <c r="D7" s="1"/>
      <c r="E7" s="1"/>
      <c r="F7" s="1"/>
      <c r="G7" s="2"/>
      <c r="H7" s="2"/>
      <c r="I7" s="2"/>
      <c r="J7" s="2"/>
      <c r="K7" s="2"/>
      <c r="L7" s="2"/>
    </row>
    <row r="8" spans="1:13" ht="18.75">
      <c r="A8" s="1" t="s">
        <v>9</v>
      </c>
      <c r="B8" s="1"/>
      <c r="C8" s="1"/>
      <c r="D8" s="1"/>
      <c r="E8" s="1"/>
      <c r="F8" s="1"/>
      <c r="G8" s="2"/>
      <c r="H8" s="2"/>
      <c r="I8" s="38"/>
      <c r="J8" s="38"/>
      <c r="K8" s="38"/>
      <c r="L8" s="38"/>
    </row>
    <row r="9" spans="1:13" ht="18.75">
      <c r="A9" s="2"/>
      <c r="B9" s="2" t="s">
        <v>10</v>
      </c>
      <c r="C9" s="2"/>
      <c r="D9" s="2"/>
      <c r="E9" s="2"/>
      <c r="F9" s="2"/>
      <c r="G9" s="2"/>
      <c r="H9" s="2"/>
      <c r="I9" s="38">
        <v>1560115</v>
      </c>
      <c r="J9" s="38">
        <v>56200</v>
      </c>
      <c r="K9" s="38"/>
      <c r="L9" s="38">
        <f>SUM(I9:K9)</f>
        <v>1616315</v>
      </c>
      <c r="M9" s="48">
        <f>L9</f>
        <v>1616315</v>
      </c>
    </row>
    <row r="10" spans="1:13" ht="18.75">
      <c r="A10" s="2"/>
      <c r="B10" s="2" t="s">
        <v>11</v>
      </c>
      <c r="C10" s="2"/>
      <c r="D10" s="2"/>
      <c r="E10" s="2"/>
      <c r="F10" s="2"/>
      <c r="G10" s="2"/>
      <c r="H10" s="2"/>
      <c r="I10" s="2">
        <v>1213143</v>
      </c>
      <c r="J10" s="2">
        <v>1641498</v>
      </c>
      <c r="K10" s="2"/>
      <c r="L10" s="38">
        <f>SUM(I10:K10)</f>
        <v>2854641</v>
      </c>
      <c r="M10" s="48">
        <f>L10</f>
        <v>2854641</v>
      </c>
    </row>
    <row r="11" spans="1:13" ht="18.75">
      <c r="A11" s="1"/>
      <c r="B11" s="1"/>
      <c r="C11" s="1" t="s">
        <v>70</v>
      </c>
      <c r="D11" s="1"/>
      <c r="E11" s="1"/>
      <c r="F11" s="1"/>
      <c r="G11" s="1"/>
      <c r="H11" s="1"/>
      <c r="I11" s="74">
        <f>SUM(I9:I10)</f>
        <v>2773258</v>
      </c>
      <c r="J11" s="74">
        <f>SUM(J9:J10)</f>
        <v>1697698</v>
      </c>
      <c r="K11" s="74">
        <f>SUM(K9:K10)</f>
        <v>0</v>
      </c>
      <c r="L11" s="74">
        <f>SUM(L9:L10)</f>
        <v>4470956</v>
      </c>
      <c r="M11" s="33"/>
    </row>
    <row r="12" spans="1:13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3"/>
    </row>
    <row r="13" spans="1:13" ht="18.75">
      <c r="A13" s="1" t="s">
        <v>216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3"/>
    </row>
    <row r="14" spans="1:13" ht="18.75">
      <c r="A14" s="2"/>
      <c r="B14" s="2" t="s">
        <v>14</v>
      </c>
      <c r="C14" s="2"/>
      <c r="D14" s="2"/>
      <c r="E14" s="2"/>
      <c r="F14" s="2"/>
      <c r="G14" s="2"/>
      <c r="H14" s="2"/>
      <c r="I14" s="2">
        <v>36316273</v>
      </c>
      <c r="J14" s="38">
        <v>218679</v>
      </c>
      <c r="K14" s="38"/>
      <c r="L14" s="38">
        <f>SUM(I14:K14)</f>
        <v>36534952</v>
      </c>
      <c r="M14" s="33"/>
    </row>
    <row r="15" spans="1:13" ht="18.75">
      <c r="A15" s="2"/>
      <c r="B15" s="2" t="s">
        <v>15</v>
      </c>
      <c r="C15" s="2"/>
      <c r="D15" s="2"/>
      <c r="E15" s="2"/>
      <c r="F15" s="2"/>
      <c r="G15" s="2"/>
      <c r="H15" s="2"/>
      <c r="I15" s="2">
        <v>15331824</v>
      </c>
      <c r="J15" s="38">
        <v>1670187</v>
      </c>
      <c r="K15" s="38">
        <v>-810415</v>
      </c>
      <c r="L15" s="38">
        <f>SUM(I15:K15)</f>
        <v>16191596</v>
      </c>
      <c r="M15" s="33"/>
    </row>
    <row r="16" spans="1:13" ht="18.75">
      <c r="A16" s="2"/>
      <c r="B16" s="2" t="s">
        <v>16</v>
      </c>
      <c r="C16" s="2"/>
      <c r="D16" s="2"/>
      <c r="E16" s="2"/>
      <c r="F16" s="2"/>
      <c r="G16" s="2"/>
      <c r="H16" s="2"/>
      <c r="I16" s="2">
        <v>1781934</v>
      </c>
      <c r="J16" s="38">
        <v>31019</v>
      </c>
      <c r="K16" s="38"/>
      <c r="L16" s="38">
        <f>SUM(I16:K16)</f>
        <v>1812953</v>
      </c>
      <c r="M16" s="33"/>
    </row>
    <row r="17" spans="1:13" ht="18.75">
      <c r="A17" s="2"/>
      <c r="B17" s="2" t="s">
        <v>151</v>
      </c>
      <c r="C17" s="2"/>
      <c r="D17" s="2"/>
      <c r="E17" s="2"/>
      <c r="F17" s="2"/>
      <c r="G17" s="2"/>
      <c r="H17" s="2"/>
      <c r="I17" s="2">
        <v>43807018</v>
      </c>
      <c r="J17" s="38"/>
      <c r="K17" s="38"/>
      <c r="L17" s="38">
        <f>SUM(I17:K17)</f>
        <v>43807018</v>
      </c>
      <c r="M17" s="33"/>
    </row>
    <row r="18" spans="1:13" ht="18.75">
      <c r="A18" s="2"/>
      <c r="B18" s="2"/>
      <c r="C18" s="1" t="s">
        <v>18</v>
      </c>
      <c r="D18" s="2"/>
      <c r="E18" s="2"/>
      <c r="F18" s="2"/>
      <c r="G18" s="2"/>
      <c r="H18" s="2"/>
      <c r="I18" s="75">
        <f>SUM(I14:I17)</f>
        <v>97237049</v>
      </c>
      <c r="J18" s="75">
        <f>SUM(J14:J17)</f>
        <v>1919885</v>
      </c>
      <c r="K18" s="75">
        <f>SUM(K14:K17)</f>
        <v>-810415</v>
      </c>
      <c r="L18" s="75">
        <f>SUM(L14:L17)</f>
        <v>98346519</v>
      </c>
      <c r="M18" s="33"/>
    </row>
    <row r="19" spans="1:13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3"/>
    </row>
    <row r="20" spans="1:13" ht="18.75">
      <c r="A20" s="1" t="s">
        <v>398</v>
      </c>
      <c r="B20" s="2"/>
      <c r="C20" s="2"/>
      <c r="D20" s="2"/>
      <c r="E20" s="2"/>
      <c r="F20" s="2"/>
      <c r="G20" s="2"/>
      <c r="H20" s="2"/>
      <c r="I20" s="2"/>
      <c r="J20" s="38"/>
      <c r="K20" s="38"/>
      <c r="L20" s="38"/>
      <c r="M20" s="33"/>
    </row>
    <row r="21" spans="1:13" ht="18.75">
      <c r="A21" s="2"/>
      <c r="B21" s="2" t="s">
        <v>33</v>
      </c>
      <c r="C21" s="2"/>
      <c r="D21" s="2"/>
      <c r="E21" s="2"/>
      <c r="F21" s="2"/>
      <c r="G21" s="2"/>
      <c r="H21" s="2"/>
      <c r="I21" s="38">
        <v>8263206</v>
      </c>
      <c r="J21" s="38">
        <v>911552</v>
      </c>
      <c r="K21" s="38"/>
      <c r="L21" s="38">
        <f>SUM(I21:K21)</f>
        <v>9174758</v>
      </c>
      <c r="M21" s="48">
        <f>L14-L21</f>
        <v>27360194</v>
      </c>
    </row>
    <row r="22" spans="1:13" ht="18.75">
      <c r="A22" s="2"/>
      <c r="B22" s="2" t="s">
        <v>104</v>
      </c>
      <c r="C22" s="2"/>
      <c r="D22" s="2"/>
      <c r="E22" s="2"/>
      <c r="F22" s="2"/>
      <c r="G22" s="2"/>
      <c r="H22" s="2"/>
      <c r="I22" s="38">
        <v>10122075</v>
      </c>
      <c r="J22" s="38">
        <v>1390435</v>
      </c>
      <c r="K22" s="38">
        <v>-810415</v>
      </c>
      <c r="L22" s="38">
        <f t="shared" ref="L22:L24" si="0">SUM(I22:K22)</f>
        <v>10702095</v>
      </c>
      <c r="M22" s="48">
        <f>L15-L22</f>
        <v>5489501</v>
      </c>
    </row>
    <row r="23" spans="1:13" ht="18.75">
      <c r="A23" s="2"/>
      <c r="B23" s="2" t="s">
        <v>16</v>
      </c>
      <c r="C23" s="2"/>
      <c r="D23" s="2"/>
      <c r="E23" s="2"/>
      <c r="F23" s="2"/>
      <c r="G23" s="2"/>
      <c r="H23" s="2"/>
      <c r="I23" s="38">
        <v>747587</v>
      </c>
      <c r="J23" s="38">
        <v>71897</v>
      </c>
      <c r="K23" s="38"/>
      <c r="L23" s="38">
        <f t="shared" si="0"/>
        <v>819484</v>
      </c>
      <c r="M23" s="48">
        <f>L16-L23</f>
        <v>993469</v>
      </c>
    </row>
    <row r="24" spans="1:13" ht="18.75">
      <c r="A24" s="2"/>
      <c r="B24" s="2" t="s">
        <v>151</v>
      </c>
      <c r="C24" s="2"/>
      <c r="D24" s="2"/>
      <c r="E24" s="2"/>
      <c r="F24" s="2"/>
      <c r="G24" s="2"/>
      <c r="H24" s="2"/>
      <c r="I24" s="38">
        <v>10143450</v>
      </c>
      <c r="J24" s="38">
        <v>1426224</v>
      </c>
      <c r="K24" s="38"/>
      <c r="L24" s="38">
        <f t="shared" si="0"/>
        <v>11569674</v>
      </c>
      <c r="M24" s="48">
        <f>L17-L24</f>
        <v>32237344</v>
      </c>
    </row>
    <row r="25" spans="1:13" ht="18.75">
      <c r="A25" s="1"/>
      <c r="B25" s="2"/>
      <c r="C25" s="1" t="s">
        <v>20</v>
      </c>
      <c r="D25" s="2"/>
      <c r="E25" s="2"/>
      <c r="F25" s="2"/>
      <c r="G25" s="2"/>
      <c r="H25" s="2"/>
      <c r="I25" s="68">
        <f>SUM(I21:I24)</f>
        <v>29276318</v>
      </c>
      <c r="J25" s="68">
        <f>SUM(J21:J24)</f>
        <v>3800108</v>
      </c>
      <c r="K25" s="68">
        <f>SUM(K21:K24)</f>
        <v>-810415</v>
      </c>
      <c r="L25" s="68">
        <f>SUM(L21:L24)</f>
        <v>32266011</v>
      </c>
      <c r="M25" s="33"/>
    </row>
    <row r="26" spans="1:13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3"/>
    </row>
    <row r="27" spans="1:13" ht="18.75">
      <c r="A27" s="1" t="s">
        <v>467</v>
      </c>
      <c r="B27" s="2"/>
      <c r="C27" s="1"/>
      <c r="D27" s="2"/>
      <c r="E27" s="2"/>
      <c r="F27" s="2"/>
      <c r="G27" s="2"/>
      <c r="H27" s="2"/>
      <c r="I27" s="68">
        <f>I18-I25</f>
        <v>67960731</v>
      </c>
      <c r="J27" s="68">
        <f t="shared" ref="J27:L27" si="1">J18-J25</f>
        <v>-1880223</v>
      </c>
      <c r="K27" s="68">
        <f t="shared" si="1"/>
        <v>0</v>
      </c>
      <c r="L27" s="68">
        <f t="shared" si="1"/>
        <v>66080508</v>
      </c>
      <c r="M27" s="33"/>
    </row>
    <row r="28" spans="1:13" ht="18.75">
      <c r="A28" s="1" t="s">
        <v>22</v>
      </c>
      <c r="B28" s="2"/>
      <c r="C28" s="1"/>
      <c r="D28" s="2"/>
      <c r="E28" s="2"/>
      <c r="F28" s="2"/>
      <c r="G28" s="2"/>
      <c r="H28" s="2"/>
      <c r="I28" s="68">
        <f>I11+I27</f>
        <v>70733989</v>
      </c>
      <c r="J28" s="68">
        <f>J11+J27</f>
        <v>-182525</v>
      </c>
      <c r="K28" s="68">
        <f>K11+K27</f>
        <v>0</v>
      </c>
      <c r="L28" s="68">
        <f>L11+L27</f>
        <v>70551464</v>
      </c>
      <c r="M28" s="48">
        <f>SUM(M9:M26)</f>
        <v>70551464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49"/>
  <sheetViews>
    <sheetView topLeftCell="A13" zoomScale="84" zoomScaleNormal="84" workbookViewId="0">
      <selection activeCell="R45" sqref="R45"/>
    </sheetView>
  </sheetViews>
  <sheetFormatPr defaultColWidth="8.85546875" defaultRowHeight="18.75"/>
  <cols>
    <col min="1" max="1" width="3.85546875" customWidth="1"/>
    <col min="2" max="2" width="5.42578125" customWidth="1"/>
    <col min="3" max="3" width="4.7109375" customWidth="1"/>
    <col min="4" max="4" width="3.7109375" customWidth="1"/>
    <col min="9" max="9" width="17.42578125" customWidth="1"/>
    <col min="10" max="10" width="17.5703125" bestFit="1" customWidth="1"/>
    <col min="11" max="13" width="15.7109375" bestFit="1" customWidth="1"/>
    <col min="14" max="14" width="17.28515625" bestFit="1" customWidth="1"/>
    <col min="15" max="15" width="17.28515625" style="33" bestFit="1" customWidth="1"/>
  </cols>
  <sheetData>
    <row r="1" spans="1:15">
      <c r="B1" s="2"/>
      <c r="C1" s="2"/>
      <c r="D1" s="2"/>
      <c r="E1" s="159" t="s">
        <v>470</v>
      </c>
      <c r="F1" s="159"/>
      <c r="G1" s="159"/>
      <c r="H1" s="159"/>
      <c r="I1" s="159"/>
      <c r="J1" s="159"/>
      <c r="K1" s="2"/>
      <c r="L1" s="2"/>
      <c r="M1" s="2"/>
      <c r="N1" s="2"/>
    </row>
    <row r="2" spans="1:15">
      <c r="B2" s="2"/>
      <c r="C2" s="2"/>
      <c r="D2" s="2"/>
      <c r="E2" s="159" t="s">
        <v>1</v>
      </c>
      <c r="F2" s="159"/>
      <c r="G2" s="159"/>
      <c r="H2" s="159"/>
      <c r="I2" s="159"/>
      <c r="J2" s="159"/>
      <c r="K2" s="2"/>
      <c r="L2" s="2"/>
      <c r="M2" s="2"/>
      <c r="N2" s="2"/>
    </row>
    <row r="3" spans="1:15">
      <c r="B3" s="2"/>
      <c r="C3" s="2"/>
      <c r="D3" s="2"/>
      <c r="E3" s="159" t="s">
        <v>2</v>
      </c>
      <c r="F3" s="159"/>
      <c r="G3" s="159"/>
      <c r="H3" s="159"/>
      <c r="I3" s="159"/>
      <c r="J3" s="159"/>
      <c r="K3" s="2"/>
      <c r="L3" s="2"/>
      <c r="M3" s="2"/>
      <c r="N3" s="2"/>
    </row>
    <row r="4" spans="1:15">
      <c r="B4" s="2"/>
      <c r="C4" s="2"/>
      <c r="D4" s="2"/>
      <c r="E4" s="151"/>
      <c r="F4" s="151"/>
      <c r="G4" s="151"/>
      <c r="H4" s="151"/>
      <c r="I4" s="151"/>
      <c r="J4" s="151"/>
      <c r="K4" s="2"/>
      <c r="L4" s="2"/>
      <c r="M4" s="2"/>
      <c r="N4" s="2"/>
    </row>
    <row r="5" spans="1:15">
      <c r="B5" s="2"/>
      <c r="C5" s="2"/>
      <c r="D5" s="2"/>
      <c r="E5" s="2"/>
      <c r="F5" s="2"/>
      <c r="G5" s="2"/>
      <c r="H5" s="2"/>
      <c r="I5" s="2"/>
      <c r="J5" s="63"/>
      <c r="K5" s="63"/>
      <c r="L5" s="63"/>
      <c r="M5" s="63"/>
      <c r="N5" s="63"/>
      <c r="O5" s="63"/>
    </row>
    <row r="6" spans="1:15" ht="37.5">
      <c r="A6" s="1" t="s">
        <v>51</v>
      </c>
      <c r="B6" s="1"/>
      <c r="C6" s="2"/>
      <c r="D6" s="2"/>
      <c r="E6" s="2"/>
      <c r="F6" s="2"/>
      <c r="G6" s="2"/>
      <c r="H6" s="2"/>
      <c r="I6" s="2"/>
      <c r="J6" s="63" t="s">
        <v>3</v>
      </c>
      <c r="K6" s="63" t="s">
        <v>4</v>
      </c>
      <c r="L6" s="63" t="s">
        <v>5</v>
      </c>
      <c r="M6" s="63" t="s">
        <v>69</v>
      </c>
      <c r="N6" s="63" t="s">
        <v>6</v>
      </c>
      <c r="O6" s="63" t="s">
        <v>7</v>
      </c>
    </row>
    <row r="7" spans="1:15">
      <c r="A7" s="1" t="s">
        <v>313</v>
      </c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 t="s">
        <v>9</v>
      </c>
      <c r="C8" s="1"/>
      <c r="D8" s="1"/>
      <c r="E8" s="1"/>
      <c r="F8" s="1"/>
      <c r="G8" s="1"/>
      <c r="H8" s="2"/>
      <c r="I8" s="2"/>
      <c r="J8" s="103"/>
      <c r="K8" s="103"/>
      <c r="L8" s="103"/>
      <c r="M8" s="103"/>
      <c r="N8" s="103"/>
      <c r="O8" s="103"/>
    </row>
    <row r="9" spans="1:15">
      <c r="C9" s="2" t="s">
        <v>10</v>
      </c>
      <c r="D9" s="2"/>
      <c r="E9" s="2"/>
      <c r="F9" s="2"/>
      <c r="G9" s="2"/>
      <c r="H9" s="2"/>
      <c r="I9" s="2"/>
      <c r="J9" s="104">
        <v>1870876</v>
      </c>
      <c r="K9" s="103"/>
      <c r="L9" s="103"/>
      <c r="M9" s="103"/>
      <c r="N9" s="103">
        <f t="shared" ref="N9:N10" si="0">SUM(J9:M9)</f>
        <v>1870876</v>
      </c>
      <c r="O9" s="115">
        <f>N9</f>
        <v>1870876</v>
      </c>
    </row>
    <row r="10" spans="1:15">
      <c r="C10" s="2" t="s">
        <v>11</v>
      </c>
      <c r="D10" s="2"/>
      <c r="E10" s="2"/>
      <c r="F10" s="2"/>
      <c r="G10" s="2"/>
      <c r="H10" s="2"/>
      <c r="I10" s="2"/>
      <c r="J10" s="104">
        <v>2899550</v>
      </c>
      <c r="K10" s="103">
        <v>9313636</v>
      </c>
      <c r="L10" s="103"/>
      <c r="M10" s="103">
        <v>-3476957</v>
      </c>
      <c r="N10" s="103">
        <f t="shared" si="0"/>
        <v>8736229</v>
      </c>
      <c r="O10" s="115">
        <f>N10</f>
        <v>8736229</v>
      </c>
    </row>
    <row r="11" spans="1:15">
      <c r="B11" s="2"/>
      <c r="C11" s="2"/>
      <c r="D11" s="2" t="s">
        <v>92</v>
      </c>
      <c r="E11" s="2"/>
      <c r="F11" s="2"/>
      <c r="G11" s="2"/>
      <c r="H11" s="2"/>
      <c r="I11" s="2"/>
      <c r="J11" s="116">
        <f>SUM(J9:J10)</f>
        <v>4770426</v>
      </c>
      <c r="K11" s="116">
        <f>SUM(K9:K10)</f>
        <v>9313636</v>
      </c>
      <c r="L11" s="116">
        <f>SUM(L9:L10)</f>
        <v>0</v>
      </c>
      <c r="M11" s="116">
        <f>SUM(M9:M10)</f>
        <v>-3476957</v>
      </c>
      <c r="N11" s="116">
        <f>SUM(N9:N10)</f>
        <v>10607105</v>
      </c>
      <c r="O11" s="115"/>
    </row>
    <row r="12" spans="1:15">
      <c r="B12" s="2"/>
      <c r="C12" s="2"/>
      <c r="D12" s="2"/>
      <c r="E12" s="2"/>
      <c r="F12" s="2"/>
      <c r="G12" s="2"/>
      <c r="H12" s="2"/>
      <c r="I12" s="2"/>
      <c r="J12" s="117"/>
      <c r="K12" s="117"/>
      <c r="L12" s="117"/>
      <c r="M12" s="117"/>
      <c r="N12" s="117"/>
      <c r="O12" s="115"/>
    </row>
    <row r="13" spans="1:15">
      <c r="A13" s="2"/>
      <c r="B13" s="2" t="s">
        <v>193</v>
      </c>
      <c r="C13" s="2"/>
      <c r="D13" s="2"/>
      <c r="E13" s="2"/>
      <c r="F13" s="2"/>
      <c r="G13" s="2"/>
      <c r="H13" s="2"/>
      <c r="I13" s="2"/>
      <c r="J13" s="103"/>
      <c r="K13" s="103"/>
      <c r="L13" s="103"/>
      <c r="M13" s="103"/>
      <c r="N13" s="103"/>
      <c r="O13" s="115"/>
    </row>
    <row r="14" spans="1:15">
      <c r="C14" s="2" t="s">
        <v>17</v>
      </c>
      <c r="D14" s="2"/>
      <c r="E14" s="2"/>
      <c r="F14" s="2"/>
      <c r="G14" s="2"/>
      <c r="H14" s="2"/>
      <c r="I14" s="2"/>
      <c r="J14" s="103">
        <v>130977942</v>
      </c>
      <c r="K14" s="103">
        <v>655182</v>
      </c>
      <c r="L14" s="103"/>
      <c r="M14" s="103">
        <v>3374145</v>
      </c>
      <c r="N14" s="103">
        <f>SUM(J14:M14)</f>
        <v>135007269</v>
      </c>
      <c r="O14" s="115"/>
    </row>
    <row r="15" spans="1:15">
      <c r="C15" s="2" t="s">
        <v>29</v>
      </c>
      <c r="D15" s="2"/>
      <c r="E15" s="2"/>
      <c r="F15" s="2"/>
      <c r="G15" s="2"/>
      <c r="H15" s="2"/>
      <c r="I15" s="2"/>
      <c r="J15" s="103">
        <v>17516962</v>
      </c>
      <c r="K15" s="103"/>
      <c r="L15" s="103"/>
      <c r="M15" s="103"/>
      <c r="N15" s="103">
        <f>SUM(J15:M15)</f>
        <v>17516962</v>
      </c>
      <c r="O15" s="115"/>
    </row>
    <row r="16" spans="1:15">
      <c r="C16" s="2" t="s">
        <v>111</v>
      </c>
      <c r="D16" s="2"/>
      <c r="E16" s="2"/>
      <c r="F16" s="2"/>
      <c r="G16" s="2"/>
      <c r="H16" s="2"/>
      <c r="I16" s="2"/>
      <c r="J16" s="103">
        <v>11247366</v>
      </c>
      <c r="K16" s="103">
        <v>852825</v>
      </c>
      <c r="L16" s="103"/>
      <c r="M16" s="103"/>
      <c r="N16" s="103">
        <f>SUM(J16:M16)</f>
        <v>12100191</v>
      </c>
      <c r="O16" s="115"/>
    </row>
    <row r="17" spans="1:15">
      <c r="C17" s="2" t="s">
        <v>123</v>
      </c>
      <c r="D17" s="2"/>
      <c r="E17" s="2"/>
      <c r="F17" s="2"/>
      <c r="G17" s="2"/>
      <c r="H17" s="2"/>
      <c r="I17" s="2"/>
      <c r="J17" s="103">
        <v>24019462</v>
      </c>
      <c r="K17" s="103">
        <v>567289</v>
      </c>
      <c r="L17" s="103"/>
      <c r="M17" s="103">
        <v>102812</v>
      </c>
      <c r="N17" s="103">
        <f t="shared" ref="N17" si="1">SUM(J17:M17)</f>
        <v>24689563</v>
      </c>
      <c r="O17" s="115"/>
    </row>
    <row r="18" spans="1:15">
      <c r="B18" s="2"/>
      <c r="C18" s="2"/>
      <c r="D18" s="2" t="s">
        <v>18</v>
      </c>
      <c r="E18" s="2"/>
      <c r="F18" s="2"/>
      <c r="G18" s="2"/>
      <c r="H18" s="2"/>
      <c r="I18" s="2"/>
      <c r="J18" s="116">
        <f>SUM(J14:J17)</f>
        <v>183761732</v>
      </c>
      <c r="K18" s="116">
        <f>SUM(K14:K17)</f>
        <v>2075296</v>
      </c>
      <c r="L18" s="116">
        <f>SUM(L14:L17)</f>
        <v>0</v>
      </c>
      <c r="M18" s="116">
        <f>SUM(M14:M17)</f>
        <v>3476957</v>
      </c>
      <c r="N18" s="116">
        <f>SUM(N14:N17)</f>
        <v>189313985</v>
      </c>
      <c r="O18" s="115"/>
    </row>
    <row r="19" spans="1:15">
      <c r="B19" s="2"/>
      <c r="C19" s="2"/>
      <c r="D19" s="2"/>
      <c r="E19" s="2"/>
      <c r="F19" s="2"/>
      <c r="G19" s="2"/>
      <c r="H19" s="2"/>
      <c r="I19" s="2"/>
      <c r="J19" s="117"/>
      <c r="K19" s="117"/>
      <c r="L19" s="117"/>
      <c r="M19" s="117"/>
      <c r="N19" s="117"/>
      <c r="O19" s="115"/>
    </row>
    <row r="20" spans="1:15">
      <c r="A20" s="2"/>
      <c r="B20" s="2" t="s">
        <v>19</v>
      </c>
      <c r="C20" s="2"/>
      <c r="D20" s="2"/>
      <c r="E20" s="2"/>
      <c r="F20" s="2"/>
      <c r="G20" s="2"/>
      <c r="H20" s="2"/>
      <c r="I20" s="2"/>
      <c r="J20" s="103"/>
      <c r="K20" s="103"/>
      <c r="L20" s="103"/>
      <c r="M20" s="103"/>
      <c r="N20" s="103"/>
      <c r="O20" s="115"/>
    </row>
    <row r="21" spans="1:15">
      <c r="C21" s="2" t="s">
        <v>17</v>
      </c>
      <c r="D21" s="2"/>
      <c r="E21" s="2"/>
      <c r="F21" s="2"/>
      <c r="G21" s="2"/>
      <c r="H21" s="2"/>
      <c r="I21" s="2"/>
      <c r="J21" s="117">
        <v>-55417419</v>
      </c>
      <c r="K21" s="118">
        <v>-3242312</v>
      </c>
      <c r="L21" s="118"/>
      <c r="M21" s="118"/>
      <c r="N21" s="118">
        <f t="shared" ref="N21:N24" si="2">SUM(J21:M21)</f>
        <v>-58659731</v>
      </c>
      <c r="O21" s="119">
        <f>N14+N21</f>
        <v>76347538</v>
      </c>
    </row>
    <row r="22" spans="1:15">
      <c r="C22" s="2" t="s">
        <v>29</v>
      </c>
      <c r="D22" s="2"/>
      <c r="E22" s="2"/>
      <c r="F22" s="2"/>
      <c r="G22" s="2"/>
      <c r="H22" s="2"/>
      <c r="I22" s="2"/>
      <c r="J22" s="117">
        <v>-7468731</v>
      </c>
      <c r="K22" s="117">
        <v>-472223</v>
      </c>
      <c r="L22" s="117"/>
      <c r="M22" s="117"/>
      <c r="N22" s="118">
        <f t="shared" si="2"/>
        <v>-7940954</v>
      </c>
      <c r="O22" s="119">
        <f>N15+N22</f>
        <v>9576008</v>
      </c>
    </row>
    <row r="23" spans="1:15">
      <c r="C23" s="2" t="s">
        <v>111</v>
      </c>
      <c r="D23" s="2"/>
      <c r="E23" s="2"/>
      <c r="F23" s="2"/>
      <c r="G23" s="2"/>
      <c r="H23" s="2"/>
      <c r="I23" s="2"/>
      <c r="J23" s="104">
        <v>-9037216</v>
      </c>
      <c r="K23" s="103">
        <v>-627039</v>
      </c>
      <c r="L23" s="103"/>
      <c r="M23" s="103"/>
      <c r="N23" s="118">
        <f t="shared" si="2"/>
        <v>-9664255</v>
      </c>
      <c r="O23" s="119">
        <f>N16+N23</f>
        <v>2435936</v>
      </c>
    </row>
    <row r="24" spans="1:15">
      <c r="C24" s="2" t="s">
        <v>123</v>
      </c>
      <c r="D24" s="2"/>
      <c r="E24" s="2"/>
      <c r="F24" s="2"/>
      <c r="G24" s="2"/>
      <c r="H24" s="2"/>
      <c r="I24" s="2"/>
      <c r="J24" s="104">
        <v>-8989185</v>
      </c>
      <c r="K24" s="103">
        <v>-1090606</v>
      </c>
      <c r="L24" s="103"/>
      <c r="M24" s="103"/>
      <c r="N24" s="118">
        <f t="shared" si="2"/>
        <v>-10079791</v>
      </c>
      <c r="O24" s="119">
        <f>N17+N24</f>
        <v>14609772</v>
      </c>
    </row>
    <row r="25" spans="1:15">
      <c r="B25" s="2"/>
      <c r="C25" s="2"/>
      <c r="D25" s="2" t="s">
        <v>20</v>
      </c>
      <c r="E25" s="2"/>
      <c r="F25" s="2"/>
      <c r="G25" s="2"/>
      <c r="H25" s="2"/>
      <c r="I25" s="2"/>
      <c r="J25" s="116">
        <f>SUM(J21:J24)</f>
        <v>-80912551</v>
      </c>
      <c r="K25" s="116">
        <f>SUM(K21:K24)</f>
        <v>-5432180</v>
      </c>
      <c r="L25" s="116">
        <f>SUM(L21:L24)</f>
        <v>0</v>
      </c>
      <c r="M25" s="116">
        <f>SUM(M21:M24)</f>
        <v>0</v>
      </c>
      <c r="N25" s="116">
        <f>SUM(N21:N24)</f>
        <v>-86344731</v>
      </c>
      <c r="O25" s="115"/>
    </row>
    <row r="26" spans="1:15">
      <c r="B26" s="2"/>
      <c r="C26" s="2"/>
      <c r="D26" s="2" t="s">
        <v>471</v>
      </c>
      <c r="E26" s="2"/>
      <c r="F26" s="2"/>
      <c r="G26" s="2"/>
      <c r="H26" s="2"/>
      <c r="I26" s="2"/>
      <c r="J26" s="116">
        <f>SUM(J18+J25)</f>
        <v>102849181</v>
      </c>
      <c r="K26" s="116">
        <f>SUM(K18+K25)</f>
        <v>-3356884</v>
      </c>
      <c r="L26" s="116">
        <f>SUM(L18+L25)</f>
        <v>0</v>
      </c>
      <c r="M26" s="116"/>
      <c r="N26" s="116">
        <f>SUM(N18+N25)</f>
        <v>102969254</v>
      </c>
      <c r="O26" s="115"/>
    </row>
    <row r="27" spans="1:15">
      <c r="C27" s="2"/>
      <c r="D27" s="2" t="s">
        <v>472</v>
      </c>
      <c r="E27" s="2"/>
      <c r="F27" s="2"/>
      <c r="G27" s="2"/>
      <c r="H27" s="2"/>
      <c r="I27" s="2"/>
      <c r="J27" s="116">
        <f>SUM(J11+J26)</f>
        <v>107619607</v>
      </c>
      <c r="K27" s="116">
        <f t="shared" ref="K27:N27" si="3">SUM(K11+K26)</f>
        <v>5956752</v>
      </c>
      <c r="L27" s="116">
        <f t="shared" si="3"/>
        <v>0</v>
      </c>
      <c r="M27" s="116"/>
      <c r="N27" s="116">
        <f t="shared" si="3"/>
        <v>113576359</v>
      </c>
      <c r="O27" s="121">
        <f>SUM(O9:O26)</f>
        <v>113576359</v>
      </c>
    </row>
    <row r="28" spans="1:15">
      <c r="B28" s="2"/>
      <c r="C28" s="2"/>
      <c r="D28" s="2"/>
      <c r="E28" s="2"/>
      <c r="F28" s="2"/>
      <c r="G28" s="2"/>
      <c r="H28" s="2"/>
      <c r="I28" s="2"/>
      <c r="J28" s="104"/>
      <c r="K28" s="103"/>
      <c r="L28" s="103"/>
      <c r="M28" s="103"/>
      <c r="N28" s="118"/>
      <c r="O28" s="120"/>
    </row>
    <row r="29" spans="1:15">
      <c r="A29" s="49" t="s">
        <v>473</v>
      </c>
      <c r="B29" s="2"/>
      <c r="C29" s="2"/>
      <c r="D29" s="2"/>
      <c r="E29" s="2"/>
      <c r="F29" s="2"/>
      <c r="G29" s="2"/>
      <c r="H29" s="2"/>
      <c r="I29" s="2"/>
      <c r="J29" s="104"/>
      <c r="K29" s="103"/>
      <c r="L29" s="103"/>
      <c r="M29" s="103"/>
      <c r="N29" s="118"/>
      <c r="O29" s="120"/>
    </row>
    <row r="30" spans="1:15">
      <c r="B30" s="2" t="s">
        <v>382</v>
      </c>
      <c r="C30" s="2"/>
      <c r="D30" s="2"/>
      <c r="E30" s="2"/>
      <c r="F30" s="2"/>
      <c r="G30" s="2"/>
      <c r="H30" s="2"/>
      <c r="I30" s="2"/>
      <c r="J30" s="104"/>
      <c r="K30" s="103"/>
      <c r="L30" s="103"/>
      <c r="M30" s="103"/>
      <c r="N30" s="118"/>
      <c r="O30" s="120"/>
    </row>
    <row r="31" spans="1:15">
      <c r="B31" s="2"/>
      <c r="C31" s="2" t="s">
        <v>397</v>
      </c>
      <c r="D31" s="2"/>
      <c r="E31" s="2"/>
      <c r="F31" s="2"/>
      <c r="G31" s="2"/>
      <c r="H31" s="2"/>
      <c r="I31" s="2"/>
      <c r="J31" s="104">
        <v>50068</v>
      </c>
      <c r="K31" s="103">
        <v>104893</v>
      </c>
      <c r="L31" s="103"/>
      <c r="M31" s="103"/>
      <c r="N31" s="118">
        <f>SUM(J31:M31)</f>
        <v>154961</v>
      </c>
      <c r="O31" s="120">
        <f>N31</f>
        <v>154961</v>
      </c>
    </row>
    <row r="32" spans="1:15">
      <c r="B32" s="2"/>
      <c r="C32" s="2" t="s">
        <v>10</v>
      </c>
      <c r="D32" s="2"/>
      <c r="E32" s="2"/>
      <c r="F32" s="2"/>
      <c r="G32" s="2"/>
      <c r="H32" s="2"/>
      <c r="I32" s="2"/>
      <c r="J32" s="104">
        <v>2052372</v>
      </c>
      <c r="K32" s="103"/>
      <c r="L32" s="103"/>
      <c r="M32" s="103"/>
      <c r="N32" s="118">
        <f>SUM(J32:M32)</f>
        <v>2052372</v>
      </c>
      <c r="O32" s="120">
        <f>N32</f>
        <v>2052372</v>
      </c>
    </row>
    <row r="33" spans="2:15">
      <c r="B33" s="2"/>
      <c r="C33" s="2" t="s">
        <v>106</v>
      </c>
      <c r="D33" s="2"/>
      <c r="E33" s="2"/>
      <c r="F33" s="2"/>
      <c r="G33" s="2"/>
      <c r="H33" s="2"/>
      <c r="I33" s="2"/>
      <c r="J33" s="106">
        <v>1750227</v>
      </c>
      <c r="K33" s="105"/>
      <c r="L33" s="105"/>
      <c r="M33" s="105"/>
      <c r="N33" s="105">
        <f>SUM(J33:M33)</f>
        <v>1750227</v>
      </c>
      <c r="O33" s="120">
        <f>N33</f>
        <v>1750227</v>
      </c>
    </row>
    <row r="34" spans="2:15">
      <c r="B34" s="2"/>
      <c r="C34" s="2"/>
      <c r="D34" s="2" t="s">
        <v>92</v>
      </c>
      <c r="E34" s="2"/>
      <c r="F34" s="2"/>
      <c r="G34" s="2"/>
      <c r="H34" s="2"/>
      <c r="I34" s="2"/>
      <c r="J34" s="106">
        <f>SUM(J31:J33)</f>
        <v>3852667</v>
      </c>
      <c r="K34" s="106">
        <f t="shared" ref="K34:N34" si="4">SUM(K31:K33)</f>
        <v>104893</v>
      </c>
      <c r="L34" s="106">
        <f t="shared" si="4"/>
        <v>0</v>
      </c>
      <c r="M34" s="106">
        <f t="shared" si="4"/>
        <v>0</v>
      </c>
      <c r="N34" s="106">
        <f t="shared" si="4"/>
        <v>3957560</v>
      </c>
      <c r="O34" s="120"/>
    </row>
    <row r="35" spans="2:15">
      <c r="B35" s="2"/>
      <c r="C35" s="1"/>
      <c r="D35" s="2"/>
      <c r="E35" s="2"/>
      <c r="F35" s="2"/>
      <c r="G35" s="2"/>
      <c r="H35" s="2"/>
      <c r="I35" s="2"/>
      <c r="J35" s="117"/>
      <c r="K35" s="117"/>
      <c r="L35" s="117"/>
      <c r="M35" s="117"/>
      <c r="N35" s="117"/>
      <c r="O35" s="120"/>
    </row>
    <row r="36" spans="2:15">
      <c r="B36" s="2" t="s">
        <v>474</v>
      </c>
      <c r="C36" s="2"/>
      <c r="D36" s="2"/>
      <c r="E36" s="2"/>
      <c r="F36" s="2"/>
      <c r="G36" s="2"/>
      <c r="H36" s="2"/>
      <c r="I36" s="2"/>
      <c r="J36" s="104"/>
      <c r="K36" s="103"/>
      <c r="L36" s="103"/>
      <c r="M36" s="103"/>
      <c r="N36" s="118"/>
      <c r="O36" s="120"/>
    </row>
    <row r="37" spans="2:15">
      <c r="B37" s="2"/>
      <c r="C37" s="2" t="s">
        <v>33</v>
      </c>
      <c r="D37" s="2"/>
      <c r="E37" s="2"/>
      <c r="F37" s="2"/>
      <c r="G37" s="2"/>
      <c r="H37" s="2"/>
      <c r="I37" s="2"/>
      <c r="J37" s="104">
        <v>4455578</v>
      </c>
      <c r="K37" s="103"/>
      <c r="L37" s="103"/>
      <c r="M37" s="103"/>
      <c r="N37" s="118">
        <f>SUM(J37:M37)</f>
        <v>4455578</v>
      </c>
      <c r="O37" s="120"/>
    </row>
    <row r="38" spans="2:15">
      <c r="B38" s="2"/>
      <c r="C38" s="2" t="s">
        <v>34</v>
      </c>
      <c r="D38" s="2"/>
      <c r="E38" s="2"/>
      <c r="F38" s="2"/>
      <c r="G38" s="2"/>
      <c r="H38" s="2"/>
      <c r="I38" s="2"/>
      <c r="J38" s="104">
        <v>7815011</v>
      </c>
      <c r="K38" s="103">
        <v>662816</v>
      </c>
      <c r="L38" s="103">
        <v>-218500</v>
      </c>
      <c r="M38" s="103"/>
      <c r="N38" s="118">
        <f t="shared" ref="N38:N39" si="5">SUM(J38:M38)</f>
        <v>8259327</v>
      </c>
      <c r="O38" s="120"/>
    </row>
    <row r="39" spans="2:15">
      <c r="B39" s="2"/>
      <c r="C39" s="2" t="s">
        <v>123</v>
      </c>
      <c r="D39" s="2"/>
      <c r="E39" s="2"/>
      <c r="F39" s="2"/>
      <c r="G39" s="2"/>
      <c r="H39" s="2"/>
      <c r="I39" s="2"/>
      <c r="J39" s="104">
        <v>18721946</v>
      </c>
      <c r="K39" s="103">
        <v>1094021</v>
      </c>
      <c r="L39" s="103"/>
      <c r="M39" s="103"/>
      <c r="N39" s="118">
        <f t="shared" si="5"/>
        <v>19815967</v>
      </c>
      <c r="O39" s="120"/>
    </row>
    <row r="40" spans="2:15">
      <c r="B40" s="2"/>
      <c r="C40" s="2"/>
      <c r="D40" s="2"/>
      <c r="E40" s="2" t="s">
        <v>18</v>
      </c>
      <c r="F40" s="2"/>
      <c r="G40" s="2"/>
      <c r="H40" s="2"/>
      <c r="I40" s="2"/>
      <c r="J40" s="116">
        <f>SUM(J37:J39)</f>
        <v>30992535</v>
      </c>
      <c r="K40" s="116">
        <f>SUM(K37:K39)</f>
        <v>1756837</v>
      </c>
      <c r="L40" s="116">
        <f>SUM(L37:L39)</f>
        <v>-218500</v>
      </c>
      <c r="M40" s="116">
        <f>SUM(M37:M39)</f>
        <v>0</v>
      </c>
      <c r="N40" s="116">
        <f>SUM(N37:N39)</f>
        <v>32530872</v>
      </c>
      <c r="O40" s="120"/>
    </row>
    <row r="41" spans="2:15">
      <c r="B41" s="2"/>
      <c r="C41" s="2"/>
      <c r="D41" s="2"/>
      <c r="E41" s="2"/>
      <c r="F41" s="2"/>
      <c r="G41" s="2"/>
      <c r="H41" s="2"/>
      <c r="I41" s="2"/>
      <c r="J41" s="117"/>
      <c r="K41" s="117"/>
      <c r="L41" s="117"/>
      <c r="M41" s="117"/>
      <c r="N41" s="117"/>
      <c r="O41" s="120"/>
    </row>
    <row r="42" spans="2:15">
      <c r="B42" s="2" t="s">
        <v>398</v>
      </c>
      <c r="C42" s="2"/>
      <c r="D42" s="2"/>
      <c r="E42" s="2"/>
      <c r="F42" s="2"/>
      <c r="G42" s="2"/>
      <c r="H42" s="2"/>
      <c r="I42" s="2"/>
      <c r="J42" s="104"/>
      <c r="K42" s="103"/>
      <c r="L42" s="103"/>
      <c r="M42" s="103"/>
      <c r="N42" s="118"/>
      <c r="O42" s="120"/>
    </row>
    <row r="43" spans="2:15">
      <c r="B43" s="2"/>
      <c r="C43" s="2" t="s">
        <v>33</v>
      </c>
      <c r="D43" s="2"/>
      <c r="E43" s="2"/>
      <c r="F43" s="2"/>
      <c r="G43" s="2"/>
      <c r="H43" s="2"/>
      <c r="I43" s="2"/>
      <c r="J43" s="104">
        <v>-4312628</v>
      </c>
      <c r="K43" s="103">
        <v>-9000</v>
      </c>
      <c r="L43" s="103"/>
      <c r="M43" s="103"/>
      <c r="N43" s="118">
        <f>SUM(J43:M43)</f>
        <v>-4321628</v>
      </c>
      <c r="O43" s="120">
        <f>SUM(N43+N37)</f>
        <v>133950</v>
      </c>
    </row>
    <row r="44" spans="2:15">
      <c r="B44" s="2"/>
      <c r="C44" s="2" t="s">
        <v>34</v>
      </c>
      <c r="D44" s="2"/>
      <c r="E44" s="2"/>
      <c r="F44" s="2"/>
      <c r="G44" s="2"/>
      <c r="H44" s="2"/>
      <c r="I44" s="2"/>
      <c r="J44" s="104">
        <v>-5870594</v>
      </c>
      <c r="K44" s="103">
        <v>-681857</v>
      </c>
      <c r="L44" s="103">
        <v>160237</v>
      </c>
      <c r="M44" s="103"/>
      <c r="N44" s="118">
        <f t="shared" ref="N44:N45" si="6">SUM(J44:M44)</f>
        <v>-6392214</v>
      </c>
      <c r="O44" s="120">
        <f>SUM(N44+N38)</f>
        <v>1867113</v>
      </c>
    </row>
    <row r="45" spans="2:15">
      <c r="B45" s="2"/>
      <c r="C45" s="2" t="s">
        <v>123</v>
      </c>
      <c r="D45" s="2"/>
      <c r="E45" s="2"/>
      <c r="F45" s="2"/>
      <c r="G45" s="2"/>
      <c r="H45" s="2"/>
      <c r="I45" s="2"/>
      <c r="J45" s="104">
        <v>-3328039</v>
      </c>
      <c r="K45" s="103">
        <v>-489849</v>
      </c>
      <c r="L45" s="103"/>
      <c r="M45" s="103"/>
      <c r="N45" s="118">
        <f t="shared" si="6"/>
        <v>-3817888</v>
      </c>
      <c r="O45" s="120">
        <f>SUM(N45+N39)</f>
        <v>15998079</v>
      </c>
    </row>
    <row r="46" spans="2:15">
      <c r="B46" s="2"/>
      <c r="C46" s="2"/>
      <c r="D46" s="2" t="s">
        <v>20</v>
      </c>
      <c r="E46" s="2"/>
      <c r="F46" s="2"/>
      <c r="G46" s="2"/>
      <c r="H46" s="2"/>
      <c r="I46" s="2"/>
      <c r="J46" s="116">
        <f>SUM(J43:J45)</f>
        <v>-13511261</v>
      </c>
      <c r="K46" s="116">
        <f>SUM(K43:K45)</f>
        <v>-1180706</v>
      </c>
      <c r="L46" s="116">
        <f>SUM(L43:L45)</f>
        <v>160237</v>
      </c>
      <c r="M46" s="116">
        <v>0</v>
      </c>
      <c r="N46" s="116">
        <f>SUM(N43:N45)</f>
        <v>-14531730</v>
      </c>
      <c r="O46" s="115"/>
    </row>
    <row r="47" spans="2:15">
      <c r="B47" s="2"/>
      <c r="C47" s="2"/>
      <c r="D47" s="2" t="s">
        <v>471</v>
      </c>
      <c r="E47" s="2"/>
      <c r="F47" s="2"/>
      <c r="G47" s="2"/>
      <c r="H47" s="2"/>
      <c r="I47" s="2"/>
      <c r="J47" s="116">
        <f>SUM(J40+J46)</f>
        <v>17481274</v>
      </c>
      <c r="K47" s="116">
        <f>SUM(K40+K46)</f>
        <v>576131</v>
      </c>
      <c r="L47" s="116">
        <f>SUM(L40+L46)</f>
        <v>-58263</v>
      </c>
      <c r="M47" s="116">
        <f>SUM(M40+M46)</f>
        <v>0</v>
      </c>
      <c r="N47" s="116">
        <f>SUM(N40+N46)</f>
        <v>17999142</v>
      </c>
      <c r="O47" s="115"/>
    </row>
    <row r="48" spans="2:15">
      <c r="B48" s="2"/>
      <c r="C48" s="2"/>
      <c r="D48" s="2" t="s">
        <v>44</v>
      </c>
      <c r="E48" s="2"/>
      <c r="F48" s="2"/>
      <c r="G48" s="2"/>
      <c r="H48" s="2"/>
      <c r="I48" s="2"/>
      <c r="J48" s="116">
        <f>SUM(J34+J47)</f>
        <v>21333941</v>
      </c>
      <c r="K48" s="116">
        <f>SUM(K34+K47)</f>
        <v>681024</v>
      </c>
      <c r="L48" s="116">
        <f>SUM(L34+L47)</f>
        <v>-58263</v>
      </c>
      <c r="M48" s="116">
        <f>SUM(M34+M47)</f>
        <v>0</v>
      </c>
      <c r="N48" s="116">
        <f>SUM(N34+N47)</f>
        <v>21956702</v>
      </c>
      <c r="O48" s="121">
        <f>SUM(O31:O45)</f>
        <v>21956702</v>
      </c>
    </row>
    <row r="49" spans="10:15">
      <c r="J49" s="122"/>
      <c r="K49" s="122"/>
      <c r="L49" s="122"/>
      <c r="M49" s="122"/>
      <c r="N49" s="122"/>
      <c r="O49" s="115"/>
    </row>
  </sheetData>
  <mergeCells count="3">
    <mergeCell ref="E1:J1"/>
    <mergeCell ref="E2:J2"/>
    <mergeCell ref="E3:J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T95"/>
  <sheetViews>
    <sheetView topLeftCell="A61" zoomScale="78" zoomScaleNormal="78" zoomScalePageLayoutView="85" workbookViewId="0">
      <selection activeCell="T90" sqref="T90"/>
    </sheetView>
  </sheetViews>
  <sheetFormatPr defaultColWidth="8.85546875" defaultRowHeight="18.75"/>
  <cols>
    <col min="2" max="2" width="5.42578125" customWidth="1"/>
    <col min="3" max="3" width="4.7109375" customWidth="1"/>
    <col min="4" max="4" width="3.7109375" customWidth="1"/>
    <col min="9" max="9" width="17.42578125" customWidth="1"/>
    <col min="10" max="10" width="18.85546875" bestFit="1" customWidth="1"/>
    <col min="11" max="11" width="15.28515625" bestFit="1" customWidth="1"/>
    <col min="12" max="12" width="13.7109375" bestFit="1" customWidth="1"/>
    <col min="13" max="13" width="15.140625" bestFit="1" customWidth="1"/>
    <col min="14" max="14" width="18" customWidth="1"/>
    <col min="15" max="15" width="16.28515625" style="33" customWidth="1"/>
  </cols>
  <sheetData>
    <row r="1" spans="2:15">
      <c r="B1" s="2"/>
      <c r="C1" s="2"/>
      <c r="D1" s="2"/>
      <c r="E1" s="159" t="s">
        <v>470</v>
      </c>
      <c r="F1" s="159"/>
      <c r="G1" s="159"/>
      <c r="H1" s="159"/>
      <c r="I1" s="159"/>
      <c r="J1" s="159"/>
      <c r="K1" s="2"/>
      <c r="L1" s="2"/>
      <c r="M1" s="2"/>
      <c r="N1" s="2"/>
    </row>
    <row r="2" spans="2:15">
      <c r="B2" s="2"/>
      <c r="C2" s="2"/>
      <c r="D2" s="2"/>
      <c r="E2" s="159" t="s">
        <v>1</v>
      </c>
      <c r="F2" s="159"/>
      <c r="G2" s="159"/>
      <c r="H2" s="159"/>
      <c r="I2" s="159"/>
      <c r="J2" s="159"/>
      <c r="K2" s="2"/>
      <c r="L2" s="2"/>
      <c r="M2" s="2"/>
      <c r="N2" s="2"/>
    </row>
    <row r="3" spans="2:15">
      <c r="B3" s="2"/>
      <c r="C3" s="2"/>
      <c r="D3" s="2"/>
      <c r="E3" s="159" t="s">
        <v>2</v>
      </c>
      <c r="F3" s="159"/>
      <c r="G3" s="159"/>
      <c r="H3" s="159"/>
      <c r="I3" s="159"/>
      <c r="J3" s="159"/>
      <c r="K3" s="2"/>
      <c r="L3" s="2"/>
      <c r="M3" s="2"/>
      <c r="N3" s="2"/>
    </row>
    <row r="4" spans="2:15">
      <c r="B4" s="2"/>
      <c r="C4" s="2"/>
      <c r="D4" s="2"/>
      <c r="E4" s="151"/>
      <c r="F4" s="151"/>
      <c r="G4" s="151"/>
      <c r="H4" s="151"/>
      <c r="I4" s="151"/>
      <c r="J4" s="151"/>
      <c r="K4" s="2"/>
      <c r="L4" s="2"/>
      <c r="M4" s="2"/>
      <c r="N4" s="2"/>
    </row>
    <row r="5" spans="2:15" ht="37.5">
      <c r="B5" s="2"/>
      <c r="C5" s="2"/>
      <c r="D5" s="2"/>
      <c r="E5" s="2"/>
      <c r="F5" s="2"/>
      <c r="G5" s="2"/>
      <c r="H5" s="2"/>
      <c r="I5" s="2"/>
      <c r="J5" s="63" t="s">
        <v>3</v>
      </c>
      <c r="K5" s="63" t="s">
        <v>4</v>
      </c>
      <c r="L5" s="63" t="s">
        <v>5</v>
      </c>
      <c r="M5" s="63" t="s">
        <v>475</v>
      </c>
      <c r="N5" s="63" t="s">
        <v>6</v>
      </c>
      <c r="O5" s="63" t="s">
        <v>7</v>
      </c>
    </row>
    <row r="6" spans="2:15">
      <c r="B6" s="2"/>
      <c r="C6" s="2"/>
      <c r="D6" s="2"/>
      <c r="E6" s="2"/>
      <c r="F6" s="2"/>
      <c r="G6" s="2"/>
      <c r="H6" s="2"/>
      <c r="I6" s="2"/>
      <c r="J6" s="63"/>
      <c r="K6" s="63"/>
      <c r="L6" s="63"/>
      <c r="M6" s="63"/>
      <c r="N6" s="63"/>
      <c r="O6" s="63"/>
    </row>
    <row r="7" spans="2:15">
      <c r="B7" s="1" t="s">
        <v>51</v>
      </c>
      <c r="C7" s="2"/>
      <c r="D7" s="2"/>
      <c r="E7" s="2"/>
      <c r="F7" s="2"/>
      <c r="G7" s="2"/>
      <c r="H7" s="2"/>
      <c r="I7" s="2"/>
      <c r="J7" s="63"/>
      <c r="K7" s="63"/>
      <c r="L7" s="63"/>
      <c r="M7" s="63"/>
      <c r="N7" s="63"/>
      <c r="O7" s="63"/>
    </row>
    <row r="8" spans="2:15">
      <c r="B8" s="1" t="s">
        <v>313</v>
      </c>
      <c r="C8" s="2"/>
      <c r="D8" s="2"/>
      <c r="E8" s="2"/>
      <c r="F8" s="2"/>
      <c r="G8" s="2"/>
      <c r="H8" s="2"/>
      <c r="I8" s="2"/>
      <c r="J8" s="63"/>
      <c r="K8" s="63"/>
      <c r="L8" s="63"/>
      <c r="M8" s="63"/>
      <c r="N8" s="63"/>
      <c r="O8" s="63"/>
    </row>
    <row r="9" spans="2:15">
      <c r="B9" s="1" t="s">
        <v>9</v>
      </c>
      <c r="C9" s="1"/>
      <c r="D9" s="1"/>
      <c r="E9" s="1"/>
      <c r="F9" s="1"/>
      <c r="G9" s="1"/>
      <c r="H9" s="2"/>
      <c r="I9" s="2"/>
      <c r="J9" s="38"/>
      <c r="K9" s="38"/>
      <c r="L9" s="38"/>
      <c r="M9" s="38"/>
      <c r="N9" s="38"/>
    </row>
    <row r="10" spans="2:15">
      <c r="B10" s="2" t="s">
        <v>10</v>
      </c>
      <c r="C10" s="2"/>
      <c r="D10" s="2"/>
      <c r="E10" s="2"/>
      <c r="F10" s="2"/>
      <c r="G10" s="2"/>
      <c r="H10" s="2"/>
      <c r="I10" s="2"/>
      <c r="J10" s="38">
        <v>44520378</v>
      </c>
      <c r="K10" s="38">
        <v>3349577</v>
      </c>
      <c r="L10" s="38"/>
      <c r="M10" s="38">
        <v>12016</v>
      </c>
      <c r="N10" s="38">
        <f t="shared" ref="N10:N16" si="0">SUM(J10:M10)</f>
        <v>47881971</v>
      </c>
      <c r="O10" s="48">
        <f>N10</f>
        <v>47881971</v>
      </c>
    </row>
    <row r="11" spans="2:15">
      <c r="B11" s="2" t="s">
        <v>476</v>
      </c>
      <c r="C11" s="2"/>
      <c r="D11" s="2"/>
      <c r="E11" s="2"/>
      <c r="F11" s="2"/>
      <c r="G11" s="2"/>
      <c r="H11" s="2"/>
      <c r="I11" s="2"/>
      <c r="J11" s="38">
        <v>2362283</v>
      </c>
      <c r="K11" s="38"/>
      <c r="L11" s="38"/>
      <c r="M11" s="38">
        <v>40575</v>
      </c>
      <c r="N11" s="38">
        <f t="shared" si="0"/>
        <v>2402858</v>
      </c>
      <c r="O11" s="48">
        <f>N11</f>
        <v>2402858</v>
      </c>
    </row>
    <row r="12" spans="2:15">
      <c r="B12" s="2" t="s">
        <v>11</v>
      </c>
      <c r="C12" s="2"/>
      <c r="D12" s="2"/>
      <c r="E12" s="2"/>
      <c r="F12" s="2"/>
      <c r="G12" s="2"/>
      <c r="H12" s="2"/>
      <c r="I12" s="2"/>
      <c r="J12" s="38">
        <v>2179839</v>
      </c>
      <c r="K12" s="38">
        <v>2329926</v>
      </c>
      <c r="L12" s="38">
        <v>-2415</v>
      </c>
      <c r="M12" s="38">
        <v>-2548789</v>
      </c>
      <c r="N12" s="38">
        <f t="shared" si="0"/>
        <v>1958561</v>
      </c>
      <c r="O12" s="48">
        <f>N12</f>
        <v>1958561</v>
      </c>
    </row>
    <row r="13" spans="2:15">
      <c r="B13" s="2" t="s">
        <v>385</v>
      </c>
      <c r="C13" s="2"/>
      <c r="D13" s="2"/>
      <c r="E13" s="2"/>
      <c r="F13" s="2"/>
      <c r="G13" s="2"/>
      <c r="H13" s="2"/>
      <c r="I13" s="2"/>
      <c r="J13" s="38"/>
      <c r="K13" s="38"/>
      <c r="L13" s="38"/>
      <c r="M13" s="38"/>
      <c r="N13" s="38"/>
    </row>
    <row r="14" spans="2:15">
      <c r="B14" s="2"/>
      <c r="C14" s="2" t="s">
        <v>10</v>
      </c>
      <c r="D14" s="2"/>
      <c r="E14" s="2"/>
      <c r="F14" s="2"/>
      <c r="G14" s="2"/>
      <c r="H14" s="2"/>
      <c r="I14" s="2"/>
      <c r="J14" s="38">
        <v>21899120</v>
      </c>
      <c r="K14" s="38">
        <v>336584</v>
      </c>
      <c r="L14" s="38">
        <v>-1090561</v>
      </c>
      <c r="M14" s="38">
        <v>100921</v>
      </c>
      <c r="N14" s="38">
        <f t="shared" si="0"/>
        <v>21246064</v>
      </c>
      <c r="O14" s="48">
        <f>N14</f>
        <v>21246064</v>
      </c>
    </row>
    <row r="15" spans="2:15">
      <c r="B15" s="2"/>
      <c r="C15" s="2" t="s">
        <v>477</v>
      </c>
      <c r="D15" s="2"/>
      <c r="E15" s="2"/>
      <c r="F15" s="2"/>
      <c r="G15" s="2"/>
      <c r="H15" s="2"/>
      <c r="I15" s="2"/>
      <c r="J15" s="38">
        <v>19395315</v>
      </c>
      <c r="K15" s="38">
        <v>1805955</v>
      </c>
      <c r="L15" s="38">
        <v>-21488</v>
      </c>
      <c r="M15" s="38">
        <v>484857</v>
      </c>
      <c r="N15" s="38">
        <f t="shared" si="0"/>
        <v>21664639</v>
      </c>
      <c r="O15" s="48">
        <f>N15</f>
        <v>21664639</v>
      </c>
    </row>
    <row r="16" spans="2:15">
      <c r="B16" s="2"/>
      <c r="C16" s="2" t="s">
        <v>11</v>
      </c>
      <c r="D16" s="2"/>
      <c r="E16" s="2"/>
      <c r="F16" s="2"/>
      <c r="G16" s="2"/>
      <c r="H16" s="2"/>
      <c r="I16" s="2"/>
      <c r="J16" s="38">
        <v>24956579</v>
      </c>
      <c r="K16" s="38">
        <v>23405510</v>
      </c>
      <c r="L16" s="38">
        <v>-407874</v>
      </c>
      <c r="M16" s="38">
        <v>-31833687</v>
      </c>
      <c r="N16" s="38">
        <f t="shared" si="0"/>
        <v>16120528</v>
      </c>
      <c r="O16" s="85">
        <f>N16</f>
        <v>16120528</v>
      </c>
    </row>
    <row r="17" spans="2:15">
      <c r="B17" s="1"/>
      <c r="C17" s="1" t="s">
        <v>92</v>
      </c>
      <c r="D17" s="1"/>
      <c r="E17" s="1"/>
      <c r="F17" s="1"/>
      <c r="G17" s="1"/>
      <c r="H17" s="1"/>
      <c r="I17" s="1"/>
      <c r="J17" s="71">
        <f>SUM(J10:J16)</f>
        <v>115313514</v>
      </c>
      <c r="K17" s="71">
        <f t="shared" ref="K17:N17" si="1">SUM(K10:K16)</f>
        <v>31227552</v>
      </c>
      <c r="L17" s="71">
        <f t="shared" si="1"/>
        <v>-1522338</v>
      </c>
      <c r="M17" s="71">
        <f t="shared" si="1"/>
        <v>-33744107</v>
      </c>
      <c r="N17" s="71">
        <f t="shared" si="1"/>
        <v>111274621</v>
      </c>
      <c r="O17" s="48"/>
    </row>
    <row r="18" spans="2:15">
      <c r="B18" s="1" t="s">
        <v>216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5">
      <c r="B19" s="2" t="s">
        <v>217</v>
      </c>
      <c r="C19" s="2"/>
      <c r="D19" s="2"/>
      <c r="E19" s="2"/>
      <c r="F19" s="2"/>
      <c r="G19" s="2"/>
      <c r="H19" s="2"/>
      <c r="I19" s="2"/>
      <c r="J19" s="2">
        <v>4897831</v>
      </c>
      <c r="K19" s="2"/>
      <c r="L19" s="2"/>
      <c r="M19" s="2"/>
      <c r="N19" s="2">
        <f>SUM(J19:M19)</f>
        <v>4897831</v>
      </c>
    </row>
    <row r="20" spans="2:15">
      <c r="B20" s="2" t="s">
        <v>29</v>
      </c>
      <c r="C20" s="2"/>
      <c r="D20" s="2"/>
      <c r="E20" s="2"/>
      <c r="F20" s="2"/>
      <c r="G20" s="2"/>
      <c r="H20" s="2"/>
      <c r="I20" s="2"/>
      <c r="J20" s="2">
        <v>99215360</v>
      </c>
      <c r="K20" s="2">
        <v>19838172</v>
      </c>
      <c r="L20" s="2"/>
      <c r="M20" s="2">
        <v>1344826</v>
      </c>
      <c r="N20" s="2">
        <f>SUM(J20:M20)</f>
        <v>120398358</v>
      </c>
    </row>
    <row r="21" spans="2:15">
      <c r="B21" s="2" t="s">
        <v>478</v>
      </c>
      <c r="C21" s="2"/>
      <c r="D21" s="2"/>
      <c r="E21" s="2"/>
      <c r="F21" s="2"/>
      <c r="G21" s="2"/>
      <c r="H21" s="2"/>
      <c r="I21" s="2"/>
      <c r="J21" s="2">
        <v>5995184</v>
      </c>
      <c r="K21" s="2"/>
      <c r="L21" s="2"/>
      <c r="M21" s="2"/>
      <c r="N21" s="2">
        <f>SUM(J21:M21)</f>
        <v>5995184</v>
      </c>
    </row>
    <row r="22" spans="2:15">
      <c r="B22" s="2" t="s">
        <v>479</v>
      </c>
      <c r="C22" s="2"/>
      <c r="D22" s="2"/>
      <c r="E22" s="2"/>
      <c r="F22" s="2"/>
      <c r="G22" s="2"/>
      <c r="H22" s="2"/>
      <c r="I22" s="2"/>
      <c r="J22" s="2">
        <v>632317</v>
      </c>
      <c r="K22" s="38"/>
      <c r="L22" s="38"/>
      <c r="M22" s="38"/>
      <c r="N22" s="2">
        <f t="shared" ref="N22:N25" si="2">SUM(J22:M22)</f>
        <v>632317</v>
      </c>
    </row>
    <row r="23" spans="2:15">
      <c r="B23" s="2" t="s">
        <v>31</v>
      </c>
      <c r="C23" s="2"/>
      <c r="D23" s="2"/>
      <c r="E23" s="2"/>
      <c r="F23" s="2"/>
      <c r="G23" s="2"/>
      <c r="H23" s="2"/>
      <c r="I23" s="2"/>
      <c r="J23" s="2">
        <v>4052973</v>
      </c>
      <c r="K23" s="38">
        <v>655553</v>
      </c>
      <c r="L23" s="38">
        <v>-274264</v>
      </c>
      <c r="M23" s="38">
        <v>226664</v>
      </c>
      <c r="N23" s="2">
        <f t="shared" si="2"/>
        <v>4660926</v>
      </c>
    </row>
    <row r="24" spans="2:15">
      <c r="B24" s="2" t="s">
        <v>15</v>
      </c>
      <c r="C24" s="2"/>
      <c r="D24" s="2"/>
      <c r="E24" s="2"/>
      <c r="F24" s="2"/>
      <c r="G24" s="2"/>
      <c r="H24" s="2"/>
      <c r="I24" s="2"/>
      <c r="J24" s="2">
        <v>24515179</v>
      </c>
      <c r="K24" s="38">
        <v>1712976</v>
      </c>
      <c r="L24" s="38">
        <v>-437687</v>
      </c>
      <c r="M24" s="38">
        <v>17898</v>
      </c>
      <c r="N24" s="2">
        <f>SUM(J24:M24)</f>
        <v>25808366</v>
      </c>
    </row>
    <row r="25" spans="2:15">
      <c r="B25" s="2" t="s">
        <v>480</v>
      </c>
      <c r="C25" s="2"/>
      <c r="D25" s="2"/>
      <c r="E25" s="2"/>
      <c r="F25" s="2"/>
      <c r="G25" s="2"/>
      <c r="H25" s="2"/>
      <c r="I25" s="2"/>
      <c r="J25" s="2">
        <v>10956507</v>
      </c>
      <c r="K25" s="38">
        <v>2614158</v>
      </c>
      <c r="L25" s="38"/>
      <c r="M25" s="38">
        <v>1018324</v>
      </c>
      <c r="N25" s="2">
        <f t="shared" si="2"/>
        <v>14588989</v>
      </c>
    </row>
    <row r="26" spans="2:15">
      <c r="B26" s="2" t="s">
        <v>385</v>
      </c>
      <c r="C26" s="2"/>
      <c r="D26" s="2"/>
      <c r="E26" s="2"/>
      <c r="F26" s="2"/>
      <c r="G26" s="2"/>
      <c r="H26" s="2"/>
      <c r="I26" s="2"/>
      <c r="J26" s="2"/>
      <c r="K26" s="38"/>
      <c r="L26" s="38"/>
      <c r="M26" s="38"/>
      <c r="N26" s="2"/>
    </row>
    <row r="27" spans="2:15">
      <c r="B27" s="2"/>
      <c r="C27" s="2" t="s">
        <v>54</v>
      </c>
      <c r="D27" s="2"/>
      <c r="E27" s="2"/>
      <c r="F27" s="2"/>
      <c r="G27" s="2"/>
      <c r="H27" s="2"/>
      <c r="I27" s="2"/>
      <c r="J27" s="2">
        <v>280946958</v>
      </c>
      <c r="K27" s="38">
        <v>1211024</v>
      </c>
      <c r="L27" s="38">
        <v>-3811168</v>
      </c>
      <c r="M27" s="38">
        <v>24989139</v>
      </c>
      <c r="N27" s="2">
        <f>SUM(J27:M27)</f>
        <v>303335953</v>
      </c>
    </row>
    <row r="28" spans="2:15">
      <c r="B28" s="2"/>
      <c r="C28" s="2" t="s">
        <v>481</v>
      </c>
      <c r="D28" s="2"/>
      <c r="E28" s="2"/>
      <c r="F28" s="2"/>
      <c r="G28" s="2"/>
      <c r="H28" s="2"/>
      <c r="I28" s="2"/>
      <c r="J28" s="2">
        <v>38209199</v>
      </c>
      <c r="K28" s="38">
        <v>964093</v>
      </c>
      <c r="L28" s="38">
        <v>-1081475</v>
      </c>
      <c r="M28" s="38">
        <v>6083509</v>
      </c>
      <c r="N28" s="2">
        <f>SUM(J28:M28)</f>
        <v>44175326</v>
      </c>
    </row>
    <row r="29" spans="2:15">
      <c r="B29" s="1"/>
      <c r="C29" s="1"/>
      <c r="D29" s="1" t="s">
        <v>18</v>
      </c>
      <c r="E29" s="1"/>
      <c r="F29" s="1"/>
      <c r="G29" s="2"/>
      <c r="H29" s="2"/>
      <c r="I29" s="2"/>
      <c r="J29" s="68">
        <f>SUM(J19:J28)</f>
        <v>469421508</v>
      </c>
      <c r="K29" s="68">
        <f>SUM(K19:K28)</f>
        <v>26995976</v>
      </c>
      <c r="L29" s="68">
        <f>SUM(L19:L28)</f>
        <v>-5604594</v>
      </c>
      <c r="M29" s="68">
        <f>SUM(M19:M28)</f>
        <v>33680360</v>
      </c>
      <c r="N29" s="68">
        <f>SUM(N19:N28)</f>
        <v>524493250</v>
      </c>
    </row>
    <row r="30" spans="2:15">
      <c r="B30" s="1" t="s">
        <v>19</v>
      </c>
      <c r="C30" s="2"/>
      <c r="D30" s="2"/>
      <c r="E30" s="2"/>
      <c r="F30" s="2"/>
      <c r="G30" s="2"/>
      <c r="H30" s="2"/>
      <c r="I30" s="2"/>
      <c r="J30" s="2"/>
      <c r="K30" s="38"/>
      <c r="L30" s="38"/>
      <c r="M30" s="38"/>
      <c r="N30" s="38"/>
    </row>
    <row r="31" spans="2:15">
      <c r="B31" s="2" t="s">
        <v>217</v>
      </c>
      <c r="C31" s="2"/>
      <c r="D31" s="2"/>
      <c r="E31" s="2"/>
      <c r="F31" s="2"/>
      <c r="G31" s="2"/>
      <c r="H31" s="2"/>
      <c r="I31" s="2"/>
      <c r="J31" s="38">
        <v>-2058765</v>
      </c>
      <c r="K31" s="38">
        <v>-361628</v>
      </c>
      <c r="L31" s="38"/>
      <c r="M31" s="38"/>
      <c r="N31" s="38">
        <f t="shared" ref="N31:N37" si="3">SUM(J31:M31)</f>
        <v>-2420393</v>
      </c>
      <c r="O31" s="107">
        <f t="shared" ref="O31:O37" si="4">N19+N31</f>
        <v>2477438</v>
      </c>
    </row>
    <row r="32" spans="2:15">
      <c r="B32" s="2" t="s">
        <v>29</v>
      </c>
      <c r="C32" s="2"/>
      <c r="D32" s="2"/>
      <c r="E32" s="2"/>
      <c r="F32" s="2"/>
      <c r="G32" s="2"/>
      <c r="H32" s="2"/>
      <c r="I32" s="2"/>
      <c r="J32" s="38">
        <v>-28789552</v>
      </c>
      <c r="K32" s="38">
        <v>-3822455</v>
      </c>
      <c r="L32" s="38"/>
      <c r="M32" s="38"/>
      <c r="N32" s="38">
        <f t="shared" si="3"/>
        <v>-32612007</v>
      </c>
      <c r="O32" s="107">
        <f t="shared" si="4"/>
        <v>87786351</v>
      </c>
    </row>
    <row r="33" spans="1:20">
      <c r="B33" s="2" t="s">
        <v>478</v>
      </c>
      <c r="C33" s="2"/>
      <c r="D33" s="2"/>
      <c r="E33" s="2"/>
      <c r="F33" s="2"/>
      <c r="G33" s="2"/>
      <c r="H33" s="2"/>
      <c r="I33" s="2"/>
      <c r="J33" s="38">
        <v>-1349748</v>
      </c>
      <c r="K33" s="38">
        <v>-280797</v>
      </c>
      <c r="L33" s="38"/>
      <c r="M33" s="38"/>
      <c r="N33" s="38">
        <f t="shared" si="3"/>
        <v>-1630545</v>
      </c>
      <c r="O33" s="107">
        <f t="shared" si="4"/>
        <v>4364639</v>
      </c>
    </row>
    <row r="34" spans="1:20">
      <c r="B34" s="2" t="s">
        <v>479</v>
      </c>
      <c r="C34" s="2"/>
      <c r="D34" s="2"/>
      <c r="E34" s="2"/>
      <c r="F34" s="2"/>
      <c r="G34" s="2"/>
      <c r="H34" s="2"/>
      <c r="I34" s="2"/>
      <c r="J34" s="38">
        <v>-152944</v>
      </c>
      <c r="K34" s="38">
        <v>-25292</v>
      </c>
      <c r="L34" s="38"/>
      <c r="M34" s="38"/>
      <c r="N34" s="38">
        <f t="shared" si="3"/>
        <v>-178236</v>
      </c>
      <c r="O34" s="107">
        <f t="shared" si="4"/>
        <v>454081</v>
      </c>
    </row>
    <row r="35" spans="1:20">
      <c r="B35" s="2" t="s">
        <v>31</v>
      </c>
      <c r="C35" s="2"/>
      <c r="D35" s="2"/>
      <c r="E35" s="2"/>
      <c r="F35" s="2"/>
      <c r="G35" s="2"/>
      <c r="H35" s="2"/>
      <c r="I35" s="2"/>
      <c r="J35" s="38">
        <v>-3696824</v>
      </c>
      <c r="K35" s="38">
        <v>-159929</v>
      </c>
      <c r="L35" s="38">
        <v>274264</v>
      </c>
      <c r="M35" s="38">
        <v>-220024</v>
      </c>
      <c r="N35" s="38">
        <f t="shared" si="3"/>
        <v>-3802513</v>
      </c>
      <c r="O35" s="107">
        <f t="shared" si="4"/>
        <v>858413</v>
      </c>
    </row>
    <row r="36" spans="1:20">
      <c r="B36" s="2" t="s">
        <v>15</v>
      </c>
      <c r="C36" s="2"/>
      <c r="D36" s="2"/>
      <c r="E36" s="2"/>
      <c r="F36" s="2"/>
      <c r="G36" s="2"/>
      <c r="H36" s="2"/>
      <c r="I36" s="2"/>
      <c r="J36" s="38">
        <v>-19772533</v>
      </c>
      <c r="K36" s="38">
        <v>-1142044</v>
      </c>
      <c r="L36" s="38">
        <v>437687</v>
      </c>
      <c r="M36" s="38">
        <v>-7418</v>
      </c>
      <c r="N36" s="38">
        <f t="shared" si="3"/>
        <v>-20484308</v>
      </c>
      <c r="O36" s="107">
        <f t="shared" si="4"/>
        <v>5324058</v>
      </c>
    </row>
    <row r="37" spans="1:20">
      <c r="B37" s="2" t="s">
        <v>480</v>
      </c>
      <c r="C37" s="2"/>
      <c r="D37" s="2"/>
      <c r="E37" s="2"/>
      <c r="F37" s="2"/>
      <c r="G37" s="2"/>
      <c r="H37" s="2"/>
      <c r="I37" s="2"/>
      <c r="J37" s="38">
        <v>-8015601</v>
      </c>
      <c r="K37" s="38">
        <v>-988533</v>
      </c>
      <c r="L37" s="38"/>
      <c r="M37" s="38">
        <v>-768121</v>
      </c>
      <c r="N37" s="38">
        <f t="shared" si="3"/>
        <v>-9772255</v>
      </c>
      <c r="O37" s="107">
        <f t="shared" si="4"/>
        <v>4816734</v>
      </c>
    </row>
    <row r="38" spans="1:20">
      <c r="B38" s="2" t="s">
        <v>385</v>
      </c>
      <c r="C38" s="2"/>
      <c r="D38" s="2"/>
      <c r="E38" s="2"/>
      <c r="F38" s="2"/>
      <c r="G38" s="2"/>
      <c r="H38" s="2"/>
      <c r="I38" s="2"/>
      <c r="J38" s="38"/>
      <c r="K38" s="38"/>
      <c r="L38" s="38"/>
      <c r="M38" s="38"/>
      <c r="N38" s="38"/>
    </row>
    <row r="39" spans="1:20">
      <c r="B39" s="2"/>
      <c r="C39" s="2" t="s">
        <v>98</v>
      </c>
      <c r="D39" s="2"/>
      <c r="E39" s="2"/>
      <c r="F39" s="2"/>
      <c r="G39" s="2"/>
      <c r="H39" s="2"/>
      <c r="I39" s="2"/>
      <c r="J39" s="38">
        <v>-106024698</v>
      </c>
      <c r="K39" s="38">
        <v>-10769355</v>
      </c>
      <c r="L39" s="38">
        <v>2514078</v>
      </c>
      <c r="M39" s="38"/>
      <c r="N39" s="38">
        <f>SUM(J39:M39)</f>
        <v>-114279975</v>
      </c>
      <c r="O39" s="48">
        <f>N27+N39</f>
        <v>189055978</v>
      </c>
    </row>
    <row r="40" spans="1:20">
      <c r="B40" s="2"/>
      <c r="C40" s="2" t="s">
        <v>481</v>
      </c>
      <c r="D40" s="2"/>
      <c r="E40" s="2"/>
      <c r="F40" s="2"/>
      <c r="G40" s="2"/>
      <c r="H40" s="2"/>
      <c r="I40" s="2"/>
      <c r="J40" s="38">
        <v>-6188350</v>
      </c>
      <c r="K40" s="38">
        <v>-1492935</v>
      </c>
      <c r="L40" s="38">
        <v>47150</v>
      </c>
      <c r="M40" s="38"/>
      <c r="N40" s="38">
        <f>SUM(J40:M40)</f>
        <v>-7634135</v>
      </c>
      <c r="O40" s="85">
        <f>N28+N40</f>
        <v>36541191</v>
      </c>
    </row>
    <row r="41" spans="1:20">
      <c r="B41" s="1"/>
      <c r="C41" s="1"/>
      <c r="D41" s="1" t="s">
        <v>20</v>
      </c>
      <c r="E41" s="1"/>
      <c r="F41" s="2"/>
      <c r="G41" s="2"/>
      <c r="H41" s="2"/>
      <c r="I41" s="2"/>
      <c r="J41" s="68">
        <f>SUM(J31:J40)</f>
        <v>-176049015</v>
      </c>
      <c r="K41" s="68">
        <f>SUM(K31:K40)</f>
        <v>-19042968</v>
      </c>
      <c r="L41" s="68">
        <f>SUM(L31:L40)</f>
        <v>3273179</v>
      </c>
      <c r="M41" s="68">
        <f>SUM(M31:M40)</f>
        <v>-995563</v>
      </c>
      <c r="N41" s="68">
        <f>SUM(N31:N40)</f>
        <v>-192814367</v>
      </c>
      <c r="O41" s="48"/>
    </row>
    <row r="42" spans="1:20">
      <c r="B42" s="1" t="s">
        <v>21</v>
      </c>
      <c r="C42" s="1"/>
      <c r="D42" s="1"/>
      <c r="E42" s="1"/>
      <c r="F42" s="2"/>
      <c r="G42" s="2"/>
      <c r="H42" s="2"/>
      <c r="I42" s="2"/>
      <c r="J42" s="68">
        <f>SUM(J29+J41)</f>
        <v>293372493</v>
      </c>
      <c r="K42" s="68">
        <f t="shared" ref="K42:M42" si="5">SUM(K29+K41)</f>
        <v>7953008</v>
      </c>
      <c r="L42" s="68">
        <f t="shared" si="5"/>
        <v>-2331415</v>
      </c>
      <c r="M42" s="68">
        <f t="shared" si="5"/>
        <v>32684797</v>
      </c>
      <c r="N42" s="68">
        <f>SUM(N29+N41)</f>
        <v>331678883</v>
      </c>
      <c r="O42" s="48"/>
    </row>
    <row r="43" spans="1:20">
      <c r="B43" s="1"/>
      <c r="C43" s="1"/>
      <c r="D43" s="1"/>
      <c r="E43" s="1"/>
      <c r="F43" s="2"/>
      <c r="G43" s="2"/>
      <c r="H43" s="2"/>
      <c r="I43" s="2"/>
      <c r="J43" s="76"/>
      <c r="K43" s="76"/>
      <c r="L43" s="76"/>
      <c r="M43" s="76"/>
      <c r="N43" s="76"/>
    </row>
    <row r="44" spans="1:20">
      <c r="A44" s="49" t="s">
        <v>482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P44" s="33"/>
      <c r="Q44" s="33"/>
      <c r="R44" s="33"/>
      <c r="S44" s="33"/>
      <c r="T44" s="33"/>
    </row>
    <row r="45" spans="1:20">
      <c r="B45" s="1" t="s">
        <v>9</v>
      </c>
      <c r="C45" s="1"/>
      <c r="D45" s="1"/>
      <c r="E45" s="1"/>
      <c r="F45" s="1"/>
      <c r="G45" s="1"/>
      <c r="H45" s="2"/>
      <c r="I45" s="2"/>
      <c r="J45" s="38"/>
      <c r="K45" s="38"/>
      <c r="L45" s="38"/>
      <c r="M45" s="38"/>
      <c r="N45" s="38"/>
    </row>
    <row r="46" spans="1:20">
      <c r="B46" s="2" t="s">
        <v>10</v>
      </c>
      <c r="C46" s="2"/>
      <c r="D46" s="2"/>
      <c r="E46" s="2"/>
      <c r="F46" s="2"/>
      <c r="G46" s="2"/>
      <c r="H46" s="2"/>
      <c r="I46" s="2"/>
      <c r="J46" s="38">
        <v>1718617</v>
      </c>
      <c r="K46" s="38"/>
      <c r="L46" s="38"/>
      <c r="M46" s="38"/>
      <c r="N46" s="38">
        <f>SUM(J46:M46)</f>
        <v>1718617</v>
      </c>
      <c r="O46" s="48">
        <f>N46</f>
        <v>1718617</v>
      </c>
    </row>
    <row r="47" spans="1:20">
      <c r="B47" s="1"/>
      <c r="C47" s="1" t="s">
        <v>92</v>
      </c>
      <c r="D47" s="1"/>
      <c r="E47" s="1"/>
      <c r="F47" s="1"/>
      <c r="G47" s="1"/>
      <c r="H47" s="1"/>
      <c r="I47" s="1"/>
      <c r="J47" s="71">
        <f>SUM(J46:J46)</f>
        <v>1718617</v>
      </c>
      <c r="K47" s="71">
        <f>SUM(K46:K46)</f>
        <v>0</v>
      </c>
      <c r="L47" s="71">
        <v>0</v>
      </c>
      <c r="M47" s="71">
        <f>SUM(M46:M46)</f>
        <v>0</v>
      </c>
      <c r="N47" s="71">
        <f>SUM(J47:M47)</f>
        <v>1718617</v>
      </c>
    </row>
    <row r="48" spans="1:20">
      <c r="B48" s="1" t="s">
        <v>216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5">
      <c r="B49" s="2" t="s">
        <v>217</v>
      </c>
      <c r="C49" s="2"/>
      <c r="D49" s="2"/>
      <c r="E49" s="2"/>
      <c r="F49" s="2"/>
      <c r="G49" s="2"/>
      <c r="H49" s="2"/>
      <c r="I49" s="2"/>
      <c r="J49" s="2">
        <v>455413</v>
      </c>
      <c r="K49" s="2"/>
      <c r="L49" s="2"/>
      <c r="M49" s="2"/>
      <c r="N49" s="2">
        <f t="shared" ref="N49:N54" si="6">SUM(J49:M49)</f>
        <v>455413</v>
      </c>
    </row>
    <row r="50" spans="2:15">
      <c r="B50" s="2" t="s">
        <v>29</v>
      </c>
      <c r="C50" s="2"/>
      <c r="D50" s="2"/>
      <c r="E50" s="2"/>
      <c r="F50" s="2"/>
      <c r="G50" s="2"/>
      <c r="H50" s="2"/>
      <c r="I50" s="2"/>
      <c r="J50" s="2">
        <v>23637722</v>
      </c>
      <c r="K50" s="2"/>
      <c r="L50" s="2"/>
      <c r="M50" s="2"/>
      <c r="N50" s="2">
        <f t="shared" si="6"/>
        <v>23637722</v>
      </c>
    </row>
    <row r="51" spans="2:15">
      <c r="B51" s="2" t="s">
        <v>483</v>
      </c>
      <c r="C51" s="2"/>
      <c r="D51" s="2"/>
      <c r="E51" s="2"/>
      <c r="F51" s="2"/>
      <c r="G51" s="2"/>
      <c r="H51" s="2"/>
      <c r="I51" s="2"/>
      <c r="J51" s="2">
        <v>5881376</v>
      </c>
      <c r="K51" s="2"/>
      <c r="L51" s="2"/>
      <c r="M51" s="2">
        <v>1169570</v>
      </c>
      <c r="N51" s="2">
        <f t="shared" si="6"/>
        <v>7050946</v>
      </c>
    </row>
    <row r="52" spans="2:15">
      <c r="B52" s="2" t="s">
        <v>31</v>
      </c>
      <c r="C52" s="2"/>
      <c r="D52" s="2"/>
      <c r="E52" s="2"/>
      <c r="F52" s="2"/>
      <c r="G52" s="2"/>
      <c r="H52" s="2"/>
      <c r="I52" s="2"/>
      <c r="J52" s="2">
        <v>226664</v>
      </c>
      <c r="K52" s="2"/>
      <c r="L52" s="2"/>
      <c r="M52" s="2">
        <v>-226664</v>
      </c>
      <c r="N52" s="2">
        <f t="shared" si="6"/>
        <v>0</v>
      </c>
    </row>
    <row r="53" spans="2:15">
      <c r="B53" s="2" t="s">
        <v>15</v>
      </c>
      <c r="C53" s="2"/>
      <c r="D53" s="2"/>
      <c r="E53" s="2"/>
      <c r="F53" s="2"/>
      <c r="G53" s="2"/>
      <c r="H53" s="2"/>
      <c r="I53" s="2"/>
      <c r="J53" s="2">
        <v>9999</v>
      </c>
      <c r="K53" s="38">
        <v>7899</v>
      </c>
      <c r="L53" s="38"/>
      <c r="M53" s="38">
        <v>-17898</v>
      </c>
      <c r="N53" s="2">
        <f t="shared" si="6"/>
        <v>0</v>
      </c>
    </row>
    <row r="54" spans="2:15">
      <c r="B54" s="2" t="s">
        <v>480</v>
      </c>
      <c r="C54" s="2"/>
      <c r="D54" s="2"/>
      <c r="E54" s="2"/>
      <c r="F54" s="2"/>
      <c r="G54" s="2"/>
      <c r="H54" s="2"/>
      <c r="I54" s="2"/>
      <c r="J54" s="2">
        <v>2220206</v>
      </c>
      <c r="K54" s="38">
        <v>216050</v>
      </c>
      <c r="L54" s="38"/>
      <c r="M54" s="38">
        <v>-983931</v>
      </c>
      <c r="N54" s="2">
        <f t="shared" si="6"/>
        <v>1452325</v>
      </c>
    </row>
    <row r="55" spans="2:15">
      <c r="B55" s="1"/>
      <c r="C55" s="1"/>
      <c r="D55" s="1" t="s">
        <v>18</v>
      </c>
      <c r="E55" s="1"/>
      <c r="F55" s="1"/>
      <c r="G55" s="2"/>
      <c r="H55" s="2"/>
      <c r="I55" s="2"/>
      <c r="J55" s="68">
        <f>SUM(J49:J54)</f>
        <v>32431380</v>
      </c>
      <c r="K55" s="68">
        <f>SUM(K49:K54)</f>
        <v>223949</v>
      </c>
      <c r="L55" s="68">
        <f>SUM(L49:L54)</f>
        <v>0</v>
      </c>
      <c r="M55" s="68">
        <f>SUM(M49:M54)</f>
        <v>-58923</v>
      </c>
      <c r="N55" s="68">
        <f>SUM(N49:N54)</f>
        <v>32596406</v>
      </c>
    </row>
    <row r="56" spans="2:15">
      <c r="B56" s="1" t="s">
        <v>19</v>
      </c>
      <c r="C56" s="2"/>
      <c r="D56" s="2"/>
      <c r="E56" s="2"/>
      <c r="F56" s="2"/>
      <c r="G56" s="2"/>
      <c r="H56" s="2"/>
      <c r="I56" s="2"/>
      <c r="J56" s="2"/>
      <c r="K56" s="38"/>
      <c r="L56" s="38"/>
      <c r="M56" s="38"/>
      <c r="N56" s="38"/>
    </row>
    <row r="57" spans="2:15">
      <c r="B57" s="2" t="s">
        <v>217</v>
      </c>
      <c r="C57" s="2"/>
      <c r="D57" s="2"/>
      <c r="E57" s="2"/>
      <c r="F57" s="2"/>
      <c r="G57" s="2"/>
      <c r="H57" s="2"/>
      <c r="I57" s="2"/>
      <c r="J57" s="38">
        <v>-190843</v>
      </c>
      <c r="K57" s="38">
        <v>-22771</v>
      </c>
      <c r="L57" s="38"/>
      <c r="M57" s="38"/>
      <c r="N57" s="38">
        <f t="shared" ref="N57:N62" si="7">SUM(J57:M57)</f>
        <v>-213614</v>
      </c>
      <c r="O57" s="48">
        <f t="shared" ref="O57:O62" si="8">N49+N57</f>
        <v>241799</v>
      </c>
    </row>
    <row r="58" spans="2:15">
      <c r="B58" s="2" t="s">
        <v>29</v>
      </c>
      <c r="C58" s="2"/>
      <c r="D58" s="2"/>
      <c r="E58" s="2"/>
      <c r="F58" s="2"/>
      <c r="G58" s="2"/>
      <c r="H58" s="2"/>
      <c r="I58" s="2"/>
      <c r="J58" s="38">
        <v>-8355165</v>
      </c>
      <c r="K58" s="38">
        <v>-577766</v>
      </c>
      <c r="L58" s="38"/>
      <c r="M58" s="38"/>
      <c r="N58" s="38">
        <f t="shared" si="7"/>
        <v>-8932931</v>
      </c>
      <c r="O58" s="48">
        <f t="shared" si="8"/>
        <v>14704791</v>
      </c>
    </row>
    <row r="59" spans="2:15">
      <c r="B59" s="2" t="s">
        <v>483</v>
      </c>
      <c r="C59" s="2"/>
      <c r="D59" s="2"/>
      <c r="E59" s="2"/>
      <c r="F59" s="2"/>
      <c r="G59" s="2"/>
      <c r="H59" s="2"/>
      <c r="I59" s="2"/>
      <c r="J59" s="38">
        <v>-1764712</v>
      </c>
      <c r="K59" s="38">
        <v>-305736</v>
      </c>
      <c r="L59" s="38"/>
      <c r="M59" s="38"/>
      <c r="N59" s="38">
        <f t="shared" si="7"/>
        <v>-2070448</v>
      </c>
      <c r="O59" s="48">
        <f t="shared" si="8"/>
        <v>4980498</v>
      </c>
    </row>
    <row r="60" spans="2:15">
      <c r="B60" s="2" t="s">
        <v>31</v>
      </c>
      <c r="C60" s="2"/>
      <c r="D60" s="2"/>
      <c r="E60" s="2"/>
      <c r="F60" s="2"/>
      <c r="G60" s="2"/>
      <c r="H60" s="2"/>
      <c r="I60" s="2"/>
      <c r="J60" s="38">
        <v>-201342</v>
      </c>
      <c r="K60" s="38">
        <v>-18681</v>
      </c>
      <c r="L60" s="38"/>
      <c r="M60" s="38">
        <v>220023</v>
      </c>
      <c r="N60" s="38">
        <f t="shared" si="7"/>
        <v>0</v>
      </c>
      <c r="O60" s="48">
        <f t="shared" si="8"/>
        <v>0</v>
      </c>
    </row>
    <row r="61" spans="2:15">
      <c r="B61" s="2" t="s">
        <v>15</v>
      </c>
      <c r="C61" s="2"/>
      <c r="D61" s="2"/>
      <c r="E61" s="2"/>
      <c r="F61" s="2"/>
      <c r="G61" s="2"/>
      <c r="H61" s="2"/>
      <c r="I61" s="2"/>
      <c r="J61" s="38">
        <v>-5238</v>
      </c>
      <c r="K61" s="38">
        <v>-2181</v>
      </c>
      <c r="L61" s="38"/>
      <c r="M61" s="38">
        <v>7419</v>
      </c>
      <c r="N61" s="38">
        <f t="shared" si="7"/>
        <v>0</v>
      </c>
      <c r="O61" s="48">
        <f t="shared" si="8"/>
        <v>0</v>
      </c>
    </row>
    <row r="62" spans="2:15">
      <c r="B62" s="2" t="s">
        <v>484</v>
      </c>
      <c r="C62" s="2"/>
      <c r="D62" s="2"/>
      <c r="E62" s="2"/>
      <c r="F62" s="2"/>
      <c r="G62" s="2"/>
      <c r="H62" s="2"/>
      <c r="I62" s="2"/>
      <c r="J62" s="65">
        <v>-1228849</v>
      </c>
      <c r="K62" s="65">
        <v>-241713</v>
      </c>
      <c r="L62" s="65"/>
      <c r="M62" s="65">
        <v>768121</v>
      </c>
      <c r="N62" s="65">
        <f t="shared" si="7"/>
        <v>-702441</v>
      </c>
      <c r="O62" s="48">
        <f t="shared" si="8"/>
        <v>749884</v>
      </c>
    </row>
    <row r="63" spans="2:15">
      <c r="C63" s="2" t="s">
        <v>485</v>
      </c>
      <c r="E63" s="2"/>
      <c r="F63" s="2"/>
      <c r="G63" s="2"/>
      <c r="H63" s="2"/>
      <c r="I63" s="2"/>
      <c r="J63" s="65">
        <f>SUM(J57:J62)</f>
        <v>-11746149</v>
      </c>
      <c r="K63" s="65">
        <f t="shared" ref="K63:N63" si="9">SUM(K57:K62)</f>
        <v>-1168848</v>
      </c>
      <c r="L63" s="65">
        <f t="shared" si="9"/>
        <v>0</v>
      </c>
      <c r="M63" s="65">
        <f t="shared" si="9"/>
        <v>995563</v>
      </c>
      <c r="N63" s="65">
        <f t="shared" si="9"/>
        <v>-11919434</v>
      </c>
      <c r="O63" s="48"/>
    </row>
    <row r="64" spans="2:15">
      <c r="C64" s="2"/>
      <c r="D64" s="1" t="s">
        <v>21</v>
      </c>
      <c r="E64" s="2"/>
      <c r="F64" s="2"/>
      <c r="G64" s="2"/>
      <c r="H64" s="2"/>
      <c r="I64" s="2"/>
      <c r="J64" s="38">
        <f>SUM(J55+J63)</f>
        <v>20685231</v>
      </c>
      <c r="K64" s="38">
        <f t="shared" ref="K64:N64" si="10">SUM(K55+K63)</f>
        <v>-944899</v>
      </c>
      <c r="L64" s="38">
        <f t="shared" si="10"/>
        <v>0</v>
      </c>
      <c r="M64" s="38">
        <f t="shared" si="10"/>
        <v>936640</v>
      </c>
      <c r="N64" s="38">
        <f t="shared" si="10"/>
        <v>20676972</v>
      </c>
      <c r="O64" s="48"/>
    </row>
    <row r="65" spans="1:15">
      <c r="C65" s="2"/>
      <c r="D65" s="1" t="s">
        <v>486</v>
      </c>
      <c r="E65" s="2"/>
      <c r="F65" s="2"/>
      <c r="G65" s="2"/>
      <c r="H65" s="2"/>
      <c r="I65" s="2"/>
      <c r="J65" s="38">
        <f>SUM(J47+J55+J63)</f>
        <v>22403848</v>
      </c>
      <c r="K65" s="38">
        <f t="shared" ref="K65:N65" si="11">SUM(K47+K55+K63)</f>
        <v>-944899</v>
      </c>
      <c r="L65" s="38">
        <f t="shared" si="11"/>
        <v>0</v>
      </c>
      <c r="M65" s="38">
        <f t="shared" si="11"/>
        <v>936640</v>
      </c>
      <c r="N65" s="38">
        <f t="shared" si="11"/>
        <v>22395589</v>
      </c>
      <c r="O65" s="48"/>
    </row>
    <row r="66" spans="1:15">
      <c r="C66" s="2"/>
      <c r="D66" s="1" t="s">
        <v>487</v>
      </c>
      <c r="E66" s="2"/>
      <c r="F66" s="2"/>
      <c r="G66" s="2"/>
      <c r="H66" s="2"/>
      <c r="I66" s="2"/>
      <c r="J66" s="38">
        <f>SUM(J17+J29+J41+J47+J55+J63)</f>
        <v>431089855</v>
      </c>
      <c r="K66" s="38">
        <f t="shared" ref="K66:N66" si="12">SUM(K17+K29+K41+K47+K55+K63)</f>
        <v>38235661</v>
      </c>
      <c r="L66" s="38">
        <f t="shared" si="12"/>
        <v>-3853753</v>
      </c>
      <c r="M66" s="38">
        <f t="shared" si="12"/>
        <v>-122670</v>
      </c>
      <c r="N66" s="38">
        <f t="shared" si="12"/>
        <v>465349093</v>
      </c>
      <c r="O66" s="48">
        <f>SUM(O10:O62)</f>
        <v>465349093</v>
      </c>
    </row>
    <row r="67" spans="1:15">
      <c r="B67" s="2"/>
      <c r="C67" s="2"/>
      <c r="D67" s="2"/>
      <c r="E67" s="2"/>
      <c r="F67" s="2"/>
      <c r="G67" s="2"/>
      <c r="H67" s="2"/>
      <c r="I67" s="2"/>
      <c r="J67" s="38"/>
      <c r="K67" s="38"/>
      <c r="L67" s="38"/>
      <c r="M67" s="38"/>
      <c r="N67" s="38"/>
      <c r="O67" s="48"/>
    </row>
    <row r="68" spans="1:15">
      <c r="A68" s="49" t="s">
        <v>473</v>
      </c>
      <c r="B68" s="2"/>
      <c r="C68" s="2"/>
      <c r="D68" s="2"/>
      <c r="E68" s="2"/>
      <c r="F68" s="2"/>
      <c r="G68" s="2"/>
      <c r="H68" s="2"/>
      <c r="I68" s="2"/>
      <c r="J68" s="38"/>
      <c r="K68" s="38"/>
      <c r="L68" s="38"/>
      <c r="M68" s="38"/>
      <c r="N68" s="38"/>
      <c r="O68" s="48"/>
    </row>
    <row r="69" spans="1:15">
      <c r="B69" s="2" t="s">
        <v>382</v>
      </c>
      <c r="C69" s="2"/>
      <c r="D69" s="2"/>
      <c r="E69" s="2"/>
      <c r="F69" s="2"/>
      <c r="G69" s="2"/>
      <c r="H69" s="2"/>
      <c r="I69" s="2"/>
      <c r="J69" s="38"/>
      <c r="K69" s="38"/>
      <c r="L69" s="38"/>
      <c r="M69" s="38"/>
      <c r="N69" s="38"/>
      <c r="O69" s="48"/>
    </row>
    <row r="70" spans="1:15">
      <c r="B70" s="2"/>
      <c r="C70" s="2" t="s">
        <v>10</v>
      </c>
      <c r="D70" s="2"/>
      <c r="E70" s="2"/>
      <c r="F70" s="2"/>
      <c r="G70" s="2"/>
      <c r="H70" s="2"/>
      <c r="I70" s="2"/>
      <c r="J70" s="38">
        <v>575567</v>
      </c>
      <c r="K70" s="38"/>
      <c r="L70" s="38"/>
      <c r="M70" s="38">
        <v>1993</v>
      </c>
      <c r="N70" s="38">
        <f>SUM(J70:M70)</f>
        <v>577560</v>
      </c>
      <c r="O70" s="48">
        <f>N70</f>
        <v>577560</v>
      </c>
    </row>
    <row r="71" spans="1:15">
      <c r="B71" s="2"/>
      <c r="C71" s="2" t="s">
        <v>397</v>
      </c>
      <c r="D71" s="2"/>
      <c r="E71" s="2"/>
      <c r="F71" s="2"/>
      <c r="G71" s="2"/>
      <c r="H71" s="2"/>
      <c r="I71" s="2"/>
      <c r="J71" s="65">
        <v>1129272</v>
      </c>
      <c r="K71" s="65">
        <v>211772</v>
      </c>
      <c r="L71" s="65"/>
      <c r="M71" s="65">
        <v>-671207</v>
      </c>
      <c r="N71" s="65">
        <f>SUM(J71:M71)</f>
        <v>669837</v>
      </c>
      <c r="O71" s="48">
        <f>N71</f>
        <v>669837</v>
      </c>
    </row>
    <row r="72" spans="1:15">
      <c r="B72" s="2"/>
      <c r="C72" s="1" t="s">
        <v>92</v>
      </c>
      <c r="D72" s="2"/>
      <c r="E72" s="2"/>
      <c r="F72" s="2"/>
      <c r="G72" s="2"/>
      <c r="H72" s="2"/>
      <c r="I72" s="2"/>
      <c r="J72" s="65">
        <f>SUM(J70:J71)</f>
        <v>1704839</v>
      </c>
      <c r="K72" s="65">
        <f t="shared" ref="K72:N72" si="13">SUM(K70:K71)</f>
        <v>211772</v>
      </c>
      <c r="L72" s="65">
        <f t="shared" si="13"/>
        <v>0</v>
      </c>
      <c r="M72" s="65">
        <f t="shared" si="13"/>
        <v>-669214</v>
      </c>
      <c r="N72" s="65">
        <f t="shared" si="13"/>
        <v>1247397</v>
      </c>
      <c r="O72" s="48"/>
    </row>
    <row r="73" spans="1:15">
      <c r="B73" s="2" t="s">
        <v>384</v>
      </c>
      <c r="C73" s="2"/>
      <c r="D73" s="2"/>
      <c r="E73" s="2"/>
      <c r="F73" s="2"/>
      <c r="G73" s="2"/>
      <c r="H73" s="2"/>
      <c r="I73" s="2"/>
      <c r="J73" s="38"/>
      <c r="K73" s="38"/>
      <c r="L73" s="38"/>
      <c r="M73" s="38"/>
      <c r="N73" s="38"/>
      <c r="O73" s="48"/>
    </row>
    <row r="74" spans="1:15">
      <c r="B74" s="2"/>
      <c r="C74" s="2" t="s">
        <v>488</v>
      </c>
      <c r="D74" s="2"/>
      <c r="E74" s="2"/>
      <c r="F74" s="2"/>
      <c r="G74" s="2"/>
      <c r="H74" s="2"/>
      <c r="I74" s="2"/>
      <c r="J74" s="38">
        <v>50707</v>
      </c>
      <c r="K74" s="38"/>
      <c r="L74" s="38"/>
      <c r="M74" s="38"/>
      <c r="N74" s="38">
        <f>SUM(J74:M74)</f>
        <v>50707</v>
      </c>
      <c r="O74" s="48"/>
    </row>
    <row r="75" spans="1:15">
      <c r="B75" s="2"/>
      <c r="C75" s="2" t="s">
        <v>33</v>
      </c>
      <c r="D75" s="2"/>
      <c r="E75" s="2"/>
      <c r="F75" s="2"/>
      <c r="G75" s="2"/>
      <c r="H75" s="2"/>
      <c r="I75" s="2"/>
      <c r="J75" s="38">
        <v>13376</v>
      </c>
      <c r="K75" s="38"/>
      <c r="L75" s="38"/>
      <c r="M75" s="38"/>
      <c r="N75" s="38">
        <f t="shared" ref="N75:N81" si="14">SUM(J75:M75)</f>
        <v>13376</v>
      </c>
      <c r="O75" s="48"/>
    </row>
    <row r="76" spans="1:15">
      <c r="B76" s="2"/>
      <c r="C76" s="2" t="s">
        <v>31</v>
      </c>
      <c r="D76" s="2"/>
      <c r="E76" s="2"/>
      <c r="F76" s="2"/>
      <c r="G76" s="2"/>
      <c r="H76" s="2"/>
      <c r="I76" s="2"/>
      <c r="J76" s="38">
        <v>560012</v>
      </c>
      <c r="K76" s="38">
        <v>188185</v>
      </c>
      <c r="L76" s="38">
        <v>-24402</v>
      </c>
      <c r="M76" s="38"/>
      <c r="N76" s="38">
        <f t="shared" si="14"/>
        <v>723795</v>
      </c>
      <c r="O76" s="48"/>
    </row>
    <row r="77" spans="1:15">
      <c r="B77" s="2"/>
      <c r="C77" s="2" t="s">
        <v>104</v>
      </c>
      <c r="D77" s="2"/>
      <c r="E77" s="2"/>
      <c r="F77" s="2"/>
      <c r="G77" s="2"/>
      <c r="H77" s="2"/>
      <c r="I77" s="2"/>
      <c r="J77" s="38">
        <v>566681</v>
      </c>
      <c r="K77" s="38">
        <v>26709</v>
      </c>
      <c r="L77" s="38">
        <v>-800</v>
      </c>
      <c r="M77" s="38"/>
      <c r="N77" s="38">
        <f t="shared" si="14"/>
        <v>592590</v>
      </c>
      <c r="O77" s="48"/>
    </row>
    <row r="78" spans="1:15">
      <c r="B78" s="2"/>
      <c r="C78" s="2" t="s">
        <v>484</v>
      </c>
      <c r="D78" s="2"/>
      <c r="E78" s="2"/>
      <c r="F78" s="2"/>
      <c r="G78" s="2"/>
      <c r="H78" s="2"/>
      <c r="I78" s="2"/>
      <c r="J78" s="38">
        <v>6354</v>
      </c>
      <c r="K78" s="38"/>
      <c r="L78" s="38"/>
      <c r="M78" s="38"/>
      <c r="N78" s="38">
        <f t="shared" si="14"/>
        <v>6354</v>
      </c>
      <c r="O78" s="48"/>
    </row>
    <row r="79" spans="1:15">
      <c r="B79" s="2"/>
      <c r="C79" s="2" t="s">
        <v>17</v>
      </c>
      <c r="D79" s="2"/>
      <c r="E79" s="2"/>
      <c r="F79" s="2"/>
      <c r="G79" s="2"/>
      <c r="H79" s="2"/>
      <c r="I79" s="2"/>
      <c r="J79" s="38"/>
      <c r="K79" s="38"/>
      <c r="L79" s="38"/>
      <c r="M79" s="38"/>
      <c r="N79" s="38">
        <f t="shared" si="14"/>
        <v>0</v>
      </c>
      <c r="O79" s="48"/>
    </row>
    <row r="80" spans="1:15">
      <c r="B80" s="2"/>
      <c r="C80" s="2"/>
      <c r="D80" s="2" t="s">
        <v>489</v>
      </c>
      <c r="E80" s="2"/>
      <c r="F80" s="2"/>
      <c r="G80" s="2"/>
      <c r="H80" s="2"/>
      <c r="I80" s="2"/>
      <c r="J80" s="38">
        <v>35128581</v>
      </c>
      <c r="K80" s="38">
        <v>120924</v>
      </c>
      <c r="L80" s="38"/>
      <c r="M80" s="38">
        <v>249056</v>
      </c>
      <c r="N80" s="38">
        <f t="shared" si="14"/>
        <v>35498561</v>
      </c>
      <c r="O80" s="48"/>
    </row>
    <row r="81" spans="2:15">
      <c r="B81" s="2"/>
      <c r="C81" s="2"/>
      <c r="D81" s="2" t="s">
        <v>490</v>
      </c>
      <c r="E81" s="2"/>
      <c r="F81" s="2"/>
      <c r="G81" s="2"/>
      <c r="H81" s="2"/>
      <c r="I81" s="2"/>
      <c r="J81" s="65">
        <v>17454857</v>
      </c>
      <c r="K81" s="65">
        <v>74268</v>
      </c>
      <c r="L81" s="65"/>
      <c r="M81" s="65">
        <v>542828</v>
      </c>
      <c r="N81" s="65">
        <f t="shared" si="14"/>
        <v>18071953</v>
      </c>
      <c r="O81" s="48"/>
    </row>
    <row r="82" spans="2:15">
      <c r="B82" s="2"/>
      <c r="C82" s="2"/>
      <c r="D82" s="2"/>
      <c r="E82" s="2" t="s">
        <v>18</v>
      </c>
      <c r="F82" s="2"/>
      <c r="G82" s="2"/>
      <c r="H82" s="2"/>
      <c r="I82" s="2"/>
      <c r="J82" s="65">
        <f>SUM(J74:J81)</f>
        <v>53780568</v>
      </c>
      <c r="K82" s="65">
        <f t="shared" ref="K82:N82" si="15">SUM(K74:K81)</f>
        <v>410086</v>
      </c>
      <c r="L82" s="65">
        <f t="shared" si="15"/>
        <v>-25202</v>
      </c>
      <c r="M82" s="65">
        <f t="shared" si="15"/>
        <v>791884</v>
      </c>
      <c r="N82" s="65">
        <f t="shared" si="15"/>
        <v>54957336</v>
      </c>
      <c r="O82" s="48"/>
    </row>
    <row r="83" spans="2:15">
      <c r="B83" s="2" t="s">
        <v>398</v>
      </c>
      <c r="C83" s="2"/>
      <c r="D83" s="2"/>
      <c r="E83" s="2"/>
      <c r="F83" s="2"/>
      <c r="G83" s="2"/>
      <c r="H83" s="2"/>
      <c r="I83" s="2"/>
      <c r="J83" s="38"/>
      <c r="K83" s="38"/>
      <c r="L83" s="38"/>
      <c r="M83" s="38"/>
      <c r="N83" s="38"/>
      <c r="O83" s="48"/>
    </row>
    <row r="84" spans="2:15">
      <c r="B84" s="2"/>
      <c r="C84" s="2" t="s">
        <v>106</v>
      </c>
      <c r="D84" s="2"/>
      <c r="E84" s="2"/>
      <c r="F84" s="2"/>
      <c r="G84" s="2"/>
      <c r="H84" s="2"/>
      <c r="I84" s="2"/>
      <c r="J84" s="38">
        <v>-11550</v>
      </c>
      <c r="K84" s="38">
        <v>-2535</v>
      </c>
      <c r="L84" s="38"/>
      <c r="M84" s="38"/>
      <c r="N84" s="38">
        <f>SUM(J84:M84)</f>
        <v>-14085</v>
      </c>
      <c r="O84" s="48">
        <f>SUM(N84+N74)</f>
        <v>36622</v>
      </c>
    </row>
    <row r="85" spans="2:15">
      <c r="B85" s="2"/>
      <c r="C85" s="2" t="s">
        <v>33</v>
      </c>
      <c r="D85" s="2"/>
      <c r="E85" s="2"/>
      <c r="F85" s="2"/>
      <c r="G85" s="2"/>
      <c r="H85" s="2"/>
      <c r="I85" s="2"/>
      <c r="J85" s="38">
        <v>-2720</v>
      </c>
      <c r="K85" s="38">
        <v>-535</v>
      </c>
      <c r="L85" s="38"/>
      <c r="M85" s="38"/>
      <c r="N85" s="38">
        <f t="shared" ref="N85:N88" si="16">SUM(J85:M85)</f>
        <v>-3255</v>
      </c>
      <c r="O85" s="48">
        <f>SUM(N85+N75)</f>
        <v>10121</v>
      </c>
    </row>
    <row r="86" spans="2:15">
      <c r="B86" s="2"/>
      <c r="C86" s="2" t="s">
        <v>31</v>
      </c>
      <c r="D86" s="2"/>
      <c r="E86" s="2"/>
      <c r="F86" s="2"/>
      <c r="G86" s="2"/>
      <c r="H86" s="2"/>
      <c r="I86" s="2"/>
      <c r="J86" s="38">
        <v>-286132</v>
      </c>
      <c r="K86" s="38">
        <v>-76428</v>
      </c>
      <c r="L86" s="38">
        <v>24402</v>
      </c>
      <c r="M86" s="38"/>
      <c r="N86" s="38">
        <f t="shared" si="16"/>
        <v>-338158</v>
      </c>
      <c r="O86" s="48">
        <f>SUM(N86+N76)</f>
        <v>385637</v>
      </c>
    </row>
    <row r="87" spans="2:15">
      <c r="B87" s="2"/>
      <c r="C87" s="2" t="s">
        <v>104</v>
      </c>
      <c r="D87" s="2"/>
      <c r="E87" s="2"/>
      <c r="F87" s="2"/>
      <c r="G87" s="2"/>
      <c r="H87" s="2"/>
      <c r="I87" s="2"/>
      <c r="J87" s="38">
        <v>-354522</v>
      </c>
      <c r="K87" s="38">
        <v>-54246</v>
      </c>
      <c r="L87" s="38">
        <v>800</v>
      </c>
      <c r="M87" s="38"/>
      <c r="N87" s="38">
        <f t="shared" si="16"/>
        <v>-407968</v>
      </c>
      <c r="O87" s="48">
        <f t="shared" ref="O87:O91" si="17">SUM(N87+N77)</f>
        <v>184622</v>
      </c>
    </row>
    <row r="88" spans="2:15">
      <c r="B88" s="2"/>
      <c r="C88" s="2" t="s">
        <v>484</v>
      </c>
      <c r="D88" s="2"/>
      <c r="E88" s="2"/>
      <c r="F88" s="2"/>
      <c r="G88" s="2"/>
      <c r="H88" s="2"/>
      <c r="I88" s="2"/>
      <c r="J88" s="38">
        <v>-1664</v>
      </c>
      <c r="K88" s="38">
        <v>-908</v>
      </c>
      <c r="L88" s="38"/>
      <c r="M88" s="38"/>
      <c r="N88" s="38">
        <f t="shared" si="16"/>
        <v>-2572</v>
      </c>
      <c r="O88" s="48">
        <f t="shared" si="17"/>
        <v>3782</v>
      </c>
    </row>
    <row r="89" spans="2:15">
      <c r="B89" s="2"/>
      <c r="C89" s="2" t="s">
        <v>385</v>
      </c>
      <c r="D89" s="2"/>
      <c r="E89" s="2"/>
      <c r="F89" s="2"/>
      <c r="G89" s="2"/>
      <c r="H89" s="2"/>
      <c r="I89" s="2"/>
      <c r="J89" s="38"/>
      <c r="K89" s="38"/>
      <c r="L89" s="38"/>
      <c r="M89" s="38"/>
      <c r="N89" s="38"/>
      <c r="O89" s="48">
        <f t="shared" si="17"/>
        <v>0</v>
      </c>
    </row>
    <row r="90" spans="2:15">
      <c r="B90" s="2"/>
      <c r="D90" s="2" t="s">
        <v>489</v>
      </c>
      <c r="E90" s="2"/>
      <c r="F90" s="2"/>
      <c r="G90" s="2"/>
      <c r="H90" s="2"/>
      <c r="I90" s="2"/>
      <c r="J90" s="38">
        <v>-12009584</v>
      </c>
      <c r="K90" s="38">
        <v>-1628846</v>
      </c>
      <c r="L90" s="38"/>
      <c r="M90" s="38"/>
      <c r="N90" s="38">
        <f t="shared" ref="N90" si="18">SUM(J90:M90)</f>
        <v>-13638430</v>
      </c>
      <c r="O90" s="48">
        <f t="shared" si="17"/>
        <v>21860131</v>
      </c>
    </row>
    <row r="91" spans="2:15">
      <c r="B91" s="2"/>
      <c r="D91" s="2" t="s">
        <v>490</v>
      </c>
      <c r="E91" s="2"/>
      <c r="F91" s="2"/>
      <c r="G91" s="2"/>
      <c r="H91" s="2"/>
      <c r="I91" s="2"/>
      <c r="J91" s="38">
        <v>-3744271</v>
      </c>
      <c r="K91" s="38">
        <v>-659267</v>
      </c>
      <c r="L91" s="38"/>
      <c r="M91" s="38"/>
      <c r="N91" s="38">
        <f>SUM(J91:M91)</f>
        <v>-4403538</v>
      </c>
      <c r="O91" s="48">
        <f t="shared" si="17"/>
        <v>13668415</v>
      </c>
    </row>
    <row r="92" spans="2:15">
      <c r="B92" s="1"/>
      <c r="C92" s="1"/>
      <c r="D92" s="1" t="s">
        <v>20</v>
      </c>
      <c r="E92" s="1"/>
      <c r="F92" s="2"/>
      <c r="G92" s="2"/>
      <c r="H92" s="2"/>
      <c r="I92" s="2"/>
      <c r="J92" s="68">
        <f>SUM(J84:J91)</f>
        <v>-16410443</v>
      </c>
      <c r="K92" s="68">
        <f>SUM(K84:K91)</f>
        <v>-2422765</v>
      </c>
      <c r="L92" s="68">
        <f>SUM(L84:L91)</f>
        <v>25202</v>
      </c>
      <c r="M92" s="68">
        <v>0</v>
      </c>
      <c r="N92" s="68">
        <f>SUM(N84:N91)</f>
        <v>-18808006</v>
      </c>
    </row>
    <row r="93" spans="2:15">
      <c r="B93" s="1" t="s">
        <v>21</v>
      </c>
      <c r="C93" s="1"/>
      <c r="D93" s="1"/>
      <c r="E93" s="1"/>
      <c r="F93" s="2"/>
      <c r="G93" s="2"/>
      <c r="H93" s="2"/>
      <c r="I93" s="2"/>
      <c r="J93" s="68">
        <f>SUM(J82+J92)</f>
        <v>37370125</v>
      </c>
      <c r="K93" s="68">
        <f>SUM(K82+K92)</f>
        <v>-2012679</v>
      </c>
      <c r="L93" s="68">
        <f>SUM(L82+L92)</f>
        <v>0</v>
      </c>
      <c r="M93" s="68">
        <f>SUM(M82+M92)</f>
        <v>791884</v>
      </c>
      <c r="N93" s="68">
        <f>SUM(N82+N92)</f>
        <v>36149330</v>
      </c>
      <c r="O93" s="48"/>
    </row>
    <row r="94" spans="2:15">
      <c r="B94" s="1" t="s">
        <v>491</v>
      </c>
      <c r="C94" s="1"/>
      <c r="D94" s="1"/>
      <c r="E94" s="1"/>
      <c r="F94" s="2"/>
      <c r="G94" s="2"/>
      <c r="H94" s="2"/>
      <c r="I94" s="2"/>
      <c r="J94" s="68">
        <f>SUM(J72+J93)</f>
        <v>39074964</v>
      </c>
      <c r="K94" s="68">
        <f>SUM(K72+K93)</f>
        <v>-1800907</v>
      </c>
      <c r="L94" s="68">
        <f>SUM(L72+L93)</f>
        <v>0</v>
      </c>
      <c r="M94" s="68">
        <f>SUM(M72+M93)</f>
        <v>122670</v>
      </c>
      <c r="N94" s="68">
        <f>SUM(N72+N93)</f>
        <v>37396727</v>
      </c>
      <c r="O94" s="85">
        <f>SUM(O70:O91)</f>
        <v>37396727</v>
      </c>
    </row>
    <row r="95" spans="2:15">
      <c r="B95" s="1" t="s">
        <v>492</v>
      </c>
      <c r="C95" s="1"/>
      <c r="D95" s="1"/>
      <c r="E95" s="1"/>
      <c r="F95" s="2"/>
      <c r="G95" s="2"/>
      <c r="H95" s="2"/>
      <c r="I95" s="2"/>
      <c r="J95" s="68">
        <f>SUM(J94+J66)</f>
        <v>470164819</v>
      </c>
      <c r="K95" s="68">
        <f>SUM(K66+K94)</f>
        <v>36434754</v>
      </c>
      <c r="L95" s="68">
        <f>SUM(L66+L94)</f>
        <v>-3853753</v>
      </c>
      <c r="M95" s="68">
        <f>SUM(M66+M94)</f>
        <v>0</v>
      </c>
      <c r="N95" s="68">
        <f>SUM(N66+N94)</f>
        <v>502745820</v>
      </c>
    </row>
  </sheetData>
  <mergeCells count="3">
    <mergeCell ref="E1:J1"/>
    <mergeCell ref="E2:J2"/>
    <mergeCell ref="E3:J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26"/>
  <sheetViews>
    <sheetView zoomScaleNormal="100" zoomScalePageLayoutView="80" workbookViewId="0">
      <selection activeCell="M27" sqref="M27"/>
    </sheetView>
  </sheetViews>
  <sheetFormatPr defaultColWidth="8.85546875" defaultRowHeight="15"/>
  <cols>
    <col min="1" max="2" width="4.42578125" customWidth="1"/>
    <col min="3" max="3" width="3.42578125" customWidth="1"/>
    <col min="8" max="8" width="12.140625" customWidth="1"/>
    <col min="9" max="9" width="15.42578125" customWidth="1"/>
    <col min="10" max="10" width="14.28515625" bestFit="1" customWidth="1"/>
    <col min="11" max="11" width="15.28515625" bestFit="1" customWidth="1"/>
    <col min="12" max="12" width="16.42578125" bestFit="1" customWidth="1"/>
    <col min="13" max="13" width="21.85546875" customWidth="1"/>
  </cols>
  <sheetData>
    <row r="1" spans="1:13" ht="18.75">
      <c r="A1" s="2"/>
      <c r="B1" s="2"/>
      <c r="C1" s="2"/>
      <c r="D1" s="159" t="s">
        <v>493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63" t="s">
        <v>64</v>
      </c>
      <c r="J5" s="63" t="s">
        <v>494</v>
      </c>
      <c r="K5" s="63" t="s">
        <v>5</v>
      </c>
      <c r="L5" s="63" t="s">
        <v>146</v>
      </c>
      <c r="M5" s="63" t="s">
        <v>7</v>
      </c>
    </row>
    <row r="6" spans="1:13" ht="18.75">
      <c r="A6" s="1" t="s">
        <v>8</v>
      </c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3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</row>
    <row r="8" spans="1:13" ht="18.75">
      <c r="A8" s="2"/>
      <c r="B8" s="2"/>
      <c r="C8" s="2" t="s">
        <v>10</v>
      </c>
      <c r="D8" s="2"/>
      <c r="E8" s="2"/>
      <c r="F8" s="2"/>
      <c r="G8" s="2"/>
      <c r="H8" s="2"/>
      <c r="I8" s="38">
        <v>2910644</v>
      </c>
      <c r="J8" s="38">
        <v>169833</v>
      </c>
      <c r="K8" s="38"/>
      <c r="L8" s="38">
        <f>SUM(I8:K8)</f>
        <v>3080477</v>
      </c>
      <c r="M8" s="50">
        <f>L8</f>
        <v>3080477</v>
      </c>
    </row>
    <row r="9" spans="1:13" ht="18.75">
      <c r="A9" s="2"/>
      <c r="B9" s="2"/>
      <c r="C9" s="2" t="s">
        <v>495</v>
      </c>
      <c r="D9" s="2"/>
      <c r="E9" s="2"/>
      <c r="F9" s="2"/>
      <c r="G9" s="2"/>
      <c r="H9" s="2"/>
      <c r="I9" s="2">
        <v>72012465</v>
      </c>
      <c r="J9" s="2">
        <v>423000</v>
      </c>
      <c r="K9" s="2"/>
      <c r="L9" s="38">
        <f t="shared" ref="L9:L10" si="0">SUM(I9:K9)</f>
        <v>72435465</v>
      </c>
      <c r="M9" s="50">
        <f>L9</f>
        <v>72435465</v>
      </c>
    </row>
    <row r="10" spans="1:13" ht="18.75">
      <c r="A10" s="2"/>
      <c r="B10" s="2"/>
      <c r="C10" s="2" t="s">
        <v>11</v>
      </c>
      <c r="D10" s="2"/>
      <c r="E10" s="2"/>
      <c r="F10" s="2"/>
      <c r="G10" s="2"/>
      <c r="H10" s="2"/>
      <c r="I10" s="2">
        <v>2517758</v>
      </c>
      <c r="J10" s="2">
        <v>6952110</v>
      </c>
      <c r="K10" s="2">
        <v>-4417296</v>
      </c>
      <c r="L10" s="38">
        <f t="shared" si="0"/>
        <v>5052572</v>
      </c>
      <c r="M10" s="50">
        <f>L10</f>
        <v>5052572</v>
      </c>
    </row>
    <row r="11" spans="1:13" ht="18.75">
      <c r="A11" s="1"/>
      <c r="B11" s="1"/>
      <c r="C11" s="1"/>
      <c r="D11" s="1" t="s">
        <v>70</v>
      </c>
      <c r="E11" s="1"/>
      <c r="F11" s="1"/>
      <c r="G11" s="1"/>
      <c r="H11" s="1"/>
      <c r="I11" s="74">
        <f>SUM(I8:I10)</f>
        <v>77440867</v>
      </c>
      <c r="J11" s="74">
        <f>SUM(J8:J10)</f>
        <v>7544943</v>
      </c>
      <c r="K11" s="74">
        <f>SUM(K8:K10)</f>
        <v>-4417296</v>
      </c>
      <c r="L11" s="74">
        <f>SUM(L8:L10)</f>
        <v>80568514</v>
      </c>
    </row>
    <row r="12" spans="1:13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8.75">
      <c r="A13" s="1" t="s">
        <v>216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8.75">
      <c r="A14" s="2"/>
      <c r="B14" s="2" t="s">
        <v>33</v>
      </c>
      <c r="C14" s="2"/>
      <c r="D14" s="2"/>
      <c r="E14" s="2"/>
      <c r="F14" s="2"/>
      <c r="G14" s="2"/>
      <c r="H14" s="2"/>
      <c r="I14" s="2">
        <v>49029786</v>
      </c>
      <c r="J14" s="38">
        <v>162105</v>
      </c>
      <c r="K14" s="38"/>
      <c r="L14" s="38">
        <f>SUM(I14:K14)</f>
        <v>49191891</v>
      </c>
    </row>
    <row r="15" spans="1:13" ht="18.75">
      <c r="A15" s="2"/>
      <c r="B15" s="2" t="s">
        <v>17</v>
      </c>
      <c r="C15" s="2"/>
      <c r="D15" s="2"/>
      <c r="E15" s="2"/>
      <c r="F15" s="2"/>
      <c r="G15" s="2"/>
      <c r="H15" s="2"/>
      <c r="I15" s="2">
        <v>118793905</v>
      </c>
      <c r="J15" s="38">
        <v>4074659</v>
      </c>
      <c r="K15" s="38">
        <v>-1561683</v>
      </c>
      <c r="L15" s="38">
        <f t="shared" ref="L15:L16" si="1">SUM(I15:K15)</f>
        <v>121306881</v>
      </c>
    </row>
    <row r="16" spans="1:13" ht="18.75">
      <c r="A16" s="2"/>
      <c r="B16" s="2" t="s">
        <v>34</v>
      </c>
      <c r="C16" s="2"/>
      <c r="D16" s="2"/>
      <c r="E16" s="2"/>
      <c r="F16" s="2"/>
      <c r="G16" s="2"/>
      <c r="H16" s="2"/>
      <c r="I16" s="2">
        <v>16831741</v>
      </c>
      <c r="J16" s="38">
        <v>633381</v>
      </c>
      <c r="K16" s="38">
        <v>-174177</v>
      </c>
      <c r="L16" s="38">
        <f t="shared" si="1"/>
        <v>17290945</v>
      </c>
    </row>
    <row r="17" spans="1:13" ht="18.75">
      <c r="A17" s="1"/>
      <c r="B17" s="2"/>
      <c r="C17" s="1"/>
      <c r="D17" s="1" t="s">
        <v>18</v>
      </c>
      <c r="E17" s="2"/>
      <c r="F17" s="2"/>
      <c r="G17" s="2"/>
      <c r="H17" s="2"/>
      <c r="I17" s="75">
        <f>SUM(I14:I16)</f>
        <v>184655432</v>
      </c>
      <c r="J17" s="75">
        <f>SUM(J14:J16)</f>
        <v>4870145</v>
      </c>
      <c r="K17" s="75">
        <f>SUM(K14:K16)</f>
        <v>-1735860</v>
      </c>
      <c r="L17" s="75">
        <f>SUM(I17:K17)</f>
        <v>187789717</v>
      </c>
    </row>
    <row r="18" spans="1:13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3" ht="18.75">
      <c r="A19" s="1" t="s">
        <v>398</v>
      </c>
      <c r="B19" s="2"/>
      <c r="C19" s="2"/>
      <c r="D19" s="2"/>
      <c r="E19" s="2"/>
      <c r="F19" s="2"/>
      <c r="G19" s="2"/>
      <c r="H19" s="2"/>
      <c r="I19" s="2"/>
      <c r="J19" s="38"/>
      <c r="K19" s="38"/>
      <c r="L19" s="38"/>
    </row>
    <row r="20" spans="1:13" ht="18.75">
      <c r="A20" s="2"/>
      <c r="B20" s="2" t="s">
        <v>33</v>
      </c>
      <c r="C20" s="2"/>
      <c r="D20" s="2"/>
      <c r="E20" s="2"/>
      <c r="F20" s="2"/>
      <c r="G20" s="2"/>
      <c r="H20" s="2"/>
      <c r="I20" s="38">
        <v>13019958</v>
      </c>
      <c r="J20" s="38">
        <v>1218293</v>
      </c>
      <c r="K20" s="38"/>
      <c r="L20" s="38">
        <f>SUM(I20:K20)</f>
        <v>14238251</v>
      </c>
      <c r="M20" s="50">
        <f>L14-L20</f>
        <v>34953640</v>
      </c>
    </row>
    <row r="21" spans="1:13" ht="18.75">
      <c r="A21" s="2"/>
      <c r="B21" s="2" t="s">
        <v>17</v>
      </c>
      <c r="C21" s="2"/>
      <c r="D21" s="2"/>
      <c r="E21" s="2"/>
      <c r="F21" s="2"/>
      <c r="G21" s="2"/>
      <c r="H21" s="2"/>
      <c r="I21" s="38">
        <v>57723955</v>
      </c>
      <c r="J21" s="38">
        <v>4292630</v>
      </c>
      <c r="K21" s="38">
        <v>-796952</v>
      </c>
      <c r="L21" s="38">
        <f t="shared" ref="L21" si="2">SUM(I21:K21)</f>
        <v>61219633</v>
      </c>
      <c r="M21" s="50">
        <f>L15-L21</f>
        <v>60087248</v>
      </c>
    </row>
    <row r="22" spans="1:13" ht="18.75">
      <c r="A22" s="2"/>
      <c r="B22" s="2" t="s">
        <v>34</v>
      </c>
      <c r="C22" s="2"/>
      <c r="D22" s="2"/>
      <c r="E22" s="2"/>
      <c r="F22" s="2"/>
      <c r="G22" s="2"/>
      <c r="H22" s="2"/>
      <c r="I22" s="38">
        <v>10724250</v>
      </c>
      <c r="J22" s="38">
        <v>1230211</v>
      </c>
      <c r="K22" s="38">
        <v>-149124</v>
      </c>
      <c r="L22" s="38">
        <f>SUM(I22:K22)</f>
        <v>11805337</v>
      </c>
      <c r="M22" s="50">
        <f>L16-L22</f>
        <v>5485608</v>
      </c>
    </row>
    <row r="23" spans="1:13" ht="18.75">
      <c r="A23" s="1"/>
      <c r="B23" s="2"/>
      <c r="C23" s="1"/>
      <c r="D23" s="1" t="s">
        <v>20</v>
      </c>
      <c r="E23" s="2"/>
      <c r="F23" s="2"/>
      <c r="G23" s="2"/>
      <c r="H23" s="2"/>
      <c r="I23" s="68">
        <f>SUM(I20:I22)</f>
        <v>81468163</v>
      </c>
      <c r="J23" s="68">
        <f>SUM(J20:J22)</f>
        <v>6741134</v>
      </c>
      <c r="K23" s="68">
        <f>SUM(K20:K22)</f>
        <v>-946076</v>
      </c>
      <c r="L23" s="68">
        <f>SUM(I23:K23)</f>
        <v>87263221</v>
      </c>
    </row>
    <row r="24" spans="1:13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3" ht="18.75">
      <c r="A25" s="1" t="s">
        <v>467</v>
      </c>
      <c r="B25" s="2"/>
      <c r="C25" s="1"/>
      <c r="D25" s="2"/>
      <c r="E25" s="2"/>
      <c r="F25" s="2"/>
      <c r="G25" s="2"/>
      <c r="H25" s="2"/>
      <c r="I25" s="68">
        <f>I17-I23</f>
        <v>103187269</v>
      </c>
      <c r="J25" s="68">
        <f>J17-J23</f>
        <v>-1870989</v>
      </c>
      <c r="K25" s="68">
        <f>K17-K23</f>
        <v>-789784</v>
      </c>
      <c r="L25" s="68">
        <f>L17-L23</f>
        <v>100526496</v>
      </c>
    </row>
    <row r="26" spans="1:13" ht="18.75">
      <c r="A26" s="1" t="s">
        <v>496</v>
      </c>
      <c r="B26" s="2"/>
      <c r="C26" s="1"/>
      <c r="D26" s="2"/>
      <c r="E26" s="2"/>
      <c r="F26" s="2"/>
      <c r="G26" s="2"/>
      <c r="H26" s="2"/>
      <c r="I26" s="68">
        <f>I11+I25</f>
        <v>180628136</v>
      </c>
      <c r="J26" s="68">
        <f>J11+J25</f>
        <v>5673954</v>
      </c>
      <c r="K26" s="68">
        <f>K11+K25</f>
        <v>-5207080</v>
      </c>
      <c r="L26" s="68">
        <f>L11+L25</f>
        <v>181095010</v>
      </c>
      <c r="M26" s="50">
        <f>SUM(M8:M24)</f>
        <v>181095010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23"/>
  <sheetViews>
    <sheetView zoomScaleNormal="100" zoomScalePageLayoutView="80" workbookViewId="0">
      <selection activeCell="L18" sqref="L18"/>
    </sheetView>
  </sheetViews>
  <sheetFormatPr defaultColWidth="8.85546875" defaultRowHeight="15"/>
  <cols>
    <col min="1" max="2" width="4.42578125" customWidth="1"/>
    <col min="3" max="3" width="3.42578125" customWidth="1"/>
    <col min="8" max="8" width="12.140625" customWidth="1"/>
    <col min="9" max="9" width="15.42578125" customWidth="1"/>
    <col min="10" max="10" width="14.28515625" bestFit="1" customWidth="1"/>
    <col min="11" max="11" width="15.28515625" bestFit="1" customWidth="1"/>
    <col min="12" max="12" width="16.42578125" bestFit="1" customWidth="1"/>
    <col min="13" max="13" width="21.85546875" customWidth="1"/>
  </cols>
  <sheetData>
    <row r="1" spans="1:13" ht="18.75">
      <c r="A1" s="2"/>
      <c r="B1" s="2"/>
      <c r="C1" s="2"/>
      <c r="D1" s="159" t="s">
        <v>497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63" t="s">
        <v>498</v>
      </c>
      <c r="J5" s="63" t="s">
        <v>494</v>
      </c>
      <c r="K5" s="63" t="s">
        <v>5</v>
      </c>
      <c r="L5" s="63" t="s">
        <v>499</v>
      </c>
      <c r="M5" s="63" t="s">
        <v>7</v>
      </c>
    </row>
    <row r="6" spans="1:13" ht="18.75">
      <c r="A6" s="1" t="s">
        <v>390</v>
      </c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3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</row>
    <row r="8" spans="1:13" ht="18.75">
      <c r="A8" s="2"/>
      <c r="B8" s="2"/>
      <c r="C8" s="2" t="s">
        <v>10</v>
      </c>
      <c r="D8" s="2"/>
      <c r="E8" s="2"/>
      <c r="F8" s="2"/>
      <c r="G8" s="2"/>
      <c r="H8" s="2"/>
      <c r="I8" s="38">
        <v>743698</v>
      </c>
      <c r="J8" s="38"/>
      <c r="K8" s="38"/>
      <c r="L8" s="38">
        <f>SUM(I8:K8)</f>
        <v>743698</v>
      </c>
      <c r="M8" s="48">
        <f>L8</f>
        <v>743698</v>
      </c>
    </row>
    <row r="9" spans="1:13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3"/>
    </row>
    <row r="10" spans="1:13" ht="18.75">
      <c r="A10" s="1" t="s">
        <v>216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3"/>
    </row>
    <row r="11" spans="1:13" ht="18.75">
      <c r="A11" s="2"/>
      <c r="B11" s="2" t="s">
        <v>33</v>
      </c>
      <c r="C11" s="2"/>
      <c r="D11" s="2"/>
      <c r="E11" s="2"/>
      <c r="F11" s="2"/>
      <c r="G11" s="2"/>
      <c r="H11" s="2"/>
      <c r="I11" s="2">
        <v>8889947</v>
      </c>
      <c r="J11" s="38"/>
      <c r="K11" s="38"/>
      <c r="L11" s="38">
        <f>SUM(I11:K11)</f>
        <v>8889947</v>
      </c>
      <c r="M11" s="33"/>
    </row>
    <row r="12" spans="1:13" ht="18.75">
      <c r="A12" s="2"/>
      <c r="B12" s="2" t="s">
        <v>440</v>
      </c>
      <c r="C12" s="2"/>
      <c r="D12" s="2"/>
      <c r="E12" s="2"/>
      <c r="F12" s="2"/>
      <c r="G12" s="2"/>
      <c r="H12" s="2"/>
      <c r="I12" s="2">
        <v>4405843</v>
      </c>
      <c r="J12" s="38">
        <v>237271</v>
      </c>
      <c r="K12" s="38">
        <v>-15296</v>
      </c>
      <c r="L12" s="38">
        <f t="shared" ref="L12" si="0">SUM(I12:K12)</f>
        <v>4627818</v>
      </c>
      <c r="M12" s="33"/>
    </row>
    <row r="13" spans="1:13" ht="18.75">
      <c r="A13" s="1"/>
      <c r="B13" s="2"/>
      <c r="C13" s="1"/>
      <c r="D13" s="1" t="s">
        <v>18</v>
      </c>
      <c r="E13" s="2"/>
      <c r="F13" s="2"/>
      <c r="G13" s="2"/>
      <c r="H13" s="2"/>
      <c r="I13" s="75">
        <f>SUM(I11:I12)</f>
        <v>13295790</v>
      </c>
      <c r="J13" s="75">
        <f>SUM(J11:J12)</f>
        <v>237271</v>
      </c>
      <c r="K13" s="75">
        <f>SUM(K11:K12)</f>
        <v>-15296</v>
      </c>
      <c r="L13" s="75">
        <f>SUM(I13:K13)</f>
        <v>13517765</v>
      </c>
      <c r="M13" s="33"/>
    </row>
    <row r="14" spans="1:13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3"/>
    </row>
    <row r="15" spans="1:13" ht="18.75">
      <c r="A15" s="1" t="s">
        <v>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3"/>
    </row>
    <row r="16" spans="1:13" ht="18.75">
      <c r="A16" s="1" t="s">
        <v>117</v>
      </c>
      <c r="B16" s="2"/>
      <c r="C16" s="2"/>
      <c r="D16" s="2"/>
      <c r="E16" s="2"/>
      <c r="F16" s="2"/>
      <c r="G16" s="2"/>
      <c r="H16" s="2"/>
      <c r="I16" s="2"/>
      <c r="J16" s="38"/>
      <c r="K16" s="38"/>
      <c r="L16" s="38"/>
      <c r="M16" s="33"/>
    </row>
    <row r="17" spans="1:13" ht="18.75">
      <c r="A17" s="2"/>
      <c r="B17" s="2" t="s">
        <v>33</v>
      </c>
      <c r="C17" s="2"/>
      <c r="D17" s="2"/>
      <c r="E17" s="2"/>
      <c r="F17" s="2"/>
      <c r="G17" s="2"/>
      <c r="H17" s="2"/>
      <c r="I17" s="38">
        <v>-1616467</v>
      </c>
      <c r="J17" s="38">
        <v>-252702</v>
      </c>
      <c r="K17" s="38"/>
      <c r="L17" s="38">
        <f>SUM(I17:K17)</f>
        <v>-1869169</v>
      </c>
      <c r="M17" s="48">
        <f>L11+L17</f>
        <v>7020778</v>
      </c>
    </row>
    <row r="18" spans="1:13" ht="18.75">
      <c r="A18" s="2"/>
      <c r="B18" s="2" t="s">
        <v>440</v>
      </c>
      <c r="C18" s="2"/>
      <c r="D18" s="2"/>
      <c r="E18" s="2"/>
      <c r="F18" s="2"/>
      <c r="G18" s="2"/>
      <c r="H18" s="2"/>
      <c r="I18" s="38">
        <v>-3768073</v>
      </c>
      <c r="J18" s="38">
        <v>-201980</v>
      </c>
      <c r="K18" s="38">
        <v>15296</v>
      </c>
      <c r="L18" s="38">
        <f t="shared" ref="L18" si="1">SUM(I18:K18)</f>
        <v>-3954757</v>
      </c>
      <c r="M18" s="48">
        <f>L12+L18</f>
        <v>673061</v>
      </c>
    </row>
    <row r="19" spans="1:13" ht="18.75">
      <c r="A19" s="1"/>
      <c r="B19" s="2"/>
      <c r="C19" s="1"/>
      <c r="D19" s="1" t="s">
        <v>20</v>
      </c>
      <c r="E19" s="2"/>
      <c r="F19" s="2"/>
      <c r="G19" s="2"/>
      <c r="H19" s="2"/>
      <c r="I19" s="68">
        <f>SUM(I17:I18)</f>
        <v>-5384540</v>
      </c>
      <c r="J19" s="68">
        <f>SUM(J17:J18)</f>
        <v>-454682</v>
      </c>
      <c r="K19" s="68">
        <f>SUM(K17:K18)</f>
        <v>15296</v>
      </c>
      <c r="L19" s="68">
        <f>SUM(I19:K19)</f>
        <v>-5823926</v>
      </c>
      <c r="M19" s="33"/>
    </row>
    <row r="20" spans="1:13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3"/>
    </row>
    <row r="21" spans="1:13" ht="18.75">
      <c r="A21" s="1" t="s">
        <v>20</v>
      </c>
      <c r="B21" s="2"/>
      <c r="C21" s="1"/>
      <c r="D21" s="2"/>
      <c r="E21" s="2"/>
      <c r="F21" s="2"/>
      <c r="G21" s="2"/>
      <c r="H21" s="2"/>
      <c r="I21" s="68">
        <f>SUM(I13+I19)</f>
        <v>7911250</v>
      </c>
      <c r="J21" s="68">
        <f t="shared" ref="J21:L21" si="2">SUM(J13+J19)</f>
        <v>-217411</v>
      </c>
      <c r="K21" s="68">
        <f t="shared" si="2"/>
        <v>0</v>
      </c>
      <c r="L21" s="68">
        <f t="shared" si="2"/>
        <v>7693839</v>
      </c>
      <c r="M21" s="33"/>
    </row>
    <row r="22" spans="1:13" ht="18.75">
      <c r="A22" s="1" t="s">
        <v>325</v>
      </c>
      <c r="B22" s="2"/>
      <c r="C22" s="1"/>
      <c r="D22" s="2"/>
      <c r="E22" s="2"/>
      <c r="F22" s="2"/>
      <c r="G22" s="2"/>
      <c r="H22" s="2"/>
      <c r="I22" s="68"/>
      <c r="J22" s="68"/>
      <c r="K22" s="68"/>
      <c r="L22" s="68"/>
      <c r="M22" s="33"/>
    </row>
    <row r="23" spans="1:13" ht="18.75">
      <c r="A23" s="1" t="s">
        <v>500</v>
      </c>
      <c r="B23" s="2"/>
      <c r="C23" s="1"/>
      <c r="D23" s="2"/>
      <c r="E23" s="2"/>
      <c r="F23" s="2"/>
      <c r="G23" s="2"/>
      <c r="H23" s="2"/>
      <c r="I23" s="68">
        <f>SUM(I21+I8)</f>
        <v>8654948</v>
      </c>
      <c r="J23" s="68">
        <f t="shared" ref="J23:L23" si="3">SUM(J21+J8)</f>
        <v>-217411</v>
      </c>
      <c r="K23" s="68">
        <f t="shared" si="3"/>
        <v>0</v>
      </c>
      <c r="L23" s="68">
        <f t="shared" si="3"/>
        <v>8437537</v>
      </c>
      <c r="M23" s="48">
        <f>SUM(M8:M20)</f>
        <v>8437537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46"/>
  <sheetViews>
    <sheetView topLeftCell="A20" zoomScaleNormal="100" zoomScalePageLayoutView="60" workbookViewId="0">
      <selection activeCell="A28" sqref="A28:XFD28"/>
    </sheetView>
  </sheetViews>
  <sheetFormatPr defaultColWidth="8.85546875" defaultRowHeight="15"/>
  <cols>
    <col min="2" max="2" width="13.140625" customWidth="1"/>
    <col min="3" max="3" width="10.28515625" customWidth="1"/>
    <col min="4" max="4" width="8.42578125" customWidth="1"/>
    <col min="10" max="10" width="18.28515625" bestFit="1" customWidth="1"/>
    <col min="11" max="11" width="15.28515625" bestFit="1" customWidth="1"/>
    <col min="12" max="12" width="17.85546875" customWidth="1"/>
    <col min="13" max="13" width="16.7109375" bestFit="1" customWidth="1"/>
    <col min="14" max="14" width="24.28515625" customWidth="1"/>
  </cols>
  <sheetData>
    <row r="1" spans="2:14" ht="18.75">
      <c r="B1" s="2"/>
      <c r="C1" s="2"/>
      <c r="D1" s="2"/>
      <c r="E1" s="159" t="s">
        <v>501</v>
      </c>
      <c r="F1" s="159"/>
      <c r="G1" s="159"/>
      <c r="H1" s="159"/>
      <c r="I1" s="159"/>
      <c r="J1" s="159"/>
      <c r="K1" s="2"/>
      <c r="L1" s="2"/>
      <c r="M1" s="2"/>
    </row>
    <row r="2" spans="2:14" ht="18.75">
      <c r="B2" s="2"/>
      <c r="C2" s="2"/>
      <c r="D2" s="2"/>
      <c r="E2" s="159" t="s">
        <v>1</v>
      </c>
      <c r="F2" s="159"/>
      <c r="G2" s="159"/>
      <c r="H2" s="159"/>
      <c r="I2" s="159"/>
      <c r="J2" s="159"/>
      <c r="K2" s="2"/>
      <c r="L2" s="2"/>
      <c r="M2" s="2"/>
    </row>
    <row r="3" spans="2:14" ht="18.75">
      <c r="B3" s="2"/>
      <c r="C3" s="2"/>
      <c r="D3" s="2"/>
      <c r="E3" s="159" t="s">
        <v>2</v>
      </c>
      <c r="F3" s="159"/>
      <c r="G3" s="159"/>
      <c r="H3" s="159"/>
      <c r="I3" s="159"/>
      <c r="J3" s="159"/>
      <c r="K3" s="2"/>
      <c r="L3" s="2"/>
      <c r="M3" s="2"/>
    </row>
    <row r="4" spans="2:14" ht="18.75">
      <c r="B4" s="2"/>
      <c r="C4" s="2"/>
      <c r="D4" s="2"/>
      <c r="E4" s="151"/>
      <c r="F4" s="151"/>
      <c r="G4" s="151"/>
      <c r="H4" s="151"/>
      <c r="I4" s="151"/>
      <c r="J4" s="151"/>
      <c r="K4" s="2"/>
      <c r="L4" s="2"/>
      <c r="M4" s="2"/>
    </row>
    <row r="5" spans="2:14" ht="37.5">
      <c r="B5" s="2"/>
      <c r="C5" s="2"/>
      <c r="D5" s="2"/>
      <c r="E5" s="2"/>
      <c r="F5" s="2"/>
      <c r="G5" s="2"/>
      <c r="H5" s="2"/>
      <c r="I5" s="2"/>
      <c r="J5" s="63" t="s">
        <v>502</v>
      </c>
      <c r="K5" s="63" t="s">
        <v>63</v>
      </c>
      <c r="L5" s="63" t="s">
        <v>503</v>
      </c>
      <c r="M5" s="63" t="s">
        <v>146</v>
      </c>
      <c r="N5" s="63" t="s">
        <v>7</v>
      </c>
    </row>
    <row r="6" spans="2:14" ht="18.75">
      <c r="B6" s="1" t="s">
        <v>9</v>
      </c>
      <c r="C6" s="1"/>
      <c r="D6" s="1"/>
      <c r="E6" s="1"/>
      <c r="F6" s="1"/>
      <c r="G6" s="1"/>
      <c r="H6" s="2"/>
      <c r="I6" s="2"/>
      <c r="J6" s="38"/>
      <c r="K6" s="38"/>
      <c r="L6" s="38"/>
      <c r="M6" s="38"/>
    </row>
    <row r="7" spans="2:14" ht="18.75">
      <c r="B7" s="2" t="s">
        <v>10</v>
      </c>
      <c r="C7" s="2"/>
      <c r="D7" s="2"/>
      <c r="E7" s="2"/>
      <c r="F7" s="2"/>
      <c r="G7" s="2"/>
      <c r="H7" s="2"/>
      <c r="I7" s="2"/>
      <c r="J7" s="38">
        <v>6470003</v>
      </c>
      <c r="K7" s="38"/>
      <c r="L7" s="38"/>
      <c r="M7" s="38">
        <f>SUM(J7:L7)</f>
        <v>6470003</v>
      </c>
      <c r="N7" s="50">
        <f>M7</f>
        <v>6470003</v>
      </c>
    </row>
    <row r="8" spans="2:14" ht="18.75">
      <c r="B8" s="2" t="s">
        <v>11</v>
      </c>
      <c r="C8" s="2"/>
      <c r="D8" s="2"/>
      <c r="E8" s="2"/>
      <c r="F8" s="2"/>
      <c r="G8" s="2"/>
      <c r="H8" s="2"/>
      <c r="I8" s="2"/>
      <c r="J8" s="38">
        <v>57371869</v>
      </c>
      <c r="K8" s="38">
        <v>32259317</v>
      </c>
      <c r="L8" s="38">
        <v>-18714575</v>
      </c>
      <c r="M8" s="38">
        <f>SUM(J8:L8)</f>
        <v>70916611</v>
      </c>
      <c r="N8" s="50">
        <f>M8</f>
        <v>70916611</v>
      </c>
    </row>
    <row r="9" spans="2:14" ht="18.75">
      <c r="B9" s="1"/>
      <c r="C9" s="1" t="s">
        <v>92</v>
      </c>
      <c r="D9" s="1"/>
      <c r="E9" s="1"/>
      <c r="F9" s="1"/>
      <c r="G9" s="1"/>
      <c r="H9" s="1"/>
      <c r="I9" s="1"/>
      <c r="J9" s="71">
        <f>SUM(J7:J8)</f>
        <v>63841872</v>
      </c>
      <c r="K9" s="71">
        <f>SUM(K7:K8)</f>
        <v>32259317</v>
      </c>
      <c r="L9" s="71">
        <f>SUM(L7:L8)</f>
        <v>-18714575</v>
      </c>
      <c r="M9" s="71">
        <f>SUM(M7:M8)</f>
        <v>77386614</v>
      </c>
    </row>
    <row r="10" spans="2:14" ht="18.75">
      <c r="B10" s="1" t="s">
        <v>216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4" ht="18.75">
      <c r="B11" s="2" t="s">
        <v>29</v>
      </c>
      <c r="C11" s="2"/>
      <c r="D11" s="2"/>
      <c r="E11" s="2"/>
      <c r="F11" s="2"/>
      <c r="G11" s="2"/>
      <c r="H11" s="2"/>
      <c r="I11" s="2"/>
      <c r="J11" s="2">
        <v>53374935</v>
      </c>
      <c r="K11" s="2">
        <v>776812</v>
      </c>
      <c r="L11" s="2">
        <v>-54286</v>
      </c>
      <c r="M11" s="2">
        <f>SUM(J11:L11)</f>
        <v>54097461</v>
      </c>
    </row>
    <row r="12" spans="2:14" ht="18.75">
      <c r="B12" s="2" t="s">
        <v>34</v>
      </c>
      <c r="C12" s="2"/>
      <c r="D12" s="2"/>
      <c r="E12" s="2"/>
      <c r="F12" s="2"/>
      <c r="G12" s="2"/>
      <c r="H12" s="2"/>
      <c r="I12" s="2"/>
      <c r="J12" s="2">
        <v>64774165</v>
      </c>
      <c r="K12" s="2">
        <v>3153102</v>
      </c>
      <c r="L12" s="2">
        <v>-8738146</v>
      </c>
      <c r="M12" s="2">
        <f>SUM(J12:L12)</f>
        <v>59189121</v>
      </c>
    </row>
    <row r="13" spans="2:14" ht="18.75">
      <c r="B13" s="2" t="s">
        <v>17</v>
      </c>
      <c r="C13" s="2"/>
      <c r="D13" s="2"/>
      <c r="E13" s="2"/>
      <c r="F13" s="2"/>
      <c r="G13" s="2"/>
      <c r="H13" s="2"/>
      <c r="I13" s="2"/>
      <c r="J13" s="2">
        <v>281274424</v>
      </c>
      <c r="K13" s="2">
        <v>21359818</v>
      </c>
      <c r="L13" s="2"/>
      <c r="M13" s="2">
        <f>SUM(J13:L13)</f>
        <v>302634242</v>
      </c>
    </row>
    <row r="14" spans="2:14" ht="18.75">
      <c r="B14" s="1"/>
      <c r="C14" s="1"/>
      <c r="D14" s="1" t="s">
        <v>18</v>
      </c>
      <c r="E14" s="1"/>
      <c r="F14" s="1"/>
      <c r="G14" s="2"/>
      <c r="H14" s="2"/>
      <c r="I14" s="2"/>
      <c r="J14" s="68">
        <f>SUM(J11:J13)</f>
        <v>399423524</v>
      </c>
      <c r="K14" s="68">
        <f>SUM(K11:K13)</f>
        <v>25289732</v>
      </c>
      <c r="L14" s="68">
        <f>SUM(L11:L13)</f>
        <v>-8792432</v>
      </c>
      <c r="M14" s="68">
        <f>SUM(M11:M13)</f>
        <v>415920824</v>
      </c>
    </row>
    <row r="15" spans="2:14" ht="18.75">
      <c r="B15" s="1" t="s">
        <v>19</v>
      </c>
      <c r="C15" s="2"/>
      <c r="D15" s="2"/>
      <c r="E15" s="2"/>
      <c r="F15" s="2"/>
      <c r="G15" s="2"/>
      <c r="H15" s="2"/>
      <c r="I15" s="2"/>
      <c r="J15" s="2"/>
      <c r="K15" s="38"/>
      <c r="L15" s="38"/>
      <c r="M15" s="38"/>
    </row>
    <row r="16" spans="2:14" ht="18.75">
      <c r="B16" s="2" t="s">
        <v>29</v>
      </c>
      <c r="C16" s="2"/>
      <c r="D16" s="2"/>
      <c r="E16" s="2"/>
      <c r="F16" s="2"/>
      <c r="G16" s="2"/>
      <c r="H16" s="2"/>
      <c r="I16" s="2"/>
      <c r="J16" s="38">
        <v>-22580427</v>
      </c>
      <c r="K16" s="38">
        <v>-1341585</v>
      </c>
      <c r="L16" s="38">
        <v>32400</v>
      </c>
      <c r="M16" s="38">
        <f>SUM(J16:L16)</f>
        <v>-23889612</v>
      </c>
      <c r="N16" s="50">
        <f>M11+M16</f>
        <v>30207849</v>
      </c>
    </row>
    <row r="17" spans="1:19" ht="18.75">
      <c r="B17" s="2" t="s">
        <v>34</v>
      </c>
      <c r="C17" s="2"/>
      <c r="D17" s="2"/>
      <c r="E17" s="2"/>
      <c r="F17" s="2"/>
      <c r="G17" s="2"/>
      <c r="H17" s="2"/>
      <c r="I17" s="2"/>
      <c r="J17" s="38">
        <v>-44423217</v>
      </c>
      <c r="K17" s="38">
        <v>-3281089</v>
      </c>
      <c r="L17" s="38">
        <v>7605356</v>
      </c>
      <c r="M17" s="38">
        <f>SUM(J17:L17)</f>
        <v>-40098950</v>
      </c>
      <c r="N17" s="50">
        <f>M12+M17</f>
        <v>19090171</v>
      </c>
    </row>
    <row r="18" spans="1:19" ht="18.75">
      <c r="B18" s="2" t="s">
        <v>385</v>
      </c>
      <c r="C18" s="2"/>
      <c r="D18" s="2"/>
      <c r="E18" s="2"/>
      <c r="F18" s="2"/>
      <c r="G18" s="2"/>
      <c r="H18" s="2"/>
      <c r="I18" s="2"/>
      <c r="J18" s="38">
        <v>-74420260</v>
      </c>
      <c r="K18" s="38">
        <v>-8317620</v>
      </c>
      <c r="L18" s="38"/>
      <c r="M18" s="38">
        <f>SUM(J18:L18)</f>
        <v>-82737880</v>
      </c>
      <c r="N18" s="50">
        <f>M13+M18</f>
        <v>219896362</v>
      </c>
    </row>
    <row r="19" spans="1:19" ht="18.75">
      <c r="B19" s="1"/>
      <c r="C19" s="1"/>
      <c r="D19" s="1" t="s">
        <v>20</v>
      </c>
      <c r="E19" s="1"/>
      <c r="F19" s="2"/>
      <c r="G19" s="2"/>
      <c r="H19" s="2"/>
      <c r="I19" s="2"/>
      <c r="J19" s="68">
        <f>SUM(J16:J18)</f>
        <v>-141423904</v>
      </c>
      <c r="K19" s="68">
        <f>SUM(K16:K18)</f>
        <v>-12940294</v>
      </c>
      <c r="L19" s="68">
        <f>SUM(L16:L18)</f>
        <v>7637756</v>
      </c>
      <c r="M19" s="68">
        <f>SUM(M16:M18)</f>
        <v>-146726442</v>
      </c>
    </row>
    <row r="20" spans="1:19" ht="18.75">
      <c r="B20" s="1" t="s">
        <v>21</v>
      </c>
      <c r="C20" s="1"/>
      <c r="D20" s="1"/>
      <c r="E20" s="1"/>
      <c r="F20" s="2"/>
      <c r="G20" s="2"/>
      <c r="H20" s="2"/>
      <c r="I20" s="2"/>
      <c r="J20" s="68">
        <f>SUM(J14+J19)</f>
        <v>257999620</v>
      </c>
      <c r="K20" s="68">
        <f t="shared" ref="K20:M20" si="0">SUM(K14+K19)</f>
        <v>12349438</v>
      </c>
      <c r="L20" s="68">
        <f t="shared" si="0"/>
        <v>-1154676</v>
      </c>
      <c r="M20" s="68">
        <f t="shared" si="0"/>
        <v>269194382</v>
      </c>
    </row>
    <row r="21" spans="1:19" ht="18.75">
      <c r="B21" s="1" t="s">
        <v>443</v>
      </c>
      <c r="C21" s="1"/>
      <c r="D21" s="1"/>
      <c r="E21" s="1"/>
      <c r="F21" s="2"/>
      <c r="G21" s="2"/>
      <c r="H21" s="2"/>
      <c r="I21" s="2"/>
      <c r="J21" s="68">
        <f>SUM(J9+J14+J19)</f>
        <v>321841492</v>
      </c>
      <c r="K21" s="68">
        <f t="shared" ref="K21:M21" si="1">SUM(K9+K14+K19)</f>
        <v>44608755</v>
      </c>
      <c r="L21" s="68">
        <f t="shared" si="1"/>
        <v>-19869251</v>
      </c>
      <c r="M21" s="68">
        <f t="shared" si="1"/>
        <v>346580996</v>
      </c>
      <c r="N21" s="50">
        <f>SUM(N7:N19)</f>
        <v>346580996</v>
      </c>
    </row>
    <row r="22" spans="1:19" ht="18.75">
      <c r="B22" s="1"/>
      <c r="C22" s="1"/>
      <c r="D22" s="1"/>
      <c r="E22" s="1"/>
      <c r="F22" s="2"/>
      <c r="G22" s="2"/>
      <c r="H22" s="2"/>
      <c r="I22" s="2"/>
      <c r="J22" s="76"/>
      <c r="K22" s="76"/>
      <c r="L22" s="76"/>
      <c r="M22" s="76"/>
    </row>
    <row r="23" spans="1:19" ht="18.75">
      <c r="B23" s="1"/>
      <c r="C23" s="1"/>
      <c r="D23" s="1"/>
      <c r="E23" s="1"/>
      <c r="F23" s="2"/>
      <c r="G23" s="2"/>
      <c r="H23" s="2"/>
      <c r="I23" s="2"/>
      <c r="J23" s="76"/>
      <c r="K23" s="76"/>
      <c r="L23" s="76"/>
      <c r="M23" s="76"/>
    </row>
    <row r="24" spans="1:19" ht="18.75">
      <c r="A24" s="49" t="s">
        <v>423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18.75">
      <c r="B25" s="1" t="s">
        <v>9</v>
      </c>
      <c r="C25" s="1"/>
      <c r="D25" s="1"/>
      <c r="E25" s="1"/>
      <c r="F25" s="1"/>
      <c r="G25" s="1"/>
      <c r="H25" s="2"/>
      <c r="I25" s="2"/>
      <c r="J25" s="38"/>
      <c r="K25" s="38"/>
      <c r="L25" s="38"/>
      <c r="M25" s="38"/>
    </row>
    <row r="26" spans="1:19" ht="18.75">
      <c r="B26" s="2" t="s">
        <v>10</v>
      </c>
      <c r="C26" s="2"/>
      <c r="D26" s="2"/>
      <c r="E26" s="2"/>
      <c r="F26" s="2"/>
      <c r="G26" s="2"/>
      <c r="H26" s="2"/>
      <c r="I26" s="2"/>
      <c r="J26" s="38">
        <v>3692923</v>
      </c>
      <c r="K26" s="38"/>
      <c r="L26" s="38"/>
      <c r="M26" s="38">
        <f>SUM(J26:L26)</f>
        <v>3692923</v>
      </c>
      <c r="N26" s="50">
        <f>M26</f>
        <v>3692923</v>
      </c>
    </row>
    <row r="27" spans="1:19" ht="18.75">
      <c r="B27" s="2" t="s">
        <v>11</v>
      </c>
      <c r="C27" s="2"/>
      <c r="D27" s="2"/>
      <c r="E27" s="2"/>
      <c r="F27" s="2"/>
      <c r="G27" s="2"/>
      <c r="H27" s="2"/>
      <c r="I27" s="2"/>
      <c r="J27" s="38">
        <v>2785867</v>
      </c>
      <c r="K27" s="38">
        <v>5887449</v>
      </c>
      <c r="L27" s="38">
        <v>-2061658</v>
      </c>
      <c r="M27" s="38">
        <f>SUM(J27:L27)</f>
        <v>6611658</v>
      </c>
      <c r="N27" s="50">
        <f>M27</f>
        <v>6611658</v>
      </c>
    </row>
    <row r="28" spans="1:19" ht="18.75">
      <c r="B28" s="1"/>
      <c r="C28" s="1" t="s">
        <v>92</v>
      </c>
      <c r="D28" s="1"/>
      <c r="E28" s="1"/>
      <c r="F28" s="1"/>
      <c r="G28" s="1"/>
      <c r="H28" s="1"/>
      <c r="I28" s="1"/>
      <c r="J28" s="71">
        <f>SUM(J26:J27)</f>
        <v>6478790</v>
      </c>
      <c r="K28" s="71">
        <f>SUM(K26:K27)</f>
        <v>5887449</v>
      </c>
      <c r="L28" s="71">
        <f>SUM(L26:L27)</f>
        <v>-2061658</v>
      </c>
      <c r="M28" s="71">
        <f>SUM(J28:L28)</f>
        <v>10304581</v>
      </c>
    </row>
    <row r="29" spans="1:19" ht="18.75">
      <c r="B29" s="1" t="s">
        <v>216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9" ht="18.75">
      <c r="B30" s="2" t="s">
        <v>504</v>
      </c>
      <c r="C30" s="2"/>
      <c r="D30" s="2"/>
      <c r="E30" s="2"/>
      <c r="F30" s="2"/>
      <c r="G30" s="2"/>
      <c r="H30" s="2"/>
      <c r="I30" s="2"/>
      <c r="J30" s="2">
        <v>101579366</v>
      </c>
      <c r="K30" s="2">
        <v>1897620</v>
      </c>
      <c r="L30" s="2"/>
      <c r="M30" s="2">
        <f t="shared" ref="M30:M35" si="2">SUM(J30:L30)</f>
        <v>103476986</v>
      </c>
    </row>
    <row r="31" spans="1:19" ht="18.75">
      <c r="B31" s="2" t="s">
        <v>505</v>
      </c>
      <c r="C31" s="2"/>
      <c r="D31" s="2"/>
      <c r="E31" s="2"/>
      <c r="F31" s="2"/>
      <c r="G31" s="2"/>
      <c r="H31" s="2"/>
      <c r="I31" s="2"/>
      <c r="J31" s="2">
        <v>30876900</v>
      </c>
      <c r="K31" s="2">
        <v>1520794</v>
      </c>
      <c r="L31" s="2"/>
      <c r="M31" s="2">
        <f t="shared" si="2"/>
        <v>32397694</v>
      </c>
    </row>
    <row r="32" spans="1:19" ht="18.75">
      <c r="B32" s="2" t="s">
        <v>506</v>
      </c>
      <c r="C32" s="2"/>
      <c r="D32" s="2"/>
      <c r="E32" s="2"/>
      <c r="F32" s="2"/>
      <c r="G32" s="2"/>
      <c r="H32" s="2"/>
      <c r="I32" s="2"/>
      <c r="J32" s="2">
        <v>136662164</v>
      </c>
      <c r="K32" s="2">
        <v>2151452</v>
      </c>
      <c r="L32" s="2"/>
      <c r="M32" s="2">
        <f t="shared" si="2"/>
        <v>138813616</v>
      </c>
    </row>
    <row r="33" spans="2:14" ht="18.75">
      <c r="B33" s="2" t="s">
        <v>507</v>
      </c>
      <c r="C33" s="2"/>
      <c r="D33" s="2"/>
      <c r="E33" s="2"/>
      <c r="F33" s="2"/>
      <c r="G33" s="2"/>
      <c r="H33" s="2"/>
      <c r="I33" s="2"/>
      <c r="J33" s="2">
        <v>8606787</v>
      </c>
      <c r="K33" s="38">
        <v>73203</v>
      </c>
      <c r="L33" s="38"/>
      <c r="M33" s="2">
        <f t="shared" si="2"/>
        <v>8679990</v>
      </c>
    </row>
    <row r="34" spans="2:14" ht="18.75">
      <c r="B34" s="2" t="s">
        <v>508</v>
      </c>
      <c r="C34" s="2"/>
      <c r="D34" s="2"/>
      <c r="E34" s="2"/>
      <c r="F34" s="2"/>
      <c r="G34" s="2"/>
      <c r="H34" s="2"/>
      <c r="I34" s="2"/>
      <c r="J34" s="2">
        <v>19296686</v>
      </c>
      <c r="K34" s="38">
        <v>16748</v>
      </c>
      <c r="L34" s="38">
        <v>-31231</v>
      </c>
      <c r="M34" s="2">
        <f t="shared" si="2"/>
        <v>19282203</v>
      </c>
    </row>
    <row r="35" spans="2:14" ht="18.75">
      <c r="B35" s="2" t="s">
        <v>15</v>
      </c>
      <c r="C35" s="2"/>
      <c r="D35" s="2"/>
      <c r="E35" s="2"/>
      <c r="F35" s="2"/>
      <c r="G35" s="2"/>
      <c r="H35" s="2"/>
      <c r="I35" s="2"/>
      <c r="J35" s="2">
        <v>8725765</v>
      </c>
      <c r="K35" s="38">
        <v>422152</v>
      </c>
      <c r="L35" s="38">
        <v>29764</v>
      </c>
      <c r="M35" s="2">
        <f t="shared" si="2"/>
        <v>9177681</v>
      </c>
    </row>
    <row r="36" spans="2:14" ht="18.75">
      <c r="B36" s="1"/>
      <c r="C36" s="1"/>
      <c r="D36" s="1" t="s">
        <v>18</v>
      </c>
      <c r="E36" s="1"/>
      <c r="F36" s="1"/>
      <c r="G36" s="2"/>
      <c r="H36" s="2"/>
      <c r="I36" s="2"/>
      <c r="J36" s="68">
        <f>SUM(J30:J35)</f>
        <v>305747668</v>
      </c>
      <c r="K36" s="68">
        <f>SUM(K30:K35)</f>
        <v>6081969</v>
      </c>
      <c r="L36" s="68">
        <f>SUM(L30:L35)</f>
        <v>-1467</v>
      </c>
      <c r="M36" s="68">
        <f>SUM(M30:M35)</f>
        <v>311828170</v>
      </c>
    </row>
    <row r="37" spans="2:14" ht="18.75">
      <c r="B37" s="1" t="s">
        <v>19</v>
      </c>
      <c r="C37" s="2"/>
      <c r="D37" s="2"/>
      <c r="E37" s="2"/>
      <c r="F37" s="2"/>
      <c r="G37" s="2"/>
      <c r="H37" s="2"/>
      <c r="I37" s="2"/>
      <c r="J37" s="2"/>
      <c r="K37" s="38"/>
      <c r="L37" s="38"/>
      <c r="M37" s="38"/>
    </row>
    <row r="38" spans="2:14" ht="18.75">
      <c r="B38" s="2" t="s">
        <v>504</v>
      </c>
      <c r="C38" s="2"/>
      <c r="D38" s="2"/>
      <c r="E38" s="2"/>
      <c r="F38" s="2"/>
      <c r="G38" s="2"/>
      <c r="H38" s="2"/>
      <c r="I38" s="2"/>
      <c r="J38" s="38">
        <v>-70748837</v>
      </c>
      <c r="K38" s="38">
        <v>-2287891</v>
      </c>
      <c r="L38" s="38"/>
      <c r="M38" s="38">
        <f t="shared" ref="M38:M44" si="3">SUM(J38:L38)</f>
        <v>-73036728</v>
      </c>
      <c r="N38" s="96">
        <f t="shared" ref="N38:N43" si="4">M30+M38</f>
        <v>30440258</v>
      </c>
    </row>
    <row r="39" spans="2:14" ht="18.75">
      <c r="B39" s="2" t="s">
        <v>505</v>
      </c>
      <c r="C39" s="2"/>
      <c r="D39" s="2"/>
      <c r="E39" s="2"/>
      <c r="F39" s="2"/>
      <c r="G39" s="2"/>
      <c r="H39" s="2"/>
      <c r="I39" s="2"/>
      <c r="J39" s="38">
        <v>-15511551</v>
      </c>
      <c r="K39" s="38">
        <v>-1110591</v>
      </c>
      <c r="L39" s="38"/>
      <c r="M39" s="38">
        <f t="shared" si="3"/>
        <v>-16622142</v>
      </c>
      <c r="N39" s="96">
        <f t="shared" si="4"/>
        <v>15775552</v>
      </c>
    </row>
    <row r="40" spans="2:14" ht="18.75">
      <c r="B40" s="2" t="s">
        <v>506</v>
      </c>
      <c r="C40" s="2"/>
      <c r="D40" s="2"/>
      <c r="E40" s="2"/>
      <c r="F40" s="2"/>
      <c r="G40" s="2"/>
      <c r="H40" s="2"/>
      <c r="I40" s="2"/>
      <c r="J40" s="38">
        <v>-57940466</v>
      </c>
      <c r="K40" s="38">
        <v>-3301011</v>
      </c>
      <c r="L40" s="38"/>
      <c r="M40" s="38">
        <f t="shared" si="3"/>
        <v>-61241477</v>
      </c>
      <c r="N40" s="96">
        <f t="shared" si="4"/>
        <v>77572139</v>
      </c>
    </row>
    <row r="41" spans="2:14" ht="18.75">
      <c r="B41" s="2" t="s">
        <v>509</v>
      </c>
      <c r="C41" s="2"/>
      <c r="D41" s="2"/>
      <c r="E41" s="2"/>
      <c r="F41" s="2"/>
      <c r="G41" s="2"/>
      <c r="H41" s="2"/>
      <c r="I41" s="2"/>
      <c r="J41" s="38">
        <v>-1378179</v>
      </c>
      <c r="K41" s="38">
        <v>-225570</v>
      </c>
      <c r="L41" s="38"/>
      <c r="M41" s="38">
        <f t="shared" si="3"/>
        <v>-1603749</v>
      </c>
      <c r="N41" s="96">
        <f t="shared" si="4"/>
        <v>7076241</v>
      </c>
    </row>
    <row r="42" spans="2:14" ht="18.75">
      <c r="B42" s="2" t="s">
        <v>508</v>
      </c>
      <c r="C42" s="2"/>
      <c r="D42" s="2"/>
      <c r="E42" s="2"/>
      <c r="F42" s="2"/>
      <c r="G42" s="2"/>
      <c r="H42" s="2"/>
      <c r="I42" s="2"/>
      <c r="J42" s="38">
        <v>-8406035</v>
      </c>
      <c r="K42" s="38">
        <v>-516590</v>
      </c>
      <c r="L42" s="38">
        <v>31231</v>
      </c>
      <c r="M42" s="38">
        <f t="shared" si="3"/>
        <v>-8891394</v>
      </c>
      <c r="N42" s="50">
        <f t="shared" si="4"/>
        <v>10390809</v>
      </c>
    </row>
    <row r="43" spans="2:14" ht="18.75">
      <c r="B43" s="2" t="s">
        <v>15</v>
      </c>
      <c r="C43" s="2"/>
      <c r="D43" s="2"/>
      <c r="E43" s="2"/>
      <c r="F43" s="2"/>
      <c r="G43" s="2"/>
      <c r="H43" s="2"/>
      <c r="I43" s="2"/>
      <c r="J43" s="38">
        <v>-5606722</v>
      </c>
      <c r="K43" s="38">
        <v>-381689</v>
      </c>
      <c r="L43" s="38">
        <v>-17623</v>
      </c>
      <c r="M43" s="38">
        <f t="shared" si="3"/>
        <v>-6006034</v>
      </c>
      <c r="N43" s="50">
        <f t="shared" si="4"/>
        <v>3171647</v>
      </c>
    </row>
    <row r="44" spans="2:14" ht="18.75">
      <c r="B44" s="1"/>
      <c r="C44" s="1"/>
      <c r="D44" s="1" t="s">
        <v>20</v>
      </c>
      <c r="E44" s="1"/>
      <c r="F44" s="2"/>
      <c r="G44" s="2"/>
      <c r="H44" s="2"/>
      <c r="I44" s="2"/>
      <c r="J44" s="68">
        <f>SUM(J38:J43)</f>
        <v>-159591790</v>
      </c>
      <c r="K44" s="68">
        <f>SUM(K38:K43)</f>
        <v>-7823342</v>
      </c>
      <c r="L44" s="68">
        <f>SUM(L38:L43)</f>
        <v>13608</v>
      </c>
      <c r="M44" s="68">
        <f t="shared" si="3"/>
        <v>-167401524</v>
      </c>
    </row>
    <row r="45" spans="2:14" ht="18.75">
      <c r="B45" s="1" t="s">
        <v>21</v>
      </c>
      <c r="C45" s="1"/>
      <c r="D45" s="1"/>
      <c r="E45" s="1"/>
      <c r="F45" s="2"/>
      <c r="G45" s="2"/>
      <c r="H45" s="2"/>
      <c r="I45" s="2"/>
      <c r="J45" s="68">
        <f>SUM(J36+J44)</f>
        <v>146155878</v>
      </c>
      <c r="K45" s="68">
        <f t="shared" ref="K45:M45" si="5">SUM(K36+K44)</f>
        <v>-1741373</v>
      </c>
      <c r="L45" s="68">
        <f t="shared" si="5"/>
        <v>12141</v>
      </c>
      <c r="M45" s="68">
        <f t="shared" si="5"/>
        <v>144426646</v>
      </c>
    </row>
    <row r="46" spans="2:14" ht="18.75">
      <c r="B46" s="1" t="s">
        <v>444</v>
      </c>
      <c r="C46" s="1"/>
      <c r="D46" s="1"/>
      <c r="E46" s="1"/>
      <c r="F46" s="2"/>
      <c r="G46" s="2"/>
      <c r="H46" s="2"/>
      <c r="I46" s="2"/>
      <c r="J46" s="68">
        <f>SUM(J28+J36+J44)</f>
        <v>152634668</v>
      </c>
      <c r="K46" s="68">
        <f t="shared" ref="K46:M46" si="6">SUM(K28+K36+K44)</f>
        <v>4146076</v>
      </c>
      <c r="L46" s="68">
        <f t="shared" si="6"/>
        <v>-2049517</v>
      </c>
      <c r="M46" s="68">
        <f t="shared" si="6"/>
        <v>154731227</v>
      </c>
      <c r="N46" s="50">
        <f>SUM(N26:N43)</f>
        <v>154731227</v>
      </c>
    </row>
  </sheetData>
  <mergeCells count="3">
    <mergeCell ref="E1:J1"/>
    <mergeCell ref="E2:J2"/>
    <mergeCell ref="E3:J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43"/>
  <sheetViews>
    <sheetView zoomScale="90" zoomScaleNormal="90" zoomScalePageLayoutView="70" workbookViewId="0">
      <selection activeCell="M55" sqref="M55"/>
    </sheetView>
  </sheetViews>
  <sheetFormatPr defaultColWidth="8.85546875" defaultRowHeight="15"/>
  <cols>
    <col min="2" max="2" width="5.7109375" customWidth="1"/>
    <col min="9" max="9" width="17.42578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2"/>
      <c r="B1" s="2"/>
      <c r="C1" s="2"/>
      <c r="D1" s="159" t="s">
        <v>510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63" t="s">
        <v>3</v>
      </c>
      <c r="J5" s="63" t="s">
        <v>63</v>
      </c>
      <c r="K5" s="63" t="s">
        <v>68</v>
      </c>
      <c r="L5" s="63" t="s">
        <v>6</v>
      </c>
      <c r="M5" s="63" t="s">
        <v>7</v>
      </c>
    </row>
    <row r="6" spans="1:13" ht="18.75">
      <c r="A6" s="1" t="s">
        <v>390</v>
      </c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3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</row>
    <row r="8" spans="1:13" ht="18.75">
      <c r="A8" s="2"/>
      <c r="B8" s="2" t="s">
        <v>10</v>
      </c>
      <c r="C8" s="2"/>
      <c r="D8" s="2"/>
      <c r="E8" s="2"/>
      <c r="F8" s="2"/>
      <c r="G8" s="2"/>
      <c r="H8" s="2"/>
      <c r="I8" s="38">
        <v>962888</v>
      </c>
      <c r="J8" s="38"/>
      <c r="K8" s="38"/>
      <c r="L8" s="38">
        <f>SUM(I8:K8)</f>
        <v>962888</v>
      </c>
      <c r="M8" s="48">
        <f>L8</f>
        <v>962888</v>
      </c>
    </row>
    <row r="9" spans="1:13" ht="18.75">
      <c r="A9" s="2"/>
      <c r="B9" s="2" t="s">
        <v>11</v>
      </c>
      <c r="C9" s="2"/>
      <c r="D9" s="2"/>
      <c r="E9" s="2"/>
      <c r="F9" s="2"/>
      <c r="G9" s="2"/>
      <c r="H9" s="2"/>
      <c r="I9" s="2"/>
      <c r="J9" s="2">
        <v>63135</v>
      </c>
      <c r="K9" s="2"/>
      <c r="L9" s="38">
        <f>SUM(I9:K9)</f>
        <v>63135</v>
      </c>
      <c r="M9" s="48">
        <f>L9</f>
        <v>63135</v>
      </c>
    </row>
    <row r="10" spans="1:13" ht="18.75">
      <c r="A10" s="1"/>
      <c r="B10" s="1"/>
      <c r="C10" s="1" t="s">
        <v>70</v>
      </c>
      <c r="D10" s="1"/>
      <c r="E10" s="1"/>
      <c r="F10" s="1"/>
      <c r="G10" s="1"/>
      <c r="H10" s="1"/>
      <c r="I10" s="74">
        <f>SUM(I8:I9)</f>
        <v>962888</v>
      </c>
      <c r="J10" s="74">
        <f>SUM(J8:J9)</f>
        <v>63135</v>
      </c>
      <c r="K10" s="74">
        <f>SUM(K8:K9)</f>
        <v>0</v>
      </c>
      <c r="L10" s="74">
        <f>SUM(L8:L9)</f>
        <v>1026023</v>
      </c>
      <c r="M10" s="33"/>
    </row>
    <row r="11" spans="1:1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3"/>
    </row>
    <row r="12" spans="1:13" ht="18.75">
      <c r="A12" s="1" t="s">
        <v>216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3"/>
    </row>
    <row r="13" spans="1:13" ht="18.75">
      <c r="A13" s="2"/>
      <c r="B13" s="2" t="s">
        <v>106</v>
      </c>
      <c r="C13" s="2"/>
      <c r="D13" s="2"/>
      <c r="E13" s="2"/>
      <c r="F13" s="2"/>
      <c r="G13" s="2"/>
      <c r="H13" s="2"/>
      <c r="I13" s="2">
        <v>1793309</v>
      </c>
      <c r="J13" s="38"/>
      <c r="K13" s="38"/>
      <c r="L13" s="38">
        <f>SUM(I13:K13)</f>
        <v>1793309</v>
      </c>
      <c r="M13" s="33"/>
    </row>
    <row r="14" spans="1:13" ht="18.75">
      <c r="A14" s="2"/>
      <c r="B14" s="2" t="s">
        <v>14</v>
      </c>
      <c r="C14" s="2"/>
      <c r="D14" s="2"/>
      <c r="E14" s="2"/>
      <c r="F14" s="2"/>
      <c r="G14" s="2"/>
      <c r="H14" s="2"/>
      <c r="I14" s="2">
        <v>9285405</v>
      </c>
      <c r="J14" s="38"/>
      <c r="K14" s="38"/>
      <c r="L14" s="38">
        <f t="shared" ref="L14:L23" si="0">SUM(I14:K14)</f>
        <v>9285405</v>
      </c>
      <c r="M14" s="33"/>
    </row>
    <row r="15" spans="1:13" ht="18.75">
      <c r="A15" s="2"/>
      <c r="B15" s="2" t="s">
        <v>511</v>
      </c>
      <c r="C15" s="2"/>
      <c r="D15" s="2"/>
      <c r="E15" s="2"/>
      <c r="F15" s="2"/>
      <c r="G15" s="2"/>
      <c r="H15" s="2"/>
      <c r="I15" s="2">
        <v>1838085</v>
      </c>
      <c r="J15" s="38"/>
      <c r="K15" s="38"/>
      <c r="L15" s="38">
        <f t="shared" si="0"/>
        <v>1838085</v>
      </c>
      <c r="M15" s="33"/>
    </row>
    <row r="16" spans="1:13" ht="18.75">
      <c r="A16" s="2"/>
      <c r="B16" s="2" t="s">
        <v>512</v>
      </c>
      <c r="C16" s="2"/>
      <c r="D16" s="2"/>
      <c r="E16" s="2"/>
      <c r="F16" s="2"/>
      <c r="G16" s="2"/>
      <c r="H16" s="2"/>
      <c r="I16" s="2">
        <v>1885608</v>
      </c>
      <c r="J16" s="38"/>
      <c r="K16" s="38"/>
      <c r="L16" s="38">
        <f t="shared" si="0"/>
        <v>1885608</v>
      </c>
      <c r="M16" s="33"/>
    </row>
    <row r="17" spans="1:13" ht="18.75">
      <c r="A17" s="2"/>
      <c r="B17" s="2" t="s">
        <v>107</v>
      </c>
      <c r="C17" s="2"/>
      <c r="D17" s="2"/>
      <c r="E17" s="2"/>
      <c r="F17" s="2"/>
      <c r="G17" s="2"/>
      <c r="H17" s="2"/>
      <c r="I17" s="2">
        <v>6771610</v>
      </c>
      <c r="J17" s="38">
        <v>521826</v>
      </c>
      <c r="K17" s="38">
        <v>-1116490</v>
      </c>
      <c r="L17" s="38">
        <f t="shared" si="0"/>
        <v>6176946</v>
      </c>
      <c r="M17" s="33"/>
    </row>
    <row r="18" spans="1:13" ht="18.75">
      <c r="A18" s="2"/>
      <c r="B18" s="2" t="s">
        <v>31</v>
      </c>
      <c r="C18" s="2"/>
      <c r="D18" s="2"/>
      <c r="E18" s="2"/>
      <c r="F18" s="2"/>
      <c r="G18" s="2"/>
      <c r="H18" s="2"/>
      <c r="I18" s="2">
        <v>2131958</v>
      </c>
      <c r="J18" s="38">
        <v>60807</v>
      </c>
      <c r="K18" s="38">
        <v>-349481</v>
      </c>
      <c r="L18" s="38">
        <f t="shared" si="0"/>
        <v>1843284</v>
      </c>
      <c r="M18" s="33"/>
    </row>
    <row r="19" spans="1:13" ht="18.75">
      <c r="A19" s="2"/>
      <c r="B19" s="2" t="s">
        <v>75</v>
      </c>
      <c r="C19" s="2"/>
      <c r="D19" s="2"/>
      <c r="E19" s="2"/>
      <c r="F19" s="2"/>
      <c r="G19" s="2"/>
      <c r="H19" s="2"/>
      <c r="I19" s="2">
        <v>699030</v>
      </c>
      <c r="J19" s="38"/>
      <c r="K19" s="38"/>
      <c r="L19" s="38">
        <f t="shared" si="0"/>
        <v>699030</v>
      </c>
      <c r="M19" s="33"/>
    </row>
    <row r="20" spans="1:13" ht="18.75">
      <c r="A20" s="2"/>
      <c r="B20" s="2" t="s">
        <v>287</v>
      </c>
      <c r="C20" s="2"/>
      <c r="D20" s="2"/>
      <c r="E20" s="2"/>
      <c r="F20" s="2"/>
      <c r="G20" s="2"/>
      <c r="H20" s="2"/>
      <c r="I20" s="2"/>
      <c r="J20" s="38"/>
      <c r="K20" s="38"/>
      <c r="L20" s="38"/>
      <c r="M20" s="33"/>
    </row>
    <row r="21" spans="1:13" ht="18.75">
      <c r="A21" s="2"/>
      <c r="B21" s="2"/>
      <c r="C21" s="2" t="s">
        <v>109</v>
      </c>
      <c r="D21" s="2"/>
      <c r="E21" s="2"/>
      <c r="F21" s="2"/>
      <c r="G21" s="2"/>
      <c r="H21" s="2"/>
      <c r="I21" s="2">
        <v>227302</v>
      </c>
      <c r="J21" s="38">
        <v>3000</v>
      </c>
      <c r="K21" s="38"/>
      <c r="L21" s="38">
        <f t="shared" si="0"/>
        <v>230302</v>
      </c>
      <c r="M21" s="33"/>
    </row>
    <row r="22" spans="1:13" ht="18.75">
      <c r="A22" s="2"/>
      <c r="B22" s="2"/>
      <c r="C22" s="2" t="s">
        <v>513</v>
      </c>
      <c r="D22" s="2"/>
      <c r="E22" s="2"/>
      <c r="F22" s="2"/>
      <c r="G22" s="2"/>
      <c r="H22" s="2"/>
      <c r="I22" s="2">
        <v>105530</v>
      </c>
      <c r="J22" s="38"/>
      <c r="K22" s="38"/>
      <c r="L22" s="38">
        <f t="shared" si="0"/>
        <v>105530</v>
      </c>
      <c r="M22" s="33"/>
    </row>
    <row r="23" spans="1:13" ht="18.75">
      <c r="A23" s="2"/>
      <c r="B23" s="2"/>
      <c r="C23" s="2" t="s">
        <v>75</v>
      </c>
      <c r="D23" s="2"/>
      <c r="E23" s="2"/>
      <c r="F23" s="2"/>
      <c r="G23" s="2"/>
      <c r="H23" s="2"/>
      <c r="I23" s="2">
        <v>128378</v>
      </c>
      <c r="J23" s="38"/>
      <c r="K23" s="38"/>
      <c r="L23" s="38">
        <f t="shared" si="0"/>
        <v>128378</v>
      </c>
      <c r="M23" s="33"/>
    </row>
    <row r="24" spans="1:13" ht="18.75">
      <c r="A24" s="2"/>
      <c r="B24" s="2"/>
      <c r="C24" s="2" t="s">
        <v>110</v>
      </c>
      <c r="D24" s="2"/>
      <c r="E24" s="2"/>
      <c r="F24" s="2"/>
      <c r="G24" s="2"/>
      <c r="H24" s="2"/>
      <c r="I24" s="2">
        <v>740350</v>
      </c>
      <c r="J24" s="38">
        <v>104705</v>
      </c>
      <c r="K24" s="38">
        <v>-28998</v>
      </c>
      <c r="L24" s="38">
        <f>SUM(I24:K24)</f>
        <v>816057</v>
      </c>
      <c r="M24" s="33"/>
    </row>
    <row r="25" spans="1:13" ht="18.75">
      <c r="A25" s="2"/>
      <c r="B25" s="2"/>
      <c r="C25" s="1" t="s">
        <v>18</v>
      </c>
      <c r="D25" s="2"/>
      <c r="E25" s="2"/>
      <c r="F25" s="2"/>
      <c r="G25" s="2"/>
      <c r="H25" s="2"/>
      <c r="I25" s="75">
        <f>SUM(I13:I24)</f>
        <v>25606565</v>
      </c>
      <c r="J25" s="75">
        <f>SUM(J13:J24)</f>
        <v>690338</v>
      </c>
      <c r="K25" s="75">
        <f>SUM(K13:K24)</f>
        <v>-1494969</v>
      </c>
      <c r="L25" s="75">
        <f>SUM(L13:L24)</f>
        <v>24801934</v>
      </c>
      <c r="M25" s="33"/>
    </row>
    <row r="26" spans="1:13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3"/>
    </row>
    <row r="27" spans="1:13" ht="18.75">
      <c r="A27" s="1" t="s">
        <v>398</v>
      </c>
      <c r="B27" s="2"/>
      <c r="C27" s="2"/>
      <c r="D27" s="2"/>
      <c r="E27" s="2"/>
      <c r="F27" s="2"/>
      <c r="G27" s="2"/>
      <c r="H27" s="2"/>
      <c r="I27" s="2"/>
      <c r="J27" s="38"/>
      <c r="K27" s="38"/>
      <c r="L27" s="38"/>
      <c r="M27" s="33"/>
    </row>
    <row r="28" spans="1:13" ht="18.75">
      <c r="A28" s="2"/>
      <c r="B28" s="2" t="s">
        <v>106</v>
      </c>
      <c r="C28" s="2"/>
      <c r="D28" s="2"/>
      <c r="E28" s="2"/>
      <c r="F28" s="2"/>
      <c r="G28" s="2"/>
      <c r="H28" s="2"/>
      <c r="I28" s="38">
        <v>654700</v>
      </c>
      <c r="J28" s="38">
        <v>59347</v>
      </c>
      <c r="K28" s="38"/>
      <c r="L28" s="38">
        <f>SUM(I28:K28)</f>
        <v>714047</v>
      </c>
      <c r="M28" s="48">
        <f>L13-L28</f>
        <v>1079262</v>
      </c>
    </row>
    <row r="29" spans="1:13" ht="18.75">
      <c r="A29" s="2"/>
      <c r="B29" s="2" t="s">
        <v>14</v>
      </c>
      <c r="C29" s="2"/>
      <c r="D29" s="2"/>
      <c r="E29" s="2"/>
      <c r="F29" s="2"/>
      <c r="G29" s="2"/>
      <c r="H29" s="2"/>
      <c r="I29" s="38">
        <v>4263516</v>
      </c>
      <c r="J29" s="38">
        <v>230886</v>
      </c>
      <c r="K29" s="38"/>
      <c r="L29" s="38">
        <f t="shared" ref="L29:L38" si="1">SUM(I29:K29)</f>
        <v>4494402</v>
      </c>
      <c r="M29" s="48">
        <f t="shared" ref="M29:M37" si="2">L14-L29</f>
        <v>4791003</v>
      </c>
    </row>
    <row r="30" spans="1:13" ht="18.75">
      <c r="A30" s="2"/>
      <c r="B30" s="2" t="s">
        <v>511</v>
      </c>
      <c r="C30" s="2"/>
      <c r="D30" s="2"/>
      <c r="E30" s="2"/>
      <c r="F30" s="2"/>
      <c r="G30" s="2"/>
      <c r="H30" s="2"/>
      <c r="I30" s="38">
        <v>69176</v>
      </c>
      <c r="J30" s="38">
        <v>81509</v>
      </c>
      <c r="K30" s="38"/>
      <c r="L30" s="38">
        <f t="shared" si="1"/>
        <v>150685</v>
      </c>
      <c r="M30" s="48">
        <f t="shared" si="2"/>
        <v>1687400</v>
      </c>
    </row>
    <row r="31" spans="1:13" ht="18.75">
      <c r="A31" s="2"/>
      <c r="B31" s="2" t="s">
        <v>512</v>
      </c>
      <c r="C31" s="2"/>
      <c r="D31" s="2"/>
      <c r="E31" s="2"/>
      <c r="F31" s="2"/>
      <c r="G31" s="2"/>
      <c r="H31" s="2"/>
      <c r="I31" s="38">
        <v>1222079</v>
      </c>
      <c r="J31" s="38">
        <v>101361</v>
      </c>
      <c r="K31" s="38"/>
      <c r="L31" s="38">
        <f t="shared" si="1"/>
        <v>1323440</v>
      </c>
      <c r="M31" s="48">
        <f t="shared" si="2"/>
        <v>562168</v>
      </c>
    </row>
    <row r="32" spans="1:13" ht="18.75">
      <c r="A32" s="2"/>
      <c r="B32" s="2" t="s">
        <v>107</v>
      </c>
      <c r="C32" s="2"/>
      <c r="D32" s="2"/>
      <c r="E32" s="2"/>
      <c r="F32" s="2"/>
      <c r="G32" s="2"/>
      <c r="H32" s="2"/>
      <c r="I32" s="38">
        <v>4613560</v>
      </c>
      <c r="J32" s="38">
        <v>386437</v>
      </c>
      <c r="K32" s="38">
        <v>-1104773</v>
      </c>
      <c r="L32" s="38">
        <f t="shared" si="1"/>
        <v>3895224</v>
      </c>
      <c r="M32" s="48">
        <f t="shared" si="2"/>
        <v>2281722</v>
      </c>
    </row>
    <row r="33" spans="1:13" ht="18.75">
      <c r="A33" s="2"/>
      <c r="B33" s="2" t="s">
        <v>31</v>
      </c>
      <c r="C33" s="2"/>
      <c r="D33" s="2"/>
      <c r="E33" s="2"/>
      <c r="F33" s="2"/>
      <c r="G33" s="2"/>
      <c r="H33" s="2"/>
      <c r="I33" s="38">
        <v>1870934</v>
      </c>
      <c r="J33" s="38">
        <v>99732</v>
      </c>
      <c r="K33" s="38">
        <v>-349481</v>
      </c>
      <c r="L33" s="38">
        <f t="shared" si="1"/>
        <v>1621185</v>
      </c>
      <c r="M33" s="48">
        <f t="shared" si="2"/>
        <v>222099</v>
      </c>
    </row>
    <row r="34" spans="1:13" ht="18.75">
      <c r="A34" s="2"/>
      <c r="B34" s="2" t="s">
        <v>75</v>
      </c>
      <c r="C34" s="2"/>
      <c r="D34" s="2"/>
      <c r="E34" s="2"/>
      <c r="F34" s="2"/>
      <c r="G34" s="2"/>
      <c r="H34" s="2"/>
      <c r="I34" s="38">
        <v>670968</v>
      </c>
      <c r="J34" s="38">
        <v>12316</v>
      </c>
      <c r="K34" s="38"/>
      <c r="L34" s="38">
        <f t="shared" si="1"/>
        <v>683284</v>
      </c>
      <c r="M34" s="48">
        <f t="shared" si="2"/>
        <v>15746</v>
      </c>
    </row>
    <row r="35" spans="1:13" ht="18.75">
      <c r="A35" s="2"/>
      <c r="B35" s="2" t="s">
        <v>287</v>
      </c>
      <c r="C35" s="2"/>
      <c r="D35" s="2"/>
      <c r="E35" s="2"/>
      <c r="F35" s="2"/>
      <c r="G35" s="2"/>
      <c r="H35" s="2"/>
      <c r="I35" s="38"/>
      <c r="J35" s="38"/>
      <c r="K35" s="38"/>
      <c r="L35" s="38"/>
      <c r="M35" s="48"/>
    </row>
    <row r="36" spans="1:13" ht="18.75">
      <c r="A36" s="2"/>
      <c r="B36" s="2"/>
      <c r="C36" s="2" t="s">
        <v>109</v>
      </c>
      <c r="D36" s="2"/>
      <c r="E36" s="2"/>
      <c r="F36" s="2"/>
      <c r="G36" s="2"/>
      <c r="H36" s="2"/>
      <c r="I36" s="38">
        <v>190759</v>
      </c>
      <c r="J36" s="38">
        <v>4302</v>
      </c>
      <c r="K36" s="38"/>
      <c r="L36" s="38">
        <f t="shared" si="1"/>
        <v>195061</v>
      </c>
      <c r="M36" s="48">
        <f t="shared" si="2"/>
        <v>35241</v>
      </c>
    </row>
    <row r="37" spans="1:13" ht="18.75">
      <c r="A37" s="2"/>
      <c r="B37" s="2"/>
      <c r="C37" s="2" t="s">
        <v>513</v>
      </c>
      <c r="D37" s="2"/>
      <c r="E37" s="2"/>
      <c r="F37" s="2"/>
      <c r="G37" s="2"/>
      <c r="H37" s="2"/>
      <c r="I37" s="38">
        <v>63318</v>
      </c>
      <c r="J37" s="38">
        <v>10553</v>
      </c>
      <c r="K37" s="38"/>
      <c r="L37" s="38">
        <f t="shared" si="1"/>
        <v>73871</v>
      </c>
      <c r="M37" s="48">
        <f t="shared" si="2"/>
        <v>31659</v>
      </c>
    </row>
    <row r="38" spans="1:13" ht="18.75">
      <c r="A38" s="2"/>
      <c r="B38" s="2"/>
      <c r="C38" s="2" t="s">
        <v>75</v>
      </c>
      <c r="D38" s="2"/>
      <c r="E38" s="2"/>
      <c r="F38" s="2"/>
      <c r="G38" s="2"/>
      <c r="H38" s="2"/>
      <c r="I38" s="38">
        <v>128378</v>
      </c>
      <c r="J38" s="38"/>
      <c r="K38" s="38"/>
      <c r="L38" s="38">
        <f t="shared" si="1"/>
        <v>128378</v>
      </c>
      <c r="M38" s="48">
        <f>L23-L38</f>
        <v>0</v>
      </c>
    </row>
    <row r="39" spans="1:13" ht="18.75">
      <c r="A39" s="2"/>
      <c r="B39" s="2"/>
      <c r="C39" s="2" t="s">
        <v>110</v>
      </c>
      <c r="D39" s="2"/>
      <c r="E39" s="2"/>
      <c r="F39" s="2"/>
      <c r="G39" s="2"/>
      <c r="H39" s="2"/>
      <c r="I39" s="38">
        <v>594175</v>
      </c>
      <c r="J39" s="38">
        <v>60245</v>
      </c>
      <c r="K39" s="38">
        <v>-28998</v>
      </c>
      <c r="L39" s="38">
        <f>SUM(I39:K39)</f>
        <v>625422</v>
      </c>
      <c r="M39" s="48">
        <f>L24-L39</f>
        <v>190635</v>
      </c>
    </row>
    <row r="40" spans="1:13" ht="18.75">
      <c r="A40" s="1"/>
      <c r="B40" s="2"/>
      <c r="C40" s="1" t="s">
        <v>20</v>
      </c>
      <c r="D40" s="2"/>
      <c r="E40" s="2"/>
      <c r="F40" s="2"/>
      <c r="G40" s="2"/>
      <c r="H40" s="2"/>
      <c r="I40" s="68">
        <f>SUM(I28:I39)</f>
        <v>14341563</v>
      </c>
      <c r="J40" s="68">
        <f>SUM(J28:J39)</f>
        <v>1046688</v>
      </c>
      <c r="K40" s="68">
        <f>SUM(K28:K39)</f>
        <v>-1483252</v>
      </c>
      <c r="L40" s="68">
        <f>SUM(L28:L39)</f>
        <v>13904999</v>
      </c>
      <c r="M40" s="33"/>
    </row>
    <row r="41" spans="1:13" ht="18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3"/>
    </row>
    <row r="42" spans="1:13" ht="18.75">
      <c r="A42" s="1" t="s">
        <v>467</v>
      </c>
      <c r="B42" s="2"/>
      <c r="C42" s="1"/>
      <c r="D42" s="2"/>
      <c r="E42" s="2"/>
      <c r="F42" s="2"/>
      <c r="G42" s="2"/>
      <c r="H42" s="2"/>
      <c r="I42" s="68">
        <f>I25-I40</f>
        <v>11265002</v>
      </c>
      <c r="J42" s="68">
        <f t="shared" ref="J42:L42" si="3">J25-J40</f>
        <v>-356350</v>
      </c>
      <c r="K42" s="68">
        <f t="shared" si="3"/>
        <v>-11717</v>
      </c>
      <c r="L42" s="68">
        <f t="shared" si="3"/>
        <v>10896935</v>
      </c>
      <c r="M42" s="33"/>
    </row>
    <row r="43" spans="1:13" ht="18.75">
      <c r="A43" s="1" t="s">
        <v>118</v>
      </c>
      <c r="B43" s="2"/>
      <c r="C43" s="1"/>
      <c r="D43" s="2"/>
      <c r="E43" s="2"/>
      <c r="F43" s="2"/>
      <c r="G43" s="2"/>
      <c r="H43" s="2"/>
      <c r="I43" s="68">
        <f>I10+I42</f>
        <v>12227890</v>
      </c>
      <c r="J43" s="68">
        <f>J10+J42</f>
        <v>-293215</v>
      </c>
      <c r="K43" s="68">
        <f>K10+K42</f>
        <v>-11717</v>
      </c>
      <c r="L43" s="68">
        <f>L10+L42</f>
        <v>11922958</v>
      </c>
      <c r="M43" s="48">
        <f>SUM(M8:M41)</f>
        <v>11922958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32"/>
  <sheetViews>
    <sheetView topLeftCell="A10" zoomScale="106" zoomScaleNormal="106" zoomScalePageLayoutView="80" workbookViewId="0">
      <selection activeCell="M28" sqref="M28"/>
    </sheetView>
  </sheetViews>
  <sheetFormatPr defaultColWidth="8.85546875" defaultRowHeight="15"/>
  <cols>
    <col min="9" max="9" width="17.42578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2"/>
      <c r="B1" s="2"/>
      <c r="C1" s="2"/>
      <c r="D1" s="159" t="s">
        <v>514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63" t="s">
        <v>515</v>
      </c>
      <c r="J5" s="63" t="s">
        <v>4</v>
      </c>
      <c r="K5" s="63" t="s">
        <v>5</v>
      </c>
      <c r="L5" s="63" t="s">
        <v>516</v>
      </c>
      <c r="M5" s="63" t="s">
        <v>7</v>
      </c>
    </row>
    <row r="6" spans="1:13" ht="18.75">
      <c r="A6" s="1" t="s">
        <v>338</v>
      </c>
      <c r="B6" s="2"/>
      <c r="C6" s="2"/>
      <c r="D6" s="2"/>
      <c r="E6" s="2"/>
      <c r="F6" s="2"/>
      <c r="G6" s="2"/>
      <c r="H6" s="2"/>
      <c r="I6" s="70"/>
      <c r="J6" s="70"/>
      <c r="K6" s="70"/>
      <c r="L6" s="70"/>
    </row>
    <row r="7" spans="1:13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</row>
    <row r="8" spans="1:13" ht="18.75">
      <c r="A8" s="1"/>
      <c r="B8" s="1" t="s">
        <v>517</v>
      </c>
      <c r="C8" s="1"/>
      <c r="D8" s="1"/>
      <c r="E8" s="1"/>
      <c r="F8" s="1"/>
      <c r="G8" s="2"/>
      <c r="H8" s="2"/>
      <c r="I8" s="38"/>
      <c r="J8" s="38"/>
      <c r="K8" s="38"/>
      <c r="L8" s="38"/>
    </row>
    <row r="9" spans="1:13" ht="18.75">
      <c r="A9" s="2"/>
      <c r="B9" s="2" t="s">
        <v>10</v>
      </c>
      <c r="C9" s="2"/>
      <c r="D9" s="2"/>
      <c r="E9" s="2"/>
      <c r="F9" s="2"/>
      <c r="G9" s="2"/>
      <c r="H9" s="2"/>
      <c r="I9" s="38">
        <v>2327396</v>
      </c>
      <c r="J9" s="38"/>
      <c r="K9" s="38"/>
      <c r="L9" s="38">
        <f>SUM(I9:K9)</f>
        <v>2327396</v>
      </c>
      <c r="M9" s="48">
        <f>L9</f>
        <v>2327396</v>
      </c>
    </row>
    <row r="10" spans="1:13" ht="18.75">
      <c r="A10" s="2"/>
      <c r="B10" s="2" t="s">
        <v>11</v>
      </c>
      <c r="C10" s="2"/>
      <c r="D10" s="2"/>
      <c r="E10" s="2"/>
      <c r="F10" s="2"/>
      <c r="G10" s="2"/>
      <c r="H10" s="2"/>
      <c r="I10" s="2">
        <v>2956638</v>
      </c>
      <c r="J10" s="2">
        <v>4149108</v>
      </c>
      <c r="K10" s="2">
        <v>-5399014</v>
      </c>
      <c r="L10" s="38">
        <f>SUM(I10:K10)</f>
        <v>1706732</v>
      </c>
      <c r="M10" s="48">
        <f>L10</f>
        <v>1706732</v>
      </c>
    </row>
    <row r="11" spans="1:13" ht="18.75">
      <c r="A11" s="1"/>
      <c r="B11" s="1"/>
      <c r="C11" s="1" t="s">
        <v>70</v>
      </c>
      <c r="D11" s="1"/>
      <c r="E11" s="1"/>
      <c r="F11" s="1"/>
      <c r="G11" s="1"/>
      <c r="H11" s="1"/>
      <c r="I11" s="74">
        <f>SUM(I9:I10)</f>
        <v>5284034</v>
      </c>
      <c r="J11" s="74">
        <f>SUM(J9:J10)</f>
        <v>4149108</v>
      </c>
      <c r="K11" s="74">
        <f>SUM(K9:K10)</f>
        <v>-5399014</v>
      </c>
      <c r="L11" s="74">
        <f>SUM(L9:L10)</f>
        <v>4034128</v>
      </c>
      <c r="M11" s="33"/>
    </row>
    <row r="12" spans="1:13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3"/>
    </row>
    <row r="13" spans="1:13" ht="18.75">
      <c r="A13" s="1" t="s">
        <v>216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3"/>
    </row>
    <row r="14" spans="1:13" ht="18.75">
      <c r="A14" s="1"/>
      <c r="B14" s="2" t="s">
        <v>517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3"/>
    </row>
    <row r="15" spans="1:13" ht="18.75">
      <c r="A15" s="2"/>
      <c r="B15" s="2"/>
      <c r="C15" s="2" t="s">
        <v>14</v>
      </c>
      <c r="D15" s="2"/>
      <c r="E15" s="2"/>
      <c r="F15" s="2"/>
      <c r="G15" s="2"/>
      <c r="H15" s="2"/>
      <c r="I15" s="2">
        <v>19748344</v>
      </c>
      <c r="J15" s="38">
        <v>4574782</v>
      </c>
      <c r="K15" s="38"/>
      <c r="L15" s="38">
        <f>SUM(I15:K15)</f>
        <v>24323126</v>
      </c>
      <c r="M15" s="33"/>
    </row>
    <row r="16" spans="1:13" ht="18.75">
      <c r="A16" s="2"/>
      <c r="B16" s="2"/>
      <c r="C16" s="2" t="s">
        <v>71</v>
      </c>
      <c r="D16" s="2"/>
      <c r="E16" s="2"/>
      <c r="F16" s="2"/>
      <c r="G16" s="2"/>
      <c r="H16" s="2"/>
      <c r="I16" s="2">
        <v>21708077</v>
      </c>
      <c r="J16" s="38">
        <v>2247290</v>
      </c>
      <c r="K16" s="38">
        <v>-130642</v>
      </c>
      <c r="L16" s="38">
        <f>SUM(I16:K16)</f>
        <v>23824725</v>
      </c>
      <c r="M16" s="33"/>
    </row>
    <row r="17" spans="1:13" ht="18.75">
      <c r="A17" s="2"/>
      <c r="B17" s="2" t="s">
        <v>385</v>
      </c>
      <c r="C17" s="2"/>
      <c r="D17" s="2"/>
      <c r="E17" s="2"/>
      <c r="F17" s="2"/>
      <c r="G17" s="2"/>
      <c r="H17" s="2"/>
      <c r="I17" s="2"/>
      <c r="J17" s="38"/>
      <c r="K17" s="38"/>
      <c r="L17" s="38"/>
      <c r="M17" s="33"/>
    </row>
    <row r="18" spans="1:13" ht="18.75">
      <c r="A18" s="2"/>
      <c r="B18" s="2"/>
      <c r="C18" s="2" t="s">
        <v>518</v>
      </c>
      <c r="D18" s="2"/>
      <c r="E18" s="2"/>
      <c r="F18" s="2"/>
      <c r="G18" s="2"/>
      <c r="H18" s="2"/>
      <c r="I18" s="2">
        <v>135593526</v>
      </c>
      <c r="J18" s="38">
        <v>623248</v>
      </c>
      <c r="K18" s="38"/>
      <c r="L18" s="38">
        <f>SUM(I18:K18)</f>
        <v>136216774</v>
      </c>
      <c r="M18" s="33"/>
    </row>
    <row r="19" spans="1:13" ht="18.75">
      <c r="A19" s="2"/>
      <c r="B19" s="2"/>
      <c r="C19" s="2" t="s">
        <v>519</v>
      </c>
      <c r="D19" s="2"/>
      <c r="E19" s="2"/>
      <c r="F19" s="2"/>
      <c r="G19" s="2"/>
      <c r="H19" s="2"/>
      <c r="I19" s="2">
        <v>17138010</v>
      </c>
      <c r="J19" s="38">
        <v>171369</v>
      </c>
      <c r="K19" s="38"/>
      <c r="L19" s="38">
        <f>SUM(I19:K19)</f>
        <v>17309379</v>
      </c>
      <c r="M19" s="33"/>
    </row>
    <row r="20" spans="1:13" ht="18.75">
      <c r="A20" s="2"/>
      <c r="B20" s="2"/>
      <c r="C20" s="1" t="s">
        <v>18</v>
      </c>
      <c r="D20" s="2"/>
      <c r="E20" s="2"/>
      <c r="F20" s="2"/>
      <c r="G20" s="2"/>
      <c r="H20" s="2"/>
      <c r="I20" s="75">
        <f>SUM(I15:I19)</f>
        <v>194187957</v>
      </c>
      <c r="J20" s="75">
        <f>SUM(J15:J19)</f>
        <v>7616689</v>
      </c>
      <c r="K20" s="75">
        <f>SUM(K15:K19)</f>
        <v>-130642</v>
      </c>
      <c r="L20" s="75">
        <f>SUM(L15:L19)</f>
        <v>201674004</v>
      </c>
      <c r="M20" s="33"/>
    </row>
    <row r="21" spans="1:13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3"/>
    </row>
    <row r="22" spans="1:13" ht="18.75">
      <c r="A22" s="1" t="s">
        <v>398</v>
      </c>
      <c r="B22" s="2"/>
      <c r="C22" s="2"/>
      <c r="D22" s="2"/>
      <c r="E22" s="2"/>
      <c r="F22" s="2"/>
      <c r="G22" s="2"/>
      <c r="H22" s="2"/>
      <c r="I22" s="2"/>
      <c r="J22" s="38"/>
      <c r="K22" s="38"/>
      <c r="L22" s="38"/>
      <c r="M22" s="33"/>
    </row>
    <row r="23" spans="1:13" ht="18.75">
      <c r="A23" s="1"/>
      <c r="B23" s="2" t="s">
        <v>517</v>
      </c>
      <c r="C23" s="2"/>
      <c r="D23" s="2"/>
      <c r="E23" s="2"/>
      <c r="F23" s="2"/>
      <c r="G23" s="2"/>
      <c r="H23" s="2"/>
      <c r="I23" s="2"/>
      <c r="J23" s="38"/>
      <c r="K23" s="38"/>
      <c r="L23" s="38"/>
      <c r="M23" s="33"/>
    </row>
    <row r="24" spans="1:13" ht="18.75">
      <c r="A24" s="2"/>
      <c r="B24" s="2"/>
      <c r="C24" s="2" t="s">
        <v>478</v>
      </c>
      <c r="D24" s="2"/>
      <c r="E24" s="2"/>
      <c r="F24" s="2"/>
      <c r="G24" s="2"/>
      <c r="H24" s="2"/>
      <c r="I24" s="38">
        <v>10710224</v>
      </c>
      <c r="J24" s="38">
        <v>458121</v>
      </c>
      <c r="K24" s="38"/>
      <c r="L24" s="38">
        <f>SUM(I24:K24)</f>
        <v>11168345</v>
      </c>
      <c r="M24" s="48">
        <f>L15-L24</f>
        <v>13154781</v>
      </c>
    </row>
    <row r="25" spans="1:13" ht="18.75">
      <c r="A25" s="2"/>
      <c r="B25" s="2"/>
      <c r="C25" s="2" t="s">
        <v>71</v>
      </c>
      <c r="D25" s="2"/>
      <c r="E25" s="2"/>
      <c r="F25" s="2"/>
      <c r="G25" s="2"/>
      <c r="H25" s="2"/>
      <c r="I25" s="38">
        <v>17170731</v>
      </c>
      <c r="J25" s="38">
        <v>934214</v>
      </c>
      <c r="K25" s="38">
        <v>-130642</v>
      </c>
      <c r="L25" s="38">
        <f>SUM(I25:K25)</f>
        <v>17974303</v>
      </c>
      <c r="M25" s="48">
        <f>L16-L25</f>
        <v>5850422</v>
      </c>
    </row>
    <row r="26" spans="1:13" ht="18.75">
      <c r="A26" s="2"/>
      <c r="B26" s="2" t="s">
        <v>385</v>
      </c>
      <c r="C26" s="2"/>
      <c r="D26" s="2"/>
      <c r="E26" s="2"/>
      <c r="F26" s="2"/>
      <c r="G26" s="2"/>
      <c r="H26" s="2"/>
      <c r="I26" s="38"/>
      <c r="J26" s="38"/>
      <c r="K26" s="38"/>
      <c r="L26" s="38"/>
      <c r="M26" s="48"/>
    </row>
    <row r="27" spans="1:13" ht="18.75">
      <c r="A27" s="2"/>
      <c r="B27" s="2"/>
      <c r="C27" s="2" t="s">
        <v>518</v>
      </c>
      <c r="D27" s="2"/>
      <c r="E27" s="2"/>
      <c r="F27" s="2"/>
      <c r="G27" s="2"/>
      <c r="H27" s="2"/>
      <c r="I27" s="38">
        <v>85200915</v>
      </c>
      <c r="J27" s="38">
        <v>2464759</v>
      </c>
      <c r="K27" s="38"/>
      <c r="L27" s="38">
        <f>SUM(I27:K27)</f>
        <v>87665674</v>
      </c>
      <c r="M27" s="48">
        <f>L18-L27</f>
        <v>48551100</v>
      </c>
    </row>
    <row r="28" spans="1:13" ht="18.75">
      <c r="A28" s="2"/>
      <c r="B28" s="2"/>
      <c r="C28" s="2" t="s">
        <v>519</v>
      </c>
      <c r="D28" s="2"/>
      <c r="E28" s="2"/>
      <c r="F28" s="2"/>
      <c r="G28" s="2"/>
      <c r="H28" s="2"/>
      <c r="I28" s="38">
        <v>4585735</v>
      </c>
      <c r="J28" s="38">
        <v>398121</v>
      </c>
      <c r="K28" s="38"/>
      <c r="L28" s="38">
        <f>SUM(I28:K28)</f>
        <v>4983856</v>
      </c>
      <c r="M28" s="48">
        <f>L19-L28</f>
        <v>12325523</v>
      </c>
    </row>
    <row r="29" spans="1:13" ht="18.75">
      <c r="A29" s="1"/>
      <c r="B29" s="2"/>
      <c r="C29" s="1" t="s">
        <v>20</v>
      </c>
      <c r="D29" s="2"/>
      <c r="E29" s="2"/>
      <c r="F29" s="2"/>
      <c r="G29" s="2"/>
      <c r="H29" s="2"/>
      <c r="I29" s="68">
        <f>SUM(I24:I28)</f>
        <v>117667605</v>
      </c>
      <c r="J29" s="68">
        <f>SUM(J24:J28)</f>
        <v>4255215</v>
      </c>
      <c r="K29" s="68">
        <f>SUM(K24:K28)</f>
        <v>-130642</v>
      </c>
      <c r="L29" s="68">
        <f>SUM(L24:L28)</f>
        <v>121792178</v>
      </c>
      <c r="M29" s="33"/>
    </row>
    <row r="30" spans="1:13" ht="18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3"/>
    </row>
    <row r="31" spans="1:13" ht="18.75">
      <c r="A31" s="1" t="s">
        <v>467</v>
      </c>
      <c r="B31" s="2"/>
      <c r="C31" s="1"/>
      <c r="D31" s="2"/>
      <c r="E31" s="2"/>
      <c r="F31" s="2"/>
      <c r="G31" s="2"/>
      <c r="H31" s="2"/>
      <c r="I31" s="68">
        <f>I20-I29</f>
        <v>76520352</v>
      </c>
      <c r="J31" s="68">
        <f t="shared" ref="J31:L31" si="0">J20-J29</f>
        <v>3361474</v>
      </c>
      <c r="K31" s="68">
        <f t="shared" si="0"/>
        <v>0</v>
      </c>
      <c r="L31" s="68">
        <f t="shared" si="0"/>
        <v>79881826</v>
      </c>
      <c r="M31" s="33"/>
    </row>
    <row r="32" spans="1:13" ht="18.75">
      <c r="A32" s="1" t="s">
        <v>22</v>
      </c>
      <c r="B32" s="2"/>
      <c r="C32" s="1"/>
      <c r="D32" s="2"/>
      <c r="E32" s="2"/>
      <c r="F32" s="2"/>
      <c r="G32" s="2"/>
      <c r="H32" s="2"/>
      <c r="I32" s="68">
        <f>I11+I31</f>
        <v>81804386</v>
      </c>
      <c r="J32" s="68">
        <f>J11+J31</f>
        <v>7510582</v>
      </c>
      <c r="K32" s="68">
        <f>K11+K31</f>
        <v>-5399014</v>
      </c>
      <c r="L32" s="68">
        <f>L11+L31</f>
        <v>83915954</v>
      </c>
      <c r="M32" s="48">
        <f>SUM(M9:M30)</f>
        <v>83915954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16"/>
  <sheetViews>
    <sheetView topLeftCell="B1" zoomScaleNormal="100" workbookViewId="0">
      <selection activeCell="F21" sqref="F21"/>
    </sheetView>
  </sheetViews>
  <sheetFormatPr defaultColWidth="8.85546875" defaultRowHeight="18.75"/>
  <cols>
    <col min="1" max="1" width="4.140625" style="2" customWidth="1"/>
    <col min="2" max="2" width="31.42578125" style="2" customWidth="1"/>
    <col min="3" max="3" width="21.140625" style="2" bestFit="1" customWidth="1"/>
    <col min="4" max="4" width="21.140625" style="2" customWidth="1"/>
    <col min="5" max="5" width="21" style="2" customWidth="1"/>
    <col min="6" max="6" width="20.28515625" style="2" customWidth="1"/>
    <col min="7" max="7" width="18.140625" style="2" customWidth="1"/>
    <col min="8" max="8" width="18.42578125" style="2" bestFit="1" customWidth="1"/>
    <col min="9" max="9" width="19.42578125" style="2" customWidth="1"/>
    <col min="10" max="10" width="17.42578125" style="2" bestFit="1" customWidth="1"/>
    <col min="11" max="16384" width="8.85546875" style="2"/>
  </cols>
  <sheetData>
    <row r="1" spans="1:10">
      <c r="B1" s="159" t="s">
        <v>520</v>
      </c>
      <c r="C1" s="159"/>
      <c r="D1" s="159"/>
      <c r="E1" s="159"/>
      <c r="F1" s="159"/>
      <c r="G1" s="159"/>
    </row>
    <row r="2" spans="1:10">
      <c r="B2" s="159" t="s">
        <v>1</v>
      </c>
      <c r="C2" s="159"/>
      <c r="D2" s="159"/>
      <c r="E2" s="159"/>
      <c r="F2" s="159"/>
      <c r="G2" s="159"/>
    </row>
    <row r="3" spans="1:10">
      <c r="B3" s="159" t="s">
        <v>2</v>
      </c>
      <c r="C3" s="159"/>
      <c r="D3" s="159"/>
      <c r="E3" s="159"/>
      <c r="F3" s="159"/>
      <c r="G3" s="159"/>
    </row>
    <row r="4" spans="1:10">
      <c r="B4" s="151"/>
      <c r="C4" s="151"/>
      <c r="D4" s="151"/>
      <c r="E4" s="151"/>
      <c r="F4" s="151"/>
      <c r="G4" s="151"/>
    </row>
    <row r="5" spans="1:10">
      <c r="A5" s="1" t="s">
        <v>219</v>
      </c>
      <c r="B5" s="151"/>
      <c r="C5" s="151"/>
      <c r="D5" s="151"/>
      <c r="E5" s="151"/>
      <c r="F5" s="151"/>
      <c r="G5" s="151"/>
    </row>
    <row r="6" spans="1:10" ht="37.5">
      <c r="C6" s="80" t="s">
        <v>10</v>
      </c>
      <c r="D6" s="81" t="s">
        <v>397</v>
      </c>
      <c r="E6" s="81" t="s">
        <v>14</v>
      </c>
      <c r="F6" s="81" t="s">
        <v>104</v>
      </c>
      <c r="G6" s="81" t="s">
        <v>17</v>
      </c>
      <c r="H6" s="81" t="s">
        <v>521</v>
      </c>
      <c r="I6" s="81" t="s">
        <v>208</v>
      </c>
    </row>
    <row r="7" spans="1:10">
      <c r="A7" s="2" t="s">
        <v>408</v>
      </c>
      <c r="C7" s="3">
        <v>1695977</v>
      </c>
      <c r="D7" s="3">
        <v>7715076</v>
      </c>
      <c r="E7" s="3">
        <v>12270421</v>
      </c>
      <c r="F7" s="3">
        <v>21988811</v>
      </c>
      <c r="G7" s="3">
        <v>52860094</v>
      </c>
      <c r="H7" s="3">
        <v>2133564</v>
      </c>
      <c r="I7" s="3">
        <f>SUM(C7:H7)</f>
        <v>98663943</v>
      </c>
    </row>
    <row r="8" spans="1:10">
      <c r="B8" s="2" t="s">
        <v>63</v>
      </c>
      <c r="C8" s="3">
        <v>25000</v>
      </c>
      <c r="D8" s="3"/>
      <c r="E8" s="3">
        <v>15993895</v>
      </c>
      <c r="F8" s="3">
        <v>1097371</v>
      </c>
      <c r="G8" s="3">
        <v>7843603</v>
      </c>
      <c r="H8" s="3">
        <v>216564</v>
      </c>
      <c r="I8" s="3">
        <f t="shared" ref="I8:I10" si="0">SUM(C8:H8)</f>
        <v>25176433</v>
      </c>
      <c r="J8" s="3"/>
    </row>
    <row r="9" spans="1:10">
      <c r="B9" s="2" t="s">
        <v>68</v>
      </c>
      <c r="C9" s="6"/>
      <c r="D9" s="6">
        <v>-7715076</v>
      </c>
      <c r="E9" s="6">
        <v>-7715075</v>
      </c>
      <c r="F9" s="6">
        <v>-584267</v>
      </c>
      <c r="G9" s="6">
        <v>-116000</v>
      </c>
      <c r="H9" s="6"/>
      <c r="I9" s="6">
        <f t="shared" si="0"/>
        <v>-16130418</v>
      </c>
    </row>
    <row r="10" spans="1:10">
      <c r="A10" s="2" t="s">
        <v>241</v>
      </c>
      <c r="C10" s="6">
        <f>SUM(C7:C9)</f>
        <v>1720977</v>
      </c>
      <c r="D10" s="6">
        <f>SUM(D7:D9)</f>
        <v>0</v>
      </c>
      <c r="E10" s="6">
        <f t="shared" ref="E10:H10" si="1">SUM(E7:E9)</f>
        <v>20549241</v>
      </c>
      <c r="F10" s="6">
        <f t="shared" si="1"/>
        <v>22501915</v>
      </c>
      <c r="G10" s="6">
        <f t="shared" si="1"/>
        <v>60587697</v>
      </c>
      <c r="H10" s="6">
        <f t="shared" si="1"/>
        <v>2350128</v>
      </c>
      <c r="I10" s="6">
        <f t="shared" si="0"/>
        <v>107709958</v>
      </c>
    </row>
    <row r="11" spans="1:10">
      <c r="C11" s="3"/>
      <c r="D11" s="3"/>
      <c r="E11" s="3"/>
      <c r="F11" s="3"/>
      <c r="G11" s="3"/>
      <c r="H11" s="3"/>
      <c r="I11" s="3" t="s">
        <v>153</v>
      </c>
    </row>
    <row r="12" spans="1:10">
      <c r="A12" s="2" t="s">
        <v>334</v>
      </c>
      <c r="C12" s="6">
        <v>0</v>
      </c>
      <c r="D12" s="6"/>
      <c r="E12" s="6">
        <v>-6388656</v>
      </c>
      <c r="F12" s="6">
        <v>-14127958</v>
      </c>
      <c r="G12" s="6">
        <v>-26997265</v>
      </c>
      <c r="H12" s="6">
        <v>-1746760</v>
      </c>
      <c r="I12" s="6">
        <f>SUM(C12:H12)</f>
        <v>-49260639</v>
      </c>
    </row>
    <row r="13" spans="1:10">
      <c r="C13" s="3"/>
      <c r="D13" s="3"/>
      <c r="E13" s="3"/>
      <c r="F13" s="3"/>
      <c r="G13" s="3"/>
      <c r="H13" s="3"/>
      <c r="I13" s="3" t="s">
        <v>153</v>
      </c>
    </row>
    <row r="14" spans="1:10">
      <c r="A14" s="2" t="s">
        <v>95</v>
      </c>
      <c r="C14" s="6">
        <f>SUM(C10+C12)</f>
        <v>1720977</v>
      </c>
      <c r="D14" s="6">
        <f t="shared" ref="D14:H14" si="2">SUM(D10+D12)</f>
        <v>0</v>
      </c>
      <c r="E14" s="6">
        <f t="shared" si="2"/>
        <v>14160585</v>
      </c>
      <c r="F14" s="6">
        <f t="shared" si="2"/>
        <v>8373957</v>
      </c>
      <c r="G14" s="6">
        <f t="shared" si="2"/>
        <v>33590432</v>
      </c>
      <c r="H14" s="6">
        <f t="shared" si="2"/>
        <v>603368</v>
      </c>
      <c r="I14" s="6">
        <f t="shared" ref="I14" si="3">SUM(I12,I10)</f>
        <v>58449319</v>
      </c>
      <c r="J14" s="3">
        <f>SUM(J7:J13)</f>
        <v>0</v>
      </c>
    </row>
    <row r="15" spans="1:10" s="83" customFormat="1">
      <c r="A15" s="2"/>
      <c r="C15" s="84"/>
      <c r="D15" s="84"/>
      <c r="E15" s="84"/>
      <c r="F15" s="84"/>
      <c r="G15" s="84"/>
      <c r="H15" s="84"/>
    </row>
    <row r="16" spans="1:10" s="83" customFormat="1">
      <c r="A16" s="2" t="s">
        <v>302</v>
      </c>
      <c r="C16" s="3">
        <f>C10</f>
        <v>1720977</v>
      </c>
      <c r="D16" s="3">
        <f>D10</f>
        <v>0</v>
      </c>
      <c r="E16" s="3">
        <f>E10+E12</f>
        <v>14160585</v>
      </c>
      <c r="F16" s="3">
        <f>F10+F12</f>
        <v>8373957</v>
      </c>
      <c r="G16" s="3">
        <f>G10+G12</f>
        <v>33590432</v>
      </c>
      <c r="H16" s="3">
        <f>H10+H12</f>
        <v>603368</v>
      </c>
      <c r="I16" s="3">
        <f>SUM(I10+I12)</f>
        <v>58449319</v>
      </c>
    </row>
  </sheetData>
  <mergeCells count="3">
    <mergeCell ref="B1:G1"/>
    <mergeCell ref="B2:G2"/>
    <mergeCell ref="B3:G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3370-680A-4DEF-9D97-E891CD3F3925}">
  <dimension ref="A1:M40"/>
  <sheetViews>
    <sheetView topLeftCell="G26" zoomScaleNormal="100" zoomScalePageLayoutView="80" workbookViewId="0">
      <selection activeCell="M39" sqref="M39"/>
    </sheetView>
  </sheetViews>
  <sheetFormatPr defaultColWidth="8.85546875" defaultRowHeight="15"/>
  <cols>
    <col min="9" max="9" width="17.42578125" customWidth="1"/>
    <col min="10" max="10" width="14.28515625" bestFit="1" customWidth="1"/>
    <col min="11" max="11" width="13.7109375" bestFit="1" customWidth="1"/>
    <col min="12" max="12" width="17.7109375" customWidth="1"/>
    <col min="13" max="13" width="20.42578125" customWidth="1"/>
  </cols>
  <sheetData>
    <row r="1" spans="1:13" ht="18.75">
      <c r="A1" s="2"/>
      <c r="B1" s="2"/>
      <c r="C1" s="2"/>
      <c r="D1" s="159" t="s">
        <v>522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63" t="s">
        <v>64</v>
      </c>
      <c r="J5" s="63" t="s">
        <v>4</v>
      </c>
      <c r="K5" s="63" t="s">
        <v>5</v>
      </c>
      <c r="L5" s="63" t="s">
        <v>146</v>
      </c>
      <c r="M5" s="63" t="s">
        <v>7</v>
      </c>
    </row>
    <row r="6" spans="1:13" ht="18.75">
      <c r="A6" s="1" t="s">
        <v>8</v>
      </c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3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</row>
    <row r="8" spans="1:13" ht="18.75">
      <c r="A8" s="2"/>
      <c r="B8" s="2" t="s">
        <v>10</v>
      </c>
      <c r="C8" s="2"/>
      <c r="D8" s="2"/>
      <c r="E8" s="2"/>
      <c r="F8" s="2"/>
      <c r="G8" s="2"/>
      <c r="H8" s="2"/>
      <c r="I8" s="38">
        <v>2535169</v>
      </c>
      <c r="J8" s="38">
        <v>774</v>
      </c>
      <c r="K8" s="38">
        <v>-22202</v>
      </c>
      <c r="L8" s="38">
        <f>SUM(I8:K8)</f>
        <v>2513741</v>
      </c>
      <c r="M8" s="48">
        <f>L8</f>
        <v>2513741</v>
      </c>
    </row>
    <row r="9" spans="1:13" ht="18.75">
      <c r="A9" s="2"/>
      <c r="B9" s="2" t="s">
        <v>11</v>
      </c>
      <c r="C9" s="2"/>
      <c r="D9" s="2"/>
      <c r="E9" s="2"/>
      <c r="F9" s="2"/>
      <c r="G9" s="2"/>
      <c r="H9" s="2"/>
      <c r="I9" s="38">
        <v>458085</v>
      </c>
      <c r="J9" s="38">
        <v>607052</v>
      </c>
      <c r="K9" s="38">
        <v>-630983</v>
      </c>
      <c r="L9" s="38">
        <f>SUM(I9:K9)</f>
        <v>434154</v>
      </c>
      <c r="M9" s="48">
        <f>L9</f>
        <v>434154</v>
      </c>
    </row>
    <row r="10" spans="1:13" ht="18.75">
      <c r="A10" s="1"/>
      <c r="B10" s="1"/>
      <c r="C10" s="1" t="s">
        <v>333</v>
      </c>
      <c r="D10" s="1"/>
      <c r="E10" s="1"/>
      <c r="F10" s="1"/>
      <c r="G10" s="1"/>
      <c r="H10" s="1"/>
      <c r="I10" s="74">
        <f>SUM(I8:I9)</f>
        <v>2993254</v>
      </c>
      <c r="J10" s="74">
        <f>SUM(J8:J9)</f>
        <v>607826</v>
      </c>
      <c r="K10" s="74">
        <f>SUM(K8:K9)</f>
        <v>-653185</v>
      </c>
      <c r="L10" s="74">
        <f>SUM(L8:L9)</f>
        <v>2947895</v>
      </c>
      <c r="M10" s="33"/>
    </row>
    <row r="11" spans="1:1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3"/>
    </row>
    <row r="12" spans="1:13" ht="18.75">
      <c r="A12" s="1" t="s">
        <v>523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3"/>
    </row>
    <row r="13" spans="1:13" ht="18.75">
      <c r="A13" s="2"/>
      <c r="B13" s="2" t="s">
        <v>128</v>
      </c>
      <c r="C13" s="2"/>
      <c r="D13" s="2"/>
      <c r="E13" s="2"/>
      <c r="F13" s="2"/>
      <c r="G13" s="2"/>
      <c r="H13" s="2"/>
      <c r="I13" s="38">
        <v>10782212</v>
      </c>
      <c r="J13" s="38">
        <v>587732</v>
      </c>
      <c r="K13" s="38"/>
      <c r="L13" s="38">
        <f>SUM(I13:K13)</f>
        <v>11369944</v>
      </c>
      <c r="M13" s="33"/>
    </row>
    <row r="14" spans="1:13" ht="18.75">
      <c r="A14" s="2"/>
      <c r="B14" s="2" t="s">
        <v>124</v>
      </c>
      <c r="C14" s="2"/>
      <c r="D14" s="2"/>
      <c r="E14" s="2"/>
      <c r="F14" s="2"/>
      <c r="G14" s="2"/>
      <c r="H14" s="2"/>
      <c r="I14" s="38">
        <v>6704502</v>
      </c>
      <c r="J14" s="38">
        <v>170273</v>
      </c>
      <c r="K14" s="38">
        <v>-549962</v>
      </c>
      <c r="L14" s="38">
        <f>SUM(I14:K14)</f>
        <v>6324813</v>
      </c>
      <c r="M14" s="33"/>
    </row>
    <row r="15" spans="1:13" ht="18.75">
      <c r="A15" s="2"/>
      <c r="B15" s="2" t="s">
        <v>290</v>
      </c>
      <c r="C15" s="2"/>
      <c r="D15" s="2"/>
      <c r="E15" s="2"/>
      <c r="F15" s="2"/>
      <c r="G15" s="2"/>
      <c r="H15" s="2"/>
      <c r="I15" s="38">
        <v>1391013</v>
      </c>
      <c r="J15" s="38"/>
      <c r="K15" s="38"/>
      <c r="L15" s="38">
        <f t="shared" ref="L15:L17" si="0">SUM(I15:K15)</f>
        <v>1391013</v>
      </c>
      <c r="M15" s="33"/>
    </row>
    <row r="16" spans="1:13" ht="18.75">
      <c r="A16" s="2"/>
      <c r="B16" s="2" t="s">
        <v>524</v>
      </c>
      <c r="C16" s="2"/>
      <c r="D16" s="2"/>
      <c r="E16" s="2"/>
      <c r="F16" s="2"/>
      <c r="G16" s="2"/>
      <c r="H16" s="2"/>
      <c r="I16" s="38">
        <v>20989059</v>
      </c>
      <c r="J16" s="38"/>
      <c r="K16" s="38"/>
      <c r="L16" s="38">
        <f t="shared" si="0"/>
        <v>20989059</v>
      </c>
      <c r="M16" s="33"/>
    </row>
    <row r="17" spans="1:13" ht="18.75">
      <c r="A17" s="2"/>
      <c r="B17" s="2" t="s">
        <v>525</v>
      </c>
      <c r="C17" s="2"/>
      <c r="D17" s="2"/>
      <c r="E17" s="2"/>
      <c r="F17" s="2"/>
      <c r="G17" s="2"/>
      <c r="H17" s="2"/>
      <c r="I17" s="38">
        <v>7152416</v>
      </c>
      <c r="J17" s="38">
        <v>952528</v>
      </c>
      <c r="K17" s="38">
        <v>-83593</v>
      </c>
      <c r="L17" s="38">
        <f>SUM(I17:K17)</f>
        <v>8021351</v>
      </c>
      <c r="M17" s="33"/>
    </row>
    <row r="18" spans="1:13" ht="18.75">
      <c r="A18" s="2"/>
      <c r="B18" s="2" t="s">
        <v>526</v>
      </c>
      <c r="C18" s="2"/>
      <c r="D18" s="2"/>
      <c r="E18" s="2"/>
      <c r="F18" s="2"/>
      <c r="G18" s="2"/>
      <c r="H18" s="2"/>
      <c r="I18" s="38">
        <v>23204994</v>
      </c>
      <c r="J18" s="38"/>
      <c r="K18" s="38"/>
      <c r="L18" s="38">
        <f>SUM(I18:K18)</f>
        <v>23204994</v>
      </c>
      <c r="M18" s="33"/>
    </row>
    <row r="19" spans="1:13" ht="18.75">
      <c r="A19" s="2"/>
      <c r="B19" s="2"/>
      <c r="C19" s="1" t="s">
        <v>333</v>
      </c>
      <c r="D19" s="2"/>
      <c r="E19" s="2"/>
      <c r="F19" s="2"/>
      <c r="G19" s="2"/>
      <c r="H19" s="2"/>
      <c r="I19" s="75">
        <f>SUM(I13:I18)</f>
        <v>70224196</v>
      </c>
      <c r="J19" s="75">
        <f>SUM(J13:J18)</f>
        <v>1710533</v>
      </c>
      <c r="K19" s="75">
        <f>SUM(K13:K18)</f>
        <v>-633555</v>
      </c>
      <c r="L19" s="75">
        <f>SUM(L13:L18)</f>
        <v>71301174</v>
      </c>
      <c r="M19" s="33"/>
    </row>
    <row r="20" spans="1:13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3"/>
    </row>
    <row r="21" spans="1:13" ht="18.75">
      <c r="A21" s="1" t="s">
        <v>398</v>
      </c>
      <c r="B21" s="2"/>
      <c r="C21" s="2"/>
      <c r="D21" s="2"/>
      <c r="E21" s="2"/>
      <c r="F21" s="2"/>
      <c r="G21" s="2"/>
      <c r="H21" s="2"/>
      <c r="I21" s="2"/>
      <c r="J21" s="38"/>
      <c r="K21" s="38"/>
      <c r="L21" s="38"/>
      <c r="M21" s="33"/>
    </row>
    <row r="22" spans="1:13" ht="18.75">
      <c r="A22" s="2"/>
      <c r="B22" s="2" t="s">
        <v>128</v>
      </c>
      <c r="C22" s="2"/>
      <c r="D22" s="2"/>
      <c r="E22" s="2"/>
      <c r="F22" s="2"/>
      <c r="G22" s="2"/>
      <c r="H22" s="2"/>
      <c r="I22" s="38">
        <v>-4668775</v>
      </c>
      <c r="J22" s="38">
        <v>-278280</v>
      </c>
      <c r="K22" s="38"/>
      <c r="L22" s="38">
        <f>SUM(I22:K22)</f>
        <v>-4947055</v>
      </c>
      <c r="M22" s="48">
        <f>L13+L22</f>
        <v>6422889</v>
      </c>
    </row>
    <row r="23" spans="1:13" ht="18.75">
      <c r="A23" s="2"/>
      <c r="B23" s="2" t="s">
        <v>124</v>
      </c>
      <c r="C23" s="2"/>
      <c r="D23" s="2"/>
      <c r="E23" s="2"/>
      <c r="F23" s="2"/>
      <c r="G23" s="2"/>
      <c r="H23" s="2"/>
      <c r="I23" s="38">
        <v>-5653156</v>
      </c>
      <c r="J23" s="38">
        <v>-219862</v>
      </c>
      <c r="K23" s="38">
        <v>549962</v>
      </c>
      <c r="L23" s="38">
        <f t="shared" ref="L23:L27" si="1">SUM(I23:K23)</f>
        <v>-5323056</v>
      </c>
      <c r="M23" s="48">
        <f t="shared" ref="M23:M27" si="2">L14+L23</f>
        <v>1001757</v>
      </c>
    </row>
    <row r="24" spans="1:13" ht="18.75">
      <c r="A24" s="2"/>
      <c r="B24" s="2" t="s">
        <v>290</v>
      </c>
      <c r="C24" s="2"/>
      <c r="D24" s="2"/>
      <c r="E24" s="2"/>
      <c r="F24" s="2"/>
      <c r="G24" s="2"/>
      <c r="H24" s="2"/>
      <c r="I24" s="38">
        <v>-1390859</v>
      </c>
      <c r="J24" s="38">
        <v>-154</v>
      </c>
      <c r="K24" s="38"/>
      <c r="L24" s="38">
        <f t="shared" si="1"/>
        <v>-1391013</v>
      </c>
      <c r="M24" s="48">
        <f t="shared" si="2"/>
        <v>0</v>
      </c>
    </row>
    <row r="25" spans="1:13" ht="18.75">
      <c r="A25" s="2"/>
      <c r="B25" s="2" t="s">
        <v>524</v>
      </c>
      <c r="C25" s="2"/>
      <c r="D25" s="2"/>
      <c r="E25" s="2"/>
      <c r="F25" s="2"/>
      <c r="G25" s="2"/>
      <c r="H25" s="2"/>
      <c r="I25" s="38">
        <v>-13852737</v>
      </c>
      <c r="J25" s="38">
        <v>-1399271</v>
      </c>
      <c r="K25" s="38"/>
      <c r="L25" s="38">
        <f t="shared" si="1"/>
        <v>-15252008</v>
      </c>
      <c r="M25" s="48">
        <f t="shared" si="2"/>
        <v>5737051</v>
      </c>
    </row>
    <row r="26" spans="1:13" ht="18.75">
      <c r="A26" s="2"/>
      <c r="B26" s="2" t="s">
        <v>525</v>
      </c>
      <c r="C26" s="2"/>
      <c r="D26" s="2"/>
      <c r="E26" s="2"/>
      <c r="F26" s="2"/>
      <c r="G26" s="2"/>
      <c r="H26" s="2"/>
      <c r="I26" s="38">
        <v>-2651431</v>
      </c>
      <c r="J26" s="38">
        <v>-149738</v>
      </c>
      <c r="K26" s="38">
        <v>83593</v>
      </c>
      <c r="L26" s="38">
        <f t="shared" si="1"/>
        <v>-2717576</v>
      </c>
      <c r="M26" s="48">
        <f t="shared" si="2"/>
        <v>5303775</v>
      </c>
    </row>
    <row r="27" spans="1:13" ht="18.75">
      <c r="A27" s="2"/>
      <c r="B27" s="2" t="s">
        <v>526</v>
      </c>
      <c r="C27" s="2"/>
      <c r="D27" s="2"/>
      <c r="E27" s="2"/>
      <c r="F27" s="2"/>
      <c r="G27" s="2"/>
      <c r="H27" s="2"/>
      <c r="I27" s="38">
        <v>-5900210</v>
      </c>
      <c r="J27" s="38">
        <v>-427847</v>
      </c>
      <c r="K27" s="38"/>
      <c r="L27" s="38">
        <f t="shared" si="1"/>
        <v>-6328057</v>
      </c>
      <c r="M27" s="48">
        <f t="shared" si="2"/>
        <v>16876937</v>
      </c>
    </row>
    <row r="28" spans="1:13" ht="18.75">
      <c r="A28" s="1"/>
      <c r="B28" s="2"/>
      <c r="C28" s="1" t="s">
        <v>20</v>
      </c>
      <c r="D28" s="2"/>
      <c r="E28" s="2"/>
      <c r="F28" s="2"/>
      <c r="G28" s="2"/>
      <c r="H28" s="2"/>
      <c r="I28" s="68">
        <f>SUM(I22:I27)</f>
        <v>-34117168</v>
      </c>
      <c r="J28" s="68">
        <f>SUM(J22:J27)</f>
        <v>-2475152</v>
      </c>
      <c r="K28" s="68">
        <f>SUM(K22:K27)</f>
        <v>633555</v>
      </c>
      <c r="L28" s="68">
        <f>SUM(L22:L27)</f>
        <v>-35958765</v>
      </c>
      <c r="M28" s="33"/>
    </row>
    <row r="29" spans="1:13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3"/>
    </row>
    <row r="30" spans="1:13" ht="18.75">
      <c r="A30" s="1" t="s">
        <v>527</v>
      </c>
      <c r="B30" s="2"/>
      <c r="C30" s="1"/>
      <c r="D30" s="2"/>
      <c r="E30" s="2"/>
      <c r="F30" s="2"/>
      <c r="G30" s="2"/>
      <c r="H30" s="2"/>
      <c r="I30" s="68">
        <f>I19+I28</f>
        <v>36107028</v>
      </c>
      <c r="J30" s="68">
        <f t="shared" ref="J30:L30" si="3">J19+J28</f>
        <v>-764619</v>
      </c>
      <c r="K30" s="68">
        <f t="shared" si="3"/>
        <v>0</v>
      </c>
      <c r="L30" s="68">
        <f t="shared" si="3"/>
        <v>35342409</v>
      </c>
      <c r="M30" s="33"/>
    </row>
    <row r="31" spans="1:13" ht="18.75">
      <c r="A31" s="1" t="s">
        <v>22</v>
      </c>
      <c r="B31" s="2"/>
      <c r="C31" s="1"/>
      <c r="D31" s="2"/>
      <c r="E31" s="2"/>
      <c r="F31" s="2"/>
      <c r="G31" s="2"/>
      <c r="H31" s="2"/>
      <c r="I31" s="68">
        <f>I10+I30</f>
        <v>39100282</v>
      </c>
      <c r="J31" s="68">
        <f>J10+J30</f>
        <v>-156793</v>
      </c>
      <c r="K31" s="68">
        <f>K10+K30</f>
        <v>-653185</v>
      </c>
      <c r="L31" s="68">
        <f>L10+L30</f>
        <v>38290304</v>
      </c>
      <c r="M31" s="48">
        <f>SUM(M8:M29)</f>
        <v>38290304</v>
      </c>
    </row>
    <row r="34" spans="1:13" ht="37.5">
      <c r="A34" s="2"/>
      <c r="B34" s="2"/>
      <c r="C34" s="2"/>
      <c r="D34" s="2"/>
      <c r="E34" s="2"/>
      <c r="F34" s="2"/>
      <c r="G34" s="2"/>
      <c r="H34" s="2"/>
      <c r="I34" s="63" t="s">
        <v>64</v>
      </c>
      <c r="J34" s="63" t="s">
        <v>4</v>
      </c>
      <c r="K34" s="63" t="s">
        <v>5</v>
      </c>
      <c r="L34" s="63" t="s">
        <v>146</v>
      </c>
      <c r="M34" s="63" t="s">
        <v>7</v>
      </c>
    </row>
    <row r="35" spans="1:13" ht="18.75">
      <c r="A35" s="1" t="s">
        <v>82</v>
      </c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</row>
    <row r="36" spans="1:13" ht="18.75">
      <c r="A36" s="1"/>
      <c r="B36" s="1"/>
      <c r="C36" s="1"/>
      <c r="D36" s="1"/>
      <c r="E36" s="1"/>
      <c r="F36" s="1"/>
      <c r="G36" s="2"/>
      <c r="H36" s="2"/>
      <c r="I36" s="38"/>
      <c r="J36" s="38"/>
      <c r="K36" s="38"/>
      <c r="L36" s="38"/>
    </row>
    <row r="37" spans="1:13" ht="18.75">
      <c r="A37" s="2"/>
      <c r="B37" s="2" t="s">
        <v>528</v>
      </c>
      <c r="C37" s="2"/>
      <c r="D37" s="2"/>
      <c r="E37" s="2"/>
      <c r="F37" s="2"/>
      <c r="G37" s="2"/>
      <c r="H37" s="2"/>
      <c r="I37" s="38">
        <v>1140</v>
      </c>
      <c r="J37" s="38">
        <v>1271</v>
      </c>
      <c r="K37" s="38"/>
      <c r="L37" s="38">
        <f>SUM(I37:K37)</f>
        <v>2411</v>
      </c>
      <c r="M37" s="48"/>
    </row>
    <row r="38" spans="1:13" ht="18.75">
      <c r="A38" s="2"/>
      <c r="B38" s="2" t="s">
        <v>117</v>
      </c>
      <c r="C38" s="2"/>
      <c r="D38" s="2"/>
      <c r="E38" s="2"/>
      <c r="F38" s="2"/>
      <c r="G38" s="2"/>
      <c r="H38" s="2"/>
      <c r="I38" s="38">
        <v>-475</v>
      </c>
      <c r="J38" s="38">
        <v>-397</v>
      </c>
      <c r="K38" s="38"/>
      <c r="L38" s="38">
        <f>SUM(I38:K38)</f>
        <v>-872</v>
      </c>
      <c r="M38" s="153"/>
    </row>
    <row r="39" spans="1:13" ht="18.75">
      <c r="A39" s="1"/>
      <c r="B39" s="1"/>
      <c r="C39" s="1" t="s">
        <v>57</v>
      </c>
      <c r="D39" s="1"/>
      <c r="E39" s="1"/>
      <c r="F39" s="1"/>
      <c r="G39" s="1"/>
      <c r="H39" s="1"/>
      <c r="I39" s="74">
        <f>SUM(I37:I38)</f>
        <v>665</v>
      </c>
      <c r="J39" s="74">
        <f>SUM(J37:J38)</f>
        <v>874</v>
      </c>
      <c r="K39" s="74">
        <f>SUM(K37:K38)</f>
        <v>0</v>
      </c>
      <c r="L39" s="74">
        <f>SUM(L37:L38)</f>
        <v>1539</v>
      </c>
      <c r="M39" s="77">
        <f>SUM(L37+L38)</f>
        <v>1539</v>
      </c>
    </row>
    <row r="40" spans="1:13" ht="18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3"/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27"/>
  <sheetViews>
    <sheetView topLeftCell="A13" zoomScaleNormal="100" zoomScalePageLayoutView="80" workbookViewId="0">
      <selection activeCell="L23" sqref="L23"/>
    </sheetView>
  </sheetViews>
  <sheetFormatPr defaultColWidth="8.85546875" defaultRowHeight="15"/>
  <cols>
    <col min="9" max="9" width="17.42578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2"/>
      <c r="B1" s="2"/>
      <c r="C1" s="2"/>
      <c r="D1" s="159" t="s">
        <v>522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63" t="s">
        <v>3</v>
      </c>
      <c r="J5" s="63" t="s">
        <v>4</v>
      </c>
      <c r="K5" s="63" t="s">
        <v>5</v>
      </c>
      <c r="L5" s="63" t="s">
        <v>529</v>
      </c>
      <c r="M5" s="63" t="s">
        <v>7</v>
      </c>
    </row>
    <row r="6" spans="1:13" ht="18.75">
      <c r="A6" s="1" t="s">
        <v>8</v>
      </c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3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</row>
    <row r="8" spans="1:13" ht="18.75">
      <c r="A8" s="2"/>
      <c r="B8" s="2" t="s">
        <v>10</v>
      </c>
      <c r="C8" s="2"/>
      <c r="D8" s="2"/>
      <c r="E8" s="2"/>
      <c r="F8" s="2"/>
      <c r="G8" s="2"/>
      <c r="H8" s="2"/>
      <c r="I8" s="38">
        <v>1212782</v>
      </c>
      <c r="J8" s="38">
        <v>60000</v>
      </c>
      <c r="K8" s="38"/>
      <c r="L8" s="38">
        <f>SUM(I8:K8)</f>
        <v>1272782</v>
      </c>
      <c r="M8" s="48">
        <f>L8</f>
        <v>1272782</v>
      </c>
    </row>
    <row r="9" spans="1:13" ht="18.75">
      <c r="A9" s="2"/>
      <c r="B9" s="2" t="s">
        <v>11</v>
      </c>
      <c r="C9" s="2"/>
      <c r="D9" s="2"/>
      <c r="E9" s="2"/>
      <c r="F9" s="2"/>
      <c r="G9" s="2"/>
      <c r="H9" s="2"/>
      <c r="I9" s="2">
        <v>93735</v>
      </c>
      <c r="J9" s="2">
        <v>447150</v>
      </c>
      <c r="K9" s="2">
        <v>-93735</v>
      </c>
      <c r="L9" s="38">
        <f>SUM(I9:K9)</f>
        <v>447150</v>
      </c>
      <c r="M9" s="48">
        <f>L9</f>
        <v>447150</v>
      </c>
    </row>
    <row r="10" spans="1:13" ht="18.75">
      <c r="A10" s="1"/>
      <c r="B10" s="1"/>
      <c r="C10" s="1" t="s">
        <v>333</v>
      </c>
      <c r="D10" s="1"/>
      <c r="E10" s="1"/>
      <c r="F10" s="1"/>
      <c r="G10" s="1"/>
      <c r="H10" s="1"/>
      <c r="I10" s="74">
        <f>SUM(I8:I9)</f>
        <v>1306517</v>
      </c>
      <c r="J10" s="74">
        <f>SUM(J8:J9)</f>
        <v>507150</v>
      </c>
      <c r="K10" s="74">
        <f>SUM(K8:K9)</f>
        <v>-93735</v>
      </c>
      <c r="L10" s="74">
        <f>SUM(L8:L9)</f>
        <v>1719932</v>
      </c>
      <c r="M10" s="33"/>
    </row>
    <row r="11" spans="1:1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3"/>
    </row>
    <row r="12" spans="1:13" ht="18.75">
      <c r="A12" s="1" t="s">
        <v>216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3"/>
    </row>
    <row r="13" spans="1:13" ht="18.75">
      <c r="A13" s="2"/>
      <c r="B13" s="2" t="s">
        <v>14</v>
      </c>
      <c r="C13" s="2"/>
      <c r="D13" s="2"/>
      <c r="E13" s="2"/>
      <c r="F13" s="2"/>
      <c r="G13" s="2"/>
      <c r="H13" s="2"/>
      <c r="I13" s="2">
        <v>12931087</v>
      </c>
      <c r="J13" s="38">
        <v>102668</v>
      </c>
      <c r="K13" s="38"/>
      <c r="L13" s="38">
        <f>SUM(I13:K13)</f>
        <v>13033755</v>
      </c>
      <c r="M13" s="33"/>
    </row>
    <row r="14" spans="1:13" ht="18.75">
      <c r="A14" s="2"/>
      <c r="B14" s="2" t="s">
        <v>17</v>
      </c>
      <c r="C14" s="2"/>
      <c r="D14" s="2"/>
      <c r="E14" s="2"/>
      <c r="F14" s="2"/>
      <c r="G14" s="2"/>
      <c r="H14" s="2"/>
      <c r="I14" s="2">
        <v>2458750</v>
      </c>
      <c r="J14" s="38">
        <v>257080</v>
      </c>
      <c r="K14" s="38"/>
      <c r="L14" s="38">
        <f>SUM(I14:K14)</f>
        <v>2715830</v>
      </c>
      <c r="M14" s="33"/>
    </row>
    <row r="15" spans="1:13" ht="18.75">
      <c r="A15" s="2"/>
      <c r="B15" s="2" t="s">
        <v>80</v>
      </c>
      <c r="C15" s="2"/>
      <c r="D15" s="2"/>
      <c r="E15" s="2"/>
      <c r="F15" s="2"/>
      <c r="G15" s="2"/>
      <c r="H15" s="2"/>
      <c r="I15" s="2">
        <v>5697267</v>
      </c>
      <c r="J15" s="38">
        <v>567495</v>
      </c>
      <c r="K15" s="38">
        <v>-50860</v>
      </c>
      <c r="L15" s="38">
        <f>SUM(I15:K15)</f>
        <v>6213902</v>
      </c>
      <c r="M15" s="33"/>
    </row>
    <row r="16" spans="1:13" ht="18.75">
      <c r="A16" s="2"/>
      <c r="B16" s="2" t="s">
        <v>420</v>
      </c>
      <c r="C16" s="2"/>
      <c r="D16" s="2"/>
      <c r="E16" s="2"/>
      <c r="F16" s="2"/>
      <c r="G16" s="2"/>
      <c r="H16" s="2"/>
      <c r="I16" s="2">
        <v>1544153</v>
      </c>
      <c r="J16" s="38">
        <v>344591</v>
      </c>
      <c r="K16" s="38">
        <v>-420903</v>
      </c>
      <c r="L16" s="38">
        <f>SUM(I16:K16)</f>
        <v>1467841</v>
      </c>
      <c r="M16" s="33"/>
    </row>
    <row r="17" spans="1:13" ht="18.75">
      <c r="A17" s="2"/>
      <c r="B17" s="2"/>
      <c r="C17" s="1" t="s">
        <v>333</v>
      </c>
      <c r="D17" s="2"/>
      <c r="E17" s="2"/>
      <c r="F17" s="2"/>
      <c r="G17" s="2"/>
      <c r="H17" s="2"/>
      <c r="I17" s="75">
        <f>SUM(I13:I16)</f>
        <v>22631257</v>
      </c>
      <c r="J17" s="75">
        <f>SUM(J13:J16)</f>
        <v>1271834</v>
      </c>
      <c r="K17" s="75">
        <f>SUM(K13:K16)</f>
        <v>-471763</v>
      </c>
      <c r="L17" s="75">
        <f>SUM(L13:L16)</f>
        <v>23431328</v>
      </c>
      <c r="M17" s="33"/>
    </row>
    <row r="18" spans="1:13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3"/>
    </row>
    <row r="19" spans="1:13" ht="18.75">
      <c r="A19" s="1" t="s">
        <v>398</v>
      </c>
      <c r="B19" s="2"/>
      <c r="C19" s="2"/>
      <c r="D19" s="2"/>
      <c r="E19" s="2"/>
      <c r="F19" s="2"/>
      <c r="G19" s="2"/>
      <c r="H19" s="2"/>
      <c r="I19" s="2"/>
      <c r="J19" s="38"/>
      <c r="K19" s="38"/>
      <c r="L19" s="38"/>
      <c r="M19" s="33"/>
    </row>
    <row r="20" spans="1:13" ht="18.75">
      <c r="A20" s="2"/>
      <c r="B20" s="2" t="s">
        <v>14</v>
      </c>
      <c r="C20" s="2"/>
      <c r="D20" s="2"/>
      <c r="E20" s="2"/>
      <c r="F20" s="2"/>
      <c r="G20" s="2"/>
      <c r="H20" s="2"/>
      <c r="I20" s="38">
        <v>6296341</v>
      </c>
      <c r="J20" s="38">
        <v>309530</v>
      </c>
      <c r="K20" s="38"/>
      <c r="L20" s="38">
        <f>SUM(I20:K20)</f>
        <v>6605871</v>
      </c>
      <c r="M20" s="48">
        <f>L13-L20</f>
        <v>6427884</v>
      </c>
    </row>
    <row r="21" spans="1:13" ht="18.75">
      <c r="A21" s="2"/>
      <c r="B21" s="2" t="s">
        <v>17</v>
      </c>
      <c r="C21" s="2"/>
      <c r="D21" s="2"/>
      <c r="E21" s="2"/>
      <c r="F21" s="2"/>
      <c r="G21" s="2"/>
      <c r="H21" s="2"/>
      <c r="I21" s="38">
        <v>273178</v>
      </c>
      <c r="J21" s="38">
        <v>64103</v>
      </c>
      <c r="K21" s="38"/>
      <c r="L21" s="38">
        <f>SUM(I21:K21)</f>
        <v>337281</v>
      </c>
      <c r="M21" s="48">
        <f>L14-L21</f>
        <v>2378549</v>
      </c>
    </row>
    <row r="22" spans="1:13" ht="18.75">
      <c r="A22" s="2"/>
      <c r="B22" s="2" t="s">
        <v>80</v>
      </c>
      <c r="C22" s="2"/>
      <c r="D22" s="2"/>
      <c r="E22" s="2"/>
      <c r="F22" s="2"/>
      <c r="G22" s="2"/>
      <c r="H22" s="2"/>
      <c r="I22" s="38">
        <v>4832833</v>
      </c>
      <c r="J22" s="38">
        <v>230774</v>
      </c>
      <c r="K22" s="38">
        <v>-48904</v>
      </c>
      <c r="L22" s="38">
        <f>SUM(I22:K22)</f>
        <v>5014703</v>
      </c>
      <c r="M22" s="48">
        <f>L15-L22</f>
        <v>1199199</v>
      </c>
    </row>
    <row r="23" spans="1:13" ht="18.75">
      <c r="A23" s="2"/>
      <c r="B23" s="2" t="s">
        <v>420</v>
      </c>
      <c r="C23" s="2"/>
      <c r="D23" s="2"/>
      <c r="E23" s="2"/>
      <c r="F23" s="2"/>
      <c r="G23" s="2"/>
      <c r="H23" s="2"/>
      <c r="I23" s="38">
        <v>781172</v>
      </c>
      <c r="J23" s="38">
        <v>310892</v>
      </c>
      <c r="K23" s="38">
        <v>-410472</v>
      </c>
      <c r="L23" s="38">
        <f>SUM(I23:K23)</f>
        <v>681592</v>
      </c>
      <c r="M23" s="48">
        <f>L16-L23</f>
        <v>786249</v>
      </c>
    </row>
    <row r="24" spans="1:13" ht="18.75">
      <c r="A24" s="1"/>
      <c r="B24" s="2"/>
      <c r="C24" s="1" t="s">
        <v>20</v>
      </c>
      <c r="D24" s="2"/>
      <c r="E24" s="2"/>
      <c r="F24" s="2"/>
      <c r="G24" s="2"/>
      <c r="H24" s="2"/>
      <c r="I24" s="68">
        <f>SUM(I20:I23)</f>
        <v>12183524</v>
      </c>
      <c r="J24" s="68">
        <f>SUM(J20:J23)</f>
        <v>915299</v>
      </c>
      <c r="K24" s="68">
        <f>SUM(K20:K23)</f>
        <v>-459376</v>
      </c>
      <c r="L24" s="68">
        <f>SUM(L20:L23)</f>
        <v>12639447</v>
      </c>
      <c r="M24" s="33"/>
    </row>
    <row r="25" spans="1:13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3"/>
    </row>
    <row r="26" spans="1:13" ht="18.75">
      <c r="A26" s="1" t="s">
        <v>527</v>
      </c>
      <c r="B26" s="2"/>
      <c r="C26" s="1"/>
      <c r="D26" s="2"/>
      <c r="E26" s="2"/>
      <c r="F26" s="2"/>
      <c r="G26" s="2"/>
      <c r="H26" s="2"/>
      <c r="I26" s="68">
        <f>I17-I24</f>
        <v>10447733</v>
      </c>
      <c r="J26" s="68">
        <f>J17-J24</f>
        <v>356535</v>
      </c>
      <c r="K26" s="68">
        <f>K17-K24</f>
        <v>-12387</v>
      </c>
      <c r="L26" s="68">
        <f>L17-L24</f>
        <v>10791881</v>
      </c>
      <c r="M26" s="33"/>
    </row>
    <row r="27" spans="1:13" ht="18.75">
      <c r="A27" s="1" t="s">
        <v>22</v>
      </c>
      <c r="B27" s="2"/>
      <c r="C27" s="1"/>
      <c r="D27" s="2"/>
      <c r="E27" s="2"/>
      <c r="F27" s="2"/>
      <c r="G27" s="2"/>
      <c r="H27" s="2"/>
      <c r="I27" s="68">
        <f>I10+I26</f>
        <v>11754250</v>
      </c>
      <c r="J27" s="68">
        <f>J10+J26</f>
        <v>863685</v>
      </c>
      <c r="K27" s="68">
        <f>K10+K26</f>
        <v>-106122</v>
      </c>
      <c r="L27" s="68">
        <f>L10+L26</f>
        <v>12511813</v>
      </c>
      <c r="M27" s="48">
        <f>SUM(M8:M25)</f>
        <v>12511813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25"/>
  <sheetViews>
    <sheetView topLeftCell="A9" zoomScale="98" zoomScaleNormal="98" zoomScalePageLayoutView="80" workbookViewId="0">
      <selection activeCell="L21" sqref="L21"/>
    </sheetView>
  </sheetViews>
  <sheetFormatPr defaultColWidth="8.85546875" defaultRowHeight="15"/>
  <cols>
    <col min="9" max="9" width="17.42578125" customWidth="1"/>
    <col min="10" max="10" width="14.28515625" bestFit="1" customWidth="1"/>
    <col min="11" max="11" width="15.85546875" customWidth="1"/>
    <col min="12" max="13" width="20.42578125" customWidth="1"/>
  </cols>
  <sheetData>
    <row r="1" spans="1:13" ht="18.75">
      <c r="A1" s="2"/>
      <c r="B1" s="2"/>
      <c r="C1" s="2"/>
      <c r="D1" s="159" t="s">
        <v>530</v>
      </c>
      <c r="E1" s="159"/>
      <c r="F1" s="159"/>
      <c r="G1" s="159"/>
      <c r="H1" s="159"/>
      <c r="I1" s="159"/>
      <c r="J1" s="2"/>
      <c r="K1" s="2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2"/>
      <c r="K2" s="2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2"/>
      <c r="K3" s="2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151"/>
      <c r="J4" s="2"/>
      <c r="K4" s="2"/>
      <c r="L4" s="2"/>
    </row>
    <row r="5" spans="1:13" ht="56.25">
      <c r="A5" s="2"/>
      <c r="B5" s="2"/>
      <c r="C5" s="2"/>
      <c r="D5" s="2"/>
      <c r="E5" s="2"/>
      <c r="F5" s="2"/>
      <c r="G5" s="2"/>
      <c r="H5" s="2"/>
      <c r="I5" s="63" t="s">
        <v>86</v>
      </c>
      <c r="J5" s="63" t="s">
        <v>63</v>
      </c>
      <c r="K5" s="63" t="s">
        <v>503</v>
      </c>
      <c r="L5" s="63" t="s">
        <v>89</v>
      </c>
      <c r="M5" s="63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63"/>
      <c r="J6" s="63"/>
      <c r="K6" s="63"/>
      <c r="L6" s="63"/>
      <c r="M6" s="63"/>
    </row>
    <row r="7" spans="1:13" ht="18.75">
      <c r="A7" s="1" t="s">
        <v>9</v>
      </c>
      <c r="B7" s="1"/>
      <c r="C7" s="1"/>
      <c r="D7" s="1"/>
      <c r="E7" s="1"/>
      <c r="F7" s="1"/>
      <c r="G7" s="2"/>
      <c r="H7" s="2"/>
      <c r="I7" s="38"/>
      <c r="J7" s="38"/>
      <c r="K7" s="38"/>
      <c r="L7" s="38"/>
    </row>
    <row r="8" spans="1:13" ht="18.75">
      <c r="A8" s="2"/>
      <c r="B8" s="2" t="s">
        <v>10</v>
      </c>
      <c r="C8" s="2"/>
      <c r="D8" s="2"/>
      <c r="E8" s="2"/>
      <c r="F8" s="2"/>
      <c r="G8" s="2"/>
      <c r="H8" s="2"/>
      <c r="I8" s="38">
        <v>1760826</v>
      </c>
      <c r="J8" s="38"/>
      <c r="K8" s="38"/>
      <c r="L8" s="38">
        <f>SUM(I8:K8)</f>
        <v>1760826</v>
      </c>
      <c r="M8" s="48">
        <f>L8</f>
        <v>1760826</v>
      </c>
    </row>
    <row r="9" spans="1:13" ht="18.75">
      <c r="A9" s="2"/>
      <c r="B9" s="2" t="s">
        <v>11</v>
      </c>
      <c r="C9" s="2"/>
      <c r="D9" s="2"/>
      <c r="E9" s="2"/>
      <c r="F9" s="2"/>
      <c r="G9" s="2"/>
      <c r="H9" s="2"/>
      <c r="I9" s="2">
        <v>1088481</v>
      </c>
      <c r="J9" s="2">
        <v>1734180</v>
      </c>
      <c r="K9" s="2">
        <v>-397759</v>
      </c>
      <c r="L9" s="38">
        <f>SUM(I9:K9)</f>
        <v>2424902</v>
      </c>
      <c r="M9" s="48">
        <f>L9</f>
        <v>2424902</v>
      </c>
    </row>
    <row r="10" spans="1:13" ht="18.75">
      <c r="A10" s="1"/>
      <c r="B10" s="1"/>
      <c r="C10" s="1" t="s">
        <v>70</v>
      </c>
      <c r="D10" s="1"/>
      <c r="E10" s="1"/>
      <c r="F10" s="1"/>
      <c r="G10" s="1"/>
      <c r="H10" s="1"/>
      <c r="I10" s="74">
        <f>SUM(I8:I9)</f>
        <v>2849307</v>
      </c>
      <c r="J10" s="74">
        <f>SUM(J8:J9)</f>
        <v>1734180</v>
      </c>
      <c r="K10" s="74">
        <f>SUM(K8:K9)</f>
        <v>-397759</v>
      </c>
      <c r="L10" s="74">
        <f>SUM(L8:L9)</f>
        <v>4185728</v>
      </c>
      <c r="M10" s="33"/>
    </row>
    <row r="11" spans="1:1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3"/>
    </row>
    <row r="12" spans="1:13" ht="18.75">
      <c r="A12" s="1" t="s">
        <v>216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3"/>
    </row>
    <row r="13" spans="1:13" ht="18.75">
      <c r="A13" s="2"/>
      <c r="B13" s="2" t="s">
        <v>33</v>
      </c>
      <c r="C13" s="2"/>
      <c r="D13" s="2"/>
      <c r="E13" s="2"/>
      <c r="F13" s="2"/>
      <c r="G13" s="2"/>
      <c r="H13" s="2"/>
      <c r="I13" s="2">
        <v>38881425</v>
      </c>
      <c r="J13" s="38">
        <v>878650</v>
      </c>
      <c r="K13" s="38"/>
      <c r="L13" s="38">
        <f>SUM(I13:K13)</f>
        <v>39760075</v>
      </c>
      <c r="M13" s="33"/>
    </row>
    <row r="14" spans="1:13" ht="18.75">
      <c r="A14" s="2"/>
      <c r="B14" s="2" t="s">
        <v>34</v>
      </c>
      <c r="C14" s="2"/>
      <c r="D14" s="2"/>
      <c r="E14" s="2"/>
      <c r="F14" s="2"/>
      <c r="G14" s="2"/>
      <c r="H14" s="2"/>
      <c r="I14" s="2">
        <v>13349871</v>
      </c>
      <c r="J14" s="38">
        <v>1478274</v>
      </c>
      <c r="K14" s="38">
        <v>-548896</v>
      </c>
      <c r="L14" s="38">
        <f>SUM(I14:K14)</f>
        <v>14279249</v>
      </c>
      <c r="M14" s="33"/>
    </row>
    <row r="15" spans="1:13" ht="18.75">
      <c r="A15" s="2"/>
      <c r="B15" s="2" t="s">
        <v>17</v>
      </c>
      <c r="C15" s="2"/>
      <c r="D15" s="2"/>
      <c r="E15" s="2"/>
      <c r="F15" s="2"/>
      <c r="G15" s="2"/>
      <c r="H15" s="2"/>
      <c r="I15" s="2">
        <v>40957689</v>
      </c>
      <c r="J15" s="38">
        <v>1607702</v>
      </c>
      <c r="K15" s="38">
        <v>199999</v>
      </c>
      <c r="L15" s="38">
        <f>SUM(I15:K15)</f>
        <v>42765390</v>
      </c>
      <c r="M15" s="33"/>
    </row>
    <row r="16" spans="1:13" ht="18.75">
      <c r="A16" s="2"/>
      <c r="B16" s="2"/>
      <c r="C16" s="1" t="s">
        <v>18</v>
      </c>
      <c r="D16" s="2"/>
      <c r="E16" s="2"/>
      <c r="F16" s="2"/>
      <c r="G16" s="2"/>
      <c r="H16" s="2"/>
      <c r="I16" s="75">
        <f>SUM(I13:I15)</f>
        <v>93188985</v>
      </c>
      <c r="J16" s="75">
        <f>SUM(J13:J15)</f>
        <v>3964626</v>
      </c>
      <c r="K16" s="75">
        <f>SUM(K13:K15)</f>
        <v>-348897</v>
      </c>
      <c r="L16" s="75">
        <f>SUM(L13:L15)</f>
        <v>96804714</v>
      </c>
      <c r="M16" s="33"/>
    </row>
    <row r="17" spans="1:13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3"/>
    </row>
    <row r="18" spans="1:13" ht="18.75">
      <c r="A18" s="1" t="s">
        <v>398</v>
      </c>
      <c r="B18" s="2"/>
      <c r="C18" s="2"/>
      <c r="D18" s="2"/>
      <c r="E18" s="2"/>
      <c r="F18" s="2"/>
      <c r="G18" s="2"/>
      <c r="H18" s="2"/>
      <c r="I18" s="2"/>
      <c r="J18" s="38"/>
      <c r="K18" s="38"/>
      <c r="L18" s="38"/>
      <c r="M18" s="33"/>
    </row>
    <row r="19" spans="1:13" ht="18.75">
      <c r="A19" s="2"/>
      <c r="B19" s="2" t="s">
        <v>33</v>
      </c>
      <c r="C19" s="2"/>
      <c r="D19" s="2"/>
      <c r="E19" s="2"/>
      <c r="F19" s="2"/>
      <c r="G19" s="2"/>
      <c r="H19" s="2"/>
      <c r="I19" s="38">
        <v>-13863537</v>
      </c>
      <c r="J19" s="38">
        <v>-923929</v>
      </c>
      <c r="K19" s="38"/>
      <c r="L19" s="38">
        <f>SUM(I19:K19)</f>
        <v>-14787466</v>
      </c>
      <c r="M19" s="48">
        <f>L13+L19</f>
        <v>24972609</v>
      </c>
    </row>
    <row r="20" spans="1:13" ht="18.75">
      <c r="A20" s="2"/>
      <c r="B20" s="2" t="s">
        <v>34</v>
      </c>
      <c r="C20" s="2"/>
      <c r="D20" s="2"/>
      <c r="E20" s="2"/>
      <c r="F20" s="2"/>
      <c r="G20" s="2"/>
      <c r="H20" s="2"/>
      <c r="I20" s="38">
        <v>-10155441</v>
      </c>
      <c r="J20" s="38">
        <v>-1205941</v>
      </c>
      <c r="K20" s="38">
        <v>557249</v>
      </c>
      <c r="L20" s="38">
        <f>SUM(I20:K20)</f>
        <v>-10804133</v>
      </c>
      <c r="M20" s="48">
        <f>L14+L20</f>
        <v>3475116</v>
      </c>
    </row>
    <row r="21" spans="1:13" ht="18.75">
      <c r="A21" s="2"/>
      <c r="B21" s="2" t="s">
        <v>17</v>
      </c>
      <c r="C21" s="2"/>
      <c r="D21" s="2"/>
      <c r="E21" s="2"/>
      <c r="F21" s="2"/>
      <c r="G21" s="2"/>
      <c r="H21" s="2"/>
      <c r="I21" s="38">
        <v>-10267647</v>
      </c>
      <c r="J21" s="38">
        <v>-1049055</v>
      </c>
      <c r="K21" s="38"/>
      <c r="L21" s="38">
        <f>SUM(I21:K21)</f>
        <v>-11316702</v>
      </c>
      <c r="M21" s="48">
        <f>L15+L21</f>
        <v>31448688</v>
      </c>
    </row>
    <row r="22" spans="1:13" ht="18.75">
      <c r="A22" s="1"/>
      <c r="B22" s="2"/>
      <c r="C22" s="1" t="s">
        <v>20</v>
      </c>
      <c r="D22" s="2"/>
      <c r="E22" s="2"/>
      <c r="F22" s="2"/>
      <c r="G22" s="2"/>
      <c r="H22" s="2"/>
      <c r="I22" s="68">
        <f>SUM(I19:I21)</f>
        <v>-34286625</v>
      </c>
      <c r="J22" s="68">
        <f>SUM(J19:J21)</f>
        <v>-3178925</v>
      </c>
      <c r="K22" s="68">
        <f>SUM(K19:K21)</f>
        <v>557249</v>
      </c>
      <c r="L22" s="68">
        <f>SUM(L19:L21)</f>
        <v>-36908301</v>
      </c>
      <c r="M22" s="33"/>
    </row>
    <row r="23" spans="1:13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3"/>
    </row>
    <row r="24" spans="1:13" ht="18.75">
      <c r="A24" s="1" t="s">
        <v>467</v>
      </c>
      <c r="B24" s="2"/>
      <c r="C24" s="1"/>
      <c r="D24" s="2"/>
      <c r="E24" s="2"/>
      <c r="F24" s="2"/>
      <c r="G24" s="2"/>
      <c r="H24" s="2"/>
      <c r="I24" s="68">
        <f>I16+I22</f>
        <v>58902360</v>
      </c>
      <c r="J24" s="68">
        <f t="shared" ref="J24:L24" si="0">J16+J22</f>
        <v>785701</v>
      </c>
      <c r="K24" s="68">
        <f t="shared" si="0"/>
        <v>208352</v>
      </c>
      <c r="L24" s="68">
        <f t="shared" si="0"/>
        <v>59896413</v>
      </c>
      <c r="M24" s="33"/>
    </row>
    <row r="25" spans="1:13" ht="18.75">
      <c r="A25" s="1" t="s">
        <v>22</v>
      </c>
      <c r="B25" s="2"/>
      <c r="C25" s="1"/>
      <c r="D25" s="2"/>
      <c r="E25" s="2"/>
      <c r="F25" s="2"/>
      <c r="G25" s="2"/>
      <c r="H25" s="2"/>
      <c r="I25" s="68">
        <f>I10+I24</f>
        <v>61751667</v>
      </c>
      <c r="J25" s="68">
        <f>J10+J24</f>
        <v>2519881</v>
      </c>
      <c r="K25" s="68">
        <f>K10+K24</f>
        <v>-189407</v>
      </c>
      <c r="L25" s="68">
        <f>L10+L24</f>
        <v>64082141</v>
      </c>
      <c r="M25" s="48">
        <f>SUM(M8:M23)</f>
        <v>64082141</v>
      </c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39"/>
  <sheetViews>
    <sheetView zoomScale="70" zoomScaleNormal="70" zoomScalePageLayoutView="70" workbookViewId="0">
      <selection activeCell="N32" sqref="N32"/>
    </sheetView>
  </sheetViews>
  <sheetFormatPr defaultColWidth="8.85546875" defaultRowHeight="15"/>
  <cols>
    <col min="9" max="9" width="19.140625" customWidth="1"/>
    <col min="10" max="10" width="17.7109375" customWidth="1"/>
    <col min="11" max="11" width="16" customWidth="1"/>
    <col min="12" max="12" width="17" customWidth="1"/>
    <col min="13" max="13" width="16" bestFit="1" customWidth="1"/>
  </cols>
  <sheetData>
    <row r="1" spans="1:13" ht="18.75">
      <c r="A1" s="2"/>
      <c r="B1" s="2"/>
      <c r="C1" s="2"/>
      <c r="D1" s="159" t="s">
        <v>531</v>
      </c>
      <c r="E1" s="159"/>
      <c r="F1" s="159"/>
      <c r="G1" s="159"/>
      <c r="H1" s="159"/>
      <c r="I1" s="159"/>
      <c r="J1" s="3"/>
      <c r="K1" s="3"/>
      <c r="L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241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2"/>
    </row>
    <row r="7" spans="1:13" ht="18.75">
      <c r="A7" s="1" t="s">
        <v>9</v>
      </c>
      <c r="B7" s="1"/>
      <c r="C7" s="1"/>
      <c r="D7" s="1"/>
      <c r="E7" s="1"/>
      <c r="F7" s="1"/>
      <c r="G7" s="2"/>
      <c r="H7" s="2"/>
      <c r="I7" s="3"/>
      <c r="J7" s="3"/>
      <c r="K7" s="3"/>
      <c r="L7" s="2"/>
      <c r="M7" s="33"/>
    </row>
    <row r="8" spans="1:13" ht="18.75">
      <c r="A8" s="2"/>
      <c r="B8" s="2" t="s">
        <v>10</v>
      </c>
      <c r="C8" s="2"/>
      <c r="D8" s="2"/>
      <c r="E8" s="2"/>
      <c r="F8" s="2"/>
      <c r="G8" s="2"/>
      <c r="H8" s="2"/>
      <c r="I8" s="3">
        <v>936927</v>
      </c>
      <c r="J8" s="3"/>
      <c r="K8" s="3"/>
      <c r="L8" s="3">
        <f>SUM(I8:K8)</f>
        <v>936927</v>
      </c>
      <c r="M8" s="34">
        <f>L8</f>
        <v>936927</v>
      </c>
    </row>
    <row r="9" spans="1:13" ht="18.75">
      <c r="A9" s="2"/>
      <c r="B9" s="2" t="s">
        <v>532</v>
      </c>
      <c r="C9" s="2"/>
      <c r="D9" s="2"/>
      <c r="E9" s="2"/>
      <c r="F9" s="2"/>
      <c r="G9" s="2"/>
      <c r="H9" s="2"/>
      <c r="I9" s="3">
        <v>89589</v>
      </c>
      <c r="J9" s="3"/>
      <c r="K9" s="3"/>
      <c r="L9" s="3">
        <f>SUM(I9:K9)</f>
        <v>89589</v>
      </c>
      <c r="M9" s="34">
        <f>L9</f>
        <v>89589</v>
      </c>
    </row>
    <row r="10" spans="1:13" ht="18.75">
      <c r="A10" s="2"/>
      <c r="B10" s="2" t="s">
        <v>11</v>
      </c>
      <c r="C10" s="2"/>
      <c r="D10" s="2"/>
      <c r="E10" s="2"/>
      <c r="F10" s="2"/>
      <c r="G10" s="2"/>
      <c r="H10" s="2"/>
      <c r="I10" s="3">
        <v>434063</v>
      </c>
      <c r="J10" s="3">
        <v>345509</v>
      </c>
      <c r="K10" s="3">
        <v>-428407</v>
      </c>
      <c r="L10" s="3">
        <f>SUM(I10:K10)</f>
        <v>351165</v>
      </c>
      <c r="M10" s="34">
        <f>L10</f>
        <v>351165</v>
      </c>
    </row>
    <row r="11" spans="1:13" ht="18.75">
      <c r="A11" s="1"/>
      <c r="B11" s="1"/>
      <c r="C11" s="1" t="s">
        <v>533</v>
      </c>
      <c r="D11" s="1"/>
      <c r="E11" s="1"/>
      <c r="F11" s="1"/>
      <c r="G11" s="1"/>
      <c r="H11" s="1"/>
      <c r="I11" s="12">
        <f>SUM(I8:I10)</f>
        <v>1460579</v>
      </c>
      <c r="J11" s="12">
        <f>SUM(J8:J10)</f>
        <v>345509</v>
      </c>
      <c r="K11" s="12">
        <f>SUM(K8:K10)</f>
        <v>-428407</v>
      </c>
      <c r="L11" s="12">
        <f>SUM(L8:L10)</f>
        <v>1377681</v>
      </c>
      <c r="M11" s="39"/>
    </row>
    <row r="12" spans="1:13" ht="18.75">
      <c r="A12" s="2"/>
      <c r="B12" s="2"/>
      <c r="C12" s="2"/>
      <c r="D12" s="2"/>
      <c r="E12" s="2"/>
      <c r="F12" s="2"/>
      <c r="G12" s="2"/>
      <c r="H12" s="2"/>
      <c r="I12" s="3"/>
      <c r="J12" s="3"/>
      <c r="K12" s="3"/>
      <c r="L12" s="2"/>
      <c r="M12" s="33"/>
    </row>
    <row r="13" spans="1:13" ht="18.75">
      <c r="A13" s="1" t="s">
        <v>13</v>
      </c>
      <c r="B13" s="2"/>
      <c r="C13" s="2"/>
      <c r="D13" s="2"/>
      <c r="E13" s="2"/>
      <c r="F13" s="2"/>
      <c r="G13" s="2"/>
      <c r="H13" s="2"/>
      <c r="I13" s="3"/>
      <c r="J13" s="3"/>
      <c r="K13" s="3"/>
      <c r="L13" s="2"/>
      <c r="M13" s="33"/>
    </row>
    <row r="14" spans="1:13" ht="18.75">
      <c r="A14" s="1"/>
      <c r="B14" s="2" t="s">
        <v>17</v>
      </c>
      <c r="C14" s="2"/>
      <c r="D14" s="2"/>
      <c r="E14" s="2"/>
      <c r="F14" s="2"/>
      <c r="G14" s="2"/>
      <c r="H14" s="2"/>
      <c r="I14" s="3"/>
      <c r="J14" s="3"/>
      <c r="K14" s="3"/>
      <c r="L14" s="2"/>
      <c r="M14" s="33"/>
    </row>
    <row r="15" spans="1:13" ht="18.75">
      <c r="A15" s="1"/>
      <c r="B15" s="2"/>
      <c r="C15" s="2" t="s">
        <v>54</v>
      </c>
      <c r="D15" s="2"/>
      <c r="E15" s="2"/>
      <c r="F15" s="2"/>
      <c r="G15" s="2"/>
      <c r="H15" s="2"/>
      <c r="I15" s="3">
        <v>36130051</v>
      </c>
      <c r="J15" s="3"/>
      <c r="K15" s="3"/>
      <c r="L15" s="3">
        <f t="shared" ref="L15:L22" si="0">SUM(I15:K15)</f>
        <v>36130051</v>
      </c>
      <c r="M15" s="33"/>
    </row>
    <row r="16" spans="1:13" ht="18.75">
      <c r="A16" s="1"/>
      <c r="B16" s="2"/>
      <c r="C16" s="2" t="s">
        <v>73</v>
      </c>
      <c r="D16" s="2"/>
      <c r="E16" s="2"/>
      <c r="F16" s="2"/>
      <c r="G16" s="2"/>
      <c r="H16" s="2"/>
      <c r="I16" s="3">
        <v>1644448</v>
      </c>
      <c r="J16" s="3"/>
      <c r="K16" s="3"/>
      <c r="L16" s="3">
        <f t="shared" si="0"/>
        <v>1644448</v>
      </c>
      <c r="M16" s="33"/>
    </row>
    <row r="17" spans="1:13" ht="18.75">
      <c r="A17" s="1"/>
      <c r="B17" s="2" t="s">
        <v>14</v>
      </c>
      <c r="C17" s="2"/>
      <c r="D17" s="2"/>
      <c r="E17" s="2"/>
      <c r="F17" s="2"/>
      <c r="G17" s="2"/>
      <c r="H17" s="2"/>
      <c r="I17" s="3">
        <v>6863281</v>
      </c>
      <c r="J17" s="3">
        <v>115500</v>
      </c>
      <c r="K17" s="3"/>
      <c r="L17" s="3">
        <f t="shared" si="0"/>
        <v>6978781</v>
      </c>
      <c r="M17" s="33"/>
    </row>
    <row r="18" spans="1:13" ht="18.75">
      <c r="A18" s="2"/>
      <c r="B18" s="2" t="s">
        <v>204</v>
      </c>
      <c r="C18" s="2"/>
      <c r="D18" s="2"/>
      <c r="E18" s="2"/>
      <c r="F18" s="2"/>
      <c r="G18" s="2"/>
      <c r="H18" s="2"/>
      <c r="I18" s="3">
        <v>2852261</v>
      </c>
      <c r="J18" s="3">
        <v>428407</v>
      </c>
      <c r="K18" s="3"/>
      <c r="L18" s="3">
        <f t="shared" si="0"/>
        <v>3280668</v>
      </c>
      <c r="M18" s="33"/>
    </row>
    <row r="19" spans="1:13" ht="18.75">
      <c r="A19" s="2"/>
      <c r="B19" s="2" t="s">
        <v>75</v>
      </c>
      <c r="C19" s="2"/>
      <c r="D19" s="2"/>
      <c r="E19" s="2"/>
      <c r="F19" s="2"/>
      <c r="G19" s="2"/>
      <c r="H19" s="2"/>
      <c r="I19" s="3">
        <v>288941</v>
      </c>
      <c r="J19" s="3"/>
      <c r="K19" s="3"/>
      <c r="L19" s="3">
        <f t="shared" si="0"/>
        <v>288941</v>
      </c>
      <c r="M19" s="33"/>
    </row>
    <row r="20" spans="1:13" ht="18.75">
      <c r="A20" s="2"/>
      <c r="B20" s="2" t="s">
        <v>66</v>
      </c>
      <c r="C20" s="2"/>
      <c r="D20" s="2"/>
      <c r="E20" s="2"/>
      <c r="F20" s="2"/>
      <c r="G20" s="2"/>
      <c r="H20" s="2"/>
      <c r="I20" s="3">
        <v>2298842</v>
      </c>
      <c r="J20" s="3">
        <v>124615</v>
      </c>
      <c r="K20" s="3"/>
      <c r="L20" s="3">
        <f t="shared" si="0"/>
        <v>2423457</v>
      </c>
      <c r="M20" s="33"/>
    </row>
    <row r="21" spans="1:13" ht="18.75">
      <c r="A21" s="2"/>
      <c r="B21" s="2" t="s">
        <v>205</v>
      </c>
      <c r="C21" s="2"/>
      <c r="D21" s="2"/>
      <c r="E21" s="2"/>
      <c r="F21" s="2"/>
      <c r="G21" s="2"/>
      <c r="H21" s="2"/>
      <c r="I21" s="3">
        <v>887140</v>
      </c>
      <c r="J21" s="3"/>
      <c r="K21" s="3"/>
      <c r="L21" s="3">
        <f t="shared" si="0"/>
        <v>887140</v>
      </c>
      <c r="M21" s="33"/>
    </row>
    <row r="22" spans="1:13" ht="18.75">
      <c r="A22" s="2"/>
      <c r="B22" s="2" t="s">
        <v>31</v>
      </c>
      <c r="C22" s="2"/>
      <c r="D22" s="2"/>
      <c r="E22" s="2"/>
      <c r="F22" s="2"/>
      <c r="G22" s="2"/>
      <c r="H22" s="2"/>
      <c r="I22" s="3">
        <v>2174552</v>
      </c>
      <c r="J22" s="3">
        <v>36500</v>
      </c>
      <c r="K22" s="3"/>
      <c r="L22" s="3">
        <f t="shared" si="0"/>
        <v>2211052</v>
      </c>
      <c r="M22" s="33"/>
    </row>
    <row r="23" spans="1:13" ht="18.75">
      <c r="A23" s="2"/>
      <c r="B23" s="2"/>
      <c r="C23" s="1" t="s">
        <v>18</v>
      </c>
      <c r="D23" s="2"/>
      <c r="E23" s="2"/>
      <c r="F23" s="2"/>
      <c r="G23" s="2"/>
      <c r="H23" s="2"/>
      <c r="I23" s="13">
        <f>SUM(I14:I22)</f>
        <v>53139516</v>
      </c>
      <c r="J23" s="13">
        <f>SUM(J14:J22)</f>
        <v>705022</v>
      </c>
      <c r="K23" s="13">
        <f>SUM(K14:K22)</f>
        <v>0</v>
      </c>
      <c r="L23" s="13">
        <f>SUM(L15:L22)</f>
        <v>53844538</v>
      </c>
      <c r="M23" s="33"/>
    </row>
    <row r="24" spans="1:13" ht="18.75">
      <c r="A24" s="2"/>
      <c r="B24" s="2"/>
      <c r="C24" s="1"/>
      <c r="D24" s="2"/>
      <c r="E24" s="2"/>
      <c r="F24" s="2"/>
      <c r="G24" s="2"/>
      <c r="H24" s="2"/>
      <c r="I24" s="15"/>
      <c r="J24" s="15"/>
      <c r="K24" s="15"/>
      <c r="L24" s="2"/>
      <c r="M24" s="33"/>
    </row>
    <row r="25" spans="1:13" ht="18.75">
      <c r="A25" s="1" t="s">
        <v>19</v>
      </c>
      <c r="B25" s="2"/>
      <c r="C25" s="2"/>
      <c r="D25" s="2"/>
      <c r="E25" s="2"/>
      <c r="F25" s="2"/>
      <c r="G25" s="2"/>
      <c r="H25" s="2"/>
      <c r="I25" s="3"/>
      <c r="J25" s="3"/>
      <c r="K25" s="3"/>
      <c r="L25" s="2"/>
      <c r="M25" s="33"/>
    </row>
    <row r="26" spans="1:13" ht="18.75">
      <c r="A26" s="2"/>
      <c r="B26" s="2" t="s">
        <v>141</v>
      </c>
      <c r="C26" s="2"/>
      <c r="D26" s="2"/>
      <c r="E26" s="2"/>
      <c r="F26" s="2"/>
      <c r="G26" s="2"/>
      <c r="H26" s="2"/>
      <c r="I26" s="3"/>
      <c r="J26" s="3"/>
      <c r="L26" s="3"/>
      <c r="M26" s="33"/>
    </row>
    <row r="27" spans="1:13" ht="18.75">
      <c r="A27" s="2"/>
      <c r="B27" s="2"/>
      <c r="C27" s="2" t="s">
        <v>54</v>
      </c>
      <c r="D27" s="2"/>
      <c r="E27" s="2"/>
      <c r="F27" s="2"/>
      <c r="G27" s="2"/>
      <c r="H27" s="2"/>
      <c r="I27" s="3">
        <v>-30638137</v>
      </c>
      <c r="J27" s="3">
        <v>-367854</v>
      </c>
      <c r="K27" s="3"/>
      <c r="L27" s="3">
        <f>SUM(I27:K27)</f>
        <v>-31005991</v>
      </c>
      <c r="M27" s="34">
        <f>L15+L27</f>
        <v>5124060</v>
      </c>
    </row>
    <row r="28" spans="1:13" ht="18.75">
      <c r="A28" s="2"/>
      <c r="B28" s="2"/>
      <c r="C28" s="2" t="s">
        <v>73</v>
      </c>
      <c r="D28" s="2"/>
      <c r="E28" s="2"/>
      <c r="F28" s="2"/>
      <c r="G28" s="2"/>
      <c r="H28" s="2"/>
      <c r="I28" s="3">
        <v>-977688</v>
      </c>
      <c r="J28" s="3">
        <v>-35663</v>
      </c>
      <c r="K28" s="3"/>
      <c r="L28" s="3">
        <f t="shared" ref="L28:L34" si="1">SUM(I28:K28)</f>
        <v>-1013351</v>
      </c>
      <c r="M28" s="34">
        <f t="shared" ref="M28:M34" si="2">L16+L28</f>
        <v>631097</v>
      </c>
    </row>
    <row r="29" spans="1:13" ht="18.75">
      <c r="A29" s="2"/>
      <c r="B29" s="2" t="s">
        <v>14</v>
      </c>
      <c r="C29" s="2"/>
      <c r="D29" s="2"/>
      <c r="E29" s="2"/>
      <c r="F29" s="2"/>
      <c r="G29" s="2"/>
      <c r="H29" s="2"/>
      <c r="I29" s="3">
        <v>-3226181</v>
      </c>
      <c r="J29" s="3">
        <v>-148250</v>
      </c>
      <c r="K29" s="3"/>
      <c r="L29" s="3">
        <f t="shared" si="1"/>
        <v>-3374431</v>
      </c>
      <c r="M29" s="34">
        <f t="shared" si="2"/>
        <v>3604350</v>
      </c>
    </row>
    <row r="30" spans="1:13" ht="18.75">
      <c r="A30" s="2"/>
      <c r="B30" s="2" t="s">
        <v>204</v>
      </c>
      <c r="C30" s="2"/>
      <c r="D30" s="2"/>
      <c r="E30" s="2"/>
      <c r="F30" s="2"/>
      <c r="G30" s="2"/>
      <c r="H30" s="2"/>
      <c r="I30" s="3">
        <v>-944675</v>
      </c>
      <c r="J30" s="3">
        <v>-75768</v>
      </c>
      <c r="K30" s="3"/>
      <c r="L30" s="3">
        <f t="shared" si="1"/>
        <v>-1020443</v>
      </c>
      <c r="M30" s="34">
        <f t="shared" si="2"/>
        <v>2260225</v>
      </c>
    </row>
    <row r="31" spans="1:13" ht="18.75">
      <c r="A31" s="2"/>
      <c r="B31" s="2" t="s">
        <v>75</v>
      </c>
      <c r="C31" s="2"/>
      <c r="D31" s="2"/>
      <c r="E31" s="2"/>
      <c r="F31" s="2"/>
      <c r="G31" s="2"/>
      <c r="H31" s="2"/>
      <c r="I31" s="3">
        <v>-79633</v>
      </c>
      <c r="J31" s="3">
        <v>-22873</v>
      </c>
      <c r="K31" s="3"/>
      <c r="L31" s="3">
        <f t="shared" si="1"/>
        <v>-102506</v>
      </c>
      <c r="M31" s="34">
        <f t="shared" si="2"/>
        <v>186435</v>
      </c>
    </row>
    <row r="32" spans="1:13" ht="18.75">
      <c r="A32" s="2"/>
      <c r="B32" s="2" t="s">
        <v>66</v>
      </c>
      <c r="C32" s="2"/>
      <c r="D32" s="2"/>
      <c r="E32" s="2"/>
      <c r="F32" s="2"/>
      <c r="G32" s="2"/>
      <c r="H32" s="2"/>
      <c r="I32" s="3">
        <v>-1850316</v>
      </c>
      <c r="J32" s="3">
        <v>-93851</v>
      </c>
      <c r="K32" s="3"/>
      <c r="L32" s="3">
        <f t="shared" si="1"/>
        <v>-1944167</v>
      </c>
      <c r="M32" s="34">
        <f t="shared" si="2"/>
        <v>479290</v>
      </c>
    </row>
    <row r="33" spans="1:13" ht="18.75">
      <c r="A33" s="2"/>
      <c r="B33" s="2" t="s">
        <v>205</v>
      </c>
      <c r="C33" s="2"/>
      <c r="D33" s="2"/>
      <c r="E33" s="2"/>
      <c r="F33" s="2"/>
      <c r="G33" s="2"/>
      <c r="H33" s="2"/>
      <c r="I33" s="3">
        <v>-718017</v>
      </c>
      <c r="J33" s="3">
        <v>-37685</v>
      </c>
      <c r="K33" s="3"/>
      <c r="L33" s="3">
        <f t="shared" si="1"/>
        <v>-755702</v>
      </c>
      <c r="M33" s="34">
        <f t="shared" si="2"/>
        <v>131438</v>
      </c>
    </row>
    <row r="34" spans="1:13" ht="18.75">
      <c r="A34" s="2"/>
      <c r="B34" s="2" t="s">
        <v>31</v>
      </c>
      <c r="C34" s="2"/>
      <c r="D34" s="2"/>
      <c r="E34" s="2"/>
      <c r="F34" s="2"/>
      <c r="G34" s="2"/>
      <c r="H34" s="2"/>
      <c r="I34" s="3">
        <v>-2008665</v>
      </c>
      <c r="J34" s="3">
        <v>-63275</v>
      </c>
      <c r="K34" s="3"/>
      <c r="L34" s="3">
        <f t="shared" si="1"/>
        <v>-2071940</v>
      </c>
      <c r="M34" s="34">
        <f t="shared" si="2"/>
        <v>139112</v>
      </c>
    </row>
    <row r="35" spans="1:13" ht="18.75">
      <c r="A35" s="1"/>
      <c r="B35" s="1"/>
      <c r="C35" s="1" t="s">
        <v>20</v>
      </c>
      <c r="D35" s="1"/>
      <c r="E35" s="1"/>
      <c r="F35" s="1"/>
      <c r="G35" s="1"/>
      <c r="H35" s="1"/>
      <c r="I35" s="10">
        <f>SUM(I26:I34)</f>
        <v>-40443312</v>
      </c>
      <c r="J35" s="10">
        <f>SUM(J26:J34)</f>
        <v>-845219</v>
      </c>
      <c r="K35" s="10">
        <f>SUM(K26:K34)</f>
        <v>0</v>
      </c>
      <c r="L35" s="12">
        <f>SUM(L27:L34)</f>
        <v>-41288531</v>
      </c>
      <c r="M35" s="39"/>
    </row>
    <row r="36" spans="1:13" ht="18.75">
      <c r="A36" s="1"/>
      <c r="B36" s="1"/>
      <c r="C36" s="1"/>
      <c r="D36" s="1"/>
      <c r="E36" s="1"/>
      <c r="F36" s="1"/>
      <c r="G36" s="1"/>
      <c r="H36" s="1"/>
      <c r="I36" s="10"/>
      <c r="J36" s="10"/>
      <c r="K36" s="10"/>
      <c r="L36" s="1"/>
      <c r="M36" s="33"/>
    </row>
    <row r="37" spans="1:13" ht="18.75">
      <c r="A37" s="1"/>
      <c r="B37" s="1" t="s">
        <v>21</v>
      </c>
      <c r="C37" s="1"/>
      <c r="D37" s="1"/>
      <c r="E37" s="1"/>
      <c r="F37" s="1"/>
      <c r="G37" s="1"/>
      <c r="H37" s="1"/>
      <c r="I37" s="10">
        <f>I23+I35</f>
        <v>12696204</v>
      </c>
      <c r="J37" s="10">
        <f t="shared" ref="J37:L37" si="3">J23+J35</f>
        <v>-140197</v>
      </c>
      <c r="K37" s="10">
        <f t="shared" si="3"/>
        <v>0</v>
      </c>
      <c r="L37" s="10">
        <f t="shared" si="3"/>
        <v>12556007</v>
      </c>
      <c r="M37" s="33"/>
    </row>
    <row r="38" spans="1:13" ht="18.75">
      <c r="A38" s="1"/>
      <c r="B38" s="1"/>
      <c r="C38" s="1"/>
      <c r="D38" s="1"/>
      <c r="E38" s="1"/>
      <c r="F38" s="1"/>
      <c r="G38" s="1"/>
      <c r="H38" s="1"/>
      <c r="I38" s="30"/>
      <c r="J38" s="30"/>
      <c r="K38" s="30"/>
      <c r="L38" s="1"/>
    </row>
    <row r="39" spans="1:13" ht="18.75">
      <c r="A39" s="2"/>
      <c r="B39" s="1" t="s">
        <v>118</v>
      </c>
      <c r="C39" s="2"/>
      <c r="D39" s="2"/>
      <c r="E39" s="2"/>
      <c r="F39" s="2"/>
      <c r="G39" s="2"/>
      <c r="H39" s="2"/>
      <c r="I39" s="14">
        <f>I11+I37</f>
        <v>14156783</v>
      </c>
      <c r="J39" s="14">
        <f>J11+J37</f>
        <v>205312</v>
      </c>
      <c r="K39" s="14">
        <f>K11+K37</f>
        <v>-428407</v>
      </c>
      <c r="L39" s="14">
        <f>L11+L37</f>
        <v>13933688</v>
      </c>
      <c r="M39" s="40">
        <f>SUM(M8:M34)</f>
        <v>13933688</v>
      </c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57"/>
  <sheetViews>
    <sheetView topLeftCell="A5" zoomScale="60" zoomScaleNormal="60" workbookViewId="0">
      <selection activeCell="N46" sqref="N46"/>
    </sheetView>
  </sheetViews>
  <sheetFormatPr defaultColWidth="8.85546875" defaultRowHeight="15"/>
  <cols>
    <col min="1" max="1" width="5.7109375" customWidth="1"/>
    <col min="5" max="5" width="5.85546875" customWidth="1"/>
    <col min="6" max="6" width="5.140625" customWidth="1"/>
    <col min="7" max="7" width="6.42578125" customWidth="1"/>
    <col min="8" max="8" width="14.5703125" customWidth="1"/>
    <col min="9" max="9" width="15.28515625" customWidth="1"/>
    <col min="10" max="10" width="14" bestFit="1" customWidth="1"/>
    <col min="11" max="11" width="13" customWidth="1"/>
    <col min="12" max="12" width="17.42578125" customWidth="1"/>
    <col min="13" max="13" width="15" customWidth="1"/>
    <col min="14" max="14" width="14.85546875" customWidth="1"/>
  </cols>
  <sheetData>
    <row r="1" spans="1:14" ht="18.75">
      <c r="A1" s="2"/>
      <c r="B1" s="2"/>
      <c r="C1" s="2"/>
      <c r="D1" s="159" t="s">
        <v>534</v>
      </c>
      <c r="E1" s="159"/>
      <c r="F1" s="159"/>
      <c r="G1" s="159"/>
      <c r="H1" s="159"/>
      <c r="I1" s="159"/>
      <c r="J1" s="3"/>
      <c r="K1" s="3"/>
      <c r="L1" s="3"/>
      <c r="M1" s="2"/>
    </row>
    <row r="2" spans="1:14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4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4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4" ht="56.25">
      <c r="A5" s="2"/>
      <c r="B5" s="2"/>
      <c r="C5" s="2"/>
      <c r="D5" s="2"/>
      <c r="E5" s="2"/>
      <c r="F5" s="2"/>
      <c r="G5" s="2"/>
      <c r="H5" s="2"/>
      <c r="I5" s="11" t="s">
        <v>535</v>
      </c>
      <c r="J5" s="11" t="s">
        <v>63</v>
      </c>
      <c r="K5" s="11" t="s">
        <v>68</v>
      </c>
      <c r="L5" s="11" t="s">
        <v>69</v>
      </c>
      <c r="M5" s="11" t="s">
        <v>536</v>
      </c>
      <c r="N5" s="11" t="s">
        <v>7</v>
      </c>
    </row>
    <row r="6" spans="1:14" ht="18.75">
      <c r="A6" s="1" t="s">
        <v>8</v>
      </c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4" ht="18.75">
      <c r="A7" s="1" t="s">
        <v>537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  <c r="N7" s="33"/>
    </row>
    <row r="8" spans="1:14" ht="18.75">
      <c r="A8" s="2"/>
      <c r="B8" s="2" t="s">
        <v>10</v>
      </c>
      <c r="C8" s="2"/>
      <c r="D8" s="2"/>
      <c r="E8" s="2"/>
      <c r="F8" s="2"/>
      <c r="G8" s="2"/>
      <c r="H8" s="2"/>
      <c r="I8" s="3">
        <v>1388267</v>
      </c>
      <c r="J8" s="3"/>
      <c r="K8" s="3"/>
      <c r="L8" s="3"/>
      <c r="M8" s="3">
        <f>SUM(I8:K8)</f>
        <v>1388267</v>
      </c>
      <c r="N8" s="34">
        <f>M8</f>
        <v>1388267</v>
      </c>
    </row>
    <row r="9" spans="1:14" ht="18.75">
      <c r="A9" s="2"/>
      <c r="B9" s="2" t="s">
        <v>11</v>
      </c>
      <c r="C9" s="2"/>
      <c r="D9" s="2"/>
      <c r="E9" s="2"/>
      <c r="F9" s="2"/>
      <c r="G9" s="2"/>
      <c r="H9" s="2"/>
      <c r="I9" s="3">
        <v>2532063</v>
      </c>
      <c r="J9" s="3">
        <v>998737</v>
      </c>
      <c r="K9" s="3"/>
      <c r="L9" s="3">
        <v>-3530800</v>
      </c>
      <c r="M9" s="3">
        <f>SUM(I9:L9)</f>
        <v>0</v>
      </c>
      <c r="N9" s="34">
        <f>M9</f>
        <v>0</v>
      </c>
    </row>
    <row r="10" spans="1:14" ht="18.75">
      <c r="A10" s="1"/>
      <c r="B10" s="1"/>
      <c r="C10" s="1" t="s">
        <v>533</v>
      </c>
      <c r="D10" s="1"/>
      <c r="E10" s="1"/>
      <c r="F10" s="1"/>
      <c r="G10" s="1"/>
      <c r="H10" s="1"/>
      <c r="I10" s="12">
        <f>SUM(I8:I9)</f>
        <v>3920330</v>
      </c>
      <c r="J10" s="12">
        <f t="shared" ref="J10:M10" si="0">SUM(J8:J9)</f>
        <v>998737</v>
      </c>
      <c r="K10" s="12">
        <f t="shared" si="0"/>
        <v>0</v>
      </c>
      <c r="L10" s="12">
        <f t="shared" si="0"/>
        <v>-3530800</v>
      </c>
      <c r="M10" s="12">
        <f t="shared" si="0"/>
        <v>1388267</v>
      </c>
      <c r="N10" s="33"/>
    </row>
    <row r="11" spans="1:14" ht="18.75">
      <c r="A11" s="2"/>
      <c r="B11" s="2"/>
      <c r="C11" s="2"/>
      <c r="D11" s="2"/>
      <c r="E11" s="2"/>
      <c r="F11" s="2"/>
      <c r="G11" s="2"/>
      <c r="H11" s="2"/>
      <c r="I11" s="3"/>
      <c r="J11" s="3"/>
      <c r="K11" s="3"/>
      <c r="L11" s="3"/>
      <c r="M11" s="2"/>
      <c r="N11" s="33"/>
    </row>
    <row r="12" spans="1:14" ht="18.75">
      <c r="A12" s="1" t="s">
        <v>538</v>
      </c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2"/>
      <c r="N12" s="33"/>
    </row>
    <row r="13" spans="1:14" ht="18.75">
      <c r="A13" s="1"/>
      <c r="B13" s="2" t="s">
        <v>33</v>
      </c>
      <c r="C13" s="2"/>
      <c r="D13" s="2"/>
      <c r="E13" s="2"/>
      <c r="F13" s="2"/>
      <c r="G13" s="2"/>
      <c r="H13" s="2"/>
      <c r="I13" s="3">
        <v>12595855</v>
      </c>
      <c r="J13" s="3">
        <v>425747</v>
      </c>
      <c r="K13" s="3"/>
      <c r="L13" s="3">
        <v>3530800</v>
      </c>
      <c r="M13" s="3">
        <f>SUM(I13:L13)</f>
        <v>16552402</v>
      </c>
      <c r="N13" s="33"/>
    </row>
    <row r="14" spans="1:14" ht="18.75">
      <c r="A14" s="1"/>
      <c r="B14" s="2" t="s">
        <v>34</v>
      </c>
      <c r="C14" s="2"/>
      <c r="D14" s="2"/>
      <c r="E14" s="2"/>
      <c r="F14" s="2"/>
      <c r="G14" s="2"/>
      <c r="H14" s="2"/>
      <c r="I14" s="3">
        <v>2065068</v>
      </c>
      <c r="J14" s="3">
        <v>724147</v>
      </c>
      <c r="K14" s="3">
        <v>-72659</v>
      </c>
      <c r="L14" s="3"/>
      <c r="M14" s="3">
        <f>SUM(I14:L14)</f>
        <v>2716556</v>
      </c>
      <c r="N14" s="33"/>
    </row>
    <row r="15" spans="1:14" ht="18.75">
      <c r="A15" s="1"/>
      <c r="B15" s="2" t="s">
        <v>30</v>
      </c>
      <c r="C15" s="2"/>
      <c r="D15" s="2"/>
      <c r="E15" s="2"/>
      <c r="F15" s="2"/>
      <c r="G15" s="2"/>
      <c r="H15" s="2"/>
      <c r="I15" s="3">
        <v>89364</v>
      </c>
      <c r="J15" s="3"/>
      <c r="K15" s="3"/>
      <c r="L15" s="3"/>
      <c r="M15" s="3">
        <f t="shared" ref="M15:M19" si="1">SUM(I15:L15)</f>
        <v>89364</v>
      </c>
      <c r="N15" s="33"/>
    </row>
    <row r="16" spans="1:14" ht="18.75">
      <c r="A16" s="1"/>
      <c r="B16" s="2" t="s">
        <v>539</v>
      </c>
      <c r="C16" s="2"/>
      <c r="D16" s="2"/>
      <c r="E16" s="2"/>
      <c r="F16" s="2"/>
      <c r="G16" s="2"/>
      <c r="H16" s="2"/>
      <c r="I16" s="3">
        <v>248366</v>
      </c>
      <c r="J16" s="3">
        <v>59532</v>
      </c>
      <c r="K16" s="3">
        <v>-113149</v>
      </c>
      <c r="L16" s="3"/>
      <c r="M16" s="3">
        <f t="shared" si="1"/>
        <v>194749</v>
      </c>
      <c r="N16" s="33"/>
    </row>
    <row r="17" spans="1:14" ht="18.75">
      <c r="A17" s="2"/>
      <c r="B17" s="2" t="s">
        <v>17</v>
      </c>
      <c r="C17" s="2"/>
      <c r="D17" s="2"/>
      <c r="E17" s="2"/>
      <c r="F17" s="2"/>
      <c r="G17" s="2"/>
      <c r="H17" s="2"/>
      <c r="I17" s="3">
        <v>5236148</v>
      </c>
      <c r="J17" s="3">
        <v>273677</v>
      </c>
      <c r="K17" s="3"/>
      <c r="L17" s="3"/>
      <c r="M17" s="3">
        <f t="shared" si="1"/>
        <v>5509825</v>
      </c>
      <c r="N17" s="33"/>
    </row>
    <row r="18" spans="1:14" ht="18.75">
      <c r="A18" s="2"/>
      <c r="B18" s="2" t="s">
        <v>478</v>
      </c>
      <c r="C18" s="2"/>
      <c r="D18" s="2"/>
      <c r="E18" s="2"/>
      <c r="F18" s="2"/>
      <c r="G18" s="2"/>
      <c r="H18" s="2"/>
      <c r="I18" s="3"/>
      <c r="J18" s="3">
        <v>99398</v>
      </c>
      <c r="K18" s="3"/>
      <c r="L18" s="3"/>
      <c r="M18" s="3">
        <f t="shared" si="1"/>
        <v>99398</v>
      </c>
      <c r="N18" s="33"/>
    </row>
    <row r="19" spans="1:14" ht="18.75">
      <c r="A19" s="2"/>
      <c r="B19" s="2" t="s">
        <v>31</v>
      </c>
      <c r="C19" s="2"/>
      <c r="D19" s="2"/>
      <c r="E19" s="2"/>
      <c r="F19" s="2"/>
      <c r="G19" s="2"/>
      <c r="H19" s="2"/>
      <c r="I19" s="3">
        <v>599992</v>
      </c>
      <c r="J19" s="3">
        <v>18306</v>
      </c>
      <c r="K19" s="3"/>
      <c r="L19" s="3"/>
      <c r="M19" s="3">
        <f t="shared" si="1"/>
        <v>618298</v>
      </c>
      <c r="N19" s="33"/>
    </row>
    <row r="20" spans="1:14" ht="18.75">
      <c r="A20" s="2"/>
      <c r="B20" s="2"/>
      <c r="C20" s="1" t="s">
        <v>18</v>
      </c>
      <c r="D20" s="2"/>
      <c r="E20" s="2"/>
      <c r="F20" s="2"/>
      <c r="G20" s="2"/>
      <c r="H20" s="2"/>
      <c r="I20" s="13">
        <f>SUM(I13:I19)</f>
        <v>20834793</v>
      </c>
      <c r="J20" s="13">
        <f t="shared" ref="J20:M20" si="2">SUM(J13:J19)</f>
        <v>1600807</v>
      </c>
      <c r="K20" s="13">
        <f t="shared" si="2"/>
        <v>-185808</v>
      </c>
      <c r="L20" s="13">
        <f t="shared" si="2"/>
        <v>3530800</v>
      </c>
      <c r="M20" s="13">
        <f t="shared" si="2"/>
        <v>25780592</v>
      </c>
      <c r="N20" s="33"/>
    </row>
    <row r="21" spans="1:14" ht="18.75">
      <c r="A21" s="2"/>
      <c r="B21" s="2"/>
      <c r="C21" s="1"/>
      <c r="D21" s="2"/>
      <c r="E21" s="2"/>
      <c r="F21" s="2"/>
      <c r="G21" s="2"/>
      <c r="H21" s="2"/>
      <c r="I21" s="3"/>
      <c r="J21" s="3"/>
      <c r="K21" s="3"/>
      <c r="L21" s="3"/>
      <c r="M21" s="2"/>
      <c r="N21" s="33"/>
    </row>
    <row r="22" spans="1:14" ht="18.75">
      <c r="A22" s="1" t="s">
        <v>19</v>
      </c>
      <c r="B22" s="2"/>
      <c r="C22" s="2"/>
      <c r="D22" s="2"/>
      <c r="E22" s="2"/>
      <c r="F22" s="2"/>
      <c r="G22" s="2"/>
      <c r="H22" s="2"/>
      <c r="I22" s="3"/>
      <c r="J22" s="3"/>
      <c r="K22" s="3"/>
      <c r="L22" s="3"/>
      <c r="M22" s="2"/>
      <c r="N22" s="33"/>
    </row>
    <row r="23" spans="1:14" ht="18.75">
      <c r="A23" s="2"/>
      <c r="B23" s="2" t="s">
        <v>33</v>
      </c>
      <c r="C23" s="2"/>
      <c r="D23" s="2"/>
      <c r="E23" s="2"/>
      <c r="F23" s="2"/>
      <c r="G23" s="2"/>
      <c r="H23" s="2"/>
      <c r="I23" s="3">
        <v>-2524664</v>
      </c>
      <c r="J23">
        <v>-414062</v>
      </c>
      <c r="K23" s="3"/>
      <c r="L23" s="3"/>
      <c r="M23" s="3">
        <f t="shared" ref="M23:M29" si="3">SUM(I23:K23)</f>
        <v>-2938726</v>
      </c>
      <c r="N23" s="34">
        <f t="shared" ref="N23:N28" si="4">M13+M23</f>
        <v>13613676</v>
      </c>
    </row>
    <row r="24" spans="1:14" ht="18.75">
      <c r="A24" s="2"/>
      <c r="B24" s="2" t="s">
        <v>34</v>
      </c>
      <c r="C24" s="2"/>
      <c r="D24" s="2"/>
      <c r="E24" s="2"/>
      <c r="F24" s="2"/>
      <c r="G24" s="2"/>
      <c r="H24" s="2"/>
      <c r="I24" s="3">
        <v>-1633313</v>
      </c>
      <c r="J24" s="3">
        <v>-169958</v>
      </c>
      <c r="K24" s="3">
        <v>72659</v>
      </c>
      <c r="L24" s="3"/>
      <c r="M24" s="3">
        <f t="shared" si="3"/>
        <v>-1730612</v>
      </c>
      <c r="N24" s="34">
        <f t="shared" si="4"/>
        <v>985944</v>
      </c>
    </row>
    <row r="25" spans="1:14" ht="18.75">
      <c r="A25" s="2"/>
      <c r="B25" s="2" t="s">
        <v>30</v>
      </c>
      <c r="C25" s="2"/>
      <c r="D25" s="2"/>
      <c r="E25" s="2"/>
      <c r="F25" s="2"/>
      <c r="G25" s="2"/>
      <c r="H25" s="2"/>
      <c r="I25" s="3">
        <v>-70214</v>
      </c>
      <c r="J25" s="3">
        <v>-3971</v>
      </c>
      <c r="K25" s="3"/>
      <c r="L25" s="3"/>
      <c r="M25" s="3">
        <f t="shared" si="3"/>
        <v>-74185</v>
      </c>
      <c r="N25" s="34">
        <f t="shared" si="4"/>
        <v>15179</v>
      </c>
    </row>
    <row r="26" spans="1:14" ht="18.75">
      <c r="A26" s="2"/>
      <c r="B26" s="2" t="s">
        <v>403</v>
      </c>
      <c r="C26" s="2"/>
      <c r="D26" s="2"/>
      <c r="E26" s="2"/>
      <c r="F26" s="2"/>
      <c r="G26" s="2"/>
      <c r="H26" s="2"/>
      <c r="I26" s="3">
        <v>-189635</v>
      </c>
      <c r="J26" s="3">
        <v>-37571</v>
      </c>
      <c r="K26" s="3">
        <v>113149</v>
      </c>
      <c r="L26" s="3"/>
      <c r="M26" s="3">
        <f t="shared" si="3"/>
        <v>-114057</v>
      </c>
      <c r="N26" s="34">
        <f t="shared" si="4"/>
        <v>80692</v>
      </c>
    </row>
    <row r="27" spans="1:14" ht="18.75">
      <c r="A27" s="2"/>
      <c r="B27" s="2" t="s">
        <v>17</v>
      </c>
      <c r="C27" s="2"/>
      <c r="D27" s="2"/>
      <c r="E27" s="2"/>
      <c r="F27" s="2"/>
      <c r="G27" s="2"/>
      <c r="H27" s="2"/>
      <c r="I27" s="3">
        <v>-2155488</v>
      </c>
      <c r="J27" s="3">
        <v>-169011</v>
      </c>
      <c r="K27" s="3"/>
      <c r="L27" s="3"/>
      <c r="M27" s="3">
        <f t="shared" si="3"/>
        <v>-2324499</v>
      </c>
      <c r="N27" s="34">
        <f t="shared" si="4"/>
        <v>3185326</v>
      </c>
    </row>
    <row r="28" spans="1:14" ht="18.75">
      <c r="A28" s="2"/>
      <c r="B28" s="2" t="s">
        <v>478</v>
      </c>
      <c r="C28" s="2"/>
      <c r="D28" s="2"/>
      <c r="E28" s="2"/>
      <c r="F28" s="2"/>
      <c r="G28" s="2"/>
      <c r="H28" s="2"/>
      <c r="I28" s="3"/>
      <c r="J28" s="3">
        <v>-3814</v>
      </c>
      <c r="K28" s="3"/>
      <c r="L28" s="3"/>
      <c r="M28" s="3"/>
      <c r="N28" s="34">
        <f t="shared" si="4"/>
        <v>99398</v>
      </c>
    </row>
    <row r="29" spans="1:14" ht="18.75">
      <c r="A29" s="2"/>
      <c r="B29" s="2" t="s">
        <v>31</v>
      </c>
      <c r="C29" s="2"/>
      <c r="D29" s="2"/>
      <c r="E29" s="2"/>
      <c r="F29" s="2"/>
      <c r="G29" s="2"/>
      <c r="H29" s="2"/>
      <c r="I29" s="3">
        <v>-491634</v>
      </c>
      <c r="J29" s="3">
        <v>-42112</v>
      </c>
      <c r="K29" s="3"/>
      <c r="L29" s="3"/>
      <c r="M29" s="3">
        <f t="shared" si="3"/>
        <v>-533746</v>
      </c>
      <c r="N29" s="34">
        <f t="shared" ref="N29" si="5">M19+M29</f>
        <v>84552</v>
      </c>
    </row>
    <row r="30" spans="1:14" ht="18.75">
      <c r="A30" s="1"/>
      <c r="B30" s="1"/>
      <c r="C30" s="1" t="s">
        <v>20</v>
      </c>
      <c r="D30" s="1"/>
      <c r="E30" s="1"/>
      <c r="F30" s="1"/>
      <c r="G30" s="1"/>
      <c r="H30" s="1"/>
      <c r="I30" s="10">
        <f>SUM(I23:I29)</f>
        <v>-7064948</v>
      </c>
      <c r="J30" s="10">
        <f t="shared" ref="J30:L30" si="6">SUM(J23:J29)</f>
        <v>-840499</v>
      </c>
      <c r="K30" s="10">
        <f t="shared" si="6"/>
        <v>185808</v>
      </c>
      <c r="L30" s="10">
        <f t="shared" si="6"/>
        <v>0</v>
      </c>
      <c r="M30" s="10">
        <f t="shared" ref="M30" si="7">SUM(M23:M29)</f>
        <v>-7715825</v>
      </c>
      <c r="N30" s="33"/>
    </row>
    <row r="31" spans="1:14" ht="18.75">
      <c r="A31" s="1"/>
      <c r="B31" s="1"/>
      <c r="C31" s="1"/>
      <c r="D31" s="1"/>
      <c r="E31" s="1"/>
      <c r="F31" s="1"/>
      <c r="G31" s="1"/>
      <c r="H31" s="1"/>
      <c r="I31" s="123"/>
      <c r="J31" s="123"/>
      <c r="K31" s="123"/>
      <c r="L31" s="140"/>
      <c r="M31" s="2"/>
      <c r="N31" s="33"/>
    </row>
    <row r="32" spans="1:14" ht="18.75">
      <c r="A32" s="1"/>
      <c r="B32" s="1"/>
      <c r="C32" s="1" t="s">
        <v>540</v>
      </c>
      <c r="D32" s="1"/>
      <c r="E32" s="1"/>
      <c r="F32" s="1"/>
      <c r="G32" s="1"/>
      <c r="H32" s="1"/>
      <c r="I32" s="10">
        <f>I20+I30</f>
        <v>13769845</v>
      </c>
      <c r="J32" s="10">
        <f t="shared" ref="J32:M32" si="8">J20+J30</f>
        <v>760308</v>
      </c>
      <c r="K32" s="10">
        <f t="shared" si="8"/>
        <v>0</v>
      </c>
      <c r="L32" s="10">
        <f t="shared" si="8"/>
        <v>3530800</v>
      </c>
      <c r="M32" s="10">
        <f t="shared" si="8"/>
        <v>18064767</v>
      </c>
      <c r="N32" s="33"/>
    </row>
    <row r="33" spans="1:14" ht="18.75">
      <c r="A33" s="1"/>
      <c r="B33" s="1"/>
      <c r="C33" s="1"/>
      <c r="D33" s="1"/>
      <c r="E33" s="1"/>
      <c r="F33" s="1"/>
      <c r="G33" s="1"/>
      <c r="H33" s="1"/>
      <c r="I33" s="124"/>
      <c r="J33" s="124"/>
      <c r="K33" s="124"/>
      <c r="L33" s="140"/>
      <c r="M33" s="2"/>
    </row>
    <row r="34" spans="1:14" ht="19.5" thickBot="1">
      <c r="A34" s="2"/>
      <c r="B34" s="1"/>
      <c r="C34" s="1" t="s">
        <v>118</v>
      </c>
      <c r="D34" s="2"/>
      <c r="E34" s="2"/>
      <c r="F34" s="2"/>
      <c r="G34" s="2"/>
      <c r="H34" s="2"/>
      <c r="I34" s="14">
        <f>I10+I32</f>
        <v>17690175</v>
      </c>
      <c r="J34" s="14">
        <f t="shared" ref="J34:M34" si="9">J10+J32</f>
        <v>1759045</v>
      </c>
      <c r="K34" s="14">
        <f t="shared" si="9"/>
        <v>0</v>
      </c>
      <c r="L34" s="14">
        <f t="shared" si="9"/>
        <v>0</v>
      </c>
      <c r="M34" s="14">
        <f t="shared" si="9"/>
        <v>19453034</v>
      </c>
      <c r="N34" s="3">
        <f>SUM(N8:N29)</f>
        <v>19453034</v>
      </c>
    </row>
    <row r="37" spans="1:14" ht="56.25">
      <c r="A37" s="2"/>
      <c r="B37" s="2"/>
      <c r="C37" s="2"/>
      <c r="D37" s="2"/>
      <c r="E37" s="2"/>
      <c r="F37" s="2"/>
      <c r="G37" s="2"/>
      <c r="H37" s="2"/>
      <c r="I37" s="11" t="s">
        <v>535</v>
      </c>
      <c r="J37" s="11" t="s">
        <v>63</v>
      </c>
      <c r="K37" s="11" t="s">
        <v>68</v>
      </c>
      <c r="L37" s="11" t="s">
        <v>69</v>
      </c>
      <c r="M37" s="11" t="s">
        <v>536</v>
      </c>
      <c r="N37" s="11" t="s">
        <v>7</v>
      </c>
    </row>
    <row r="38" spans="1:14" ht="18.75">
      <c r="A38" s="49" t="s">
        <v>82</v>
      </c>
    </row>
    <row r="39" spans="1:14" ht="18.75">
      <c r="A39" s="49" t="s">
        <v>537</v>
      </c>
      <c r="B39" s="49"/>
    </row>
    <row r="40" spans="1:14" ht="18.75">
      <c r="A40" s="49"/>
      <c r="B40" s="33" t="s">
        <v>11</v>
      </c>
      <c r="I40" s="33">
        <v>35421</v>
      </c>
      <c r="J40" s="33">
        <v>187428</v>
      </c>
      <c r="K40" s="33"/>
      <c r="L40" s="33"/>
      <c r="M40" s="33">
        <f>SUM(I40:L40)</f>
        <v>222849</v>
      </c>
      <c r="N40" s="33">
        <f>M40</f>
        <v>222849</v>
      </c>
    </row>
    <row r="41" spans="1:14" ht="18.75">
      <c r="A41" s="49"/>
      <c r="C41" s="49" t="s">
        <v>92</v>
      </c>
      <c r="D41" s="49"/>
      <c r="E41" s="49"/>
      <c r="F41" s="49"/>
      <c r="G41" s="49"/>
      <c r="I41" s="89">
        <f>SUM(I40)</f>
        <v>35421</v>
      </c>
      <c r="J41" s="89">
        <f t="shared" ref="J41:M41" si="10">SUM(J40)</f>
        <v>187428</v>
      </c>
      <c r="K41" s="89">
        <f t="shared" si="10"/>
        <v>0</v>
      </c>
      <c r="L41" s="89">
        <f t="shared" si="10"/>
        <v>0</v>
      </c>
      <c r="M41" s="89">
        <f t="shared" si="10"/>
        <v>222849</v>
      </c>
    </row>
    <row r="42" spans="1:14" ht="18.75">
      <c r="A42" s="49"/>
    </row>
    <row r="43" spans="1:14" ht="18.75">
      <c r="A43" s="1" t="s">
        <v>541</v>
      </c>
      <c r="B43" s="2"/>
      <c r="C43" s="2"/>
      <c r="D43" s="2"/>
      <c r="E43" s="2"/>
      <c r="F43" s="2"/>
      <c r="G43" s="2"/>
      <c r="H43" s="2"/>
      <c r="I43" s="3"/>
      <c r="J43" s="3"/>
      <c r="K43" s="3"/>
      <c r="L43" s="3"/>
      <c r="M43" s="2"/>
      <c r="N43" s="33"/>
    </row>
    <row r="44" spans="1:14" ht="18.75">
      <c r="A44" s="1"/>
      <c r="B44" s="2" t="s">
        <v>542</v>
      </c>
      <c r="C44" s="2"/>
      <c r="D44" s="2"/>
      <c r="E44" s="2"/>
      <c r="F44" s="2"/>
      <c r="G44" s="2"/>
      <c r="H44" s="2"/>
      <c r="I44" s="3">
        <v>15480464</v>
      </c>
      <c r="J44" s="3">
        <v>25326</v>
      </c>
      <c r="K44" s="3"/>
      <c r="L44" s="3"/>
      <c r="M44" s="3">
        <f>SUM(I44:K44)</f>
        <v>15505790</v>
      </c>
      <c r="N44" s="33"/>
    </row>
    <row r="45" spans="1:14" ht="18.75">
      <c r="A45" s="1"/>
      <c r="B45" s="2" t="s">
        <v>34</v>
      </c>
      <c r="C45" s="2"/>
      <c r="D45" s="2"/>
      <c r="E45" s="2"/>
      <c r="F45" s="2"/>
      <c r="G45" s="2"/>
      <c r="H45" s="2"/>
      <c r="I45" s="3">
        <v>217136</v>
      </c>
      <c r="J45" s="3">
        <v>60687</v>
      </c>
      <c r="K45" s="3"/>
      <c r="L45" s="3"/>
      <c r="M45" s="3">
        <f>SUM(I45:K45)</f>
        <v>277823</v>
      </c>
      <c r="N45" s="33"/>
    </row>
    <row r="46" spans="1:14" ht="18.75">
      <c r="A46" s="1"/>
      <c r="B46" s="2" t="s">
        <v>31</v>
      </c>
      <c r="C46" s="2"/>
      <c r="D46" s="2"/>
      <c r="E46" s="2"/>
      <c r="F46" s="2"/>
      <c r="G46" s="2"/>
      <c r="H46" s="2"/>
      <c r="I46" s="3">
        <v>128200</v>
      </c>
      <c r="J46" s="3"/>
      <c r="K46" s="3"/>
      <c r="L46" s="3"/>
      <c r="M46" s="3">
        <f>SUM(I46:K46)</f>
        <v>128200</v>
      </c>
      <c r="N46" s="33"/>
    </row>
    <row r="47" spans="1:14" ht="18.75">
      <c r="A47" s="2"/>
      <c r="B47" s="2"/>
      <c r="C47" s="1" t="s">
        <v>18</v>
      </c>
      <c r="D47" s="2"/>
      <c r="E47" s="2"/>
      <c r="F47" s="2"/>
      <c r="G47" s="2"/>
      <c r="H47" s="2"/>
      <c r="I47" s="29">
        <f>SUM(I44:I46)</f>
        <v>15825800</v>
      </c>
      <c r="J47" s="29">
        <f t="shared" ref="J47:M47" si="11">SUM(J44:J46)</f>
        <v>86013</v>
      </c>
      <c r="K47" s="29">
        <f t="shared" si="11"/>
        <v>0</v>
      </c>
      <c r="L47" s="29"/>
      <c r="M47" s="29">
        <f t="shared" si="11"/>
        <v>15911813</v>
      </c>
      <c r="N47" s="33"/>
    </row>
    <row r="48" spans="1:14" ht="18.75">
      <c r="A48" s="2"/>
      <c r="B48" s="2"/>
      <c r="C48" s="1"/>
      <c r="D48" s="2"/>
      <c r="E48" s="2"/>
      <c r="F48" s="2"/>
      <c r="G48" s="2"/>
      <c r="H48" s="2"/>
      <c r="I48" s="3"/>
      <c r="J48" s="3"/>
      <c r="K48" s="3"/>
      <c r="L48" s="3"/>
      <c r="M48" s="2"/>
      <c r="N48" s="33"/>
    </row>
    <row r="49" spans="1:14" ht="18.75">
      <c r="A49" s="1" t="s">
        <v>19</v>
      </c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2"/>
      <c r="N49" s="33"/>
    </row>
    <row r="50" spans="1:14" ht="18.75">
      <c r="A50" s="2"/>
      <c r="B50" s="2" t="s">
        <v>542</v>
      </c>
      <c r="C50" s="2"/>
      <c r="D50" s="2"/>
      <c r="E50" s="2"/>
      <c r="F50" s="2"/>
      <c r="G50" s="2"/>
      <c r="H50" s="2"/>
      <c r="I50" s="3">
        <v>-5835684</v>
      </c>
      <c r="J50" s="115">
        <v>-391996</v>
      </c>
      <c r="K50" s="3"/>
      <c r="L50" s="3"/>
      <c r="M50" s="3">
        <f>SUM(I50:K50)</f>
        <v>-6227680</v>
      </c>
      <c r="N50" s="34">
        <f>M44+M50</f>
        <v>9278110</v>
      </c>
    </row>
    <row r="51" spans="1:14" ht="18.75">
      <c r="A51" s="2"/>
      <c r="B51" s="2" t="s">
        <v>34</v>
      </c>
      <c r="C51" s="2"/>
      <c r="D51" s="2"/>
      <c r="E51" s="2"/>
      <c r="F51" s="2"/>
      <c r="G51" s="2"/>
      <c r="H51" s="2"/>
      <c r="I51" s="3">
        <v>-109254</v>
      </c>
      <c r="J51" s="3">
        <v>-29122</v>
      </c>
      <c r="K51" s="3"/>
      <c r="L51" s="3"/>
      <c r="M51" s="3">
        <f>SUM(I51:K51)</f>
        <v>-138376</v>
      </c>
      <c r="N51" s="34">
        <f>M45+M51</f>
        <v>139447</v>
      </c>
    </row>
    <row r="52" spans="1:14" ht="18.75">
      <c r="A52" s="2"/>
      <c r="B52" s="2" t="s">
        <v>31</v>
      </c>
      <c r="C52" s="2"/>
      <c r="D52" s="2"/>
      <c r="E52" s="2"/>
      <c r="F52" s="2"/>
      <c r="G52" s="2"/>
      <c r="H52" s="2"/>
      <c r="I52" s="3">
        <v>-75189</v>
      </c>
      <c r="J52" s="3">
        <v>-13572</v>
      </c>
      <c r="K52" s="3"/>
      <c r="L52" s="3"/>
      <c r="M52" s="3">
        <f>SUM(I52:K52)</f>
        <v>-88761</v>
      </c>
      <c r="N52" s="34">
        <f>SUM(M46+M52)</f>
        <v>39439</v>
      </c>
    </row>
    <row r="53" spans="1:14" ht="18.75">
      <c r="A53" s="1"/>
      <c r="B53" s="1"/>
      <c r="C53" s="1" t="s">
        <v>20</v>
      </c>
      <c r="D53" s="1"/>
      <c r="E53" s="1"/>
      <c r="F53" s="1"/>
      <c r="G53" s="1"/>
      <c r="H53" s="1"/>
      <c r="I53" s="10">
        <f>SUM(I50:I52)</f>
        <v>-6020127</v>
      </c>
      <c r="J53" s="10">
        <f t="shared" ref="J53:M53" si="12">SUM(J50:J52)</f>
        <v>-434690</v>
      </c>
      <c r="K53" s="10">
        <f t="shared" si="12"/>
        <v>0</v>
      </c>
      <c r="L53" s="10"/>
      <c r="M53" s="10">
        <f t="shared" si="12"/>
        <v>-6454817</v>
      </c>
      <c r="N53" s="33"/>
    </row>
    <row r="54" spans="1:14" ht="18.75">
      <c r="A54" s="1"/>
      <c r="B54" s="1"/>
      <c r="C54" s="1"/>
      <c r="D54" s="1"/>
      <c r="E54" s="1"/>
      <c r="F54" s="1"/>
      <c r="G54" s="1"/>
      <c r="H54" s="1"/>
      <c r="I54" s="123"/>
      <c r="J54" s="123"/>
      <c r="K54" s="123"/>
      <c r="L54" s="140"/>
      <c r="M54" s="2"/>
      <c r="N54" s="33"/>
    </row>
    <row r="55" spans="1:14" ht="18.75">
      <c r="A55" s="1"/>
      <c r="B55" s="1"/>
      <c r="C55" s="1" t="s">
        <v>540</v>
      </c>
      <c r="D55" s="1"/>
      <c r="E55" s="1"/>
      <c r="F55" s="1"/>
      <c r="G55" s="1"/>
      <c r="H55" s="1"/>
      <c r="I55" s="10">
        <f>I47+I53</f>
        <v>9805673</v>
      </c>
      <c r="J55" s="10">
        <f>J47+J53</f>
        <v>-348677</v>
      </c>
      <c r="K55" s="10">
        <f>K47+K53</f>
        <v>0</v>
      </c>
      <c r="L55" s="10"/>
      <c r="M55" s="10">
        <f>M47+M53</f>
        <v>9456996</v>
      </c>
      <c r="N55" s="33"/>
    </row>
    <row r="56" spans="1:14" ht="18.75">
      <c r="A56" s="1"/>
      <c r="B56" s="1"/>
      <c r="C56" s="1"/>
      <c r="D56" s="1"/>
      <c r="E56" s="1"/>
      <c r="F56" s="1"/>
      <c r="G56" s="1"/>
      <c r="H56" s="1"/>
      <c r="I56" s="124"/>
      <c r="J56" s="124"/>
      <c r="K56" s="124"/>
      <c r="L56" s="140"/>
      <c r="M56" s="2"/>
    </row>
    <row r="57" spans="1:14" ht="19.5" thickBot="1">
      <c r="A57" s="2"/>
      <c r="B57" s="1"/>
      <c r="C57" s="1" t="s">
        <v>118</v>
      </c>
      <c r="D57" s="2"/>
      <c r="E57" s="2"/>
      <c r="F57" s="2"/>
      <c r="G57" s="2"/>
      <c r="H57" s="2"/>
      <c r="I57" s="14">
        <f>SUM(I41+I55)</f>
        <v>9841094</v>
      </c>
      <c r="J57" s="14">
        <f t="shared" ref="J57:M57" si="13">SUM(J41+J55)</f>
        <v>-161249</v>
      </c>
      <c r="K57" s="14">
        <f t="shared" si="13"/>
        <v>0</v>
      </c>
      <c r="L57" s="14">
        <f t="shared" si="13"/>
        <v>0</v>
      </c>
      <c r="M57" s="14">
        <f t="shared" si="13"/>
        <v>9679845</v>
      </c>
      <c r="N57" s="34">
        <f>SUM(N40:N52)</f>
        <v>9679845</v>
      </c>
    </row>
  </sheetData>
  <mergeCells count="3">
    <mergeCell ref="D1:I1"/>
    <mergeCell ref="D2:I2"/>
    <mergeCell ref="D3:I3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39"/>
  <sheetViews>
    <sheetView zoomScaleNormal="100" zoomScalePageLayoutView="60" workbookViewId="0">
      <selection activeCell="M38" sqref="M38"/>
    </sheetView>
  </sheetViews>
  <sheetFormatPr defaultColWidth="8.85546875" defaultRowHeight="15"/>
  <cols>
    <col min="9" max="9" width="15.42578125" bestFit="1" customWidth="1"/>
    <col min="10" max="10" width="16" customWidth="1"/>
    <col min="11" max="11" width="15.140625" bestFit="1" customWidth="1"/>
    <col min="12" max="12" width="17.42578125" customWidth="1"/>
    <col min="13" max="13" width="19.28515625" customWidth="1"/>
  </cols>
  <sheetData>
    <row r="1" spans="1:13" ht="18.75">
      <c r="A1" s="2"/>
      <c r="B1" s="2"/>
      <c r="C1" s="2"/>
      <c r="D1" s="159" t="s">
        <v>543</v>
      </c>
      <c r="E1" s="159"/>
      <c r="F1" s="159"/>
      <c r="G1" s="159"/>
      <c r="H1" s="159"/>
      <c r="I1" s="159"/>
      <c r="J1" s="3"/>
      <c r="K1" s="3"/>
      <c r="L1" s="3"/>
      <c r="M1" s="2"/>
    </row>
    <row r="2" spans="1:13" ht="18.75">
      <c r="A2" s="2"/>
      <c r="B2" s="2"/>
      <c r="C2" s="2"/>
      <c r="D2" s="159" t="s">
        <v>1</v>
      </c>
      <c r="E2" s="159"/>
      <c r="F2" s="159"/>
      <c r="G2" s="159"/>
      <c r="H2" s="159"/>
      <c r="I2" s="159"/>
      <c r="J2" s="3"/>
      <c r="K2" s="3"/>
      <c r="L2" s="3"/>
      <c r="M2" s="2"/>
    </row>
    <row r="3" spans="1:13" ht="18.75">
      <c r="A3" s="2"/>
      <c r="B3" s="2"/>
      <c r="C3" s="2"/>
      <c r="D3" s="159" t="s">
        <v>2</v>
      </c>
      <c r="E3" s="159"/>
      <c r="F3" s="159"/>
      <c r="G3" s="159"/>
      <c r="H3" s="159"/>
      <c r="I3" s="159"/>
      <c r="J3" s="3"/>
      <c r="K3" s="3"/>
      <c r="L3" s="3"/>
      <c r="M3" s="2"/>
    </row>
    <row r="4" spans="1:13" ht="18.75">
      <c r="A4" s="2"/>
      <c r="B4" s="2"/>
      <c r="C4" s="2"/>
      <c r="D4" s="151"/>
      <c r="E4" s="151"/>
      <c r="F4" s="151"/>
      <c r="G4" s="151"/>
      <c r="H4" s="151"/>
      <c r="I4" s="4"/>
      <c r="J4" s="3"/>
      <c r="K4" s="3"/>
      <c r="L4" s="3"/>
      <c r="M4" s="2"/>
    </row>
    <row r="5" spans="1:13" ht="37.5">
      <c r="A5" s="2"/>
      <c r="B5" s="2"/>
      <c r="C5" s="2"/>
      <c r="D5" s="2"/>
      <c r="E5" s="2"/>
      <c r="F5" s="2"/>
      <c r="G5" s="2"/>
      <c r="H5" s="2"/>
      <c r="I5" s="11" t="s">
        <v>3</v>
      </c>
      <c r="J5" s="11" t="s">
        <v>63</v>
      </c>
      <c r="K5" s="11" t="s">
        <v>68</v>
      </c>
      <c r="L5" s="11" t="s">
        <v>6</v>
      </c>
      <c r="M5" s="11" t="s">
        <v>7</v>
      </c>
    </row>
    <row r="6" spans="1:13" ht="18.75">
      <c r="A6" s="2"/>
      <c r="B6" s="2"/>
      <c r="C6" s="2"/>
      <c r="D6" s="2"/>
      <c r="E6" s="2"/>
      <c r="F6" s="2"/>
      <c r="G6" s="2"/>
      <c r="H6" s="2"/>
      <c r="I6" s="16"/>
      <c r="J6" s="16"/>
      <c r="K6" s="16"/>
      <c r="L6" s="16"/>
      <c r="M6" s="2"/>
    </row>
    <row r="7" spans="1:13" ht="18.75">
      <c r="A7" s="1" t="s">
        <v>51</v>
      </c>
      <c r="B7" s="1"/>
      <c r="C7" s="1"/>
      <c r="D7" s="1"/>
      <c r="E7" s="1"/>
      <c r="F7" s="1"/>
      <c r="G7" s="2"/>
      <c r="H7" s="2"/>
      <c r="I7" s="3"/>
      <c r="J7" s="3"/>
      <c r="K7" s="3"/>
      <c r="L7" s="3"/>
      <c r="M7" s="2"/>
    </row>
    <row r="8" spans="1:13" ht="18.75">
      <c r="A8" s="1" t="s">
        <v>52</v>
      </c>
      <c r="B8" s="1"/>
      <c r="C8" s="1"/>
      <c r="D8" s="1"/>
      <c r="E8" s="1"/>
      <c r="F8" s="1"/>
      <c r="G8" s="2"/>
      <c r="H8" s="2"/>
      <c r="I8" s="3"/>
      <c r="J8" s="3"/>
      <c r="K8" s="3"/>
      <c r="L8" s="3"/>
      <c r="M8" s="2"/>
    </row>
    <row r="9" spans="1:13" ht="18.75">
      <c r="A9" s="1" t="s">
        <v>9</v>
      </c>
      <c r="B9" s="1"/>
      <c r="C9" s="1"/>
      <c r="D9" s="1"/>
      <c r="E9" s="1"/>
      <c r="F9" s="1"/>
      <c r="G9" s="2"/>
      <c r="H9" s="2"/>
      <c r="I9" s="3"/>
      <c r="J9" s="3"/>
      <c r="K9" s="3"/>
      <c r="L9" s="3"/>
      <c r="M9" s="2"/>
    </row>
    <row r="10" spans="1:13" ht="18.75">
      <c r="A10" s="2"/>
      <c r="B10" s="2" t="s">
        <v>10</v>
      </c>
      <c r="C10" s="2"/>
      <c r="D10" s="2"/>
      <c r="E10" s="2"/>
      <c r="F10" s="2"/>
      <c r="G10" s="2"/>
      <c r="H10" s="2"/>
      <c r="I10" s="3">
        <v>223675</v>
      </c>
      <c r="J10" s="3"/>
      <c r="K10" s="3"/>
      <c r="L10" s="3">
        <f>SUM(I10:K10)</f>
        <v>223675</v>
      </c>
      <c r="M10" s="3">
        <f>SUM(L10)</f>
        <v>223675</v>
      </c>
    </row>
    <row r="11" spans="1:13" ht="18.75">
      <c r="A11" s="2"/>
      <c r="B11" s="2" t="s">
        <v>544</v>
      </c>
      <c r="C11" s="2"/>
      <c r="D11" s="2"/>
      <c r="E11" s="2"/>
      <c r="F11" s="2"/>
      <c r="G11" s="2"/>
      <c r="H11" s="2"/>
      <c r="I11" s="3">
        <v>4872653</v>
      </c>
      <c r="J11" s="3"/>
      <c r="K11" s="3"/>
      <c r="L11" s="3">
        <f t="shared" ref="L11:L15" si="0">SUM(I11:K11)</f>
        <v>4872653</v>
      </c>
      <c r="M11" s="3"/>
    </row>
    <row r="12" spans="1:13" ht="18.75">
      <c r="A12" s="2"/>
      <c r="B12" s="2" t="s">
        <v>124</v>
      </c>
      <c r="C12" s="2"/>
      <c r="D12" s="2"/>
      <c r="E12" s="2"/>
      <c r="F12" s="2"/>
      <c r="G12" s="2"/>
      <c r="H12" s="2"/>
      <c r="I12" s="3">
        <v>1570563</v>
      </c>
      <c r="J12" s="3">
        <v>281378</v>
      </c>
      <c r="K12" s="3"/>
      <c r="L12" s="3">
        <f t="shared" si="0"/>
        <v>1851941</v>
      </c>
      <c r="M12" s="3"/>
    </row>
    <row r="13" spans="1:13" ht="18.75">
      <c r="A13" s="2"/>
      <c r="B13" s="2" t="s">
        <v>545</v>
      </c>
      <c r="C13" s="2"/>
      <c r="D13" s="2"/>
      <c r="E13" s="2"/>
      <c r="F13" s="2"/>
      <c r="G13" s="2"/>
      <c r="H13" s="2"/>
      <c r="I13" s="3">
        <v>433538</v>
      </c>
      <c r="J13" s="3">
        <v>151386</v>
      </c>
      <c r="K13" s="3"/>
      <c r="L13" s="3">
        <f t="shared" si="0"/>
        <v>584924</v>
      </c>
      <c r="M13" s="3"/>
    </row>
    <row r="14" spans="1:13" ht="18.75">
      <c r="A14" s="2"/>
      <c r="B14" s="2" t="s">
        <v>546</v>
      </c>
      <c r="C14" s="2"/>
      <c r="D14" s="2"/>
      <c r="E14" s="2"/>
      <c r="F14" s="2"/>
      <c r="G14" s="2"/>
      <c r="H14" s="2"/>
      <c r="I14" s="3">
        <v>29980</v>
      </c>
      <c r="J14" s="3"/>
      <c r="K14" s="3"/>
      <c r="L14" s="3">
        <f t="shared" si="0"/>
        <v>29980</v>
      </c>
      <c r="M14" s="3"/>
    </row>
    <row r="15" spans="1:13" ht="18.75">
      <c r="A15" s="2"/>
      <c r="B15" s="2" t="s">
        <v>547</v>
      </c>
      <c r="C15" s="2"/>
      <c r="D15" s="2"/>
      <c r="E15" s="2"/>
      <c r="F15" s="2"/>
      <c r="G15" s="2"/>
      <c r="H15" s="2"/>
      <c r="I15" s="3">
        <v>1119820</v>
      </c>
      <c r="J15" s="3">
        <v>46911</v>
      </c>
      <c r="K15" s="3"/>
      <c r="L15" s="3">
        <f t="shared" si="0"/>
        <v>1166731</v>
      </c>
      <c r="M15" s="3"/>
    </row>
    <row r="16" spans="1:13" ht="18.75">
      <c r="A16" s="1"/>
      <c r="B16" s="1"/>
      <c r="C16" s="1" t="s">
        <v>70</v>
      </c>
      <c r="D16" s="1"/>
      <c r="E16" s="1"/>
      <c r="F16" s="1"/>
      <c r="G16" s="1"/>
      <c r="H16" s="1"/>
      <c r="I16" s="12">
        <f>SUM(I10:I15)</f>
        <v>8250229</v>
      </c>
      <c r="J16" s="12">
        <f>SUM(J10:J15)</f>
        <v>479675</v>
      </c>
      <c r="K16" s="12">
        <f>SUM(K10:K15)</f>
        <v>0</v>
      </c>
      <c r="L16" s="12">
        <f>SUM(L10:L15)</f>
        <v>8729904</v>
      </c>
      <c r="M16" s="1"/>
    </row>
    <row r="17" spans="1:13" ht="18.75">
      <c r="A17" s="2"/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2"/>
    </row>
    <row r="18" spans="1:13" ht="18.75">
      <c r="A18" s="2" t="s">
        <v>385</v>
      </c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2"/>
    </row>
    <row r="19" spans="1:13" ht="18.75">
      <c r="A19" s="2"/>
      <c r="B19" s="2" t="s">
        <v>54</v>
      </c>
      <c r="C19" s="2"/>
      <c r="D19" s="2"/>
      <c r="E19" s="2"/>
      <c r="F19" s="2"/>
      <c r="G19" s="2"/>
      <c r="H19" s="2"/>
      <c r="I19" s="3">
        <v>1652706</v>
      </c>
      <c r="J19" s="3">
        <v>501383</v>
      </c>
      <c r="K19" s="3"/>
      <c r="L19" s="3">
        <f>SUM(I19:K19)</f>
        <v>2154089</v>
      </c>
      <c r="M19" s="3"/>
    </row>
    <row r="20" spans="1:13" ht="18.75">
      <c r="A20" s="2"/>
      <c r="B20" s="2"/>
      <c r="C20" s="2"/>
      <c r="D20" s="2"/>
      <c r="E20" s="2"/>
      <c r="F20" s="2"/>
      <c r="G20" s="2"/>
      <c r="H20" s="2"/>
      <c r="I20" s="29"/>
      <c r="J20" s="29"/>
      <c r="K20" s="29"/>
      <c r="L20" s="29"/>
      <c r="M20" s="2"/>
    </row>
    <row r="21" spans="1:13" ht="18.75">
      <c r="A21" s="2"/>
      <c r="B21" s="2" t="s">
        <v>548</v>
      </c>
      <c r="C21" s="2"/>
      <c r="D21" s="2"/>
      <c r="E21" s="2"/>
      <c r="F21" s="2"/>
      <c r="G21" s="2"/>
      <c r="H21" s="2"/>
      <c r="I21" s="6"/>
      <c r="J21" s="6">
        <v>1140707</v>
      </c>
      <c r="K21" s="6"/>
      <c r="L21" s="6">
        <f>SUM(I21:K21)</f>
        <v>1140707</v>
      </c>
      <c r="M21" s="3">
        <f>L21</f>
        <v>1140707</v>
      </c>
    </row>
    <row r="22" spans="1:13" s="37" customFormat="1" ht="18.75">
      <c r="A22" s="1"/>
      <c r="B22" s="1"/>
      <c r="C22" s="1" t="s">
        <v>194</v>
      </c>
      <c r="D22" s="1"/>
      <c r="E22" s="1"/>
      <c r="F22" s="1"/>
      <c r="G22" s="1"/>
      <c r="H22" s="1"/>
      <c r="I22" s="15">
        <f>SUM(I16+I19+I21)</f>
        <v>9902935</v>
      </c>
      <c r="J22" s="15">
        <f>SUM(J16+J19+J21)</f>
        <v>2121765</v>
      </c>
      <c r="K22" s="15">
        <f>SUM(K16+K19+K21)</f>
        <v>0</v>
      </c>
      <c r="L22" s="15">
        <f>SUM(L16+L19+L21)</f>
        <v>12024700</v>
      </c>
      <c r="M22" s="1"/>
    </row>
    <row r="23" spans="1:13" ht="18.75">
      <c r="A23" s="2"/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2"/>
    </row>
    <row r="24" spans="1:13" ht="18.75">
      <c r="A24" s="1" t="s">
        <v>19</v>
      </c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2"/>
    </row>
    <row r="25" spans="1:13" ht="18.75">
      <c r="A25" s="1"/>
      <c r="B25" s="2" t="s">
        <v>14</v>
      </c>
      <c r="C25" s="2"/>
      <c r="D25" s="2"/>
      <c r="E25" s="2"/>
      <c r="F25" s="2"/>
      <c r="G25" s="2"/>
      <c r="H25" s="2"/>
      <c r="I25" s="3">
        <v>-1356350</v>
      </c>
      <c r="J25" s="3">
        <v>-122433</v>
      </c>
      <c r="K25" s="3"/>
      <c r="L25" s="3">
        <f>SUM(I25:K25)</f>
        <v>-1478783</v>
      </c>
      <c r="M25" s="3">
        <f>SUM(L11+L25)</f>
        <v>3393870</v>
      </c>
    </row>
    <row r="26" spans="1:13" ht="18.75">
      <c r="A26" s="1"/>
      <c r="B26" s="2" t="s">
        <v>124</v>
      </c>
      <c r="C26" s="2"/>
      <c r="D26" s="2"/>
      <c r="E26" s="2"/>
      <c r="F26" s="2"/>
      <c r="G26" s="2"/>
      <c r="H26" s="2"/>
      <c r="I26" s="3">
        <v>-959436</v>
      </c>
      <c r="J26" s="3">
        <v>-172463</v>
      </c>
      <c r="K26" s="3"/>
      <c r="L26" s="3">
        <f t="shared" ref="L26:L29" si="1">SUM(I26:K26)</f>
        <v>-1131899</v>
      </c>
      <c r="M26" s="3">
        <f>SUM(L12+L26)</f>
        <v>720042</v>
      </c>
    </row>
    <row r="27" spans="1:13" ht="18.75">
      <c r="A27" s="1"/>
      <c r="B27" s="2" t="s">
        <v>545</v>
      </c>
      <c r="C27" s="2"/>
      <c r="D27" s="2"/>
      <c r="E27" s="2"/>
      <c r="F27" s="2"/>
      <c r="G27" s="2"/>
      <c r="H27" s="2"/>
      <c r="I27" s="3">
        <v>-412830</v>
      </c>
      <c r="J27" s="3">
        <v>-56354</v>
      </c>
      <c r="K27" s="3"/>
      <c r="L27" s="3">
        <f t="shared" si="1"/>
        <v>-469184</v>
      </c>
      <c r="M27" s="3">
        <f>SUM(L13+L27)</f>
        <v>115740</v>
      </c>
    </row>
    <row r="28" spans="1:13" ht="18.75">
      <c r="A28" s="2"/>
      <c r="B28" s="2" t="s">
        <v>546</v>
      </c>
      <c r="C28" s="2"/>
      <c r="D28" s="2"/>
      <c r="E28" s="2"/>
      <c r="F28" s="2"/>
      <c r="G28" s="2"/>
      <c r="H28" s="2"/>
      <c r="I28" s="3">
        <v>-29911</v>
      </c>
      <c r="J28" s="3">
        <v>-2267</v>
      </c>
      <c r="K28" s="3"/>
      <c r="L28" s="3">
        <f t="shared" si="1"/>
        <v>-32178</v>
      </c>
      <c r="M28" s="3">
        <f>SUM(L14+L28)</f>
        <v>-2198</v>
      </c>
    </row>
    <row r="29" spans="1:13" ht="18" customHeight="1">
      <c r="A29" s="2"/>
      <c r="B29" s="2" t="s">
        <v>547</v>
      </c>
      <c r="C29" s="2"/>
      <c r="D29" s="2"/>
      <c r="E29" s="2"/>
      <c r="F29" s="2"/>
      <c r="G29" s="2"/>
      <c r="H29" s="2"/>
      <c r="I29" s="3">
        <v>-1126759</v>
      </c>
      <c r="J29" s="3">
        <v>-173920</v>
      </c>
      <c r="K29" s="3"/>
      <c r="L29" s="3">
        <f t="shared" si="1"/>
        <v>-1300679</v>
      </c>
      <c r="M29" s="3">
        <f>SUM(L15+L29)</f>
        <v>-133948</v>
      </c>
    </row>
    <row r="30" spans="1:13" ht="18.75">
      <c r="A30" s="2"/>
      <c r="B30" s="2"/>
      <c r="C30" s="1" t="s">
        <v>18</v>
      </c>
      <c r="D30" s="2"/>
      <c r="E30" s="2"/>
      <c r="F30" s="2"/>
      <c r="G30" s="2"/>
      <c r="H30" s="2"/>
      <c r="I30" s="13">
        <f>SUM(I25:I29)</f>
        <v>-3885286</v>
      </c>
      <c r="J30" s="13">
        <f>SUM(J25:J29)</f>
        <v>-527437</v>
      </c>
      <c r="K30" s="13">
        <f>SUM(K25:K29)</f>
        <v>0</v>
      </c>
      <c r="L30" s="13">
        <f>SUM(L25:L29)</f>
        <v>-4412723</v>
      </c>
      <c r="M30" s="2"/>
    </row>
    <row r="31" spans="1:13" ht="18.75">
      <c r="A31" s="2"/>
      <c r="B31" s="2"/>
      <c r="C31" s="1"/>
      <c r="D31" s="2"/>
      <c r="E31" s="2"/>
      <c r="F31" s="2"/>
      <c r="G31" s="2"/>
      <c r="H31" s="2"/>
      <c r="I31" s="15"/>
      <c r="J31" s="15"/>
      <c r="K31" s="15"/>
      <c r="L31" s="15"/>
      <c r="M31" s="2"/>
    </row>
    <row r="32" spans="1:13" ht="18.75">
      <c r="A32" s="2" t="s">
        <v>385</v>
      </c>
      <c r="B32" s="2"/>
      <c r="C32" s="1"/>
      <c r="D32" s="2"/>
      <c r="E32" s="2"/>
      <c r="F32" s="2"/>
      <c r="G32" s="2"/>
      <c r="H32" s="2"/>
      <c r="I32" s="15"/>
      <c r="J32" s="15"/>
      <c r="K32" s="15"/>
      <c r="L32" s="15"/>
      <c r="M32" s="2"/>
    </row>
    <row r="33" spans="1:13" ht="18.75">
      <c r="A33" s="2"/>
      <c r="B33" s="2" t="s">
        <v>54</v>
      </c>
      <c r="C33" s="1"/>
      <c r="D33" s="2"/>
      <c r="E33" s="2"/>
      <c r="F33" s="2"/>
      <c r="G33" s="2"/>
      <c r="H33" s="2"/>
      <c r="I33" s="15">
        <v>-123237</v>
      </c>
      <c r="J33" s="15">
        <v>-53852</v>
      </c>
      <c r="K33" s="15"/>
      <c r="L33" s="15">
        <f>SUM(I33:K33)</f>
        <v>-177089</v>
      </c>
      <c r="M33" s="3">
        <f>L19+L33</f>
        <v>1977000</v>
      </c>
    </row>
    <row r="34" spans="1:13" ht="18.75">
      <c r="A34" s="1"/>
      <c r="B34" s="1"/>
      <c r="C34" s="1"/>
      <c r="D34" s="1"/>
      <c r="E34" s="1"/>
      <c r="F34" s="1"/>
      <c r="G34" s="1"/>
      <c r="H34" s="1"/>
      <c r="I34" s="10"/>
      <c r="J34" s="10"/>
      <c r="K34" s="10"/>
      <c r="L34" s="10"/>
      <c r="M34" s="1"/>
    </row>
    <row r="35" spans="1:13" ht="18.75">
      <c r="A35" s="1"/>
      <c r="B35" s="1" t="s">
        <v>20</v>
      </c>
      <c r="C35" s="1"/>
      <c r="D35" s="1"/>
      <c r="E35" s="1"/>
      <c r="F35" s="1"/>
      <c r="G35" s="1"/>
      <c r="H35" s="1"/>
      <c r="I35" s="10">
        <f>SUM(I30+I33)</f>
        <v>-4008523</v>
      </c>
      <c r="J35" s="10">
        <f t="shared" ref="J35:L35" si="2">SUM(J30+J33)</f>
        <v>-581289</v>
      </c>
      <c r="K35" s="10">
        <f t="shared" si="2"/>
        <v>0</v>
      </c>
      <c r="L35" s="10">
        <f t="shared" si="2"/>
        <v>-4589812</v>
      </c>
      <c r="M35" s="1"/>
    </row>
    <row r="36" spans="1:13" ht="18.75">
      <c r="A36" s="1"/>
      <c r="B36" s="1"/>
      <c r="C36" s="1"/>
      <c r="D36" s="1"/>
      <c r="E36" s="1"/>
      <c r="F36" s="1"/>
      <c r="G36" s="1"/>
      <c r="H36" s="1"/>
      <c r="I36" s="30"/>
      <c r="J36" s="30"/>
      <c r="K36" s="30"/>
      <c r="L36" s="30"/>
      <c r="M36" s="1"/>
    </row>
    <row r="37" spans="1:13" ht="18.75">
      <c r="A37" s="2"/>
      <c r="B37" s="1" t="s">
        <v>281</v>
      </c>
      <c r="C37" s="2"/>
      <c r="D37" s="2"/>
      <c r="E37" s="2"/>
      <c r="F37" s="2"/>
      <c r="G37" s="2"/>
      <c r="H37" s="2"/>
      <c r="I37" s="14">
        <f>I22+I35</f>
        <v>5894412</v>
      </c>
      <c r="J37" s="14">
        <f>J22+J35</f>
        <v>1540476</v>
      </c>
      <c r="K37" s="14"/>
      <c r="L37" s="14">
        <f>L22+L35</f>
        <v>7434888</v>
      </c>
      <c r="M37" s="3">
        <f>SUM(M10:M33)</f>
        <v>7434888</v>
      </c>
    </row>
    <row r="38" spans="1:13" ht="18.75">
      <c r="A38" s="2"/>
      <c r="B38" s="1"/>
      <c r="C38" s="2"/>
      <c r="D38" s="2"/>
      <c r="E38" s="2"/>
      <c r="F38" s="2"/>
      <c r="G38" s="2"/>
      <c r="H38" s="2"/>
      <c r="I38" s="15"/>
      <c r="J38" s="15"/>
      <c r="K38" s="15"/>
      <c r="L38" s="15"/>
      <c r="M38" s="2"/>
    </row>
    <row r="39" spans="1:13" ht="18.75">
      <c r="A39" s="2"/>
      <c r="B39" s="2"/>
      <c r="C39" s="2"/>
      <c r="D39" s="2"/>
      <c r="E39" s="2"/>
      <c r="F39" s="2"/>
      <c r="G39" s="2"/>
      <c r="H39" s="2"/>
      <c r="I39" s="3"/>
      <c r="J39" s="3"/>
      <c r="K39" s="3"/>
      <c r="L39" s="3"/>
      <c r="M39" s="2"/>
    </row>
  </sheetData>
  <mergeCells count="3">
    <mergeCell ref="D1:I1"/>
    <mergeCell ref="D2:I2"/>
    <mergeCell ref="D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J116"/>
  <sheetViews>
    <sheetView topLeftCell="A15" zoomScale="50" zoomScaleNormal="50" workbookViewId="0">
      <selection activeCell="A31" sqref="A31:XFD31"/>
    </sheetView>
  </sheetViews>
  <sheetFormatPr defaultColWidth="8.85546875" defaultRowHeight="15"/>
  <cols>
    <col min="1" max="1" width="20.7109375" style="17" customWidth="1"/>
    <col min="2" max="2" width="14.28515625" style="18" customWidth="1"/>
    <col min="3" max="3" width="22.85546875" style="18" bestFit="1" customWidth="1"/>
    <col min="4" max="4" width="22.85546875" style="18" customWidth="1"/>
    <col min="5" max="5" width="27.28515625" style="18" bestFit="1" customWidth="1"/>
    <col min="6" max="6" width="33" style="18" bestFit="1" customWidth="1"/>
    <col min="7" max="7" width="24.7109375" style="18" customWidth="1"/>
    <col min="8" max="8" width="30.42578125" style="18" customWidth="1"/>
    <col min="9" max="9" width="20.140625" style="18" customWidth="1"/>
    <col min="10" max="10" width="22.42578125" style="18" customWidth="1"/>
    <col min="11" max="11" width="14" style="18" customWidth="1"/>
    <col min="12" max="12" width="12.85546875" style="18" customWidth="1"/>
    <col min="13" max="13" width="35" style="18" bestFit="1" customWidth="1"/>
    <col min="14" max="14" width="15.7109375" style="18" customWidth="1"/>
    <col min="15" max="15" width="25" style="18" customWidth="1"/>
    <col min="16" max="16" width="15" style="18" customWidth="1"/>
    <col min="17" max="17" width="8.85546875" style="18"/>
    <col min="18" max="18" width="18" style="18" customWidth="1"/>
    <col min="19" max="19" width="22.85546875" style="18" bestFit="1" customWidth="1"/>
    <col min="20" max="20" width="22.85546875" style="18" customWidth="1"/>
    <col min="21" max="21" width="27.28515625" style="18" bestFit="1" customWidth="1"/>
    <col min="22" max="22" width="33" style="18" bestFit="1" customWidth="1"/>
    <col min="23" max="23" width="24.85546875" style="18" bestFit="1" customWidth="1"/>
    <col min="24" max="24" width="30.7109375" style="18" bestFit="1" customWidth="1"/>
    <col min="25" max="26" width="20.42578125" style="18" bestFit="1" customWidth="1"/>
    <col min="27" max="28" width="18" style="18" customWidth="1"/>
    <col min="29" max="29" width="35" style="18" bestFit="1" customWidth="1"/>
    <col min="30" max="33" width="18" style="18" customWidth="1"/>
    <col min="34" max="34" width="15.85546875" style="18" customWidth="1"/>
    <col min="35" max="35" width="16" style="18" customWidth="1"/>
    <col min="36" max="36" width="10.42578125" style="18" customWidth="1"/>
    <col min="37" max="16384" width="8.85546875" style="18"/>
  </cols>
  <sheetData>
    <row r="1" spans="1:36">
      <c r="B1" s="17" t="s">
        <v>549</v>
      </c>
    </row>
    <row r="2" spans="1:36">
      <c r="B2" s="17" t="s">
        <v>550</v>
      </c>
      <c r="O2" s="19" t="s">
        <v>313</v>
      </c>
      <c r="AE2" s="19" t="s">
        <v>551</v>
      </c>
      <c r="AH2" s="17" t="s">
        <v>552</v>
      </c>
    </row>
    <row r="3" spans="1:36">
      <c r="B3" s="20" t="s">
        <v>313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 t="s">
        <v>1</v>
      </c>
      <c r="P3" s="23"/>
      <c r="R3" s="20" t="s">
        <v>551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</v>
      </c>
      <c r="AF3" s="23"/>
      <c r="AH3" s="17" t="s">
        <v>553</v>
      </c>
    </row>
    <row r="4" spans="1:36" s="17" customFormat="1" ht="30">
      <c r="B4" s="95" t="s">
        <v>10</v>
      </c>
      <c r="C4" s="94" t="s">
        <v>11</v>
      </c>
      <c r="D4" s="94" t="s">
        <v>554</v>
      </c>
      <c r="E4" s="94" t="s">
        <v>555</v>
      </c>
      <c r="F4" s="94" t="s">
        <v>204</v>
      </c>
      <c r="G4" s="94" t="s">
        <v>15</v>
      </c>
      <c r="H4" s="94" t="s">
        <v>556</v>
      </c>
      <c r="I4" s="94" t="s">
        <v>126</v>
      </c>
      <c r="J4" s="94" t="s">
        <v>30</v>
      </c>
      <c r="K4" s="94" t="s">
        <v>31</v>
      </c>
      <c r="L4" s="94" t="s">
        <v>73</v>
      </c>
      <c r="M4" s="94" t="s">
        <v>557</v>
      </c>
      <c r="N4" s="94" t="s">
        <v>17</v>
      </c>
      <c r="O4" s="19" t="s">
        <v>558</v>
      </c>
      <c r="P4" s="17" t="s">
        <v>559</v>
      </c>
      <c r="Q4" s="17" t="s">
        <v>560</v>
      </c>
      <c r="R4" s="95" t="s">
        <v>10</v>
      </c>
      <c r="S4" s="94" t="s">
        <v>11</v>
      </c>
      <c r="T4" s="94" t="s">
        <v>554</v>
      </c>
      <c r="U4" s="94" t="s">
        <v>555</v>
      </c>
      <c r="V4" s="94" t="s">
        <v>204</v>
      </c>
      <c r="W4" s="94" t="s">
        <v>15</v>
      </c>
      <c r="X4" s="94" t="s">
        <v>556</v>
      </c>
      <c r="Y4" s="94" t="s">
        <v>126</v>
      </c>
      <c r="Z4" s="94" t="s">
        <v>30</v>
      </c>
      <c r="AA4" s="94" t="s">
        <v>31</v>
      </c>
      <c r="AB4" s="94" t="s">
        <v>73</v>
      </c>
      <c r="AC4" s="17" t="s">
        <v>557</v>
      </c>
      <c r="AD4" s="17" t="s">
        <v>17</v>
      </c>
      <c r="AE4" s="19" t="s">
        <v>558</v>
      </c>
      <c r="AF4" s="17" t="s">
        <v>559</v>
      </c>
      <c r="AG4" s="17" t="s">
        <v>560</v>
      </c>
      <c r="AI4" s="17" t="s">
        <v>559</v>
      </c>
      <c r="AJ4" s="17" t="s">
        <v>560</v>
      </c>
    </row>
    <row r="5" spans="1:36" ht="14.25" customHeight="1">
      <c r="A5" s="17" t="s">
        <v>561</v>
      </c>
      <c r="B5" s="18">
        <f>Acadia!K9</f>
        <v>1329008</v>
      </c>
      <c r="C5" s="18">
        <f>Acadia!K10</f>
        <v>375560</v>
      </c>
      <c r="D5" s="18">
        <v>0</v>
      </c>
      <c r="E5" s="18">
        <f>Acadia!K23</f>
        <v>16142495</v>
      </c>
      <c r="F5" s="18">
        <f>Acadia!K25</f>
        <v>349479</v>
      </c>
      <c r="G5" s="18">
        <f>Acadia!K24</f>
        <v>5030836</v>
      </c>
      <c r="H5" s="18">
        <v>0</v>
      </c>
      <c r="I5" s="18">
        <v>0</v>
      </c>
      <c r="J5" s="18">
        <v>0</v>
      </c>
      <c r="N5" s="18">
        <f>Acadia!K26</f>
        <v>28731439</v>
      </c>
      <c r="O5" s="24">
        <f>Acadia!K32</f>
        <v>51958817</v>
      </c>
      <c r="P5" s="18">
        <f t="shared" ref="P5:P7" si="0">SUM(B5:N5)</f>
        <v>51958817</v>
      </c>
      <c r="Q5" s="19" t="str">
        <f t="shared" ref="Q5:Q7" si="1">IF(O5="","Blank",IF(O5=P5,"Yes","No"))</f>
        <v>Yes</v>
      </c>
      <c r="AE5" s="18">
        <v>0</v>
      </c>
      <c r="AF5" s="17">
        <f t="shared" ref="AF5:AF6" si="2">SUM(R5:AD5)</f>
        <v>0</v>
      </c>
      <c r="AG5" s="19" t="str">
        <f t="shared" ref="AG5:AG7" si="3">IF(AE5="","Blank",IF(AE5=AF5,"Yes","No"))</f>
        <v>Yes</v>
      </c>
      <c r="AH5" s="18">
        <f>Acadia!K32</f>
        <v>51958817</v>
      </c>
      <c r="AI5" s="18">
        <f t="shared" ref="AI5:AI7" si="4">O5+AE5</f>
        <v>51958817</v>
      </c>
      <c r="AJ5" s="17" t="str">
        <f t="shared" ref="AJ5:AJ7" si="5">IF(AH5="","Blank",IF(AH5=AI5,"Yes","No"))</f>
        <v>Yes</v>
      </c>
    </row>
    <row r="6" spans="1:36" ht="14.25" customHeight="1">
      <c r="A6" s="17" t="s">
        <v>562</v>
      </c>
      <c r="B6" s="18">
        <f>Allen!K10</f>
        <v>572300</v>
      </c>
      <c r="C6" s="18">
        <f>Allen!K9</f>
        <v>832177</v>
      </c>
      <c r="D6" s="18">
        <v>0</v>
      </c>
      <c r="E6" s="18">
        <f>Allen!K24</f>
        <v>2603250</v>
      </c>
      <c r="F6" s="18">
        <f>Allen!K25</f>
        <v>3307535</v>
      </c>
      <c r="G6" s="18">
        <f>Allen!K28</f>
        <v>1109631</v>
      </c>
      <c r="J6" s="18">
        <f>Allen!K26</f>
        <v>54846</v>
      </c>
      <c r="K6" s="18">
        <f>Allen!K27</f>
        <v>107998</v>
      </c>
      <c r="N6" s="18">
        <f>Allen!K29</f>
        <v>15189332</v>
      </c>
      <c r="O6" s="24">
        <f>Allen!J35</f>
        <v>23777069</v>
      </c>
      <c r="P6" s="18">
        <f t="shared" si="0"/>
        <v>23777069</v>
      </c>
      <c r="Q6" s="19" t="str">
        <f t="shared" si="1"/>
        <v>Yes</v>
      </c>
      <c r="AE6" s="18">
        <v>0</v>
      </c>
      <c r="AF6" s="17">
        <f t="shared" si="2"/>
        <v>0</v>
      </c>
      <c r="AG6" s="19" t="str">
        <f t="shared" si="3"/>
        <v>Yes</v>
      </c>
      <c r="AH6" s="18">
        <f>Allen!J35</f>
        <v>23777069</v>
      </c>
      <c r="AI6" s="18">
        <f t="shared" si="4"/>
        <v>23777069</v>
      </c>
      <c r="AJ6" s="17" t="str">
        <f t="shared" si="5"/>
        <v>Yes</v>
      </c>
    </row>
    <row r="7" spans="1:36" ht="14.25" customHeight="1">
      <c r="A7" s="17" t="s">
        <v>563</v>
      </c>
      <c r="B7" s="18">
        <f>Ascension!M9</f>
        <v>17327</v>
      </c>
      <c r="C7" s="18">
        <f>Ascension!M10</f>
        <v>28789</v>
      </c>
      <c r="E7" s="18">
        <f>Ascension!M25</f>
        <v>86438</v>
      </c>
      <c r="G7" s="18">
        <f>Ascension!M27</f>
        <v>4488</v>
      </c>
      <c r="I7" s="18">
        <f>Ascension!M29</f>
        <v>930</v>
      </c>
      <c r="J7" s="18">
        <f>Ascension!M28</f>
        <v>720</v>
      </c>
      <c r="K7" s="18">
        <f>Ascension!M26</f>
        <v>5108</v>
      </c>
      <c r="N7" s="18">
        <f>Ascension!M30</f>
        <v>83515</v>
      </c>
      <c r="O7" s="24">
        <f>Ascension!M36</f>
        <v>227315</v>
      </c>
      <c r="P7" s="18">
        <f t="shared" si="0"/>
        <v>227315</v>
      </c>
      <c r="Q7" s="19" t="str">
        <f t="shared" si="1"/>
        <v>Yes</v>
      </c>
      <c r="R7" s="18">
        <f>Ascension!M42</f>
        <v>670</v>
      </c>
      <c r="U7" s="18">
        <f>Ascension!M59</f>
        <v>5991</v>
      </c>
      <c r="W7" s="18">
        <f>Ascension!M58</f>
        <v>157</v>
      </c>
      <c r="X7" s="18">
        <f>Ascension!M56+Ascension!M57</f>
        <v>3487</v>
      </c>
      <c r="AE7" s="18">
        <f>SUM(R7:AD7)</f>
        <v>10305</v>
      </c>
      <c r="AF7" s="17">
        <f>SUM(R7:AD7)</f>
        <v>10305</v>
      </c>
      <c r="AG7" s="19" t="str">
        <f t="shared" si="3"/>
        <v>Yes</v>
      </c>
      <c r="AH7" s="18">
        <f>O7+AE7</f>
        <v>237620</v>
      </c>
      <c r="AI7" s="18">
        <f t="shared" si="4"/>
        <v>237620</v>
      </c>
      <c r="AJ7" s="17" t="str">
        <f t="shared" si="5"/>
        <v>Yes</v>
      </c>
    </row>
    <row r="8" spans="1:36" ht="14.25" customHeight="1">
      <c r="A8" s="17" t="s">
        <v>564</v>
      </c>
      <c r="B8" s="18">
        <f>Assumption!N9</f>
        <v>2425959</v>
      </c>
      <c r="C8" s="18">
        <f>Assumption!N10</f>
        <v>23948776</v>
      </c>
      <c r="D8" s="18">
        <v>0</v>
      </c>
      <c r="E8" s="18" t="e">
        <f>Assumption!#REF!</f>
        <v>#REF!</v>
      </c>
      <c r="G8" s="18" t="e">
        <f>Assumption!#REF!</f>
        <v>#REF!</v>
      </c>
      <c r="J8" s="18" t="e">
        <f>Assumption!#REF!</f>
        <v>#REF!</v>
      </c>
      <c r="N8" s="18" t="e">
        <f>Assumption!#REF!</f>
        <v>#REF!</v>
      </c>
      <c r="O8" s="24">
        <f>Assumption!N20</f>
        <v>26374735</v>
      </c>
      <c r="P8" s="18" t="e">
        <f t="shared" ref="P8:P59" si="6">SUM(B8:N8)</f>
        <v>#REF!</v>
      </c>
      <c r="Q8" s="19" t="e">
        <f t="shared" ref="Q8:Q59" si="7">IF(O8="","Blank",IF(O8=P8,"Yes","No"))</f>
        <v>#REF!</v>
      </c>
      <c r="AE8" s="18">
        <v>0</v>
      </c>
      <c r="AF8" s="17">
        <f t="shared" ref="AF8:AF59" si="8">SUM(R8:AD8)</f>
        <v>0</v>
      </c>
      <c r="AG8" s="19" t="str">
        <f t="shared" ref="AG8:AG10" si="9">IF(AE8="","Blank",IF(AE8=AF8,"Yes","No"))</f>
        <v>Yes</v>
      </c>
      <c r="AH8" s="18">
        <f>Assumption!N20</f>
        <v>26374735</v>
      </c>
      <c r="AI8" s="18">
        <f t="shared" ref="AI8:AI10" si="10">O8+AE8</f>
        <v>26374735</v>
      </c>
      <c r="AJ8" s="17" t="str">
        <f t="shared" ref="AJ8:AJ10" si="11">IF(AH8="","Blank",IF(AH8=AI8,"Yes","No"))</f>
        <v>Yes</v>
      </c>
    </row>
    <row r="9" spans="1:36" ht="14.25" customHeight="1">
      <c r="A9" s="17" t="s">
        <v>565</v>
      </c>
      <c r="B9" s="18">
        <f>Avoyelles!K9</f>
        <v>590548</v>
      </c>
      <c r="C9" s="18">
        <f>Avoyelles!K10</f>
        <v>1185398</v>
      </c>
      <c r="E9" s="18">
        <f>Avoyelles!K23</f>
        <v>3532473</v>
      </c>
      <c r="G9" s="18">
        <f>Avoyelles!K26</f>
        <v>680156</v>
      </c>
      <c r="J9" s="18">
        <f>Avoyelles!K24</f>
        <v>74654</v>
      </c>
      <c r="N9" s="18">
        <f>Avoyelles!K25</f>
        <v>31229</v>
      </c>
      <c r="O9" s="24">
        <f>Avoyelles!K30</f>
        <v>6094458</v>
      </c>
      <c r="P9" s="18">
        <f t="shared" si="6"/>
        <v>6094458</v>
      </c>
      <c r="Q9" s="19" t="str">
        <f t="shared" si="7"/>
        <v>Yes</v>
      </c>
      <c r="AE9" s="18">
        <v>0</v>
      </c>
      <c r="AF9" s="17">
        <f t="shared" si="8"/>
        <v>0</v>
      </c>
      <c r="AG9" s="19" t="str">
        <f t="shared" si="9"/>
        <v>Yes</v>
      </c>
      <c r="AH9" s="18">
        <f>Avoyelles!K30</f>
        <v>6094458</v>
      </c>
      <c r="AI9" s="18">
        <f t="shared" si="10"/>
        <v>6094458</v>
      </c>
      <c r="AJ9" s="17" t="str">
        <f t="shared" si="11"/>
        <v>Yes</v>
      </c>
    </row>
    <row r="10" spans="1:36" ht="14.25" customHeight="1">
      <c r="A10" s="17" t="s">
        <v>566</v>
      </c>
      <c r="B10" s="18">
        <f>Beauregard!N9</f>
        <v>698779</v>
      </c>
      <c r="C10" s="18">
        <f>Beauregard!N10</f>
        <v>5640233</v>
      </c>
      <c r="E10" s="18">
        <f>Beauregard!N20</f>
        <v>11668438</v>
      </c>
      <c r="J10" s="18">
        <f>Beauregard!N22</f>
        <v>3697372</v>
      </c>
      <c r="N10" s="18">
        <f>Beauregard!N21</f>
        <v>14276185</v>
      </c>
      <c r="O10" s="24">
        <f>Beauregard!N25</f>
        <v>35981007</v>
      </c>
      <c r="P10" s="18">
        <f>SUM(B10:N10)</f>
        <v>35981007</v>
      </c>
      <c r="Q10" s="19" t="str">
        <f t="shared" si="7"/>
        <v>Yes</v>
      </c>
      <c r="AE10" s="18">
        <v>0</v>
      </c>
      <c r="AF10" s="17"/>
      <c r="AG10" s="19" t="str">
        <f t="shared" si="9"/>
        <v>Yes</v>
      </c>
      <c r="AH10" s="18">
        <f>O10</f>
        <v>35981007</v>
      </c>
      <c r="AI10" s="18">
        <f t="shared" si="10"/>
        <v>35981007</v>
      </c>
      <c r="AJ10" s="17" t="str">
        <f t="shared" si="11"/>
        <v>Yes</v>
      </c>
    </row>
    <row r="11" spans="1:36">
      <c r="A11" s="17" t="s">
        <v>567</v>
      </c>
      <c r="B11" s="18">
        <f>Bienville!M9</f>
        <v>660250</v>
      </c>
      <c r="D11" s="18">
        <v>0</v>
      </c>
      <c r="E11" s="18">
        <f>Bienville!M29</f>
        <v>13326827</v>
      </c>
      <c r="F11" s="18">
        <v>0</v>
      </c>
      <c r="G11" s="18">
        <f>Bienville!M30+Bienville!M31+Bienville!M33</f>
        <v>1041093</v>
      </c>
      <c r="K11" s="18">
        <f>Bienville!M32</f>
        <v>513878</v>
      </c>
      <c r="N11" s="18">
        <f>Bienville!M27+Bienville!M28</f>
        <v>6719821</v>
      </c>
      <c r="O11" s="24">
        <f>Bienville!M39</f>
        <v>22261869</v>
      </c>
      <c r="P11" s="18">
        <f t="shared" ref="P11:P17" si="12">SUM(B11:N11)</f>
        <v>22261869</v>
      </c>
      <c r="Q11" s="19" t="str">
        <f t="shared" ref="Q11:Q20" si="13">IF(O11="","Blank",IF(O11=P11,"Yes","No"))</f>
        <v>Yes</v>
      </c>
      <c r="AE11" s="18">
        <v>0</v>
      </c>
      <c r="AF11" s="17">
        <f t="shared" ref="AF11:AF20" si="14">SUM(R11:AD11)</f>
        <v>0</v>
      </c>
      <c r="AG11" s="19" t="str">
        <f t="shared" ref="AG11:AG64" si="15">IF(AE11="","Blank",IF(AE11=AF11,"Yes","No"))</f>
        <v>Yes</v>
      </c>
      <c r="AH11" s="18">
        <f>Bienville!M39</f>
        <v>22261869</v>
      </c>
      <c r="AI11" s="18">
        <f t="shared" ref="AI11:AI66" si="16">O11+AE11</f>
        <v>22261869</v>
      </c>
      <c r="AJ11" s="17" t="str">
        <f t="shared" ref="AJ11:AJ67" si="17">IF(AH11="","Blank",IF(AH11=AI11,"Yes","No"))</f>
        <v>Yes</v>
      </c>
    </row>
    <row r="12" spans="1:36">
      <c r="A12" s="17" t="s">
        <v>568</v>
      </c>
      <c r="B12" s="18">
        <f>Bossier!N10</f>
        <v>13913947</v>
      </c>
      <c r="C12" s="18">
        <f>Bossier!N11</f>
        <v>7225219</v>
      </c>
      <c r="D12" s="18">
        <v>0</v>
      </c>
      <c r="E12" s="18">
        <f>Bossier!N22</f>
        <v>82560070</v>
      </c>
      <c r="I12" s="18">
        <f>Bossier!N25</f>
        <v>1465130</v>
      </c>
      <c r="J12" s="18">
        <f>Bossier!N24</f>
        <v>3894426</v>
      </c>
      <c r="N12" s="18">
        <f>Bossier!N23</f>
        <v>178403833</v>
      </c>
      <c r="O12" s="24">
        <f>Bossier!N30</f>
        <v>287462625</v>
      </c>
      <c r="P12" s="18">
        <f t="shared" si="12"/>
        <v>287462625</v>
      </c>
      <c r="Q12" s="19" t="str">
        <f t="shared" si="13"/>
        <v>Yes</v>
      </c>
      <c r="R12" s="18">
        <f>Bossier!N37</f>
        <v>1458369</v>
      </c>
      <c r="S12" s="18">
        <f>Bossier!N39</f>
        <v>33393711</v>
      </c>
      <c r="T12" s="18">
        <f>Bossier!N38</f>
        <v>1226000</v>
      </c>
      <c r="U12" s="18">
        <f>Bossier!N49</f>
        <v>4208792</v>
      </c>
      <c r="V12" s="18">
        <v>0</v>
      </c>
      <c r="W12" s="18">
        <v>0</v>
      </c>
      <c r="X12" s="18">
        <v>0</v>
      </c>
      <c r="Y12" s="18">
        <v>0</v>
      </c>
      <c r="Z12" s="18">
        <f>Bossier!N48</f>
        <v>349183</v>
      </c>
      <c r="AA12" s="18">
        <v>0</v>
      </c>
      <c r="AB12" s="18">
        <v>0</v>
      </c>
      <c r="AC12" s="18">
        <v>0</v>
      </c>
      <c r="AE12" s="18">
        <f>Bossier!N54</f>
        <v>40636055</v>
      </c>
      <c r="AF12" s="17">
        <f t="shared" si="14"/>
        <v>40636055</v>
      </c>
      <c r="AG12" s="19" t="str">
        <f t="shared" si="15"/>
        <v>Yes</v>
      </c>
      <c r="AH12" s="18">
        <f>Bossier!N30+Bossier!N54</f>
        <v>328098680</v>
      </c>
      <c r="AI12" s="18">
        <f t="shared" si="16"/>
        <v>328098680</v>
      </c>
      <c r="AJ12" s="17" t="str">
        <f t="shared" si="17"/>
        <v>Yes</v>
      </c>
    </row>
    <row r="13" spans="1:36">
      <c r="A13" s="17" t="s">
        <v>569</v>
      </c>
      <c r="B13" s="18">
        <f>Caddo!N9</f>
        <v>9321723</v>
      </c>
      <c r="C13" s="18">
        <f>Caddo!N10</f>
        <v>378986</v>
      </c>
      <c r="E13" s="18">
        <f>Caddo!N20</f>
        <v>44127759</v>
      </c>
      <c r="G13" s="18">
        <f>Caddo!N21</f>
        <v>7392571</v>
      </c>
      <c r="N13" s="18">
        <f>Caddo!N22</f>
        <v>104272179</v>
      </c>
      <c r="O13" s="24">
        <f>Caddo!N25</f>
        <v>165493218</v>
      </c>
      <c r="P13" s="18">
        <f t="shared" si="12"/>
        <v>165493218</v>
      </c>
      <c r="Q13" s="19" t="str">
        <f t="shared" si="13"/>
        <v>Yes</v>
      </c>
      <c r="AE13" s="18">
        <v>0</v>
      </c>
      <c r="AF13" s="17">
        <f t="shared" si="14"/>
        <v>0</v>
      </c>
      <c r="AG13" s="19" t="str">
        <f t="shared" si="15"/>
        <v>Yes</v>
      </c>
      <c r="AH13" s="18">
        <f>Caddo!N25</f>
        <v>165493218</v>
      </c>
      <c r="AI13" s="18">
        <f t="shared" si="16"/>
        <v>165493218</v>
      </c>
      <c r="AJ13" s="17" t="str">
        <f t="shared" si="17"/>
        <v>Yes</v>
      </c>
    </row>
    <row r="14" spans="1:36">
      <c r="A14" s="17" t="s">
        <v>570</v>
      </c>
      <c r="J14" s="25"/>
      <c r="O14" s="24"/>
      <c r="P14" s="18">
        <f t="shared" si="12"/>
        <v>0</v>
      </c>
      <c r="Q14" s="19" t="str">
        <f t="shared" si="13"/>
        <v>Blank</v>
      </c>
      <c r="S14" s="18">
        <f>Calcasieu!M37</f>
        <v>0</v>
      </c>
      <c r="X14" s="18">
        <v>0</v>
      </c>
      <c r="Y14" s="18">
        <v>0</v>
      </c>
      <c r="AB14" s="18">
        <v>0</v>
      </c>
      <c r="AC14" s="18">
        <v>0</v>
      </c>
      <c r="AE14" s="18">
        <v>0</v>
      </c>
      <c r="AF14" s="17">
        <f t="shared" si="14"/>
        <v>0</v>
      </c>
      <c r="AG14" s="19" t="str">
        <f t="shared" si="15"/>
        <v>Yes</v>
      </c>
      <c r="AI14" s="18">
        <f t="shared" si="16"/>
        <v>0</v>
      </c>
      <c r="AJ14" s="17" t="str">
        <f t="shared" si="17"/>
        <v>Blank</v>
      </c>
    </row>
    <row r="15" spans="1:36">
      <c r="A15" s="17" t="s">
        <v>571</v>
      </c>
      <c r="B15" s="18">
        <f>Caldwell!N10</f>
        <v>420095</v>
      </c>
      <c r="C15" s="18">
        <f>Caldwell!N11</f>
        <v>12751965</v>
      </c>
      <c r="D15" s="18">
        <v>0</v>
      </c>
      <c r="E15" s="18">
        <f>Caldwell!N30</f>
        <v>441150</v>
      </c>
      <c r="F15" s="18">
        <f>Caldwell!N31</f>
        <v>468113</v>
      </c>
      <c r="G15" s="18">
        <f>Caldwell!N32+Caldwell!N34+Caldwell!N35</f>
        <v>542411</v>
      </c>
      <c r="J15" s="25"/>
      <c r="K15" s="18">
        <f>Caldwell!N33</f>
        <v>42218</v>
      </c>
      <c r="N15" s="18">
        <f>Caldwell!N28+Caldwell!N29</f>
        <v>2220395</v>
      </c>
      <c r="O15" s="24">
        <f>Caldwell!N40</f>
        <v>16886347</v>
      </c>
      <c r="P15" s="18">
        <f t="shared" si="12"/>
        <v>16886347</v>
      </c>
      <c r="Q15" s="19" t="str">
        <f t="shared" si="13"/>
        <v>Yes</v>
      </c>
      <c r="AE15" s="18">
        <v>0</v>
      </c>
      <c r="AF15" s="18">
        <f t="shared" si="14"/>
        <v>0</v>
      </c>
      <c r="AG15" s="19" t="str">
        <f t="shared" si="15"/>
        <v>Yes</v>
      </c>
      <c r="AH15" s="18">
        <f>Caldwell!N40</f>
        <v>16886347</v>
      </c>
      <c r="AI15" s="18">
        <f t="shared" si="16"/>
        <v>16886347</v>
      </c>
      <c r="AJ15" s="17" t="str">
        <f t="shared" si="17"/>
        <v>Yes</v>
      </c>
    </row>
    <row r="16" spans="1:36">
      <c r="A16" s="17" t="s">
        <v>572</v>
      </c>
      <c r="B16" s="18">
        <f>Cameron!M10</f>
        <v>0</v>
      </c>
      <c r="C16" s="18">
        <f>Cameron!M11</f>
        <v>0</v>
      </c>
      <c r="D16" s="18">
        <v>0</v>
      </c>
      <c r="E16" s="18">
        <f>Cameron!M26</f>
        <v>0</v>
      </c>
      <c r="F16" s="18">
        <v>0</v>
      </c>
      <c r="I16" s="18">
        <f>Cameron!M27</f>
        <v>0</v>
      </c>
      <c r="J16" s="25">
        <f>Cameron!M28</f>
        <v>0</v>
      </c>
      <c r="N16" s="18">
        <f>Cameron!M29</f>
        <v>0</v>
      </c>
      <c r="O16" s="24">
        <f>Cameron!M34</f>
        <v>0</v>
      </c>
      <c r="P16" s="18">
        <f t="shared" ref="P16" si="18">SUM(B16:N16)</f>
        <v>0</v>
      </c>
      <c r="Q16" s="19" t="str">
        <f t="shared" ref="Q16" si="19">IF(O16="","Blank",IF(O16=P16,"Yes","No"))</f>
        <v>Yes</v>
      </c>
      <c r="AE16" s="18">
        <v>0</v>
      </c>
      <c r="AF16" s="18">
        <f t="shared" ref="AF16" si="20">SUM(R16:AD16)</f>
        <v>0</v>
      </c>
      <c r="AG16" s="19" t="str">
        <f t="shared" si="15"/>
        <v>Yes</v>
      </c>
      <c r="AH16" s="18">
        <f>Cameron!M34</f>
        <v>0</v>
      </c>
      <c r="AI16" s="18">
        <f t="shared" si="16"/>
        <v>0</v>
      </c>
      <c r="AJ16" s="17" t="str">
        <f t="shared" ref="AJ16" si="21">IF(AH16="","Blank",IF(AH16=AI16,"Yes","No"))</f>
        <v>Yes</v>
      </c>
    </row>
    <row r="17" spans="1:36">
      <c r="A17" s="17" t="s">
        <v>573</v>
      </c>
      <c r="B17" s="18">
        <f>Catahoula!N10</f>
        <v>112200</v>
      </c>
      <c r="C17" s="18">
        <f>Catahoula!N11</f>
        <v>1420152</v>
      </c>
      <c r="D17" s="18">
        <v>0</v>
      </c>
      <c r="E17" s="18">
        <f>Catahoula!N26</f>
        <v>413251</v>
      </c>
      <c r="F17" s="18">
        <f>Catahoula!N27</f>
        <v>1231632</v>
      </c>
      <c r="G17" s="18">
        <f>Catahoula!N28+Catahoula!N29</f>
        <v>469026</v>
      </c>
      <c r="I17" s="18">
        <f>Catahoula!N31</f>
        <v>85026</v>
      </c>
      <c r="K17" s="18">
        <f>Catahoula!N30</f>
        <v>188635</v>
      </c>
      <c r="N17" s="18">
        <f>Catahoula!N25</f>
        <v>2980608</v>
      </c>
      <c r="O17" s="24">
        <f>Catahoula!N36</f>
        <v>6900530</v>
      </c>
      <c r="P17" s="18">
        <f t="shared" si="12"/>
        <v>6900530</v>
      </c>
      <c r="Q17" s="19" t="str">
        <f t="shared" si="13"/>
        <v>Yes</v>
      </c>
      <c r="X17" s="18">
        <v>0</v>
      </c>
      <c r="Y17" s="18">
        <v>0</v>
      </c>
      <c r="AB17" s="18">
        <v>0</v>
      </c>
      <c r="AC17" s="18">
        <v>0</v>
      </c>
      <c r="AE17" s="18">
        <v>0</v>
      </c>
      <c r="AF17" s="18">
        <f t="shared" si="14"/>
        <v>0</v>
      </c>
      <c r="AG17" s="19" t="str">
        <f t="shared" si="15"/>
        <v>Yes</v>
      </c>
      <c r="AH17" s="18">
        <f>Catahoula!N36</f>
        <v>6900530</v>
      </c>
      <c r="AI17" s="18">
        <f t="shared" si="16"/>
        <v>6900530</v>
      </c>
      <c r="AJ17" s="17" t="str">
        <f t="shared" si="17"/>
        <v>Yes</v>
      </c>
    </row>
    <row r="18" spans="1:36">
      <c r="A18" s="17" t="s">
        <v>574</v>
      </c>
      <c r="B18" s="18">
        <f>Claiborne!N11+Claiborne!N12+Claiborne!N13+Claiborne!N14</f>
        <v>273850</v>
      </c>
      <c r="C18" s="18">
        <f>Claiborne!N15</f>
        <v>309119</v>
      </c>
      <c r="D18" s="18">
        <v>0</v>
      </c>
      <c r="E18" s="18">
        <f>Claiborne!N49+Claiborne!N57+Claiborne!N60+Claiborne!N64</f>
        <v>4398325</v>
      </c>
      <c r="F18" s="18">
        <f>Claiborne!N48+Claiborne!N59</f>
        <v>333</v>
      </c>
      <c r="G18" s="26">
        <f>Claiborne!N50+Claiborne!N51</f>
        <v>1074743</v>
      </c>
      <c r="H18" s="26"/>
      <c r="I18" s="18">
        <f>Claiborne!N67</f>
        <v>40925</v>
      </c>
      <c r="J18" s="18">
        <f>Claiborne!N66+Claiborne!N62+Claiborne!N56+Claiborne!N53</f>
        <v>352969</v>
      </c>
      <c r="K18" s="26">
        <f>Claiborne!N52+Claiborne!N55+Claiborne!N61+Claiborne!N65</f>
        <v>215759</v>
      </c>
      <c r="N18" s="18">
        <f>Claiborne!N46+Claiborne!N47</f>
        <v>1685672</v>
      </c>
      <c r="O18" s="24">
        <f>Claiborne!N72</f>
        <v>8351695</v>
      </c>
      <c r="P18" s="18">
        <f t="shared" ref="P18:P20" si="22">SUM(B18:N18)</f>
        <v>8351695</v>
      </c>
      <c r="Q18" s="19" t="str">
        <f t="shared" si="13"/>
        <v>Yes</v>
      </c>
      <c r="X18" s="18">
        <v>0</v>
      </c>
      <c r="Y18" s="18">
        <v>0</v>
      </c>
      <c r="AB18" s="18">
        <v>0</v>
      </c>
      <c r="AC18" s="18">
        <v>0</v>
      </c>
      <c r="AE18" s="18">
        <v>0</v>
      </c>
      <c r="AF18" s="18">
        <f t="shared" si="14"/>
        <v>0</v>
      </c>
      <c r="AG18" s="19" t="str">
        <f t="shared" si="15"/>
        <v>Yes</v>
      </c>
      <c r="AH18" s="18">
        <f>Claiborne!N72</f>
        <v>8351695</v>
      </c>
      <c r="AI18" s="18">
        <f t="shared" si="16"/>
        <v>8351695</v>
      </c>
      <c r="AJ18" s="17" t="str">
        <f t="shared" si="17"/>
        <v>Yes</v>
      </c>
    </row>
    <row r="19" spans="1:36">
      <c r="A19" s="17" t="s">
        <v>575</v>
      </c>
      <c r="G19" s="26"/>
      <c r="H19" s="26"/>
      <c r="K19" s="26"/>
      <c r="O19" s="24"/>
      <c r="P19" s="18">
        <f t="shared" si="22"/>
        <v>0</v>
      </c>
      <c r="Q19" s="19" t="str">
        <f t="shared" si="13"/>
        <v>Blank</v>
      </c>
      <c r="X19" s="18">
        <v>0</v>
      </c>
      <c r="Y19" s="18">
        <v>0</v>
      </c>
      <c r="AB19" s="18">
        <v>0</v>
      </c>
      <c r="AC19" s="18">
        <v>0</v>
      </c>
      <c r="AE19" s="18">
        <v>0</v>
      </c>
      <c r="AF19" s="18">
        <f t="shared" si="14"/>
        <v>0</v>
      </c>
      <c r="AG19" s="19" t="str">
        <f t="shared" si="15"/>
        <v>Yes</v>
      </c>
      <c r="AI19" s="18">
        <f t="shared" si="16"/>
        <v>0</v>
      </c>
      <c r="AJ19" s="17" t="str">
        <f t="shared" si="17"/>
        <v>Blank</v>
      </c>
    </row>
    <row r="20" spans="1:36">
      <c r="A20" s="17" t="s">
        <v>576</v>
      </c>
      <c r="B20" s="18">
        <f>DeSoto!M10</f>
        <v>1979943</v>
      </c>
      <c r="C20" s="18">
        <f>DeSoto!M11</f>
        <v>3653019</v>
      </c>
      <c r="E20" s="18">
        <f>DeSoto!M22</f>
        <v>13759465</v>
      </c>
      <c r="F20" s="18">
        <f>DeSoto!M23</f>
        <v>5958555</v>
      </c>
      <c r="I20" s="18">
        <f>DeSoto!M24</f>
        <v>5553065</v>
      </c>
      <c r="J20" s="25"/>
      <c r="N20" s="18">
        <f>DeSoto!M25</f>
        <v>45361725</v>
      </c>
      <c r="O20" s="24">
        <f>DeSoto!M30</f>
        <v>76265772</v>
      </c>
      <c r="P20" s="18">
        <f t="shared" si="22"/>
        <v>76265772</v>
      </c>
      <c r="Q20" s="19" t="str">
        <f t="shared" si="13"/>
        <v>Yes</v>
      </c>
      <c r="R20" s="18">
        <f>DeSoto!M35</f>
        <v>10175</v>
      </c>
      <c r="AE20" s="18">
        <f>DeSoto!M49</f>
        <v>10175</v>
      </c>
      <c r="AF20" s="18">
        <f t="shared" si="14"/>
        <v>10175</v>
      </c>
      <c r="AG20" s="19" t="str">
        <f t="shared" si="15"/>
        <v>Yes</v>
      </c>
      <c r="AH20" s="18">
        <f>DeSoto!M49+DeSoto!M30</f>
        <v>76275947</v>
      </c>
      <c r="AI20" s="18">
        <f t="shared" si="16"/>
        <v>76275947</v>
      </c>
      <c r="AJ20" s="17" t="str">
        <f t="shared" si="17"/>
        <v>Yes</v>
      </c>
    </row>
    <row r="21" spans="1:36">
      <c r="A21" s="17" t="s">
        <v>577</v>
      </c>
      <c r="B21" s="18">
        <f>'East Baton Rouge'!N10</f>
        <v>162100006</v>
      </c>
      <c r="C21" s="18">
        <f>'East Baton Rouge'!N11</f>
        <v>36891404</v>
      </c>
      <c r="D21" s="18">
        <v>0</v>
      </c>
      <c r="E21" s="18">
        <f>'East Baton Rouge'!N22</f>
        <v>133848209</v>
      </c>
      <c r="F21" s="18">
        <f>'East Baton Rouge'!N24</f>
        <v>532932931</v>
      </c>
      <c r="G21" s="18">
        <f>'East Baton Rouge'!N25</f>
        <v>25503318</v>
      </c>
      <c r="O21" s="24">
        <f>'East Baton Rouge'!N30</f>
        <v>891275868</v>
      </c>
      <c r="P21" s="18">
        <f t="shared" si="6"/>
        <v>891275868</v>
      </c>
      <c r="Q21" s="19" t="str">
        <f t="shared" si="7"/>
        <v>Yes</v>
      </c>
      <c r="R21" s="18">
        <f>'East Baton Rouge'!N37</f>
        <v>94535907</v>
      </c>
      <c r="S21" s="18">
        <f>'East Baton Rouge'!N39</f>
        <v>196700014</v>
      </c>
      <c r="T21" s="18">
        <f>'East Baton Rouge'!N38</f>
        <v>58392539</v>
      </c>
      <c r="U21" s="18">
        <f>'East Baton Rouge'!N50</f>
        <v>110266757</v>
      </c>
      <c r="V21" s="18">
        <f>'East Baton Rouge'!N52</f>
        <v>1419225417</v>
      </c>
      <c r="W21" s="18">
        <f>'East Baton Rouge'!N53</f>
        <v>1460323</v>
      </c>
      <c r="X21" s="18">
        <v>0</v>
      </c>
      <c r="Y21" s="18">
        <v>0</v>
      </c>
      <c r="AB21" s="18">
        <v>0</v>
      </c>
      <c r="AC21" s="18">
        <v>0</v>
      </c>
      <c r="AE21" s="18">
        <f>'East Baton Rouge'!N58</f>
        <v>1880580957</v>
      </c>
      <c r="AF21" s="18">
        <f t="shared" si="8"/>
        <v>1880580957</v>
      </c>
      <c r="AG21" s="19" t="str">
        <f t="shared" si="15"/>
        <v>Yes</v>
      </c>
      <c r="AH21" s="18">
        <f>'East Baton Rouge'!N30+'East Baton Rouge'!N58</f>
        <v>2771856825</v>
      </c>
      <c r="AI21" s="18">
        <f t="shared" si="16"/>
        <v>2771856825</v>
      </c>
      <c r="AJ21" s="17" t="str">
        <f t="shared" si="17"/>
        <v>Yes</v>
      </c>
    </row>
    <row r="22" spans="1:36">
      <c r="A22" s="17" t="s">
        <v>578</v>
      </c>
      <c r="B22" s="18">
        <f>'East Carroll'!M7+'East Carroll'!M8</f>
        <v>375665</v>
      </c>
      <c r="C22" s="18">
        <f>'East Carroll'!M9</f>
        <v>320231</v>
      </c>
      <c r="E22" s="18">
        <f>'East Carroll'!M28</f>
        <v>960005</v>
      </c>
      <c r="G22" s="18">
        <f>'East Carroll'!M29+'East Carroll'!M31</f>
        <v>1079333</v>
      </c>
      <c r="I22" s="18">
        <f>'East Carroll'!M33</f>
        <v>0</v>
      </c>
      <c r="J22" s="18">
        <f>'East Carroll'!M30</f>
        <v>22266</v>
      </c>
      <c r="K22" s="18">
        <f>'East Carroll'!M32</f>
        <v>800409</v>
      </c>
      <c r="N22" s="18">
        <f>'East Carroll'!M35+'East Carroll'!M36+'East Carroll'!M37+'East Carroll'!M38+'East Carroll'!M22</f>
        <v>2600537</v>
      </c>
      <c r="O22" s="24">
        <f>'East Carroll'!M43</f>
        <v>6158446</v>
      </c>
      <c r="P22" s="18">
        <f t="shared" ref="P22:P27" si="23">SUM(B22:N22)</f>
        <v>6158446</v>
      </c>
      <c r="Q22" s="19" t="str">
        <f t="shared" ref="Q22" si="24">IF(O22="","Blank",IF(O22=P22,"Yes","No"))</f>
        <v>Yes</v>
      </c>
      <c r="X22" s="18">
        <v>0</v>
      </c>
      <c r="Y22" s="18">
        <v>0</v>
      </c>
      <c r="AB22" s="18">
        <v>0</v>
      </c>
      <c r="AC22" s="18">
        <v>0</v>
      </c>
      <c r="AE22" s="18">
        <v>0</v>
      </c>
      <c r="AF22" s="18">
        <f t="shared" si="8"/>
        <v>0</v>
      </c>
      <c r="AG22" s="19" t="str">
        <f t="shared" si="15"/>
        <v>Yes</v>
      </c>
      <c r="AH22" s="18">
        <f>'East Carroll'!M43</f>
        <v>6158446</v>
      </c>
      <c r="AI22" s="18">
        <f t="shared" si="16"/>
        <v>6158446</v>
      </c>
      <c r="AJ22" s="17" t="str">
        <f t="shared" si="17"/>
        <v>Yes</v>
      </c>
    </row>
    <row r="23" spans="1:36">
      <c r="A23" s="27" t="s">
        <v>579</v>
      </c>
      <c r="B23" s="18">
        <f>'East Feliciana'!M9</f>
        <v>259230</v>
      </c>
      <c r="D23" s="18">
        <v>0</v>
      </c>
      <c r="E23" s="18">
        <f>'East Feliciana'!M15</f>
        <v>5167370</v>
      </c>
      <c r="F23" s="18">
        <v>0</v>
      </c>
      <c r="G23" s="18">
        <f>'East Feliciana'!M19</f>
        <v>1835027</v>
      </c>
      <c r="L23" s="18">
        <f>'East Feliciana'!M23</f>
        <v>6826233</v>
      </c>
      <c r="O23" s="24">
        <f>'East Feliciana'!M25</f>
        <v>14087860</v>
      </c>
      <c r="P23" s="18">
        <f t="shared" ref="P23" si="25">SUM(B23:N23)</f>
        <v>14087860</v>
      </c>
      <c r="Q23" s="19" t="str">
        <f t="shared" ref="Q23:Q29" si="26">IF(O23="","Blank",IF(O23=P23,"Yes","No"))</f>
        <v>Yes</v>
      </c>
      <c r="AE23" s="18">
        <v>0</v>
      </c>
      <c r="AF23" s="18">
        <f t="shared" ref="AF23" si="27">SUM(R23:AD23)</f>
        <v>0</v>
      </c>
      <c r="AG23" s="19" t="str">
        <f t="shared" si="15"/>
        <v>Yes</v>
      </c>
      <c r="AH23" s="18">
        <f>'East Feliciana'!M25</f>
        <v>14087860</v>
      </c>
      <c r="AI23" s="18">
        <f t="shared" si="16"/>
        <v>14087860</v>
      </c>
      <c r="AJ23" s="17" t="str">
        <f t="shared" si="17"/>
        <v>Yes</v>
      </c>
    </row>
    <row r="24" spans="1:36">
      <c r="A24" s="17" t="s">
        <v>580</v>
      </c>
      <c r="B24" s="25"/>
      <c r="L24" s="26"/>
      <c r="O24" s="24"/>
      <c r="Q24" s="19" t="str">
        <f t="shared" si="26"/>
        <v>Blank</v>
      </c>
      <c r="T24" s="18">
        <f>Evangeline!M33+Evangeline!M34</f>
        <v>0</v>
      </c>
      <c r="X24" s="18">
        <f>Evangeline!M40</f>
        <v>0</v>
      </c>
      <c r="AE24" s="18">
        <v>0</v>
      </c>
      <c r="AG24" s="19" t="str">
        <f t="shared" si="15"/>
        <v>Yes</v>
      </c>
      <c r="AJ24" s="17" t="str">
        <f t="shared" si="17"/>
        <v>Blank</v>
      </c>
    </row>
    <row r="25" spans="1:36">
      <c r="A25" s="27" t="s">
        <v>581</v>
      </c>
      <c r="B25" s="18">
        <f>Franklin!M10</f>
        <v>390416</v>
      </c>
      <c r="C25" s="18">
        <f>Franklin!M11</f>
        <v>1197994</v>
      </c>
      <c r="D25" s="18">
        <f>Franklin!M12</f>
        <v>70000</v>
      </c>
      <c r="E25" s="18">
        <f>Franklin!M29</f>
        <v>2809742</v>
      </c>
      <c r="F25" s="18">
        <f>Franklin!M30</f>
        <v>950452</v>
      </c>
      <c r="G25" s="18">
        <f>Franklin!M32+Franklin!M33</f>
        <v>1044167</v>
      </c>
      <c r="J25" s="18">
        <f>Franklin!M31</f>
        <v>2395</v>
      </c>
      <c r="K25" s="18">
        <f>Franklin!M34</f>
        <v>54010</v>
      </c>
      <c r="N25" s="18">
        <f>Franklin!M27+Franklin!M28</f>
        <v>12796606</v>
      </c>
      <c r="O25" s="24">
        <f>Franklin!M38</f>
        <v>19315782</v>
      </c>
      <c r="P25" s="18">
        <f>SUM(B25:N25)</f>
        <v>19315782</v>
      </c>
      <c r="Q25" s="19" t="str">
        <f t="shared" si="26"/>
        <v>Yes</v>
      </c>
      <c r="X25" s="18">
        <v>0</v>
      </c>
      <c r="Y25" s="18">
        <v>0</v>
      </c>
      <c r="AB25" s="18">
        <v>0</v>
      </c>
      <c r="AC25" s="18">
        <v>0</v>
      </c>
      <c r="AE25" s="18">
        <v>0</v>
      </c>
      <c r="AF25" s="18">
        <f>SUM(R25:AE25)</f>
        <v>0</v>
      </c>
      <c r="AG25" s="19" t="str">
        <f t="shared" si="15"/>
        <v>Yes</v>
      </c>
      <c r="AH25" s="18">
        <f>Franklin!M38</f>
        <v>19315782</v>
      </c>
      <c r="AI25" s="18">
        <f t="shared" si="16"/>
        <v>19315782</v>
      </c>
      <c r="AJ25" s="17" t="str">
        <f t="shared" si="17"/>
        <v>Yes</v>
      </c>
    </row>
    <row r="26" spans="1:36">
      <c r="A26" s="17" t="s">
        <v>582</v>
      </c>
      <c r="J26" s="25"/>
      <c r="O26" s="24"/>
      <c r="Q26" s="19" t="str">
        <f t="shared" si="26"/>
        <v>Blank</v>
      </c>
      <c r="AE26" s="18">
        <v>0</v>
      </c>
      <c r="AG26" s="19" t="str">
        <f t="shared" si="15"/>
        <v>Yes</v>
      </c>
      <c r="AJ26" s="17" t="str">
        <f t="shared" si="17"/>
        <v>Blank</v>
      </c>
    </row>
    <row r="27" spans="1:36">
      <c r="A27" s="27" t="s">
        <v>583</v>
      </c>
      <c r="B27" s="18">
        <f>Iberia!M11</f>
        <v>2502175</v>
      </c>
      <c r="C27" s="18">
        <f>Iberia!M12</f>
        <v>6021258</v>
      </c>
      <c r="D27" s="18">
        <v>0</v>
      </c>
      <c r="E27" s="18">
        <f>Iberia!M25</f>
        <v>14498957</v>
      </c>
      <c r="F27" s="18">
        <f>Iberia!M24</f>
        <v>2048</v>
      </c>
      <c r="J27" s="18">
        <f>Iberia!M26</f>
        <v>3766950</v>
      </c>
      <c r="N27" s="18">
        <f>Iberia!M27</f>
        <v>67337547</v>
      </c>
      <c r="O27" s="24">
        <f>Iberia!M30</f>
        <v>94128935</v>
      </c>
      <c r="P27" s="18">
        <f t="shared" si="23"/>
        <v>94128935</v>
      </c>
      <c r="Q27" s="19" t="str">
        <f t="shared" si="26"/>
        <v>Yes</v>
      </c>
      <c r="X27" s="18">
        <v>0</v>
      </c>
      <c r="Y27" s="18">
        <v>0</v>
      </c>
      <c r="AB27" s="18">
        <v>0</v>
      </c>
      <c r="AC27" s="18">
        <v>0</v>
      </c>
      <c r="AE27" s="18">
        <v>0</v>
      </c>
      <c r="AF27" s="18">
        <f>SUM(R27:AE27)</f>
        <v>0</v>
      </c>
      <c r="AG27" s="19" t="str">
        <f t="shared" si="15"/>
        <v>Yes</v>
      </c>
      <c r="AH27" s="18">
        <f>Iberia!M30</f>
        <v>94128935</v>
      </c>
      <c r="AI27" s="18">
        <f t="shared" si="16"/>
        <v>94128935</v>
      </c>
      <c r="AJ27" s="17" t="str">
        <f t="shared" si="17"/>
        <v>Yes</v>
      </c>
    </row>
    <row r="28" spans="1:36">
      <c r="A28" s="17" t="s">
        <v>584</v>
      </c>
      <c r="B28" s="18">
        <f>Iberville!E26</f>
        <v>3232380</v>
      </c>
      <c r="C28" s="18">
        <f>Iberville!F26</f>
        <v>1222654</v>
      </c>
      <c r="E28" s="18">
        <f>Iberville!G26</f>
        <v>52248412</v>
      </c>
      <c r="J28" s="18">
        <f>Iberville!I26</f>
        <v>6118075</v>
      </c>
      <c r="N28" s="18">
        <f>Iberville!H26</f>
        <v>54880429</v>
      </c>
      <c r="O28" s="24">
        <f>Iberville!J26</f>
        <v>117701950</v>
      </c>
      <c r="P28" s="18">
        <f t="shared" si="6"/>
        <v>117701950</v>
      </c>
      <c r="Q28" s="19" t="str">
        <f t="shared" si="26"/>
        <v>Yes</v>
      </c>
      <c r="R28" s="18">
        <f>Iberville!E50</f>
        <v>193511</v>
      </c>
      <c r="S28" s="18">
        <f>Iberville!F50</f>
        <v>0</v>
      </c>
      <c r="U28" s="18">
        <f>Iberville!G50</f>
        <v>10523122</v>
      </c>
      <c r="W28" s="18">
        <f>Iberville!H50</f>
        <v>486014</v>
      </c>
      <c r="X28" s="18">
        <v>0</v>
      </c>
      <c r="Y28" s="18">
        <v>0</v>
      </c>
      <c r="AB28" s="18">
        <v>0</v>
      </c>
      <c r="AC28" s="18">
        <v>0</v>
      </c>
      <c r="AE28" s="18">
        <f>Iberville!I50:I50</f>
        <v>11202647</v>
      </c>
      <c r="AF28" s="18">
        <f>SUM(R28:AD28)</f>
        <v>11202647</v>
      </c>
      <c r="AG28" s="19" t="str">
        <f t="shared" si="15"/>
        <v>Yes</v>
      </c>
      <c r="AH28" s="18">
        <f>Iberville!I50+Iberville!J26</f>
        <v>128904597</v>
      </c>
      <c r="AI28" s="18">
        <f>O28+AE28</f>
        <v>128904597</v>
      </c>
      <c r="AJ28" s="17" t="str">
        <f t="shared" si="17"/>
        <v>Yes</v>
      </c>
    </row>
    <row r="29" spans="1:36">
      <c r="A29" s="17" t="s">
        <v>585</v>
      </c>
      <c r="B29" s="25">
        <f>Jackson!M10</f>
        <v>433912</v>
      </c>
      <c r="C29" s="18">
        <f>Jackson!M11</f>
        <v>0</v>
      </c>
      <c r="E29" s="18">
        <f>Jackson!M22</f>
        <v>6464207</v>
      </c>
      <c r="F29" s="18">
        <v>0</v>
      </c>
      <c r="G29" s="18">
        <f>Jackson!M24</f>
        <v>1503774</v>
      </c>
      <c r="K29" s="18">
        <f>Jackson!M23</f>
        <v>756990</v>
      </c>
      <c r="L29" s="26"/>
      <c r="N29" s="18">
        <f>Jackson!M25</f>
        <v>8073870</v>
      </c>
      <c r="O29" s="24">
        <f>Jackson!M29</f>
        <v>17232753</v>
      </c>
      <c r="P29" s="18">
        <f t="shared" ref="P29" si="28">SUM(B29:N29)</f>
        <v>17232753</v>
      </c>
      <c r="Q29" s="19" t="str">
        <f t="shared" si="26"/>
        <v>Yes</v>
      </c>
      <c r="X29" s="18">
        <v>0</v>
      </c>
      <c r="Y29" s="18">
        <v>0</v>
      </c>
      <c r="AB29" s="18">
        <v>0</v>
      </c>
      <c r="AC29" s="18">
        <v>0</v>
      </c>
      <c r="AE29" s="18">
        <f>Iberville!I51:I51</f>
        <v>0</v>
      </c>
      <c r="AF29" s="18">
        <f t="shared" ref="AF29" si="29">SUM(R29:AD29)</f>
        <v>0</v>
      </c>
      <c r="AG29" s="19" t="str">
        <f t="shared" si="15"/>
        <v>Yes</v>
      </c>
      <c r="AH29" s="18">
        <f>Jackson!M29</f>
        <v>17232753</v>
      </c>
      <c r="AI29" s="18">
        <f t="shared" si="16"/>
        <v>17232753</v>
      </c>
      <c r="AJ29" s="17" t="str">
        <f t="shared" si="17"/>
        <v>Yes</v>
      </c>
    </row>
    <row r="30" spans="1:36">
      <c r="A30" s="17" t="s">
        <v>586</v>
      </c>
      <c r="B30" s="18">
        <f>Jefferson!O9</f>
        <v>67251</v>
      </c>
      <c r="C30" s="18">
        <f>Jefferson!O10</f>
        <v>135733</v>
      </c>
      <c r="E30" s="18">
        <f>Jefferson!O22</f>
        <v>641206</v>
      </c>
      <c r="F30" s="18">
        <f>Jefferson!O23</f>
        <v>296414</v>
      </c>
      <c r="G30" s="18">
        <f>Jefferson!O25</f>
        <v>477556</v>
      </c>
      <c r="J30" s="25"/>
      <c r="K30" s="18">
        <f>Jefferson!O24</f>
        <v>115075</v>
      </c>
      <c r="N30" s="18">
        <f>Jefferson!O26</f>
        <v>5668141</v>
      </c>
      <c r="O30" s="24">
        <f>Jefferson!O31</f>
        <v>7401376</v>
      </c>
      <c r="P30" s="18">
        <f t="shared" si="6"/>
        <v>7401376</v>
      </c>
      <c r="Q30" s="19" t="str">
        <f t="shared" si="7"/>
        <v>Yes</v>
      </c>
      <c r="U30" s="18">
        <f>Jefferson!O52</f>
        <v>94161</v>
      </c>
      <c r="V30" s="18">
        <f>Jefferson!O55</f>
        <v>3151</v>
      </c>
      <c r="W30" s="18">
        <f>Jefferson!O56</f>
        <v>40862</v>
      </c>
      <c r="X30" s="18">
        <f>Jefferson!O53+Jefferson!O54</f>
        <v>498094</v>
      </c>
      <c r="AA30" s="18">
        <f>Jefferson!O57</f>
        <v>2851</v>
      </c>
      <c r="AB30" s="18">
        <v>0</v>
      </c>
      <c r="AC30" s="18">
        <v>0</v>
      </c>
      <c r="AE30" s="18">
        <f>SUM(R30:AD30)</f>
        <v>639119</v>
      </c>
      <c r="AF30" s="18">
        <f t="shared" si="8"/>
        <v>639119</v>
      </c>
      <c r="AG30" s="19" t="str">
        <f t="shared" si="15"/>
        <v>Yes</v>
      </c>
      <c r="AH30" s="18">
        <f>SUM(O30+AE30)</f>
        <v>8040495</v>
      </c>
      <c r="AI30" s="18">
        <f t="shared" si="16"/>
        <v>8040495</v>
      </c>
      <c r="AJ30" s="17" t="str">
        <f t="shared" si="17"/>
        <v>Yes</v>
      </c>
    </row>
    <row r="31" spans="1:36">
      <c r="A31" s="17" t="s">
        <v>587</v>
      </c>
      <c r="B31" s="18">
        <f>'Jefferson Davis'!N10</f>
        <v>846907</v>
      </c>
      <c r="C31" s="18">
        <f>'Jefferson Davis'!N11</f>
        <v>1173971</v>
      </c>
      <c r="D31" s="18">
        <v>0</v>
      </c>
      <c r="E31" s="18">
        <f>'Jefferson Davis'!N25</f>
        <v>8395482</v>
      </c>
      <c r="F31" s="18">
        <v>0</v>
      </c>
      <c r="G31" s="18">
        <f>'Jefferson Davis'!N27+'Jefferson Davis'!N28</f>
        <v>1159180</v>
      </c>
      <c r="J31" s="18">
        <f>'Jefferson Davis'!N29</f>
        <v>42980</v>
      </c>
      <c r="K31" s="18">
        <f>'Jefferson Davis'!N26</f>
        <v>2878061</v>
      </c>
      <c r="N31" s="18">
        <f>'Jefferson Davis'!N30+'Jefferson Davis'!N31</f>
        <v>19767233</v>
      </c>
      <c r="O31" s="24">
        <f>'Jefferson Davis'!N36</f>
        <v>34263814</v>
      </c>
      <c r="P31" s="18">
        <f>SUM(B31:N31)</f>
        <v>34263814</v>
      </c>
      <c r="Q31" s="19" t="str">
        <f t="shared" ref="Q31" si="30">IF(O31="","Blank",IF(O31=P31,"Yes","No"))</f>
        <v>Yes</v>
      </c>
      <c r="X31" s="18">
        <v>0</v>
      </c>
      <c r="Y31" s="18">
        <v>0</v>
      </c>
      <c r="AB31" s="18">
        <v>0</v>
      </c>
      <c r="AC31" s="18">
        <v>0</v>
      </c>
      <c r="AE31" s="18">
        <f>Iberville!I52:I52</f>
        <v>0</v>
      </c>
      <c r="AF31" s="18">
        <f>SUM(R31:AD31)</f>
        <v>0</v>
      </c>
      <c r="AG31" s="19" t="str">
        <f>IF(AE31="","Blank",IF(AE31=AF31,"Yes","No"))</f>
        <v>Yes</v>
      </c>
      <c r="AH31" s="18">
        <f>'Jefferson Davis'!N36</f>
        <v>34263814</v>
      </c>
      <c r="AI31" s="18">
        <f>O31+AE31</f>
        <v>34263814</v>
      </c>
      <c r="AJ31" s="17" t="str">
        <f>IF(AH31="","Blank",IF(AH31=AI31,"Yes","No"))</f>
        <v>Yes</v>
      </c>
    </row>
    <row r="32" spans="1:36">
      <c r="A32" s="17" t="s">
        <v>588</v>
      </c>
      <c r="B32" s="18">
        <f>Lafayette!M10</f>
        <v>42924135</v>
      </c>
      <c r="C32" s="18">
        <f>Lafayette!M11</f>
        <v>26863404</v>
      </c>
      <c r="D32" s="18">
        <v>0</v>
      </c>
      <c r="E32" s="18">
        <f>Lafayette!M24</f>
        <v>104361368</v>
      </c>
      <c r="F32" s="18">
        <f>Lafayette!M23</f>
        <v>6492978</v>
      </c>
      <c r="J32" s="18">
        <f>Lafayette!M26</f>
        <v>15562309</v>
      </c>
      <c r="K32" s="18">
        <f>Lafayette!M25</f>
        <v>19835290</v>
      </c>
      <c r="N32" s="18">
        <f>Lafayette!M27</f>
        <v>383461525</v>
      </c>
      <c r="O32" s="24">
        <f>Lafayette!M30</f>
        <v>599501009</v>
      </c>
      <c r="P32" s="18">
        <f t="shared" si="6"/>
        <v>599501009</v>
      </c>
      <c r="Q32" s="19" t="str">
        <f t="shared" si="7"/>
        <v>Yes</v>
      </c>
      <c r="R32" s="18">
        <f>Lafayette!M38</f>
        <v>24278348</v>
      </c>
      <c r="S32" s="18">
        <f>Lafayette!M39</f>
        <v>79070545</v>
      </c>
      <c r="U32" s="18">
        <f>Lafayette!M52</f>
        <v>211307</v>
      </c>
      <c r="W32" s="18">
        <f>Lafayette!M57</f>
        <v>13341730</v>
      </c>
      <c r="Y32" s="18">
        <v>0</v>
      </c>
      <c r="Z32" s="18">
        <f>Lafayette!M56</f>
        <v>77976162</v>
      </c>
      <c r="AB32" s="18">
        <v>0</v>
      </c>
      <c r="AC32" s="18">
        <v>0</v>
      </c>
      <c r="AD32" s="18">
        <f>Lafayette!M53+Lafayette!M54+Lafayette!M55</f>
        <v>576893737</v>
      </c>
      <c r="AE32" s="18">
        <f>Lafayette!M60</f>
        <v>771771829</v>
      </c>
      <c r="AF32" s="18">
        <f t="shared" si="8"/>
        <v>771771829</v>
      </c>
      <c r="AG32" s="19" t="str">
        <f t="shared" si="15"/>
        <v>Yes</v>
      </c>
      <c r="AH32" s="18">
        <f>Lafayette!M60+Lafayette!M30</f>
        <v>1371272838</v>
      </c>
      <c r="AI32" s="18">
        <f t="shared" si="16"/>
        <v>1371272838</v>
      </c>
      <c r="AJ32" s="17" t="str">
        <f t="shared" si="17"/>
        <v>Yes</v>
      </c>
    </row>
    <row r="33" spans="1:36">
      <c r="A33" s="17" t="s">
        <v>589</v>
      </c>
      <c r="G33" s="26"/>
      <c r="H33" s="26"/>
      <c r="K33" s="26"/>
      <c r="O33" s="24"/>
      <c r="P33" s="18">
        <f t="shared" si="6"/>
        <v>0</v>
      </c>
      <c r="Q33" s="19" t="str">
        <f t="shared" si="7"/>
        <v>Blank</v>
      </c>
      <c r="X33" s="18">
        <v>0</v>
      </c>
      <c r="Y33" s="18">
        <v>0</v>
      </c>
      <c r="AB33" s="18">
        <v>0</v>
      </c>
      <c r="AC33" s="18">
        <v>0</v>
      </c>
      <c r="AE33" s="18">
        <v>0</v>
      </c>
      <c r="AF33" s="18">
        <f t="shared" si="8"/>
        <v>0</v>
      </c>
      <c r="AG33" s="19" t="str">
        <f t="shared" si="15"/>
        <v>Yes</v>
      </c>
      <c r="AI33" s="18">
        <f t="shared" si="16"/>
        <v>0</v>
      </c>
      <c r="AJ33" s="17" t="str">
        <f t="shared" si="17"/>
        <v>Blank</v>
      </c>
    </row>
    <row r="34" spans="1:36">
      <c r="A34" s="17" t="s">
        <v>590</v>
      </c>
      <c r="O34" s="24"/>
      <c r="Q34" s="19" t="str">
        <f t="shared" si="7"/>
        <v>Blank</v>
      </c>
      <c r="AE34" s="18">
        <v>0</v>
      </c>
      <c r="AF34" s="18">
        <f t="shared" si="8"/>
        <v>0</v>
      </c>
      <c r="AG34" s="19" t="str">
        <f t="shared" si="15"/>
        <v>Yes</v>
      </c>
      <c r="AI34" s="18">
        <f t="shared" si="16"/>
        <v>0</v>
      </c>
      <c r="AJ34" s="17" t="str">
        <f t="shared" si="17"/>
        <v>Blank</v>
      </c>
    </row>
    <row r="35" spans="1:36">
      <c r="A35" s="17" t="s">
        <v>591</v>
      </c>
      <c r="B35" s="18">
        <f>Lincoln!M8</f>
        <v>1679286</v>
      </c>
      <c r="C35" s="18">
        <v>0</v>
      </c>
      <c r="D35" s="18">
        <v>0</v>
      </c>
      <c r="E35" s="18">
        <f>Lincoln!M23+Lincoln!M25</f>
        <v>10867416</v>
      </c>
      <c r="G35" s="18">
        <f>Lincoln!M28</f>
        <v>1999971</v>
      </c>
      <c r="J35" s="18">
        <f>Lincoln!M27</f>
        <v>234473</v>
      </c>
      <c r="K35" s="18">
        <f>Lincoln!M26</f>
        <v>685938</v>
      </c>
      <c r="N35" s="18">
        <f>Lincoln!M24</f>
        <v>7190961</v>
      </c>
      <c r="O35" s="24">
        <f>Lincoln!M33</f>
        <v>22658045</v>
      </c>
      <c r="P35" s="18">
        <f t="shared" ref="P35:P36" si="31">SUM(B35:N35)</f>
        <v>22658045</v>
      </c>
      <c r="Q35" s="19" t="str">
        <f t="shared" ref="Q35" si="32">IF(O35="","Blank",IF(O35=P35,"Yes","No"))</f>
        <v>Yes</v>
      </c>
      <c r="X35" s="18">
        <v>0</v>
      </c>
      <c r="Y35" s="18">
        <v>0</v>
      </c>
      <c r="AB35" s="18">
        <v>0</v>
      </c>
      <c r="AC35" s="18">
        <v>0</v>
      </c>
      <c r="AE35" s="18">
        <v>0</v>
      </c>
      <c r="AF35" s="18">
        <f t="shared" ref="AF35" si="33">SUM(R35:AD35)</f>
        <v>0</v>
      </c>
      <c r="AG35" s="19" t="str">
        <f t="shared" si="15"/>
        <v>Yes</v>
      </c>
      <c r="AH35" s="18">
        <f>SUM(O35)</f>
        <v>22658045</v>
      </c>
      <c r="AI35" s="18">
        <f t="shared" si="16"/>
        <v>22658045</v>
      </c>
      <c r="AJ35" s="17" t="str">
        <f t="shared" si="17"/>
        <v>Yes</v>
      </c>
    </row>
    <row r="36" spans="1:36">
      <c r="A36" s="17" t="s">
        <v>592</v>
      </c>
      <c r="B36" s="25">
        <f>Livingston!M9</f>
        <v>6164832</v>
      </c>
      <c r="C36" s="18">
        <f>Livingston!M10</f>
        <v>4326404</v>
      </c>
      <c r="D36" s="18">
        <v>0</v>
      </c>
      <c r="E36" s="18">
        <f>Livingston!M21</f>
        <v>61817056</v>
      </c>
      <c r="G36" s="18">
        <f>Livingston!M23</f>
        <v>1682355</v>
      </c>
      <c r="H36" s="18">
        <f>SUM(Livingston!M24+Livingston!M22)</f>
        <v>4912992</v>
      </c>
      <c r="J36" s="18">
        <f>Livingston!M26</f>
        <v>186909</v>
      </c>
      <c r="L36" s="26"/>
      <c r="N36" s="18">
        <f>Livingston!M25</f>
        <v>56399024</v>
      </c>
      <c r="O36" s="24">
        <f>Livingston!M29</f>
        <v>135489572</v>
      </c>
      <c r="P36" s="18">
        <f t="shared" si="31"/>
        <v>135489572</v>
      </c>
      <c r="Q36" s="19" t="str">
        <f t="shared" si="7"/>
        <v>Yes</v>
      </c>
      <c r="R36" s="18">
        <f>Livingston!M34</f>
        <v>13243</v>
      </c>
      <c r="S36" s="18">
        <f>Livingston!M35</f>
        <v>0</v>
      </c>
      <c r="W36" s="18">
        <f>Livingston!M41</f>
        <v>7037753</v>
      </c>
      <c r="X36" s="18">
        <v>0</v>
      </c>
      <c r="Y36" s="18">
        <v>0</v>
      </c>
      <c r="AB36" s="18">
        <v>0</v>
      </c>
      <c r="AC36" s="18">
        <v>0</v>
      </c>
      <c r="AE36" s="18">
        <f>Livingston!M44</f>
        <v>7050996</v>
      </c>
      <c r="AF36" s="18">
        <f t="shared" si="8"/>
        <v>7050996</v>
      </c>
      <c r="AG36" s="19" t="str">
        <f t="shared" si="15"/>
        <v>Yes</v>
      </c>
      <c r="AH36" s="18">
        <f>SUM(Livingston!M29+Livingston!M44)</f>
        <v>142540568</v>
      </c>
      <c r="AI36" s="18">
        <f t="shared" si="16"/>
        <v>142540568</v>
      </c>
      <c r="AJ36" s="17" t="str">
        <f t="shared" si="17"/>
        <v>Yes</v>
      </c>
    </row>
    <row r="37" spans="1:36">
      <c r="A37" s="27" t="s">
        <v>593</v>
      </c>
      <c r="B37" s="18">
        <f>Madison!M9</f>
        <v>188750</v>
      </c>
      <c r="C37" s="18">
        <v>0</v>
      </c>
      <c r="D37" s="18">
        <f>Madison!M10</f>
        <v>3771405</v>
      </c>
      <c r="E37" s="18">
        <f>Madison!M18</f>
        <v>1299593</v>
      </c>
      <c r="F37" s="18">
        <v>0</v>
      </c>
      <c r="H37" s="18">
        <f>Madison!M12</f>
        <v>1688635</v>
      </c>
      <c r="I37" s="18">
        <f>Madison!M20</f>
        <v>95855</v>
      </c>
      <c r="J37" s="18">
        <f>Madison!M19</f>
        <v>707652</v>
      </c>
      <c r="O37" s="24">
        <f>Madison!M22</f>
        <v>7751890</v>
      </c>
      <c r="P37" s="18">
        <f>SUM(B37:N37)</f>
        <v>7751890</v>
      </c>
      <c r="Q37" s="19" t="str">
        <f t="shared" ref="Q37" si="34">IF(O37="","Blank",IF(O37=P37,"Yes","No"))</f>
        <v>Yes</v>
      </c>
      <c r="R37" s="18">
        <f>Madison!M22</f>
        <v>7751890</v>
      </c>
      <c r="X37" s="18">
        <v>0</v>
      </c>
      <c r="Y37" s="18">
        <v>0</v>
      </c>
      <c r="AB37" s="18">
        <v>0</v>
      </c>
      <c r="AC37" s="18">
        <v>0</v>
      </c>
      <c r="AE37" s="18">
        <v>0</v>
      </c>
      <c r="AF37" s="18">
        <f t="shared" ref="AF37" si="35">SUM(R37:AD37)</f>
        <v>7751890</v>
      </c>
      <c r="AG37" s="19" t="str">
        <f t="shared" si="15"/>
        <v>No</v>
      </c>
      <c r="AH37" s="18">
        <f>Madison!M22</f>
        <v>7751890</v>
      </c>
      <c r="AI37" s="18">
        <f t="shared" si="16"/>
        <v>7751890</v>
      </c>
      <c r="AJ37" s="17" t="str">
        <f t="shared" si="17"/>
        <v>Yes</v>
      </c>
    </row>
    <row r="38" spans="1:36">
      <c r="A38" s="150" t="s">
        <v>594</v>
      </c>
      <c r="B38" s="18">
        <f>Morehouse!M9</f>
        <v>188750</v>
      </c>
      <c r="C38" s="18">
        <v>0</v>
      </c>
      <c r="D38" s="18">
        <f>Morehouse!M10+Morehouse!M13</f>
        <v>5460040</v>
      </c>
      <c r="E38" s="18">
        <f>Morehouse!M19</f>
        <v>1299593</v>
      </c>
      <c r="G38" s="18">
        <f>Morehouse!M20</f>
        <v>707652</v>
      </c>
      <c r="I38" s="18">
        <f>Morehouse!M21</f>
        <v>95855</v>
      </c>
      <c r="J38" s="18">
        <f>Morehouse!M20</f>
        <v>707652</v>
      </c>
      <c r="O38" s="24">
        <f>Morehouse!M24</f>
        <v>7751890</v>
      </c>
      <c r="P38" s="18">
        <f>SUM(B38:N38)</f>
        <v>8459542</v>
      </c>
      <c r="Q38" s="19" t="str">
        <f t="shared" si="7"/>
        <v>No</v>
      </c>
      <c r="X38" s="18">
        <v>0</v>
      </c>
      <c r="Y38" s="18">
        <v>0</v>
      </c>
      <c r="AB38" s="18">
        <v>0</v>
      </c>
      <c r="AC38" s="18">
        <v>0</v>
      </c>
      <c r="AE38" s="18">
        <v>0</v>
      </c>
      <c r="AF38" s="18">
        <f>SUM(R38:AE38)</f>
        <v>0</v>
      </c>
      <c r="AG38" s="19" t="str">
        <f t="shared" si="15"/>
        <v>Yes</v>
      </c>
      <c r="AH38" s="18" t="e">
        <f>SUM(Morehouse!#REF!)</f>
        <v>#REF!</v>
      </c>
      <c r="AI38" s="18">
        <f t="shared" si="16"/>
        <v>7751890</v>
      </c>
      <c r="AJ38" s="17" t="e">
        <f t="shared" si="17"/>
        <v>#REF!</v>
      </c>
    </row>
    <row r="39" spans="1:36">
      <c r="A39" s="27" t="s">
        <v>595</v>
      </c>
      <c r="O39" s="24"/>
      <c r="P39" s="18">
        <f t="shared" ref="P39" si="36">SUM(B39:N39)</f>
        <v>0</v>
      </c>
      <c r="Q39" s="19" t="str">
        <f t="shared" ref="Q39" si="37">IF(O39="","Blank",IF(O39=P39,"Yes","No"))</f>
        <v>Blank</v>
      </c>
      <c r="AE39" s="18">
        <v>0</v>
      </c>
      <c r="AG39" s="19" t="str">
        <f t="shared" si="15"/>
        <v>Yes</v>
      </c>
      <c r="AJ39" s="17" t="str">
        <f t="shared" si="17"/>
        <v>Blank</v>
      </c>
    </row>
    <row r="40" spans="1:36">
      <c r="A40" s="17" t="s">
        <v>596</v>
      </c>
      <c r="B40" s="18">
        <f>Orleans!N8</f>
        <v>94474</v>
      </c>
      <c r="C40" s="18">
        <f>Orleans!N9</f>
        <v>407409</v>
      </c>
      <c r="D40" s="18">
        <v>0</v>
      </c>
      <c r="E40" s="18">
        <f>Orleans!N21</f>
        <v>364637</v>
      </c>
      <c r="F40" s="18">
        <v>0</v>
      </c>
      <c r="H40" s="18">
        <f>Orleans!N23</f>
        <v>7648</v>
      </c>
      <c r="K40" s="97">
        <f>Orleans!N22</f>
        <v>22035</v>
      </c>
      <c r="N40" s="18">
        <f>Orleans!N20</f>
        <v>714929</v>
      </c>
      <c r="O40" s="24">
        <f>Orleans!N26</f>
        <v>1611132</v>
      </c>
      <c r="P40" s="18">
        <f t="shared" si="6"/>
        <v>1611132</v>
      </c>
      <c r="Q40" s="19" t="str">
        <f t="shared" si="7"/>
        <v>Yes</v>
      </c>
      <c r="X40" s="18">
        <v>0</v>
      </c>
      <c r="Y40" s="18">
        <v>0</v>
      </c>
      <c r="AB40" s="18">
        <v>0</v>
      </c>
      <c r="AC40" s="18">
        <v>0</v>
      </c>
      <c r="AE40" s="18">
        <v>0</v>
      </c>
      <c r="AF40" s="18">
        <f t="shared" si="8"/>
        <v>0</v>
      </c>
      <c r="AG40" s="19" t="str">
        <f t="shared" si="15"/>
        <v>Yes</v>
      </c>
      <c r="AH40" s="18">
        <f>SUM(Orleans!N26)</f>
        <v>1611132</v>
      </c>
      <c r="AI40" s="18">
        <f t="shared" si="16"/>
        <v>1611132</v>
      </c>
      <c r="AJ40" s="17" t="str">
        <f t="shared" si="17"/>
        <v>Yes</v>
      </c>
    </row>
    <row r="41" spans="1:36">
      <c r="A41" s="27" t="s">
        <v>597</v>
      </c>
      <c r="B41" s="18">
        <f>Ouachita!M9</f>
        <v>12244547</v>
      </c>
      <c r="C41" s="18">
        <f>Ouachita!M10</f>
        <v>19801710</v>
      </c>
      <c r="D41" s="18">
        <v>0</v>
      </c>
      <c r="E41" s="18">
        <f>Ouachita!M26</f>
        <v>35753918</v>
      </c>
      <c r="F41" s="18">
        <v>0</v>
      </c>
      <c r="I41" s="18">
        <f>Ouachita!M28</f>
        <v>1598629</v>
      </c>
      <c r="J41" s="18">
        <f>Ouachita!M27</f>
        <v>12487303</v>
      </c>
      <c r="N41" s="18">
        <f>SUM(Ouachita!M30+Ouachita!M31+Ouachita!M32)</f>
        <v>101953032</v>
      </c>
      <c r="O41" s="24">
        <f>Ouachita!M34</f>
        <v>183839139</v>
      </c>
      <c r="P41" s="18">
        <f t="shared" ref="P41" si="38">SUM(B41:N41)</f>
        <v>183839139</v>
      </c>
      <c r="Q41" s="19" t="str">
        <f t="shared" ref="Q41" si="39">IF(O41="","Blank",IF(O41=P41,"Yes","No"))</f>
        <v>Yes</v>
      </c>
      <c r="X41" s="18">
        <v>0</v>
      </c>
      <c r="Y41" s="18">
        <v>0</v>
      </c>
      <c r="AB41" s="18">
        <v>0</v>
      </c>
      <c r="AC41" s="18">
        <v>0</v>
      </c>
      <c r="AE41" s="18">
        <v>0</v>
      </c>
      <c r="AF41" s="18">
        <f>SUM(R41:AE41)</f>
        <v>0</v>
      </c>
      <c r="AG41" s="19" t="str">
        <f t="shared" si="15"/>
        <v>Yes</v>
      </c>
      <c r="AI41" s="18">
        <f>O41+AE41</f>
        <v>183839139</v>
      </c>
      <c r="AJ41" s="17" t="str">
        <f t="shared" si="17"/>
        <v>Blank</v>
      </c>
    </row>
    <row r="42" spans="1:36">
      <c r="A42" s="17" t="s">
        <v>598</v>
      </c>
      <c r="B42" s="18">
        <f>Plaquemines!M8</f>
        <v>13523564</v>
      </c>
      <c r="C42" s="18">
        <f>SUM(Plaquemines!M9+Plaquemines!M10)</f>
        <v>121535053</v>
      </c>
      <c r="D42" s="18">
        <v>0</v>
      </c>
      <c r="E42" s="18">
        <f>Plaquemines!M21</f>
        <v>126386676</v>
      </c>
      <c r="F42" s="18">
        <f>Plaquemines!M22</f>
        <v>71353103</v>
      </c>
      <c r="G42" s="18">
        <f>Plaquemines!M23</f>
        <v>22129344</v>
      </c>
      <c r="N42" s="18">
        <f>Plaquemines!M24</f>
        <v>109230345</v>
      </c>
      <c r="O42" s="24">
        <f>Plaquemines!M28</f>
        <v>464158085</v>
      </c>
      <c r="P42" s="18">
        <f t="shared" si="6"/>
        <v>464158085</v>
      </c>
      <c r="Q42" s="19" t="str">
        <f t="shared" si="7"/>
        <v>Yes</v>
      </c>
      <c r="R42" s="18">
        <f>Plaquemines!M33</f>
        <v>52000</v>
      </c>
      <c r="S42" s="18">
        <f>Plaquemines!M34</f>
        <v>25984945</v>
      </c>
      <c r="U42" s="18">
        <f>Plaquemines!M45</f>
        <v>27961466</v>
      </c>
      <c r="V42" s="18">
        <f>Plaquemines!M46</f>
        <v>40815040</v>
      </c>
      <c r="W42" s="18">
        <f>Plaquemines!M47</f>
        <v>1548166</v>
      </c>
      <c r="X42" s="18">
        <v>0</v>
      </c>
      <c r="Y42" s="18">
        <v>0</v>
      </c>
      <c r="AB42" s="18">
        <v>0</v>
      </c>
      <c r="AC42" s="18">
        <v>0</v>
      </c>
      <c r="AD42" s="18">
        <f>Plaquemines!M48</f>
        <v>8827820</v>
      </c>
      <c r="AE42" s="18">
        <f>Plaquemines!M53</f>
        <v>105189437</v>
      </c>
      <c r="AF42" s="18">
        <f t="shared" si="8"/>
        <v>105189437</v>
      </c>
      <c r="AG42" s="19" t="str">
        <f t="shared" si="15"/>
        <v>Yes</v>
      </c>
      <c r="AH42" s="18">
        <f>SUM(Plaquemines!M53+Plaquemines!M28)</f>
        <v>569347522</v>
      </c>
      <c r="AI42" s="18">
        <f t="shared" si="16"/>
        <v>569347522</v>
      </c>
      <c r="AJ42" s="17" t="str">
        <f t="shared" si="17"/>
        <v>Yes</v>
      </c>
    </row>
    <row r="43" spans="1:36">
      <c r="A43" s="27" t="s">
        <v>599</v>
      </c>
      <c r="B43" s="18">
        <f>'Pointe Coupee'!M8</f>
        <v>841274</v>
      </c>
      <c r="C43" s="18">
        <f>'Pointe Coupee'!M9</f>
        <v>3203475</v>
      </c>
      <c r="D43" s="18">
        <v>0</v>
      </c>
      <c r="E43" s="18">
        <f>'Pointe Coupee'!M20</f>
        <v>14361906</v>
      </c>
      <c r="F43" s="18">
        <v>0</v>
      </c>
      <c r="G43" s="18">
        <f>'Pointe Coupee'!M22</f>
        <v>14278835</v>
      </c>
      <c r="I43" s="18">
        <f>'Pointe Coupee'!M21</f>
        <v>5883891</v>
      </c>
      <c r="N43" s="18">
        <f>'Pointe Coupee'!M23</f>
        <v>17398025</v>
      </c>
      <c r="O43" s="24">
        <f>'Pointe Coupee'!M27</f>
        <v>55967406</v>
      </c>
      <c r="P43" s="18">
        <f t="shared" si="6"/>
        <v>55967406</v>
      </c>
      <c r="Q43" s="19" t="str">
        <f t="shared" si="7"/>
        <v>Yes</v>
      </c>
      <c r="R43" s="18">
        <f>'Pointe Coupee'!M33</f>
        <v>45233</v>
      </c>
      <c r="S43" s="18">
        <f>'Pointe Coupee'!M32</f>
        <v>191535</v>
      </c>
      <c r="W43" s="18">
        <f>'Pointe Coupee'!I41</f>
        <v>2106457</v>
      </c>
      <c r="X43" s="18">
        <f>'Pointe Coupee'!M37</f>
        <v>0</v>
      </c>
      <c r="Y43" s="18">
        <v>0</v>
      </c>
      <c r="AB43" s="18">
        <v>0</v>
      </c>
      <c r="AC43" s="18">
        <v>0</v>
      </c>
      <c r="AE43" s="18">
        <f>'Pointe Coupee'!M41</f>
        <v>2129211</v>
      </c>
      <c r="AF43" s="18">
        <f>'Pointe Coupee'!M41</f>
        <v>2129211</v>
      </c>
      <c r="AG43" s="19" t="str">
        <f t="shared" si="15"/>
        <v>Yes</v>
      </c>
      <c r="AH43" s="18">
        <f>'Pointe Coupee'!M41+'Pointe Coupee'!M27</f>
        <v>58096617</v>
      </c>
      <c r="AI43" s="18">
        <f t="shared" si="16"/>
        <v>58096617</v>
      </c>
      <c r="AJ43" s="17" t="str">
        <f t="shared" si="17"/>
        <v>Yes</v>
      </c>
    </row>
    <row r="44" spans="1:36">
      <c r="A44" s="17" t="s">
        <v>600</v>
      </c>
      <c r="B44" s="18">
        <f>Rapides!E20</f>
        <v>3125048</v>
      </c>
      <c r="C44" s="18">
        <f>Rapides!F20</f>
        <v>12342066</v>
      </c>
      <c r="D44" s="18">
        <v>0</v>
      </c>
      <c r="E44" s="18">
        <f>Rapides!G20</f>
        <v>9922928</v>
      </c>
      <c r="J44" s="18">
        <f>Rapides!H20</f>
        <v>7374754</v>
      </c>
      <c r="N44" s="18">
        <f>Rapides!I20</f>
        <v>31353452</v>
      </c>
      <c r="O44" s="24">
        <f>Rapides!J20</f>
        <v>64118248</v>
      </c>
      <c r="P44" s="18">
        <f t="shared" ref="P44:P47" si="40">SUM(B44:N44)</f>
        <v>64118248</v>
      </c>
      <c r="Q44" s="19" t="str">
        <f t="shared" ref="Q44:Q47" si="41">IF(O44="","Blank",IF(O44=P44,"Yes","No"))</f>
        <v>Yes</v>
      </c>
      <c r="X44" s="18">
        <v>0</v>
      </c>
      <c r="Y44" s="18">
        <v>0</v>
      </c>
      <c r="AB44" s="18">
        <v>0</v>
      </c>
      <c r="AC44" s="18">
        <v>0</v>
      </c>
      <c r="AE44" s="18">
        <v>0</v>
      </c>
      <c r="AF44" s="18">
        <f t="shared" ref="AF44:AF47" si="42">SUM(R44:AD44)</f>
        <v>0</v>
      </c>
      <c r="AG44" s="19" t="str">
        <f t="shared" si="15"/>
        <v>Yes</v>
      </c>
      <c r="AH44" s="18">
        <f>Rapides!J20</f>
        <v>64118248</v>
      </c>
      <c r="AI44" s="18">
        <f t="shared" si="16"/>
        <v>64118248</v>
      </c>
      <c r="AJ44" s="17" t="str">
        <f t="shared" si="17"/>
        <v>Yes</v>
      </c>
    </row>
    <row r="45" spans="1:36">
      <c r="A45" s="17" t="s">
        <v>601</v>
      </c>
      <c r="B45" s="18">
        <f>'Red River'!M8</f>
        <v>301537</v>
      </c>
      <c r="C45" s="18">
        <f>'Red River'!M9</f>
        <v>694624</v>
      </c>
      <c r="D45" s="18">
        <v>0</v>
      </c>
      <c r="E45" s="18">
        <f>'Red River'!M14</f>
        <v>4459196</v>
      </c>
      <c r="F45" s="18">
        <f>'Red River'!M18</f>
        <v>9444666</v>
      </c>
      <c r="I45" s="18">
        <f>'Red River'!M26</f>
        <v>72999</v>
      </c>
      <c r="J45" s="18">
        <f>'Red River'!M22</f>
        <v>1071454</v>
      </c>
      <c r="O45" s="24">
        <f>'Red River'!M31</f>
        <v>16044476</v>
      </c>
      <c r="P45" s="18">
        <f t="shared" si="40"/>
        <v>16044476</v>
      </c>
      <c r="Q45" s="19" t="str">
        <f t="shared" si="41"/>
        <v>Yes</v>
      </c>
      <c r="X45" s="18">
        <f>'Red River'!M41</f>
        <v>182090</v>
      </c>
      <c r="Y45" s="18">
        <v>0</v>
      </c>
      <c r="AB45" s="18">
        <v>0</v>
      </c>
      <c r="AC45" s="18">
        <v>0</v>
      </c>
      <c r="AE45" s="18">
        <f>'Red River'!M44</f>
        <v>182090</v>
      </c>
      <c r="AF45" s="18">
        <f t="shared" si="42"/>
        <v>182090</v>
      </c>
      <c r="AG45" s="19" t="str">
        <f t="shared" si="15"/>
        <v>Yes</v>
      </c>
      <c r="AH45" s="18">
        <f>'Red River'!M49</f>
        <v>32294172</v>
      </c>
      <c r="AI45" s="18">
        <f t="shared" si="16"/>
        <v>16226566</v>
      </c>
      <c r="AJ45" s="17" t="str">
        <f t="shared" si="17"/>
        <v>No</v>
      </c>
    </row>
    <row r="46" spans="1:36">
      <c r="A46" s="17" t="s">
        <v>602</v>
      </c>
      <c r="B46" s="24">
        <f>Richland!M9</f>
        <v>311523</v>
      </c>
      <c r="C46" s="18">
        <v>0</v>
      </c>
      <c r="E46" s="18">
        <f>Richland!M17</f>
        <v>1635433</v>
      </c>
      <c r="G46" s="18">
        <f>Richland!M18</f>
        <v>617350</v>
      </c>
      <c r="K46" s="26"/>
      <c r="O46" s="24">
        <f>Richland!M23</f>
        <v>2564306</v>
      </c>
      <c r="P46" s="18">
        <f t="shared" si="40"/>
        <v>2564306</v>
      </c>
      <c r="Q46" s="19" t="str">
        <f t="shared" si="41"/>
        <v>Yes</v>
      </c>
      <c r="X46" s="18">
        <v>0</v>
      </c>
      <c r="Y46" s="18">
        <v>0</v>
      </c>
      <c r="AB46" s="18">
        <v>0</v>
      </c>
      <c r="AC46" s="18">
        <v>0</v>
      </c>
      <c r="AE46" s="18">
        <v>0</v>
      </c>
      <c r="AF46" s="18">
        <f t="shared" si="42"/>
        <v>0</v>
      </c>
      <c r="AG46" s="19" t="str">
        <f t="shared" si="15"/>
        <v>Yes</v>
      </c>
      <c r="AH46" s="18">
        <f>Richland!M23</f>
        <v>2564306</v>
      </c>
      <c r="AI46" s="18">
        <f t="shared" si="16"/>
        <v>2564306</v>
      </c>
      <c r="AJ46" s="17" t="str">
        <f t="shared" si="17"/>
        <v>Yes</v>
      </c>
    </row>
    <row r="47" spans="1:36">
      <c r="A47" s="17" t="s">
        <v>603</v>
      </c>
      <c r="B47" s="25">
        <f>Sabine!M6</f>
        <v>639576</v>
      </c>
      <c r="C47" s="18">
        <f>Sabine!M7</f>
        <v>0</v>
      </c>
      <c r="D47" s="18">
        <v>0</v>
      </c>
      <c r="E47" s="18">
        <f>Sabine!M15</f>
        <v>2129703</v>
      </c>
      <c r="G47" s="18">
        <f>Sabine!M16</f>
        <v>2983878</v>
      </c>
      <c r="J47" s="18">
        <f>Sabine!M17</f>
        <v>21081</v>
      </c>
      <c r="N47" s="18">
        <f>Sabine!M18</f>
        <v>7960968</v>
      </c>
      <c r="O47" s="24">
        <f>Sabine!L21</f>
        <v>13735206</v>
      </c>
      <c r="P47" s="18">
        <f t="shared" si="40"/>
        <v>13735206</v>
      </c>
      <c r="Q47" s="19" t="str">
        <f t="shared" si="41"/>
        <v>Yes</v>
      </c>
      <c r="X47" s="18">
        <v>0</v>
      </c>
      <c r="Y47" s="18">
        <v>0</v>
      </c>
      <c r="AB47" s="18">
        <v>0</v>
      </c>
      <c r="AC47" s="18">
        <v>0</v>
      </c>
      <c r="AE47" s="18">
        <v>0</v>
      </c>
      <c r="AF47" s="18">
        <f t="shared" si="42"/>
        <v>0</v>
      </c>
      <c r="AG47" s="19" t="str">
        <f t="shared" si="15"/>
        <v>Yes</v>
      </c>
      <c r="AH47" s="18">
        <f>Sabine!M21</f>
        <v>13735206</v>
      </c>
      <c r="AI47" s="18">
        <f t="shared" si="16"/>
        <v>13735206</v>
      </c>
      <c r="AJ47" s="17" t="str">
        <f t="shared" si="17"/>
        <v>Yes</v>
      </c>
    </row>
    <row r="48" spans="1:36">
      <c r="A48" s="17" t="s">
        <v>604</v>
      </c>
      <c r="D48" s="18">
        <f>SUM('St. Bernard'!M17+'St. Bernard'!M13)</f>
        <v>0</v>
      </c>
      <c r="E48" s="18">
        <f>'St. Bernard'!M14</f>
        <v>0</v>
      </c>
      <c r="G48" s="18">
        <f>'St. Bernard'!M16</f>
        <v>0</v>
      </c>
      <c r="J48" s="18">
        <f>'St. Bernard'!M15</f>
        <v>0</v>
      </c>
      <c r="L48" s="18">
        <f>'St. Bernard'!M18</f>
        <v>0</v>
      </c>
      <c r="O48" s="24">
        <f>'St. Bernard'!M31</f>
        <v>471966333</v>
      </c>
      <c r="P48" s="18">
        <f t="shared" si="6"/>
        <v>0</v>
      </c>
      <c r="Q48" s="19" t="str">
        <f t="shared" si="7"/>
        <v>No</v>
      </c>
      <c r="U48" s="18">
        <f>'St. Bernard'!M41</f>
        <v>0</v>
      </c>
      <c r="W48" s="18">
        <f>'St. Bernard'!M43</f>
        <v>0</v>
      </c>
      <c r="X48" s="18">
        <v>0</v>
      </c>
      <c r="Y48" s="18">
        <v>0</v>
      </c>
      <c r="Z48" s="18">
        <f>'St. Bernard'!M42</f>
        <v>0</v>
      </c>
      <c r="AB48" s="18">
        <v>0</v>
      </c>
      <c r="AC48" s="18">
        <v>0</v>
      </c>
      <c r="AD48" s="18">
        <f>'St. Bernard'!M44</f>
        <v>0</v>
      </c>
      <c r="AE48" s="18">
        <v>0</v>
      </c>
      <c r="AF48" s="18">
        <f t="shared" si="8"/>
        <v>0</v>
      </c>
      <c r="AG48" s="19" t="str">
        <f t="shared" si="15"/>
        <v>Yes</v>
      </c>
      <c r="AI48" s="18">
        <f t="shared" si="16"/>
        <v>471966333</v>
      </c>
      <c r="AJ48" s="17" t="str">
        <f t="shared" si="17"/>
        <v>Blank</v>
      </c>
    </row>
    <row r="49" spans="1:36">
      <c r="A49" s="17" t="s">
        <v>605</v>
      </c>
      <c r="B49" s="24">
        <f>'St. Charles'!N8</f>
        <v>10669811</v>
      </c>
      <c r="C49" s="18">
        <f>'St. Charles'!N10</f>
        <v>51853809</v>
      </c>
      <c r="D49" s="18">
        <f>'St. Charles'!N9</f>
        <v>14855447</v>
      </c>
      <c r="E49" s="18">
        <f>'St. Charles'!N21</f>
        <v>37865822</v>
      </c>
      <c r="F49" s="18">
        <f>'St. Charles'!N22</f>
        <v>49489617</v>
      </c>
      <c r="G49" s="18">
        <f>'St. Charles'!N23</f>
        <v>10917139</v>
      </c>
      <c r="K49" s="26"/>
      <c r="N49" s="18">
        <f>'St. Charles'!N24</f>
        <v>40531089</v>
      </c>
      <c r="O49" s="24">
        <f>'St. Charles'!N29</f>
        <v>216182734</v>
      </c>
      <c r="P49" s="18">
        <f t="shared" si="6"/>
        <v>216182734</v>
      </c>
      <c r="Q49" s="19" t="str">
        <f t="shared" si="7"/>
        <v>Yes</v>
      </c>
      <c r="R49" s="18">
        <f>'St. Charles'!N33</f>
        <v>824777</v>
      </c>
      <c r="S49" s="18">
        <f>'St. Charles'!N34</f>
        <v>2642348</v>
      </c>
      <c r="U49" s="18">
        <f>'St. Charles'!N43</f>
        <v>123957451</v>
      </c>
      <c r="W49" s="18">
        <f>'St. Charles'!N44</f>
        <v>1713894</v>
      </c>
      <c r="X49" s="18">
        <v>0</v>
      </c>
      <c r="Y49" s="18">
        <v>0</v>
      </c>
      <c r="AB49" s="18">
        <v>0</v>
      </c>
      <c r="AC49" s="18">
        <v>0</v>
      </c>
      <c r="AE49" s="18">
        <f>'St. Charles'!N49</f>
        <v>129138470</v>
      </c>
      <c r="AF49" s="18">
        <f t="shared" si="8"/>
        <v>129138470</v>
      </c>
      <c r="AG49" s="19" t="str">
        <f t="shared" si="15"/>
        <v>Yes</v>
      </c>
      <c r="AH49" s="18">
        <f>SUM('St. Charles'!N29+'St. Charles'!N49)</f>
        <v>345321204</v>
      </c>
      <c r="AI49" s="18">
        <f t="shared" si="16"/>
        <v>345321204</v>
      </c>
      <c r="AJ49" s="17" t="str">
        <f t="shared" si="17"/>
        <v>Yes</v>
      </c>
    </row>
    <row r="50" spans="1:36">
      <c r="A50" s="17" t="s">
        <v>606</v>
      </c>
      <c r="B50" s="25">
        <f>'St. Helena'!N8</f>
        <v>242736</v>
      </c>
      <c r="C50" s="18">
        <f>'St. Helena'!N9</f>
        <v>435757</v>
      </c>
      <c r="E50" s="18">
        <f>'St. Helena'!N19</f>
        <v>4071473</v>
      </c>
      <c r="F50" s="18">
        <v>0</v>
      </c>
      <c r="G50" s="18">
        <f>'St. Helena'!N20</f>
        <v>2339372</v>
      </c>
      <c r="N50" s="18">
        <f>'St. Helena'!N21</f>
        <v>10706807</v>
      </c>
      <c r="O50" s="24">
        <f>'St. Helena'!N25</f>
        <v>17796145</v>
      </c>
      <c r="P50" s="18">
        <f t="shared" si="6"/>
        <v>17796145</v>
      </c>
      <c r="Q50" s="19" t="str">
        <f t="shared" si="7"/>
        <v>Yes</v>
      </c>
      <c r="X50" s="18">
        <v>0</v>
      </c>
      <c r="Y50" s="18">
        <v>0</v>
      </c>
      <c r="AB50" s="18">
        <v>0</v>
      </c>
      <c r="AC50" s="18">
        <v>0</v>
      </c>
      <c r="AE50" s="18">
        <v>0</v>
      </c>
      <c r="AF50" s="18">
        <f t="shared" si="8"/>
        <v>0</v>
      </c>
      <c r="AG50" s="19" t="str">
        <f t="shared" si="15"/>
        <v>Yes</v>
      </c>
      <c r="AH50" s="18">
        <f>'St. Helena'!M25</f>
        <v>17796145</v>
      </c>
      <c r="AI50" s="18">
        <f>O50+AE50</f>
        <v>17796145</v>
      </c>
      <c r="AJ50" s="17" t="str">
        <f t="shared" si="17"/>
        <v>Yes</v>
      </c>
    </row>
    <row r="51" spans="1:36">
      <c r="A51" s="17" t="s">
        <v>607</v>
      </c>
      <c r="B51" s="18">
        <f>'St. James'!M8</f>
        <v>24556423</v>
      </c>
      <c r="C51" s="18">
        <f>'St. James'!M9</f>
        <v>8193627</v>
      </c>
      <c r="E51" s="18">
        <f>'St. James'!M21</f>
        <v>13782772</v>
      </c>
      <c r="F51" s="18">
        <f>'St. James'!M22</f>
        <v>3088451</v>
      </c>
      <c r="G51" s="18">
        <f>'St. James'!M23</f>
        <v>6231737</v>
      </c>
      <c r="I51" s="18">
        <f>'St. James'!M24</f>
        <v>87209</v>
      </c>
      <c r="N51" s="18">
        <f>'St. James'!M25</f>
        <v>10354477</v>
      </c>
      <c r="O51" s="24">
        <f>'St. James'!M29</f>
        <v>66294696</v>
      </c>
      <c r="P51" s="18">
        <f t="shared" si="6"/>
        <v>66294696</v>
      </c>
      <c r="Q51" s="19" t="str">
        <f t="shared" si="7"/>
        <v>Yes</v>
      </c>
      <c r="R51" s="18">
        <f>'St. James'!M33</f>
        <v>1050000</v>
      </c>
      <c r="S51" s="18">
        <f>'St. James'!M34</f>
        <v>159656</v>
      </c>
      <c r="U51" s="18">
        <f>'St. James'!M46</f>
        <v>351291</v>
      </c>
      <c r="W51" s="18">
        <f>'St. James'!M50</f>
        <v>178751</v>
      </c>
      <c r="X51" s="18">
        <f>SUM('St. James'!M47+'St. James'!M48)</f>
        <v>11277001</v>
      </c>
      <c r="Y51" s="18">
        <v>0</v>
      </c>
      <c r="Z51" s="18">
        <f>'St. James'!M49</f>
        <v>11159</v>
      </c>
      <c r="AB51" s="18">
        <v>0</v>
      </c>
      <c r="AC51" s="18">
        <v>0</v>
      </c>
      <c r="AE51" s="18">
        <f>'St. James'!M55</f>
        <v>13027858</v>
      </c>
      <c r="AF51" s="18">
        <f t="shared" si="8"/>
        <v>13027858</v>
      </c>
      <c r="AG51" s="19" t="str">
        <f t="shared" si="15"/>
        <v>Yes</v>
      </c>
      <c r="AH51" s="18">
        <f>SUM('St. James'!M55+'St. James'!M29)</f>
        <v>79322554</v>
      </c>
      <c r="AI51" s="18">
        <f t="shared" si="16"/>
        <v>79322554</v>
      </c>
      <c r="AJ51" s="17" t="str">
        <f t="shared" si="17"/>
        <v>Yes</v>
      </c>
    </row>
    <row r="52" spans="1:36">
      <c r="A52" s="17" t="s">
        <v>608</v>
      </c>
      <c r="B52" s="18">
        <f>'St. John the Baptist'!M8</f>
        <v>3976254</v>
      </c>
      <c r="C52" s="18">
        <f>'St. John the Baptist'!M9</f>
        <v>19377842</v>
      </c>
      <c r="D52" s="18">
        <v>0</v>
      </c>
      <c r="E52" s="26">
        <f>'St. John the Baptist'!M21</f>
        <v>26575475</v>
      </c>
      <c r="F52" s="18">
        <v>0</v>
      </c>
      <c r="H52" s="18">
        <f>'St. John the Baptist'!M23</f>
        <v>14294422</v>
      </c>
      <c r="J52" s="18">
        <f>'St. John the Baptist'!M24</f>
        <v>2752599</v>
      </c>
      <c r="K52" s="18">
        <f>'St. John the Baptist'!M25</f>
        <v>4127464</v>
      </c>
      <c r="N52" s="18">
        <f>'St. John the Baptist'!M22</f>
        <v>26064749</v>
      </c>
      <c r="O52" s="24">
        <f>'St. John the Baptist'!M28</f>
        <v>97168805</v>
      </c>
      <c r="P52" s="18">
        <f t="shared" si="6"/>
        <v>97168805</v>
      </c>
      <c r="Q52" s="19" t="str">
        <f t="shared" si="7"/>
        <v>Yes</v>
      </c>
      <c r="R52" s="18">
        <f>'St. John the Baptist'!M33</f>
        <v>1678616</v>
      </c>
      <c r="S52" s="18">
        <f>'St. John the Baptist'!M34</f>
        <v>3349812</v>
      </c>
      <c r="U52" s="18">
        <f>'St. John the Baptist'!M45</f>
        <v>11452720</v>
      </c>
      <c r="W52" s="18">
        <f>'St. John the Baptist'!M47</f>
        <v>3002995</v>
      </c>
      <c r="X52" s="18">
        <f>'St. John the Baptist'!M46</f>
        <v>107212638</v>
      </c>
      <c r="Y52" s="18">
        <v>0</v>
      </c>
      <c r="AA52" s="18">
        <f>'St. John the Baptist'!M48</f>
        <v>160225</v>
      </c>
      <c r="AB52" s="18">
        <v>0</v>
      </c>
      <c r="AC52" s="18">
        <v>0</v>
      </c>
      <c r="AE52" s="18">
        <f>'St. John the Baptist'!M51</f>
        <v>126857006</v>
      </c>
      <c r="AF52" s="18">
        <f>SUM(R52:AD52)</f>
        <v>126857006</v>
      </c>
      <c r="AG52" s="19" t="str">
        <f t="shared" si="15"/>
        <v>Yes</v>
      </c>
      <c r="AH52" s="18">
        <f>SUM(AE52+O52)</f>
        <v>224025811</v>
      </c>
      <c r="AI52" s="18">
        <f t="shared" si="16"/>
        <v>224025811</v>
      </c>
      <c r="AJ52" s="17" t="str">
        <f t="shared" si="17"/>
        <v>Yes</v>
      </c>
    </row>
    <row r="53" spans="1:36">
      <c r="A53" s="27" t="s">
        <v>609</v>
      </c>
      <c r="B53" s="18">
        <f>'St. Landry'!M9</f>
        <v>499243</v>
      </c>
      <c r="C53" s="18">
        <f>'St. Landry'!M10</f>
        <v>9583390</v>
      </c>
      <c r="E53" s="18">
        <f>'St. Landry'!M19</f>
        <v>3419281</v>
      </c>
      <c r="F53" s="18">
        <f>'St. Landry'!M22</f>
        <v>3298407</v>
      </c>
      <c r="J53" s="18">
        <f>'St. Landry'!M21</f>
        <v>693559</v>
      </c>
      <c r="K53" s="18">
        <f>'St. Landry'!M20</f>
        <v>208643</v>
      </c>
      <c r="O53" s="24">
        <f>'St. Landry'!M25</f>
        <v>17702523</v>
      </c>
      <c r="P53" s="18">
        <f t="shared" si="6"/>
        <v>17702523</v>
      </c>
      <c r="Q53" s="19" t="str">
        <f t="shared" si="7"/>
        <v>Yes</v>
      </c>
      <c r="X53" s="18">
        <v>0</v>
      </c>
      <c r="Y53" s="18">
        <v>0</v>
      </c>
      <c r="AB53" s="18">
        <v>0</v>
      </c>
      <c r="AC53" s="18">
        <v>0</v>
      </c>
      <c r="AE53" s="18">
        <v>0</v>
      </c>
      <c r="AF53" s="18">
        <f t="shared" si="8"/>
        <v>0</v>
      </c>
      <c r="AG53" s="19" t="str">
        <f t="shared" si="15"/>
        <v>Yes</v>
      </c>
      <c r="AH53" s="18">
        <f>'St. Landry'!M25</f>
        <v>17702523</v>
      </c>
      <c r="AI53" s="18">
        <f t="shared" si="16"/>
        <v>17702523</v>
      </c>
      <c r="AJ53" s="17" t="str">
        <f t="shared" si="17"/>
        <v>Yes</v>
      </c>
    </row>
    <row r="54" spans="1:36">
      <c r="A54" s="17" t="s">
        <v>610</v>
      </c>
      <c r="B54" s="18">
        <f>'St. Martin'!M9</f>
        <v>1616315</v>
      </c>
      <c r="C54" s="18">
        <f>'St. Martin'!M10</f>
        <v>2854641</v>
      </c>
      <c r="E54" s="18">
        <f>'St. Martin'!M21</f>
        <v>27360194</v>
      </c>
      <c r="F54" s="18">
        <f>'St. Martin'!M23</f>
        <v>993469</v>
      </c>
      <c r="G54" s="18">
        <f>'St. Martin'!M22</f>
        <v>5489501</v>
      </c>
      <c r="L54" s="28">
        <f>'St. Martin'!M24</f>
        <v>32237344</v>
      </c>
      <c r="O54" s="24">
        <f>'St. Martin'!M28</f>
        <v>70551464</v>
      </c>
      <c r="P54" s="18">
        <f t="shared" si="6"/>
        <v>70551464</v>
      </c>
      <c r="Q54" s="19" t="str">
        <f t="shared" ref="Q54" si="43">IF(O54="","Blank",IF(O54=P54,"Yes","No"))</f>
        <v>Yes</v>
      </c>
      <c r="X54" s="18">
        <v>0</v>
      </c>
      <c r="Y54" s="18">
        <v>0</v>
      </c>
      <c r="AB54" s="18">
        <v>0</v>
      </c>
      <c r="AC54" s="18">
        <v>0</v>
      </c>
      <c r="AE54" s="18">
        <v>0</v>
      </c>
      <c r="AF54" s="18">
        <f t="shared" ref="AF54" si="44">SUM(R54:AD54)</f>
        <v>0</v>
      </c>
      <c r="AG54" s="19" t="str">
        <f t="shared" si="15"/>
        <v>Yes</v>
      </c>
      <c r="AH54" s="18">
        <f>'St. Martin'!M28</f>
        <v>70551464</v>
      </c>
      <c r="AI54" s="18">
        <f t="shared" si="16"/>
        <v>70551464</v>
      </c>
      <c r="AJ54" s="17" t="str">
        <f t="shared" si="17"/>
        <v>Yes</v>
      </c>
    </row>
    <row r="55" spans="1:36">
      <c r="A55" s="17" t="s">
        <v>611</v>
      </c>
      <c r="B55" s="18">
        <f>'St Mary'!O9</f>
        <v>1870876</v>
      </c>
      <c r="C55" s="18">
        <f>'St Mary'!O10</f>
        <v>8736229</v>
      </c>
      <c r="E55" s="18">
        <f>'St Mary'!O22</f>
        <v>9576008</v>
      </c>
      <c r="F55" s="18">
        <f>'St Mary'!O24</f>
        <v>14609772</v>
      </c>
      <c r="G55" s="18">
        <f>'St Mary'!O23</f>
        <v>2435936</v>
      </c>
      <c r="N55" s="18">
        <f>'St Mary'!O21</f>
        <v>76347538</v>
      </c>
      <c r="O55" s="24">
        <f>'St Mary'!O27</f>
        <v>113576359</v>
      </c>
      <c r="P55" s="18">
        <f t="shared" si="6"/>
        <v>113576359</v>
      </c>
      <c r="Q55" s="19" t="str">
        <f t="shared" si="7"/>
        <v>Yes</v>
      </c>
      <c r="R55" s="18">
        <f>'St Mary'!O33+'St Mary'!O32</f>
        <v>3802599</v>
      </c>
      <c r="S55" s="18">
        <f>'St Mary'!O31</f>
        <v>154961</v>
      </c>
      <c r="U55" s="18">
        <f>'St Mary'!O43</f>
        <v>133950</v>
      </c>
      <c r="V55" s="18">
        <f>'St Mary'!O45</f>
        <v>15998079</v>
      </c>
      <c r="W55" s="18">
        <f>'St Mary'!O44</f>
        <v>1867113</v>
      </c>
      <c r="X55" s="18">
        <v>0</v>
      </c>
      <c r="Y55" s="18">
        <v>0</v>
      </c>
      <c r="AB55" s="18">
        <v>0</v>
      </c>
      <c r="AC55" s="18">
        <v>0</v>
      </c>
      <c r="AE55" s="18">
        <f>'St Mary'!O48</f>
        <v>21956702</v>
      </c>
      <c r="AF55" s="18">
        <f t="shared" si="8"/>
        <v>21956702</v>
      </c>
      <c r="AG55" s="19" t="str">
        <f t="shared" si="15"/>
        <v>Yes</v>
      </c>
      <c r="AH55" s="18">
        <f>'St Mary'!O48+'St Mary'!O27</f>
        <v>135533061</v>
      </c>
      <c r="AI55" s="18">
        <f t="shared" si="16"/>
        <v>135533061</v>
      </c>
      <c r="AJ55" s="17" t="str">
        <f t="shared" si="17"/>
        <v>Yes</v>
      </c>
    </row>
    <row r="56" spans="1:36">
      <c r="A56" s="17" t="s">
        <v>612</v>
      </c>
      <c r="B56" s="18">
        <f>'St. Tammany'!O10+'St. Tammany'!O46</f>
        <v>49600588</v>
      </c>
      <c r="C56" s="18">
        <f>'St. Tammany'!O12</f>
        <v>1958561</v>
      </c>
      <c r="D56" s="18">
        <f>'St. Tammany'!O14+'St. Tammany'!O15+'St. Tammany'!O16</f>
        <v>59031231</v>
      </c>
      <c r="E56" s="18">
        <f>'St. Tammany'!O33+'St. Tammany'!O32+'St. Tammany'!O58+'St. Tammany'!O59</f>
        <v>111836279</v>
      </c>
      <c r="F56" s="18">
        <f>'St. Tammany'!O11+'St. Tammany'!O31+'St. Tammany'!O57</f>
        <v>5122095</v>
      </c>
      <c r="G56" s="18">
        <f>'St. Tammany'!O36+'St. Tammany'!O37+'St. Tammany'!O61+'St. Tammany'!O62</f>
        <v>10890676</v>
      </c>
      <c r="H56" s="18">
        <f>'St. Tammany'!O34</f>
        <v>454081</v>
      </c>
      <c r="K56" s="18">
        <f>'St. Tammany'!O35+'St. Tammany'!O60</f>
        <v>858413</v>
      </c>
      <c r="N56" s="18">
        <f>'St. Tammany'!O39+'St. Tammany'!O40</f>
        <v>225597169</v>
      </c>
      <c r="O56" s="24">
        <f>'St. Tammany'!O66</f>
        <v>465349093</v>
      </c>
      <c r="P56" s="18">
        <f t="shared" si="6"/>
        <v>465349093</v>
      </c>
      <c r="Q56" s="19" t="str">
        <f t="shared" si="7"/>
        <v>Yes</v>
      </c>
      <c r="R56" s="18">
        <f>'St. Tammany'!O70</f>
        <v>577560</v>
      </c>
      <c r="S56" s="18">
        <f>'St. Tammany'!O71</f>
        <v>669837</v>
      </c>
      <c r="U56" s="18">
        <f>'St. Tammany'!O85</f>
        <v>10121</v>
      </c>
      <c r="V56" s="18">
        <f>'St. Tammany'!O84</f>
        <v>36622</v>
      </c>
      <c r="W56" s="18">
        <f>'St. Tammany'!O87+'St. Tammany'!O88</f>
        <v>188404</v>
      </c>
      <c r="Y56" s="18">
        <v>0</v>
      </c>
      <c r="AA56" s="18">
        <f>'St. Tammany'!O86</f>
        <v>385637</v>
      </c>
      <c r="AB56" s="18">
        <v>0</v>
      </c>
      <c r="AC56" s="18">
        <v>0</v>
      </c>
      <c r="AD56" s="18">
        <f>'St. Tammany'!O90+'St. Tammany'!O91</f>
        <v>35528546</v>
      </c>
      <c r="AE56" s="18">
        <f>'St. Tammany'!O94</f>
        <v>37396727</v>
      </c>
      <c r="AF56" s="18">
        <f t="shared" si="8"/>
        <v>37396727</v>
      </c>
      <c r="AG56" s="19" t="str">
        <f t="shared" si="15"/>
        <v>Yes</v>
      </c>
      <c r="AH56" s="18">
        <f>SUM(O56+AE56)</f>
        <v>502745820</v>
      </c>
      <c r="AI56" s="18">
        <f t="shared" si="16"/>
        <v>502745820</v>
      </c>
      <c r="AJ56" s="17" t="str">
        <f t="shared" si="17"/>
        <v>Yes</v>
      </c>
    </row>
    <row r="57" spans="1:36">
      <c r="A57" s="17" t="s">
        <v>613</v>
      </c>
      <c r="B57" s="18">
        <f>Tangipahoa!M8</f>
        <v>3080477</v>
      </c>
      <c r="C57" s="18">
        <f>Tangipahoa!M10</f>
        <v>5052572</v>
      </c>
      <c r="D57" s="18">
        <f>Tangipahoa!M9</f>
        <v>72435465</v>
      </c>
      <c r="E57" s="18">
        <f>Tangipahoa!M20</f>
        <v>34953640</v>
      </c>
      <c r="G57" s="18">
        <f>Tangipahoa!M22</f>
        <v>5485608</v>
      </c>
      <c r="L57" s="26"/>
      <c r="N57" s="18">
        <f>Tangipahoa!M21</f>
        <v>60087248</v>
      </c>
      <c r="O57" s="24">
        <f>Tangipahoa!M26</f>
        <v>181095010</v>
      </c>
      <c r="P57" s="18">
        <f t="shared" si="6"/>
        <v>181095010</v>
      </c>
      <c r="Q57" s="19" t="str">
        <f t="shared" si="7"/>
        <v>Yes</v>
      </c>
      <c r="X57" s="18">
        <v>0</v>
      </c>
      <c r="Y57" s="18">
        <v>0</v>
      </c>
      <c r="AB57" s="18">
        <v>0</v>
      </c>
      <c r="AC57" s="18">
        <v>0</v>
      </c>
      <c r="AE57" s="18">
        <v>0</v>
      </c>
      <c r="AF57" s="18">
        <f t="shared" si="8"/>
        <v>0</v>
      </c>
      <c r="AG57" s="19" t="str">
        <f t="shared" si="15"/>
        <v>Yes</v>
      </c>
      <c r="AH57" s="18">
        <f>Tangipahoa!M26</f>
        <v>181095010</v>
      </c>
      <c r="AI57" s="18">
        <f t="shared" si="16"/>
        <v>181095010</v>
      </c>
      <c r="AJ57" s="17" t="str">
        <f t="shared" si="17"/>
        <v>Yes</v>
      </c>
    </row>
    <row r="58" spans="1:36">
      <c r="A58" s="17" t="s">
        <v>614</v>
      </c>
      <c r="B58" s="18">
        <f>Tensas!M8</f>
        <v>743698</v>
      </c>
      <c r="D58" s="18">
        <v>0</v>
      </c>
      <c r="E58" s="18">
        <f>Tensas!M17</f>
        <v>7020778</v>
      </c>
      <c r="J58" s="18">
        <f>Tensas!M18</f>
        <v>673061</v>
      </c>
      <c r="O58" s="24">
        <f>Tensas!M23</f>
        <v>8437537</v>
      </c>
      <c r="P58" s="18">
        <f t="shared" si="6"/>
        <v>8437537</v>
      </c>
      <c r="Q58" s="19" t="str">
        <f t="shared" si="7"/>
        <v>Yes</v>
      </c>
      <c r="X58" s="18">
        <v>0</v>
      </c>
      <c r="Y58" s="18">
        <v>0</v>
      </c>
      <c r="AB58" s="18">
        <v>0</v>
      </c>
      <c r="AC58" s="18">
        <v>0</v>
      </c>
      <c r="AE58" s="18">
        <v>0</v>
      </c>
      <c r="AF58" s="18">
        <f t="shared" si="8"/>
        <v>0</v>
      </c>
      <c r="AG58" s="19" t="str">
        <f t="shared" si="15"/>
        <v>Yes</v>
      </c>
      <c r="AH58" s="18">
        <f>Tensas!M23</f>
        <v>8437537</v>
      </c>
      <c r="AI58" s="18">
        <f t="shared" si="16"/>
        <v>8437537</v>
      </c>
      <c r="AJ58" s="17" t="str">
        <f t="shared" si="17"/>
        <v>Yes</v>
      </c>
    </row>
    <row r="59" spans="1:36">
      <c r="A59" s="17" t="s">
        <v>615</v>
      </c>
      <c r="B59" s="18">
        <f>Terrebonne!N7</f>
        <v>6470003</v>
      </c>
      <c r="C59" s="18">
        <f>Terrebonne!N8</f>
        <v>70916611</v>
      </c>
      <c r="D59" s="18">
        <v>0</v>
      </c>
      <c r="E59" s="18">
        <f>Terrebonne!N16</f>
        <v>30207849</v>
      </c>
      <c r="F59" s="18">
        <v>0</v>
      </c>
      <c r="G59" s="18">
        <f>Terrebonne!N17</f>
        <v>19090171</v>
      </c>
      <c r="N59" s="18">
        <f>Terrebonne!N18</f>
        <v>219896362</v>
      </c>
      <c r="O59" s="24">
        <f>Terrebonne!N21</f>
        <v>346580996</v>
      </c>
      <c r="P59" s="18">
        <f t="shared" si="6"/>
        <v>346580996</v>
      </c>
      <c r="Q59" s="19" t="str">
        <f t="shared" si="7"/>
        <v>Yes</v>
      </c>
      <c r="R59" s="18">
        <f>Terrebonne!N26</f>
        <v>3692923</v>
      </c>
      <c r="S59" s="18">
        <f>Terrebonne!N27</f>
        <v>6611658</v>
      </c>
      <c r="U59" s="18">
        <f>SUM(Terrebonne!N39+Terrebonne!N40+Terrebonne!N42)</f>
        <v>103738500</v>
      </c>
      <c r="W59" s="18">
        <f>Terrebonne!N43</f>
        <v>3171647</v>
      </c>
      <c r="X59" s="18">
        <f>SUM(Terrebonne!N38+Terrebonne!N41)</f>
        <v>37516499</v>
      </c>
      <c r="Y59" s="18">
        <v>0</v>
      </c>
      <c r="AB59" s="18">
        <v>0</v>
      </c>
      <c r="AC59" s="18">
        <v>0</v>
      </c>
      <c r="AE59" s="18">
        <f>Terrebonne!N46</f>
        <v>154731227</v>
      </c>
      <c r="AF59" s="18">
        <f t="shared" si="8"/>
        <v>154731227</v>
      </c>
      <c r="AG59" s="19" t="str">
        <f t="shared" si="15"/>
        <v>Yes</v>
      </c>
      <c r="AH59" s="18">
        <f>SUM(Terrebonne!N21+Terrebonne!N46)</f>
        <v>501312223</v>
      </c>
      <c r="AI59" s="18">
        <f t="shared" si="16"/>
        <v>501312223</v>
      </c>
      <c r="AJ59" s="17" t="str">
        <f t="shared" si="17"/>
        <v>Yes</v>
      </c>
    </row>
    <row r="60" spans="1:36">
      <c r="A60" s="17" t="s">
        <v>616</v>
      </c>
      <c r="B60" s="18">
        <f>Union!M8</f>
        <v>962888</v>
      </c>
      <c r="C60" s="18">
        <f>Union!M9</f>
        <v>63135</v>
      </c>
      <c r="D60" s="18">
        <v>0</v>
      </c>
      <c r="E60" s="18">
        <f>Union!M29</f>
        <v>4791003</v>
      </c>
      <c r="F60" s="18">
        <f>Union!M28+Union!M30+Union!M31</f>
        <v>3328830</v>
      </c>
      <c r="G60" s="18">
        <f>Union!M32+Union!M34</f>
        <v>2297468</v>
      </c>
      <c r="I60" s="18">
        <f>Union!M36+Union!M37+Union!M39+Union!M38</f>
        <v>257535</v>
      </c>
      <c r="K60" s="18">
        <f>Union!M33</f>
        <v>222099</v>
      </c>
      <c r="O60" s="24">
        <f>Union!L43</f>
        <v>11922958</v>
      </c>
      <c r="P60" s="18">
        <f>SUM(B60:N60)</f>
        <v>11922958</v>
      </c>
      <c r="Q60" s="19" t="str">
        <f t="shared" ref="Q60:Q62" si="45">IF(O60="","Blank",IF(O60=P60,"Yes","No"))</f>
        <v>Yes</v>
      </c>
      <c r="X60" s="18">
        <v>0</v>
      </c>
      <c r="Y60" s="18">
        <v>0</v>
      </c>
      <c r="AB60" s="18">
        <v>0</v>
      </c>
      <c r="AC60" s="18">
        <v>0</v>
      </c>
      <c r="AE60" s="18">
        <v>0</v>
      </c>
      <c r="AF60" s="18">
        <f t="shared" ref="AF60:AF62" si="46">SUM(R60:AD60)</f>
        <v>0</v>
      </c>
      <c r="AG60" s="19" t="str">
        <f t="shared" si="15"/>
        <v>Yes</v>
      </c>
      <c r="AH60" s="18">
        <f>Union!M43</f>
        <v>11922958</v>
      </c>
      <c r="AI60" s="18">
        <f t="shared" si="16"/>
        <v>11922958</v>
      </c>
      <c r="AJ60" s="17" t="str">
        <f t="shared" si="17"/>
        <v>Yes</v>
      </c>
    </row>
    <row r="61" spans="1:36">
      <c r="A61" s="17" t="s">
        <v>617</v>
      </c>
      <c r="B61" s="18">
        <f>Vermillion!M9</f>
        <v>2327396</v>
      </c>
      <c r="C61" s="18">
        <f>Vermillion!M10</f>
        <v>1706732</v>
      </c>
      <c r="D61" s="18">
        <v>0</v>
      </c>
      <c r="E61" s="18">
        <f>Vermillion!M24</f>
        <v>13154781</v>
      </c>
      <c r="J61" s="18">
        <f>Vermillion!M25</f>
        <v>5850422</v>
      </c>
      <c r="N61" s="18">
        <f>SUM(Vermillion!M27+Vermillion!M28)</f>
        <v>60876623</v>
      </c>
      <c r="O61" s="24">
        <f>Vermillion!M32</f>
        <v>83915954</v>
      </c>
      <c r="P61" s="18">
        <f t="shared" ref="P61:P62" si="47">SUM(B61:N61)</f>
        <v>83915954</v>
      </c>
      <c r="Q61" s="19" t="str">
        <f t="shared" si="45"/>
        <v>Yes</v>
      </c>
      <c r="X61" s="18">
        <v>0</v>
      </c>
      <c r="Y61" s="18">
        <v>0</v>
      </c>
      <c r="AB61" s="18">
        <v>0</v>
      </c>
      <c r="AE61" s="18">
        <v>0</v>
      </c>
      <c r="AG61" s="19" t="str">
        <f t="shared" si="15"/>
        <v>Yes</v>
      </c>
      <c r="AH61" s="18">
        <f>SUM(Vermillion!M32)</f>
        <v>83915954</v>
      </c>
      <c r="AI61" s="18">
        <f t="shared" si="16"/>
        <v>83915954</v>
      </c>
      <c r="AJ61" s="17" t="str">
        <f t="shared" si="17"/>
        <v>Yes</v>
      </c>
    </row>
    <row r="62" spans="1:36">
      <c r="A62" s="17" t="s">
        <v>618</v>
      </c>
      <c r="B62" s="18">
        <f>Vernon!C16</f>
        <v>1720977</v>
      </c>
      <c r="C62" s="18">
        <f>Vernon!D16</f>
        <v>0</v>
      </c>
      <c r="D62" s="18">
        <v>0</v>
      </c>
      <c r="E62" s="18">
        <f>SUM(Vernon!E16)</f>
        <v>14160585</v>
      </c>
      <c r="F62" s="18">
        <v>0</v>
      </c>
      <c r="G62" s="18">
        <f>Vernon!F16</f>
        <v>8373957</v>
      </c>
      <c r="I62" s="18">
        <f>Vernon!H16</f>
        <v>603368</v>
      </c>
      <c r="N62" s="18">
        <f>Vernon!G16</f>
        <v>33590432</v>
      </c>
      <c r="O62" s="24">
        <f>Vernon!I16</f>
        <v>58449319</v>
      </c>
      <c r="P62" s="18">
        <f>SUM(B62:N62)</f>
        <v>58449319</v>
      </c>
      <c r="Q62" s="19" t="str">
        <f>IF(O62="","Blank",IF(O62=P62,"Yes","No"))</f>
        <v>Yes</v>
      </c>
      <c r="X62" s="18">
        <v>0</v>
      </c>
      <c r="Y62" s="18">
        <v>0</v>
      </c>
      <c r="AB62" s="18">
        <v>0</v>
      </c>
      <c r="AC62" s="18">
        <v>0</v>
      </c>
      <c r="AE62" s="18">
        <v>0</v>
      </c>
      <c r="AF62" s="18">
        <f t="shared" si="46"/>
        <v>0</v>
      </c>
      <c r="AG62" s="19" t="str">
        <f t="shared" si="15"/>
        <v>Yes</v>
      </c>
      <c r="AH62" s="18">
        <f>Vernon!I16</f>
        <v>58449319</v>
      </c>
      <c r="AI62" s="18">
        <f t="shared" si="16"/>
        <v>58449319</v>
      </c>
      <c r="AJ62" s="17" t="str">
        <f t="shared" si="17"/>
        <v>Yes</v>
      </c>
    </row>
    <row r="63" spans="1:36">
      <c r="A63" s="17" t="s">
        <v>619</v>
      </c>
      <c r="B63" s="18">
        <f>Washington!M8</f>
        <v>2513741</v>
      </c>
      <c r="C63" s="18">
        <f>Washington!M9</f>
        <v>434154</v>
      </c>
      <c r="E63" s="18">
        <f>Washington!M22</f>
        <v>6422889</v>
      </c>
      <c r="F63" s="18">
        <f>Washington!M25+Washington!M26</f>
        <v>11040826</v>
      </c>
      <c r="G63" s="18">
        <f>Washington!M23</f>
        <v>1001757</v>
      </c>
      <c r="I63" s="18">
        <f>Washington!M24</f>
        <v>0</v>
      </c>
      <c r="L63" s="26">
        <f>Washington!M27</f>
        <v>16876937</v>
      </c>
      <c r="O63" s="24">
        <f>Washington!M31</f>
        <v>38290304</v>
      </c>
      <c r="P63" s="18">
        <f t="shared" ref="P63" si="48">SUM(B63:N63)</f>
        <v>38290304</v>
      </c>
      <c r="Q63" s="19" t="str">
        <f t="shared" ref="Q63:Q65" si="49">IF(O63="","Blank",IF(O63=P63,"Yes","No"))</f>
        <v>Yes</v>
      </c>
      <c r="W63" s="18">
        <f>Washington!M39</f>
        <v>1539</v>
      </c>
      <c r="AE63" s="18">
        <f>Washington!M39</f>
        <v>1539</v>
      </c>
      <c r="AF63" s="18">
        <f t="shared" ref="AF63:AF65" si="50">SUM(R63:AD63)</f>
        <v>1539</v>
      </c>
      <c r="AG63" s="19" t="str">
        <f t="shared" si="15"/>
        <v>Yes</v>
      </c>
      <c r="AH63" s="18">
        <f>Washington!M39+Washington!M31</f>
        <v>38291843</v>
      </c>
      <c r="AI63" s="18">
        <f t="shared" si="16"/>
        <v>38291843</v>
      </c>
      <c r="AJ63" s="17" t="str">
        <f t="shared" si="17"/>
        <v>Yes</v>
      </c>
    </row>
    <row r="64" spans="1:36">
      <c r="A64" s="17" t="s">
        <v>620</v>
      </c>
      <c r="B64" s="18">
        <f>Webster!M8</f>
        <v>1272782</v>
      </c>
      <c r="C64" s="18">
        <f>Webster!M9</f>
        <v>447150</v>
      </c>
      <c r="E64" s="18">
        <f>Webster!M20</f>
        <v>6427884</v>
      </c>
      <c r="F64" s="18">
        <v>0</v>
      </c>
      <c r="I64" s="18">
        <f>Webster!M23</f>
        <v>786249</v>
      </c>
      <c r="J64" s="18">
        <f>Webster!M22</f>
        <v>1199199</v>
      </c>
      <c r="N64" s="18">
        <f>Webster!M21</f>
        <v>2378549</v>
      </c>
      <c r="O64" s="24">
        <f>Webster!M27</f>
        <v>12511813</v>
      </c>
      <c r="P64" s="18">
        <f t="shared" ref="P64:P65" si="51">SUM(B64:N64)</f>
        <v>12511813</v>
      </c>
      <c r="Q64" s="19" t="str">
        <f t="shared" si="49"/>
        <v>Yes</v>
      </c>
      <c r="X64" s="18">
        <v>0</v>
      </c>
      <c r="Y64" s="18">
        <v>0</v>
      </c>
      <c r="AB64" s="18">
        <v>0</v>
      </c>
      <c r="AC64" s="18">
        <v>0</v>
      </c>
      <c r="AE64" s="18">
        <v>0</v>
      </c>
      <c r="AF64" s="18">
        <f t="shared" si="50"/>
        <v>0</v>
      </c>
      <c r="AG64" s="19" t="str">
        <f t="shared" si="15"/>
        <v>Yes</v>
      </c>
      <c r="AH64" s="18">
        <f>Webster!M27</f>
        <v>12511813</v>
      </c>
      <c r="AI64" s="18">
        <f t="shared" si="16"/>
        <v>12511813</v>
      </c>
      <c r="AJ64" s="17" t="str">
        <f t="shared" si="17"/>
        <v>Yes</v>
      </c>
    </row>
    <row r="65" spans="1:36">
      <c r="A65" s="17" t="s">
        <v>621</v>
      </c>
      <c r="B65" s="18">
        <f>'West Baton Rouge'!M8</f>
        <v>1760826</v>
      </c>
      <c r="C65" s="18">
        <f>'West Baton Rouge'!M9</f>
        <v>2424902</v>
      </c>
      <c r="E65" s="18">
        <f>'West Baton Rouge'!M19</f>
        <v>24972609</v>
      </c>
      <c r="F65" s="18">
        <v>0</v>
      </c>
      <c r="G65" s="18">
        <f>'West Baton Rouge'!M20</f>
        <v>3475116</v>
      </c>
      <c r="N65" s="18">
        <f>'West Baton Rouge'!M21</f>
        <v>31448688</v>
      </c>
      <c r="O65" s="24">
        <f>'West Baton Rouge'!M25</f>
        <v>64082141</v>
      </c>
      <c r="P65" s="18">
        <f t="shared" si="51"/>
        <v>64082141</v>
      </c>
      <c r="Q65" s="19" t="str">
        <f t="shared" si="49"/>
        <v>Yes</v>
      </c>
      <c r="X65" s="18">
        <v>0</v>
      </c>
      <c r="Y65" s="18">
        <v>0</v>
      </c>
      <c r="AB65" s="18">
        <v>0</v>
      </c>
      <c r="AC65" s="18">
        <v>0</v>
      </c>
      <c r="AE65" s="18">
        <v>0</v>
      </c>
      <c r="AF65" s="18">
        <f t="shared" si="50"/>
        <v>0</v>
      </c>
      <c r="AG65" s="19" t="str">
        <f t="shared" ref="AG65" si="52">IF(AE65="","Blank",IF(AE65=AF65,"Yes","No"))</f>
        <v>Yes</v>
      </c>
      <c r="AH65" s="18">
        <f>O65</f>
        <v>64082141</v>
      </c>
      <c r="AI65" s="18">
        <f t="shared" si="16"/>
        <v>64082141</v>
      </c>
      <c r="AJ65" s="17" t="str">
        <f t="shared" si="17"/>
        <v>Yes</v>
      </c>
    </row>
    <row r="66" spans="1:36">
      <c r="A66" s="17" t="s">
        <v>622</v>
      </c>
      <c r="B66" s="18">
        <f>'West Carroll'!M8</f>
        <v>936927</v>
      </c>
      <c r="C66" s="18">
        <f>'West Carroll'!M10</f>
        <v>351165</v>
      </c>
      <c r="D66" s="18">
        <f>'West Carroll'!M9</f>
        <v>89589</v>
      </c>
      <c r="E66" s="18">
        <f>'West Carroll'!M29</f>
        <v>3604350</v>
      </c>
      <c r="F66" s="18">
        <f>'West Carroll'!M30</f>
        <v>2260225</v>
      </c>
      <c r="G66" s="18">
        <f>'West Carroll'!M31+'West Carroll'!M32+'West Carroll'!M33</f>
        <v>797163</v>
      </c>
      <c r="K66" s="18">
        <f>'West Carroll'!M34</f>
        <v>139112</v>
      </c>
      <c r="L66" s="26"/>
      <c r="N66" s="18">
        <f>'West Carroll'!M27+'West Carroll'!M28</f>
        <v>5755157</v>
      </c>
      <c r="O66" s="24">
        <f>'West Carroll'!M39</f>
        <v>13933688</v>
      </c>
      <c r="P66" s="18">
        <f t="shared" ref="P66:P67" si="53">SUM(B66:N66)</f>
        <v>13933688</v>
      </c>
      <c r="Q66" s="19" t="str">
        <f t="shared" ref="Q66:Q68" si="54">IF(O66="","Blank",IF(O66=P66,"Yes","No"))</f>
        <v>Yes</v>
      </c>
      <c r="Y66" s="18">
        <v>0</v>
      </c>
      <c r="AB66" s="18">
        <v>0</v>
      </c>
      <c r="AC66" s="18">
        <v>0</v>
      </c>
      <c r="AE66" s="18">
        <v>0</v>
      </c>
      <c r="AF66" s="18">
        <f t="shared" ref="AF66:AF68" si="55">SUM(R66:AD66)</f>
        <v>0</v>
      </c>
      <c r="AG66" s="19" t="str">
        <f t="shared" ref="AG66:AG68" si="56">IF(AE66="","Blank",IF(AE66=AF66,"Yes","No"))</f>
        <v>Yes</v>
      </c>
      <c r="AH66" s="18">
        <f>'West Carroll'!M39</f>
        <v>13933688</v>
      </c>
      <c r="AI66" s="18">
        <f t="shared" si="16"/>
        <v>13933688</v>
      </c>
      <c r="AJ66" s="17" t="str">
        <f t="shared" si="17"/>
        <v>Yes</v>
      </c>
    </row>
    <row r="67" spans="1:36">
      <c r="A67" s="17" t="s">
        <v>623</v>
      </c>
      <c r="B67" s="18">
        <f>'West Feliciana'!N8</f>
        <v>1388267</v>
      </c>
      <c r="C67" s="18">
        <f>'West Feliciana'!N9</f>
        <v>0</v>
      </c>
      <c r="D67" s="18">
        <v>0</v>
      </c>
      <c r="E67" s="18">
        <f>'West Feliciana'!N23+'West Feliciana'!N28</f>
        <v>13713074</v>
      </c>
      <c r="F67" s="18">
        <v>0</v>
      </c>
      <c r="G67" s="18">
        <f>'West Feliciana'!N24</f>
        <v>985944</v>
      </c>
      <c r="I67" s="18">
        <f>'West Feliciana'!N26</f>
        <v>80692</v>
      </c>
      <c r="J67" s="18">
        <f>'West Feliciana'!N25</f>
        <v>15179</v>
      </c>
      <c r="K67" s="18">
        <f>'West Feliciana'!N29</f>
        <v>84552</v>
      </c>
      <c r="L67" s="26"/>
      <c r="N67" s="18">
        <f>'West Feliciana'!N27</f>
        <v>3185326</v>
      </c>
      <c r="O67" s="24">
        <f>'West Feliciana'!N34</f>
        <v>19453034</v>
      </c>
      <c r="P67" s="18">
        <f t="shared" si="53"/>
        <v>19453034</v>
      </c>
      <c r="Q67" s="19" t="str">
        <f t="shared" si="54"/>
        <v>Yes</v>
      </c>
      <c r="S67" s="18">
        <f>'West Feliciana'!N40</f>
        <v>222849</v>
      </c>
      <c r="W67" s="18">
        <f>'West Feliciana'!N51</f>
        <v>139447</v>
      </c>
      <c r="X67" s="18">
        <f>'West Feliciana'!N50</f>
        <v>9278110</v>
      </c>
      <c r="Y67" s="18">
        <v>0</v>
      </c>
      <c r="AA67" s="18">
        <f>'West Feliciana'!N52</f>
        <v>39439</v>
      </c>
      <c r="AB67" s="18">
        <v>0</v>
      </c>
      <c r="AC67" s="18">
        <v>0</v>
      </c>
      <c r="AE67" s="18">
        <f>'West Feliciana'!N57</f>
        <v>9679845</v>
      </c>
      <c r="AF67" s="18">
        <f t="shared" si="55"/>
        <v>9679845</v>
      </c>
      <c r="AG67" s="19" t="str">
        <f t="shared" si="56"/>
        <v>Yes</v>
      </c>
      <c r="AH67" s="18">
        <f>'West Feliciana'!N34+'West Feliciana'!N57</f>
        <v>29132879</v>
      </c>
      <c r="AI67" s="18">
        <f t="shared" ref="AI67:AI68" si="57">O67+AE67</f>
        <v>29132879</v>
      </c>
      <c r="AJ67" s="17" t="str">
        <f t="shared" si="17"/>
        <v>Yes</v>
      </c>
    </row>
    <row r="68" spans="1:36">
      <c r="A68" s="17" t="s">
        <v>624</v>
      </c>
      <c r="B68" s="18">
        <f>Winn!M10</f>
        <v>223675</v>
      </c>
      <c r="C68" s="18">
        <f>Winn!M21</f>
        <v>1140707</v>
      </c>
      <c r="D68" s="18">
        <v>0</v>
      </c>
      <c r="E68" s="18">
        <f>Winn!M25</f>
        <v>3393870</v>
      </c>
      <c r="F68" s="18">
        <v>0</v>
      </c>
      <c r="G68" s="18">
        <f>Winn!M26</f>
        <v>720042</v>
      </c>
      <c r="I68" s="18">
        <f>Winn!M29</f>
        <v>-133948</v>
      </c>
      <c r="J68" s="18">
        <f>Winn!M28</f>
        <v>-2198</v>
      </c>
      <c r="K68" s="18">
        <f>Winn!M27</f>
        <v>115740</v>
      </c>
      <c r="N68" s="18">
        <f>Winn!M33</f>
        <v>1977000</v>
      </c>
      <c r="O68" s="24">
        <f>Winn!M37</f>
        <v>7434888</v>
      </c>
      <c r="P68" s="18">
        <f t="shared" ref="P68" si="58">SUM(B68:N68)</f>
        <v>7434888</v>
      </c>
      <c r="Q68" s="19" t="str">
        <f t="shared" si="54"/>
        <v>Yes</v>
      </c>
      <c r="X68" s="18">
        <v>0</v>
      </c>
      <c r="Y68" s="18">
        <v>0</v>
      </c>
      <c r="AB68" s="18">
        <v>0</v>
      </c>
      <c r="AC68" s="18">
        <v>0</v>
      </c>
      <c r="AE68" s="18">
        <v>0</v>
      </c>
      <c r="AF68" s="18">
        <f t="shared" si="55"/>
        <v>0</v>
      </c>
      <c r="AG68" s="19" t="str">
        <f t="shared" si="56"/>
        <v>Yes</v>
      </c>
      <c r="AH68" s="18">
        <f>Winn!M37</f>
        <v>7434888</v>
      </c>
      <c r="AI68" s="18">
        <f t="shared" si="57"/>
        <v>7434888</v>
      </c>
      <c r="AJ68" s="17" t="str">
        <f t="shared" ref="AJ68" si="59">IF(AH68="","Blank",IF(AH68=AI68,"Yes","No"))</f>
        <v>Yes</v>
      </c>
    </row>
    <row r="69" spans="1:36">
      <c r="A69" s="18"/>
      <c r="Q69" s="19"/>
      <c r="AG69" s="19"/>
      <c r="AJ69" s="17"/>
    </row>
    <row r="70" spans="1:36">
      <c r="A70" s="18"/>
      <c r="Q70" s="19"/>
      <c r="AG70" s="19"/>
      <c r="AJ70" s="17"/>
    </row>
    <row r="71" spans="1:36">
      <c r="A71" s="18"/>
      <c r="Q71" s="19"/>
      <c r="AG71" s="19"/>
      <c r="AJ71" s="17"/>
    </row>
    <row r="72" spans="1:36">
      <c r="A72" s="18"/>
      <c r="Q72" s="19"/>
      <c r="AG72" s="19"/>
      <c r="AJ72" s="17"/>
    </row>
    <row r="73" spans="1:36">
      <c r="A73" s="18"/>
      <c r="Q73" s="19"/>
      <c r="AG73" s="19"/>
      <c r="AJ73" s="17"/>
    </row>
    <row r="74" spans="1:36">
      <c r="A74" s="18"/>
      <c r="Q74" s="19"/>
      <c r="AG74" s="19"/>
      <c r="AJ74" s="17"/>
    </row>
    <row r="75" spans="1:36">
      <c r="A75" s="18"/>
      <c r="Q75" s="19"/>
      <c r="AG75" s="19"/>
      <c r="AJ75" s="17"/>
    </row>
    <row r="76" spans="1:36">
      <c r="A76" s="18"/>
      <c r="Q76" s="19"/>
      <c r="AG76" s="19"/>
      <c r="AJ76" s="17"/>
    </row>
    <row r="77" spans="1:36">
      <c r="A77" s="18"/>
      <c r="Q77" s="19"/>
      <c r="AG77" s="19"/>
      <c r="AJ77" s="17"/>
    </row>
    <row r="78" spans="1:36">
      <c r="A78" s="18"/>
      <c r="Q78" s="19"/>
      <c r="AG78" s="19"/>
      <c r="AJ78" s="17"/>
    </row>
    <row r="79" spans="1:36">
      <c r="A79" s="18"/>
      <c r="Q79" s="19"/>
      <c r="AG79" s="19"/>
      <c r="AJ79" s="17"/>
    </row>
    <row r="80" spans="1:36">
      <c r="A80" s="18"/>
      <c r="Q80" s="19"/>
      <c r="AG80" s="19"/>
      <c r="AJ80" s="17"/>
    </row>
    <row r="81" spans="1:36">
      <c r="A81" s="18"/>
      <c r="Q81" s="19"/>
      <c r="AG81" s="19"/>
      <c r="AJ81" s="17"/>
    </row>
    <row r="82" spans="1:36">
      <c r="A82" s="18"/>
      <c r="Q82" s="19"/>
      <c r="AG82" s="19"/>
      <c r="AJ82" s="17"/>
    </row>
    <row r="83" spans="1:36">
      <c r="A83" s="18"/>
      <c r="Q83" s="19"/>
      <c r="AG83" s="19"/>
      <c r="AJ83" s="17"/>
    </row>
    <row r="84" spans="1:36">
      <c r="A84" s="18"/>
      <c r="Q84" s="19"/>
      <c r="AG84" s="19"/>
      <c r="AJ84" s="17"/>
    </row>
    <row r="85" spans="1:36">
      <c r="A85" s="18"/>
      <c r="Q85" s="19"/>
      <c r="AG85" s="19"/>
      <c r="AJ85" s="17"/>
    </row>
    <row r="86" spans="1:36">
      <c r="A86" s="18"/>
      <c r="Q86" s="19"/>
      <c r="AG86" s="19"/>
      <c r="AJ86" s="17"/>
    </row>
    <row r="87" spans="1:36">
      <c r="A87" s="18"/>
      <c r="Q87" s="19"/>
      <c r="AG87" s="19"/>
      <c r="AJ87" s="17"/>
    </row>
    <row r="88" spans="1:36">
      <c r="A88" s="18"/>
      <c r="Q88" s="19"/>
      <c r="AG88" s="19"/>
      <c r="AJ88" s="17"/>
    </row>
    <row r="89" spans="1:36">
      <c r="A89" s="18"/>
      <c r="Q89" s="19"/>
      <c r="AG89" s="19"/>
      <c r="AJ89" s="17"/>
    </row>
    <row r="90" spans="1:36">
      <c r="A90" s="18"/>
      <c r="Q90" s="19"/>
      <c r="AG90" s="19"/>
      <c r="AJ90" s="17"/>
    </row>
    <row r="91" spans="1:36">
      <c r="A91" s="18"/>
      <c r="Q91" s="19"/>
      <c r="AG91" s="19"/>
      <c r="AJ91" s="17"/>
    </row>
    <row r="92" spans="1:36">
      <c r="A92" s="18"/>
      <c r="Q92" s="19"/>
      <c r="AG92" s="19"/>
      <c r="AJ92" s="17"/>
    </row>
    <row r="93" spans="1:36">
      <c r="A93" s="18"/>
      <c r="Q93" s="19"/>
      <c r="AG93" s="19"/>
      <c r="AJ93" s="17"/>
    </row>
    <row r="94" spans="1:36">
      <c r="A94" s="18"/>
      <c r="Q94" s="19"/>
      <c r="AG94" s="19"/>
      <c r="AJ94" s="17"/>
    </row>
    <row r="95" spans="1:36">
      <c r="A95" s="18"/>
      <c r="Q95" s="19"/>
      <c r="AG95" s="19"/>
      <c r="AJ95" s="17"/>
    </row>
    <row r="96" spans="1:36">
      <c r="A96" s="18"/>
      <c r="Q96" s="19"/>
      <c r="AG96" s="19"/>
      <c r="AJ96" s="17"/>
    </row>
    <row r="97" spans="1:36">
      <c r="A97" s="18"/>
      <c r="Q97" s="19"/>
      <c r="AG97" s="19"/>
      <c r="AJ97" s="17"/>
    </row>
    <row r="98" spans="1:36">
      <c r="A98" s="18"/>
      <c r="Q98" s="19"/>
      <c r="AG98" s="19"/>
      <c r="AJ98" s="17"/>
    </row>
    <row r="99" spans="1:36">
      <c r="A99" s="18"/>
      <c r="Q99" s="19"/>
      <c r="AG99" s="19"/>
      <c r="AJ99" s="17"/>
    </row>
    <row r="100" spans="1:36">
      <c r="A100" s="18"/>
      <c r="Q100" s="19"/>
      <c r="AG100" s="19"/>
      <c r="AJ100" s="17"/>
    </row>
    <row r="101" spans="1:36">
      <c r="A101" s="18"/>
      <c r="Q101" s="19"/>
      <c r="AG101" s="19"/>
      <c r="AJ101" s="17"/>
    </row>
    <row r="102" spans="1:36">
      <c r="A102" s="18"/>
      <c r="Q102" s="19"/>
      <c r="AG102" s="19"/>
      <c r="AJ102" s="17"/>
    </row>
    <row r="103" spans="1:36">
      <c r="A103" s="18"/>
      <c r="Q103" s="19"/>
      <c r="AG103" s="19"/>
      <c r="AJ103" s="17"/>
    </row>
    <row r="104" spans="1:36">
      <c r="A104" s="18"/>
      <c r="Q104" s="19"/>
      <c r="AG104" s="19"/>
      <c r="AJ104" s="17"/>
    </row>
    <row r="105" spans="1:36">
      <c r="A105" s="18"/>
      <c r="Q105" s="19"/>
      <c r="AG105" s="19"/>
      <c r="AJ105" s="17"/>
    </row>
    <row r="106" spans="1:36">
      <c r="A106" s="18"/>
      <c r="Q106" s="19"/>
      <c r="AG106" s="19"/>
      <c r="AJ106" s="17"/>
    </row>
    <row r="107" spans="1:36">
      <c r="A107" s="18"/>
      <c r="Q107" s="19"/>
      <c r="AG107" s="19"/>
      <c r="AJ107" s="17"/>
    </row>
    <row r="108" spans="1:36">
      <c r="A108" s="18"/>
      <c r="Q108" s="19"/>
      <c r="AG108" s="19"/>
      <c r="AJ108" s="17"/>
    </row>
    <row r="109" spans="1:36">
      <c r="A109" s="18"/>
      <c r="Q109" s="19"/>
      <c r="AG109" s="19"/>
      <c r="AJ109" s="17"/>
    </row>
    <row r="110" spans="1:36">
      <c r="A110" s="18"/>
      <c r="Q110" s="19"/>
      <c r="AG110" s="19"/>
      <c r="AJ110" s="17"/>
    </row>
    <row r="111" spans="1:36">
      <c r="A111" s="18"/>
      <c r="Q111" s="19"/>
      <c r="AG111" s="19"/>
      <c r="AJ111" s="17"/>
    </row>
    <row r="112" spans="1:36">
      <c r="A112" s="18"/>
      <c r="Q112" s="19"/>
      <c r="AG112" s="19"/>
      <c r="AJ112" s="17"/>
    </row>
    <row r="113" spans="1:36">
      <c r="A113" s="18"/>
      <c r="Q113" s="19"/>
      <c r="AG113" s="19"/>
      <c r="AJ113" s="17"/>
    </row>
    <row r="114" spans="1:36">
      <c r="A114" s="18"/>
      <c r="Q114" s="19"/>
      <c r="AG114" s="19"/>
      <c r="AJ114" s="17"/>
    </row>
    <row r="115" spans="1:36">
      <c r="A115" s="18"/>
      <c r="AG115" s="19"/>
      <c r="AJ115" s="17"/>
    </row>
    <row r="116" spans="1:36">
      <c r="A116" s="18"/>
      <c r="AG116" s="19"/>
      <c r="AJ116" s="17"/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04dc2bb-3752-482a-bef8-a3d7520562f3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1A811D-78F8-4A87-874C-4E3A1E503522}"/>
</file>

<file path=customXml/itemProps2.xml><?xml version="1.0" encoding="utf-8"?>
<ds:datastoreItem xmlns:ds="http://schemas.openxmlformats.org/officeDocument/2006/customXml" ds:itemID="{7B4E17FB-BFA3-477C-A491-55DFFF5D0726}"/>
</file>

<file path=customXml/itemProps3.xml><?xml version="1.0" encoding="utf-8"?>
<ds:datastoreItem xmlns:ds="http://schemas.openxmlformats.org/officeDocument/2006/customXml" ds:itemID="{FF5C212C-C937-45CE-BE35-48B7E5780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asteib2</dc:creator>
  <cp:keywords/>
  <dc:description/>
  <cp:lastModifiedBy>Luftig, Valerio</cp:lastModifiedBy>
  <cp:revision/>
  <dcterms:created xsi:type="dcterms:W3CDTF">2013-06-13T17:51:59Z</dcterms:created>
  <dcterms:modified xsi:type="dcterms:W3CDTF">2025-06-17T18:16:29Z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