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lsuagctr.sharepoint.com/sites/LCRI/lgf/Shared Documents/Louisiana/2015/"/>
    </mc:Choice>
  </mc:AlternateContent>
  <xr:revisionPtr revIDLastSave="41" documentId="11_0D31C1FF5719876ECE98B3CE83ABD0E78A1E8E84" xr6:coauthVersionLast="47" xr6:coauthVersionMax="47" xr10:uidLastSave="{DDBDE83B-5E8E-40CC-943E-9E390A68E2F4}"/>
  <bookViews>
    <workbookView xWindow="-110" yWindow="-110" windowWidth="38620" windowHeight="21220" tabRatio="909" firstSheet="66" activeTab="67" xr2:uid="{00000000-000D-0000-FFFF-FFFF00000000}"/>
  </bookViews>
  <sheets>
    <sheet name="Acadia" sheetId="145" r:id="rId1"/>
    <sheet name="Allen" sheetId="146" r:id="rId2"/>
    <sheet name="Ascension" sheetId="147" r:id="rId3"/>
    <sheet name="Assumption" sheetId="176" r:id="rId4"/>
    <sheet name="Avoyelles" sheetId="201" r:id="rId5"/>
    <sheet name="Beauregard" sheetId="202" r:id="rId6"/>
    <sheet name="Bienville" sheetId="177" r:id="rId7"/>
    <sheet name="Bossier" sheetId="178" r:id="rId8"/>
    <sheet name="Caddo" sheetId="203" r:id="rId9"/>
    <sheet name="Calcasieu" sheetId="179" r:id="rId10"/>
    <sheet name="Caldwell" sheetId="180" r:id="rId11"/>
    <sheet name="Catahoula" sheetId="182" r:id="rId12"/>
    <sheet name="Cameron" sheetId="181" r:id="rId13"/>
    <sheet name="Claiborne" sheetId="183" r:id="rId14"/>
    <sheet name="Concodria" sheetId="184" r:id="rId15"/>
    <sheet name="DeSoto" sheetId="185" r:id="rId16"/>
    <sheet name="East Baton Rouge" sheetId="186" r:id="rId17"/>
    <sheet name="East Carroll" sheetId="187" r:id="rId18"/>
    <sheet name="East Feliciana" sheetId="188" r:id="rId19"/>
    <sheet name="Evangeline" sheetId="189" r:id="rId20"/>
    <sheet name="Franklin" sheetId="190" r:id="rId21"/>
    <sheet name="Grant" sheetId="191" r:id="rId22"/>
    <sheet name="Iberia" sheetId="192" r:id="rId23"/>
    <sheet name="Iberville" sheetId="193" r:id="rId24"/>
    <sheet name="Jackson " sheetId="194" r:id="rId25"/>
    <sheet name="Jefferson" sheetId="196" r:id="rId26"/>
    <sheet name="Jefferson Davis" sheetId="195" r:id="rId27"/>
    <sheet name="Lafayette" sheetId="197" r:id="rId28"/>
    <sheet name="Lafourche" sheetId="198" r:id="rId29"/>
    <sheet name="LaSalle" sheetId="199" r:id="rId30"/>
    <sheet name="Lincoln" sheetId="200" r:id="rId31"/>
    <sheet name="Livingston" sheetId="148" r:id="rId32"/>
    <sheet name="Madison" sheetId="149" r:id="rId33"/>
    <sheet name="Morehouse" sheetId="150" r:id="rId34"/>
    <sheet name="Natchitoches" sheetId="151" r:id="rId35"/>
    <sheet name="Orleans" sheetId="152" r:id="rId36"/>
    <sheet name="Ouachita " sheetId="153" r:id="rId37"/>
    <sheet name="Plaquemines" sheetId="154" r:id="rId38"/>
    <sheet name="Pointe Couppe" sheetId="204" r:id="rId39"/>
    <sheet name="Rapides" sheetId="155" r:id="rId40"/>
    <sheet name="Red River" sheetId="156" r:id="rId41"/>
    <sheet name="Richland" sheetId="157" r:id="rId42"/>
    <sheet name="Sabine" sheetId="158" r:id="rId43"/>
    <sheet name="St. Bernard" sheetId="159" r:id="rId44"/>
    <sheet name="St. Charles" sheetId="160" r:id="rId45"/>
    <sheet name="St. Helena " sheetId="205" r:id="rId46"/>
    <sheet name="St. James" sheetId="161" r:id="rId47"/>
    <sheet name="St. John the Baptist" sheetId="162" r:id="rId48"/>
    <sheet name="St. Landry" sheetId="163" r:id="rId49"/>
    <sheet name="St. Martin" sheetId="164" r:id="rId50"/>
    <sheet name="St. Mary" sheetId="208" r:id="rId51"/>
    <sheet name="St. Tammany" sheetId="165" r:id="rId52"/>
    <sheet name="Tangipahoa" sheetId="166" r:id="rId53"/>
    <sheet name="Tensas" sheetId="167" r:id="rId54"/>
    <sheet name="Terrebonne" sheetId="168" r:id="rId55"/>
    <sheet name="Union" sheetId="206" r:id="rId56"/>
    <sheet name="Vermilion" sheetId="169" r:id="rId57"/>
    <sheet name="Vernon" sheetId="170" r:id="rId58"/>
    <sheet name="Washington" sheetId="171" r:id="rId59"/>
    <sheet name="Webster" sheetId="172" r:id="rId60"/>
    <sheet name="West Baton Rouge" sheetId="173" r:id="rId61"/>
    <sheet name="West Carroll" sheetId="174" r:id="rId62"/>
    <sheet name="West Feliciana" sheetId="207" r:id="rId63"/>
    <sheet name="Winn" sheetId="175" r:id="rId64"/>
    <sheet name="CSG" sheetId="3" r:id="rId65"/>
    <sheet name="CSB" sheetId="144" r:id="rId66"/>
    <sheet name="CST" sheetId="209" r:id="rId67"/>
    <sheet name="Cross Sectional" sheetId="210" r:id="rId68"/>
  </sheets>
  <externalReferences>
    <externalReference r:id="rId6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9" i="158" l="1"/>
  <c r="I37" i="158"/>
  <c r="H37" i="158"/>
  <c r="I39" i="158"/>
  <c r="T39" i="3" l="1"/>
  <c r="R39" i="3"/>
  <c r="M39" i="3"/>
  <c r="T28" i="144"/>
  <c r="N22" i="210"/>
  <c r="O22" i="210"/>
  <c r="P22" i="210"/>
  <c r="N7" i="210"/>
  <c r="Q7" i="210"/>
  <c r="R7" i="210"/>
  <c r="S7" i="210"/>
  <c r="N8" i="210"/>
  <c r="N9" i="210"/>
  <c r="O9" i="210"/>
  <c r="P9" i="210"/>
  <c r="Q9" i="210"/>
  <c r="R9" i="210"/>
  <c r="S9" i="210"/>
  <c r="N10" i="210"/>
  <c r="O10" i="210"/>
  <c r="P10" i="210"/>
  <c r="Q10" i="210"/>
  <c r="N11" i="210"/>
  <c r="O11" i="210"/>
  <c r="P11" i="210"/>
  <c r="Q11" i="210"/>
  <c r="P12" i="210"/>
  <c r="Q12" i="210"/>
  <c r="R12" i="210"/>
  <c r="S12" i="210"/>
  <c r="N13" i="210"/>
  <c r="O13" i="210"/>
  <c r="P13" i="210"/>
  <c r="Q13" i="210"/>
  <c r="N14" i="210"/>
  <c r="O14" i="210"/>
  <c r="P14" i="210"/>
  <c r="N15" i="210"/>
  <c r="O15" i="210"/>
  <c r="P15" i="210"/>
  <c r="O16" i="210"/>
  <c r="P16" i="210"/>
  <c r="R16" i="210"/>
  <c r="S16" i="210"/>
  <c r="N17" i="210"/>
  <c r="O17" i="210"/>
  <c r="P17" i="210"/>
  <c r="O18" i="210"/>
  <c r="P18" i="210"/>
  <c r="Q18" i="210"/>
  <c r="T18" i="210"/>
  <c r="O19" i="210"/>
  <c r="P19" i="210"/>
  <c r="N20" i="210"/>
  <c r="O20" i="210"/>
  <c r="P20" i="210"/>
  <c r="Q20" i="210"/>
  <c r="O21" i="210"/>
  <c r="P21" i="210"/>
  <c r="S21" i="210"/>
  <c r="N23" i="210"/>
  <c r="O23" i="210"/>
  <c r="P23" i="210"/>
  <c r="Q23" i="210"/>
  <c r="T23" i="210"/>
  <c r="O24" i="210"/>
  <c r="P24" i="210"/>
  <c r="R24" i="210"/>
  <c r="S24" i="210"/>
  <c r="N25" i="210"/>
  <c r="O25" i="210"/>
  <c r="P25" i="210"/>
  <c r="Q25" i="210"/>
  <c r="O26" i="210"/>
  <c r="P26" i="210"/>
  <c r="O27" i="210"/>
  <c r="P27" i="210"/>
  <c r="Q27" i="210"/>
  <c r="N28" i="210"/>
  <c r="O28" i="210"/>
  <c r="P28" i="210"/>
  <c r="N29" i="210"/>
  <c r="O29" i="210"/>
  <c r="P29" i="210"/>
  <c r="Q29" i="210"/>
  <c r="N30" i="210"/>
  <c r="O30" i="210"/>
  <c r="P30" i="210"/>
  <c r="Q30" i="210"/>
  <c r="N32" i="210"/>
  <c r="R32" i="210"/>
  <c r="S32" i="210"/>
  <c r="N31" i="210"/>
  <c r="O31" i="210"/>
  <c r="P31" i="210"/>
  <c r="Q31" i="210"/>
  <c r="N35" i="210"/>
  <c r="O35" i="210"/>
  <c r="P35" i="210"/>
  <c r="Q35" i="210"/>
  <c r="N33" i="210"/>
  <c r="O33" i="210"/>
  <c r="P33" i="210"/>
  <c r="N34" i="210"/>
  <c r="O34" i="210"/>
  <c r="P34" i="210"/>
  <c r="R36" i="210"/>
  <c r="S36" i="210"/>
  <c r="N37" i="210"/>
  <c r="O37" i="210"/>
  <c r="P37" i="210"/>
  <c r="N38" i="210"/>
  <c r="O38" i="210"/>
  <c r="P38" i="210"/>
  <c r="Q38" i="210"/>
  <c r="M39" i="210"/>
  <c r="N39" i="210"/>
  <c r="O39" i="210"/>
  <c r="P39" i="210"/>
  <c r="Q39" i="210"/>
  <c r="R39" i="210"/>
  <c r="S39" i="210"/>
  <c r="T39" i="210"/>
  <c r="N40" i="210"/>
  <c r="O40" i="210"/>
  <c r="P40" i="210"/>
  <c r="Q40" i="210"/>
  <c r="N41" i="210"/>
  <c r="O41" i="210"/>
  <c r="P41" i="210"/>
  <c r="N42" i="210"/>
  <c r="O42" i="210"/>
  <c r="P42" i="210"/>
  <c r="Q42" i="210"/>
  <c r="R43" i="210"/>
  <c r="S43" i="210"/>
  <c r="N44" i="210"/>
  <c r="O44" i="210"/>
  <c r="P44" i="210"/>
  <c r="N45" i="210"/>
  <c r="O45" i="210"/>
  <c r="P45" i="210"/>
  <c r="Q45" i="210"/>
  <c r="O46" i="210"/>
  <c r="P46" i="210"/>
  <c r="Q46" i="210"/>
  <c r="R46" i="210"/>
  <c r="S46" i="210"/>
  <c r="N47" i="210"/>
  <c r="O47" i="210"/>
  <c r="P47" i="210"/>
  <c r="Q47" i="210"/>
  <c r="R47" i="210"/>
  <c r="S47" i="210"/>
  <c r="N48" i="210"/>
  <c r="O48" i="210"/>
  <c r="P48" i="210"/>
  <c r="Q48" i="210"/>
  <c r="N49" i="210"/>
  <c r="O49" i="210"/>
  <c r="P49" i="210"/>
  <c r="Q49" i="210"/>
  <c r="N50" i="210"/>
  <c r="O50" i="210"/>
  <c r="P50" i="210"/>
  <c r="Q51" i="210"/>
  <c r="R51" i="210"/>
  <c r="S51" i="210"/>
  <c r="N52" i="210"/>
  <c r="O52" i="210"/>
  <c r="P52" i="210"/>
  <c r="Q52" i="210"/>
  <c r="N53" i="210"/>
  <c r="O53" i="210"/>
  <c r="P53" i="210"/>
  <c r="Q53" i="210"/>
  <c r="R54" i="210"/>
  <c r="S54" i="210"/>
  <c r="O56" i="210"/>
  <c r="P56" i="210"/>
  <c r="N57" i="210"/>
  <c r="O57" i="210"/>
  <c r="P57" i="210"/>
  <c r="Q57" i="210"/>
  <c r="N58" i="210"/>
  <c r="O58" i="210"/>
  <c r="P58" i="210"/>
  <c r="N59" i="210"/>
  <c r="O59" i="210"/>
  <c r="P59" i="210"/>
  <c r="N60" i="210"/>
  <c r="O60" i="210"/>
  <c r="P60" i="210"/>
  <c r="T60" i="210"/>
  <c r="R61" i="210"/>
  <c r="S61" i="210"/>
  <c r="N62" i="210"/>
  <c r="O62" i="210"/>
  <c r="P62" i="210"/>
  <c r="Q62" i="210"/>
  <c r="N63" i="210"/>
  <c r="O63" i="210"/>
  <c r="P63" i="210"/>
  <c r="Q63" i="210"/>
  <c r="T63" i="210"/>
  <c r="N64" i="210"/>
  <c r="O64" i="210"/>
  <c r="P64" i="210"/>
  <c r="N65" i="210"/>
  <c r="O65" i="210"/>
  <c r="P65" i="210"/>
  <c r="N66" i="210"/>
  <c r="O66" i="210"/>
  <c r="P66" i="210"/>
  <c r="Q66" i="210"/>
  <c r="O67" i="210"/>
  <c r="P67" i="210"/>
  <c r="Q67" i="210"/>
  <c r="N68" i="210"/>
  <c r="O68" i="210"/>
  <c r="P68" i="210"/>
  <c r="Q68" i="210"/>
  <c r="N69" i="210"/>
  <c r="O69" i="210"/>
  <c r="P69" i="210"/>
  <c r="Q69" i="210"/>
  <c r="T69" i="210"/>
  <c r="Q6" i="210"/>
  <c r="R6" i="210"/>
  <c r="S6" i="210"/>
  <c r="D7" i="210"/>
  <c r="G7" i="210"/>
  <c r="F9" i="210"/>
  <c r="G9" i="210"/>
  <c r="D10" i="210"/>
  <c r="D11" i="210"/>
  <c r="G11" i="210"/>
  <c r="D12" i="210"/>
  <c r="G12" i="210"/>
  <c r="H12" i="210"/>
  <c r="G13" i="210"/>
  <c r="D16" i="210"/>
  <c r="G16" i="210"/>
  <c r="H16" i="210"/>
  <c r="G17" i="210"/>
  <c r="D18" i="210"/>
  <c r="G18" i="210"/>
  <c r="G19" i="210"/>
  <c r="D20" i="210"/>
  <c r="F20" i="210"/>
  <c r="G20" i="210"/>
  <c r="H20" i="210"/>
  <c r="G21" i="210"/>
  <c r="G23" i="210"/>
  <c r="D24" i="210"/>
  <c r="H24" i="210"/>
  <c r="D26" i="210"/>
  <c r="G26" i="210"/>
  <c r="H26" i="210"/>
  <c r="D27" i="210"/>
  <c r="G27" i="210"/>
  <c r="H27" i="210"/>
  <c r="D29" i="210"/>
  <c r="G29" i="210"/>
  <c r="D30" i="210"/>
  <c r="G30" i="210"/>
  <c r="G32" i="210"/>
  <c r="G31" i="210"/>
  <c r="D35" i="210"/>
  <c r="G35" i="210"/>
  <c r="G38" i="210"/>
  <c r="H38" i="210"/>
  <c r="G39" i="210"/>
  <c r="H39" i="210"/>
  <c r="D40" i="210"/>
  <c r="G40" i="210"/>
  <c r="H40" i="210"/>
  <c r="G43" i="210"/>
  <c r="D45" i="210"/>
  <c r="G45" i="210"/>
  <c r="G46" i="210"/>
  <c r="D47" i="210"/>
  <c r="G47" i="210"/>
  <c r="H47" i="210"/>
  <c r="D48" i="210"/>
  <c r="G48" i="210"/>
  <c r="G49" i="210"/>
  <c r="G51" i="210"/>
  <c r="D53" i="210"/>
  <c r="D54" i="210"/>
  <c r="D55" i="210"/>
  <c r="D58" i="210"/>
  <c r="D59" i="210"/>
  <c r="F59" i="210"/>
  <c r="G61" i="210"/>
  <c r="H61" i="210"/>
  <c r="D62" i="210"/>
  <c r="G63" i="210"/>
  <c r="G65" i="210"/>
  <c r="H66" i="210"/>
  <c r="D67" i="210"/>
  <c r="G67" i="210"/>
  <c r="D69" i="210"/>
  <c r="G69" i="210"/>
  <c r="H69" i="210"/>
  <c r="H6" i="210"/>
  <c r="X71" i="210"/>
  <c r="N71" i="210"/>
  <c r="J70" i="210"/>
  <c r="AB69" i="210"/>
  <c r="Z69" i="210"/>
  <c r="Y69" i="210"/>
  <c r="L69" i="210"/>
  <c r="AB68" i="210"/>
  <c r="AA68" i="210"/>
  <c r="Z68" i="210"/>
  <c r="AC68" i="210" s="1"/>
  <c r="AB67" i="210"/>
  <c r="AA67" i="210"/>
  <c r="Z67" i="210"/>
  <c r="AC67" i="210" s="1"/>
  <c r="L67" i="210"/>
  <c r="AB66" i="210"/>
  <c r="AA66" i="210"/>
  <c r="Z66" i="210"/>
  <c r="L66" i="210"/>
  <c r="AB65" i="210"/>
  <c r="AA65" i="210"/>
  <c r="Z65" i="210"/>
  <c r="AB64" i="210"/>
  <c r="AA64" i="210"/>
  <c r="Z64" i="210"/>
  <c r="AC64" i="210" s="1"/>
  <c r="AB63" i="210"/>
  <c r="AA63" i="210"/>
  <c r="Z63" i="210"/>
  <c r="AC63" i="210" s="1"/>
  <c r="Y63" i="210"/>
  <c r="L63" i="210"/>
  <c r="AB62" i="210"/>
  <c r="AA62" i="210"/>
  <c r="Z62" i="210"/>
  <c r="L62" i="210"/>
  <c r="AB61" i="210"/>
  <c r="AA61" i="210"/>
  <c r="Z61" i="210"/>
  <c r="AC61" i="210" s="1"/>
  <c r="L61" i="210"/>
  <c r="AB60" i="210"/>
  <c r="AA60" i="210"/>
  <c r="Z60" i="210"/>
  <c r="AC60" i="210" s="1"/>
  <c r="Y60" i="210"/>
  <c r="AB59" i="210"/>
  <c r="AA59" i="210"/>
  <c r="Z59" i="210"/>
  <c r="Y59" i="210"/>
  <c r="L59" i="210"/>
  <c r="AB58" i="210"/>
  <c r="AA58" i="210"/>
  <c r="Z58" i="210"/>
  <c r="AC58" i="210" s="1"/>
  <c r="L58" i="210"/>
  <c r="AB57" i="210"/>
  <c r="AA57" i="210"/>
  <c r="Z57" i="210"/>
  <c r="AC57" i="210" s="1"/>
  <c r="Y57" i="210"/>
  <c r="AB56" i="210"/>
  <c r="AA56" i="210"/>
  <c r="Z56" i="210"/>
  <c r="AC56" i="210" s="1"/>
  <c r="AB55" i="210"/>
  <c r="AA55" i="210"/>
  <c r="Z55" i="210"/>
  <c r="Y55" i="210"/>
  <c r="AB54" i="210"/>
  <c r="AA54" i="210"/>
  <c r="Z54" i="210"/>
  <c r="AC54" i="210" s="1"/>
  <c r="Y54" i="210"/>
  <c r="L54" i="210"/>
  <c r="AB53" i="210"/>
  <c r="AA53" i="210"/>
  <c r="Z53" i="210"/>
  <c r="AB52" i="210"/>
  <c r="AA52" i="210"/>
  <c r="Z52" i="210"/>
  <c r="AC52" i="210" s="1"/>
  <c r="Y52" i="210"/>
  <c r="L52" i="210"/>
  <c r="AB51" i="210"/>
  <c r="AA51" i="210"/>
  <c r="Z51" i="210"/>
  <c r="AC51" i="210" s="1"/>
  <c r="AB50" i="210"/>
  <c r="AA50" i="210"/>
  <c r="Z50" i="210"/>
  <c r="L50" i="210"/>
  <c r="AB49" i="210"/>
  <c r="AA49" i="210"/>
  <c r="Z49" i="210"/>
  <c r="AC49" i="210" s="1"/>
  <c r="AB48" i="210"/>
  <c r="Z48" i="210"/>
  <c r="AC48" i="210" s="1"/>
  <c r="AB47" i="210"/>
  <c r="AA47" i="210"/>
  <c r="Z47" i="210"/>
  <c r="AC47" i="210" s="1"/>
  <c r="L47" i="210"/>
  <c r="AB46" i="210"/>
  <c r="AA46" i="210"/>
  <c r="Z46" i="210"/>
  <c r="AC46" i="210" s="1"/>
  <c r="Y46" i="210"/>
  <c r="L46" i="210"/>
  <c r="AB45" i="210"/>
  <c r="AA45" i="210"/>
  <c r="Z45" i="210"/>
  <c r="AC45" i="210" s="1"/>
  <c r="AB44" i="210"/>
  <c r="AA44" i="210"/>
  <c r="Z44" i="210"/>
  <c r="AC44" i="210" s="1"/>
  <c r="AB43" i="210"/>
  <c r="AA43" i="210"/>
  <c r="Z43" i="210"/>
  <c r="AC43" i="210" s="1"/>
  <c r="AB42" i="210"/>
  <c r="AA42" i="210"/>
  <c r="Z42" i="210"/>
  <c r="AB41" i="210"/>
  <c r="AA41" i="210"/>
  <c r="Z41" i="210"/>
  <c r="AC41" i="210" s="1"/>
  <c r="AB40" i="210"/>
  <c r="Z40" i="210"/>
  <c r="AC40" i="210" s="1"/>
  <c r="Y40" i="210"/>
  <c r="L40" i="210"/>
  <c r="AB39" i="210"/>
  <c r="AA39" i="210"/>
  <c r="Z39" i="210"/>
  <c r="AC39" i="210" s="1"/>
  <c r="AB38" i="210"/>
  <c r="AA38" i="210"/>
  <c r="Z38" i="210"/>
  <c r="Y38" i="210"/>
  <c r="AB37" i="210"/>
  <c r="AA37" i="210"/>
  <c r="Z37" i="210"/>
  <c r="AC37" i="210" s="1"/>
  <c r="AB36" i="210"/>
  <c r="AA36" i="210"/>
  <c r="Z36" i="210"/>
  <c r="Y36" i="210"/>
  <c r="L36" i="210"/>
  <c r="AB34" i="210"/>
  <c r="AA34" i="210"/>
  <c r="Z34" i="210"/>
  <c r="AC34" i="210" s="1"/>
  <c r="Y34" i="210"/>
  <c r="AB33" i="210"/>
  <c r="AA33" i="210"/>
  <c r="Z33" i="210"/>
  <c r="AB35" i="210"/>
  <c r="Z35" i="210"/>
  <c r="AC35" i="210" s="1"/>
  <c r="Y35" i="210"/>
  <c r="AB31" i="210"/>
  <c r="AA31" i="210"/>
  <c r="Z31" i="210"/>
  <c r="AC31" i="210" s="1"/>
  <c r="Y31" i="210"/>
  <c r="AB32" i="210"/>
  <c r="AA32" i="210"/>
  <c r="Z32" i="210"/>
  <c r="AB30" i="210"/>
  <c r="AA30" i="210"/>
  <c r="Z30" i="210"/>
  <c r="AC30" i="210" s="1"/>
  <c r="AB29" i="210"/>
  <c r="AA29" i="210"/>
  <c r="Z29" i="210"/>
  <c r="AC29" i="210" s="1"/>
  <c r="Y29" i="210"/>
  <c r="L29" i="210"/>
  <c r="AB28" i="210"/>
  <c r="AA28" i="210"/>
  <c r="Z28" i="210"/>
  <c r="AC28" i="210" s="1"/>
  <c r="Y28" i="210"/>
  <c r="AB27" i="210"/>
  <c r="AA27" i="210"/>
  <c r="Z27" i="210"/>
  <c r="AC27" i="210" s="1"/>
  <c r="Y27" i="210"/>
  <c r="L27" i="210"/>
  <c r="AB26" i="210"/>
  <c r="Z26" i="210"/>
  <c r="AC26" i="210" s="1"/>
  <c r="Y26" i="210"/>
  <c r="AB25" i="210"/>
  <c r="AA25" i="210"/>
  <c r="Z25" i="210"/>
  <c r="AC25" i="210" s="1"/>
  <c r="L25" i="210"/>
  <c r="AB24" i="210"/>
  <c r="AA24" i="210"/>
  <c r="Z24" i="210"/>
  <c r="AC24" i="210" s="1"/>
  <c r="L24" i="210"/>
  <c r="AB23" i="210"/>
  <c r="AA23" i="210"/>
  <c r="Z23" i="210"/>
  <c r="AB22" i="210"/>
  <c r="AA22" i="210"/>
  <c r="Z22" i="210"/>
  <c r="AC22" i="210" s="1"/>
  <c r="AB21" i="210"/>
  <c r="AA21" i="210"/>
  <c r="Z21" i="210"/>
  <c r="AC21" i="210" s="1"/>
  <c r="AB20" i="210"/>
  <c r="AA20" i="210"/>
  <c r="Z20" i="210"/>
  <c r="AC20" i="210" s="1"/>
  <c r="Y20" i="210"/>
  <c r="AB19" i="210"/>
  <c r="AA19" i="210"/>
  <c r="Z19" i="210"/>
  <c r="Y19" i="210"/>
  <c r="L19" i="210"/>
  <c r="AB18" i="210"/>
  <c r="AA18" i="210"/>
  <c r="Z18" i="210"/>
  <c r="AC18" i="210" s="1"/>
  <c r="L18" i="210"/>
  <c r="AB17" i="210"/>
  <c r="AA17" i="210"/>
  <c r="Z17" i="210"/>
  <c r="AC17" i="210" s="1"/>
  <c r="Y17" i="210"/>
  <c r="AB16" i="210"/>
  <c r="AA16" i="210"/>
  <c r="Z16" i="210"/>
  <c r="AC16" i="210" s="1"/>
  <c r="Y16" i="210"/>
  <c r="AB15" i="210"/>
  <c r="AA15" i="210"/>
  <c r="Z15" i="210"/>
  <c r="AC15" i="210" s="1"/>
  <c r="L15" i="210"/>
  <c r="AB14" i="210"/>
  <c r="AA14" i="210"/>
  <c r="Z14" i="210"/>
  <c r="AC14" i="210" s="1"/>
  <c r="AB13" i="210"/>
  <c r="AA13" i="210"/>
  <c r="Z13" i="210"/>
  <c r="L13" i="210"/>
  <c r="AB12" i="210"/>
  <c r="Z12" i="210"/>
  <c r="AC12" i="210" s="1"/>
  <c r="Y12" i="210"/>
  <c r="AB11" i="210"/>
  <c r="AA11" i="210"/>
  <c r="Z11" i="210"/>
  <c r="AC11" i="210" s="1"/>
  <c r="Y11" i="210"/>
  <c r="L11" i="210"/>
  <c r="AB10" i="210"/>
  <c r="Z10" i="210"/>
  <c r="AC10" i="210" s="1"/>
  <c r="AB9" i="210"/>
  <c r="Z9" i="210"/>
  <c r="AB8" i="210"/>
  <c r="AB71" i="210" s="1"/>
  <c r="AA8" i="210"/>
  <c r="Z8" i="210"/>
  <c r="Z71" i="210" s="1"/>
  <c r="L8" i="210"/>
  <c r="AB7" i="210"/>
  <c r="AA7" i="210"/>
  <c r="Z7" i="210"/>
  <c r="AC7" i="210" s="1"/>
  <c r="Y7" i="210"/>
  <c r="AB6" i="210"/>
  <c r="AA6" i="210"/>
  <c r="Z6" i="210"/>
  <c r="AC6" i="210" s="1"/>
  <c r="AC9" i="210" l="1"/>
  <c r="AC23" i="210"/>
  <c r="AC65" i="210"/>
  <c r="AC66" i="210"/>
  <c r="U39" i="210"/>
  <c r="AC33" i="210"/>
  <c r="AC38" i="210"/>
  <c r="AC55" i="210"/>
  <c r="AC19" i="210"/>
  <c r="AC36" i="210"/>
  <c r="AC42" i="210"/>
  <c r="AC8" i="210"/>
  <c r="AC69" i="210"/>
  <c r="AA71" i="210"/>
  <c r="AC59" i="210"/>
  <c r="AC13" i="210"/>
  <c r="AC32" i="210"/>
  <c r="AC50" i="210"/>
  <c r="AC53" i="210"/>
  <c r="AC62" i="210"/>
  <c r="J58" i="209"/>
  <c r="N68" i="209"/>
  <c r="J68" i="209"/>
  <c r="I68" i="209"/>
  <c r="E68" i="209"/>
  <c r="C68" i="209"/>
  <c r="N66" i="209"/>
  <c r="J66" i="209"/>
  <c r="I66" i="209"/>
  <c r="E66" i="209"/>
  <c r="C66" i="209"/>
  <c r="N65" i="209"/>
  <c r="J65" i="209"/>
  <c r="I65" i="209"/>
  <c r="E65" i="209"/>
  <c r="C65" i="209"/>
  <c r="N64" i="209"/>
  <c r="J64" i="209"/>
  <c r="I64" i="209"/>
  <c r="E64" i="209"/>
  <c r="C64" i="209"/>
  <c r="N62" i="209"/>
  <c r="J62" i="209"/>
  <c r="I62" i="209"/>
  <c r="E62" i="209"/>
  <c r="C62" i="209"/>
  <c r="N61" i="209"/>
  <c r="J61" i="209"/>
  <c r="I61" i="209"/>
  <c r="E61" i="209"/>
  <c r="C61" i="209"/>
  <c r="N60" i="209"/>
  <c r="J60" i="209"/>
  <c r="I60" i="209"/>
  <c r="E60" i="209"/>
  <c r="C60" i="209"/>
  <c r="N58" i="209"/>
  <c r="I58" i="209"/>
  <c r="E58" i="209"/>
  <c r="C58" i="209"/>
  <c r="N57" i="209"/>
  <c r="J57" i="209"/>
  <c r="I57" i="209"/>
  <c r="E57" i="209"/>
  <c r="C57" i="209"/>
  <c r="N50" i="209"/>
  <c r="J50" i="209"/>
  <c r="I50" i="209"/>
  <c r="E50" i="209"/>
  <c r="C50" i="209"/>
  <c r="N47" i="209"/>
  <c r="J47" i="209"/>
  <c r="I47" i="209"/>
  <c r="E47" i="209"/>
  <c r="C47" i="209"/>
  <c r="N46" i="209"/>
  <c r="J46" i="209"/>
  <c r="I46" i="209"/>
  <c r="E46" i="209"/>
  <c r="C46" i="209"/>
  <c r="N44" i="209"/>
  <c r="J44" i="209"/>
  <c r="I44" i="209"/>
  <c r="E44" i="209"/>
  <c r="C44" i="209"/>
  <c r="N40" i="209"/>
  <c r="J40" i="209"/>
  <c r="I40" i="209"/>
  <c r="E40" i="209"/>
  <c r="C40" i="209"/>
  <c r="N39" i="209"/>
  <c r="J39" i="209"/>
  <c r="I39" i="209"/>
  <c r="E39" i="209"/>
  <c r="C39" i="209"/>
  <c r="N38" i="209"/>
  <c r="G26" i="150"/>
  <c r="W39" i="210" s="1"/>
  <c r="J38" i="209"/>
  <c r="I38" i="209"/>
  <c r="M38" i="209"/>
  <c r="E38" i="209"/>
  <c r="C38" i="209"/>
  <c r="N37" i="209"/>
  <c r="J37" i="209"/>
  <c r="I37" i="209"/>
  <c r="E37" i="209"/>
  <c r="C37" i="209"/>
  <c r="N35" i="209"/>
  <c r="J35" i="209"/>
  <c r="I35" i="209"/>
  <c r="E35" i="209"/>
  <c r="C35" i="209"/>
  <c r="N34" i="209"/>
  <c r="J34" i="209"/>
  <c r="I34" i="209"/>
  <c r="E34" i="209"/>
  <c r="C34" i="209"/>
  <c r="N31" i="209"/>
  <c r="J31" i="209"/>
  <c r="I31" i="209"/>
  <c r="E31" i="209"/>
  <c r="C31" i="209"/>
  <c r="N29" i="209"/>
  <c r="J29" i="209"/>
  <c r="I29" i="209"/>
  <c r="E29" i="209"/>
  <c r="C29" i="209"/>
  <c r="N27" i="209"/>
  <c r="J27" i="209"/>
  <c r="I27" i="209"/>
  <c r="E27" i="209"/>
  <c r="C27" i="209"/>
  <c r="N25" i="209"/>
  <c r="J25" i="209"/>
  <c r="I25" i="209"/>
  <c r="E25" i="209"/>
  <c r="C25" i="209"/>
  <c r="N23" i="209"/>
  <c r="J23" i="209"/>
  <c r="I23" i="209"/>
  <c r="E23" i="209"/>
  <c r="C23" i="209"/>
  <c r="N19" i="209"/>
  <c r="J19" i="209"/>
  <c r="I19" i="209"/>
  <c r="E19" i="209"/>
  <c r="C19" i="209"/>
  <c r="N18" i="209"/>
  <c r="J18" i="209"/>
  <c r="I18" i="209"/>
  <c r="E18" i="209"/>
  <c r="C18" i="209"/>
  <c r="N17" i="209"/>
  <c r="J17" i="209"/>
  <c r="I17" i="209"/>
  <c r="E17" i="209"/>
  <c r="C17" i="209"/>
  <c r="N16" i="209"/>
  <c r="J16" i="209"/>
  <c r="I16" i="209"/>
  <c r="E16" i="209"/>
  <c r="C16" i="209"/>
  <c r="N15" i="209"/>
  <c r="J15" i="209"/>
  <c r="I15" i="209"/>
  <c r="E15" i="209"/>
  <c r="C15" i="209"/>
  <c r="N13" i="209"/>
  <c r="J13" i="209"/>
  <c r="I13" i="209"/>
  <c r="E13" i="209"/>
  <c r="C13" i="209"/>
  <c r="N11" i="209"/>
  <c r="J11" i="209"/>
  <c r="I11" i="209"/>
  <c r="E11" i="209"/>
  <c r="C11" i="209"/>
  <c r="N10" i="209"/>
  <c r="J10" i="209"/>
  <c r="I10" i="209"/>
  <c r="E10" i="209"/>
  <c r="C10" i="209"/>
  <c r="N9" i="209"/>
  <c r="J9" i="209"/>
  <c r="I9" i="209"/>
  <c r="E9" i="209"/>
  <c r="C9" i="209"/>
  <c r="N8" i="209"/>
  <c r="J8" i="209"/>
  <c r="I8" i="209"/>
  <c r="E8" i="209"/>
  <c r="C8" i="209"/>
  <c r="G30" i="146"/>
  <c r="W7" i="210" s="1"/>
  <c r="G46" i="146"/>
  <c r="G48" i="146"/>
  <c r="N6" i="209"/>
  <c r="M6" i="209"/>
  <c r="J6" i="209"/>
  <c r="I6" i="209"/>
  <c r="G13" i="146"/>
  <c r="K7" i="210" s="1"/>
  <c r="H6" i="209"/>
  <c r="C6" i="209"/>
  <c r="E6" i="209"/>
  <c r="H58" i="145"/>
  <c r="H44" i="145"/>
  <c r="W6" i="210" s="1"/>
  <c r="H60" i="145"/>
  <c r="N5" i="209"/>
  <c r="M5" i="209"/>
  <c r="J5" i="209"/>
  <c r="I5" i="209"/>
  <c r="H19" i="145"/>
  <c r="K6" i="210" s="1"/>
  <c r="H5" i="209"/>
  <c r="E5" i="209"/>
  <c r="C5" i="209"/>
  <c r="O5" i="209"/>
  <c r="K5" i="209"/>
  <c r="P5" i="209"/>
  <c r="O6" i="209"/>
  <c r="K6" i="209"/>
  <c r="P6" i="209"/>
  <c r="O8" i="209"/>
  <c r="K8" i="209"/>
  <c r="P8" i="209"/>
  <c r="O9" i="209"/>
  <c r="K9" i="209"/>
  <c r="P9" i="209"/>
  <c r="O10" i="209"/>
  <c r="K10" i="209"/>
  <c r="P10" i="209"/>
  <c r="O11" i="209"/>
  <c r="K11" i="209"/>
  <c r="P11" i="209"/>
  <c r="O13" i="209"/>
  <c r="K13" i="209"/>
  <c r="P13" i="209"/>
  <c r="O15" i="209"/>
  <c r="K15" i="209"/>
  <c r="P15" i="209"/>
  <c r="O16" i="209"/>
  <c r="K16" i="209"/>
  <c r="P16" i="209"/>
  <c r="O17" i="209"/>
  <c r="K17" i="209"/>
  <c r="P17" i="209"/>
  <c r="O18" i="209"/>
  <c r="K18" i="209"/>
  <c r="P18" i="209"/>
  <c r="O19" i="209"/>
  <c r="K19" i="209"/>
  <c r="P19" i="209"/>
  <c r="O23" i="209"/>
  <c r="K23" i="209"/>
  <c r="P23" i="209"/>
  <c r="O25" i="209"/>
  <c r="K25" i="209"/>
  <c r="P25" i="209"/>
  <c r="O27" i="209"/>
  <c r="K27" i="209"/>
  <c r="P27" i="209"/>
  <c r="O29" i="209"/>
  <c r="K29" i="209"/>
  <c r="P29" i="209"/>
  <c r="O31" i="209"/>
  <c r="K31" i="209"/>
  <c r="P31" i="209"/>
  <c r="O34" i="209"/>
  <c r="K34" i="209"/>
  <c r="P34" i="209"/>
  <c r="O35" i="209"/>
  <c r="K35" i="209"/>
  <c r="P35" i="209"/>
  <c r="O37" i="209"/>
  <c r="K37" i="209"/>
  <c r="P37" i="209"/>
  <c r="O38" i="209"/>
  <c r="K38" i="209"/>
  <c r="P38" i="209"/>
  <c r="O39" i="209"/>
  <c r="K39" i="209"/>
  <c r="P39" i="209"/>
  <c r="O40" i="209"/>
  <c r="K40" i="209"/>
  <c r="P40" i="209"/>
  <c r="O44" i="209"/>
  <c r="K44" i="209"/>
  <c r="P44" i="209"/>
  <c r="O46" i="209"/>
  <c r="K46" i="209"/>
  <c r="P46" i="209"/>
  <c r="O47" i="209"/>
  <c r="K47" i="209"/>
  <c r="P47" i="209"/>
  <c r="O50" i="209"/>
  <c r="K50" i="209"/>
  <c r="P50" i="209"/>
  <c r="O57" i="209"/>
  <c r="K57" i="209"/>
  <c r="P57" i="209"/>
  <c r="O58" i="209"/>
  <c r="K58" i="209"/>
  <c r="P58" i="209"/>
  <c r="O60" i="209"/>
  <c r="K60" i="209"/>
  <c r="P60" i="209"/>
  <c r="O61" i="209"/>
  <c r="K61" i="209"/>
  <c r="P61" i="209"/>
  <c r="O62" i="209"/>
  <c r="K62" i="209"/>
  <c r="P62" i="209"/>
  <c r="O64" i="209"/>
  <c r="K64" i="209"/>
  <c r="P64" i="209"/>
  <c r="O65" i="209"/>
  <c r="K65" i="209"/>
  <c r="P65" i="209"/>
  <c r="O66" i="209"/>
  <c r="K66" i="209"/>
  <c r="P66" i="209"/>
  <c r="O68" i="209"/>
  <c r="K68" i="209"/>
  <c r="P68" i="209"/>
  <c r="L38" i="209"/>
  <c r="L6" i="209"/>
  <c r="L5" i="209"/>
  <c r="H86" i="208"/>
  <c r="H69" i="208"/>
  <c r="H59" i="208"/>
  <c r="H71" i="208"/>
  <c r="W56" i="210" s="1"/>
  <c r="H88" i="208"/>
  <c r="AF56" i="210" s="1"/>
  <c r="AF56" i="3"/>
  <c r="AB56" i="3"/>
  <c r="AA56" i="3"/>
  <c r="Z56" i="3"/>
  <c r="W56" i="3"/>
  <c r="T56" i="3"/>
  <c r="T56" i="210" s="1"/>
  <c r="S56" i="3"/>
  <c r="S56" i="210" s="1"/>
  <c r="R56" i="3"/>
  <c r="R56" i="210" s="1"/>
  <c r="Q56" i="3"/>
  <c r="Q56" i="210" s="1"/>
  <c r="N56" i="3"/>
  <c r="N56" i="210" s="1"/>
  <c r="M56" i="3"/>
  <c r="M56" i="210" s="1"/>
  <c r="U56" i="210" s="1"/>
  <c r="V56" i="210" s="1"/>
  <c r="H20" i="208"/>
  <c r="H36" i="208"/>
  <c r="H38" i="208"/>
  <c r="K56" i="210" s="1"/>
  <c r="K56" i="3"/>
  <c r="G56" i="3"/>
  <c r="G56" i="210" s="1"/>
  <c r="E56" i="3"/>
  <c r="E56" i="210" s="1"/>
  <c r="F56" i="3"/>
  <c r="F56" i="210" s="1"/>
  <c r="H56" i="3"/>
  <c r="H56" i="210" s="1"/>
  <c r="D56" i="3"/>
  <c r="D56" i="210" s="1"/>
  <c r="C56" i="3"/>
  <c r="C56" i="210" s="1"/>
  <c r="I86" i="208"/>
  <c r="I69" i="208"/>
  <c r="I59" i="208"/>
  <c r="I71" i="208"/>
  <c r="I88" i="208"/>
  <c r="J79" i="208"/>
  <c r="N55" i="209" s="1"/>
  <c r="O55" i="209" s="1"/>
  <c r="J86" i="208"/>
  <c r="J62" i="208"/>
  <c r="J63" i="208"/>
  <c r="J64" i="208"/>
  <c r="J65" i="208"/>
  <c r="J66" i="208"/>
  <c r="J67" i="208"/>
  <c r="J69" i="208"/>
  <c r="J47" i="208"/>
  <c r="J48" i="208"/>
  <c r="J49" i="208"/>
  <c r="J50" i="208"/>
  <c r="J51" i="208"/>
  <c r="J52" i="208"/>
  <c r="J53" i="208"/>
  <c r="J54" i="208"/>
  <c r="J55" i="208"/>
  <c r="J56" i="208"/>
  <c r="J57" i="208"/>
  <c r="J59" i="208"/>
  <c r="J71" i="208"/>
  <c r="M55" i="209" s="1"/>
  <c r="J88" i="208"/>
  <c r="R55" i="209" s="1"/>
  <c r="K86" i="208"/>
  <c r="K69" i="208"/>
  <c r="K59" i="208"/>
  <c r="K71" i="208"/>
  <c r="K88" i="208"/>
  <c r="L79" i="208"/>
  <c r="L81" i="208"/>
  <c r="L82" i="208"/>
  <c r="L83" i="208"/>
  <c r="L84" i="208"/>
  <c r="L85" i="208"/>
  <c r="L86" i="208"/>
  <c r="L62" i="208"/>
  <c r="L63" i="208"/>
  <c r="L64" i="208"/>
  <c r="L65" i="208"/>
  <c r="L66" i="208"/>
  <c r="L67" i="208"/>
  <c r="L69" i="208"/>
  <c r="L47" i="208"/>
  <c r="L48" i="208"/>
  <c r="L49" i="208"/>
  <c r="L50" i="208"/>
  <c r="L51" i="208"/>
  <c r="L52" i="208"/>
  <c r="L53" i="208"/>
  <c r="L54" i="208"/>
  <c r="L55" i="208"/>
  <c r="L56" i="208"/>
  <c r="L57" i="208"/>
  <c r="L59" i="208"/>
  <c r="L71" i="208"/>
  <c r="L88" i="208"/>
  <c r="I76" i="208"/>
  <c r="K76" i="208"/>
  <c r="H76" i="208"/>
  <c r="J25" i="208"/>
  <c r="L25" i="208"/>
  <c r="J26" i="208"/>
  <c r="L26" i="208"/>
  <c r="J27" i="208"/>
  <c r="L27" i="208"/>
  <c r="J28" i="208"/>
  <c r="L28" i="208"/>
  <c r="J29" i="208"/>
  <c r="L29" i="208"/>
  <c r="J30" i="208"/>
  <c r="L30" i="208"/>
  <c r="J31" i="208"/>
  <c r="L31" i="208"/>
  <c r="J32" i="208"/>
  <c r="L32" i="208"/>
  <c r="J33" i="208"/>
  <c r="L33" i="208"/>
  <c r="J34" i="208"/>
  <c r="L34" i="208"/>
  <c r="J24" i="208"/>
  <c r="E55" i="209" s="1"/>
  <c r="L24" i="208"/>
  <c r="I36" i="208"/>
  <c r="K36" i="208"/>
  <c r="J9" i="208"/>
  <c r="L9" i="208"/>
  <c r="J10" i="208"/>
  <c r="L10" i="208"/>
  <c r="J11" i="208"/>
  <c r="L11" i="208"/>
  <c r="J12" i="208"/>
  <c r="L12" i="208"/>
  <c r="J13" i="208"/>
  <c r="L13" i="208"/>
  <c r="J14" i="208"/>
  <c r="L14" i="208"/>
  <c r="J15" i="208"/>
  <c r="L15" i="208"/>
  <c r="J16" i="208"/>
  <c r="L16" i="208"/>
  <c r="J17" i="208"/>
  <c r="L17" i="208"/>
  <c r="J18" i="208"/>
  <c r="L18" i="208"/>
  <c r="J8" i="208"/>
  <c r="C55" i="209" s="1"/>
  <c r="L8" i="208"/>
  <c r="K43" i="208"/>
  <c r="I43" i="208"/>
  <c r="H43" i="208"/>
  <c r="J42" i="208"/>
  <c r="L42" i="208"/>
  <c r="J41" i="208"/>
  <c r="L41" i="208"/>
  <c r="K20" i="208"/>
  <c r="I20" i="208"/>
  <c r="I38" i="208"/>
  <c r="K38" i="208"/>
  <c r="J76" i="208"/>
  <c r="L74" i="208"/>
  <c r="L76" i="208"/>
  <c r="L36" i="208"/>
  <c r="J36" i="208"/>
  <c r="J43" i="208"/>
  <c r="L43" i="208"/>
  <c r="J20" i="208"/>
  <c r="L20" i="208"/>
  <c r="AA38" i="3"/>
  <c r="Z38" i="3"/>
  <c r="AB38" i="3"/>
  <c r="AC38" i="3"/>
  <c r="G37" i="149"/>
  <c r="G21" i="149"/>
  <c r="G39" i="149"/>
  <c r="M38" i="3"/>
  <c r="M38" i="210" s="1"/>
  <c r="R38" i="3"/>
  <c r="R38" i="210" s="1"/>
  <c r="S38" i="3"/>
  <c r="S38" i="210" s="1"/>
  <c r="T38" i="3"/>
  <c r="T38" i="210" s="1"/>
  <c r="U38" i="3"/>
  <c r="Y38" i="3"/>
  <c r="AD38" i="3"/>
  <c r="G38" i="150"/>
  <c r="G31" i="150"/>
  <c r="Y39" i="210" s="1"/>
  <c r="AD39" i="210" s="1"/>
  <c r="G40" i="150"/>
  <c r="Z39" i="3"/>
  <c r="AA39" i="3"/>
  <c r="AB39" i="3"/>
  <c r="AC39" i="3"/>
  <c r="U39" i="3"/>
  <c r="Y39" i="3"/>
  <c r="G43" i="153"/>
  <c r="H43" i="153"/>
  <c r="F43" i="153"/>
  <c r="G27" i="153"/>
  <c r="H25" i="153"/>
  <c r="H27" i="153"/>
  <c r="F27" i="153"/>
  <c r="C48" i="3"/>
  <c r="C48" i="210" s="1"/>
  <c r="E48" i="3"/>
  <c r="E48" i="210" s="1"/>
  <c r="F48" i="3"/>
  <c r="F48" i="210" s="1"/>
  <c r="H48" i="3"/>
  <c r="H48" i="210" s="1"/>
  <c r="I48" i="3"/>
  <c r="H21" i="158"/>
  <c r="K48" i="3"/>
  <c r="J48" i="3"/>
  <c r="M48" i="3"/>
  <c r="M48" i="210" s="1"/>
  <c r="R48" i="3"/>
  <c r="R48" i="210" s="1"/>
  <c r="S48" i="3"/>
  <c r="S48" i="210" s="1"/>
  <c r="T48" i="3"/>
  <c r="T48" i="210" s="1"/>
  <c r="U48" i="3"/>
  <c r="H31" i="158"/>
  <c r="W48" i="3"/>
  <c r="V48" i="3"/>
  <c r="Z48" i="3"/>
  <c r="AB48" i="3"/>
  <c r="AC48" i="3"/>
  <c r="AD48" i="3"/>
  <c r="AF48" i="3"/>
  <c r="AE48" i="3"/>
  <c r="I31" i="158"/>
  <c r="I21" i="158"/>
  <c r="C11" i="3"/>
  <c r="C11" i="210" s="1"/>
  <c r="E11" i="3"/>
  <c r="E11" i="210" s="1"/>
  <c r="F11" i="3"/>
  <c r="F11" i="210" s="1"/>
  <c r="H11" i="3"/>
  <c r="H11" i="210" s="1"/>
  <c r="I11" i="3"/>
  <c r="G17" i="202"/>
  <c r="K11" i="3"/>
  <c r="J11" i="3"/>
  <c r="M11" i="3"/>
  <c r="M11" i="210" s="1"/>
  <c r="R11" i="3"/>
  <c r="R11" i="210" s="1"/>
  <c r="S11" i="3"/>
  <c r="S11" i="210" s="1"/>
  <c r="T11" i="3"/>
  <c r="T11" i="210" s="1"/>
  <c r="U11" i="3"/>
  <c r="G30" i="202"/>
  <c r="W11" i="3"/>
  <c r="V11" i="3"/>
  <c r="Z11" i="3"/>
  <c r="AA11" i="3"/>
  <c r="AB11" i="3"/>
  <c r="AC11" i="3"/>
  <c r="AD11" i="3"/>
  <c r="G50" i="202"/>
  <c r="G52" i="202"/>
  <c r="AF11" i="3"/>
  <c r="AE11" i="3"/>
  <c r="Y11" i="3"/>
  <c r="L11" i="3"/>
  <c r="AA65" i="3"/>
  <c r="H34" i="172"/>
  <c r="Y65" i="210" s="1"/>
  <c r="Y65" i="3"/>
  <c r="T65" i="3"/>
  <c r="T65" i="210" s="1"/>
  <c r="H18" i="172"/>
  <c r="L65" i="210" s="1"/>
  <c r="L65" i="3"/>
  <c r="I48" i="172"/>
  <c r="I30" i="172"/>
  <c r="I34" i="172"/>
  <c r="I50" i="172"/>
  <c r="H48" i="172"/>
  <c r="H30" i="172"/>
  <c r="H50" i="172"/>
  <c r="I18" i="172"/>
  <c r="I46" i="171"/>
  <c r="X64" i="144"/>
  <c r="I59" i="171"/>
  <c r="I40" i="171"/>
  <c r="I61" i="171"/>
  <c r="AE64" i="144"/>
  <c r="AA64" i="144"/>
  <c r="Z64" i="144"/>
  <c r="L64" i="144"/>
  <c r="P64" i="144"/>
  <c r="F64" i="144"/>
  <c r="E64" i="144"/>
  <c r="H46" i="171"/>
  <c r="Y64" i="210" s="1"/>
  <c r="Y64" i="3"/>
  <c r="T64" i="3"/>
  <c r="T64" i="210" s="1"/>
  <c r="M64" i="3"/>
  <c r="M64" i="210" s="1"/>
  <c r="H26" i="171"/>
  <c r="L64" i="210" s="1"/>
  <c r="L64" i="3"/>
  <c r="J49" i="171"/>
  <c r="J51" i="171"/>
  <c r="J52" i="171"/>
  <c r="J53" i="171"/>
  <c r="J54" i="171"/>
  <c r="J55" i="171"/>
  <c r="J56" i="171"/>
  <c r="J57" i="171"/>
  <c r="J59" i="171"/>
  <c r="J30" i="171"/>
  <c r="J31" i="171"/>
  <c r="J32" i="171"/>
  <c r="J33" i="171"/>
  <c r="J34" i="171"/>
  <c r="J35" i="171"/>
  <c r="J36" i="171"/>
  <c r="J37" i="171"/>
  <c r="J38" i="171"/>
  <c r="J63" i="209" s="1"/>
  <c r="J40" i="171"/>
  <c r="J44" i="171"/>
  <c r="J45" i="171"/>
  <c r="J46" i="171"/>
  <c r="J61" i="171"/>
  <c r="R63" i="209" s="1"/>
  <c r="H59" i="171"/>
  <c r="H40" i="171"/>
  <c r="H61" i="171"/>
  <c r="AF64" i="210" s="1"/>
  <c r="I26" i="171"/>
  <c r="J24" i="171"/>
  <c r="J25" i="171"/>
  <c r="J23" i="171"/>
  <c r="J26" i="171"/>
  <c r="H20" i="171"/>
  <c r="J7" i="171"/>
  <c r="J8" i="171"/>
  <c r="J9" i="171"/>
  <c r="J10" i="171"/>
  <c r="J11" i="171"/>
  <c r="J12" i="171"/>
  <c r="J13" i="171"/>
  <c r="J14" i="171"/>
  <c r="J15" i="171"/>
  <c r="J16" i="171"/>
  <c r="J17" i="171"/>
  <c r="J18" i="171"/>
  <c r="I32" i="170"/>
  <c r="H32" i="170"/>
  <c r="W63" i="3"/>
  <c r="R63" i="3"/>
  <c r="R63" i="210" s="1"/>
  <c r="S63" i="3"/>
  <c r="S63" i="210" s="1"/>
  <c r="Y63" i="3"/>
  <c r="L63" i="3"/>
  <c r="I21" i="170"/>
  <c r="H21" i="170"/>
  <c r="K63" i="3"/>
  <c r="F63" i="3"/>
  <c r="F63" i="210" s="1"/>
  <c r="H63" i="3"/>
  <c r="H63" i="210" s="1"/>
  <c r="I41" i="170"/>
  <c r="I43" i="170"/>
  <c r="H41" i="170"/>
  <c r="H43" i="170"/>
  <c r="H36" i="169"/>
  <c r="Y62" i="210" s="1"/>
  <c r="Y62" i="3"/>
  <c r="T62" i="3"/>
  <c r="T62" i="210" s="1"/>
  <c r="M62" i="3"/>
  <c r="M62" i="210" s="1"/>
  <c r="L62" i="3"/>
  <c r="I45" i="169"/>
  <c r="I31" i="169"/>
  <c r="I36" i="169"/>
  <c r="I47" i="169"/>
  <c r="J45" i="169"/>
  <c r="J31" i="169"/>
  <c r="J36" i="169"/>
  <c r="J47" i="169"/>
  <c r="H45" i="169"/>
  <c r="H31" i="169"/>
  <c r="H47" i="169"/>
  <c r="G40" i="206"/>
  <c r="G28" i="206"/>
  <c r="G33" i="206"/>
  <c r="Y61" i="210" s="1"/>
  <c r="G42" i="206"/>
  <c r="AF61" i="3"/>
  <c r="Y61" i="3"/>
  <c r="AB61" i="3"/>
  <c r="AA61" i="3"/>
  <c r="Z61" i="3"/>
  <c r="P61" i="3"/>
  <c r="P61" i="210" s="1"/>
  <c r="O61" i="3"/>
  <c r="O61" i="210" s="1"/>
  <c r="N61" i="3"/>
  <c r="N61" i="210" s="1"/>
  <c r="Q61" i="3"/>
  <c r="Q61" i="210" s="1"/>
  <c r="M61" i="3"/>
  <c r="M61" i="210" s="1"/>
  <c r="T61" i="3"/>
  <c r="T61" i="210" s="1"/>
  <c r="W61" i="3"/>
  <c r="L61" i="3"/>
  <c r="U61" i="3"/>
  <c r="AC61" i="3"/>
  <c r="AD61" i="3"/>
  <c r="Y59" i="3"/>
  <c r="T59" i="3"/>
  <c r="T59" i="210" s="1"/>
  <c r="L59" i="3"/>
  <c r="G36" i="167"/>
  <c r="G25" i="167"/>
  <c r="G38" i="167"/>
  <c r="X60" i="144"/>
  <c r="P60" i="144"/>
  <c r="H60" i="144"/>
  <c r="C60" i="3"/>
  <c r="H60" i="3"/>
  <c r="H60" i="210" s="1"/>
  <c r="Y60" i="3"/>
  <c r="T58" i="3"/>
  <c r="T58" i="210" s="1"/>
  <c r="I59" i="168"/>
  <c r="I38" i="168"/>
  <c r="I61" i="168"/>
  <c r="J43" i="168"/>
  <c r="J44" i="168"/>
  <c r="J45" i="168"/>
  <c r="J46" i="168"/>
  <c r="J47" i="168"/>
  <c r="J48" i="168"/>
  <c r="J49" i="168"/>
  <c r="J50" i="168"/>
  <c r="J51" i="168"/>
  <c r="J52" i="168"/>
  <c r="J53" i="168"/>
  <c r="J54" i="168"/>
  <c r="J55" i="168"/>
  <c r="J57" i="168"/>
  <c r="J59" i="168"/>
  <c r="J28" i="168"/>
  <c r="J29" i="168"/>
  <c r="J30" i="168"/>
  <c r="J31" i="168"/>
  <c r="J32" i="168"/>
  <c r="J33" i="168"/>
  <c r="J34" i="168"/>
  <c r="J35" i="168"/>
  <c r="J36" i="168"/>
  <c r="J59" i="209" s="1"/>
  <c r="J38" i="168"/>
  <c r="J40" i="168"/>
  <c r="J61" i="168"/>
  <c r="R59" i="209" s="1"/>
  <c r="K59" i="168"/>
  <c r="K38" i="168"/>
  <c r="K61" i="168"/>
  <c r="H59" i="168"/>
  <c r="H38" i="168"/>
  <c r="H61" i="168"/>
  <c r="AF60" i="210" s="1"/>
  <c r="I23" i="168"/>
  <c r="H23" i="168"/>
  <c r="J8" i="168"/>
  <c r="J16" i="168"/>
  <c r="J17" i="168"/>
  <c r="J18" i="168"/>
  <c r="J20" i="168"/>
  <c r="J21" i="168"/>
  <c r="J12" i="168"/>
  <c r="J13" i="168"/>
  <c r="J14" i="168"/>
  <c r="J7" i="168"/>
  <c r="J9" i="168"/>
  <c r="J10" i="168"/>
  <c r="J11" i="168"/>
  <c r="J19" i="168"/>
  <c r="J23" i="168"/>
  <c r="K23" i="168"/>
  <c r="J25" i="168"/>
  <c r="H30" i="166"/>
  <c r="L58" i="3"/>
  <c r="I45" i="166"/>
  <c r="I30" i="166"/>
  <c r="I36" i="166"/>
  <c r="I47" i="166"/>
  <c r="H45" i="166"/>
  <c r="H36" i="166"/>
  <c r="Y58" i="210" s="1"/>
  <c r="H47" i="166"/>
  <c r="X57" i="144"/>
  <c r="I58" i="165"/>
  <c r="I37" i="165"/>
  <c r="I60" i="165"/>
  <c r="AE57" i="144"/>
  <c r="AA57" i="144"/>
  <c r="Z57" i="144"/>
  <c r="Y57" i="144"/>
  <c r="R57" i="144"/>
  <c r="Q57" i="144"/>
  <c r="S57" i="144"/>
  <c r="L57" i="144"/>
  <c r="H57" i="144"/>
  <c r="F57" i="144"/>
  <c r="AA57" i="3"/>
  <c r="Y57" i="3"/>
  <c r="Z57" i="3"/>
  <c r="T57" i="3"/>
  <c r="T57" i="210" s="1"/>
  <c r="S57" i="3"/>
  <c r="S57" i="210" s="1"/>
  <c r="R57" i="3"/>
  <c r="R57" i="210" s="1"/>
  <c r="M57" i="3"/>
  <c r="M57" i="210" s="1"/>
  <c r="U57" i="210" s="1"/>
  <c r="I24" i="165"/>
  <c r="J22" i="165"/>
  <c r="J23" i="165"/>
  <c r="J24" i="165"/>
  <c r="K24" i="165"/>
  <c r="L22" i="165"/>
  <c r="L23" i="165"/>
  <c r="L24" i="165"/>
  <c r="H24" i="165"/>
  <c r="L57" i="210" s="1"/>
  <c r="L57" i="3"/>
  <c r="L57" i="165"/>
  <c r="J44" i="165"/>
  <c r="L44" i="165"/>
  <c r="J45" i="165"/>
  <c r="L45" i="165"/>
  <c r="J46" i="165"/>
  <c r="L46" i="165"/>
  <c r="J47" i="165"/>
  <c r="L47" i="165"/>
  <c r="J48" i="165"/>
  <c r="L48" i="165"/>
  <c r="J49" i="165"/>
  <c r="L49" i="165"/>
  <c r="J50" i="165"/>
  <c r="L50" i="165"/>
  <c r="J51" i="165"/>
  <c r="L51" i="165"/>
  <c r="J52" i="165"/>
  <c r="L52" i="165"/>
  <c r="J53" i="165"/>
  <c r="L53" i="165"/>
  <c r="J54" i="165"/>
  <c r="L54" i="165"/>
  <c r="J55" i="165"/>
  <c r="L55" i="165"/>
  <c r="J56" i="165"/>
  <c r="L56" i="165"/>
  <c r="L58" i="165"/>
  <c r="H57" i="3"/>
  <c r="H57" i="210" s="1"/>
  <c r="F57" i="3"/>
  <c r="F57" i="210" s="1"/>
  <c r="C57" i="3"/>
  <c r="D57" i="3"/>
  <c r="E57" i="3"/>
  <c r="G57" i="3"/>
  <c r="G57" i="210" s="1"/>
  <c r="I57" i="3"/>
  <c r="J58" i="165"/>
  <c r="K58" i="165"/>
  <c r="H58" i="165"/>
  <c r="J27" i="165"/>
  <c r="J28" i="165"/>
  <c r="J29" i="165"/>
  <c r="J30" i="165"/>
  <c r="J31" i="165"/>
  <c r="J32" i="165"/>
  <c r="J33" i="165"/>
  <c r="J34" i="165"/>
  <c r="J35" i="165"/>
  <c r="J56" i="209" s="1"/>
  <c r="J37" i="165"/>
  <c r="J40" i="165"/>
  <c r="J60" i="165"/>
  <c r="R56" i="209" s="1"/>
  <c r="K37" i="165"/>
  <c r="K60" i="165"/>
  <c r="L27" i="165"/>
  <c r="L28" i="165"/>
  <c r="L29" i="165"/>
  <c r="L30" i="165"/>
  <c r="L31" i="165"/>
  <c r="L32" i="165"/>
  <c r="L33" i="165"/>
  <c r="L34" i="165"/>
  <c r="L35" i="165"/>
  <c r="L37" i="165"/>
  <c r="L40" i="165"/>
  <c r="L60" i="165"/>
  <c r="H37" i="165"/>
  <c r="H60" i="165"/>
  <c r="AF57" i="210" s="1"/>
  <c r="I19" i="165"/>
  <c r="J7" i="165"/>
  <c r="J8" i="165"/>
  <c r="J9" i="165"/>
  <c r="J10" i="165"/>
  <c r="J11" i="165"/>
  <c r="J12" i="165"/>
  <c r="J13" i="165"/>
  <c r="J14" i="165"/>
  <c r="J16" i="165"/>
  <c r="J17" i="165"/>
  <c r="J19" i="165"/>
  <c r="K19" i="165"/>
  <c r="L7" i="165"/>
  <c r="L8" i="165"/>
  <c r="L9" i="165"/>
  <c r="L10" i="165"/>
  <c r="L11" i="165"/>
  <c r="L12" i="165"/>
  <c r="L13" i="165"/>
  <c r="L14" i="165"/>
  <c r="L15" i="165"/>
  <c r="L16" i="165"/>
  <c r="L17" i="165"/>
  <c r="L19" i="165"/>
  <c r="H19" i="165"/>
  <c r="Y55" i="3"/>
  <c r="T55" i="3"/>
  <c r="M55" i="3"/>
  <c r="I47" i="164"/>
  <c r="I35" i="164"/>
  <c r="I49" i="164"/>
  <c r="J41" i="164"/>
  <c r="J43" i="164"/>
  <c r="J44" i="164"/>
  <c r="J45" i="164"/>
  <c r="J47" i="164"/>
  <c r="J20" i="164"/>
  <c r="J21" i="164"/>
  <c r="J22" i="164"/>
  <c r="J23" i="164"/>
  <c r="J24" i="164"/>
  <c r="J25" i="164"/>
  <c r="J27" i="164"/>
  <c r="J28" i="164"/>
  <c r="J29" i="164"/>
  <c r="J30" i="164"/>
  <c r="J32" i="164"/>
  <c r="J33" i="164"/>
  <c r="J38" i="164"/>
  <c r="H47" i="164"/>
  <c r="H35" i="164"/>
  <c r="J35" i="164" s="1"/>
  <c r="H49" i="164"/>
  <c r="AF55" i="210" s="1"/>
  <c r="J17" i="164"/>
  <c r="Y54" i="3"/>
  <c r="T54" i="3"/>
  <c r="P54" i="3"/>
  <c r="M54" i="3"/>
  <c r="Q54" i="3"/>
  <c r="Q54" i="210" s="1"/>
  <c r="N54" i="3"/>
  <c r="L54" i="3"/>
  <c r="I62" i="163"/>
  <c r="I40" i="163"/>
  <c r="I48" i="163"/>
  <c r="I50" i="163"/>
  <c r="I64" i="163"/>
  <c r="J56" i="163"/>
  <c r="J57" i="163"/>
  <c r="J58" i="163"/>
  <c r="J59" i="163"/>
  <c r="J60" i="163"/>
  <c r="J62" i="163"/>
  <c r="J29" i="163"/>
  <c r="J30" i="163"/>
  <c r="J31" i="163"/>
  <c r="J32" i="163"/>
  <c r="J33" i="163"/>
  <c r="J34" i="163"/>
  <c r="J35" i="163"/>
  <c r="J36" i="163"/>
  <c r="J37" i="163"/>
  <c r="J38" i="163"/>
  <c r="J40" i="163"/>
  <c r="J43" i="163"/>
  <c r="J44" i="163"/>
  <c r="J45" i="163"/>
  <c r="J48" i="163"/>
  <c r="J53" i="163"/>
  <c r="H62" i="163"/>
  <c r="H40" i="163"/>
  <c r="H48" i="163"/>
  <c r="H50" i="163"/>
  <c r="J50" i="163" s="1"/>
  <c r="H64" i="163"/>
  <c r="AF54" i="210" s="1"/>
  <c r="J25" i="163"/>
  <c r="I15" i="163"/>
  <c r="I22" i="163"/>
  <c r="J20" i="163"/>
  <c r="J19" i="163"/>
  <c r="J18" i="163"/>
  <c r="E53" i="209" s="1"/>
  <c r="J7" i="163"/>
  <c r="J8" i="163"/>
  <c r="J9" i="163"/>
  <c r="J10" i="163"/>
  <c r="J11" i="163"/>
  <c r="J12" i="163"/>
  <c r="J13" i="163"/>
  <c r="J15" i="163"/>
  <c r="J22" i="163"/>
  <c r="H15" i="163"/>
  <c r="H22" i="163"/>
  <c r="H42" i="162"/>
  <c r="X53" i="144"/>
  <c r="G42" i="162"/>
  <c r="Y53" i="210" s="1"/>
  <c r="Y53" i="3"/>
  <c r="T53" i="3"/>
  <c r="H54" i="162"/>
  <c r="H38" i="162"/>
  <c r="H56" i="162"/>
  <c r="I45" i="162"/>
  <c r="I46" i="162"/>
  <c r="I47" i="162"/>
  <c r="I48" i="162"/>
  <c r="I49" i="162"/>
  <c r="I50" i="162"/>
  <c r="I51" i="162"/>
  <c r="I52" i="162"/>
  <c r="I54" i="162"/>
  <c r="I29" i="162"/>
  <c r="I30" i="162"/>
  <c r="I31" i="162"/>
  <c r="I32" i="162"/>
  <c r="I33" i="162"/>
  <c r="I34" i="162"/>
  <c r="I35" i="162"/>
  <c r="I36" i="162"/>
  <c r="J52" i="209" s="1"/>
  <c r="I38" i="162"/>
  <c r="I41" i="162"/>
  <c r="I42" i="162"/>
  <c r="I56" i="162"/>
  <c r="R52" i="209" s="1"/>
  <c r="J54" i="162"/>
  <c r="J38" i="162"/>
  <c r="J42" i="162"/>
  <c r="J56" i="162"/>
  <c r="G54" i="162"/>
  <c r="G38" i="162"/>
  <c r="G56" i="162"/>
  <c r="AF53" i="210" s="1"/>
  <c r="H26" i="162"/>
  <c r="I26" i="162"/>
  <c r="J26" i="162"/>
  <c r="G26" i="162"/>
  <c r="X52" i="144"/>
  <c r="L52" i="144"/>
  <c r="R52" i="144"/>
  <c r="Q52" i="144"/>
  <c r="S52" i="144"/>
  <c r="AA52" i="3"/>
  <c r="Y52" i="3"/>
  <c r="T52" i="3"/>
  <c r="T52" i="210" s="1"/>
  <c r="M52" i="3"/>
  <c r="M52" i="210" s="1"/>
  <c r="H62" i="161"/>
  <c r="H42" i="161"/>
  <c r="H64" i="161"/>
  <c r="I48" i="161"/>
  <c r="I50" i="161"/>
  <c r="I51" i="161"/>
  <c r="I52" i="161"/>
  <c r="I53" i="161"/>
  <c r="I54" i="161"/>
  <c r="I55" i="161"/>
  <c r="I56" i="161"/>
  <c r="I57" i="161"/>
  <c r="I58" i="161"/>
  <c r="I59" i="161"/>
  <c r="I60" i="161"/>
  <c r="I62" i="161"/>
  <c r="I32" i="161"/>
  <c r="I33" i="161"/>
  <c r="I34" i="161"/>
  <c r="I35" i="161"/>
  <c r="I36" i="161"/>
  <c r="I37" i="161"/>
  <c r="I38" i="161"/>
  <c r="I39" i="161"/>
  <c r="I40" i="161"/>
  <c r="I42" i="161"/>
  <c r="I45" i="161"/>
  <c r="I64" i="161"/>
  <c r="R51" i="209" s="1"/>
  <c r="J62" i="161"/>
  <c r="J42" i="161"/>
  <c r="J64" i="161"/>
  <c r="G62" i="161"/>
  <c r="G42" i="161"/>
  <c r="G64" i="161"/>
  <c r="AF52" i="210" s="1"/>
  <c r="I27" i="161"/>
  <c r="H24" i="161"/>
  <c r="I9" i="161"/>
  <c r="I10" i="161"/>
  <c r="I11" i="161"/>
  <c r="I13" i="161"/>
  <c r="I14" i="161"/>
  <c r="I15" i="161"/>
  <c r="I16" i="161"/>
  <c r="I17" i="161"/>
  <c r="I18" i="161"/>
  <c r="I19" i="161"/>
  <c r="I20" i="161"/>
  <c r="H29" i="161"/>
  <c r="I28" i="161"/>
  <c r="I29" i="161"/>
  <c r="J29" i="161"/>
  <c r="G29" i="161"/>
  <c r="H59" i="205"/>
  <c r="Y51" i="210" s="1"/>
  <c r="Y51" i="3"/>
  <c r="T51" i="3"/>
  <c r="T51" i="210" s="1"/>
  <c r="P51" i="3"/>
  <c r="P51" i="210" s="1"/>
  <c r="M51" i="3"/>
  <c r="M51" i="210" s="1"/>
  <c r="I45" i="205"/>
  <c r="I53" i="205"/>
  <c r="I55" i="205"/>
  <c r="I69" i="205"/>
  <c r="I71" i="205"/>
  <c r="J45" i="205"/>
  <c r="J53" i="205"/>
  <c r="J55" i="205"/>
  <c r="J69" i="205"/>
  <c r="J71" i="205"/>
  <c r="K45" i="205"/>
  <c r="K53" i="205"/>
  <c r="K55" i="205"/>
  <c r="K69" i="205"/>
  <c r="K71" i="205"/>
  <c r="L62" i="205"/>
  <c r="L63" i="205"/>
  <c r="L64" i="205"/>
  <c r="L65" i="205"/>
  <c r="L66" i="205"/>
  <c r="L67" i="205"/>
  <c r="L69" i="205"/>
  <c r="L37" i="205"/>
  <c r="L38" i="205"/>
  <c r="L40" i="205"/>
  <c r="L41" i="205"/>
  <c r="L43" i="205"/>
  <c r="L44" i="205"/>
  <c r="L45" i="205"/>
  <c r="L48" i="205"/>
  <c r="L49" i="205"/>
  <c r="L50" i="205"/>
  <c r="L51" i="205"/>
  <c r="L53" i="205"/>
  <c r="L55" i="205"/>
  <c r="L71" i="205"/>
  <c r="O51" i="3"/>
  <c r="O51" i="210" s="1"/>
  <c r="H69" i="205"/>
  <c r="H45" i="205"/>
  <c r="H53" i="205"/>
  <c r="H55" i="205"/>
  <c r="H71" i="205"/>
  <c r="I59" i="205"/>
  <c r="J59" i="205"/>
  <c r="K59" i="205"/>
  <c r="L59" i="205"/>
  <c r="I33" i="205"/>
  <c r="J33" i="205"/>
  <c r="K33" i="205"/>
  <c r="L33" i="205"/>
  <c r="H33" i="205"/>
  <c r="X50" i="144"/>
  <c r="R50" i="144"/>
  <c r="Q50" i="144"/>
  <c r="L50" i="144"/>
  <c r="S50" i="144"/>
  <c r="AA50" i="3"/>
  <c r="S50" i="3"/>
  <c r="S50" i="210" s="1"/>
  <c r="T50" i="3"/>
  <c r="T50" i="210" s="1"/>
  <c r="L50" i="3"/>
  <c r="I64" i="160"/>
  <c r="I45" i="160"/>
  <c r="I52" i="160"/>
  <c r="I66" i="160"/>
  <c r="J55" i="160"/>
  <c r="J56" i="160"/>
  <c r="J57" i="160"/>
  <c r="J58" i="160"/>
  <c r="J59" i="160"/>
  <c r="J60" i="160"/>
  <c r="J61" i="160"/>
  <c r="J62" i="160"/>
  <c r="J64" i="160"/>
  <c r="J32" i="160"/>
  <c r="J33" i="160"/>
  <c r="J34" i="160"/>
  <c r="J35" i="160"/>
  <c r="J36" i="160"/>
  <c r="J37" i="160"/>
  <c r="J38" i="160"/>
  <c r="J39" i="160"/>
  <c r="J40" i="160"/>
  <c r="J41" i="160"/>
  <c r="J43" i="160"/>
  <c r="J45" i="160"/>
  <c r="J48" i="160"/>
  <c r="J49" i="160"/>
  <c r="J50" i="160"/>
  <c r="J52" i="160"/>
  <c r="J66" i="160"/>
  <c r="R49" i="209" s="1"/>
  <c r="K64" i="160"/>
  <c r="K45" i="160"/>
  <c r="K52" i="160"/>
  <c r="K66" i="160"/>
  <c r="H64" i="160"/>
  <c r="H45" i="160"/>
  <c r="H52" i="160"/>
  <c r="Y50" i="210" s="1"/>
  <c r="H66" i="160"/>
  <c r="AF50" i="210" s="1"/>
  <c r="I29" i="160"/>
  <c r="J27" i="160"/>
  <c r="J29" i="160"/>
  <c r="K29" i="160"/>
  <c r="H29" i="160"/>
  <c r="H24" i="160"/>
  <c r="G50" i="159"/>
  <c r="X49" i="144"/>
  <c r="G27" i="157"/>
  <c r="Y47" i="210" s="1"/>
  <c r="Y47" i="3"/>
  <c r="F50" i="159"/>
  <c r="Y49" i="210" s="1"/>
  <c r="Y49" i="3"/>
  <c r="G62" i="159"/>
  <c r="G46" i="159"/>
  <c r="G64" i="159"/>
  <c r="H53" i="159"/>
  <c r="H54" i="159"/>
  <c r="H55" i="159"/>
  <c r="H56" i="159"/>
  <c r="H57" i="159"/>
  <c r="H58" i="159"/>
  <c r="H59" i="159"/>
  <c r="H60" i="159"/>
  <c r="H62" i="159"/>
  <c r="H34" i="159"/>
  <c r="H35" i="159"/>
  <c r="H36" i="159"/>
  <c r="H37" i="159"/>
  <c r="H38" i="159"/>
  <c r="H39" i="159"/>
  <c r="H40" i="159"/>
  <c r="H41" i="159"/>
  <c r="H43" i="159"/>
  <c r="H44" i="159"/>
  <c r="J48" i="209" s="1"/>
  <c r="H46" i="159"/>
  <c r="H49" i="159"/>
  <c r="H50" i="159"/>
  <c r="H64" i="159"/>
  <c r="R48" i="209" s="1"/>
  <c r="F62" i="159"/>
  <c r="F46" i="159"/>
  <c r="F64" i="159"/>
  <c r="AF49" i="210" s="1"/>
  <c r="G31" i="159"/>
  <c r="H30" i="159"/>
  <c r="H31" i="159"/>
  <c r="F31" i="159"/>
  <c r="T47" i="3"/>
  <c r="T47" i="210" s="1"/>
  <c r="H7" i="159"/>
  <c r="H8" i="159"/>
  <c r="H9" i="159"/>
  <c r="H10" i="159"/>
  <c r="H11" i="159"/>
  <c r="H12" i="159"/>
  <c r="H13" i="159"/>
  <c r="H14" i="159"/>
  <c r="H15" i="159"/>
  <c r="H16" i="159"/>
  <c r="H17" i="159"/>
  <c r="H18" i="159"/>
  <c r="H19" i="159"/>
  <c r="H20" i="159"/>
  <c r="H21" i="159"/>
  <c r="H22" i="159"/>
  <c r="H24" i="159"/>
  <c r="H25" i="159"/>
  <c r="F27" i="159"/>
  <c r="G27" i="159"/>
  <c r="H27" i="159"/>
  <c r="G34" i="157"/>
  <c r="G22" i="157"/>
  <c r="G36" i="157"/>
  <c r="Y46" i="3"/>
  <c r="Z46" i="3"/>
  <c r="AB46" i="3"/>
  <c r="AA46" i="3"/>
  <c r="T46" i="3"/>
  <c r="T46" i="210" s="1"/>
  <c r="I26" i="156"/>
  <c r="I33" i="156"/>
  <c r="I35" i="156"/>
  <c r="I50" i="156"/>
  <c r="I52" i="156"/>
  <c r="J23" i="156"/>
  <c r="J24" i="156"/>
  <c r="J26" i="156"/>
  <c r="J29" i="156"/>
  <c r="J30" i="156"/>
  <c r="J31" i="156"/>
  <c r="J33" i="156"/>
  <c r="J35" i="156"/>
  <c r="J40" i="156"/>
  <c r="J42" i="156"/>
  <c r="J44" i="156"/>
  <c r="J45" i="156"/>
  <c r="J46" i="156"/>
  <c r="J47" i="156"/>
  <c r="J48" i="156"/>
  <c r="J50" i="156"/>
  <c r="J37" i="156"/>
  <c r="J52" i="156"/>
  <c r="R45" i="209" s="1"/>
  <c r="H26" i="156"/>
  <c r="H33" i="156"/>
  <c r="H35" i="156"/>
  <c r="H50" i="156"/>
  <c r="H52" i="156"/>
  <c r="AF46" i="210" s="1"/>
  <c r="J19" i="156"/>
  <c r="I12" i="156"/>
  <c r="H12" i="156"/>
  <c r="T45" i="3"/>
  <c r="T45" i="210" s="1"/>
  <c r="M45" i="3"/>
  <c r="M45" i="210" s="1"/>
  <c r="H45" i="3"/>
  <c r="H45" i="210" s="1"/>
  <c r="F45" i="3"/>
  <c r="F45" i="210" s="1"/>
  <c r="E45" i="3"/>
  <c r="E45" i="210" s="1"/>
  <c r="C45" i="3"/>
  <c r="C45" i="210" s="1"/>
  <c r="I45" i="210" s="1"/>
  <c r="I45" i="3"/>
  <c r="H20" i="155"/>
  <c r="K45" i="3"/>
  <c r="H38" i="155"/>
  <c r="H31" i="155"/>
  <c r="H40" i="155"/>
  <c r="I31" i="155"/>
  <c r="I20" i="155"/>
  <c r="Z44" i="144"/>
  <c r="G35" i="204"/>
  <c r="X44" i="144"/>
  <c r="S44" i="144"/>
  <c r="R44" i="144"/>
  <c r="Q44" i="144"/>
  <c r="AA44" i="3"/>
  <c r="F35" i="204"/>
  <c r="Y44" i="210" s="1"/>
  <c r="Y44" i="3"/>
  <c r="T44" i="3"/>
  <c r="T44" i="210" s="1"/>
  <c r="G47" i="204"/>
  <c r="H40" i="204"/>
  <c r="H42" i="204"/>
  <c r="H43" i="204"/>
  <c r="H44" i="204"/>
  <c r="H45" i="204"/>
  <c r="H47" i="204"/>
  <c r="I47" i="204"/>
  <c r="G31" i="204"/>
  <c r="G37" i="204"/>
  <c r="H23" i="204"/>
  <c r="H24" i="204"/>
  <c r="H25" i="204"/>
  <c r="H26" i="204"/>
  <c r="H27" i="204"/>
  <c r="H28" i="204"/>
  <c r="H29" i="204"/>
  <c r="H22" i="204"/>
  <c r="I43" i="209" s="1"/>
  <c r="H31" i="204"/>
  <c r="H34" i="204"/>
  <c r="H35" i="204"/>
  <c r="H37" i="204"/>
  <c r="I35" i="204"/>
  <c r="I31" i="204"/>
  <c r="I37" i="204"/>
  <c r="F31" i="204"/>
  <c r="F37" i="204"/>
  <c r="G19" i="204"/>
  <c r="F19" i="204"/>
  <c r="I55" i="154"/>
  <c r="X43" i="144"/>
  <c r="L43" i="144"/>
  <c r="S43" i="144"/>
  <c r="I12" i="154"/>
  <c r="H55" i="154"/>
  <c r="Y43" i="210" s="1"/>
  <c r="Y43" i="3"/>
  <c r="M43" i="3"/>
  <c r="M43" i="210" s="1"/>
  <c r="T43" i="3"/>
  <c r="T43" i="210" s="1"/>
  <c r="H39" i="154"/>
  <c r="I39" i="154"/>
  <c r="I49" i="154"/>
  <c r="I51" i="154"/>
  <c r="H49" i="154"/>
  <c r="H51" i="154"/>
  <c r="O43" i="3"/>
  <c r="O43" i="210" s="1"/>
  <c r="N43" i="3"/>
  <c r="Q43" i="3"/>
  <c r="H12" i="154"/>
  <c r="H19" i="154"/>
  <c r="H21" i="154"/>
  <c r="H25" i="154"/>
  <c r="L43" i="210" s="1"/>
  <c r="L43" i="3"/>
  <c r="I62" i="154"/>
  <c r="I64" i="154"/>
  <c r="J29" i="154"/>
  <c r="J30" i="154"/>
  <c r="J31" i="154"/>
  <c r="J32" i="154"/>
  <c r="J33" i="154"/>
  <c r="J34" i="154"/>
  <c r="J35" i="154"/>
  <c r="J36" i="154"/>
  <c r="J37" i="154"/>
  <c r="J39" i="154"/>
  <c r="J42" i="154"/>
  <c r="J43" i="154"/>
  <c r="J44" i="154"/>
  <c r="J45" i="154"/>
  <c r="J46" i="154"/>
  <c r="J47" i="154"/>
  <c r="J49" i="154"/>
  <c r="J51" i="154"/>
  <c r="J58" i="154"/>
  <c r="J59" i="154"/>
  <c r="J60" i="154"/>
  <c r="J62" i="154"/>
  <c r="J54" i="154"/>
  <c r="J55" i="154"/>
  <c r="J64" i="154"/>
  <c r="R42" i="209" s="1"/>
  <c r="H62" i="154"/>
  <c r="H64" i="154"/>
  <c r="AF43" i="210" s="1"/>
  <c r="I19" i="154"/>
  <c r="I21" i="154"/>
  <c r="I25" i="154"/>
  <c r="J7" i="154"/>
  <c r="J8" i="154"/>
  <c r="J9" i="154"/>
  <c r="J10" i="154"/>
  <c r="J12" i="154"/>
  <c r="J15" i="154"/>
  <c r="J16" i="154"/>
  <c r="J17" i="154"/>
  <c r="J19" i="154"/>
  <c r="J21" i="154"/>
  <c r="J24" i="154"/>
  <c r="J25" i="154"/>
  <c r="I48" i="152"/>
  <c r="X41" i="144"/>
  <c r="T40" i="144"/>
  <c r="I57" i="152"/>
  <c r="I41" i="152"/>
  <c r="I59" i="152"/>
  <c r="H57" i="152"/>
  <c r="H41" i="152"/>
  <c r="H48" i="152"/>
  <c r="Y41" i="210" s="1"/>
  <c r="H59" i="152"/>
  <c r="I27" i="152"/>
  <c r="H27" i="152"/>
  <c r="L41" i="210" s="1"/>
  <c r="H39" i="151"/>
  <c r="H31" i="151"/>
  <c r="H41" i="151"/>
  <c r="AF40" i="3"/>
  <c r="AB40" i="3"/>
  <c r="Z40" i="3"/>
  <c r="AC40" i="3"/>
  <c r="Y40" i="3"/>
  <c r="W40" i="3"/>
  <c r="S40" i="3"/>
  <c r="S40" i="210" s="1"/>
  <c r="R40" i="3"/>
  <c r="R40" i="210" s="1"/>
  <c r="L40" i="3"/>
  <c r="T40" i="3"/>
  <c r="T40" i="210" s="1"/>
  <c r="M40" i="3"/>
  <c r="M40" i="210" s="1"/>
  <c r="U40" i="210" s="1"/>
  <c r="F40" i="3"/>
  <c r="F40" i="210" s="1"/>
  <c r="H9" i="151"/>
  <c r="H13" i="151"/>
  <c r="H29" i="151"/>
  <c r="H43" i="148"/>
  <c r="Y37" i="210" s="1"/>
  <c r="Y37" i="3"/>
  <c r="I54" i="148"/>
  <c r="I39" i="148"/>
  <c r="I43" i="148"/>
  <c r="I56" i="148"/>
  <c r="J46" i="148"/>
  <c r="J48" i="148"/>
  <c r="J49" i="148"/>
  <c r="J50" i="148"/>
  <c r="J51" i="148"/>
  <c r="J52" i="148"/>
  <c r="J54" i="148"/>
  <c r="J30" i="148"/>
  <c r="J31" i="148"/>
  <c r="J32" i="148"/>
  <c r="J33" i="148"/>
  <c r="J34" i="148"/>
  <c r="J36" i="148"/>
  <c r="J37" i="148"/>
  <c r="J36" i="209" s="1"/>
  <c r="J39" i="148"/>
  <c r="J42" i="148"/>
  <c r="J43" i="148"/>
  <c r="J56" i="148"/>
  <c r="R36" i="209" s="1"/>
  <c r="H54" i="148"/>
  <c r="H39" i="148"/>
  <c r="H56" i="148"/>
  <c r="AF37" i="210" s="1"/>
  <c r="I27" i="148"/>
  <c r="J24" i="148"/>
  <c r="J25" i="148"/>
  <c r="J27" i="148"/>
  <c r="H27" i="148"/>
  <c r="L37" i="210" s="1"/>
  <c r="Y36" i="3"/>
  <c r="Z36" i="3"/>
  <c r="AB36" i="3"/>
  <c r="AA36" i="3"/>
  <c r="P36" i="3"/>
  <c r="P36" i="210" s="1"/>
  <c r="N36" i="3"/>
  <c r="N36" i="210" s="1"/>
  <c r="O36" i="3"/>
  <c r="O36" i="210" s="1"/>
  <c r="T36" i="3"/>
  <c r="T36" i="210" s="1"/>
  <c r="F36" i="3"/>
  <c r="F36" i="210" s="1"/>
  <c r="G28" i="200"/>
  <c r="G38" i="200"/>
  <c r="G40" i="200"/>
  <c r="Y35" i="3"/>
  <c r="M35" i="3"/>
  <c r="M35" i="210" s="1"/>
  <c r="T35" i="3"/>
  <c r="T35" i="210" s="1"/>
  <c r="M33" i="3"/>
  <c r="Q33" i="3"/>
  <c r="R33" i="3"/>
  <c r="S33" i="3"/>
  <c r="T33" i="3"/>
  <c r="U33" i="3"/>
  <c r="M31" i="3"/>
  <c r="R31" i="3"/>
  <c r="S31" i="3"/>
  <c r="T31" i="3"/>
  <c r="U31" i="3"/>
  <c r="R35" i="3"/>
  <c r="R35" i="210" s="1"/>
  <c r="S35" i="3"/>
  <c r="S35" i="210" s="1"/>
  <c r="U35" i="3"/>
  <c r="G15" i="199"/>
  <c r="L35" i="210" s="1"/>
  <c r="L35" i="3"/>
  <c r="G28" i="199"/>
  <c r="G37" i="199"/>
  <c r="G39" i="199"/>
  <c r="M66" i="3"/>
  <c r="M66" i="210" s="1"/>
  <c r="R66" i="3"/>
  <c r="R66" i="210" s="1"/>
  <c r="S66" i="3"/>
  <c r="S66" i="210" s="1"/>
  <c r="T66" i="3"/>
  <c r="T66" i="210" s="1"/>
  <c r="U66" i="3"/>
  <c r="Z66" i="3"/>
  <c r="AA66" i="3"/>
  <c r="AB66" i="3"/>
  <c r="AC66" i="3"/>
  <c r="AD66" i="3"/>
  <c r="L67" i="3"/>
  <c r="L66" i="3"/>
  <c r="G30" i="173"/>
  <c r="G36" i="173"/>
  <c r="Y66" i="210" s="1"/>
  <c r="AA67" i="3"/>
  <c r="T67" i="3"/>
  <c r="T67" i="210" s="1"/>
  <c r="S68" i="144"/>
  <c r="L68" i="144"/>
  <c r="Q68" i="144"/>
  <c r="R68" i="144"/>
  <c r="F68" i="144"/>
  <c r="E68" i="144"/>
  <c r="H68" i="144"/>
  <c r="D68" i="144"/>
  <c r="C68" i="144"/>
  <c r="AA68" i="3"/>
  <c r="Z68" i="3"/>
  <c r="S68" i="3"/>
  <c r="S68" i="210" s="1"/>
  <c r="R68" i="3"/>
  <c r="R68" i="210" s="1"/>
  <c r="M68" i="3"/>
  <c r="M68" i="210" s="1"/>
  <c r="T68" i="3"/>
  <c r="T68" i="210" s="1"/>
  <c r="J31" i="207"/>
  <c r="J33" i="207"/>
  <c r="J34" i="207"/>
  <c r="J67" i="209" s="1"/>
  <c r="L69" i="3"/>
  <c r="I19" i="175"/>
  <c r="H19" i="175"/>
  <c r="K69" i="3"/>
  <c r="E69" i="3"/>
  <c r="E69" i="210" s="1"/>
  <c r="C69" i="3"/>
  <c r="C69" i="210" s="1"/>
  <c r="F69" i="3"/>
  <c r="F69" i="210" s="1"/>
  <c r="G11" i="199"/>
  <c r="G16" i="199"/>
  <c r="I46" i="198"/>
  <c r="I34" i="198"/>
  <c r="I48" i="198"/>
  <c r="J40" i="198"/>
  <c r="J42" i="198"/>
  <c r="J43" i="198"/>
  <c r="J44" i="198"/>
  <c r="J46" i="198"/>
  <c r="J26" i="198"/>
  <c r="J27" i="198"/>
  <c r="J28" i="198"/>
  <c r="J29" i="198"/>
  <c r="J30" i="198"/>
  <c r="J31" i="198"/>
  <c r="J32" i="198"/>
  <c r="J33" i="209" s="1"/>
  <c r="J34" i="198"/>
  <c r="J37" i="198"/>
  <c r="J48" i="198"/>
  <c r="R33" i="209" s="1"/>
  <c r="K46" i="198"/>
  <c r="K34" i="198"/>
  <c r="K48" i="198"/>
  <c r="H46" i="198"/>
  <c r="H34" i="198"/>
  <c r="H48" i="198"/>
  <c r="AF34" i="210" s="1"/>
  <c r="Y34" i="3"/>
  <c r="I23" i="198"/>
  <c r="J19" i="198"/>
  <c r="J20" i="198"/>
  <c r="J21" i="198"/>
  <c r="J23" i="198"/>
  <c r="K23" i="198"/>
  <c r="H23" i="198"/>
  <c r="L34" i="210" s="1"/>
  <c r="Y33" i="144"/>
  <c r="I50" i="197"/>
  <c r="X33" i="144"/>
  <c r="S33" i="144"/>
  <c r="P33" i="144"/>
  <c r="L33" i="144"/>
  <c r="D33" i="144"/>
  <c r="E33" i="144"/>
  <c r="F33" i="144"/>
  <c r="G33" i="144"/>
  <c r="H33" i="144"/>
  <c r="C33" i="144"/>
  <c r="H50" i="197"/>
  <c r="Y33" i="210" s="1"/>
  <c r="Y33" i="3"/>
  <c r="H30" i="197"/>
  <c r="L33" i="210" s="1"/>
  <c r="L33" i="3"/>
  <c r="G33" i="3"/>
  <c r="G33" i="210" s="1"/>
  <c r="H33" i="3"/>
  <c r="H33" i="210" s="1"/>
  <c r="E33" i="3"/>
  <c r="E33" i="210" s="1"/>
  <c r="D33" i="3"/>
  <c r="D33" i="210" s="1"/>
  <c r="C33" i="3"/>
  <c r="C33" i="210" s="1"/>
  <c r="I45" i="197"/>
  <c r="I61" i="197"/>
  <c r="I63" i="197"/>
  <c r="J34" i="197"/>
  <c r="J35" i="197"/>
  <c r="J36" i="197"/>
  <c r="J37" i="197"/>
  <c r="J38" i="197"/>
  <c r="J40" i="197"/>
  <c r="J41" i="197"/>
  <c r="J42" i="197"/>
  <c r="J43" i="197"/>
  <c r="J45" i="197"/>
  <c r="J54" i="197"/>
  <c r="J55" i="197"/>
  <c r="J56" i="197"/>
  <c r="J57" i="197"/>
  <c r="J58" i="197"/>
  <c r="J59" i="197"/>
  <c r="J61" i="197"/>
  <c r="J49" i="197"/>
  <c r="J50" i="197"/>
  <c r="J63" i="197"/>
  <c r="R32" i="209" s="1"/>
  <c r="K45" i="197"/>
  <c r="K61" i="197"/>
  <c r="K50" i="197"/>
  <c r="K63" i="197"/>
  <c r="H45" i="197"/>
  <c r="H61" i="197"/>
  <c r="H63" i="197"/>
  <c r="AF33" i="210" s="1"/>
  <c r="I30" i="197"/>
  <c r="J28" i="197"/>
  <c r="J29" i="197"/>
  <c r="J30" i="197"/>
  <c r="K30" i="197"/>
  <c r="K25" i="197"/>
  <c r="I25" i="197"/>
  <c r="J13" i="197"/>
  <c r="J7" i="197"/>
  <c r="J8" i="197"/>
  <c r="J9" i="197"/>
  <c r="J10" i="197"/>
  <c r="J11" i="197"/>
  <c r="J12" i="197"/>
  <c r="J14" i="197"/>
  <c r="J15" i="197"/>
  <c r="J16" i="197"/>
  <c r="J17" i="197"/>
  <c r="J18" i="197"/>
  <c r="J19" i="197"/>
  <c r="J20" i="197"/>
  <c r="J21" i="197"/>
  <c r="J22" i="197"/>
  <c r="J23" i="197"/>
  <c r="J25" i="197"/>
  <c r="H25" i="197"/>
  <c r="Z31" i="144"/>
  <c r="X31" i="144"/>
  <c r="S31" i="144"/>
  <c r="R31" i="144"/>
  <c r="Q31" i="144"/>
  <c r="L31" i="144"/>
  <c r="C31" i="144"/>
  <c r="I29" i="196"/>
  <c r="I38" i="196"/>
  <c r="I40" i="196"/>
  <c r="E31" i="144"/>
  <c r="F31" i="144"/>
  <c r="H31" i="144"/>
  <c r="H29" i="144"/>
  <c r="K31" i="144"/>
  <c r="Y31" i="3"/>
  <c r="H68" i="196"/>
  <c r="H77" i="196"/>
  <c r="H79" i="196"/>
  <c r="H101" i="196"/>
  <c r="H103" i="196"/>
  <c r="AF31" i="210" s="1"/>
  <c r="AF31" i="3"/>
  <c r="Z31" i="3"/>
  <c r="AB31" i="3"/>
  <c r="AA31" i="3"/>
  <c r="H47" i="196"/>
  <c r="L31" i="210" s="1"/>
  <c r="L31" i="3"/>
  <c r="K68" i="196"/>
  <c r="K77" i="196"/>
  <c r="K79" i="196"/>
  <c r="K101" i="196"/>
  <c r="K103" i="196"/>
  <c r="I77" i="196"/>
  <c r="I68" i="196"/>
  <c r="I79" i="196"/>
  <c r="I101" i="196"/>
  <c r="I103" i="196"/>
  <c r="J60" i="196"/>
  <c r="J51" i="196"/>
  <c r="J52" i="196"/>
  <c r="J53" i="196"/>
  <c r="J54" i="196"/>
  <c r="J55" i="196"/>
  <c r="J56" i="196"/>
  <c r="J57" i="196"/>
  <c r="J58" i="196"/>
  <c r="J59" i="196"/>
  <c r="J61" i="196"/>
  <c r="J62" i="196"/>
  <c r="J63" i="196"/>
  <c r="J64" i="196"/>
  <c r="J65" i="196"/>
  <c r="J66" i="196"/>
  <c r="J68" i="196"/>
  <c r="J71" i="196"/>
  <c r="J72" i="196"/>
  <c r="J73" i="196"/>
  <c r="J74" i="196"/>
  <c r="J75" i="196"/>
  <c r="J77" i="196"/>
  <c r="J79" i="196"/>
  <c r="J85" i="196"/>
  <c r="J87" i="196"/>
  <c r="J88" i="196"/>
  <c r="J89" i="196"/>
  <c r="J90" i="196"/>
  <c r="J91" i="196"/>
  <c r="J92" i="196"/>
  <c r="J93" i="196"/>
  <c r="J94" i="196"/>
  <c r="J95" i="196"/>
  <c r="J96" i="196"/>
  <c r="J97" i="196"/>
  <c r="J98" i="196"/>
  <c r="J99" i="196"/>
  <c r="J101" i="196"/>
  <c r="J82" i="196"/>
  <c r="J103" i="196"/>
  <c r="R30" i="209" s="1"/>
  <c r="I47" i="196"/>
  <c r="J43" i="196"/>
  <c r="J44" i="196"/>
  <c r="J45" i="196"/>
  <c r="J47" i="196"/>
  <c r="K47" i="196"/>
  <c r="H29" i="196"/>
  <c r="J20" i="196"/>
  <c r="J21" i="196"/>
  <c r="J22" i="196"/>
  <c r="J23" i="196"/>
  <c r="J24" i="196"/>
  <c r="J15" i="196"/>
  <c r="G32" i="195"/>
  <c r="G49" i="195"/>
  <c r="G37" i="195"/>
  <c r="Y32" i="210" s="1"/>
  <c r="G51" i="195"/>
  <c r="AB32" i="3"/>
  <c r="AA32" i="3"/>
  <c r="Z32" i="3"/>
  <c r="AC32" i="3"/>
  <c r="M32" i="3"/>
  <c r="M32" i="210" s="1"/>
  <c r="O32" i="3"/>
  <c r="O32" i="210" s="1"/>
  <c r="P32" i="3"/>
  <c r="P32" i="210" s="1"/>
  <c r="Q32" i="3"/>
  <c r="Q32" i="210" s="1"/>
  <c r="T32" i="3"/>
  <c r="T32" i="210" s="1"/>
  <c r="U32" i="3"/>
  <c r="Y32" i="3"/>
  <c r="AD32" i="3"/>
  <c r="G18" i="195"/>
  <c r="L32" i="210" s="1"/>
  <c r="L32" i="3"/>
  <c r="G17" i="194"/>
  <c r="L30" i="210" s="1"/>
  <c r="L30" i="3"/>
  <c r="AA30" i="3"/>
  <c r="G30" i="194"/>
  <c r="Y30" i="210" s="1"/>
  <c r="Y30" i="3"/>
  <c r="G26" i="194"/>
  <c r="G47" i="194"/>
  <c r="G49" i="194"/>
  <c r="X29" i="144"/>
  <c r="L29" i="144"/>
  <c r="S29" i="144"/>
  <c r="Q29" i="144"/>
  <c r="Y29" i="3"/>
  <c r="T29" i="3"/>
  <c r="T29" i="210" s="1"/>
  <c r="M29" i="3"/>
  <c r="M29" i="210" s="1"/>
  <c r="L29" i="3"/>
  <c r="I41" i="193"/>
  <c r="I59" i="193"/>
  <c r="I61" i="193"/>
  <c r="J29" i="193"/>
  <c r="J30" i="193"/>
  <c r="J31" i="193"/>
  <c r="J32" i="193"/>
  <c r="J33" i="193"/>
  <c r="J34" i="193"/>
  <c r="J35" i="193"/>
  <c r="J36" i="193"/>
  <c r="J37" i="193"/>
  <c r="J38" i="193"/>
  <c r="J39" i="193"/>
  <c r="J41" i="193"/>
  <c r="J47" i="193"/>
  <c r="J49" i="193"/>
  <c r="J50" i="193"/>
  <c r="J51" i="193"/>
  <c r="J52" i="193"/>
  <c r="J53" i="193"/>
  <c r="J54" i="193"/>
  <c r="J55" i="193"/>
  <c r="J56" i="193"/>
  <c r="J57" i="193"/>
  <c r="J59" i="193"/>
  <c r="J44" i="193"/>
  <c r="J61" i="193"/>
  <c r="R28" i="209" s="1"/>
  <c r="K41" i="193"/>
  <c r="K59" i="193"/>
  <c r="K61" i="193"/>
  <c r="L41" i="193"/>
  <c r="L59" i="193"/>
  <c r="L61" i="193"/>
  <c r="H41" i="193"/>
  <c r="H59" i="193"/>
  <c r="H61" i="193"/>
  <c r="AF29" i="210" s="1"/>
  <c r="J26" i="193"/>
  <c r="J10" i="193"/>
  <c r="J9" i="193"/>
  <c r="X28" i="144"/>
  <c r="R25" i="144"/>
  <c r="X8" i="144"/>
  <c r="I38" i="178"/>
  <c r="X13" i="144"/>
  <c r="I51" i="186"/>
  <c r="X22" i="144"/>
  <c r="I32" i="187"/>
  <c r="X23" i="144"/>
  <c r="X27" i="144"/>
  <c r="T6" i="144"/>
  <c r="T7" i="144"/>
  <c r="L8" i="144"/>
  <c r="R8" i="144"/>
  <c r="S8" i="144"/>
  <c r="T8" i="144"/>
  <c r="T9" i="144"/>
  <c r="T10" i="144"/>
  <c r="T11" i="144"/>
  <c r="T12" i="144"/>
  <c r="L13" i="144"/>
  <c r="Q13" i="144"/>
  <c r="R13" i="144"/>
  <c r="S13" i="144"/>
  <c r="T13" i="210" s="1"/>
  <c r="T13" i="144"/>
  <c r="T14" i="144"/>
  <c r="L15" i="144"/>
  <c r="P15" i="144"/>
  <c r="Q15" i="144"/>
  <c r="R15" i="144"/>
  <c r="S15" i="144"/>
  <c r="T15" i="144"/>
  <c r="T16" i="144"/>
  <c r="T17" i="144"/>
  <c r="T18" i="144"/>
  <c r="T19" i="144"/>
  <c r="T20" i="144"/>
  <c r="L21" i="144"/>
  <c r="S21" i="144"/>
  <c r="T21" i="144"/>
  <c r="L22" i="144"/>
  <c r="Q22" i="144"/>
  <c r="R22" i="144"/>
  <c r="S22" i="144"/>
  <c r="T22" i="144"/>
  <c r="L23" i="144"/>
  <c r="Q23" i="144"/>
  <c r="R23" i="144"/>
  <c r="T23" i="144"/>
  <c r="T24" i="144"/>
  <c r="L25" i="144"/>
  <c r="Q25" i="144"/>
  <c r="S25" i="144"/>
  <c r="T25" i="144"/>
  <c r="T26" i="144"/>
  <c r="L27" i="144"/>
  <c r="M27" i="144"/>
  <c r="S27" i="144"/>
  <c r="T27" i="144"/>
  <c r="R29" i="144"/>
  <c r="T29" i="144"/>
  <c r="T30" i="144"/>
  <c r="T32" i="144"/>
  <c r="T31" i="144"/>
  <c r="T35" i="144"/>
  <c r="Q33" i="144"/>
  <c r="R33" i="144"/>
  <c r="T33" i="144"/>
  <c r="L34" i="144"/>
  <c r="P34" i="144"/>
  <c r="T34" i="144"/>
  <c r="T36" i="144"/>
  <c r="L37" i="144"/>
  <c r="Q37" i="144"/>
  <c r="R37" i="144"/>
  <c r="T37" i="144"/>
  <c r="T38" i="144"/>
  <c r="T39" i="144"/>
  <c r="T41" i="144"/>
  <c r="U41" i="144" s="1"/>
  <c r="L42" i="144"/>
  <c r="Q42" i="144"/>
  <c r="R42" i="144"/>
  <c r="S42" i="144"/>
  <c r="T42" i="144"/>
  <c r="M43" i="144"/>
  <c r="P43" i="144"/>
  <c r="T43" i="144"/>
  <c r="L44" i="144"/>
  <c r="T44" i="144"/>
  <c r="T45" i="144"/>
  <c r="L46" i="144"/>
  <c r="T46" i="144"/>
  <c r="T47" i="144"/>
  <c r="T48" i="144"/>
  <c r="L49" i="144"/>
  <c r="Q49" i="144"/>
  <c r="R49" i="144"/>
  <c r="S49" i="144"/>
  <c r="T49" i="144"/>
  <c r="T50" i="144"/>
  <c r="T51" i="144"/>
  <c r="T52" i="144"/>
  <c r="L53" i="144"/>
  <c r="Q53" i="144"/>
  <c r="R53" i="144"/>
  <c r="S53" i="144"/>
  <c r="T53" i="144"/>
  <c r="L54" i="144"/>
  <c r="M54" i="144"/>
  <c r="N54" i="144"/>
  <c r="O54" i="144"/>
  <c r="S54" i="144"/>
  <c r="T54" i="144"/>
  <c r="L55" i="144"/>
  <c r="S55" i="144"/>
  <c r="T55" i="144"/>
  <c r="T56" i="144"/>
  <c r="T57" i="144"/>
  <c r="T58" i="144"/>
  <c r="T59" i="144"/>
  <c r="L60" i="144"/>
  <c r="Q60" i="144"/>
  <c r="R60" i="144"/>
  <c r="T60" i="144"/>
  <c r="T61" i="144"/>
  <c r="T62" i="144"/>
  <c r="T63" i="144"/>
  <c r="T64" i="144"/>
  <c r="T65" i="144"/>
  <c r="T66" i="144"/>
  <c r="T67" i="144"/>
  <c r="T68" i="144"/>
  <c r="T69" i="144"/>
  <c r="I46" i="192"/>
  <c r="H46" i="192"/>
  <c r="I28" i="144"/>
  <c r="I22" i="192"/>
  <c r="Y28" i="3"/>
  <c r="T28" i="3"/>
  <c r="T28" i="210" s="1"/>
  <c r="H27" i="192"/>
  <c r="L28" i="210" s="1"/>
  <c r="L28" i="3"/>
  <c r="I61" i="192"/>
  <c r="I63" i="192"/>
  <c r="H61" i="192"/>
  <c r="H63" i="192"/>
  <c r="I27" i="192"/>
  <c r="F27" i="144"/>
  <c r="Y27" i="3"/>
  <c r="M27" i="3"/>
  <c r="M27" i="210" s="1"/>
  <c r="L27" i="3"/>
  <c r="T27" i="3"/>
  <c r="T27" i="210" s="1"/>
  <c r="I43" i="191"/>
  <c r="I31" i="191"/>
  <c r="I45" i="191"/>
  <c r="J36" i="191"/>
  <c r="J38" i="191"/>
  <c r="J39" i="191"/>
  <c r="J40" i="191"/>
  <c r="J41" i="191"/>
  <c r="J43" i="191"/>
  <c r="J20" i="191"/>
  <c r="J21" i="191"/>
  <c r="J22" i="191"/>
  <c r="J23" i="191"/>
  <c r="J24" i="191"/>
  <c r="J25" i="191"/>
  <c r="J26" i="191"/>
  <c r="J27" i="191"/>
  <c r="J28" i="191"/>
  <c r="J29" i="191"/>
  <c r="J31" i="191"/>
  <c r="J33" i="191"/>
  <c r="J45" i="191"/>
  <c r="R26" i="209" s="1"/>
  <c r="H43" i="191"/>
  <c r="H31" i="191"/>
  <c r="H45" i="191"/>
  <c r="AF27" i="210" s="1"/>
  <c r="J17" i="191"/>
  <c r="Y26" i="3"/>
  <c r="Q26" i="3"/>
  <c r="Q26" i="210" s="1"/>
  <c r="S26" i="3"/>
  <c r="S26" i="210" s="1"/>
  <c r="R26" i="3"/>
  <c r="R26" i="210" s="1"/>
  <c r="N26" i="3"/>
  <c r="N26" i="210" s="1"/>
  <c r="M26" i="3"/>
  <c r="M26" i="210" s="1"/>
  <c r="G27" i="190"/>
  <c r="G36" i="190"/>
  <c r="G38" i="190"/>
  <c r="G10" i="190"/>
  <c r="G14" i="190"/>
  <c r="S25" i="3"/>
  <c r="S25" i="210" s="1"/>
  <c r="R25" i="3"/>
  <c r="R25" i="210" s="1"/>
  <c r="L25" i="3"/>
  <c r="T25" i="3"/>
  <c r="T25" i="210" s="1"/>
  <c r="M25" i="3"/>
  <c r="M25" i="210" s="1"/>
  <c r="U25" i="210" s="1"/>
  <c r="J35" i="189"/>
  <c r="J26" i="189"/>
  <c r="J27" i="189"/>
  <c r="J28" i="189"/>
  <c r="J29" i="189"/>
  <c r="J30" i="189"/>
  <c r="J18" i="189"/>
  <c r="G29" i="188"/>
  <c r="Y24" i="210" s="1"/>
  <c r="Y24" i="3"/>
  <c r="T24" i="3"/>
  <c r="T24" i="210" s="1"/>
  <c r="G39" i="188"/>
  <c r="G25" i="188"/>
  <c r="G41" i="188"/>
  <c r="G16" i="188"/>
  <c r="H32" i="187"/>
  <c r="Y23" i="210" s="1"/>
  <c r="Y23" i="3"/>
  <c r="AB23" i="3"/>
  <c r="AA23" i="3"/>
  <c r="Z23" i="144"/>
  <c r="AA23" i="144"/>
  <c r="AB23" i="144"/>
  <c r="AC23" i="144"/>
  <c r="I49" i="187"/>
  <c r="I28" i="187"/>
  <c r="I51" i="187"/>
  <c r="J35" i="187"/>
  <c r="J37" i="187"/>
  <c r="J38" i="187"/>
  <c r="J39" i="187"/>
  <c r="J40" i="187"/>
  <c r="J41" i="187"/>
  <c r="J42" i="187"/>
  <c r="J43" i="187"/>
  <c r="J44" i="187"/>
  <c r="J45" i="187"/>
  <c r="J46" i="187"/>
  <c r="J47" i="187"/>
  <c r="J49" i="187"/>
  <c r="J22" i="187"/>
  <c r="J23" i="187"/>
  <c r="J25" i="187"/>
  <c r="J26" i="187"/>
  <c r="J22" i="209" s="1"/>
  <c r="J28" i="187"/>
  <c r="J32" i="187"/>
  <c r="J51" i="187"/>
  <c r="R22" i="209" s="1"/>
  <c r="H49" i="187"/>
  <c r="H28" i="187"/>
  <c r="H51" i="187"/>
  <c r="AF23" i="210" s="1"/>
  <c r="J31" i="187"/>
  <c r="J18" i="187"/>
  <c r="H19" i="187"/>
  <c r="I19" i="187"/>
  <c r="J19" i="187"/>
  <c r="Y22" i="144"/>
  <c r="Z22" i="144"/>
  <c r="AA22" i="144"/>
  <c r="AB22" i="144"/>
  <c r="AC22" i="144"/>
  <c r="H51" i="186"/>
  <c r="Y22" i="210" s="1"/>
  <c r="Y22" i="3"/>
  <c r="T22" i="3"/>
  <c r="T22" i="210" s="1"/>
  <c r="I46" i="186"/>
  <c r="I62" i="186"/>
  <c r="I64" i="186"/>
  <c r="J35" i="186"/>
  <c r="J37" i="186"/>
  <c r="J38" i="186"/>
  <c r="J39" i="186"/>
  <c r="J43" i="186"/>
  <c r="J44" i="186"/>
  <c r="J21" i="209" s="1"/>
  <c r="J54" i="186"/>
  <c r="J56" i="186"/>
  <c r="J57" i="186"/>
  <c r="J58" i="186"/>
  <c r="J59" i="186"/>
  <c r="J60" i="186"/>
  <c r="J62" i="186"/>
  <c r="J49" i="186"/>
  <c r="J50" i="186"/>
  <c r="J51" i="186"/>
  <c r="K46" i="186"/>
  <c r="K62" i="186"/>
  <c r="K51" i="186"/>
  <c r="K64" i="186"/>
  <c r="H46" i="186"/>
  <c r="J46" i="186" s="1"/>
  <c r="H62" i="186"/>
  <c r="H64" i="186"/>
  <c r="AF22" i="210" s="1"/>
  <c r="H32" i="186"/>
  <c r="L22" i="210" s="1"/>
  <c r="J30" i="186"/>
  <c r="J17" i="186"/>
  <c r="I40" i="185"/>
  <c r="I31" i="185"/>
  <c r="I42" i="185"/>
  <c r="AE21" i="144"/>
  <c r="T21" i="3"/>
  <c r="T21" i="210" s="1"/>
  <c r="J33" i="185"/>
  <c r="H31" i="185"/>
  <c r="J27" i="185"/>
  <c r="J15" i="185"/>
  <c r="H13" i="185"/>
  <c r="Y20" i="3"/>
  <c r="T20" i="3"/>
  <c r="T20" i="210" s="1"/>
  <c r="G14" i="184"/>
  <c r="K20" i="210" s="1"/>
  <c r="G18" i="184"/>
  <c r="H19" i="209" s="1"/>
  <c r="G22" i="184"/>
  <c r="L20" i="210" s="1"/>
  <c r="L20" i="3"/>
  <c r="G35" i="184"/>
  <c r="G30" i="184"/>
  <c r="G37" i="184"/>
  <c r="G49" i="184"/>
  <c r="G51" i="184"/>
  <c r="Y19" i="3"/>
  <c r="T19" i="3"/>
  <c r="T19" i="210" s="1"/>
  <c r="L19" i="3"/>
  <c r="G27" i="183"/>
  <c r="G43" i="183"/>
  <c r="G45" i="183"/>
  <c r="E17" i="3"/>
  <c r="E17" i="210" s="1"/>
  <c r="G26" i="181"/>
  <c r="G40" i="181"/>
  <c r="G42" i="181"/>
  <c r="H31" i="182"/>
  <c r="Y18" i="210" s="1"/>
  <c r="Y18" i="3"/>
  <c r="Z18" i="3"/>
  <c r="AA18" i="3"/>
  <c r="AB18" i="3"/>
  <c r="AC18" i="3"/>
  <c r="M18" i="3"/>
  <c r="M18" i="210" s="1"/>
  <c r="N18" i="3"/>
  <c r="N18" i="210" s="1"/>
  <c r="R18" i="3"/>
  <c r="R18" i="210" s="1"/>
  <c r="S18" i="3"/>
  <c r="S18" i="210" s="1"/>
  <c r="U18" i="3"/>
  <c r="AD18" i="3"/>
  <c r="H26" i="182"/>
  <c r="H38" i="182"/>
  <c r="H40" i="182"/>
  <c r="AF18" i="3"/>
  <c r="Z16" i="3"/>
  <c r="AA16" i="3"/>
  <c r="AB16" i="3"/>
  <c r="AC16" i="3"/>
  <c r="M16" i="3"/>
  <c r="M16" i="210" s="1"/>
  <c r="N16" i="3"/>
  <c r="N16" i="210" s="1"/>
  <c r="Q16" i="3"/>
  <c r="Q16" i="210" s="1"/>
  <c r="T16" i="3"/>
  <c r="T16" i="210" s="1"/>
  <c r="U16" i="3"/>
  <c r="Y16" i="3"/>
  <c r="AD16" i="3"/>
  <c r="L18" i="3"/>
  <c r="C18" i="3"/>
  <c r="C18" i="210" s="1"/>
  <c r="F18" i="3"/>
  <c r="F18" i="210" s="1"/>
  <c r="I26" i="182"/>
  <c r="I38" i="182"/>
  <c r="I31" i="182"/>
  <c r="I40" i="182"/>
  <c r="G22" i="180"/>
  <c r="G32" i="180"/>
  <c r="G34" i="180"/>
  <c r="H50" i="179"/>
  <c r="Y15" i="210" s="1"/>
  <c r="Y15" i="3"/>
  <c r="I44" i="179"/>
  <c r="I61" i="179"/>
  <c r="I50" i="179"/>
  <c r="I63" i="179"/>
  <c r="J34" i="179"/>
  <c r="J35" i="179"/>
  <c r="J36" i="179"/>
  <c r="J37" i="179"/>
  <c r="J38" i="179"/>
  <c r="J39" i="179"/>
  <c r="J40" i="179"/>
  <c r="J41" i="179"/>
  <c r="J42" i="179"/>
  <c r="J14" i="209" s="1"/>
  <c r="J44" i="179"/>
  <c r="J54" i="179"/>
  <c r="J56" i="179"/>
  <c r="J57" i="179"/>
  <c r="J58" i="179"/>
  <c r="J59" i="179"/>
  <c r="J61" i="179"/>
  <c r="J47" i="179"/>
  <c r="J48" i="179"/>
  <c r="J49" i="179"/>
  <c r="J50" i="179"/>
  <c r="J63" i="179"/>
  <c r="R14" i="209" s="1"/>
  <c r="K44" i="179"/>
  <c r="K61" i="179"/>
  <c r="K50" i="179"/>
  <c r="K63" i="179"/>
  <c r="H44" i="179"/>
  <c r="H61" i="179"/>
  <c r="H63" i="179"/>
  <c r="AF15" i="210" s="1"/>
  <c r="I31" i="179"/>
  <c r="J28" i="179"/>
  <c r="J29" i="179"/>
  <c r="J30" i="179"/>
  <c r="J31" i="179"/>
  <c r="K31" i="179"/>
  <c r="H31" i="179"/>
  <c r="J8" i="179"/>
  <c r="J9" i="179"/>
  <c r="J10" i="179"/>
  <c r="J11" i="179"/>
  <c r="J12" i="179"/>
  <c r="J13" i="179"/>
  <c r="J14" i="179"/>
  <c r="J15" i="179"/>
  <c r="J16" i="179"/>
  <c r="J17" i="179"/>
  <c r="J18" i="179"/>
  <c r="J19" i="179"/>
  <c r="J20" i="179"/>
  <c r="J21" i="179"/>
  <c r="J22" i="179"/>
  <c r="H48" i="203"/>
  <c r="Y14" i="210" s="1"/>
  <c r="Y14" i="3"/>
  <c r="S14" i="3"/>
  <c r="S14" i="210" s="1"/>
  <c r="R14" i="3"/>
  <c r="R14" i="210" s="1"/>
  <c r="Q14" i="3"/>
  <c r="Q14" i="210" s="1"/>
  <c r="M14" i="3"/>
  <c r="M14" i="210" s="1"/>
  <c r="T14" i="3"/>
  <c r="T14" i="210" s="1"/>
  <c r="H41" i="203"/>
  <c r="W14" i="3"/>
  <c r="I41" i="203"/>
  <c r="I64" i="203"/>
  <c r="I48" i="203"/>
  <c r="I66" i="203"/>
  <c r="H64" i="203"/>
  <c r="H66" i="203"/>
  <c r="I18" i="203"/>
  <c r="H18" i="203"/>
  <c r="H38" i="178"/>
  <c r="Y13" i="210" s="1"/>
  <c r="Y13" i="3"/>
  <c r="L13" i="3"/>
  <c r="D13" i="3"/>
  <c r="I53" i="178"/>
  <c r="I32" i="178"/>
  <c r="I55" i="178"/>
  <c r="J41" i="178"/>
  <c r="J43" i="178"/>
  <c r="J44" i="178"/>
  <c r="J45" i="178"/>
  <c r="J46" i="178"/>
  <c r="J47" i="178"/>
  <c r="J48" i="178"/>
  <c r="J49" i="178"/>
  <c r="J50" i="178"/>
  <c r="J51" i="178"/>
  <c r="J53" i="178"/>
  <c r="J25" i="178"/>
  <c r="J27" i="178"/>
  <c r="J30" i="178"/>
  <c r="J12" i="209" s="1"/>
  <c r="J32" i="178"/>
  <c r="J38" i="178"/>
  <c r="J55" i="178"/>
  <c r="R12" i="209" s="1"/>
  <c r="H53" i="178"/>
  <c r="H32" i="178"/>
  <c r="H55" i="178"/>
  <c r="AF13" i="210" s="1"/>
  <c r="J36" i="178"/>
  <c r="J37" i="178"/>
  <c r="J21" i="178"/>
  <c r="J10" i="178"/>
  <c r="J11" i="178"/>
  <c r="J12" i="178"/>
  <c r="J13" i="178"/>
  <c r="J14" i="178"/>
  <c r="J15" i="178"/>
  <c r="J16" i="178"/>
  <c r="J7" i="178"/>
  <c r="J8" i="178"/>
  <c r="J9" i="178"/>
  <c r="J18" i="178"/>
  <c r="Z12" i="3"/>
  <c r="G14" i="177"/>
  <c r="L12" i="210" s="1"/>
  <c r="L12" i="3"/>
  <c r="Y12" i="3"/>
  <c r="T12" i="3"/>
  <c r="T12" i="210" s="1"/>
  <c r="G27" i="177"/>
  <c r="G36" i="177"/>
  <c r="G38" i="177"/>
  <c r="S10" i="3"/>
  <c r="S10" i="210" s="1"/>
  <c r="R10" i="3"/>
  <c r="R10" i="210" s="1"/>
  <c r="T10" i="3"/>
  <c r="T10" i="210" s="1"/>
  <c r="H10" i="3"/>
  <c r="H10" i="210" s="1"/>
  <c r="F10" i="3"/>
  <c r="F10" i="210" s="1"/>
  <c r="H27" i="201"/>
  <c r="H14" i="201"/>
  <c r="AA8" i="3"/>
  <c r="Z8" i="3"/>
  <c r="AB8" i="3"/>
  <c r="AC8" i="3"/>
  <c r="M8" i="3"/>
  <c r="M8" i="210" s="1"/>
  <c r="O8" i="3"/>
  <c r="O8" i="210" s="1"/>
  <c r="O71" i="210" s="1"/>
  <c r="P8" i="3"/>
  <c r="P8" i="210" s="1"/>
  <c r="P71" i="210" s="1"/>
  <c r="Q8" i="3"/>
  <c r="Q8" i="210" s="1"/>
  <c r="Q71" i="210" s="1"/>
  <c r="R8" i="3"/>
  <c r="R8" i="210" s="1"/>
  <c r="R71" i="210" s="1"/>
  <c r="S8" i="3"/>
  <c r="S8" i="210" s="1"/>
  <c r="S71" i="210" s="1"/>
  <c r="T8" i="3"/>
  <c r="T8" i="210" s="1"/>
  <c r="T71" i="210" s="1"/>
  <c r="U8" i="3"/>
  <c r="I52" i="147"/>
  <c r="Y8" i="210" s="1"/>
  <c r="Y8" i="3"/>
  <c r="AD8" i="3"/>
  <c r="Z7" i="3"/>
  <c r="AA7" i="3"/>
  <c r="AB7" i="3"/>
  <c r="AC7" i="3"/>
  <c r="M7" i="3"/>
  <c r="M7" i="210" s="1"/>
  <c r="O7" i="3"/>
  <c r="O7" i="210" s="1"/>
  <c r="P7" i="3"/>
  <c r="P7" i="210" s="1"/>
  <c r="T7" i="3"/>
  <c r="T7" i="210" s="1"/>
  <c r="U7" i="3"/>
  <c r="Y7" i="3"/>
  <c r="AD7" i="3"/>
  <c r="Z9" i="3"/>
  <c r="AB9" i="3"/>
  <c r="AC9" i="3"/>
  <c r="M9" i="3"/>
  <c r="M9" i="210" s="1"/>
  <c r="T9" i="3"/>
  <c r="T9" i="210" s="1"/>
  <c r="U9" i="3"/>
  <c r="H36" i="176"/>
  <c r="Y9" i="210" s="1"/>
  <c r="Y9" i="3"/>
  <c r="AD9" i="3"/>
  <c r="J47" i="147"/>
  <c r="J66" i="147"/>
  <c r="J52" i="147"/>
  <c r="J68" i="147"/>
  <c r="I47" i="147"/>
  <c r="I66" i="147"/>
  <c r="I68" i="147"/>
  <c r="AF8" i="210" s="1"/>
  <c r="AF8" i="3"/>
  <c r="I32" i="176"/>
  <c r="I43" i="176"/>
  <c r="I36" i="176"/>
  <c r="I45" i="176"/>
  <c r="H32" i="176"/>
  <c r="H43" i="176"/>
  <c r="H45" i="176"/>
  <c r="AF9" i="3"/>
  <c r="H18" i="176"/>
  <c r="L9" i="210" s="1"/>
  <c r="L9" i="3"/>
  <c r="H9" i="3"/>
  <c r="H9" i="210" s="1"/>
  <c r="I18" i="176"/>
  <c r="W8" i="3"/>
  <c r="G8" i="3"/>
  <c r="E8" i="3"/>
  <c r="D8" i="3"/>
  <c r="C8" i="3"/>
  <c r="H8" i="3"/>
  <c r="AE8" i="144"/>
  <c r="AA8" i="144"/>
  <c r="Y8" i="144"/>
  <c r="V8" i="144"/>
  <c r="J20" i="147"/>
  <c r="K8" i="144"/>
  <c r="H8" i="144"/>
  <c r="G8" i="144"/>
  <c r="F8" i="144"/>
  <c r="E8" i="144"/>
  <c r="D8" i="144"/>
  <c r="C8" i="144"/>
  <c r="M47" i="147"/>
  <c r="M66" i="147"/>
  <c r="M52" i="147"/>
  <c r="M68" i="147"/>
  <c r="K31" i="147"/>
  <c r="K32" i="147"/>
  <c r="K33" i="147"/>
  <c r="K34" i="147"/>
  <c r="K35" i="147"/>
  <c r="K36" i="147"/>
  <c r="K37" i="147"/>
  <c r="K38" i="147"/>
  <c r="K39" i="147"/>
  <c r="K40" i="147"/>
  <c r="K41" i="147"/>
  <c r="K42" i="147"/>
  <c r="K43" i="147"/>
  <c r="K44" i="147"/>
  <c r="K45" i="147"/>
  <c r="K47" i="147"/>
  <c r="K55" i="147"/>
  <c r="K57" i="147"/>
  <c r="K58" i="147"/>
  <c r="K59" i="147"/>
  <c r="K60" i="147"/>
  <c r="K61" i="147"/>
  <c r="K62" i="147"/>
  <c r="K63" i="147"/>
  <c r="K64" i="147"/>
  <c r="K66" i="147"/>
  <c r="K50" i="147"/>
  <c r="K52" i="147"/>
  <c r="K68" i="147"/>
  <c r="R7" i="209" s="1"/>
  <c r="L47" i="147"/>
  <c r="L66" i="147"/>
  <c r="L52" i="147"/>
  <c r="L68" i="147"/>
  <c r="L20" i="147"/>
  <c r="J26" i="147"/>
  <c r="J28" i="147"/>
  <c r="K23" i="147"/>
  <c r="K26" i="147"/>
  <c r="K8" i="147"/>
  <c r="K9" i="147"/>
  <c r="K10" i="147"/>
  <c r="K11" i="147"/>
  <c r="K12" i="147"/>
  <c r="K13" i="147"/>
  <c r="K15" i="147"/>
  <c r="K17" i="147"/>
  <c r="K18" i="147"/>
  <c r="K20" i="147"/>
  <c r="K28" i="147"/>
  <c r="L26" i="147"/>
  <c r="L28" i="147"/>
  <c r="M20" i="147"/>
  <c r="M26" i="147"/>
  <c r="M28" i="147"/>
  <c r="I26" i="147"/>
  <c r="I20" i="147"/>
  <c r="I28" i="147"/>
  <c r="G16" i="146"/>
  <c r="L7" i="210" s="1"/>
  <c r="L7" i="3"/>
  <c r="H7" i="3"/>
  <c r="H7" i="210" s="1"/>
  <c r="AF7" i="3"/>
  <c r="AE7" i="3"/>
  <c r="AE8" i="3"/>
  <c r="AE9" i="3"/>
  <c r="Z10" i="3"/>
  <c r="AB10" i="3"/>
  <c r="AC10" i="3"/>
  <c r="M10" i="3"/>
  <c r="M10" i="210" s="1"/>
  <c r="U10" i="210" s="1"/>
  <c r="U10" i="3"/>
  <c r="AD10" i="3"/>
  <c r="H35" i="201"/>
  <c r="H37" i="201"/>
  <c r="AF10" i="3"/>
  <c r="AE10" i="3"/>
  <c r="AB12" i="3"/>
  <c r="AC12" i="3"/>
  <c r="M12" i="3"/>
  <c r="M12" i="210" s="1"/>
  <c r="N12" i="3"/>
  <c r="N12" i="210" s="1"/>
  <c r="O12" i="3"/>
  <c r="O12" i="210" s="1"/>
  <c r="U12" i="3"/>
  <c r="AD12" i="3"/>
  <c r="AF12" i="3"/>
  <c r="AE12" i="3"/>
  <c r="Z13" i="3"/>
  <c r="AA13" i="3"/>
  <c r="AB13" i="3"/>
  <c r="AC13" i="3"/>
  <c r="M13" i="3"/>
  <c r="M13" i="210" s="1"/>
  <c r="R13" i="3"/>
  <c r="R13" i="210" s="1"/>
  <c r="S13" i="3"/>
  <c r="S13" i="210" s="1"/>
  <c r="U13" i="3"/>
  <c r="AD13" i="3"/>
  <c r="AF13" i="3"/>
  <c r="AE13" i="3"/>
  <c r="Z14" i="3"/>
  <c r="AA14" i="3"/>
  <c r="AB14" i="3"/>
  <c r="AC14" i="3"/>
  <c r="U14" i="3"/>
  <c r="AD14" i="3"/>
  <c r="AF14" i="3"/>
  <c r="AE14" i="3"/>
  <c r="Z15" i="3"/>
  <c r="AA15" i="3"/>
  <c r="AB15" i="3"/>
  <c r="AC15" i="3"/>
  <c r="M15" i="3"/>
  <c r="M15" i="210" s="1"/>
  <c r="Q15" i="3"/>
  <c r="Q15" i="210" s="1"/>
  <c r="R15" i="3"/>
  <c r="R15" i="210" s="1"/>
  <c r="S15" i="3"/>
  <c r="S15" i="210" s="1"/>
  <c r="T15" i="3"/>
  <c r="T15" i="210" s="1"/>
  <c r="U15" i="3"/>
  <c r="AD15" i="3"/>
  <c r="AF15" i="3"/>
  <c r="AE15" i="3"/>
  <c r="AF16" i="3"/>
  <c r="AE16" i="3"/>
  <c r="Z17" i="3"/>
  <c r="AA17" i="3"/>
  <c r="AB17" i="3"/>
  <c r="AC17" i="3"/>
  <c r="M17" i="3"/>
  <c r="M17" i="210" s="1"/>
  <c r="Q17" i="3"/>
  <c r="Q17" i="210" s="1"/>
  <c r="R17" i="3"/>
  <c r="R17" i="210" s="1"/>
  <c r="S17" i="3"/>
  <c r="S17" i="210" s="1"/>
  <c r="T17" i="3"/>
  <c r="T17" i="210" s="1"/>
  <c r="U17" i="3"/>
  <c r="Y17" i="3"/>
  <c r="AD17" i="3"/>
  <c r="AF17" i="3"/>
  <c r="AE17" i="3"/>
  <c r="AE18" i="3"/>
  <c r="Z19" i="3"/>
  <c r="AA19" i="3"/>
  <c r="AB19" i="3"/>
  <c r="AC19" i="3"/>
  <c r="M19" i="3"/>
  <c r="M19" i="210" s="1"/>
  <c r="N19" i="3"/>
  <c r="N19" i="210" s="1"/>
  <c r="Q19" i="3"/>
  <c r="Q19" i="210" s="1"/>
  <c r="R19" i="3"/>
  <c r="R19" i="210" s="1"/>
  <c r="S19" i="3"/>
  <c r="S19" i="210" s="1"/>
  <c r="U19" i="3"/>
  <c r="AD19" i="3"/>
  <c r="AF19" i="3"/>
  <c r="AE19" i="3"/>
  <c r="Z20" i="3"/>
  <c r="AA20" i="3"/>
  <c r="AB20" i="3"/>
  <c r="AC20" i="3"/>
  <c r="M20" i="3"/>
  <c r="M20" i="210" s="1"/>
  <c r="R20" i="3"/>
  <c r="R20" i="210" s="1"/>
  <c r="S20" i="3"/>
  <c r="S20" i="210" s="1"/>
  <c r="U20" i="3"/>
  <c r="AD20" i="3"/>
  <c r="AF20" i="3"/>
  <c r="AE20" i="3"/>
  <c r="Z21" i="3"/>
  <c r="AA21" i="3"/>
  <c r="AB21" i="3"/>
  <c r="AC21" i="3"/>
  <c r="M21" i="3"/>
  <c r="M21" i="210" s="1"/>
  <c r="N21" i="3"/>
  <c r="N21" i="210" s="1"/>
  <c r="Q21" i="3"/>
  <c r="Q21" i="210" s="1"/>
  <c r="R21" i="3"/>
  <c r="R21" i="210" s="1"/>
  <c r="U21" i="3"/>
  <c r="AD21" i="3"/>
  <c r="H40" i="185"/>
  <c r="H42" i="185"/>
  <c r="AF21" i="210" s="1"/>
  <c r="AF21" i="3"/>
  <c r="AE21" i="3"/>
  <c r="Z22" i="3"/>
  <c r="AA22" i="3"/>
  <c r="AB22" i="3"/>
  <c r="AC22" i="3"/>
  <c r="M22" i="3"/>
  <c r="M22" i="210" s="1"/>
  <c r="Q22" i="3"/>
  <c r="Q22" i="210" s="1"/>
  <c r="R22" i="3"/>
  <c r="R22" i="210" s="1"/>
  <c r="S22" i="3"/>
  <c r="S22" i="210" s="1"/>
  <c r="U22" i="3"/>
  <c r="AD22" i="3"/>
  <c r="AF22" i="3"/>
  <c r="AE22" i="3"/>
  <c r="Z23" i="3"/>
  <c r="AC23" i="3"/>
  <c r="M23" i="3"/>
  <c r="M23" i="210" s="1"/>
  <c r="R23" i="3"/>
  <c r="R23" i="210" s="1"/>
  <c r="S23" i="3"/>
  <c r="S23" i="210" s="1"/>
  <c r="U23" i="3"/>
  <c r="AD23" i="3"/>
  <c r="AF23" i="3"/>
  <c r="AE23" i="3"/>
  <c r="Z24" i="3"/>
  <c r="AA24" i="3"/>
  <c r="AB24" i="3"/>
  <c r="AC24" i="3"/>
  <c r="M24" i="3"/>
  <c r="M24" i="210" s="1"/>
  <c r="N24" i="3"/>
  <c r="N24" i="210" s="1"/>
  <c r="Q24" i="3"/>
  <c r="Q24" i="210" s="1"/>
  <c r="U24" i="3"/>
  <c r="AD24" i="3"/>
  <c r="AF24" i="3"/>
  <c r="AE24" i="3"/>
  <c r="Z25" i="3"/>
  <c r="AA25" i="3"/>
  <c r="AB25" i="3"/>
  <c r="AC25" i="3"/>
  <c r="U25" i="3"/>
  <c r="AD25" i="3"/>
  <c r="H42" i="189"/>
  <c r="H33" i="189"/>
  <c r="H44" i="189"/>
  <c r="AF25" i="210" s="1"/>
  <c r="AF25" i="3"/>
  <c r="AE25" i="3"/>
  <c r="Z26" i="3"/>
  <c r="AB26" i="3"/>
  <c r="AC26" i="3"/>
  <c r="T26" i="3"/>
  <c r="T26" i="210" s="1"/>
  <c r="U26" i="3"/>
  <c r="AD26" i="3"/>
  <c r="AF26" i="3"/>
  <c r="AE26" i="3"/>
  <c r="Z27" i="3"/>
  <c r="AA27" i="3"/>
  <c r="AB27" i="3"/>
  <c r="AC27" i="3"/>
  <c r="N27" i="3"/>
  <c r="N27" i="210" s="1"/>
  <c r="R27" i="3"/>
  <c r="R27" i="210" s="1"/>
  <c r="S27" i="3"/>
  <c r="S27" i="210" s="1"/>
  <c r="U27" i="3"/>
  <c r="AD27" i="3"/>
  <c r="AF27" i="3"/>
  <c r="AE27" i="3"/>
  <c r="Z28" i="3"/>
  <c r="AA28" i="3"/>
  <c r="AB28" i="3"/>
  <c r="AC28" i="3"/>
  <c r="M28" i="3"/>
  <c r="M28" i="210" s="1"/>
  <c r="Q28" i="3"/>
  <c r="Q28" i="210" s="1"/>
  <c r="R28" i="3"/>
  <c r="R28" i="210" s="1"/>
  <c r="S28" i="3"/>
  <c r="S28" i="210" s="1"/>
  <c r="U28" i="3"/>
  <c r="AD28" i="3"/>
  <c r="AF28" i="3"/>
  <c r="AE28" i="3"/>
  <c r="Z29" i="3"/>
  <c r="AA29" i="3"/>
  <c r="AB29" i="3"/>
  <c r="AC29" i="3"/>
  <c r="R29" i="3"/>
  <c r="R29" i="210" s="1"/>
  <c r="S29" i="3"/>
  <c r="S29" i="210" s="1"/>
  <c r="U29" i="3"/>
  <c r="AD29" i="3"/>
  <c r="AF29" i="3"/>
  <c r="AE29" i="3"/>
  <c r="Z30" i="3"/>
  <c r="AB30" i="3"/>
  <c r="AC30" i="3"/>
  <c r="M30" i="3"/>
  <c r="M30" i="210" s="1"/>
  <c r="R30" i="3"/>
  <c r="R30" i="210" s="1"/>
  <c r="S30" i="3"/>
  <c r="S30" i="210" s="1"/>
  <c r="T30" i="3"/>
  <c r="T30" i="210" s="1"/>
  <c r="U30" i="3"/>
  <c r="AD30" i="3"/>
  <c r="AF30" i="3"/>
  <c r="AE30" i="3"/>
  <c r="AF32" i="3"/>
  <c r="AE32" i="3"/>
  <c r="AC31" i="3"/>
  <c r="AD31" i="3"/>
  <c r="AE31" i="3"/>
  <c r="Z35" i="3"/>
  <c r="AB35" i="3"/>
  <c r="AC35" i="3"/>
  <c r="AD35" i="3"/>
  <c r="AF35" i="3"/>
  <c r="AE35" i="3"/>
  <c r="Z33" i="3"/>
  <c r="AA33" i="3"/>
  <c r="AB33" i="3"/>
  <c r="AC33" i="3"/>
  <c r="AD33" i="3"/>
  <c r="AF33" i="3"/>
  <c r="AE33" i="3"/>
  <c r="Z34" i="3"/>
  <c r="AA34" i="3"/>
  <c r="AB34" i="3"/>
  <c r="AC34" i="3"/>
  <c r="M34" i="3"/>
  <c r="M34" i="210" s="1"/>
  <c r="Q34" i="3"/>
  <c r="Q34" i="210" s="1"/>
  <c r="R34" i="3"/>
  <c r="R34" i="210" s="1"/>
  <c r="S34" i="3"/>
  <c r="S34" i="210" s="1"/>
  <c r="T34" i="3"/>
  <c r="T34" i="210" s="1"/>
  <c r="U34" i="3"/>
  <c r="AD34" i="3"/>
  <c r="AF34" i="3"/>
  <c r="AE34" i="3"/>
  <c r="AC36" i="3"/>
  <c r="M36" i="3"/>
  <c r="M36" i="210" s="1"/>
  <c r="Q36" i="3"/>
  <c r="Q36" i="210" s="1"/>
  <c r="U36" i="3"/>
  <c r="AD36" i="3"/>
  <c r="AF36" i="3"/>
  <c r="AE36" i="3"/>
  <c r="Z37" i="3"/>
  <c r="AA37" i="3"/>
  <c r="AB37" i="3"/>
  <c r="AC37" i="3"/>
  <c r="M37" i="3"/>
  <c r="M37" i="210" s="1"/>
  <c r="Q37" i="3"/>
  <c r="Q37" i="210" s="1"/>
  <c r="R37" i="3"/>
  <c r="R37" i="210" s="1"/>
  <c r="S37" i="3"/>
  <c r="S37" i="210" s="1"/>
  <c r="T37" i="3"/>
  <c r="T37" i="210" s="1"/>
  <c r="U37" i="3"/>
  <c r="AD37" i="3"/>
  <c r="AF37" i="3"/>
  <c r="AE37" i="3"/>
  <c r="AF38" i="3"/>
  <c r="AE38" i="3"/>
  <c r="AF39" i="3"/>
  <c r="U40" i="3"/>
  <c r="AD40" i="3"/>
  <c r="AE40" i="3"/>
  <c r="Z41" i="3"/>
  <c r="AA41" i="3"/>
  <c r="AB41" i="3"/>
  <c r="AC41" i="3"/>
  <c r="M41" i="3"/>
  <c r="M41" i="210" s="1"/>
  <c r="Q41" i="3"/>
  <c r="Q41" i="210" s="1"/>
  <c r="R41" i="3"/>
  <c r="R41" i="210" s="1"/>
  <c r="S41" i="3"/>
  <c r="S41" i="210" s="1"/>
  <c r="T41" i="3"/>
  <c r="T41" i="210" s="1"/>
  <c r="U41" i="3"/>
  <c r="Y41" i="3"/>
  <c r="AD41" i="3"/>
  <c r="AF41" i="3"/>
  <c r="AE41" i="3"/>
  <c r="Z42" i="3"/>
  <c r="AA42" i="3"/>
  <c r="AB42" i="3"/>
  <c r="AC42" i="3"/>
  <c r="M42" i="3"/>
  <c r="M42" i="210" s="1"/>
  <c r="R42" i="3"/>
  <c r="R42" i="210" s="1"/>
  <c r="S42" i="3"/>
  <c r="S42" i="210" s="1"/>
  <c r="T42" i="3"/>
  <c r="T42" i="210" s="1"/>
  <c r="U42" i="3"/>
  <c r="AD42" i="3"/>
  <c r="F59" i="153"/>
  <c r="F38" i="153"/>
  <c r="F61" i="153"/>
  <c r="AF42" i="210" s="1"/>
  <c r="AF42" i="3"/>
  <c r="AE42" i="3"/>
  <c r="Z43" i="3"/>
  <c r="AA43" i="3"/>
  <c r="AB43" i="3"/>
  <c r="AC43" i="3"/>
  <c r="P43" i="3"/>
  <c r="P43" i="210" s="1"/>
  <c r="U43" i="3"/>
  <c r="AD43" i="3"/>
  <c r="AF43" i="3"/>
  <c r="AE43" i="3"/>
  <c r="Z44" i="3"/>
  <c r="AB44" i="3"/>
  <c r="AC44" i="3"/>
  <c r="M44" i="3"/>
  <c r="M44" i="210" s="1"/>
  <c r="Q44" i="3"/>
  <c r="Q44" i="210" s="1"/>
  <c r="R44" i="3"/>
  <c r="R44" i="210" s="1"/>
  <c r="S44" i="3"/>
  <c r="S44" i="210" s="1"/>
  <c r="U44" i="3"/>
  <c r="AD44" i="3"/>
  <c r="F47" i="204"/>
  <c r="F49" i="204"/>
  <c r="AF44" i="210" s="1"/>
  <c r="AF44" i="3"/>
  <c r="AE44" i="3"/>
  <c r="Z45" i="3"/>
  <c r="AA45" i="3"/>
  <c r="AB45" i="3"/>
  <c r="AC45" i="3"/>
  <c r="R45" i="3"/>
  <c r="R45" i="210" s="1"/>
  <c r="S45" i="3"/>
  <c r="S45" i="210" s="1"/>
  <c r="U45" i="3"/>
  <c r="AD45" i="3"/>
  <c r="AF45" i="3"/>
  <c r="AE45" i="3"/>
  <c r="AC46" i="3"/>
  <c r="M46" i="3"/>
  <c r="M46" i="210" s="1"/>
  <c r="N46" i="3"/>
  <c r="N46" i="210" s="1"/>
  <c r="U46" i="3"/>
  <c r="AD46" i="3"/>
  <c r="AF46" i="3"/>
  <c r="AE46" i="3"/>
  <c r="Z47" i="3"/>
  <c r="AA47" i="3"/>
  <c r="AB47" i="3"/>
  <c r="AC47" i="3"/>
  <c r="M47" i="3"/>
  <c r="M47" i="210" s="1"/>
  <c r="U47" i="210" s="1"/>
  <c r="U47" i="3"/>
  <c r="AD47" i="3"/>
  <c r="AF47" i="3"/>
  <c r="AE47" i="3"/>
  <c r="Z49" i="3"/>
  <c r="AA49" i="3"/>
  <c r="AB49" i="3"/>
  <c r="AC49" i="3"/>
  <c r="M49" i="3"/>
  <c r="M49" i="210" s="1"/>
  <c r="R49" i="3"/>
  <c r="R49" i="210" s="1"/>
  <c r="S49" i="3"/>
  <c r="S49" i="210" s="1"/>
  <c r="T49" i="3"/>
  <c r="T49" i="210" s="1"/>
  <c r="U49" i="3"/>
  <c r="AD49" i="3"/>
  <c r="AF49" i="3"/>
  <c r="AE49" i="3"/>
  <c r="Z50" i="3"/>
  <c r="AB50" i="3"/>
  <c r="AC50" i="3"/>
  <c r="M50" i="3"/>
  <c r="M50" i="210" s="1"/>
  <c r="Q50" i="3"/>
  <c r="Q50" i="210" s="1"/>
  <c r="R50" i="3"/>
  <c r="R50" i="210" s="1"/>
  <c r="U50" i="3"/>
  <c r="Y50" i="3"/>
  <c r="AD50" i="3"/>
  <c r="AF50" i="3"/>
  <c r="AE50" i="3"/>
  <c r="Z51" i="3"/>
  <c r="AA51" i="3"/>
  <c r="AB51" i="3"/>
  <c r="AC51" i="3"/>
  <c r="N51" i="3"/>
  <c r="N51" i="210" s="1"/>
  <c r="U51" i="3"/>
  <c r="AD51" i="3"/>
  <c r="AF51" i="3"/>
  <c r="AE51" i="3"/>
  <c r="Z52" i="3"/>
  <c r="AB52" i="3"/>
  <c r="AC52" i="3"/>
  <c r="R52" i="3"/>
  <c r="R52" i="210" s="1"/>
  <c r="S52" i="3"/>
  <c r="S52" i="210" s="1"/>
  <c r="U52" i="3"/>
  <c r="AD52" i="3"/>
  <c r="AF52" i="3"/>
  <c r="AE52" i="3"/>
  <c r="Z53" i="3"/>
  <c r="AA53" i="3"/>
  <c r="AB53" i="3"/>
  <c r="AC53" i="3"/>
  <c r="M53" i="3"/>
  <c r="M53" i="210" s="1"/>
  <c r="R53" i="3"/>
  <c r="R53" i="210" s="1"/>
  <c r="S53" i="3"/>
  <c r="S53" i="210" s="1"/>
  <c r="U53" i="3"/>
  <c r="AD53" i="3"/>
  <c r="AF53" i="3"/>
  <c r="AE53" i="3"/>
  <c r="Z54" i="3"/>
  <c r="AA54" i="3"/>
  <c r="AB54" i="3"/>
  <c r="AC54" i="3"/>
  <c r="O54" i="3"/>
  <c r="O54" i="210" s="1"/>
  <c r="U54" i="3"/>
  <c r="AD54" i="3"/>
  <c r="AF54" i="3"/>
  <c r="AE54" i="3"/>
  <c r="Z55" i="3"/>
  <c r="AA55" i="3"/>
  <c r="AB55" i="3"/>
  <c r="AC55" i="3"/>
  <c r="N55" i="3"/>
  <c r="N55" i="210" s="1"/>
  <c r="O55" i="3"/>
  <c r="O55" i="210" s="1"/>
  <c r="P55" i="3"/>
  <c r="P55" i="210" s="1"/>
  <c r="Q55" i="3"/>
  <c r="Q55" i="210" s="1"/>
  <c r="R55" i="3"/>
  <c r="R55" i="210" s="1"/>
  <c r="S55" i="3"/>
  <c r="S55" i="210" s="1"/>
  <c r="U55" i="3"/>
  <c r="AD55" i="3"/>
  <c r="AF55" i="3"/>
  <c r="AE55" i="3"/>
  <c r="AC56" i="3"/>
  <c r="U56" i="3"/>
  <c r="M6" i="3"/>
  <c r="M6" i="210" s="1"/>
  <c r="N6" i="3"/>
  <c r="N6" i="210" s="1"/>
  <c r="O6" i="3"/>
  <c r="O6" i="210" s="1"/>
  <c r="P6" i="3"/>
  <c r="P6" i="210" s="1"/>
  <c r="T6" i="3"/>
  <c r="T6" i="210" s="1"/>
  <c r="U6" i="3"/>
  <c r="U57" i="3"/>
  <c r="M58" i="3"/>
  <c r="M58" i="210" s="1"/>
  <c r="Q58" i="3"/>
  <c r="Q58" i="210" s="1"/>
  <c r="R58" i="3"/>
  <c r="R58" i="210" s="1"/>
  <c r="S58" i="3"/>
  <c r="S58" i="210" s="1"/>
  <c r="U58" i="3"/>
  <c r="M59" i="3"/>
  <c r="M59" i="210" s="1"/>
  <c r="Q59" i="3"/>
  <c r="Q59" i="210" s="1"/>
  <c r="R59" i="3"/>
  <c r="R59" i="210" s="1"/>
  <c r="S59" i="3"/>
  <c r="S59" i="210" s="1"/>
  <c r="U59" i="3"/>
  <c r="M60" i="3"/>
  <c r="M60" i="210" s="1"/>
  <c r="Q60" i="3"/>
  <c r="Q60" i="210" s="1"/>
  <c r="R60" i="3"/>
  <c r="R60" i="210" s="1"/>
  <c r="S60" i="3"/>
  <c r="S60" i="210" s="1"/>
  <c r="U60" i="3"/>
  <c r="R62" i="3"/>
  <c r="R62" i="210" s="1"/>
  <c r="S62" i="3"/>
  <c r="S62" i="210" s="1"/>
  <c r="U62" i="3"/>
  <c r="M63" i="3"/>
  <c r="M63" i="210" s="1"/>
  <c r="U63" i="210" s="1"/>
  <c r="U63" i="3"/>
  <c r="Q64" i="3"/>
  <c r="Q64" i="210" s="1"/>
  <c r="R64" i="3"/>
  <c r="R64" i="210" s="1"/>
  <c r="S64" i="3"/>
  <c r="S64" i="210" s="1"/>
  <c r="U64" i="3"/>
  <c r="M65" i="3"/>
  <c r="M65" i="210" s="1"/>
  <c r="Q65" i="3"/>
  <c r="Q65" i="210" s="1"/>
  <c r="R65" i="3"/>
  <c r="R65" i="210" s="1"/>
  <c r="S65" i="3"/>
  <c r="S65" i="210" s="1"/>
  <c r="U65" i="3"/>
  <c r="M67" i="3"/>
  <c r="M67" i="210" s="1"/>
  <c r="N67" i="3"/>
  <c r="N67" i="210" s="1"/>
  <c r="R67" i="3"/>
  <c r="R67" i="210" s="1"/>
  <c r="S67" i="3"/>
  <c r="S67" i="210" s="1"/>
  <c r="U67" i="3"/>
  <c r="U68" i="3"/>
  <c r="M69" i="3"/>
  <c r="M69" i="210" s="1"/>
  <c r="R69" i="3"/>
  <c r="R69" i="210" s="1"/>
  <c r="S69" i="3"/>
  <c r="S69" i="210" s="1"/>
  <c r="U69" i="3"/>
  <c r="AD56" i="3"/>
  <c r="AE56" i="3"/>
  <c r="AB57" i="3"/>
  <c r="AC57" i="3"/>
  <c r="AD57" i="3"/>
  <c r="AF57" i="3"/>
  <c r="AE57" i="3"/>
  <c r="Z58" i="3"/>
  <c r="AA58" i="3"/>
  <c r="AB58" i="3"/>
  <c r="AC58" i="3"/>
  <c r="Y58" i="3"/>
  <c r="AD58" i="3"/>
  <c r="AF58" i="3"/>
  <c r="AE58" i="3"/>
  <c r="Z59" i="3"/>
  <c r="AA59" i="3"/>
  <c r="AB59" i="3"/>
  <c r="AC59" i="3"/>
  <c r="AD59" i="3"/>
  <c r="AF59" i="3"/>
  <c r="AE59" i="3"/>
  <c r="Z60" i="3"/>
  <c r="AA60" i="3"/>
  <c r="AB60" i="3"/>
  <c r="AC60" i="3"/>
  <c r="AD60" i="3"/>
  <c r="AF60" i="3"/>
  <c r="AE60" i="3"/>
  <c r="AE61" i="3"/>
  <c r="Z62" i="3"/>
  <c r="AA62" i="3"/>
  <c r="AB62" i="3"/>
  <c r="AC62" i="3"/>
  <c r="AD62" i="3"/>
  <c r="AF62" i="3"/>
  <c r="AE62" i="3"/>
  <c r="Z63" i="3"/>
  <c r="AA63" i="3"/>
  <c r="AB63" i="3"/>
  <c r="AC63" i="3"/>
  <c r="AD63" i="3"/>
  <c r="AF63" i="3"/>
  <c r="AE63" i="3"/>
  <c r="Z64" i="3"/>
  <c r="AA64" i="3"/>
  <c r="AB64" i="3"/>
  <c r="AC64" i="3"/>
  <c r="AD64" i="3"/>
  <c r="AF64" i="3"/>
  <c r="AE64" i="3"/>
  <c r="Z65" i="3"/>
  <c r="AB65" i="3"/>
  <c r="AC65" i="3"/>
  <c r="AD65" i="3"/>
  <c r="AF65" i="3"/>
  <c r="AE65" i="3"/>
  <c r="Y66" i="3"/>
  <c r="G45" i="173"/>
  <c r="G47" i="173"/>
  <c r="AF66" i="3"/>
  <c r="AE66" i="3"/>
  <c r="Z67" i="3"/>
  <c r="AB67" i="3"/>
  <c r="AC67" i="3"/>
  <c r="AD67" i="3"/>
  <c r="H41" i="174"/>
  <c r="H25" i="174"/>
  <c r="H43" i="174"/>
  <c r="AF67" i="3"/>
  <c r="AE67" i="3"/>
  <c r="AB68" i="3"/>
  <c r="AC68" i="3"/>
  <c r="AD68" i="3"/>
  <c r="H50" i="207"/>
  <c r="H37" i="207"/>
  <c r="H52" i="207"/>
  <c r="AF68" i="210" s="1"/>
  <c r="AF68" i="3"/>
  <c r="AE68" i="3"/>
  <c r="Z69" i="3"/>
  <c r="AB69" i="3"/>
  <c r="AC69" i="3"/>
  <c r="Y69" i="3"/>
  <c r="AD69" i="3"/>
  <c r="H36" i="175"/>
  <c r="H29" i="175"/>
  <c r="H38" i="175"/>
  <c r="AF69" i="3"/>
  <c r="AE69" i="3"/>
  <c r="W7" i="3"/>
  <c r="V7" i="3"/>
  <c r="V8" i="3"/>
  <c r="W9" i="3"/>
  <c r="V9" i="3"/>
  <c r="W10" i="3"/>
  <c r="V10" i="3"/>
  <c r="W12" i="3"/>
  <c r="V12" i="3"/>
  <c r="W13" i="3"/>
  <c r="V13" i="3"/>
  <c r="V14" i="3"/>
  <c r="W15" i="3"/>
  <c r="V15" i="3"/>
  <c r="W16" i="3"/>
  <c r="V16" i="3"/>
  <c r="W17" i="3"/>
  <c r="V17" i="3"/>
  <c r="W18" i="3"/>
  <c r="V18" i="3"/>
  <c r="W19" i="3"/>
  <c r="V19" i="3"/>
  <c r="W20" i="3"/>
  <c r="V20" i="3"/>
  <c r="W21" i="3"/>
  <c r="V21" i="3"/>
  <c r="W22" i="3"/>
  <c r="V22" i="3"/>
  <c r="W23" i="3"/>
  <c r="V23" i="3"/>
  <c r="W24" i="3"/>
  <c r="V24" i="3"/>
  <c r="W25" i="3"/>
  <c r="V25" i="3"/>
  <c r="W26" i="3"/>
  <c r="V26" i="3"/>
  <c r="W27" i="3"/>
  <c r="V27" i="3"/>
  <c r="W28" i="3"/>
  <c r="V28" i="3"/>
  <c r="W29" i="3"/>
  <c r="V29" i="3"/>
  <c r="W30" i="3"/>
  <c r="V30" i="3"/>
  <c r="W32" i="3"/>
  <c r="V32" i="3"/>
  <c r="W31" i="3"/>
  <c r="V31" i="3"/>
  <c r="W35" i="3"/>
  <c r="V35" i="3"/>
  <c r="W33" i="3"/>
  <c r="V33" i="3"/>
  <c r="W34" i="3"/>
  <c r="V34" i="3"/>
  <c r="W36" i="3"/>
  <c r="V36" i="3"/>
  <c r="W37" i="3"/>
  <c r="V37" i="3"/>
  <c r="W38" i="3"/>
  <c r="V38" i="3"/>
  <c r="W39" i="3"/>
  <c r="V40" i="3"/>
  <c r="W41" i="3"/>
  <c r="V41" i="3"/>
  <c r="W42" i="3"/>
  <c r="V42" i="3"/>
  <c r="W43" i="3"/>
  <c r="V43" i="3"/>
  <c r="W44" i="3"/>
  <c r="V44" i="3"/>
  <c r="W45" i="3"/>
  <c r="V45" i="3"/>
  <c r="W46" i="3"/>
  <c r="V46" i="3"/>
  <c r="W47" i="3"/>
  <c r="V47" i="3"/>
  <c r="W49" i="3"/>
  <c r="V49" i="3"/>
  <c r="W50" i="3"/>
  <c r="V50" i="3"/>
  <c r="W51" i="3"/>
  <c r="V51" i="3"/>
  <c r="W52" i="3"/>
  <c r="V52" i="3"/>
  <c r="W53" i="3"/>
  <c r="V53" i="3"/>
  <c r="W54" i="3"/>
  <c r="V54" i="3"/>
  <c r="W55" i="3"/>
  <c r="V55" i="3"/>
  <c r="W57" i="3"/>
  <c r="V57" i="3"/>
  <c r="W58" i="3"/>
  <c r="V58" i="3"/>
  <c r="W59" i="3"/>
  <c r="V59" i="3"/>
  <c r="W60" i="3"/>
  <c r="V60" i="3"/>
  <c r="V61" i="3"/>
  <c r="W62" i="3"/>
  <c r="V62" i="3"/>
  <c r="V63" i="3"/>
  <c r="W64" i="3"/>
  <c r="V64" i="3"/>
  <c r="W65" i="3"/>
  <c r="V65" i="3"/>
  <c r="W66" i="3"/>
  <c r="V66" i="3"/>
  <c r="W67" i="3"/>
  <c r="V67" i="3"/>
  <c r="W68" i="3"/>
  <c r="V68" i="3"/>
  <c r="W69" i="3"/>
  <c r="V69" i="3"/>
  <c r="C7" i="3"/>
  <c r="C7" i="210" s="1"/>
  <c r="E7" i="3"/>
  <c r="E7" i="210" s="1"/>
  <c r="F7" i="3"/>
  <c r="F7" i="210" s="1"/>
  <c r="I7" i="3"/>
  <c r="K7" i="3"/>
  <c r="J7" i="3"/>
  <c r="F8" i="3"/>
  <c r="F8" i="210" s="1"/>
  <c r="F71" i="210" s="1"/>
  <c r="I8" i="3"/>
  <c r="K8" i="3"/>
  <c r="J8" i="3"/>
  <c r="C9" i="3"/>
  <c r="C9" i="210" s="1"/>
  <c r="D9" i="3"/>
  <c r="D9" i="210" s="1"/>
  <c r="E9" i="3"/>
  <c r="E9" i="210" s="1"/>
  <c r="I9" i="3"/>
  <c r="H14" i="176"/>
  <c r="K9" i="3"/>
  <c r="J9" i="3"/>
  <c r="C10" i="3"/>
  <c r="C10" i="210" s="1"/>
  <c r="E10" i="3"/>
  <c r="E10" i="210" s="1"/>
  <c r="G10" i="3"/>
  <c r="G10" i="210" s="1"/>
  <c r="I10" i="3"/>
  <c r="K10" i="3"/>
  <c r="J10" i="3"/>
  <c r="C12" i="3"/>
  <c r="C12" i="210" s="1"/>
  <c r="E12" i="3"/>
  <c r="E12" i="210" s="1"/>
  <c r="F12" i="3"/>
  <c r="F12" i="210" s="1"/>
  <c r="I12" i="3"/>
  <c r="G10" i="177"/>
  <c r="K12" i="3"/>
  <c r="J12" i="3"/>
  <c r="C13" i="3"/>
  <c r="E13" i="3"/>
  <c r="F13" i="3"/>
  <c r="H13" i="3"/>
  <c r="I13" i="3"/>
  <c r="H18" i="178"/>
  <c r="K13" i="3"/>
  <c r="J13" i="3"/>
  <c r="C14" i="3"/>
  <c r="C14" i="210" s="1"/>
  <c r="D14" i="3"/>
  <c r="D14" i="210" s="1"/>
  <c r="E14" i="3"/>
  <c r="E14" i="210" s="1"/>
  <c r="F14" i="3"/>
  <c r="F14" i="210" s="1"/>
  <c r="G14" i="3"/>
  <c r="G14" i="210" s="1"/>
  <c r="H14" i="3"/>
  <c r="H14" i="210" s="1"/>
  <c r="I14" i="3"/>
  <c r="K14" i="3"/>
  <c r="J14" i="3"/>
  <c r="C15" i="3"/>
  <c r="D15" i="3"/>
  <c r="E15" i="3"/>
  <c r="F15" i="3"/>
  <c r="G15" i="3"/>
  <c r="H15" i="3"/>
  <c r="I15" i="3"/>
  <c r="H25" i="179"/>
  <c r="K15" i="3"/>
  <c r="J15" i="3"/>
  <c r="C16" i="3"/>
  <c r="C16" i="210" s="1"/>
  <c r="E16" i="3"/>
  <c r="E16" i="210" s="1"/>
  <c r="F16" i="3"/>
  <c r="F16" i="210" s="1"/>
  <c r="I16" i="3"/>
  <c r="G10" i="180"/>
  <c r="K16" i="3"/>
  <c r="J16" i="3"/>
  <c r="C17" i="3"/>
  <c r="C17" i="210" s="1"/>
  <c r="D17" i="3"/>
  <c r="D17" i="210" s="1"/>
  <c r="F17" i="3"/>
  <c r="F17" i="210" s="1"/>
  <c r="H17" i="3"/>
  <c r="H17" i="210" s="1"/>
  <c r="I17" i="3"/>
  <c r="G13" i="181"/>
  <c r="K17" i="3"/>
  <c r="J17" i="3"/>
  <c r="E18" i="3"/>
  <c r="E18" i="210" s="1"/>
  <c r="H18" i="3"/>
  <c r="H18" i="210" s="1"/>
  <c r="I18" i="3"/>
  <c r="H14" i="182"/>
  <c r="K18" i="3"/>
  <c r="J18" i="3"/>
  <c r="C19" i="3"/>
  <c r="C19" i="210" s="1"/>
  <c r="D19" i="3"/>
  <c r="D19" i="210" s="1"/>
  <c r="E19" i="3"/>
  <c r="E19" i="210" s="1"/>
  <c r="F19" i="3"/>
  <c r="F19" i="210" s="1"/>
  <c r="H19" i="3"/>
  <c r="H19" i="210" s="1"/>
  <c r="I19" i="3"/>
  <c r="G13" i="183"/>
  <c r="K19" i="3"/>
  <c r="J19" i="3"/>
  <c r="C20" i="3"/>
  <c r="C20" i="210" s="1"/>
  <c r="E20" i="3"/>
  <c r="E20" i="210" s="1"/>
  <c r="I20" i="3"/>
  <c r="K20" i="3"/>
  <c r="J20" i="3"/>
  <c r="C21" i="3"/>
  <c r="D21" i="3"/>
  <c r="D21" i="210" s="1"/>
  <c r="E21" i="3"/>
  <c r="F21" i="3"/>
  <c r="H21" i="3"/>
  <c r="I21" i="3"/>
  <c r="K21" i="3"/>
  <c r="J21" i="3"/>
  <c r="C22" i="3"/>
  <c r="D22" i="3"/>
  <c r="E22" i="3"/>
  <c r="F22" i="3"/>
  <c r="G22" i="3"/>
  <c r="H22" i="3"/>
  <c r="I22" i="3"/>
  <c r="H25" i="186"/>
  <c r="K22" i="3"/>
  <c r="J22" i="3"/>
  <c r="C23" i="3"/>
  <c r="D23" i="3"/>
  <c r="D23" i="210" s="1"/>
  <c r="E23" i="3"/>
  <c r="F23" i="3"/>
  <c r="F23" i="210" s="1"/>
  <c r="I23" i="3"/>
  <c r="H15" i="187"/>
  <c r="K23" i="3"/>
  <c r="J23" i="3"/>
  <c r="C24" i="3"/>
  <c r="C24" i="210" s="1"/>
  <c r="E24" i="3"/>
  <c r="E24" i="210" s="1"/>
  <c r="F24" i="3"/>
  <c r="F24" i="210" s="1"/>
  <c r="G24" i="3"/>
  <c r="G24" i="210" s="1"/>
  <c r="I24" i="3"/>
  <c r="G12" i="188"/>
  <c r="K24" i="3"/>
  <c r="J24" i="3"/>
  <c r="C25" i="3"/>
  <c r="D25" i="3"/>
  <c r="E25" i="3"/>
  <c r="F25" i="3"/>
  <c r="G25" i="3"/>
  <c r="G25" i="210" s="1"/>
  <c r="H25" i="3"/>
  <c r="H25" i="210" s="1"/>
  <c r="I25" i="3"/>
  <c r="H16" i="189"/>
  <c r="K25" i="3"/>
  <c r="J25" i="3"/>
  <c r="C26" i="3"/>
  <c r="C26" i="210" s="1"/>
  <c r="E26" i="3"/>
  <c r="E26" i="210" s="1"/>
  <c r="F26" i="3"/>
  <c r="F26" i="210" s="1"/>
  <c r="I26" i="3"/>
  <c r="K26" i="3"/>
  <c r="J26" i="3"/>
  <c r="C27" i="3"/>
  <c r="E27" i="3"/>
  <c r="F27" i="3"/>
  <c r="F27" i="210" s="1"/>
  <c r="I27" i="3"/>
  <c r="H15" i="191"/>
  <c r="K27" i="3"/>
  <c r="J27" i="3"/>
  <c r="C28" i="3"/>
  <c r="C28" i="210" s="1"/>
  <c r="D28" i="3"/>
  <c r="D28" i="210" s="1"/>
  <c r="E28" i="3"/>
  <c r="E28" i="210" s="1"/>
  <c r="F28" i="3"/>
  <c r="F28" i="210" s="1"/>
  <c r="G28" i="3"/>
  <c r="G28" i="210" s="1"/>
  <c r="H28" i="3"/>
  <c r="H28" i="210" s="1"/>
  <c r="I28" i="3"/>
  <c r="H22" i="192"/>
  <c r="K28" i="3"/>
  <c r="J28" i="3"/>
  <c r="C29" i="3"/>
  <c r="E29" i="3"/>
  <c r="F29" i="3"/>
  <c r="H29" i="3"/>
  <c r="H29" i="210" s="1"/>
  <c r="I29" i="3"/>
  <c r="H23" i="193"/>
  <c r="K29" i="3"/>
  <c r="J29" i="3"/>
  <c r="C30" i="3"/>
  <c r="C30" i="210" s="1"/>
  <c r="E30" i="3"/>
  <c r="E30" i="210" s="1"/>
  <c r="F30" i="3"/>
  <c r="F30" i="210" s="1"/>
  <c r="H30" i="3"/>
  <c r="H30" i="210" s="1"/>
  <c r="I30" i="3"/>
  <c r="G13" i="194"/>
  <c r="K30" i="3"/>
  <c r="J30" i="3"/>
  <c r="C32" i="3"/>
  <c r="C32" i="210" s="1"/>
  <c r="D32" i="3"/>
  <c r="D32" i="210" s="1"/>
  <c r="E32" i="3"/>
  <c r="E32" i="210" s="1"/>
  <c r="F32" i="3"/>
  <c r="F32" i="210" s="1"/>
  <c r="H32" i="3"/>
  <c r="H32" i="210" s="1"/>
  <c r="I32" i="3"/>
  <c r="G13" i="195"/>
  <c r="K32" i="3"/>
  <c r="J32" i="3"/>
  <c r="C31" i="3"/>
  <c r="C31" i="210" s="1"/>
  <c r="D31" i="3"/>
  <c r="E31" i="3"/>
  <c r="E31" i="210" s="1"/>
  <c r="F31" i="3"/>
  <c r="F31" i="210" s="1"/>
  <c r="H31" i="3"/>
  <c r="H31" i="210" s="1"/>
  <c r="I31" i="3"/>
  <c r="H38" i="196"/>
  <c r="H40" i="196"/>
  <c r="K31" i="3"/>
  <c r="J31" i="3"/>
  <c r="C35" i="3"/>
  <c r="C35" i="210" s="1"/>
  <c r="E35" i="3"/>
  <c r="E35" i="210" s="1"/>
  <c r="F35" i="3"/>
  <c r="F35" i="210" s="1"/>
  <c r="H35" i="3"/>
  <c r="H35" i="210" s="1"/>
  <c r="I35" i="3"/>
  <c r="K35" i="3"/>
  <c r="J35" i="3"/>
  <c r="F33" i="3"/>
  <c r="F33" i="210" s="1"/>
  <c r="I33" i="3"/>
  <c r="K33" i="3"/>
  <c r="J33" i="3"/>
  <c r="C34" i="3"/>
  <c r="D34" i="3"/>
  <c r="E34" i="3"/>
  <c r="F34" i="3"/>
  <c r="G34" i="3"/>
  <c r="H34" i="3"/>
  <c r="H34" i="210" s="1"/>
  <c r="I34" i="3"/>
  <c r="H16" i="198"/>
  <c r="K34" i="3"/>
  <c r="J34" i="3"/>
  <c r="C36" i="3"/>
  <c r="C36" i="210" s="1"/>
  <c r="D36" i="3"/>
  <c r="D36" i="210" s="1"/>
  <c r="E36" i="3"/>
  <c r="E36" i="210" s="1"/>
  <c r="G36" i="3"/>
  <c r="G36" i="210" s="1"/>
  <c r="H36" i="3"/>
  <c r="H36" i="210" s="1"/>
  <c r="I36" i="3"/>
  <c r="G13" i="200"/>
  <c r="K36" i="3"/>
  <c r="J36" i="3"/>
  <c r="C37" i="3"/>
  <c r="D37" i="3"/>
  <c r="E37" i="3"/>
  <c r="F37" i="3"/>
  <c r="G37" i="3"/>
  <c r="H37" i="3"/>
  <c r="I37" i="3"/>
  <c r="H21" i="148"/>
  <c r="K37" i="3"/>
  <c r="J37" i="3"/>
  <c r="C38" i="3"/>
  <c r="C38" i="210" s="1"/>
  <c r="D38" i="3"/>
  <c r="D38" i="210" s="1"/>
  <c r="E38" i="3"/>
  <c r="E38" i="210" s="1"/>
  <c r="F38" i="3"/>
  <c r="F38" i="210" s="1"/>
  <c r="I38" i="3"/>
  <c r="G11" i="149"/>
  <c r="K38" i="3"/>
  <c r="J38" i="3"/>
  <c r="C39" i="3"/>
  <c r="C39" i="210" s="1"/>
  <c r="D39" i="3"/>
  <c r="D39" i="210" s="1"/>
  <c r="E39" i="3"/>
  <c r="E39" i="210" s="1"/>
  <c r="F39" i="3"/>
  <c r="F39" i="210" s="1"/>
  <c r="I39" i="3"/>
  <c r="G13" i="150"/>
  <c r="K39" i="3"/>
  <c r="J39" i="3"/>
  <c r="C40" i="3"/>
  <c r="C40" i="210" s="1"/>
  <c r="E40" i="3"/>
  <c r="E40" i="210" s="1"/>
  <c r="I40" i="3"/>
  <c r="K40" i="3"/>
  <c r="J40" i="3"/>
  <c r="C41" i="3"/>
  <c r="C41" i="210" s="1"/>
  <c r="D41" i="3"/>
  <c r="D41" i="210" s="1"/>
  <c r="E41" i="3"/>
  <c r="E41" i="210" s="1"/>
  <c r="F41" i="3"/>
  <c r="F41" i="210" s="1"/>
  <c r="G41" i="3"/>
  <c r="G41" i="210" s="1"/>
  <c r="H41" i="3"/>
  <c r="H41" i="210" s="1"/>
  <c r="I41" i="3"/>
  <c r="H21" i="152"/>
  <c r="K41" i="3"/>
  <c r="J41" i="3"/>
  <c r="C42" i="3"/>
  <c r="D42" i="3"/>
  <c r="D42" i="210" s="1"/>
  <c r="E42" i="3"/>
  <c r="F42" i="3"/>
  <c r="G42" i="3"/>
  <c r="H42" i="3"/>
  <c r="I42" i="3"/>
  <c r="F22" i="153"/>
  <c r="K42" i="3"/>
  <c r="J42" i="3"/>
  <c r="C43" i="3"/>
  <c r="D43" i="3"/>
  <c r="E43" i="3"/>
  <c r="F43" i="3"/>
  <c r="H43" i="3"/>
  <c r="I43" i="3"/>
  <c r="K43" i="3"/>
  <c r="J43" i="3"/>
  <c r="C44" i="3"/>
  <c r="D44" i="3"/>
  <c r="D44" i="210" s="1"/>
  <c r="E44" i="3"/>
  <c r="F44" i="3"/>
  <c r="G44" i="3"/>
  <c r="H44" i="3"/>
  <c r="I44" i="3"/>
  <c r="K44" i="3"/>
  <c r="J44" i="3"/>
  <c r="J45" i="3"/>
  <c r="C46" i="3"/>
  <c r="D46" i="3"/>
  <c r="D46" i="210" s="1"/>
  <c r="E46" i="3"/>
  <c r="F46" i="3"/>
  <c r="H46" i="3"/>
  <c r="I46" i="3"/>
  <c r="H17" i="156"/>
  <c r="K46" i="3"/>
  <c r="J46" i="3"/>
  <c r="C47" i="3"/>
  <c r="C47" i="210" s="1"/>
  <c r="E47" i="3"/>
  <c r="E47" i="210" s="1"/>
  <c r="F47" i="3"/>
  <c r="F47" i="210" s="1"/>
  <c r="I47" i="3"/>
  <c r="G12" i="157"/>
  <c r="K47" i="3"/>
  <c r="J47" i="3"/>
  <c r="C49" i="3"/>
  <c r="D49" i="3"/>
  <c r="E49" i="3"/>
  <c r="F49" i="3"/>
  <c r="H49" i="3"/>
  <c r="I49" i="3"/>
  <c r="K49" i="3"/>
  <c r="J49" i="3"/>
  <c r="C50" i="3"/>
  <c r="D50" i="3"/>
  <c r="E50" i="3"/>
  <c r="F50" i="3"/>
  <c r="G50" i="3"/>
  <c r="H50" i="3"/>
  <c r="I50" i="3"/>
  <c r="K50" i="3"/>
  <c r="J50" i="3"/>
  <c r="C51" i="3"/>
  <c r="C51" i="210" s="1"/>
  <c r="D51" i="3"/>
  <c r="D51" i="210" s="1"/>
  <c r="E51" i="3"/>
  <c r="E51" i="210" s="1"/>
  <c r="F51" i="3"/>
  <c r="F51" i="210" s="1"/>
  <c r="H51" i="3"/>
  <c r="H51" i="210" s="1"/>
  <c r="I51" i="3"/>
  <c r="H13" i="205"/>
  <c r="H17" i="205"/>
  <c r="H27" i="205"/>
  <c r="H29" i="205"/>
  <c r="K51" i="3"/>
  <c r="J51" i="3"/>
  <c r="C52" i="3"/>
  <c r="D52" i="3"/>
  <c r="E52" i="3"/>
  <c r="F52" i="3"/>
  <c r="G52" i="3"/>
  <c r="G52" i="210" s="1"/>
  <c r="H52" i="3"/>
  <c r="I52" i="3"/>
  <c r="G24" i="161"/>
  <c r="K52" i="3"/>
  <c r="J52" i="3"/>
  <c r="C53" i="3"/>
  <c r="E53" i="3"/>
  <c r="F53" i="3"/>
  <c r="G53" i="3"/>
  <c r="H53" i="3"/>
  <c r="I53" i="3"/>
  <c r="G22" i="162"/>
  <c r="K53" i="3"/>
  <c r="J53" i="3"/>
  <c r="C54" i="3"/>
  <c r="E54" i="3"/>
  <c r="F54" i="3"/>
  <c r="G54" i="3"/>
  <c r="G54" i="210" s="1"/>
  <c r="H54" i="3"/>
  <c r="I54" i="3"/>
  <c r="K54" i="3"/>
  <c r="J54" i="3"/>
  <c r="C55" i="3"/>
  <c r="C55" i="210" s="1"/>
  <c r="E55" i="3"/>
  <c r="F55" i="3"/>
  <c r="F55" i="210" s="1"/>
  <c r="G55" i="3"/>
  <c r="G55" i="210" s="1"/>
  <c r="H55" i="3"/>
  <c r="H55" i="210" s="1"/>
  <c r="I55" i="3"/>
  <c r="H14" i="164"/>
  <c r="K55" i="3"/>
  <c r="J55" i="3"/>
  <c r="I56" i="3"/>
  <c r="C6" i="3"/>
  <c r="C6" i="210" s="1"/>
  <c r="D6" i="3"/>
  <c r="D6" i="210" s="1"/>
  <c r="E6" i="3"/>
  <c r="E6" i="210" s="1"/>
  <c r="F6" i="3"/>
  <c r="F6" i="210" s="1"/>
  <c r="G6" i="3"/>
  <c r="G6" i="210" s="1"/>
  <c r="I6" i="3"/>
  <c r="C58" i="3"/>
  <c r="C58" i="210" s="1"/>
  <c r="E58" i="3"/>
  <c r="E58" i="210" s="1"/>
  <c r="F58" i="3"/>
  <c r="F58" i="210" s="1"/>
  <c r="G58" i="3"/>
  <c r="G58" i="210" s="1"/>
  <c r="H58" i="3"/>
  <c r="H58" i="210" s="1"/>
  <c r="I58" i="3"/>
  <c r="C59" i="3"/>
  <c r="C59" i="210" s="1"/>
  <c r="E59" i="3"/>
  <c r="E59" i="210" s="1"/>
  <c r="G59" i="3"/>
  <c r="G59" i="210" s="1"/>
  <c r="H59" i="3"/>
  <c r="H59" i="210" s="1"/>
  <c r="I59" i="3"/>
  <c r="D60" i="3"/>
  <c r="E60" i="3"/>
  <c r="F60" i="3"/>
  <c r="G60" i="3"/>
  <c r="I60" i="3"/>
  <c r="C61" i="3"/>
  <c r="C61" i="210" s="1"/>
  <c r="D61" i="3"/>
  <c r="D61" i="210" s="1"/>
  <c r="E61" i="3"/>
  <c r="E61" i="210" s="1"/>
  <c r="F61" i="3"/>
  <c r="F61" i="210" s="1"/>
  <c r="I61" i="3"/>
  <c r="C62" i="3"/>
  <c r="C62" i="210" s="1"/>
  <c r="E62" i="3"/>
  <c r="E62" i="210" s="1"/>
  <c r="F62" i="3"/>
  <c r="F62" i="210" s="1"/>
  <c r="G62" i="3"/>
  <c r="G62" i="210" s="1"/>
  <c r="H62" i="3"/>
  <c r="H62" i="210" s="1"/>
  <c r="I62" i="3"/>
  <c r="C63" i="3"/>
  <c r="C63" i="210" s="1"/>
  <c r="D63" i="3"/>
  <c r="D63" i="210" s="1"/>
  <c r="E63" i="3"/>
  <c r="E63" i="210" s="1"/>
  <c r="I63" i="3"/>
  <c r="C64" i="3"/>
  <c r="D64" i="3"/>
  <c r="D64" i="210" s="1"/>
  <c r="E64" i="3"/>
  <c r="E64" i="210" s="1"/>
  <c r="F64" i="3"/>
  <c r="F64" i="210" s="1"/>
  <c r="G64" i="3"/>
  <c r="G64" i="210" s="1"/>
  <c r="H64" i="3"/>
  <c r="H64" i="210" s="1"/>
  <c r="I64" i="3"/>
  <c r="C65" i="3"/>
  <c r="C65" i="210" s="1"/>
  <c r="D65" i="3"/>
  <c r="D65" i="210" s="1"/>
  <c r="E65" i="3"/>
  <c r="E65" i="210" s="1"/>
  <c r="F65" i="3"/>
  <c r="F65" i="210" s="1"/>
  <c r="H65" i="3"/>
  <c r="H65" i="210" s="1"/>
  <c r="I65" i="3"/>
  <c r="C66" i="3"/>
  <c r="C66" i="210" s="1"/>
  <c r="D66" i="3"/>
  <c r="D66" i="210" s="1"/>
  <c r="E66" i="3"/>
  <c r="E66" i="210" s="1"/>
  <c r="F66" i="3"/>
  <c r="F66" i="210" s="1"/>
  <c r="G66" i="3"/>
  <c r="G66" i="210" s="1"/>
  <c r="I66" i="3"/>
  <c r="C67" i="3"/>
  <c r="C67" i="210" s="1"/>
  <c r="E67" i="3"/>
  <c r="E67" i="210" s="1"/>
  <c r="F67" i="3"/>
  <c r="F67" i="210" s="1"/>
  <c r="H67" i="3"/>
  <c r="H67" i="210" s="1"/>
  <c r="I67" i="3"/>
  <c r="C68" i="3"/>
  <c r="C68" i="210" s="1"/>
  <c r="D68" i="3"/>
  <c r="D68" i="210" s="1"/>
  <c r="E68" i="3"/>
  <c r="E68" i="210" s="1"/>
  <c r="F68" i="3"/>
  <c r="F68" i="210" s="1"/>
  <c r="G68" i="3"/>
  <c r="G68" i="210" s="1"/>
  <c r="H68" i="3"/>
  <c r="H68" i="210" s="1"/>
  <c r="I68" i="3"/>
  <c r="I69" i="3"/>
  <c r="I71" i="3"/>
  <c r="J56" i="3"/>
  <c r="K57" i="3"/>
  <c r="J57" i="3"/>
  <c r="H15" i="166"/>
  <c r="K58" i="3"/>
  <c r="J58" i="3"/>
  <c r="G13" i="167"/>
  <c r="K59" i="3"/>
  <c r="J59" i="3"/>
  <c r="K60" i="3"/>
  <c r="J60" i="3"/>
  <c r="G11" i="206"/>
  <c r="K61" i="3"/>
  <c r="J61" i="3"/>
  <c r="H14" i="169"/>
  <c r="K62" i="3"/>
  <c r="J62" i="3"/>
  <c r="J63" i="3"/>
  <c r="K64" i="3"/>
  <c r="J64" i="3"/>
  <c r="H14" i="172"/>
  <c r="K65" i="3"/>
  <c r="J65" i="3"/>
  <c r="G18" i="173"/>
  <c r="K66" i="3"/>
  <c r="J66" i="3"/>
  <c r="H12" i="174"/>
  <c r="K67" i="3"/>
  <c r="J67" i="3"/>
  <c r="H24" i="207"/>
  <c r="K68" i="3"/>
  <c r="J68" i="3"/>
  <c r="J69" i="3"/>
  <c r="J70" i="3"/>
  <c r="Z6" i="3"/>
  <c r="AA6" i="3"/>
  <c r="AB6" i="3"/>
  <c r="AC6" i="3"/>
  <c r="H48" i="145"/>
  <c r="Y6" i="210" s="1"/>
  <c r="Y71" i="210" s="1"/>
  <c r="Y6" i="3"/>
  <c r="AD6" i="3"/>
  <c r="AF6" i="3"/>
  <c r="W6" i="3"/>
  <c r="H24" i="145"/>
  <c r="L6" i="210" s="1"/>
  <c r="L6" i="3"/>
  <c r="K6" i="3"/>
  <c r="I48" i="145"/>
  <c r="I24" i="145"/>
  <c r="I58" i="145"/>
  <c r="I44" i="145"/>
  <c r="I60" i="145"/>
  <c r="I19" i="145"/>
  <c r="J15" i="156"/>
  <c r="E45" i="209" s="1"/>
  <c r="J28" i="186"/>
  <c r="J29" i="186"/>
  <c r="I50" i="207"/>
  <c r="I37" i="207"/>
  <c r="I52" i="207"/>
  <c r="AE68" i="144"/>
  <c r="AA68" i="144"/>
  <c r="Z68" i="144"/>
  <c r="Y68" i="144"/>
  <c r="V68" i="144"/>
  <c r="I24" i="207"/>
  <c r="K68" i="144"/>
  <c r="Y43" i="144"/>
  <c r="AA43" i="144"/>
  <c r="AB43" i="144"/>
  <c r="AC43" i="144"/>
  <c r="AE43" i="144"/>
  <c r="AD43" i="144"/>
  <c r="Y44" i="144"/>
  <c r="AA44" i="144"/>
  <c r="AB44" i="144"/>
  <c r="AC44" i="144"/>
  <c r="G49" i="204"/>
  <c r="AE44" i="144"/>
  <c r="AD44" i="144"/>
  <c r="AB45" i="144"/>
  <c r="AC45" i="144"/>
  <c r="AD45" i="144"/>
  <c r="Y13" i="144"/>
  <c r="AA13" i="144"/>
  <c r="AB13" i="144"/>
  <c r="AC13" i="144"/>
  <c r="AE13" i="144"/>
  <c r="AD13" i="144"/>
  <c r="AB14" i="144"/>
  <c r="AC14" i="144"/>
  <c r="AD14" i="144"/>
  <c r="Y15" i="144"/>
  <c r="Z15" i="144"/>
  <c r="AA15" i="144"/>
  <c r="AB15" i="144"/>
  <c r="AC15" i="144"/>
  <c r="AE15" i="144"/>
  <c r="AD15" i="144"/>
  <c r="AB16" i="144"/>
  <c r="AC16" i="144"/>
  <c r="AD16" i="144"/>
  <c r="AB17" i="144"/>
  <c r="AC17" i="144"/>
  <c r="AD17" i="144"/>
  <c r="AB18" i="144"/>
  <c r="AC18" i="144"/>
  <c r="AD18" i="144"/>
  <c r="AB19" i="144"/>
  <c r="AC19" i="144"/>
  <c r="AD19" i="144"/>
  <c r="AB20" i="144"/>
  <c r="AC20" i="144"/>
  <c r="AD20" i="144"/>
  <c r="Y21" i="144"/>
  <c r="AA21" i="144"/>
  <c r="AB21" i="144"/>
  <c r="AC21" i="144"/>
  <c r="AD21" i="144"/>
  <c r="AE22" i="144"/>
  <c r="AD22" i="144"/>
  <c r="AE23" i="144"/>
  <c r="AD23" i="144"/>
  <c r="AB24" i="144"/>
  <c r="AC24" i="144"/>
  <c r="AD24" i="144"/>
  <c r="Y25" i="144"/>
  <c r="Z25" i="144"/>
  <c r="AA25" i="144"/>
  <c r="AB25" i="144"/>
  <c r="AC25" i="144"/>
  <c r="I42" i="189"/>
  <c r="I33" i="189"/>
  <c r="I44" i="189"/>
  <c r="AE25" i="144"/>
  <c r="AD25" i="144"/>
  <c r="AB26" i="144"/>
  <c r="AC26" i="144"/>
  <c r="AD26" i="144"/>
  <c r="Y27" i="144"/>
  <c r="AA27" i="144"/>
  <c r="AB27" i="144"/>
  <c r="AC27" i="144"/>
  <c r="AE27" i="144"/>
  <c r="AD27" i="144"/>
  <c r="Y28" i="144"/>
  <c r="Z28" i="144"/>
  <c r="AA28" i="144"/>
  <c r="AB28" i="144"/>
  <c r="AC28" i="144" s="1"/>
  <c r="AE28" i="144"/>
  <c r="Y29" i="144"/>
  <c r="Z29" i="144"/>
  <c r="AA29" i="144"/>
  <c r="AB29" i="144"/>
  <c r="AC29" i="144"/>
  <c r="AE29" i="144"/>
  <c r="AD29" i="144"/>
  <c r="AB30" i="144"/>
  <c r="AC30" i="144"/>
  <c r="AD30" i="144"/>
  <c r="AB32" i="144"/>
  <c r="AC32" i="144"/>
  <c r="AD32" i="144"/>
  <c r="Y31" i="144"/>
  <c r="AA31" i="144"/>
  <c r="AB31" i="144"/>
  <c r="AC31" i="144"/>
  <c r="AE31" i="144"/>
  <c r="AD31" i="144"/>
  <c r="AB35" i="144"/>
  <c r="AC35" i="144"/>
  <c r="AD35" i="144"/>
  <c r="U11" i="144"/>
  <c r="U12" i="144"/>
  <c r="V13" i="144"/>
  <c r="U13" i="144"/>
  <c r="U14" i="144"/>
  <c r="G38" i="153"/>
  <c r="V42" i="144"/>
  <c r="U42" i="144"/>
  <c r="V43" i="144"/>
  <c r="U43" i="144"/>
  <c r="V44" i="144"/>
  <c r="U44" i="144"/>
  <c r="C44" i="144"/>
  <c r="E44" i="144"/>
  <c r="F44" i="144"/>
  <c r="G44" i="144"/>
  <c r="H44" i="144"/>
  <c r="I44" i="144"/>
  <c r="K44" i="144"/>
  <c r="J44" i="144"/>
  <c r="C13" i="144"/>
  <c r="D13" i="144"/>
  <c r="E13" i="144"/>
  <c r="F13" i="144"/>
  <c r="H13" i="144"/>
  <c r="I13" i="144"/>
  <c r="I18" i="178"/>
  <c r="K13" i="144"/>
  <c r="J13" i="144"/>
  <c r="I14" i="144"/>
  <c r="J14" i="144"/>
  <c r="C15" i="144"/>
  <c r="D15" i="144"/>
  <c r="E15" i="144"/>
  <c r="F15" i="144"/>
  <c r="G15" i="144"/>
  <c r="H15" i="144"/>
  <c r="I15" i="144"/>
  <c r="I25" i="179"/>
  <c r="K15" i="144"/>
  <c r="J15" i="144"/>
  <c r="I16" i="144"/>
  <c r="J16" i="144"/>
  <c r="I17" i="144"/>
  <c r="J17" i="144"/>
  <c r="I18" i="144"/>
  <c r="J18" i="144"/>
  <c r="J7" i="207"/>
  <c r="J8" i="207"/>
  <c r="J9" i="207"/>
  <c r="J11" i="207"/>
  <c r="J12" i="207"/>
  <c r="J13" i="207"/>
  <c r="J15" i="207"/>
  <c r="J16" i="207"/>
  <c r="J17" i="207"/>
  <c r="J18" i="207"/>
  <c r="J19" i="207"/>
  <c r="J20" i="207"/>
  <c r="J21" i="207"/>
  <c r="J22" i="207"/>
  <c r="J24" i="207"/>
  <c r="K50" i="207"/>
  <c r="K37" i="207"/>
  <c r="K52" i="207"/>
  <c r="J43" i="207"/>
  <c r="J44" i="207"/>
  <c r="J45" i="207"/>
  <c r="J46" i="207"/>
  <c r="J47" i="207"/>
  <c r="J48" i="207"/>
  <c r="J50" i="207"/>
  <c r="J28" i="207"/>
  <c r="J29" i="207"/>
  <c r="J30" i="207"/>
  <c r="J37" i="207"/>
  <c r="J52" i="207"/>
  <c r="R67" i="209" s="1"/>
  <c r="K24" i="207"/>
  <c r="L12" i="205"/>
  <c r="H14" i="204"/>
  <c r="H15" i="204"/>
  <c r="H16" i="204"/>
  <c r="H17" i="204"/>
  <c r="H9" i="204"/>
  <c r="I49" i="204"/>
  <c r="I19" i="204"/>
  <c r="H24" i="203"/>
  <c r="L14" i="210" s="1"/>
  <c r="L14" i="3"/>
  <c r="J6" i="3"/>
  <c r="L24" i="205"/>
  <c r="L25" i="205"/>
  <c r="L27" i="205"/>
  <c r="L16" i="205"/>
  <c r="L17" i="205"/>
  <c r="L7" i="205"/>
  <c r="L8" i="205"/>
  <c r="L9" i="205"/>
  <c r="L10" i="205"/>
  <c r="L11" i="205"/>
  <c r="L13" i="205"/>
  <c r="L29" i="205"/>
  <c r="K27" i="205"/>
  <c r="K17" i="205"/>
  <c r="K13" i="205"/>
  <c r="K29" i="205"/>
  <c r="J27" i="205"/>
  <c r="J17" i="205"/>
  <c r="J13" i="205"/>
  <c r="J29" i="205"/>
  <c r="I27" i="205"/>
  <c r="I17" i="205"/>
  <c r="I13" i="205"/>
  <c r="I29" i="205"/>
  <c r="H49" i="204"/>
  <c r="R43" i="209" s="1"/>
  <c r="H7" i="204"/>
  <c r="H8" i="204"/>
  <c r="H10" i="204"/>
  <c r="H11" i="204"/>
  <c r="H12" i="204"/>
  <c r="H13" i="204"/>
  <c r="H19" i="204"/>
  <c r="I24" i="203"/>
  <c r="AB7" i="144"/>
  <c r="AC7" i="144"/>
  <c r="AD7" i="144"/>
  <c r="AB8" i="144"/>
  <c r="AC8" i="144"/>
  <c r="AD8" i="144"/>
  <c r="U7" i="144"/>
  <c r="U8" i="144"/>
  <c r="I8" i="144"/>
  <c r="J8" i="144"/>
  <c r="AC9" i="144"/>
  <c r="AC10" i="144"/>
  <c r="AB11" i="144"/>
  <c r="AC11" i="144"/>
  <c r="AB12" i="144"/>
  <c r="AC12" i="144"/>
  <c r="Z33" i="144"/>
  <c r="AA33" i="144"/>
  <c r="AB33" i="144"/>
  <c r="AC33" i="144"/>
  <c r="Y34" i="144"/>
  <c r="AA34" i="144"/>
  <c r="AB34" i="144"/>
  <c r="AC34" i="144"/>
  <c r="AB36" i="144"/>
  <c r="AC36" i="144"/>
  <c r="Y37" i="144"/>
  <c r="AA37" i="144"/>
  <c r="AB37" i="144"/>
  <c r="AC37" i="144"/>
  <c r="AB38" i="144"/>
  <c r="AC38" i="144"/>
  <c r="AC39" i="144"/>
  <c r="AB40" i="144"/>
  <c r="AC40" i="144"/>
  <c r="Y41" i="144"/>
  <c r="Z41" i="144"/>
  <c r="AA41" i="144"/>
  <c r="AB41" i="144"/>
  <c r="Y42" i="144"/>
  <c r="Z42" i="144"/>
  <c r="AA42" i="144"/>
  <c r="AB42" i="144"/>
  <c r="AC42" i="144"/>
  <c r="Y46" i="144"/>
  <c r="AA46" i="144"/>
  <c r="AB46" i="144"/>
  <c r="AC46" i="144"/>
  <c r="AB47" i="144"/>
  <c r="AC47" i="144"/>
  <c r="AB48" i="144"/>
  <c r="AC48" i="144"/>
  <c r="Y49" i="144"/>
  <c r="Z49" i="144"/>
  <c r="AA49" i="144"/>
  <c r="AB49" i="144"/>
  <c r="AC49" i="144"/>
  <c r="Y50" i="144"/>
  <c r="Z50" i="144"/>
  <c r="AA50" i="144"/>
  <c r="AB50" i="144"/>
  <c r="AC50" i="144"/>
  <c r="AB51" i="144"/>
  <c r="AC51" i="144"/>
  <c r="Y52" i="144"/>
  <c r="AA52" i="144"/>
  <c r="AB52" i="144"/>
  <c r="AC52" i="144"/>
  <c r="Y53" i="144"/>
  <c r="Z53" i="144"/>
  <c r="AA53" i="144"/>
  <c r="AB53" i="144"/>
  <c r="AC53" i="144"/>
  <c r="Y54" i="144"/>
  <c r="AA54" i="144"/>
  <c r="AB54" i="144"/>
  <c r="AC54" i="144"/>
  <c r="Z55" i="144"/>
  <c r="AA55" i="144"/>
  <c r="AB55" i="144"/>
  <c r="AC55" i="144"/>
  <c r="AB56" i="144"/>
  <c r="AC56" i="144"/>
  <c r="AB57" i="144"/>
  <c r="AC57" i="144"/>
  <c r="AB58" i="144"/>
  <c r="AC58" i="144"/>
  <c r="AB59" i="144"/>
  <c r="AC59" i="144"/>
  <c r="Y60" i="144"/>
  <c r="Z60" i="144"/>
  <c r="AA60" i="144"/>
  <c r="AB60" i="144"/>
  <c r="AC60" i="144"/>
  <c r="AC61" i="144"/>
  <c r="AB62" i="144"/>
  <c r="AC62" i="144"/>
  <c r="AB63" i="144"/>
  <c r="AC63" i="144"/>
  <c r="AB64" i="144"/>
  <c r="AC64" i="144"/>
  <c r="AC65" i="144"/>
  <c r="AB66" i="144"/>
  <c r="AC66" i="144"/>
  <c r="AB67" i="144"/>
  <c r="AC67" i="144"/>
  <c r="AB68" i="144"/>
  <c r="AC68" i="144"/>
  <c r="AC69" i="144"/>
  <c r="AB6" i="144"/>
  <c r="AC6" i="144"/>
  <c r="I36" i="175"/>
  <c r="I29" i="175"/>
  <c r="I38" i="175"/>
  <c r="V64" i="144"/>
  <c r="I20" i="171"/>
  <c r="K64" i="144"/>
  <c r="C64" i="144"/>
  <c r="AE60" i="144"/>
  <c r="V60" i="144"/>
  <c r="K60" i="144"/>
  <c r="G60" i="144"/>
  <c r="F60" i="144"/>
  <c r="E60" i="144"/>
  <c r="D60" i="144"/>
  <c r="C60" i="144"/>
  <c r="V57" i="144"/>
  <c r="K57" i="144"/>
  <c r="E57" i="144"/>
  <c r="D57" i="144"/>
  <c r="C57" i="144"/>
  <c r="AE55" i="144"/>
  <c r="V55" i="144"/>
  <c r="I14" i="164"/>
  <c r="K55" i="144"/>
  <c r="E55" i="144"/>
  <c r="AE54" i="144"/>
  <c r="V54" i="144"/>
  <c r="K54" i="144"/>
  <c r="F54" i="144"/>
  <c r="H54" i="144"/>
  <c r="E54" i="144"/>
  <c r="C54" i="144"/>
  <c r="AE53" i="144"/>
  <c r="V53" i="144"/>
  <c r="H22" i="162"/>
  <c r="K53" i="144"/>
  <c r="C53" i="144"/>
  <c r="H53" i="144"/>
  <c r="G53" i="144"/>
  <c r="F53" i="144"/>
  <c r="E53" i="144"/>
  <c r="AE52" i="144"/>
  <c r="V52" i="144"/>
  <c r="K52" i="144"/>
  <c r="H52" i="144"/>
  <c r="F52" i="144"/>
  <c r="E52" i="144"/>
  <c r="D52" i="144"/>
  <c r="C52" i="144"/>
  <c r="L52" i="3"/>
  <c r="AE50" i="144"/>
  <c r="AD50" i="144"/>
  <c r="V50" i="144"/>
  <c r="U50" i="144"/>
  <c r="I24" i="160"/>
  <c r="K50" i="144"/>
  <c r="C50" i="144"/>
  <c r="D50" i="144"/>
  <c r="E50" i="144"/>
  <c r="F50" i="144"/>
  <c r="G50" i="144"/>
  <c r="H50" i="144"/>
  <c r="I50" i="144"/>
  <c r="J50" i="144"/>
  <c r="J51" i="144"/>
  <c r="AE49" i="144"/>
  <c r="V49" i="144"/>
  <c r="K49" i="144"/>
  <c r="C49" i="144"/>
  <c r="F49" i="144"/>
  <c r="H49" i="144"/>
  <c r="E49" i="144"/>
  <c r="D49" i="144"/>
  <c r="AE46" i="144"/>
  <c r="V46" i="144"/>
  <c r="F46" i="144"/>
  <c r="I17" i="156"/>
  <c r="K46" i="144"/>
  <c r="E46" i="144"/>
  <c r="H46" i="144"/>
  <c r="C46" i="144"/>
  <c r="K43" i="144"/>
  <c r="F43" i="144"/>
  <c r="H43" i="144"/>
  <c r="E43" i="144"/>
  <c r="D43" i="144"/>
  <c r="C43" i="144"/>
  <c r="I38" i="155"/>
  <c r="I40" i="155"/>
  <c r="G59" i="153"/>
  <c r="G61" i="153"/>
  <c r="AE42" i="144"/>
  <c r="G42" i="144"/>
  <c r="G22" i="153"/>
  <c r="K42" i="144"/>
  <c r="F42" i="144"/>
  <c r="H42" i="144"/>
  <c r="E42" i="144"/>
  <c r="C42" i="144"/>
  <c r="H46" i="153"/>
  <c r="H48" i="153"/>
  <c r="H49" i="153"/>
  <c r="H50" i="153"/>
  <c r="H51" i="153"/>
  <c r="H52" i="153"/>
  <c r="H53" i="153"/>
  <c r="H54" i="153"/>
  <c r="H55" i="153"/>
  <c r="H56" i="153"/>
  <c r="H57" i="153"/>
  <c r="H59" i="153"/>
  <c r="H30" i="153"/>
  <c r="H31" i="153"/>
  <c r="H32" i="153"/>
  <c r="H34" i="153"/>
  <c r="H35" i="153"/>
  <c r="H36" i="153"/>
  <c r="H38" i="153"/>
  <c r="H61" i="153"/>
  <c r="R41" i="209" s="1"/>
  <c r="AE41" i="144"/>
  <c r="I21" i="152"/>
  <c r="L41" i="3"/>
  <c r="AE37" i="144"/>
  <c r="V37" i="144"/>
  <c r="I21" i="148"/>
  <c r="K37" i="144"/>
  <c r="H37" i="144"/>
  <c r="G37" i="144"/>
  <c r="F37" i="144"/>
  <c r="E37" i="144"/>
  <c r="D37" i="144"/>
  <c r="C37" i="144"/>
  <c r="L37" i="3"/>
  <c r="L36" i="3"/>
  <c r="AE34" i="144"/>
  <c r="V34" i="144"/>
  <c r="I16" i="198"/>
  <c r="K34" i="144"/>
  <c r="E34" i="144"/>
  <c r="G34" i="144"/>
  <c r="F34" i="144"/>
  <c r="D34" i="144"/>
  <c r="C34" i="144"/>
  <c r="L34" i="3"/>
  <c r="AE33" i="144"/>
  <c r="V33" i="144"/>
  <c r="K33" i="144"/>
  <c r="V31" i="144"/>
  <c r="D31" i="144"/>
  <c r="V29" i="144"/>
  <c r="I23" i="193"/>
  <c r="K29" i="144"/>
  <c r="F29" i="144"/>
  <c r="E29" i="144"/>
  <c r="C29" i="144"/>
  <c r="V27" i="144"/>
  <c r="I15" i="191"/>
  <c r="K27" i="144"/>
  <c r="C27" i="144"/>
  <c r="E27" i="144"/>
  <c r="V25" i="144"/>
  <c r="I16" i="189"/>
  <c r="K25" i="144"/>
  <c r="F25" i="144"/>
  <c r="E25" i="144"/>
  <c r="D25" i="144"/>
  <c r="C25" i="144"/>
  <c r="L24" i="3"/>
  <c r="V23" i="144"/>
  <c r="E23" i="144"/>
  <c r="I15" i="187"/>
  <c r="K23" i="144"/>
  <c r="H23" i="144"/>
  <c r="H23" i="210" s="1"/>
  <c r="C23" i="144"/>
  <c r="V22" i="144"/>
  <c r="I25" i="186"/>
  <c r="K22" i="144"/>
  <c r="H22" i="144"/>
  <c r="G22" i="144"/>
  <c r="F22" i="144"/>
  <c r="E22" i="144"/>
  <c r="D22" i="144"/>
  <c r="C22" i="144"/>
  <c r="L22" i="3"/>
  <c r="V21" i="144"/>
  <c r="I13" i="185"/>
  <c r="K21" i="144"/>
  <c r="F21" i="144"/>
  <c r="H21" i="144"/>
  <c r="E21" i="144"/>
  <c r="C21" i="144"/>
  <c r="V15" i="144"/>
  <c r="L15" i="3"/>
  <c r="AE9" i="144"/>
  <c r="L8" i="3"/>
  <c r="J34" i="196"/>
  <c r="J35" i="196"/>
  <c r="J36" i="196"/>
  <c r="J9" i="196"/>
  <c r="K38" i="196"/>
  <c r="J33" i="196"/>
  <c r="E30" i="209" s="1"/>
  <c r="J38" i="196"/>
  <c r="K29" i="196"/>
  <c r="J27" i="196"/>
  <c r="J26" i="196"/>
  <c r="J25" i="196"/>
  <c r="J19" i="196"/>
  <c r="J16" i="196"/>
  <c r="J14" i="196"/>
  <c r="J11" i="196"/>
  <c r="J10" i="196"/>
  <c r="K40" i="196"/>
  <c r="J29" i="196"/>
  <c r="J40" i="196"/>
  <c r="K23" i="193"/>
  <c r="I32" i="186"/>
  <c r="J32" i="186"/>
  <c r="K32" i="186"/>
  <c r="J11" i="186"/>
  <c r="J37" i="185"/>
  <c r="J20" i="185"/>
  <c r="I14" i="176"/>
  <c r="K16" i="198"/>
  <c r="J14" i="198"/>
  <c r="J13" i="198"/>
  <c r="E33" i="209" s="1"/>
  <c r="J11" i="198"/>
  <c r="J10" i="198"/>
  <c r="J9" i="198"/>
  <c r="J8" i="198"/>
  <c r="J7" i="198"/>
  <c r="C33" i="209" s="1"/>
  <c r="L23" i="193"/>
  <c r="J21" i="193"/>
  <c r="J20" i="193"/>
  <c r="J19" i="193"/>
  <c r="J18" i="193"/>
  <c r="J17" i="193"/>
  <c r="J15" i="193"/>
  <c r="E28" i="209" s="1"/>
  <c r="J13" i="193"/>
  <c r="J12" i="193"/>
  <c r="J11" i="193"/>
  <c r="J8" i="193"/>
  <c r="C28" i="209" s="1"/>
  <c r="J13" i="191"/>
  <c r="J12" i="191"/>
  <c r="J11" i="191"/>
  <c r="E26" i="209" s="1"/>
  <c r="J8" i="191"/>
  <c r="J7" i="191"/>
  <c r="C26" i="209" s="1"/>
  <c r="J40" i="189"/>
  <c r="J39" i="189"/>
  <c r="J38" i="189"/>
  <c r="N24" i="209" s="1"/>
  <c r="O24" i="209" s="1"/>
  <c r="J31" i="189"/>
  <c r="J24" i="189"/>
  <c r="J25" i="189"/>
  <c r="J23" i="189"/>
  <c r="J22" i="189"/>
  <c r="I24" i="209" s="1"/>
  <c r="J14" i="189"/>
  <c r="J13" i="189"/>
  <c r="J12" i="189"/>
  <c r="E24" i="209" s="1"/>
  <c r="J10" i="189"/>
  <c r="J9" i="189"/>
  <c r="J8" i="189"/>
  <c r="J7" i="189"/>
  <c r="C24" i="209" s="1"/>
  <c r="J13" i="187"/>
  <c r="J12" i="187"/>
  <c r="J11" i="187"/>
  <c r="E22" i="209" s="1"/>
  <c r="J10" i="187"/>
  <c r="J9" i="187"/>
  <c r="J8" i="187"/>
  <c r="J7" i="187"/>
  <c r="C22" i="209" s="1"/>
  <c r="K25" i="186"/>
  <c r="J23" i="186"/>
  <c r="J22" i="186"/>
  <c r="J20" i="186"/>
  <c r="J19" i="186"/>
  <c r="J18" i="186"/>
  <c r="J14" i="186"/>
  <c r="J13" i="186"/>
  <c r="J12" i="186"/>
  <c r="J10" i="186"/>
  <c r="J9" i="186"/>
  <c r="J8" i="186"/>
  <c r="C21" i="209" s="1"/>
  <c r="J38" i="185"/>
  <c r="J36" i="185"/>
  <c r="N20" i="209" s="1"/>
  <c r="O20" i="209" s="1"/>
  <c r="J29" i="185"/>
  <c r="J20" i="209" s="1"/>
  <c r="J26" i="185"/>
  <c r="J25" i="185"/>
  <c r="J24" i="185"/>
  <c r="J23" i="185"/>
  <c r="J22" i="185"/>
  <c r="J21" i="185"/>
  <c r="J19" i="185"/>
  <c r="I20" i="209" s="1"/>
  <c r="K20" i="209" s="1"/>
  <c r="J11" i="185"/>
  <c r="E20" i="209" s="1"/>
  <c r="J10" i="185"/>
  <c r="J9" i="185"/>
  <c r="J8" i="185"/>
  <c r="J7" i="185"/>
  <c r="C20" i="209" s="1"/>
  <c r="I14" i="182"/>
  <c r="K25" i="179"/>
  <c r="J23" i="179"/>
  <c r="J7" i="179"/>
  <c r="C14" i="209" s="1"/>
  <c r="J16" i="198"/>
  <c r="J23" i="193"/>
  <c r="J15" i="191"/>
  <c r="J16" i="189"/>
  <c r="J42" i="189"/>
  <c r="J33" i="189"/>
  <c r="J44" i="189"/>
  <c r="R24" i="209" s="1"/>
  <c r="J15" i="187"/>
  <c r="J25" i="186"/>
  <c r="J40" i="185"/>
  <c r="J13" i="185"/>
  <c r="J31" i="185"/>
  <c r="J25" i="179"/>
  <c r="J42" i="185"/>
  <c r="R20" i="209" s="1"/>
  <c r="L47" i="3"/>
  <c r="L46" i="3"/>
  <c r="Y71" i="3"/>
  <c r="L71" i="3"/>
  <c r="I14" i="172"/>
  <c r="J20" i="171"/>
  <c r="J14" i="169"/>
  <c r="I14" i="169"/>
  <c r="I15" i="166"/>
  <c r="J7" i="164"/>
  <c r="J12" i="164"/>
  <c r="J11" i="164"/>
  <c r="E54" i="209" s="1"/>
  <c r="J9" i="164"/>
  <c r="J8" i="164"/>
  <c r="J6" i="164"/>
  <c r="C54" i="209" s="1"/>
  <c r="I8" i="162"/>
  <c r="I9" i="162"/>
  <c r="I10" i="162"/>
  <c r="I7" i="162"/>
  <c r="I11" i="162"/>
  <c r="I12" i="162"/>
  <c r="I13" i="162"/>
  <c r="I14" i="162"/>
  <c r="I15" i="162"/>
  <c r="I16" i="162"/>
  <c r="I17" i="162"/>
  <c r="I18" i="162"/>
  <c r="I19" i="162"/>
  <c r="I20" i="162"/>
  <c r="I22" i="162"/>
  <c r="J8" i="160"/>
  <c r="J9" i="160"/>
  <c r="J11" i="160"/>
  <c r="J12" i="160"/>
  <c r="J13" i="160"/>
  <c r="J14" i="160"/>
  <c r="J15" i="160"/>
  <c r="J16" i="160"/>
  <c r="J17" i="160"/>
  <c r="J18" i="160"/>
  <c r="J19" i="160"/>
  <c r="J20" i="160"/>
  <c r="J21" i="160"/>
  <c r="J22" i="160"/>
  <c r="K24" i="160"/>
  <c r="J22" i="162"/>
  <c r="J24" i="161"/>
  <c r="I22" i="161"/>
  <c r="I21" i="161"/>
  <c r="I12" i="161"/>
  <c r="I7" i="161"/>
  <c r="I8" i="161"/>
  <c r="I24" i="161"/>
  <c r="J7" i="160"/>
  <c r="C49" i="209" s="1"/>
  <c r="J7" i="156"/>
  <c r="J8" i="156"/>
  <c r="J9" i="156"/>
  <c r="J10" i="156"/>
  <c r="J12" i="156"/>
  <c r="J17" i="156"/>
  <c r="H15" i="153"/>
  <c r="H7" i="153"/>
  <c r="H8" i="153"/>
  <c r="H10" i="153"/>
  <c r="H11" i="153"/>
  <c r="H12" i="153"/>
  <c r="H13" i="153"/>
  <c r="H14" i="153"/>
  <c r="H16" i="153"/>
  <c r="H17" i="153"/>
  <c r="H18" i="153"/>
  <c r="H19" i="153"/>
  <c r="H20" i="153"/>
  <c r="J6" i="148"/>
  <c r="J7" i="148"/>
  <c r="J8" i="148"/>
  <c r="J9" i="148"/>
  <c r="J10" i="148"/>
  <c r="J11" i="148"/>
  <c r="J12" i="148"/>
  <c r="J13" i="148"/>
  <c r="J14" i="148"/>
  <c r="J16" i="148"/>
  <c r="J18" i="148"/>
  <c r="J19" i="148"/>
  <c r="I22" i="144"/>
  <c r="J22" i="144"/>
  <c r="I23" i="144"/>
  <c r="J23" i="144"/>
  <c r="I24" i="144"/>
  <c r="J24" i="144"/>
  <c r="I25" i="144"/>
  <c r="J25" i="144"/>
  <c r="I26" i="144"/>
  <c r="J26" i="144"/>
  <c r="I27" i="144"/>
  <c r="J27" i="144"/>
  <c r="J28" i="144"/>
  <c r="I29" i="144"/>
  <c r="J29" i="144"/>
  <c r="I30" i="144"/>
  <c r="J30" i="144"/>
  <c r="I32" i="144"/>
  <c r="J32" i="144"/>
  <c r="I31" i="144"/>
  <c r="J31" i="144"/>
  <c r="I35" i="144"/>
  <c r="J35" i="144"/>
  <c r="I33" i="144"/>
  <c r="J33" i="144"/>
  <c r="I34" i="144"/>
  <c r="J34" i="144"/>
  <c r="I36" i="144"/>
  <c r="J36" i="144"/>
  <c r="I37" i="144"/>
  <c r="J37" i="144"/>
  <c r="I38" i="144"/>
  <c r="J38" i="144"/>
  <c r="I39" i="144"/>
  <c r="J39" i="144"/>
  <c r="I40" i="144"/>
  <c r="J40" i="144"/>
  <c r="I41" i="144"/>
  <c r="J41" i="144" s="1"/>
  <c r="I42" i="144"/>
  <c r="J42" i="144"/>
  <c r="I43" i="144"/>
  <c r="J43" i="144"/>
  <c r="I45" i="144"/>
  <c r="J45" i="144"/>
  <c r="I46" i="144"/>
  <c r="J46" i="144"/>
  <c r="I47" i="144"/>
  <c r="J47" i="144"/>
  <c r="I48" i="144"/>
  <c r="J48" i="144"/>
  <c r="I49" i="144"/>
  <c r="J49" i="144"/>
  <c r="I52" i="144"/>
  <c r="J52" i="144"/>
  <c r="I53" i="144"/>
  <c r="J53" i="144"/>
  <c r="I54" i="144"/>
  <c r="J54" i="144"/>
  <c r="I55" i="144"/>
  <c r="J55" i="144"/>
  <c r="I56" i="144"/>
  <c r="J56" i="144"/>
  <c r="I57" i="144"/>
  <c r="J57" i="144"/>
  <c r="I58" i="144"/>
  <c r="J58" i="144"/>
  <c r="I59" i="144"/>
  <c r="J59" i="144"/>
  <c r="I60" i="144"/>
  <c r="J60" i="144"/>
  <c r="I61" i="144"/>
  <c r="J61" i="144"/>
  <c r="I62" i="144"/>
  <c r="J62" i="144"/>
  <c r="I63" i="144"/>
  <c r="J63" i="144"/>
  <c r="I64" i="144"/>
  <c r="J64" i="144"/>
  <c r="I65" i="144"/>
  <c r="J65" i="144"/>
  <c r="I66" i="144"/>
  <c r="J66" i="144"/>
  <c r="I67" i="144"/>
  <c r="J67" i="144"/>
  <c r="I68" i="144"/>
  <c r="J68" i="144"/>
  <c r="K71" i="3"/>
  <c r="U24" i="144"/>
  <c r="AD64" i="144"/>
  <c r="U60" i="144"/>
  <c r="AD60" i="144"/>
  <c r="U57" i="144"/>
  <c r="U56" i="144"/>
  <c r="AD55" i="144"/>
  <c r="U55" i="144"/>
  <c r="U46" i="144"/>
  <c r="U47" i="144"/>
  <c r="AD48" i="144"/>
  <c r="U48" i="144"/>
  <c r="U51" i="144"/>
  <c r="AD51" i="144"/>
  <c r="AD42" i="144"/>
  <c r="U37" i="144"/>
  <c r="U34" i="144"/>
  <c r="U33" i="144"/>
  <c r="AD33" i="144"/>
  <c r="U31" i="144"/>
  <c r="U29" i="144"/>
  <c r="U27" i="144"/>
  <c r="U22" i="144"/>
  <c r="U21" i="144"/>
  <c r="I21" i="144"/>
  <c r="J21" i="144"/>
  <c r="Z71" i="144"/>
  <c r="U15" i="144"/>
  <c r="Y71" i="144"/>
  <c r="AE71" i="144"/>
  <c r="AA71" i="144"/>
  <c r="K71" i="144"/>
  <c r="P71" i="144"/>
  <c r="L71" i="144"/>
  <c r="H71" i="144"/>
  <c r="G71" i="144"/>
  <c r="E71" i="144"/>
  <c r="D71" i="144"/>
  <c r="C71" i="144"/>
  <c r="AB71" i="3"/>
  <c r="AA71" i="3"/>
  <c r="W71" i="144"/>
  <c r="O71" i="144"/>
  <c r="M71" i="144"/>
  <c r="I69" i="144"/>
  <c r="J69" i="144"/>
  <c r="AD67" i="144"/>
  <c r="AD66" i="144"/>
  <c r="U66" i="144"/>
  <c r="U64" i="144"/>
  <c r="U63" i="144"/>
  <c r="U62" i="144"/>
  <c r="AD62" i="144"/>
  <c r="AD59" i="144"/>
  <c r="U58" i="144"/>
  <c r="AD58" i="144"/>
  <c r="U54" i="144"/>
  <c r="U53" i="144"/>
  <c r="AD53" i="144"/>
  <c r="AD46" i="144"/>
  <c r="U45" i="144"/>
  <c r="AD40" i="144"/>
  <c r="U40" i="144"/>
  <c r="AD39" i="144"/>
  <c r="U39" i="144"/>
  <c r="U38" i="144"/>
  <c r="U36" i="144"/>
  <c r="U32" i="144"/>
  <c r="U30" i="144"/>
  <c r="U20" i="144"/>
  <c r="I20" i="144"/>
  <c r="J20" i="144"/>
  <c r="U19" i="144"/>
  <c r="I19" i="144"/>
  <c r="J19" i="144"/>
  <c r="U17" i="144"/>
  <c r="U16" i="144"/>
  <c r="I12" i="144"/>
  <c r="J12" i="144"/>
  <c r="I11" i="144"/>
  <c r="J11" i="144"/>
  <c r="I10" i="144"/>
  <c r="J10" i="144"/>
  <c r="U9" i="144"/>
  <c r="I9" i="144"/>
  <c r="J9" i="144"/>
  <c r="R71" i="144"/>
  <c r="Q71" i="144"/>
  <c r="N71" i="144"/>
  <c r="F71" i="144"/>
  <c r="I6" i="144"/>
  <c r="J6" i="144"/>
  <c r="U6" i="144"/>
  <c r="I7" i="144"/>
  <c r="J7" i="144"/>
  <c r="AD36" i="144"/>
  <c r="AD65" i="144"/>
  <c r="U65" i="144"/>
  <c r="U59" i="144"/>
  <c r="U67" i="144"/>
  <c r="U10" i="144"/>
  <c r="U35" i="144"/>
  <c r="AD69" i="144"/>
  <c r="U69" i="144"/>
  <c r="AD6" i="144"/>
  <c r="S71" i="3"/>
  <c r="R71" i="3"/>
  <c r="Q71" i="3"/>
  <c r="M71" i="3"/>
  <c r="O71" i="3"/>
  <c r="T71" i="3"/>
  <c r="H71" i="3"/>
  <c r="C71" i="3"/>
  <c r="P71" i="3"/>
  <c r="F71" i="3"/>
  <c r="G71" i="3"/>
  <c r="E71" i="3"/>
  <c r="D71" i="3"/>
  <c r="N71" i="3"/>
  <c r="X71" i="3"/>
  <c r="AD47" i="144"/>
  <c r="U26" i="144"/>
  <c r="Z71" i="3"/>
  <c r="AD63" i="144"/>
  <c r="U18" i="144"/>
  <c r="AD11" i="144"/>
  <c r="J14" i="164"/>
  <c r="AF71" i="3"/>
  <c r="AD61" i="144"/>
  <c r="U61" i="144"/>
  <c r="AD68" i="144"/>
  <c r="U68" i="144"/>
  <c r="S71" i="144"/>
  <c r="H22" i="153"/>
  <c r="J21" i="148"/>
  <c r="AD37" i="144"/>
  <c r="W71" i="3"/>
  <c r="AD12" i="144"/>
  <c r="AD38" i="144"/>
  <c r="AD56" i="144"/>
  <c r="V71" i="144"/>
  <c r="AD57" i="144"/>
  <c r="V6" i="3"/>
  <c r="AE6" i="3"/>
  <c r="AD54" i="144"/>
  <c r="AD52" i="144"/>
  <c r="U52" i="144"/>
  <c r="AD49" i="144"/>
  <c r="U49" i="144"/>
  <c r="AD34" i="144"/>
  <c r="U25" i="144"/>
  <c r="U23" i="144"/>
  <c r="AB71" i="144"/>
  <c r="AD10" i="144"/>
  <c r="AD9" i="144"/>
  <c r="AC71" i="3"/>
  <c r="V56" i="3"/>
  <c r="J71" i="3"/>
  <c r="J38" i="208"/>
  <c r="H55" i="209" s="1"/>
  <c r="L38" i="208"/>
  <c r="K37" i="210" l="1"/>
  <c r="H36" i="209"/>
  <c r="K42" i="210"/>
  <c r="H41" i="209"/>
  <c r="K55" i="210"/>
  <c r="H54" i="209"/>
  <c r="E36" i="209"/>
  <c r="C36" i="209"/>
  <c r="E41" i="209"/>
  <c r="C41" i="209"/>
  <c r="K46" i="210"/>
  <c r="H45" i="209"/>
  <c r="C45" i="209"/>
  <c r="D49" i="209"/>
  <c r="K52" i="210"/>
  <c r="H51" i="209"/>
  <c r="C51" i="209"/>
  <c r="E49" i="209"/>
  <c r="F49" i="209" s="1"/>
  <c r="K53" i="210"/>
  <c r="H52" i="209"/>
  <c r="E52" i="209"/>
  <c r="C52" i="209"/>
  <c r="D54" i="209"/>
  <c r="F54" i="209"/>
  <c r="G54" i="209" s="1"/>
  <c r="K64" i="210"/>
  <c r="H63" i="209"/>
  <c r="K15" i="210"/>
  <c r="H14" i="209"/>
  <c r="W21" i="210"/>
  <c r="M20" i="209"/>
  <c r="K21" i="210"/>
  <c r="H20" i="209"/>
  <c r="K22" i="210"/>
  <c r="H21" i="209"/>
  <c r="K23" i="210"/>
  <c r="H22" i="209"/>
  <c r="W25" i="210"/>
  <c r="M24" i="209"/>
  <c r="K25" i="210"/>
  <c r="H24" i="209"/>
  <c r="K27" i="210"/>
  <c r="H26" i="209"/>
  <c r="K29" i="210"/>
  <c r="H28" i="209"/>
  <c r="K34" i="210"/>
  <c r="H33" i="209"/>
  <c r="D14" i="209"/>
  <c r="D20" i="209"/>
  <c r="F20" i="209"/>
  <c r="G20" i="209" s="1"/>
  <c r="L20" i="209"/>
  <c r="P20" i="209"/>
  <c r="Q20" i="209" s="1"/>
  <c r="D21" i="209"/>
  <c r="D22" i="209"/>
  <c r="F22" i="209"/>
  <c r="G22" i="209" s="1"/>
  <c r="D24" i="209"/>
  <c r="F24" i="209"/>
  <c r="G24" i="209" s="1"/>
  <c r="D26" i="209"/>
  <c r="F26" i="209"/>
  <c r="G26" i="209" s="1"/>
  <c r="D28" i="209"/>
  <c r="F28" i="209"/>
  <c r="G28" i="209" s="1"/>
  <c r="D33" i="209"/>
  <c r="F33" i="209"/>
  <c r="G33" i="209" s="1"/>
  <c r="K31" i="210"/>
  <c r="H30" i="209"/>
  <c r="C30" i="209"/>
  <c r="W42" i="210"/>
  <c r="M41" i="209"/>
  <c r="J41" i="209"/>
  <c r="I41" i="209"/>
  <c r="K41" i="209" s="1"/>
  <c r="L41" i="209" s="1"/>
  <c r="N41" i="209"/>
  <c r="O41" i="209" s="1"/>
  <c r="P41" i="209" s="1"/>
  <c r="Q41" i="209" s="1"/>
  <c r="K44" i="210"/>
  <c r="H43" i="209"/>
  <c r="C43" i="209"/>
  <c r="E43" i="209"/>
  <c r="W68" i="210"/>
  <c r="M67" i="209"/>
  <c r="I67" i="209"/>
  <c r="K67" i="209" s="1"/>
  <c r="L67" i="209" s="1"/>
  <c r="N67" i="209"/>
  <c r="O67" i="209" s="1"/>
  <c r="P67" i="209" s="1"/>
  <c r="Q67" i="209" s="1"/>
  <c r="K68" i="210"/>
  <c r="H67" i="209"/>
  <c r="E67" i="209"/>
  <c r="C67" i="209"/>
  <c r="L71" i="210"/>
  <c r="K67" i="210"/>
  <c r="H66" i="209"/>
  <c r="K66" i="210"/>
  <c r="H65" i="209"/>
  <c r="K65" i="210"/>
  <c r="H64" i="209"/>
  <c r="K62" i="210"/>
  <c r="H61" i="209"/>
  <c r="K61" i="210"/>
  <c r="H60" i="209"/>
  <c r="K59" i="210"/>
  <c r="H58" i="209"/>
  <c r="K58" i="210"/>
  <c r="H57" i="209"/>
  <c r="I68" i="210"/>
  <c r="J68" i="210" s="1"/>
  <c r="I67" i="210"/>
  <c r="J67" i="210" s="1"/>
  <c r="I66" i="210"/>
  <c r="J66" i="210" s="1"/>
  <c r="I65" i="210"/>
  <c r="J65" i="210" s="1"/>
  <c r="C64" i="210"/>
  <c r="I64" i="210" s="1"/>
  <c r="J64" i="210" s="1"/>
  <c r="I62" i="210"/>
  <c r="J62" i="210" s="1"/>
  <c r="I61" i="210"/>
  <c r="J61" i="210" s="1"/>
  <c r="G60" i="210"/>
  <c r="F60" i="210"/>
  <c r="E60" i="210"/>
  <c r="D60" i="210"/>
  <c r="I59" i="210"/>
  <c r="J59" i="210" s="1"/>
  <c r="I58" i="210"/>
  <c r="J58" i="210" s="1"/>
  <c r="I6" i="210"/>
  <c r="J6" i="210" s="1"/>
  <c r="E55" i="210"/>
  <c r="I55" i="210" s="1"/>
  <c r="J55" i="210" s="1"/>
  <c r="H54" i="210"/>
  <c r="F54" i="210"/>
  <c r="E54" i="210"/>
  <c r="C54" i="210"/>
  <c r="I54" i="210" s="1"/>
  <c r="H53" i="210"/>
  <c r="G53" i="210"/>
  <c r="F53" i="210"/>
  <c r="E53" i="210"/>
  <c r="C53" i="210"/>
  <c r="I53" i="210" s="1"/>
  <c r="J53" i="210" s="1"/>
  <c r="H52" i="210"/>
  <c r="F52" i="210"/>
  <c r="E52" i="210"/>
  <c r="D52" i="210"/>
  <c r="C52" i="210"/>
  <c r="K51" i="210"/>
  <c r="H50" i="209"/>
  <c r="I51" i="210"/>
  <c r="J51" i="210" s="1"/>
  <c r="H50" i="210"/>
  <c r="G50" i="210"/>
  <c r="F50" i="210"/>
  <c r="E50" i="210"/>
  <c r="D50" i="210"/>
  <c r="C50" i="210"/>
  <c r="I50" i="210" s="1"/>
  <c r="H49" i="210"/>
  <c r="F49" i="210"/>
  <c r="E49" i="210"/>
  <c r="D49" i="210"/>
  <c r="C49" i="210"/>
  <c r="I49" i="210" s="1"/>
  <c r="K47" i="210"/>
  <c r="H46" i="209"/>
  <c r="I47" i="210"/>
  <c r="J47" i="210" s="1"/>
  <c r="H46" i="210"/>
  <c r="F46" i="210"/>
  <c r="E46" i="210"/>
  <c r="C46" i="210"/>
  <c r="I46" i="210" s="1"/>
  <c r="J46" i="210" s="1"/>
  <c r="H44" i="210"/>
  <c r="G44" i="210"/>
  <c r="F44" i="210"/>
  <c r="E44" i="210"/>
  <c r="C44" i="210"/>
  <c r="I44" i="210" s="1"/>
  <c r="J44" i="210" s="1"/>
  <c r="H43" i="210"/>
  <c r="F43" i="210"/>
  <c r="E43" i="210"/>
  <c r="D43" i="210"/>
  <c r="C43" i="210"/>
  <c r="H42" i="210"/>
  <c r="G42" i="210"/>
  <c r="F42" i="210"/>
  <c r="E42" i="210"/>
  <c r="C42" i="210"/>
  <c r="I42" i="210" s="1"/>
  <c r="J42" i="210" s="1"/>
  <c r="K41" i="210"/>
  <c r="H40" i="209"/>
  <c r="I41" i="210"/>
  <c r="J41" i="210" s="1"/>
  <c r="I40" i="210"/>
  <c r="K39" i="210"/>
  <c r="H38" i="209"/>
  <c r="I39" i="210"/>
  <c r="J39" i="210" s="1"/>
  <c r="K38" i="210"/>
  <c r="H37" i="209"/>
  <c r="I38" i="210"/>
  <c r="J38" i="210" s="1"/>
  <c r="H37" i="210"/>
  <c r="G37" i="210"/>
  <c r="F37" i="210"/>
  <c r="E37" i="210"/>
  <c r="D37" i="210"/>
  <c r="C37" i="210"/>
  <c r="I37" i="210" s="1"/>
  <c r="J37" i="210" s="1"/>
  <c r="K36" i="210"/>
  <c r="H35" i="209"/>
  <c r="I36" i="210"/>
  <c r="J36" i="210" s="1"/>
  <c r="G34" i="210"/>
  <c r="F34" i="210"/>
  <c r="E34" i="210"/>
  <c r="D34" i="210"/>
  <c r="C34" i="210"/>
  <c r="I34" i="210" s="1"/>
  <c r="J34" i="210" s="1"/>
  <c r="I35" i="210"/>
  <c r="D31" i="210"/>
  <c r="I31" i="210"/>
  <c r="J31" i="210" s="1"/>
  <c r="K32" i="210"/>
  <c r="H31" i="209"/>
  <c r="I32" i="210"/>
  <c r="J32" i="210" s="1"/>
  <c r="K30" i="210"/>
  <c r="H29" i="209"/>
  <c r="I30" i="210"/>
  <c r="J30" i="210" s="1"/>
  <c r="F29" i="210"/>
  <c r="E29" i="210"/>
  <c r="C29" i="210"/>
  <c r="I29" i="210" s="1"/>
  <c r="J29" i="210" s="1"/>
  <c r="K28" i="210"/>
  <c r="H27" i="209"/>
  <c r="I28" i="210"/>
  <c r="J28" i="210" s="1"/>
  <c r="E27" i="210"/>
  <c r="C27" i="210"/>
  <c r="I26" i="210"/>
  <c r="F25" i="210"/>
  <c r="E25" i="210"/>
  <c r="D25" i="210"/>
  <c r="C25" i="210"/>
  <c r="I25" i="210" s="1"/>
  <c r="J25" i="210" s="1"/>
  <c r="K24" i="210"/>
  <c r="H23" i="209"/>
  <c r="I24" i="210"/>
  <c r="J24" i="210" s="1"/>
  <c r="E23" i="210"/>
  <c r="C23" i="210"/>
  <c r="I23" i="210" s="1"/>
  <c r="J23" i="210" s="1"/>
  <c r="H22" i="210"/>
  <c r="G22" i="210"/>
  <c r="F22" i="210"/>
  <c r="E22" i="210"/>
  <c r="D22" i="210"/>
  <c r="C22" i="210"/>
  <c r="H21" i="210"/>
  <c r="F21" i="210"/>
  <c r="E21" i="210"/>
  <c r="C21" i="210"/>
  <c r="I21" i="210" s="1"/>
  <c r="J21" i="210" s="1"/>
  <c r="I20" i="210"/>
  <c r="J20" i="210" s="1"/>
  <c r="K19" i="210"/>
  <c r="H18" i="209"/>
  <c r="I19" i="210"/>
  <c r="J19" i="210" s="1"/>
  <c r="K18" i="210"/>
  <c r="H17" i="209"/>
  <c r="K17" i="210"/>
  <c r="H16" i="209"/>
  <c r="I17" i="210"/>
  <c r="J17" i="210" s="1"/>
  <c r="K16" i="210"/>
  <c r="H15" i="209"/>
  <c r="I16" i="210"/>
  <c r="J16" i="210" s="1"/>
  <c r="H15" i="210"/>
  <c r="G15" i="210"/>
  <c r="F15" i="210"/>
  <c r="E15" i="210"/>
  <c r="D15" i="210"/>
  <c r="C15" i="210"/>
  <c r="I14" i="210"/>
  <c r="H13" i="210"/>
  <c r="F13" i="210"/>
  <c r="E13" i="210"/>
  <c r="C13" i="210"/>
  <c r="K12" i="210"/>
  <c r="H11" i="209"/>
  <c r="I12" i="210"/>
  <c r="J12" i="210" s="1"/>
  <c r="I10" i="210"/>
  <c r="K9" i="210"/>
  <c r="H8" i="209"/>
  <c r="I9" i="210"/>
  <c r="J9" i="210" s="1"/>
  <c r="I7" i="210"/>
  <c r="J7" i="210" s="1"/>
  <c r="AF69" i="210"/>
  <c r="R68" i="209"/>
  <c r="Q68" i="209" s="1"/>
  <c r="W69" i="210"/>
  <c r="M68" i="209"/>
  <c r="L68" i="209" s="1"/>
  <c r="AF67" i="210"/>
  <c r="R66" i="209"/>
  <c r="Q66" i="209" s="1"/>
  <c r="W67" i="210"/>
  <c r="M66" i="209"/>
  <c r="L66" i="209" s="1"/>
  <c r="AF66" i="210"/>
  <c r="R65" i="209"/>
  <c r="Q65" i="209" s="1"/>
  <c r="U69" i="210"/>
  <c r="V69" i="210" s="1"/>
  <c r="U67" i="210"/>
  <c r="U65" i="210"/>
  <c r="AD63" i="210"/>
  <c r="U60" i="210"/>
  <c r="U59" i="210"/>
  <c r="U58" i="210"/>
  <c r="U6" i="210"/>
  <c r="U50" i="210"/>
  <c r="U49" i="210"/>
  <c r="AD47" i="210"/>
  <c r="U46" i="210"/>
  <c r="U44" i="210"/>
  <c r="U42" i="210"/>
  <c r="V42" i="210" s="1"/>
  <c r="U41" i="210"/>
  <c r="U37" i="210"/>
  <c r="U36" i="210"/>
  <c r="U34" i="210"/>
  <c r="U30" i="210"/>
  <c r="U28" i="210"/>
  <c r="U24" i="210"/>
  <c r="U23" i="210"/>
  <c r="U22" i="210"/>
  <c r="U21" i="210"/>
  <c r="V21" i="210" s="1"/>
  <c r="U20" i="210"/>
  <c r="U19" i="210"/>
  <c r="U17" i="210"/>
  <c r="U15" i="210"/>
  <c r="U13" i="210"/>
  <c r="U12" i="210"/>
  <c r="AF10" i="210"/>
  <c r="R9" i="209"/>
  <c r="Q9" i="209" s="1"/>
  <c r="AD10" i="210"/>
  <c r="AE10" i="210" s="1"/>
  <c r="K8" i="210"/>
  <c r="H7" i="209"/>
  <c r="E7" i="209"/>
  <c r="C7" i="209"/>
  <c r="N7" i="209"/>
  <c r="O7" i="209" s="1"/>
  <c r="W8" i="210"/>
  <c r="M7" i="209"/>
  <c r="J7" i="209"/>
  <c r="I7" i="209"/>
  <c r="H8" i="210"/>
  <c r="H71" i="210" s="1"/>
  <c r="C8" i="210"/>
  <c r="D8" i="210"/>
  <c r="D71" i="210" s="1"/>
  <c r="E8" i="210"/>
  <c r="E71" i="210" s="1"/>
  <c r="G8" i="210"/>
  <c r="G71" i="210" s="1"/>
  <c r="AF9" i="210"/>
  <c r="R8" i="209"/>
  <c r="Q8" i="209" s="1"/>
  <c r="W9" i="210"/>
  <c r="M8" i="209"/>
  <c r="L8" i="209" s="1"/>
  <c r="U9" i="210"/>
  <c r="U7" i="210"/>
  <c r="M71" i="210"/>
  <c r="U8" i="210"/>
  <c r="V8" i="210" s="1"/>
  <c r="K10" i="210"/>
  <c r="H9" i="209"/>
  <c r="W10" i="210"/>
  <c r="V10" i="210" s="1"/>
  <c r="M9" i="209"/>
  <c r="L9" i="209" s="1"/>
  <c r="AF12" i="210"/>
  <c r="R11" i="209"/>
  <c r="Q11" i="209" s="1"/>
  <c r="W12" i="210"/>
  <c r="M11" i="209"/>
  <c r="L11" i="209" s="1"/>
  <c r="K13" i="210"/>
  <c r="H12" i="209"/>
  <c r="C12" i="209"/>
  <c r="E12" i="209"/>
  <c r="W13" i="210"/>
  <c r="M12" i="209"/>
  <c r="I12" i="209"/>
  <c r="K12" i="209" s="1"/>
  <c r="L12" i="209" s="1"/>
  <c r="N12" i="209"/>
  <c r="O12" i="209" s="1"/>
  <c r="P12" i="209" s="1"/>
  <c r="Q12" i="209" s="1"/>
  <c r="D13" i="210"/>
  <c r="K14" i="210"/>
  <c r="H13" i="209"/>
  <c r="AF14" i="210"/>
  <c r="R13" i="209"/>
  <c r="Q13" i="209" s="1"/>
  <c r="W14" i="210"/>
  <c r="M13" i="209"/>
  <c r="L13" i="209" s="1"/>
  <c r="U14" i="210"/>
  <c r="E14" i="209"/>
  <c r="F14" i="209" s="1"/>
  <c r="G14" i="209" s="1"/>
  <c r="N14" i="209"/>
  <c r="O14" i="209" s="1"/>
  <c r="W15" i="210"/>
  <c r="M14" i="209"/>
  <c r="I14" i="209"/>
  <c r="K14" i="209" s="1"/>
  <c r="L14" i="209" s="1"/>
  <c r="AF16" i="210"/>
  <c r="R15" i="209"/>
  <c r="Q15" i="209" s="1"/>
  <c r="W16" i="210"/>
  <c r="M15" i="209"/>
  <c r="L15" i="209" s="1"/>
  <c r="I18" i="210"/>
  <c r="J18" i="210" s="1"/>
  <c r="U16" i="210"/>
  <c r="V16" i="210" s="1"/>
  <c r="AF18" i="210"/>
  <c r="R17" i="209"/>
  <c r="Q17" i="209" s="1"/>
  <c r="W18" i="210"/>
  <c r="M17" i="209"/>
  <c r="L17" i="209" s="1"/>
  <c r="U18" i="210"/>
  <c r="AF17" i="210"/>
  <c r="R16" i="209"/>
  <c r="Q16" i="209" s="1"/>
  <c r="W17" i="210"/>
  <c r="M16" i="209"/>
  <c r="L16" i="209" s="1"/>
  <c r="AF19" i="210"/>
  <c r="R18" i="209"/>
  <c r="Q18" i="209" s="1"/>
  <c r="W19" i="210"/>
  <c r="M18" i="209"/>
  <c r="L18" i="209" s="1"/>
  <c r="AF20" i="210"/>
  <c r="R19" i="209"/>
  <c r="Q19" i="209" s="1"/>
  <c r="W20" i="210"/>
  <c r="M19" i="209"/>
  <c r="L19" i="209" s="1"/>
  <c r="E21" i="209"/>
  <c r="F21" i="209" s="1"/>
  <c r="G21" i="209" s="1"/>
  <c r="W22" i="210"/>
  <c r="M21" i="209"/>
  <c r="J64" i="186"/>
  <c r="R21" i="209" s="1"/>
  <c r="N21" i="209"/>
  <c r="O21" i="209" s="1"/>
  <c r="I21" i="209"/>
  <c r="K21" i="209" s="1"/>
  <c r="L21" i="209" s="1"/>
  <c r="W23" i="210"/>
  <c r="M22" i="209"/>
  <c r="I22" i="209"/>
  <c r="K22" i="209" s="1"/>
  <c r="L22" i="209" s="1"/>
  <c r="N22" i="209"/>
  <c r="O22" i="209" s="1"/>
  <c r="P22" i="209" s="1"/>
  <c r="Q22" i="209" s="1"/>
  <c r="AF24" i="210"/>
  <c r="R23" i="209"/>
  <c r="Q23" i="209" s="1"/>
  <c r="W24" i="210"/>
  <c r="M23" i="209"/>
  <c r="L23" i="209" s="1"/>
  <c r="J24" i="209"/>
  <c r="K24" i="209" s="1"/>
  <c r="V25" i="210"/>
  <c r="AD25" i="210"/>
  <c r="AE25" i="210" s="1"/>
  <c r="K26" i="210"/>
  <c r="H25" i="209"/>
  <c r="AF26" i="210"/>
  <c r="R25" i="209"/>
  <c r="Q25" i="209" s="1"/>
  <c r="W26" i="210"/>
  <c r="M25" i="209"/>
  <c r="L25" i="209" s="1"/>
  <c r="U26" i="210"/>
  <c r="W27" i="210"/>
  <c r="M26" i="209"/>
  <c r="J26" i="209"/>
  <c r="I26" i="209"/>
  <c r="K26" i="209" s="1"/>
  <c r="L26" i="209" s="1"/>
  <c r="N26" i="209"/>
  <c r="O26" i="209" s="1"/>
  <c r="P26" i="209" s="1"/>
  <c r="Q26" i="209" s="1"/>
  <c r="U27" i="210"/>
  <c r="AF28" i="210"/>
  <c r="R27" i="209"/>
  <c r="Q27" i="209" s="1"/>
  <c r="W28" i="210"/>
  <c r="M27" i="209"/>
  <c r="L27" i="209" s="1"/>
  <c r="N28" i="209"/>
  <c r="O28" i="209" s="1"/>
  <c r="W29" i="210"/>
  <c r="M28" i="209"/>
  <c r="J28" i="209"/>
  <c r="I28" i="209"/>
  <c r="K28" i="209" s="1"/>
  <c r="L28" i="209" s="1"/>
  <c r="U29" i="210"/>
  <c r="AF30" i="210"/>
  <c r="R29" i="209"/>
  <c r="Q29" i="209" s="1"/>
  <c r="W30" i="210"/>
  <c r="M29" i="209"/>
  <c r="L29" i="209" s="1"/>
  <c r="U32" i="210"/>
  <c r="AF32" i="210"/>
  <c r="R31" i="209"/>
  <c r="Q31" i="209" s="1"/>
  <c r="W32" i="210"/>
  <c r="M31" i="209"/>
  <c r="L31" i="209" s="1"/>
  <c r="N30" i="209"/>
  <c r="O30" i="209" s="1"/>
  <c r="W31" i="210"/>
  <c r="M30" i="209"/>
  <c r="J30" i="209"/>
  <c r="I30" i="209"/>
  <c r="K30" i="209" s="1"/>
  <c r="L30" i="209" s="1"/>
  <c r="K33" i="210"/>
  <c r="H32" i="209"/>
  <c r="E32" i="209"/>
  <c r="C32" i="209"/>
  <c r="N32" i="209"/>
  <c r="O32" i="209" s="1"/>
  <c r="W33" i="210"/>
  <c r="M32" i="209"/>
  <c r="J32" i="209"/>
  <c r="I32" i="209"/>
  <c r="K32" i="209" s="1"/>
  <c r="L32" i="209" s="1"/>
  <c r="I33" i="210"/>
  <c r="J33" i="210" s="1"/>
  <c r="W34" i="210"/>
  <c r="M33" i="209"/>
  <c r="I33" i="209"/>
  <c r="K33" i="209" s="1"/>
  <c r="L33" i="209" s="1"/>
  <c r="N33" i="209"/>
  <c r="O33" i="209" s="1"/>
  <c r="P33" i="209" s="1"/>
  <c r="Q33" i="209" s="1"/>
  <c r="K35" i="210"/>
  <c r="H34" i="209"/>
  <c r="I69" i="210"/>
  <c r="K69" i="210"/>
  <c r="H68" i="209"/>
  <c r="U68" i="210"/>
  <c r="W66" i="210"/>
  <c r="M65" i="209"/>
  <c r="L65" i="209" s="1"/>
  <c r="U66" i="210"/>
  <c r="AF35" i="210"/>
  <c r="R34" i="209"/>
  <c r="Q34" i="209" s="1"/>
  <c r="W35" i="210"/>
  <c r="M34" i="209"/>
  <c r="L34" i="209" s="1"/>
  <c r="U35" i="210"/>
  <c r="T31" i="210"/>
  <c r="S31" i="210"/>
  <c r="R31" i="210"/>
  <c r="M31" i="210"/>
  <c r="U31" i="210" s="1"/>
  <c r="T33" i="210"/>
  <c r="S33" i="210"/>
  <c r="R33" i="210"/>
  <c r="Q33" i="210"/>
  <c r="M33" i="210"/>
  <c r="U33" i="210" s="1"/>
  <c r="V33" i="210" s="1"/>
  <c r="AF36" i="210"/>
  <c r="R35" i="209"/>
  <c r="Q35" i="209" s="1"/>
  <c r="W36" i="210"/>
  <c r="M35" i="209"/>
  <c r="L35" i="209" s="1"/>
  <c r="W37" i="210"/>
  <c r="M36" i="209"/>
  <c r="I36" i="209"/>
  <c r="K36" i="209" s="1"/>
  <c r="L36" i="209" s="1"/>
  <c r="N36" i="209"/>
  <c r="O36" i="209" s="1"/>
  <c r="P36" i="209" s="1"/>
  <c r="Q36" i="209" s="1"/>
  <c r="K40" i="210"/>
  <c r="H39" i="209"/>
  <c r="AF40" i="210"/>
  <c r="R39" i="209"/>
  <c r="Q39" i="209" s="1"/>
  <c r="W40" i="210"/>
  <c r="V40" i="210" s="1"/>
  <c r="M39" i="209"/>
  <c r="L39" i="209" s="1"/>
  <c r="AF41" i="210"/>
  <c r="R40" i="209"/>
  <c r="Q40" i="209" s="1"/>
  <c r="W41" i="210"/>
  <c r="M40" i="209"/>
  <c r="L40" i="209" s="1"/>
  <c r="K43" i="210"/>
  <c r="H42" i="209"/>
  <c r="E42" i="209"/>
  <c r="C42" i="209"/>
  <c r="N42" i="209"/>
  <c r="O42" i="209" s="1"/>
  <c r="W43" i="210"/>
  <c r="M42" i="209"/>
  <c r="J42" i="209"/>
  <c r="I42" i="209"/>
  <c r="K42" i="209" s="1"/>
  <c r="L42" i="209" s="1"/>
  <c r="Q43" i="210"/>
  <c r="N43" i="210"/>
  <c r="U43" i="210" s="1"/>
  <c r="W44" i="210"/>
  <c r="M43" i="209"/>
  <c r="J43" i="209"/>
  <c r="K43" i="209" s="1"/>
  <c r="L43" i="209" s="1"/>
  <c r="N43" i="209"/>
  <c r="O43" i="209" s="1"/>
  <c r="P43" i="209" s="1"/>
  <c r="Q43" i="209" s="1"/>
  <c r="AF45" i="210"/>
  <c r="R44" i="209"/>
  <c r="Q44" i="209" s="1"/>
  <c r="W45" i="210"/>
  <c r="M44" i="209"/>
  <c r="L44" i="209" s="1"/>
  <c r="K45" i="210"/>
  <c r="H44" i="209"/>
  <c r="J45" i="210"/>
  <c r="U45" i="210"/>
  <c r="N45" i="209"/>
  <c r="O45" i="209" s="1"/>
  <c r="W46" i="210"/>
  <c r="M45" i="209"/>
  <c r="J45" i="209"/>
  <c r="I45" i="209"/>
  <c r="K45" i="209" s="1"/>
  <c r="L45" i="209" s="1"/>
  <c r="AF47" i="210"/>
  <c r="R46" i="209"/>
  <c r="Q46" i="209" s="1"/>
  <c r="W47" i="210"/>
  <c r="V47" i="210" s="1"/>
  <c r="M46" i="209"/>
  <c r="L46" i="209" s="1"/>
  <c r="K49" i="210"/>
  <c r="H48" i="209"/>
  <c r="E48" i="209"/>
  <c r="C48" i="209"/>
  <c r="W49" i="210"/>
  <c r="M48" i="209"/>
  <c r="I48" i="209"/>
  <c r="K48" i="209" s="1"/>
  <c r="L48" i="209" s="1"/>
  <c r="N48" i="209"/>
  <c r="O48" i="209" s="1"/>
  <c r="P48" i="209" s="1"/>
  <c r="Q48" i="209" s="1"/>
  <c r="J24" i="160"/>
  <c r="W50" i="210"/>
  <c r="M49" i="209"/>
  <c r="J49" i="209"/>
  <c r="I49" i="209"/>
  <c r="K49" i="209" s="1"/>
  <c r="L49" i="209" s="1"/>
  <c r="N49" i="209"/>
  <c r="O49" i="209" s="1"/>
  <c r="P49" i="209" s="1"/>
  <c r="Q49" i="209" s="1"/>
  <c r="AF51" i="210"/>
  <c r="R50" i="209"/>
  <c r="Q50" i="209" s="1"/>
  <c r="W51" i="210"/>
  <c r="M50" i="209"/>
  <c r="L50" i="209" s="1"/>
  <c r="U51" i="210"/>
  <c r="E51" i="209"/>
  <c r="W52" i="210"/>
  <c r="M51" i="209"/>
  <c r="J51" i="209"/>
  <c r="I51" i="209"/>
  <c r="K51" i="209" s="1"/>
  <c r="L51" i="209" s="1"/>
  <c r="N51" i="209"/>
  <c r="O51" i="209" s="1"/>
  <c r="P51" i="209" s="1"/>
  <c r="Q51" i="209" s="1"/>
  <c r="U52" i="210"/>
  <c r="W53" i="210"/>
  <c r="M52" i="209"/>
  <c r="I52" i="209"/>
  <c r="K52" i="209" s="1"/>
  <c r="L52" i="209" s="1"/>
  <c r="N52" i="209"/>
  <c r="O52" i="209" s="1"/>
  <c r="P52" i="209" s="1"/>
  <c r="Q52" i="209" s="1"/>
  <c r="T53" i="210"/>
  <c r="U53" i="210" s="1"/>
  <c r="V53" i="210" s="1"/>
  <c r="K54" i="210"/>
  <c r="H53" i="209"/>
  <c r="C53" i="209"/>
  <c r="W54" i="210"/>
  <c r="M53" i="209"/>
  <c r="J64" i="163"/>
  <c r="R53" i="209" s="1"/>
  <c r="J53" i="209"/>
  <c r="I53" i="209"/>
  <c r="K53" i="209" s="1"/>
  <c r="N53" i="209"/>
  <c r="O53" i="209" s="1"/>
  <c r="P53" i="209" s="1"/>
  <c r="N54" i="210"/>
  <c r="M54" i="210"/>
  <c r="P54" i="210"/>
  <c r="T54" i="210"/>
  <c r="W55" i="210"/>
  <c r="M54" i="209"/>
  <c r="J49" i="164"/>
  <c r="R54" i="209" s="1"/>
  <c r="J54" i="209"/>
  <c r="I54" i="209"/>
  <c r="K54" i="209" s="1"/>
  <c r="L54" i="209" s="1"/>
  <c r="N54" i="209"/>
  <c r="O54" i="209" s="1"/>
  <c r="P54" i="209" s="1"/>
  <c r="M55" i="210"/>
  <c r="T55" i="210"/>
  <c r="K57" i="210"/>
  <c r="H56" i="209"/>
  <c r="E56" i="209"/>
  <c r="C56" i="209"/>
  <c r="W57" i="210"/>
  <c r="M56" i="209"/>
  <c r="I56" i="209"/>
  <c r="K56" i="209" s="1"/>
  <c r="L56" i="209" s="1"/>
  <c r="E57" i="210"/>
  <c r="D57" i="210"/>
  <c r="C57" i="210"/>
  <c r="I57" i="210" s="1"/>
  <c r="J57" i="210" s="1"/>
  <c r="N56" i="209"/>
  <c r="O56" i="209" s="1"/>
  <c r="P56" i="209" s="1"/>
  <c r="Q56" i="209" s="1"/>
  <c r="V57" i="210"/>
  <c r="AF58" i="210"/>
  <c r="R57" i="209"/>
  <c r="Q57" i="209" s="1"/>
  <c r="W58" i="210"/>
  <c r="M57" i="209"/>
  <c r="L57" i="209" s="1"/>
  <c r="K60" i="210"/>
  <c r="H59" i="209"/>
  <c r="C59" i="209"/>
  <c r="E59" i="209"/>
  <c r="W60" i="210"/>
  <c r="M59" i="209"/>
  <c r="I59" i="209"/>
  <c r="K59" i="209" s="1"/>
  <c r="L59" i="209" s="1"/>
  <c r="N59" i="209"/>
  <c r="O59" i="209" s="1"/>
  <c r="P59" i="209" s="1"/>
  <c r="Q59" i="209" s="1"/>
  <c r="C60" i="210"/>
  <c r="AF59" i="210"/>
  <c r="R58" i="209"/>
  <c r="Q58" i="209" s="1"/>
  <c r="W59" i="210"/>
  <c r="M58" i="209"/>
  <c r="L58" i="209" s="1"/>
  <c r="U61" i="210"/>
  <c r="AF61" i="210"/>
  <c r="R60" i="209"/>
  <c r="Q60" i="209" s="1"/>
  <c r="W61" i="210"/>
  <c r="M60" i="209"/>
  <c r="L60" i="209" s="1"/>
  <c r="AF62" i="210"/>
  <c r="R61" i="209"/>
  <c r="Q61" i="209" s="1"/>
  <c r="W62" i="210"/>
  <c r="M61" i="209"/>
  <c r="L61" i="209" s="1"/>
  <c r="U62" i="210"/>
  <c r="V62" i="210" s="1"/>
  <c r="AF63" i="210"/>
  <c r="R62" i="209"/>
  <c r="Q62" i="209" s="1"/>
  <c r="I63" i="210"/>
  <c r="K63" i="210"/>
  <c r="H62" i="209"/>
  <c r="W63" i="210"/>
  <c r="V63" i="210" s="1"/>
  <c r="M62" i="209"/>
  <c r="L62" i="209" s="1"/>
  <c r="E63" i="209"/>
  <c r="C63" i="209"/>
  <c r="W64" i="210"/>
  <c r="M63" i="209"/>
  <c r="I63" i="209"/>
  <c r="K63" i="209" s="1"/>
  <c r="L63" i="209" s="1"/>
  <c r="N63" i="209"/>
  <c r="O63" i="209" s="1"/>
  <c r="P63" i="209" s="1"/>
  <c r="Q63" i="209" s="1"/>
  <c r="U64" i="210"/>
  <c r="AF65" i="210"/>
  <c r="R64" i="209"/>
  <c r="Q64" i="209" s="1"/>
  <c r="W65" i="210"/>
  <c r="M64" i="209"/>
  <c r="L64" i="209" s="1"/>
  <c r="AF11" i="210"/>
  <c r="R10" i="209"/>
  <c r="Q10" i="209" s="1"/>
  <c r="W11" i="210"/>
  <c r="M10" i="209"/>
  <c r="L10" i="209" s="1"/>
  <c r="U11" i="210"/>
  <c r="K11" i="210"/>
  <c r="H10" i="209"/>
  <c r="I11" i="210"/>
  <c r="J11" i="210" s="1"/>
  <c r="AF48" i="210"/>
  <c r="R47" i="209"/>
  <c r="Q47" i="209" s="1"/>
  <c r="W48" i="210"/>
  <c r="M47" i="209"/>
  <c r="L47" i="209" s="1"/>
  <c r="U48" i="210"/>
  <c r="K48" i="210"/>
  <c r="H47" i="209"/>
  <c r="I48" i="210"/>
  <c r="J48" i="210" s="1"/>
  <c r="U71" i="3"/>
  <c r="V71" i="3" s="1"/>
  <c r="AF39" i="210"/>
  <c r="R38" i="209"/>
  <c r="Q38" i="209" s="1"/>
  <c r="AE39" i="210"/>
  <c r="U38" i="210"/>
  <c r="AF38" i="210"/>
  <c r="R37" i="209"/>
  <c r="Q37" i="209" s="1"/>
  <c r="W38" i="210"/>
  <c r="M37" i="209"/>
  <c r="L37" i="209" s="1"/>
  <c r="D55" i="209"/>
  <c r="F55" i="209"/>
  <c r="G55" i="209" s="1"/>
  <c r="I55" i="209"/>
  <c r="J55" i="209"/>
  <c r="I56" i="210"/>
  <c r="J56" i="210" s="1"/>
  <c r="D5" i="209"/>
  <c r="F5" i="209"/>
  <c r="AF6" i="210"/>
  <c r="R5" i="209"/>
  <c r="Q5" i="209" s="1"/>
  <c r="W71" i="210"/>
  <c r="D6" i="209"/>
  <c r="F6" i="209"/>
  <c r="G6" i="209" s="1"/>
  <c r="AF7" i="210"/>
  <c r="R6" i="209"/>
  <c r="Q6" i="209" s="1"/>
  <c r="D8" i="209"/>
  <c r="F8" i="209"/>
  <c r="G8" i="209" s="1"/>
  <c r="D9" i="209"/>
  <c r="F9" i="209"/>
  <c r="G9" i="209" s="1"/>
  <c r="D10" i="209"/>
  <c r="F10" i="209"/>
  <c r="G10" i="209" s="1"/>
  <c r="D11" i="209"/>
  <c r="F11" i="209"/>
  <c r="G11" i="209" s="1"/>
  <c r="D13" i="209"/>
  <c r="F13" i="209"/>
  <c r="G13" i="209" s="1"/>
  <c r="D15" i="209"/>
  <c r="F15" i="209"/>
  <c r="G15" i="209" s="1"/>
  <c r="D16" i="209"/>
  <c r="F16" i="209"/>
  <c r="G16" i="209" s="1"/>
  <c r="D17" i="209"/>
  <c r="F17" i="209"/>
  <c r="G17" i="209" s="1"/>
  <c r="D18" i="209"/>
  <c r="F18" i="209"/>
  <c r="G18" i="209" s="1"/>
  <c r="D19" i="209"/>
  <c r="F19" i="209"/>
  <c r="G19" i="209" s="1"/>
  <c r="D23" i="209"/>
  <c r="F23" i="209"/>
  <c r="G23" i="209" s="1"/>
  <c r="D25" i="209"/>
  <c r="F25" i="209"/>
  <c r="G25" i="209" s="1"/>
  <c r="D27" i="209"/>
  <c r="F27" i="209"/>
  <c r="G27" i="209" s="1"/>
  <c r="D29" i="209"/>
  <c r="F29" i="209"/>
  <c r="G29" i="209" s="1"/>
  <c r="D31" i="209"/>
  <c r="F31" i="209"/>
  <c r="G31" i="209" s="1"/>
  <c r="D34" i="209"/>
  <c r="F34" i="209"/>
  <c r="G34" i="209" s="1"/>
  <c r="D35" i="209"/>
  <c r="F35" i="209"/>
  <c r="G35" i="209" s="1"/>
  <c r="D37" i="209"/>
  <c r="F37" i="209"/>
  <c r="G37" i="209" s="1"/>
  <c r="D38" i="209"/>
  <c r="F38" i="209"/>
  <c r="G38" i="209" s="1"/>
  <c r="D39" i="209"/>
  <c r="F39" i="209"/>
  <c r="G39" i="209" s="1"/>
  <c r="D40" i="209"/>
  <c r="F40" i="209"/>
  <c r="G40" i="209" s="1"/>
  <c r="D44" i="209"/>
  <c r="F44" i="209"/>
  <c r="G44" i="209" s="1"/>
  <c r="D46" i="209"/>
  <c r="F46" i="209"/>
  <c r="G46" i="209" s="1"/>
  <c r="D47" i="209"/>
  <c r="F47" i="209"/>
  <c r="G47" i="209" s="1"/>
  <c r="D50" i="209"/>
  <c r="F50" i="209"/>
  <c r="G50" i="209" s="1"/>
  <c r="D57" i="209"/>
  <c r="F57" i="209"/>
  <c r="G57" i="209" s="1"/>
  <c r="D58" i="209"/>
  <c r="F58" i="209"/>
  <c r="G58" i="209" s="1"/>
  <c r="D60" i="209"/>
  <c r="F60" i="209"/>
  <c r="G60" i="209" s="1"/>
  <c r="D61" i="209"/>
  <c r="F61" i="209"/>
  <c r="G61" i="209" s="1"/>
  <c r="D62" i="209"/>
  <c r="F62" i="209"/>
  <c r="G62" i="209" s="1"/>
  <c r="D64" i="209"/>
  <c r="F64" i="209"/>
  <c r="G64" i="209" s="1"/>
  <c r="D65" i="209"/>
  <c r="F65" i="209"/>
  <c r="G65" i="209" s="1"/>
  <c r="D66" i="209"/>
  <c r="F66" i="209"/>
  <c r="G66" i="209" s="1"/>
  <c r="D68" i="209"/>
  <c r="F68" i="209"/>
  <c r="G68" i="209" s="1"/>
  <c r="AD62" i="210"/>
  <c r="AE62" i="210" s="1"/>
  <c r="AD53" i="210"/>
  <c r="AE53" i="210" s="1"/>
  <c r="AD32" i="210"/>
  <c r="AE32" i="210" s="1"/>
  <c r="AD13" i="210"/>
  <c r="AE13" i="210" s="1"/>
  <c r="AD59" i="210"/>
  <c r="AE59" i="210" s="1"/>
  <c r="AD69" i="210"/>
  <c r="AE69" i="210" s="1"/>
  <c r="AD42" i="210"/>
  <c r="AE42" i="210" s="1"/>
  <c r="AD19" i="210"/>
  <c r="AE19" i="210" s="1"/>
  <c r="AD33" i="210"/>
  <c r="AE33" i="210" s="1"/>
  <c r="V39" i="210"/>
  <c r="R70" i="209"/>
  <c r="Q53" i="209"/>
  <c r="AC41" i="144"/>
  <c r="AD41" i="144" s="1"/>
  <c r="I71" i="144"/>
  <c r="J71" i="144" s="1"/>
  <c r="V39" i="3"/>
  <c r="AD39" i="3"/>
  <c r="AD28" i="144"/>
  <c r="U28" i="144"/>
  <c r="T71" i="144"/>
  <c r="U71" i="144" s="1"/>
  <c r="AD36" i="210"/>
  <c r="AE36" i="210" s="1"/>
  <c r="AD21" i="210"/>
  <c r="AE21" i="210" s="1"/>
  <c r="AD16" i="210"/>
  <c r="AE16" i="210" s="1"/>
  <c r="AD56" i="210"/>
  <c r="AE56" i="210" s="1"/>
  <c r="AD17" i="210"/>
  <c r="AE17" i="210" s="1"/>
  <c r="AD50" i="210"/>
  <c r="AE50" i="210" s="1"/>
  <c r="AD46" i="210"/>
  <c r="AE46" i="210" s="1"/>
  <c r="AD30" i="210"/>
  <c r="AE30" i="210" s="1"/>
  <c r="AD38" i="210"/>
  <c r="AE38" i="210" s="1"/>
  <c r="AD8" i="210"/>
  <c r="AE8" i="210" s="1"/>
  <c r="AC71" i="210"/>
  <c r="AD12" i="210"/>
  <c r="AE12" i="210" s="1"/>
  <c r="AD40" i="210"/>
  <c r="AE40" i="210" s="1"/>
  <c r="AD57" i="210"/>
  <c r="AE57" i="210" s="1"/>
  <c r="AD37" i="210"/>
  <c r="AE37" i="210" s="1"/>
  <c r="AF71" i="210" l="1"/>
  <c r="G5" i="209"/>
  <c r="K55" i="209"/>
  <c r="V38" i="210"/>
  <c r="V48" i="210"/>
  <c r="AD48" i="210"/>
  <c r="AE48" i="210" s="1"/>
  <c r="V11" i="210"/>
  <c r="AD11" i="210"/>
  <c r="AE11" i="210" s="1"/>
  <c r="V64" i="210"/>
  <c r="AD64" i="210"/>
  <c r="AE64" i="210" s="1"/>
  <c r="D63" i="209"/>
  <c r="F63" i="209"/>
  <c r="G63" i="209" s="1"/>
  <c r="J63" i="210"/>
  <c r="V61" i="210"/>
  <c r="AD61" i="210"/>
  <c r="AE61" i="210" s="1"/>
  <c r="D59" i="209"/>
  <c r="F59" i="209"/>
  <c r="G59" i="209" s="1"/>
  <c r="D56" i="209"/>
  <c r="F56" i="209"/>
  <c r="G56" i="209" s="1"/>
  <c r="U55" i="210"/>
  <c r="Q54" i="209"/>
  <c r="U54" i="210"/>
  <c r="L53" i="209"/>
  <c r="D53" i="209"/>
  <c r="F53" i="209"/>
  <c r="G53" i="209" s="1"/>
  <c r="V52" i="210"/>
  <c r="AD52" i="210"/>
  <c r="AE52" i="210" s="1"/>
  <c r="V51" i="210"/>
  <c r="AD51" i="210"/>
  <c r="AE51" i="210" s="1"/>
  <c r="K50" i="210"/>
  <c r="K71" i="210" s="1"/>
  <c r="H49" i="209"/>
  <c r="D48" i="209"/>
  <c r="F48" i="209"/>
  <c r="G48" i="209" s="1"/>
  <c r="P45" i="209"/>
  <c r="Q45" i="209" s="1"/>
  <c r="V45" i="210"/>
  <c r="AD45" i="210"/>
  <c r="AE45" i="210" s="1"/>
  <c r="V43" i="210"/>
  <c r="AD43" i="210"/>
  <c r="AE43" i="210" s="1"/>
  <c r="P42" i="209"/>
  <c r="Q42" i="209" s="1"/>
  <c r="D42" i="209"/>
  <c r="F42" i="209"/>
  <c r="G42" i="209" s="1"/>
  <c r="V31" i="210"/>
  <c r="AD31" i="210"/>
  <c r="AE31" i="210" s="1"/>
  <c r="AD35" i="210"/>
  <c r="AE35" i="210" s="1"/>
  <c r="V35" i="210"/>
  <c r="V66" i="210"/>
  <c r="AD66" i="210"/>
  <c r="AE66" i="210" s="1"/>
  <c r="V68" i="210"/>
  <c r="AD68" i="210"/>
  <c r="AE68" i="210" s="1"/>
  <c r="J69" i="210"/>
  <c r="P32" i="209"/>
  <c r="Q32" i="209" s="1"/>
  <c r="D32" i="209"/>
  <c r="F32" i="209"/>
  <c r="G32" i="209" s="1"/>
  <c r="P30" i="209"/>
  <c r="Q30" i="209" s="1"/>
  <c r="V32" i="210"/>
  <c r="V29" i="210"/>
  <c r="AD29" i="210"/>
  <c r="AE29" i="210" s="1"/>
  <c r="P28" i="209"/>
  <c r="Q28" i="209" s="1"/>
  <c r="V27" i="210"/>
  <c r="AD27" i="210"/>
  <c r="AE27" i="210" s="1"/>
  <c r="V26" i="210"/>
  <c r="AD26" i="210"/>
  <c r="AE26" i="210" s="1"/>
  <c r="L24" i="209"/>
  <c r="P24" i="209"/>
  <c r="Q24" i="209" s="1"/>
  <c r="P21" i="209"/>
  <c r="Q21" i="209"/>
  <c r="V18" i="210"/>
  <c r="AD18" i="210"/>
  <c r="AE18" i="210" s="1"/>
  <c r="P14" i="209"/>
  <c r="Q14" i="209" s="1"/>
  <c r="V14" i="210"/>
  <c r="AD14" i="210"/>
  <c r="AE14" i="210" s="1"/>
  <c r="D12" i="209"/>
  <c r="F12" i="209"/>
  <c r="G12" i="209" s="1"/>
  <c r="V7" i="210"/>
  <c r="AD7" i="210"/>
  <c r="AE7" i="210" s="1"/>
  <c r="V9" i="210"/>
  <c r="AD9" i="210"/>
  <c r="AE9" i="210" s="1"/>
  <c r="C71" i="210"/>
  <c r="I8" i="210"/>
  <c r="K7" i="209"/>
  <c r="I70" i="209"/>
  <c r="J70" i="209"/>
  <c r="M70" i="209"/>
  <c r="P7" i="209"/>
  <c r="O70" i="209"/>
  <c r="D7" i="209"/>
  <c r="F7" i="209"/>
  <c r="C70" i="209"/>
  <c r="E70" i="209"/>
  <c r="V12" i="210"/>
  <c r="V13" i="210"/>
  <c r="V15" i="210"/>
  <c r="AD15" i="210"/>
  <c r="AE15" i="210" s="1"/>
  <c r="V17" i="210"/>
  <c r="V19" i="210"/>
  <c r="V20" i="210"/>
  <c r="AD20" i="210"/>
  <c r="AE20" i="210" s="1"/>
  <c r="V22" i="210"/>
  <c r="AD22" i="210"/>
  <c r="AE22" i="210" s="1"/>
  <c r="V23" i="210"/>
  <c r="AD23" i="210"/>
  <c r="AE23" i="210" s="1"/>
  <c r="V24" i="210"/>
  <c r="AD24" i="210"/>
  <c r="AE24" i="210" s="1"/>
  <c r="V28" i="210"/>
  <c r="AD28" i="210"/>
  <c r="AE28" i="210" s="1"/>
  <c r="V30" i="210"/>
  <c r="V34" i="210"/>
  <c r="AD34" i="210"/>
  <c r="AE34" i="210" s="1"/>
  <c r="V36" i="210"/>
  <c r="V37" i="210"/>
  <c r="V41" i="210"/>
  <c r="AD41" i="210"/>
  <c r="AE41" i="210" s="1"/>
  <c r="V44" i="210"/>
  <c r="AD44" i="210"/>
  <c r="AE44" i="210" s="1"/>
  <c r="V46" i="210"/>
  <c r="AE47" i="210"/>
  <c r="V49" i="210"/>
  <c r="AD49" i="210"/>
  <c r="AE49" i="210" s="1"/>
  <c r="V50" i="210"/>
  <c r="AD6" i="210"/>
  <c r="AE6" i="210" s="1"/>
  <c r="V6" i="210"/>
  <c r="V58" i="210"/>
  <c r="AD58" i="210"/>
  <c r="AE58" i="210" s="1"/>
  <c r="V59" i="210"/>
  <c r="V60" i="210"/>
  <c r="AD60" i="210"/>
  <c r="AE60" i="210" s="1"/>
  <c r="AE63" i="210"/>
  <c r="V65" i="210"/>
  <c r="AD65" i="210"/>
  <c r="AE65" i="210" s="1"/>
  <c r="V67" i="210"/>
  <c r="AD67" i="210"/>
  <c r="AE67" i="210" s="1"/>
  <c r="J10" i="210"/>
  <c r="I13" i="210"/>
  <c r="J13" i="210" s="1"/>
  <c r="J14" i="210"/>
  <c r="I15" i="210"/>
  <c r="J15" i="210" s="1"/>
  <c r="I22" i="210"/>
  <c r="J22" i="210" s="1"/>
  <c r="J26" i="210"/>
  <c r="I27" i="210"/>
  <c r="J27" i="210" s="1"/>
  <c r="J35" i="210"/>
  <c r="J40" i="210"/>
  <c r="I43" i="210"/>
  <c r="J43" i="210" s="1"/>
  <c r="J49" i="210"/>
  <c r="J50" i="210"/>
  <c r="I52" i="210"/>
  <c r="J52" i="210" s="1"/>
  <c r="J54" i="210"/>
  <c r="I60" i="210"/>
  <c r="J60" i="210" s="1"/>
  <c r="D67" i="209"/>
  <c r="F67" i="209"/>
  <c r="G67" i="209" s="1"/>
  <c r="D43" i="209"/>
  <c r="F43" i="209"/>
  <c r="G43" i="209" s="1"/>
  <c r="D30" i="209"/>
  <c r="F30" i="209"/>
  <c r="G30" i="209" s="1"/>
  <c r="D52" i="209"/>
  <c r="F52" i="209"/>
  <c r="G52" i="209" s="1"/>
  <c r="D51" i="209"/>
  <c r="F51" i="209"/>
  <c r="G51" i="209" s="1"/>
  <c r="D45" i="209"/>
  <c r="F45" i="209"/>
  <c r="G45" i="209" s="1"/>
  <c r="D41" i="209"/>
  <c r="F41" i="209"/>
  <c r="G41" i="209" s="1"/>
  <c r="D36" i="209"/>
  <c r="F36" i="209"/>
  <c r="G36" i="209" s="1"/>
  <c r="AC71" i="144"/>
  <c r="AD71" i="144" s="1"/>
  <c r="AE39" i="3"/>
  <c r="AD71" i="3"/>
  <c r="AE71" i="3" s="1"/>
  <c r="G7" i="209" l="1"/>
  <c r="F70" i="209"/>
  <c r="Q7" i="209"/>
  <c r="K70" i="209"/>
  <c r="L70" i="209" s="1"/>
  <c r="L7" i="209"/>
  <c r="J8" i="210"/>
  <c r="I71" i="210"/>
  <c r="J71" i="210" s="1"/>
  <c r="H70" i="209"/>
  <c r="G70" i="209" s="1"/>
  <c r="G49" i="209"/>
  <c r="V54" i="210"/>
  <c r="AD54" i="210"/>
  <c r="U71" i="210"/>
  <c r="V71" i="210" s="1"/>
  <c r="V55" i="210"/>
  <c r="AD55" i="210"/>
  <c r="AE55" i="210" s="1"/>
  <c r="L55" i="209"/>
  <c r="P55" i="209"/>
  <c r="Q55" i="209" l="1"/>
  <c r="P70" i="209"/>
  <c r="Q70" i="209" s="1"/>
  <c r="AE54" i="210"/>
  <c r="AD71" i="210"/>
  <c r="AE71" i="210" s="1"/>
</calcChain>
</file>

<file path=xl/sharedStrings.xml><?xml version="1.0" encoding="utf-8"?>
<sst xmlns="http://schemas.openxmlformats.org/spreadsheetml/2006/main" count="3172" uniqueCount="889">
  <si>
    <t>Acadia Parish 2015 Statement of Net Assets</t>
  </si>
  <si>
    <t>Issued: December 31, 2015</t>
  </si>
  <si>
    <t>Primary Government</t>
  </si>
  <si>
    <t>Governmental Activities</t>
  </si>
  <si>
    <t>Component Unit</t>
  </si>
  <si>
    <t>ASSETS</t>
  </si>
  <si>
    <t>Current Assets</t>
  </si>
  <si>
    <t>Cash and cash equivalents</t>
  </si>
  <si>
    <t>Investments</t>
  </si>
  <si>
    <t>Taxes receivable</t>
  </si>
  <si>
    <t>Special assessments receivable</t>
  </si>
  <si>
    <t>Other receivables</t>
  </si>
  <si>
    <t>Due from other governmental entities</t>
  </si>
  <si>
    <t>Due from component units</t>
  </si>
  <si>
    <t>Capital assets:</t>
  </si>
  <si>
    <t>Non-depreciable</t>
  </si>
  <si>
    <t>Depreciable, net</t>
  </si>
  <si>
    <t>Total Assets</t>
  </si>
  <si>
    <t>DEFERRED OUTFLOWS OF RESOURCES</t>
  </si>
  <si>
    <t>Deferred loss on refunding</t>
  </si>
  <si>
    <t>Pension related</t>
  </si>
  <si>
    <t>Total deferred outflows</t>
  </si>
  <si>
    <t>LIABILITIES</t>
  </si>
  <si>
    <t>Accounts payable</t>
  </si>
  <si>
    <t>Retainage payable</t>
  </si>
  <si>
    <t>Accrued liabilities and other payables</t>
  </si>
  <si>
    <t>Unearned revenue</t>
  </si>
  <si>
    <t>Accrued interest payable</t>
  </si>
  <si>
    <t>Due to primary government</t>
  </si>
  <si>
    <t>Long-term liabilities:</t>
  </si>
  <si>
    <t>Portion due or payable within one year:</t>
  </si>
  <si>
    <t>Bonds payable</t>
  </si>
  <si>
    <t>Compensated absences</t>
  </si>
  <si>
    <t>Portion due or payable after one year:</t>
  </si>
  <si>
    <t>Net pension liability</t>
  </si>
  <si>
    <t>Landfill closure and postclosure care costs liability</t>
  </si>
  <si>
    <t>Total Liabilities</t>
  </si>
  <si>
    <t>DEFERRED INFLOWS OF RESOURCES</t>
  </si>
  <si>
    <t>Total deferred inflows</t>
  </si>
  <si>
    <t>NET ASSETS</t>
  </si>
  <si>
    <t>Net investment in capital assets</t>
  </si>
  <si>
    <t>Restricted for:</t>
  </si>
  <si>
    <t>Debt service</t>
  </si>
  <si>
    <t>Capital projects</t>
  </si>
  <si>
    <t>Other purposes</t>
  </si>
  <si>
    <t>Unrestricted</t>
  </si>
  <si>
    <t>Total Net Assets</t>
  </si>
  <si>
    <t>Total Liabilities and Net Assets</t>
  </si>
  <si>
    <t>Allen Parish 2015 Statement of Net Assets</t>
  </si>
  <si>
    <t xml:space="preserve">Cash </t>
  </si>
  <si>
    <t>Receivables</t>
  </si>
  <si>
    <t>Due from other governments</t>
  </si>
  <si>
    <t>Inventory</t>
  </si>
  <si>
    <t>Prepaid assets</t>
  </si>
  <si>
    <t>Capital assets, net of accumulated depreciation</t>
  </si>
  <si>
    <t>DEFERRED OUTFLOWS OF RESOURCES RELATED TO PENSIONS</t>
  </si>
  <si>
    <t xml:space="preserve">Total assets and deferred outflows </t>
  </si>
  <si>
    <t xml:space="preserve">Accounts payable </t>
  </si>
  <si>
    <t>Bonds payable - due within one year</t>
  </si>
  <si>
    <t xml:space="preserve">Compensated absences payable- </t>
  </si>
  <si>
    <t>due within one year</t>
  </si>
  <si>
    <t>OPEB obligations - due in more</t>
  </si>
  <si>
    <t>than one year</t>
  </si>
  <si>
    <t>Pension liability- due in more than one year</t>
  </si>
  <si>
    <t>Bonds payable - due in more than one year</t>
  </si>
  <si>
    <t>DEFERRED INFLOWS OF RESOURCES RELATED TO PENSIONS</t>
  </si>
  <si>
    <t>Net Investmend in capital assets</t>
  </si>
  <si>
    <t>Judicial</t>
  </si>
  <si>
    <t>Other general government</t>
  </si>
  <si>
    <t>Public works</t>
  </si>
  <si>
    <t>Sanitation</t>
  </si>
  <si>
    <t>Total Liabilities, deferred inflows, and Net Assets</t>
  </si>
  <si>
    <t>Ascension Parish 2015 Statement of Net Assets</t>
  </si>
  <si>
    <t>Business-type Activities</t>
  </si>
  <si>
    <t>Total</t>
  </si>
  <si>
    <t>Accounts receivable, net</t>
  </si>
  <si>
    <t>Internal balances</t>
  </si>
  <si>
    <t>Prepaid and other assets</t>
  </si>
  <si>
    <t>Restricted assets</t>
  </si>
  <si>
    <t>Nondepreciable</t>
  </si>
  <si>
    <t>Deferred Outflows of Resources</t>
  </si>
  <si>
    <t>Pension liability</t>
  </si>
  <si>
    <t>Deferred loss on debt refunding</t>
  </si>
  <si>
    <t>Total deferred outflows of resources</t>
  </si>
  <si>
    <t>Total assets and deferred outflows of resources</t>
  </si>
  <si>
    <t>Accounts payable and accrued liabilities</t>
  </si>
  <si>
    <t>Contracts payable</t>
  </si>
  <si>
    <t>Due to other governments</t>
  </si>
  <si>
    <t>Accrued payroll</t>
  </si>
  <si>
    <t>Customer deposits</t>
  </si>
  <si>
    <t>Sales tax rebate reserve</t>
  </si>
  <si>
    <t>Claims reserve</t>
  </si>
  <si>
    <t>Due within one year</t>
  </si>
  <si>
    <t>Due in more than one year</t>
  </si>
  <si>
    <t>Long-term payable</t>
  </si>
  <si>
    <t>Due within more than one year</t>
  </si>
  <si>
    <t>Other post-employment benefits</t>
  </si>
  <si>
    <t>Deferred Inflows of Resources</t>
  </si>
  <si>
    <t>Total deferred inflows of resources</t>
  </si>
  <si>
    <t>NET POSITION</t>
  </si>
  <si>
    <t>Capital Projects</t>
  </si>
  <si>
    <t>Public safety</t>
  </si>
  <si>
    <t>Health and welfare</t>
  </si>
  <si>
    <t xml:space="preserve">Culture and recreation </t>
  </si>
  <si>
    <t>Other Purposes</t>
  </si>
  <si>
    <t>Total Net Position</t>
  </si>
  <si>
    <t>Total Liabilities, deferred inflows of resources, and Net Assets</t>
  </si>
  <si>
    <t>Assumption Parish 2015 Statement of Net Assets</t>
  </si>
  <si>
    <t>Component Units</t>
  </si>
  <si>
    <t>Other assets</t>
  </si>
  <si>
    <t>Restricted investments</t>
  </si>
  <si>
    <t>TOTAL DEFERRED OUTFLOWS OF RESOURCES</t>
  </si>
  <si>
    <t>LIABILITIES AND NET POSITION</t>
  </si>
  <si>
    <t>Liabilities</t>
  </si>
  <si>
    <t>Salaries payable</t>
  </si>
  <si>
    <t>Compensated absences payable</t>
  </si>
  <si>
    <t>Other post-employment benefits payable</t>
  </si>
  <si>
    <t>Other liabilities</t>
  </si>
  <si>
    <t>TOTAL DEFERRED INFLOWS OF RESOURCES</t>
  </si>
  <si>
    <t>Invested in capital assets, net of related debt</t>
  </si>
  <si>
    <t>Restricted for revenue bond debt service and contingencies</t>
  </si>
  <si>
    <t>Avoyelles Parish 2015 Statement of Net Assets</t>
  </si>
  <si>
    <t>Cash and interest-bearing deposits</t>
  </si>
  <si>
    <t>Receivables, net</t>
  </si>
  <si>
    <t>Due from other governmental units</t>
  </si>
  <si>
    <t>Prepaid items</t>
  </si>
  <si>
    <t>Land and contruction in progress</t>
  </si>
  <si>
    <t>Capital assets, net</t>
  </si>
  <si>
    <t>Deferred outflows of resources related to pensions</t>
  </si>
  <si>
    <t xml:space="preserve">Accounts, salaries and other payables </t>
  </si>
  <si>
    <t>Due to other governmental units</t>
  </si>
  <si>
    <t>Portion due within one year</t>
  </si>
  <si>
    <t>Portion due after one year</t>
  </si>
  <si>
    <t>Deferred inflows of resources related to pensions</t>
  </si>
  <si>
    <t xml:space="preserve">Unrestricted </t>
  </si>
  <si>
    <t>Beauregard Parish 2015 Statement of Net Assets</t>
  </si>
  <si>
    <t>Prepaid expenses</t>
  </si>
  <si>
    <t>Capital assets (net of accumulated depreciation):</t>
  </si>
  <si>
    <t>Land</t>
  </si>
  <si>
    <t>Buildings and improvements</t>
  </si>
  <si>
    <t>Furniture and equipment</t>
  </si>
  <si>
    <t>Infrastructure</t>
  </si>
  <si>
    <t>Construction in progress</t>
  </si>
  <si>
    <t>Pension-related deferrals</t>
  </si>
  <si>
    <t>Accounts, salaries, and other payables</t>
  </si>
  <si>
    <t>Interest payable</t>
  </si>
  <si>
    <t>Equipment purchases</t>
  </si>
  <si>
    <t>Culture and recreation</t>
  </si>
  <si>
    <t>Bienville Parish 2015 Statement of Net Assets</t>
  </si>
  <si>
    <t>Deferred Outflow of Resources</t>
  </si>
  <si>
    <t>Total Assets and Deferred Outflow of Resources</t>
  </si>
  <si>
    <t>Wages and related payable</t>
  </si>
  <si>
    <t>Premium on bonds</t>
  </si>
  <si>
    <t>Deferred revenues</t>
  </si>
  <si>
    <t>Net pensioni liability</t>
  </si>
  <si>
    <t>Net OPEB obligation</t>
  </si>
  <si>
    <t>Bossier Parish 2015 Statement of Net Assets</t>
  </si>
  <si>
    <t>Business-Type Activities</t>
  </si>
  <si>
    <t>Restricted cash</t>
  </si>
  <si>
    <t>Restricted Investments</t>
  </si>
  <si>
    <t xml:space="preserve">Receivables </t>
  </si>
  <si>
    <t>Capital assets, net:</t>
  </si>
  <si>
    <t>Depreciable (net)</t>
  </si>
  <si>
    <t xml:space="preserve">Current </t>
  </si>
  <si>
    <t>Accounts payable and accrued expenses</t>
  </si>
  <si>
    <t>Payable from restricted assets:</t>
  </si>
  <si>
    <t>Noncurrent liabilities</t>
  </si>
  <si>
    <t>Deferred Inflows of Resouces</t>
  </si>
  <si>
    <t>Unavailable revenue</t>
  </si>
  <si>
    <t>Property taxes</t>
  </si>
  <si>
    <t>Total Deferred Inflows of Resources</t>
  </si>
  <si>
    <t xml:space="preserve">Public safety </t>
  </si>
  <si>
    <t>Economic development</t>
  </si>
  <si>
    <t>Sewer operations</t>
  </si>
  <si>
    <t>Caddo Parish 2015 Statement of Net Assets</t>
  </si>
  <si>
    <t>Primary government</t>
  </si>
  <si>
    <t>Due from primary government</t>
  </si>
  <si>
    <t>Inventories</t>
  </si>
  <si>
    <t>Land and construction in progress</t>
  </si>
  <si>
    <t>Other capital assets, net of depreciation</t>
  </si>
  <si>
    <t>Deferred outflows related to pensions</t>
  </si>
  <si>
    <t>Deferred loss on refunding bonds, net</t>
  </si>
  <si>
    <t>Total assets and deferred outlfows of resources</t>
  </si>
  <si>
    <t>Accrued liabilities</t>
  </si>
  <si>
    <t>Accrued insurance claims payable</t>
  </si>
  <si>
    <t>Due to component units</t>
  </si>
  <si>
    <t>Due to other governmental agencies</t>
  </si>
  <si>
    <t>Noncurrent liabilities:</t>
  </si>
  <si>
    <t>Net other post-employment benefit obligation</t>
  </si>
  <si>
    <t>Deferred inflows of Resources</t>
  </si>
  <si>
    <t>Unavailable revenue- property taxes and assessments- service charges</t>
  </si>
  <si>
    <t>Deferred gain on refunding bonds, net</t>
  </si>
  <si>
    <t>Deferred inflows related to pensions</t>
  </si>
  <si>
    <t>Criminal justice</t>
  </si>
  <si>
    <t>Highways, streets and drainage</t>
  </si>
  <si>
    <t>Building facilities</t>
  </si>
  <si>
    <t>Capital outlay</t>
  </si>
  <si>
    <t>Calcasieu Parish 2015 Statement of Net Assets</t>
  </si>
  <si>
    <t>Receivables (net of allowance for uncollectibles)</t>
  </si>
  <si>
    <t>Intergovernmental receivable</t>
  </si>
  <si>
    <t>Loan receivable</t>
  </si>
  <si>
    <t>Restricted assets:</t>
  </si>
  <si>
    <t>Receivables - net</t>
  </si>
  <si>
    <t>Deferred amount on refunding</t>
  </si>
  <si>
    <t>Deferred outflows- other</t>
  </si>
  <si>
    <t>Pension related deferred inflows of resources</t>
  </si>
  <si>
    <t xml:space="preserve">Total deferred inflows of resouces </t>
  </si>
  <si>
    <t>Accounts payable and other accrued liabilities</t>
  </si>
  <si>
    <t>Intergovernmental payable</t>
  </si>
  <si>
    <t>Liabilities payable from restricted assets</t>
  </si>
  <si>
    <t>Property taxes levied for the next fiscal year</t>
  </si>
  <si>
    <t>Deffered inflows- other</t>
  </si>
  <si>
    <t>External legal constraints</t>
  </si>
  <si>
    <t>Capital improvement projects</t>
  </si>
  <si>
    <t>Caldwell Parish 2015 Statement of Net Assets</t>
  </si>
  <si>
    <t>DEFERRED OUTFLOWS</t>
  </si>
  <si>
    <t>Cash overdraft</t>
  </si>
  <si>
    <t>Due to other agencies</t>
  </si>
  <si>
    <t>DEFERRED INFLOWS</t>
  </si>
  <si>
    <t>Restricted</t>
  </si>
  <si>
    <t>Catahoula Parish 2015 Statement of Net Assets</t>
  </si>
  <si>
    <t>Fire District No. 1 Maintenance</t>
  </si>
  <si>
    <t>Cash restricted for debt service</t>
  </si>
  <si>
    <t>Cash restricted for capital project</t>
  </si>
  <si>
    <t>Deferred outflows- pension related</t>
  </si>
  <si>
    <t>Certificates of indebtedness due within one year</t>
  </si>
  <si>
    <t>Certificates of indebtedness due in more than one</t>
  </si>
  <si>
    <t>Deferred inflows- pension related</t>
  </si>
  <si>
    <t>Grant revenues pending</t>
  </si>
  <si>
    <t>Restricted net position</t>
  </si>
  <si>
    <t>Unrestricted net position</t>
  </si>
  <si>
    <t>Cameron Parish 2015 Statement of Net Assets</t>
  </si>
  <si>
    <t>Cash</t>
  </si>
  <si>
    <t>Inventory, at cost</t>
  </si>
  <si>
    <t>Other</t>
  </si>
  <si>
    <t>Due after one year</t>
  </si>
  <si>
    <t>Net position - restricted for:</t>
  </si>
  <si>
    <t>Tourism development</t>
  </si>
  <si>
    <t>Net position - unrestricted</t>
  </si>
  <si>
    <t>Claiborne Parish 2015 Statement of Net Assets</t>
  </si>
  <si>
    <t>Due from other agencies</t>
  </si>
  <si>
    <t>Deferred charges</t>
  </si>
  <si>
    <t>Deferred outflow- pension related</t>
  </si>
  <si>
    <t>Deferred revenue</t>
  </si>
  <si>
    <t>Bonds payable within one year</t>
  </si>
  <si>
    <t>Bonds payable in more than one year</t>
  </si>
  <si>
    <t>General government</t>
  </si>
  <si>
    <t>General government - judicial</t>
  </si>
  <si>
    <t>Concordia Parish 2015 Statement of Net Assets</t>
  </si>
  <si>
    <t>Cash and cash equivalents - restricted</t>
  </si>
  <si>
    <t>Acounts Receivable</t>
  </si>
  <si>
    <t>Ad valorem taxes receivable, net</t>
  </si>
  <si>
    <t>Sales and use taxes receivable</t>
  </si>
  <si>
    <t>Severance taxes receivable</t>
  </si>
  <si>
    <t>Capital Assets</t>
  </si>
  <si>
    <t>Proptery and equipment, net</t>
  </si>
  <si>
    <t>Deferred outflows of pension resources</t>
  </si>
  <si>
    <t>LIABILITIES, DEFERRED INFLOWS OF RESOURCES, AND NET POSITION</t>
  </si>
  <si>
    <t>Current liabilities:</t>
  </si>
  <si>
    <t>Accured payroll and benefits</t>
  </si>
  <si>
    <t>Sales tax bonds- due within one year</t>
  </si>
  <si>
    <t xml:space="preserve">Noncurrent liabilities: </t>
  </si>
  <si>
    <t>General obligation bonds</t>
  </si>
  <si>
    <t>Special projects</t>
  </si>
  <si>
    <t>DeSoto Parish 2015 Statement of Net Assets</t>
  </si>
  <si>
    <t>Master Bank Overdrafts</t>
  </si>
  <si>
    <t>Deposit balances</t>
  </si>
  <si>
    <t>Advance from grantors</t>
  </si>
  <si>
    <t>Landfill post closure liability</t>
  </si>
  <si>
    <t>Other postemployment benefit obligation</t>
  </si>
  <si>
    <t>Restricted for Debt Service</t>
  </si>
  <si>
    <t>East Baton Rouge Parish 2015 Statement of Net Assets</t>
  </si>
  <si>
    <t>Cash and cash equivalents (note 3)</t>
  </si>
  <si>
    <t>Investments (note 3)</t>
  </si>
  <si>
    <t>Receivables--net (note 13)</t>
  </si>
  <si>
    <t>Due from other governments (note 11)</t>
  </si>
  <si>
    <t>Loans receivable</t>
  </si>
  <si>
    <t>Deferred amount  on refunding</t>
  </si>
  <si>
    <t>Deferred outflows on derivative instruments</t>
  </si>
  <si>
    <t>Deferred outflow for pension</t>
  </si>
  <si>
    <t>Accounts payable and other current liabilities</t>
  </si>
  <si>
    <t>Internal balances (Note 11)</t>
  </si>
  <si>
    <t>Accrued payables</t>
  </si>
  <si>
    <t>Deposits and escrow accounts</t>
  </si>
  <si>
    <t>Noncurrent liabilities (note 10):</t>
  </si>
  <si>
    <t xml:space="preserve">Deferred Inflows of Reources </t>
  </si>
  <si>
    <t>Resources received before the requirements</t>
  </si>
  <si>
    <t>Deferred inflow for pensions</t>
  </si>
  <si>
    <t>Restricted for (note 14):</t>
  </si>
  <si>
    <t>Passenger facility charges</t>
  </si>
  <si>
    <t>East Carroll Parish 2015 Statement of Net Assets</t>
  </si>
  <si>
    <t>Capital assets not being depreciated</t>
  </si>
  <si>
    <t>Road maintenance</t>
  </si>
  <si>
    <t>Garbage</t>
  </si>
  <si>
    <t>Library</t>
  </si>
  <si>
    <t>Drainage</t>
  </si>
  <si>
    <t>Health unit</t>
  </si>
  <si>
    <t>Criminal Court</t>
  </si>
  <si>
    <t>Rural Fire Protection</t>
  </si>
  <si>
    <t xml:space="preserve">LSU/SU Extension </t>
  </si>
  <si>
    <t>Housing Assistance Payments</t>
  </si>
  <si>
    <t>East Feliciana Parish 2015 Statement of Net Assets</t>
  </si>
  <si>
    <t>Due from other funds</t>
  </si>
  <si>
    <t>Due from other governmental agencies</t>
  </si>
  <si>
    <t>Pensions</t>
  </si>
  <si>
    <t>Total Deferred Outflows of Resources</t>
  </si>
  <si>
    <t>Due to other funds</t>
  </si>
  <si>
    <t>Health unit operations/maintenance</t>
  </si>
  <si>
    <t>Homeland security/emergency preparedness</t>
  </si>
  <si>
    <t>Solid waste management</t>
  </si>
  <si>
    <t>Evangeline Parish 2015 Statement of Net Assets</t>
  </si>
  <si>
    <t>Deferred outflows of resources</t>
  </si>
  <si>
    <t>Accounts and other payables</t>
  </si>
  <si>
    <t>Accrued interest</t>
  </si>
  <si>
    <t>Performance bonds payable</t>
  </si>
  <si>
    <t>Deposits payable</t>
  </si>
  <si>
    <t>Deferred inflows of resources</t>
  </si>
  <si>
    <t>Restricted for debt service</t>
  </si>
  <si>
    <t>Franklin Parish 2015 Statement of Net Assets</t>
  </si>
  <si>
    <t>Capital assets (net)</t>
  </si>
  <si>
    <t>Total assests and deferred outflow of resources</t>
  </si>
  <si>
    <t>Payroll withholding payable</t>
  </si>
  <si>
    <t>Capital leases payable</t>
  </si>
  <si>
    <t>Total Liabilities, Deferred inflows of Resources, and Net Assets</t>
  </si>
  <si>
    <t>Grant Parish 2015 Statement of Net Assets</t>
  </si>
  <si>
    <t>Receivables (net)</t>
  </si>
  <si>
    <t>Non depreciable capital assets</t>
  </si>
  <si>
    <t>Depreciable capital assets, net</t>
  </si>
  <si>
    <t xml:space="preserve">DEFERRED OUTFLOWS </t>
  </si>
  <si>
    <t>Retainage Payable</t>
  </si>
  <si>
    <t>Deposits due others</t>
  </si>
  <si>
    <t>Unearned revenues</t>
  </si>
  <si>
    <t>Notes payable:</t>
  </si>
  <si>
    <t>Aggregate Net Pension Liability</t>
  </si>
  <si>
    <t>Restricted:</t>
  </si>
  <si>
    <t>Maintenance</t>
  </si>
  <si>
    <t>Construction</t>
  </si>
  <si>
    <t>Iberia Parish 2015 Statement of Net Assets</t>
  </si>
  <si>
    <t>Advance to component unit</t>
  </si>
  <si>
    <t>Goodwill</t>
  </si>
  <si>
    <t>Investments in joint ventures</t>
  </si>
  <si>
    <t>Prepaid bond insurance</t>
  </si>
  <si>
    <t>Accrued expenses</t>
  </si>
  <si>
    <t>Contracts and retainage payable</t>
  </si>
  <si>
    <t>Due to component unit</t>
  </si>
  <si>
    <t>Advance from primary government</t>
  </si>
  <si>
    <t>Advances from grantors and others</t>
  </si>
  <si>
    <t>Deposits</t>
  </si>
  <si>
    <t>Tenant deposits</t>
  </si>
  <si>
    <t>Other post employment benefits payable</t>
  </si>
  <si>
    <t>Nonexpendable</t>
  </si>
  <si>
    <t>Debt Service</t>
  </si>
  <si>
    <t>Tax dedications</t>
  </si>
  <si>
    <t>Iberville Parish 2015 Statement of Net Assets</t>
  </si>
  <si>
    <t>Total Component Units</t>
  </si>
  <si>
    <t>Capital assets (net of accumulated depreciation)</t>
  </si>
  <si>
    <t>Building and system</t>
  </si>
  <si>
    <t>Improvemetns other than building</t>
  </si>
  <si>
    <t>Machinery and equipment</t>
  </si>
  <si>
    <t>Pension</t>
  </si>
  <si>
    <t>Matured bonds and interest payable</t>
  </si>
  <si>
    <t>Bank overdraft liability</t>
  </si>
  <si>
    <t>Other payables</t>
  </si>
  <si>
    <t>Other post employment benefits</t>
  </si>
  <si>
    <t>Due in one year</t>
  </si>
  <si>
    <t>Net Investment in Capital Assets</t>
  </si>
  <si>
    <t>Restricted, related to</t>
  </si>
  <si>
    <t>Public building maintenance</t>
  </si>
  <si>
    <t>Solid waste</t>
  </si>
  <si>
    <t>Fire protection</t>
  </si>
  <si>
    <t>Emergency services</t>
  </si>
  <si>
    <t>Road Improvements</t>
  </si>
  <si>
    <t>Jackson Parish 2015 Statement of Net Assets</t>
  </si>
  <si>
    <t>Capital assets, net of depreciation</t>
  </si>
  <si>
    <t>Security deposits</t>
  </si>
  <si>
    <t>Road maintenance (Road, Sales tax and asphalt funds)</t>
  </si>
  <si>
    <t>Waste management</t>
  </si>
  <si>
    <t>Tourism</t>
  </si>
  <si>
    <t>Landfill closure</t>
  </si>
  <si>
    <t>Pavillion/Riding Arena</t>
  </si>
  <si>
    <t>Grant funds</t>
  </si>
  <si>
    <t>Grand jury and witness fees</t>
  </si>
  <si>
    <t>Jefferson Parish 2015 Statement of Net Assets</t>
  </si>
  <si>
    <t>(amounts in thousands)</t>
  </si>
  <si>
    <t>Share of pooled assets</t>
  </si>
  <si>
    <t xml:space="preserve">Receivables, net of allowances for </t>
  </si>
  <si>
    <t>estimated uncollectibles:</t>
  </si>
  <si>
    <t>Interest</t>
  </si>
  <si>
    <t>Ad valorem tax</t>
  </si>
  <si>
    <t>Accounts</t>
  </si>
  <si>
    <t xml:space="preserve">Notes </t>
  </si>
  <si>
    <t>Mortgage loans</t>
  </si>
  <si>
    <t>Intergovernmental</t>
  </si>
  <si>
    <t>Total Current Assets</t>
  </si>
  <si>
    <t>Noncurrent Assets</t>
  </si>
  <si>
    <t>Deposits and other assets</t>
  </si>
  <si>
    <t>Mortgage loans receivable</t>
  </si>
  <si>
    <t>Capital assets being depreciated, net</t>
  </si>
  <si>
    <t>Total Noncurrent Assets</t>
  </si>
  <si>
    <t>Deferred charges on debt refunding</t>
  </si>
  <si>
    <t>Deferred charges acquisition costs</t>
  </si>
  <si>
    <t>Pension-relate deferred outflows</t>
  </si>
  <si>
    <t>Current liabilities</t>
  </si>
  <si>
    <t>Accounts and contracts payable</t>
  </si>
  <si>
    <t>Claims and judgments payable</t>
  </si>
  <si>
    <t>Current portion of long term debt</t>
  </si>
  <si>
    <t>Accrued salaries payable</t>
  </si>
  <si>
    <t>Other payables and accruals</t>
  </si>
  <si>
    <t>Advanced lease and other payments from CEA</t>
  </si>
  <si>
    <t>Total Current Liabilities</t>
  </si>
  <si>
    <t>Other long term liabilities</t>
  </si>
  <si>
    <t>Customers' deposits</t>
  </si>
  <si>
    <t>Total Noncurrent Liabilities</t>
  </si>
  <si>
    <t>Pension-related deferred inflows of resources</t>
  </si>
  <si>
    <t>Judges annuitles</t>
  </si>
  <si>
    <t>Transit</t>
  </si>
  <si>
    <t>Urban redevelopment and housing</t>
  </si>
  <si>
    <t>Jefferson Davis Parish 2015 Statement of Net Assets</t>
  </si>
  <si>
    <t>Restricted cash and cash equivalents</t>
  </si>
  <si>
    <t>Pension related deferrals</t>
  </si>
  <si>
    <t>Deferred bond issuance costs</t>
  </si>
  <si>
    <t>Liability for other post-employment benefits</t>
  </si>
  <si>
    <t>Current portion of bonds payable</t>
  </si>
  <si>
    <t>Current portion of capital leases payable</t>
  </si>
  <si>
    <t>Lafayete Parish 2015 Statement of Net Assets</t>
  </si>
  <si>
    <t>Inventories, net</t>
  </si>
  <si>
    <t>Unamortized start-up costs</t>
  </si>
  <si>
    <t>Depreciable,net</t>
  </si>
  <si>
    <t>Deferred loss on bond refunding</t>
  </si>
  <si>
    <t xml:space="preserve">Accounts and other payables </t>
  </si>
  <si>
    <t>Portion due or payable within one year</t>
  </si>
  <si>
    <t>Portion due or payable after one year</t>
  </si>
  <si>
    <t>Unrestricted (deficit)</t>
  </si>
  <si>
    <t>Lafourche Parish 2015 Statement of Net Assets</t>
  </si>
  <si>
    <t xml:space="preserve"> </t>
  </si>
  <si>
    <t>Prepaids and other assets</t>
  </si>
  <si>
    <t>Depreciable</t>
  </si>
  <si>
    <t>Deferred charge on refunding</t>
  </si>
  <si>
    <t>Deferred outflows- pension contributions</t>
  </si>
  <si>
    <t>Deferred outflows- pension other</t>
  </si>
  <si>
    <t>Other current liabilities</t>
  </si>
  <si>
    <t>Long-term liabilities</t>
  </si>
  <si>
    <t>Deferred inflows of resources- pension</t>
  </si>
  <si>
    <t>Net invested in capital assets</t>
  </si>
  <si>
    <t>LaSalle Parish 2015 Statement of Net Assets</t>
  </si>
  <si>
    <t>Prepaid lease payments</t>
  </si>
  <si>
    <t>DEFERRED OUTFLOW OF RESOURCES</t>
  </si>
  <si>
    <t>TOTAL ASSETS AND DEFERRED OUTFLOW OF RESOURCES</t>
  </si>
  <si>
    <t>Payroll payable</t>
  </si>
  <si>
    <t>Net OPEB obligations</t>
  </si>
  <si>
    <t>Long term liabilities:</t>
  </si>
  <si>
    <t>DEFERRED INFLOW OF RESOURCES</t>
  </si>
  <si>
    <t>Lincoln Parish 2015 Statement of Net Assets</t>
  </si>
  <si>
    <t>Capital assets, net of accumulated depreciated</t>
  </si>
  <si>
    <t>Salaries and related payables</t>
  </si>
  <si>
    <t>Compensated absences due within one year</t>
  </si>
  <si>
    <t>Bonds payable due within one year</t>
  </si>
  <si>
    <t>Bonds payable due in more than one</t>
  </si>
  <si>
    <t>Livingston Parish 2015 Statement of Net Assets</t>
  </si>
  <si>
    <t>Receivables, Net of Allowance</t>
  </si>
  <si>
    <t>Due from component unit</t>
  </si>
  <si>
    <t>Unamortized bond insurance premiums</t>
  </si>
  <si>
    <t>Capital assets</t>
  </si>
  <si>
    <t>Depreciable-net</t>
  </si>
  <si>
    <t>Deferred Amount on Refunding of Debt</t>
  </si>
  <si>
    <t>Deferred Charges- Pensions</t>
  </si>
  <si>
    <t>Due to component Units</t>
  </si>
  <si>
    <t>Accrued bond interest payable</t>
  </si>
  <si>
    <t>Non-current liabilities</t>
  </si>
  <si>
    <t>Grant</t>
  </si>
  <si>
    <t>Madison Parish 2015 Statement of Net Assets</t>
  </si>
  <si>
    <t>Accounts, salaries and other payables</t>
  </si>
  <si>
    <t>Garbage collection</t>
  </si>
  <si>
    <t>Drainage and roads</t>
  </si>
  <si>
    <t>Courthouse and jail</t>
  </si>
  <si>
    <t>Other special revenue funds</t>
  </si>
  <si>
    <t>Morehouse Parish 2015 Statement of Net Assets</t>
  </si>
  <si>
    <t>Resources related to pension</t>
  </si>
  <si>
    <t>Bank overdrafts</t>
  </si>
  <si>
    <t>Payroll accruals and wothholdings</t>
  </si>
  <si>
    <t>Net pension</t>
  </si>
  <si>
    <t>Property Taxes</t>
  </si>
  <si>
    <t>Resources related to pensions</t>
  </si>
  <si>
    <t>Net Invested in capital assets</t>
  </si>
  <si>
    <t>Restricted for special revenue</t>
  </si>
  <si>
    <t>Natchitoches Parish 2015 Statement of Net Assets</t>
  </si>
  <si>
    <t>Revenue receivables</t>
  </si>
  <si>
    <t>Noncurrent Assets-</t>
  </si>
  <si>
    <t>Capital Assets (net of accumulated depreciation)</t>
  </si>
  <si>
    <t>Current Liabilities-</t>
  </si>
  <si>
    <t>Long-term Debt-</t>
  </si>
  <si>
    <t>Accrued Compensated Absences</t>
  </si>
  <si>
    <t>OPEB Payable</t>
  </si>
  <si>
    <t>Net Pension Liability</t>
  </si>
  <si>
    <t>Total Long-term Liabilities</t>
  </si>
  <si>
    <t>Orleans Parish 2015 Statement of Net Assets</t>
  </si>
  <si>
    <t>Receivables (net of allowance for uncollectibles):</t>
  </si>
  <si>
    <t>Taxes</t>
  </si>
  <si>
    <t>Grantee loans</t>
  </si>
  <si>
    <t>Restricted cash and investments</t>
  </si>
  <si>
    <t>Deferred amounts related to net position liability</t>
  </si>
  <si>
    <t>Taxes payable</t>
  </si>
  <si>
    <t>Accrued Interest Payable</t>
  </si>
  <si>
    <t>Long-term liabilities due within one year</t>
  </si>
  <si>
    <t>Long-term liabilities due in more than one year</t>
  </si>
  <si>
    <t>Unavailable Revenue</t>
  </si>
  <si>
    <t>Restricted for capital improvement</t>
  </si>
  <si>
    <t>Restricted for operating reserve</t>
  </si>
  <si>
    <t>Ouachita Parish 2015 Statement of Net Assets</t>
  </si>
  <si>
    <t>Investments, at market value</t>
  </si>
  <si>
    <t>Receivables:</t>
  </si>
  <si>
    <t>Ad valorem taxes</t>
  </si>
  <si>
    <t>Sales taxes</t>
  </si>
  <si>
    <t>Special assessments</t>
  </si>
  <si>
    <t>Trade receivables</t>
  </si>
  <si>
    <t>Due from other governmental</t>
  </si>
  <si>
    <t>Restricted assets-cash</t>
  </si>
  <si>
    <t>Deferred charges on pensions</t>
  </si>
  <si>
    <t>Deposits held</t>
  </si>
  <si>
    <t>Other noncurrent liabilities</t>
  </si>
  <si>
    <t>Capital improvements</t>
  </si>
  <si>
    <t>Insurance claims</t>
  </si>
  <si>
    <t>Plaquemines Parish 2015 Statement of Net Assets</t>
  </si>
  <si>
    <t>Receivables (net of allowaces for uncollectibles)</t>
  </si>
  <si>
    <t>Non-current Assets:</t>
  </si>
  <si>
    <t>Total Non-current Assets</t>
  </si>
  <si>
    <t>Deferred Outflows of Resources:</t>
  </si>
  <si>
    <t>Deferred outflows related to net pension liability</t>
  </si>
  <si>
    <t>Total Assets and Deferred Outflows of Resources</t>
  </si>
  <si>
    <t>Current Liabilities:</t>
  </si>
  <si>
    <t>Non-current Liabilities</t>
  </si>
  <si>
    <t>Litigation and other contingencies</t>
  </si>
  <si>
    <t>Notes payable-long term</t>
  </si>
  <si>
    <t>Bonds payable-long term</t>
  </si>
  <si>
    <t>Total Non-current Liabilities</t>
  </si>
  <si>
    <t>Deferred Inflows of Resources:</t>
  </si>
  <si>
    <t>Deferred inflows related to net pension liability</t>
  </si>
  <si>
    <t>Invested in capital assets</t>
  </si>
  <si>
    <t>Total Liabilities, Deferred Inflows of Resources, and Net Position</t>
  </si>
  <si>
    <t>Pointe Coupee Parish 2015 Statement of Net Assets</t>
  </si>
  <si>
    <t>Due from fiduciary funds</t>
  </si>
  <si>
    <t>Customer meter deposits</t>
  </si>
  <si>
    <t>Long term payables:</t>
  </si>
  <si>
    <t>Total liabilities and deferred inflows of resources</t>
  </si>
  <si>
    <t>Library operations</t>
  </si>
  <si>
    <t>Road construction and maintenance</t>
  </si>
  <si>
    <t>Rapides Parish 2015 Statement of Net Assets</t>
  </si>
  <si>
    <t>Nondepreciable:</t>
  </si>
  <si>
    <t>Depreciable:</t>
  </si>
  <si>
    <t>Furniture, equipment, and other</t>
  </si>
  <si>
    <t>Red River Parish 2015 Statement of Net Assets</t>
  </si>
  <si>
    <t>Prepaid expense</t>
  </si>
  <si>
    <t>Accounts payable and accured liabilities</t>
  </si>
  <si>
    <t>Compensated absences payable, net of current portion</t>
  </si>
  <si>
    <t>Sales tax dedicated for the maintenance of ambulances,</t>
  </si>
  <si>
    <t>the costs to provide services, and tourism</t>
  </si>
  <si>
    <t>Dedicated property taxes for library services</t>
  </si>
  <si>
    <t>Dedicated property taxes for health unit services and construction</t>
  </si>
  <si>
    <t>External legal constraints for juror and witness compensation</t>
  </si>
  <si>
    <t>External legal contraints for federal and sate grant programs</t>
  </si>
  <si>
    <t>Richland Parish 2015 Statement of Net Assets</t>
  </si>
  <si>
    <t>Payroll accruals and wothholding</t>
  </si>
  <si>
    <t>Sabine Parish 2015 Statement of Net Assets</t>
  </si>
  <si>
    <t>Infrastructure:</t>
  </si>
  <si>
    <t>Roads</t>
  </si>
  <si>
    <t>Road right-of-way</t>
  </si>
  <si>
    <t>Bridges</t>
  </si>
  <si>
    <t>St. Bernard Parish 2015 Statement of Net Assets</t>
  </si>
  <si>
    <t>Investments--land held for sale</t>
  </si>
  <si>
    <t>Sales and use taxes</t>
  </si>
  <si>
    <t>Cable franchise fees</t>
  </si>
  <si>
    <t>Customer</t>
  </si>
  <si>
    <t>Unbilled charges</t>
  </si>
  <si>
    <t>Prepaid expidentures</t>
  </si>
  <si>
    <t>Restricted assets--cash and cash equivalents</t>
  </si>
  <si>
    <t>Loan and interest receivable</t>
  </si>
  <si>
    <t>Land, improvements and construction in progess</t>
  </si>
  <si>
    <t>Deferred outflows on pension obligation</t>
  </si>
  <si>
    <t>Claims payable</t>
  </si>
  <si>
    <t>Salaries and payroll deductions payable</t>
  </si>
  <si>
    <t>Advance collections</t>
  </si>
  <si>
    <t>Certificates of indebtedness</t>
  </si>
  <si>
    <t>Long term non-cuttent liabilities</t>
  </si>
  <si>
    <t>Federal programs</t>
  </si>
  <si>
    <t>St. Charles Parish 2015 Statement of Net Assets</t>
  </si>
  <si>
    <t>Prepaid fees</t>
  </si>
  <si>
    <t>Plant and equipment</t>
  </si>
  <si>
    <t>Deferred Inflows- Pension</t>
  </si>
  <si>
    <t>Other liabilities and accruals</t>
  </si>
  <si>
    <t>Amounts due within one year</t>
  </si>
  <si>
    <t>Amounts due beyond one year</t>
  </si>
  <si>
    <t>Multi-employer Pension Liability</t>
  </si>
  <si>
    <t>Other non-current liabilities</t>
  </si>
  <si>
    <t>Advances</t>
  </si>
  <si>
    <t>Gain on Bond Refunding</t>
  </si>
  <si>
    <t>Maintenance/operations</t>
  </si>
  <si>
    <t>Special Revenues</t>
  </si>
  <si>
    <t>Maintanence/Operations</t>
  </si>
  <si>
    <t>St. Helena Parish 2015 Statement of Net Assets</t>
  </si>
  <si>
    <t>Discretely Presented Component Units</t>
  </si>
  <si>
    <t>St. Helena Parish Hospital Serv Dist 1 &amp; Subsidiary</t>
  </si>
  <si>
    <t>Water Works Dist No. 2 of St. Helena Parish</t>
  </si>
  <si>
    <t>Other Component Units</t>
  </si>
  <si>
    <t>Current Assets:</t>
  </si>
  <si>
    <t>Prepaid insurance and other assets</t>
  </si>
  <si>
    <t>Total current assets</t>
  </si>
  <si>
    <t>Total restricted assets</t>
  </si>
  <si>
    <t>Long term assets:</t>
  </si>
  <si>
    <t>Total long term assets</t>
  </si>
  <si>
    <t>Total capital assets</t>
  </si>
  <si>
    <t>Other accrued payables</t>
  </si>
  <si>
    <t>Interim Financing</t>
  </si>
  <si>
    <t>Accrued interest on long term indebtedness</t>
  </si>
  <si>
    <t>Current portion of long term indebtedness</t>
  </si>
  <si>
    <t>Capital leases</t>
  </si>
  <si>
    <t>Total current liabilities:</t>
  </si>
  <si>
    <t>Unfunded net other post employment benefit obligations</t>
  </si>
  <si>
    <t>Total long term liabilities</t>
  </si>
  <si>
    <t>St. James Parish 2015 Statement of Net Assets</t>
  </si>
  <si>
    <t>St. James Parish Hospital</t>
  </si>
  <si>
    <t>Notes receivable:</t>
  </si>
  <si>
    <t>Estimated third-party payor settlements</t>
  </si>
  <si>
    <t>Internal balance</t>
  </si>
  <si>
    <t>Held by trustee for debt service</t>
  </si>
  <si>
    <t>Internally designated for capital acquisition</t>
  </si>
  <si>
    <t>Other assets, net</t>
  </si>
  <si>
    <t xml:space="preserve">Deferred charge on refunding </t>
  </si>
  <si>
    <t>Highways and streets</t>
  </si>
  <si>
    <t>Group health insurance claims</t>
  </si>
  <si>
    <t>St. John the Baptist Parish 2015 Statement of Net Assets</t>
  </si>
  <si>
    <t>Receivables (net of allowances)</t>
  </si>
  <si>
    <t>Capital assets being depreciated</t>
  </si>
  <si>
    <t>(net of accumulated depreciation)</t>
  </si>
  <si>
    <t>Deferred amounts related to pension liability</t>
  </si>
  <si>
    <t>Total Deferred outflows of resources</t>
  </si>
  <si>
    <t>Total Deferred inflows of resources</t>
  </si>
  <si>
    <t>Special revenue</t>
  </si>
  <si>
    <t>Endowment</t>
  </si>
  <si>
    <t>St. Landry Parish 2015 Statement of Net Assets</t>
  </si>
  <si>
    <t>Prepaid expenditures</t>
  </si>
  <si>
    <t>Due from agency funds</t>
  </si>
  <si>
    <t>Noncurrent assets</t>
  </si>
  <si>
    <t>Cash and cash equivalents- restricted</t>
  </si>
  <si>
    <t>Investments-restricted</t>
  </si>
  <si>
    <t>Current</t>
  </si>
  <si>
    <t>Unamortized premium</t>
  </si>
  <si>
    <t>Due to agency funds</t>
  </si>
  <si>
    <t>Due primary government</t>
  </si>
  <si>
    <t xml:space="preserve">Noncurrent </t>
  </si>
  <si>
    <t>Restricted- roads</t>
  </si>
  <si>
    <t>Restricted-other</t>
  </si>
  <si>
    <t>St. Martin Parish 2015 Statement of Net Assets</t>
  </si>
  <si>
    <t>Bonds payable, due within one year</t>
  </si>
  <si>
    <t>Bonds payable, due in more than one year</t>
  </si>
  <si>
    <t>Capital leases payable, due within one year</t>
  </si>
  <si>
    <t>Capital leases payable, due in more than one year</t>
  </si>
  <si>
    <t>OPEB liability-due in more than one year</t>
  </si>
  <si>
    <t>St.Mary Parish 2015 Statement of Net Assets</t>
  </si>
  <si>
    <t>CURRENT ASSETS</t>
  </si>
  <si>
    <t>Receivables (net of allowances for uncollectibles)</t>
  </si>
  <si>
    <t>Other recievables</t>
  </si>
  <si>
    <t>Due from St. Mary Parish Council</t>
  </si>
  <si>
    <t>NONCURRENT ASSETS</t>
  </si>
  <si>
    <t>Restricted Assets</t>
  </si>
  <si>
    <t>Investment in Berwick Bayou Vista Joint Waterworks Commission</t>
  </si>
  <si>
    <t>Land and improvements</t>
  </si>
  <si>
    <t>Buildings, net of accumulated depreciation</t>
  </si>
  <si>
    <t>Improvements other than buildings, net of accumulated depreciation</t>
  </si>
  <si>
    <t>Equipment and furniture, net of accumulated depreciation</t>
  </si>
  <si>
    <t>Infrastructure, net of accumulated depreciation</t>
  </si>
  <si>
    <t>Total noncurrent assets</t>
  </si>
  <si>
    <t>TOTAL ASSETS</t>
  </si>
  <si>
    <t>Deferred charges on refunding</t>
  </si>
  <si>
    <t>Deferred charges- pensions</t>
  </si>
  <si>
    <t>CURRENT LIABILITIES</t>
  </si>
  <si>
    <t>Due to St. Mary Parish Council</t>
  </si>
  <si>
    <t>Payable from restricted assets</t>
  </si>
  <si>
    <t>TOTAL CURRENT LIABILITIES</t>
  </si>
  <si>
    <t>Noncurrent portion of long-term debt</t>
  </si>
  <si>
    <t>Net pension liabilitiy</t>
  </si>
  <si>
    <t>Landfill closure and post-closure care costs</t>
  </si>
  <si>
    <t>TOTAL NONCURRENT LIABILITIES</t>
  </si>
  <si>
    <t>Deferred inflows related to pension</t>
  </si>
  <si>
    <t>Net investment in capital assets, net of related debt</t>
  </si>
  <si>
    <t>Capital projects</t>
  </si>
  <si>
    <t>St.Tammany Parish 2015 Statement of Net Assets</t>
  </si>
  <si>
    <t>Due from primary government/component units</t>
  </si>
  <si>
    <t>Land, improvements and construction in progress</t>
  </si>
  <si>
    <t>Due to primary government/component units</t>
  </si>
  <si>
    <t xml:space="preserve">Due within one year </t>
  </si>
  <si>
    <t>Net investment incapital assets</t>
  </si>
  <si>
    <t xml:space="preserve">Judicial </t>
  </si>
  <si>
    <t>Lighting districts</t>
  </si>
  <si>
    <t>Roads, bridges, and drainage</t>
  </si>
  <si>
    <t>Tangipahoa Parish 2015 Statement of Net Assets</t>
  </si>
  <si>
    <t>Investment in certificates of deposit</t>
  </si>
  <si>
    <t>Receivebles, net</t>
  </si>
  <si>
    <t>Restricted assets- cash</t>
  </si>
  <si>
    <t>Prepaid insurance</t>
  </si>
  <si>
    <t>Deferred outflow of resources</t>
  </si>
  <si>
    <t>Deferred Revenue- Nonprofits</t>
  </si>
  <si>
    <t>Due to volunteer fire departments</t>
  </si>
  <si>
    <t>Postemployment healthcare benefits payable</t>
  </si>
  <si>
    <t>Net pension Liability</t>
  </si>
  <si>
    <t>Deferred inflow of resources</t>
  </si>
  <si>
    <t>GASB 68- Pension</t>
  </si>
  <si>
    <t>Total Deferred inflow of resources</t>
  </si>
  <si>
    <t>Debt service</t>
  </si>
  <si>
    <t>Tensas Parish 2015 Statement of Net Assets</t>
  </si>
  <si>
    <t>Amounts held by trustee for landfill closure</t>
  </si>
  <si>
    <t>and post-closure care costs</t>
  </si>
  <si>
    <t>Intergovernmental payables</t>
  </si>
  <si>
    <t>Terrebonne Parish 2015 Statement of Net Assets</t>
  </si>
  <si>
    <t>Investment in joint venture</t>
  </si>
  <si>
    <t>Grant Advancements</t>
  </si>
  <si>
    <t>General governments</t>
  </si>
  <si>
    <t>Streets and drainage</t>
  </si>
  <si>
    <t>Economic development and assistance</t>
  </si>
  <si>
    <t>Urban redevelopment and assistance</t>
  </si>
  <si>
    <t>Utilities</t>
  </si>
  <si>
    <t>Sewerage</t>
  </si>
  <si>
    <t>Union Parish 2015 Statement of Net Assets</t>
  </si>
  <si>
    <t>Public building revenue bonds due within one year</t>
  </si>
  <si>
    <t>Public building revenue bonds due in more than one year</t>
  </si>
  <si>
    <t>Sales Tax Bonds Payable</t>
  </si>
  <si>
    <t>Landfill closure/postclosure care</t>
  </si>
  <si>
    <t>Restricted for landfill closure/postclosure care</t>
  </si>
  <si>
    <t>Vermillion Parish 2015 Statement of Net Assets</t>
  </si>
  <si>
    <t>Criminal Court Fund</t>
  </si>
  <si>
    <t>Tourist Commission</t>
  </si>
  <si>
    <t>Deferred outflows of resources- pensions</t>
  </si>
  <si>
    <t>Deferred inflows of resources- pensions</t>
  </si>
  <si>
    <t>Vernon Parish 2015 Statement of Net Assets</t>
  </si>
  <si>
    <t>Investments, at fair market value</t>
  </si>
  <si>
    <t>Receivebles</t>
  </si>
  <si>
    <t>Library book collection</t>
  </si>
  <si>
    <t>Deferred inflows on pension benefit obligations</t>
  </si>
  <si>
    <t>Employee benefits</t>
  </si>
  <si>
    <t>Washington Parish 2015 Statement of Net Assets</t>
  </si>
  <si>
    <t>FEMA receivable</t>
  </si>
  <si>
    <t>Notes receivable</t>
  </si>
  <si>
    <t>Equity in Choctaw Road Landfill</t>
  </si>
  <si>
    <t>Restricted other assets</t>
  </si>
  <si>
    <t xml:space="preserve">Capital assets </t>
  </si>
  <si>
    <t>Changes in proportion and differences</t>
  </si>
  <si>
    <t>between contributions and proportionate</t>
  </si>
  <si>
    <t>Contributions subsequent to the measurement date</t>
  </si>
  <si>
    <t>Advanced revenue</t>
  </si>
  <si>
    <t>Due to FEMA</t>
  </si>
  <si>
    <t>OPEB liability</t>
  </si>
  <si>
    <t>Portion due in more than one year</t>
  </si>
  <si>
    <t xml:space="preserve">Solid waste disposal </t>
  </si>
  <si>
    <t>Highways and bridges</t>
  </si>
  <si>
    <t>Webster Parish 2015 Statement of Net Assets</t>
  </si>
  <si>
    <t>E-911</t>
  </si>
  <si>
    <t>Accounts payable vendors</t>
  </si>
  <si>
    <t>Accrued payroll liabilities</t>
  </si>
  <si>
    <t>Taxes paid under protest</t>
  </si>
  <si>
    <t>Solid waste collection, road and jail</t>
  </si>
  <si>
    <t>Road</t>
  </si>
  <si>
    <t>Courthouse and health unit</t>
  </si>
  <si>
    <t>DA salaries and benefits</t>
  </si>
  <si>
    <t>Criminal court</t>
  </si>
  <si>
    <t>Court reporter</t>
  </si>
  <si>
    <t>West Baton Rouge Parish 2015 Statement of Net Assets</t>
  </si>
  <si>
    <t>Investments - restricted</t>
  </si>
  <si>
    <t>Non-Depreciable</t>
  </si>
  <si>
    <t>Grant advances</t>
  </si>
  <si>
    <t>Unavailable revenue - property taxes</t>
  </si>
  <si>
    <t>Poydras endowment</t>
  </si>
  <si>
    <t>West Carroll Parish 2015 Statement of Net Assets</t>
  </si>
  <si>
    <t>Deposits held in trust</t>
  </si>
  <si>
    <t>Landfill closure/post closure care</t>
  </si>
  <si>
    <t>Transportation</t>
  </si>
  <si>
    <t>Economic Development</t>
  </si>
  <si>
    <t>Landfill closure/postclosure</t>
  </si>
  <si>
    <t>West Feliciana Parish 2015 Statement of Net Assets</t>
  </si>
  <si>
    <t>Issued: June 30, 2015</t>
  </si>
  <si>
    <t>Certificates of deposit</t>
  </si>
  <si>
    <t>Accouns receivable (net)</t>
  </si>
  <si>
    <t>Due from third party payors</t>
  </si>
  <si>
    <t>Accrued expenses and other liabilities</t>
  </si>
  <si>
    <t>Due beyond one year</t>
  </si>
  <si>
    <t>Winn Parish 2015 Statement of Net Assets</t>
  </si>
  <si>
    <t>Infrastructure - roads and bridges</t>
  </si>
  <si>
    <t>Deferred outflows for pension benefit obligations</t>
  </si>
  <si>
    <t>Section 8 housing debt</t>
  </si>
  <si>
    <t>Deferred inflows- deferred revenues</t>
  </si>
  <si>
    <t>2014-SONA</t>
  </si>
  <si>
    <t>Assets:</t>
  </si>
  <si>
    <t>Liabilities:</t>
  </si>
  <si>
    <t xml:space="preserve">Non-Current/Long-Term Liabilities: </t>
  </si>
  <si>
    <t>Net Assets:</t>
  </si>
  <si>
    <t>Denotes Error Found in Statement</t>
  </si>
  <si>
    <t>Transfers</t>
  </si>
  <si>
    <t>Other Assets</t>
  </si>
  <si>
    <t>Total Assets (Sum)</t>
  </si>
  <si>
    <t>Accuracy</t>
  </si>
  <si>
    <t>Accounts Payable</t>
  </si>
  <si>
    <t>Compensated Absences Payable</t>
  </si>
  <si>
    <t>Bonds Payable Due within 1 Year</t>
  </si>
  <si>
    <t>Bonds Payable Due after 1 Year</t>
  </si>
  <si>
    <t>Government Transfers</t>
  </si>
  <si>
    <t>Payable within 1 Year</t>
  </si>
  <si>
    <t>Payable after 1 Year</t>
  </si>
  <si>
    <t>Other Liabilities</t>
  </si>
  <si>
    <t>Total Liabilities (Sum)</t>
  </si>
  <si>
    <t>Invested in Capital Assets, Net of Related Debt</t>
  </si>
  <si>
    <t>Unrestricted Assets</t>
  </si>
  <si>
    <t>Total Net Assets (Sum)</t>
  </si>
  <si>
    <t>Total Liabilites and Net Assets (Sum)</t>
  </si>
  <si>
    <t>Parish's Statement Not Available</t>
  </si>
  <si>
    <t>PARISH</t>
  </si>
  <si>
    <t>County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</si>
  <si>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</si>
  <si>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</si>
  <si>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</si>
  <si>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</si>
  <si>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</si>
  <si>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</si>
  <si>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</si>
  <si>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</si>
  <si>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</si>
  <si>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</si>
  <si>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</si>
  <si>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</si>
  <si>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</si>
  <si>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</si>
  <si>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</si>
  <si>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</si>
  <si>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</si>
  <si>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</si>
  <si>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</si>
  <si>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</si>
  <si>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Franklin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</si>
  <si>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</si>
  <si>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</si>
  <si>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</si>
  <si>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</si>
  <si>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</si>
  <si>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</si>
  <si>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</si>
  <si>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</si>
  <si>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</si>
  <si>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 xml:space="preserve">Livingston </t>
  </si>
  <si>
    <t>Madison</t>
  </si>
  <si>
    <t>Morehouse</t>
  </si>
  <si>
    <t>Natchitoches</t>
  </si>
  <si>
    <t>Orleans</t>
  </si>
  <si>
    <t>Ouachita</t>
  </si>
  <si>
    <t>Plaquemines</t>
  </si>
  <si>
    <t>Point Coupee</t>
  </si>
  <si>
    <t>Rapides</t>
  </si>
  <si>
    <t>Red River</t>
  </si>
  <si>
    <t>Richland</t>
  </si>
  <si>
    <t>Sabine</t>
  </si>
  <si>
    <t>St Bernard</t>
  </si>
  <si>
    <t>St Charles</t>
  </si>
  <si>
    <t>St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</si>
  <si>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</si>
  <si>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</si>
  <si>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</si>
  <si>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</si>
  <si>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</si>
  <si>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</si>
  <si>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</si>
  <si>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</si>
  <si>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</si>
  <si>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</si>
  <si>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</si>
  <si>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</si>
  <si>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</si>
  <si>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</si>
  <si>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</si>
  <si>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</si>
  <si>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</si>
  <si>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</si>
  <si>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Totals</t>
  </si>
  <si>
    <t>Test</t>
  </si>
  <si>
    <t xml:space="preserve">Deferred Inflows of Resources </t>
  </si>
  <si>
    <t>2015-SONA</t>
  </si>
  <si>
    <t>Cash (Current - Inventory)</t>
  </si>
  <si>
    <t>Non-Current</t>
  </si>
  <si>
    <t>Livingston</t>
  </si>
  <si>
    <t>Pointe Coupee</t>
  </si>
  <si>
    <t>St. Bernard</t>
  </si>
  <si>
    <t>St. Charles</t>
  </si>
  <si>
    <t>St. Helena</t>
  </si>
  <si>
    <t>Vermilion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</si>
</sst>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sz val="12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b/>
      <i/>
      <sz val="11"/>
      <name val="Arial Black"/>
      <family val="2"/>
    </font>
    <font>
      <b/>
      <sz val="12"/>
      <color indexed="8"/>
      <name val="Calibri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9"/>
      <name val="Calibri"/>
      <family val="2"/>
    </font>
    <font>
      <b/>
      <sz val="11"/>
      <color indexed="8"/>
      <name val="Arial"/>
      <family val="2"/>
    </font>
    <font>
      <b/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43" fontId="19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294">
    <xf numFmtId="0" fontId="0" fillId="0" borderId="0" xfId="0"/>
    <xf numFmtId="0" fontId="3" fillId="0" borderId="0" xfId="0" applyFont="1"/>
    <xf numFmtId="0" fontId="6" fillId="0" borderId="1" xfId="0" applyFont="1" applyBorder="1" applyAlignment="1">
      <alignment horizontal="center"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2" fillId="6" borderId="0" xfId="0" applyFont="1" applyFill="1"/>
    <xf numFmtId="0" fontId="2" fillId="4" borderId="0" xfId="0" applyFont="1" applyFill="1"/>
    <xf numFmtId="0" fontId="0" fillId="4" borderId="0" xfId="0" applyFill="1"/>
    <xf numFmtId="0" fontId="5" fillId="13" borderId="0" xfId="0" applyFont="1" applyFill="1"/>
    <xf numFmtId="0" fontId="5" fillId="14" borderId="0" xfId="0" applyFont="1" applyFill="1"/>
    <xf numFmtId="0" fontId="7" fillId="15" borderId="3" xfId="0" applyFont="1" applyFill="1" applyBorder="1"/>
    <xf numFmtId="0" fontId="0" fillId="15" borderId="4" xfId="0" applyFill="1" applyBorder="1"/>
    <xf numFmtId="0" fontId="0" fillId="0" borderId="5" xfId="0" applyBorder="1"/>
    <xf numFmtId="0" fontId="0" fillId="0" borderId="6" xfId="0" applyBorder="1"/>
    <xf numFmtId="0" fontId="0" fillId="16" borderId="4" xfId="0" applyFill="1" applyBorder="1"/>
    <xf numFmtId="0" fontId="0" fillId="13" borderId="0" xfId="0" applyFill="1"/>
    <xf numFmtId="0" fontId="0" fillId="13" borderId="4" xfId="0" applyFill="1" applyBorder="1"/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0" xfId="0" applyFont="1"/>
    <xf numFmtId="0" fontId="10" fillId="15" borderId="9" xfId="0" applyFont="1" applyFill="1" applyBorder="1"/>
    <xf numFmtId="0" fontId="0" fillId="15" borderId="0" xfId="0" applyFill="1"/>
    <xf numFmtId="0" fontId="0" fillId="17" borderId="7" xfId="0" applyFill="1" applyBorder="1"/>
    <xf numFmtId="0" fontId="0" fillId="17" borderId="8" xfId="0" applyFill="1" applyBorder="1"/>
    <xf numFmtId="0" fontId="0" fillId="16" borderId="0" xfId="0" applyFill="1"/>
    <xf numFmtId="0" fontId="10" fillId="16" borderId="0" xfId="0" applyFont="1" applyFill="1"/>
    <xf numFmtId="0" fontId="11" fillId="16" borderId="3" xfId="0" applyFont="1" applyFill="1" applyBorder="1"/>
    <xf numFmtId="0" fontId="0" fillId="16" borderId="10" xfId="0" applyFill="1" applyBorder="1"/>
    <xf numFmtId="0" fontId="0" fillId="18" borderId="11" xfId="0" applyFill="1" applyBorder="1"/>
    <xf numFmtId="0" fontId="10" fillId="13" borderId="2" xfId="0" applyFont="1" applyFill="1" applyBorder="1"/>
    <xf numFmtId="0" fontId="8" fillId="17" borderId="12" xfId="0" applyFon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9" fillId="2" borderId="10" xfId="0" applyFont="1" applyFill="1" applyBorder="1"/>
    <xf numFmtId="0" fontId="9" fillId="7" borderId="14" xfId="0" applyFont="1" applyFill="1" applyBorder="1"/>
    <xf numFmtId="0" fontId="9" fillId="3" borderId="14" xfId="0" applyFont="1" applyFill="1" applyBorder="1"/>
    <xf numFmtId="0" fontId="9" fillId="5" borderId="14" xfId="0" applyFont="1" applyFill="1" applyBorder="1"/>
    <xf numFmtId="0" fontId="9" fillId="4" borderId="14" xfId="0" applyFont="1" applyFill="1" applyBorder="1"/>
    <xf numFmtId="0" fontId="12" fillId="15" borderId="9" xfId="0" applyFont="1" applyFill="1" applyBorder="1"/>
    <xf numFmtId="0" fontId="13" fillId="17" borderId="15" xfId="0" applyFont="1" applyFill="1" applyBorder="1" applyAlignment="1">
      <alignment horizontal="center"/>
    </xf>
    <xf numFmtId="0" fontId="13" fillId="17" borderId="16" xfId="0" applyFont="1" applyFill="1" applyBorder="1" applyAlignment="1">
      <alignment horizontal="center"/>
    </xf>
    <xf numFmtId="0" fontId="9" fillId="7" borderId="10" xfId="0" applyFont="1" applyFill="1" applyBorder="1"/>
    <xf numFmtId="0" fontId="9" fillId="9" borderId="14" xfId="0" applyFont="1" applyFill="1" applyBorder="1"/>
    <xf numFmtId="0" fontId="9" fillId="8" borderId="14" xfId="0" applyFont="1" applyFill="1" applyBorder="1"/>
    <xf numFmtId="0" fontId="9" fillId="19" borderId="14" xfId="0" applyFont="1" applyFill="1" applyBorder="1"/>
    <xf numFmtId="0" fontId="9" fillId="2" borderId="14" xfId="0" applyFont="1" applyFill="1" applyBorder="1"/>
    <xf numFmtId="0" fontId="12" fillId="16" borderId="9" xfId="0" applyFont="1" applyFill="1" applyBorder="1"/>
    <xf numFmtId="0" fontId="0" fillId="13" borderId="9" xfId="0" applyFill="1" applyBorder="1"/>
    <xf numFmtId="0" fontId="9" fillId="10" borderId="14" xfId="0" applyFont="1" applyFill="1" applyBorder="1"/>
    <xf numFmtId="0" fontId="9" fillId="11" borderId="14" xfId="0" applyFont="1" applyFill="1" applyBorder="1"/>
    <xf numFmtId="0" fontId="9" fillId="12" borderId="3" xfId="0" applyFont="1" applyFill="1" applyBorder="1"/>
    <xf numFmtId="0" fontId="12" fillId="13" borderId="17" xfId="0" applyFont="1" applyFill="1" applyBorder="1"/>
    <xf numFmtId="0" fontId="12" fillId="13" borderId="2" xfId="0" applyFont="1" applyFill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applyFont="1"/>
    <xf numFmtId="0" fontId="1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5" fillId="0" borderId="0" xfId="0" applyNumberFormat="1" applyFont="1"/>
    <xf numFmtId="0" fontId="0" fillId="17" borderId="0" xfId="0" applyFill="1"/>
    <xf numFmtId="0" fontId="11" fillId="21" borderId="0" xfId="0" applyFont="1" applyFill="1"/>
    <xf numFmtId="0" fontId="5" fillId="21" borderId="0" xfId="0" applyFont="1" applyFill="1"/>
    <xf numFmtId="3" fontId="5" fillId="21" borderId="0" xfId="0" applyNumberFormat="1" applyFont="1" applyFill="1"/>
    <xf numFmtId="0" fontId="16" fillId="21" borderId="0" xfId="0" applyFont="1" applyFill="1" applyAlignment="1">
      <alignment horizontal="center"/>
    </xf>
    <xf numFmtId="3" fontId="5" fillId="21" borderId="0" xfId="0" applyNumberFormat="1" applyFont="1" applyFill="1" applyAlignment="1">
      <alignment horizontal="center"/>
    </xf>
    <xf numFmtId="3" fontId="5" fillId="9" borderId="0" xfId="0" applyNumberFormat="1" applyFont="1" applyFill="1" applyAlignment="1">
      <alignment horizontal="center"/>
    </xf>
    <xf numFmtId="0" fontId="9" fillId="23" borderId="14" xfId="0" applyFont="1" applyFill="1" applyBorder="1"/>
    <xf numFmtId="0" fontId="9" fillId="24" borderId="14" xfId="0" applyFont="1" applyFill="1" applyBorder="1"/>
    <xf numFmtId="0" fontId="0" fillId="22" borderId="0" xfId="0" applyFill="1"/>
    <xf numFmtId="0" fontId="0" fillId="22" borderId="5" xfId="0" applyFill="1" applyBorder="1"/>
    <xf numFmtId="0" fontId="0" fillId="22" borderId="7" xfId="0" applyFill="1" applyBorder="1"/>
    <xf numFmtId="0" fontId="13" fillId="22" borderId="15" xfId="0" applyFont="1" applyFill="1" applyBorder="1" applyAlignment="1">
      <alignment horizontal="center"/>
    </xf>
    <xf numFmtId="3" fontId="5" fillId="9" borderId="0" xfId="0" applyNumberFormat="1" applyFont="1" applyFill="1"/>
    <xf numFmtId="0" fontId="16" fillId="9" borderId="0" xfId="0" applyFont="1" applyFill="1" applyAlignment="1">
      <alignment horizontal="center"/>
    </xf>
    <xf numFmtId="37" fontId="6" fillId="0" borderId="0" xfId="0" applyNumberFormat="1" applyFont="1"/>
    <xf numFmtId="37" fontId="0" fillId="2" borderId="0" xfId="0" applyNumberFormat="1" applyFill="1"/>
    <xf numFmtId="37" fontId="0" fillId="3" borderId="0" xfId="0" applyNumberFormat="1" applyFill="1"/>
    <xf numFmtId="37" fontId="0" fillId="4" borderId="0" xfId="0" applyNumberFormat="1" applyFill="1"/>
    <xf numFmtId="37" fontId="0" fillId="5" borderId="0" xfId="0" applyNumberFormat="1" applyFill="1"/>
    <xf numFmtId="37" fontId="0" fillId="0" borderId="4" xfId="0" applyNumberFormat="1" applyBorder="1"/>
    <xf numFmtId="37" fontId="2" fillId="6" borderId="0" xfId="0" applyNumberFormat="1" applyFont="1" applyFill="1"/>
    <xf numFmtId="37" fontId="0" fillId="0" borderId="0" xfId="0" applyNumberFormat="1"/>
    <xf numFmtId="37" fontId="0" fillId="7" borderId="0" xfId="0" applyNumberFormat="1" applyFill="1"/>
    <xf numFmtId="37" fontId="0" fillId="8" borderId="0" xfId="0" applyNumberFormat="1" applyFill="1"/>
    <xf numFmtId="37" fontId="0" fillId="9" borderId="0" xfId="0" applyNumberFormat="1" applyFill="1"/>
    <xf numFmtId="37" fontId="2" fillId="4" borderId="0" xfId="0" applyNumberFormat="1" applyFont="1" applyFill="1"/>
    <xf numFmtId="37" fontId="0" fillId="10" borderId="0" xfId="0" applyNumberFormat="1" applyFill="1"/>
    <xf numFmtId="37" fontId="0" fillId="11" borderId="0" xfId="0" applyNumberFormat="1" applyFill="1"/>
    <xf numFmtId="37" fontId="0" fillId="24" borderId="0" xfId="0" applyNumberFormat="1" applyFill="1"/>
    <xf numFmtId="37" fontId="0" fillId="5" borderId="2" xfId="0" applyNumberFormat="1" applyFill="1" applyBorder="1"/>
    <xf numFmtId="37" fontId="0" fillId="19" borderId="0" xfId="0" applyNumberFormat="1" applyFill="1"/>
    <xf numFmtId="37" fontId="0" fillId="12" borderId="0" xfId="0" applyNumberFormat="1" applyFill="1"/>
    <xf numFmtId="37" fontId="5" fillId="25" borderId="0" xfId="0" applyNumberFormat="1" applyFont="1" applyFill="1"/>
    <xf numFmtId="37" fontId="5" fillId="10" borderId="0" xfId="0" applyNumberFormat="1" applyFont="1" applyFill="1"/>
    <xf numFmtId="37" fontId="0" fillId="23" borderId="0" xfId="0" applyNumberForma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7" fontId="6" fillId="0" borderId="2" xfId="0" applyNumberFormat="1" applyFont="1" applyBorder="1" applyAlignment="1">
      <alignment horizontal="center" wrapText="1"/>
    </xf>
    <xf numFmtId="37" fontId="2" fillId="0" borderId="0" xfId="0" applyNumberFormat="1" applyFont="1"/>
    <xf numFmtId="37" fontId="5" fillId="0" borderId="0" xfId="0" applyNumberFormat="1" applyFont="1"/>
    <xf numFmtId="0" fontId="2" fillId="26" borderId="0" xfId="0" applyFont="1" applyFill="1"/>
    <xf numFmtId="37" fontId="2" fillId="26" borderId="0" xfId="0" applyNumberFormat="1" applyFont="1" applyFill="1"/>
    <xf numFmtId="0" fontId="0" fillId="26" borderId="0" xfId="0" applyFill="1"/>
    <xf numFmtId="0" fontId="6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37" fontId="0" fillId="4" borderId="0" xfId="0" applyNumberFormat="1" applyFill="1" applyAlignment="1">
      <alignment horizontal="right"/>
    </xf>
    <xf numFmtId="0" fontId="4" fillId="26" borderId="0" xfId="0" applyFont="1" applyFill="1"/>
    <xf numFmtId="0" fontId="5" fillId="26" borderId="0" xfId="0" applyFont="1" applyFill="1"/>
    <xf numFmtId="3" fontId="0" fillId="26" borderId="0" xfId="0" applyNumberFormat="1" applyFill="1"/>
    <xf numFmtId="3" fontId="0" fillId="26" borderId="0" xfId="0" applyNumberFormat="1" applyFill="1" applyAlignment="1">
      <alignment horizontal="center"/>
    </xf>
    <xf numFmtId="3" fontId="5" fillId="26" borderId="0" xfId="0" applyNumberFormat="1" applyFont="1" applyFill="1"/>
    <xf numFmtId="3" fontId="8" fillId="27" borderId="0" xfId="0" applyNumberFormat="1" applyFont="1" applyFill="1" applyAlignment="1">
      <alignment horizontal="center"/>
    </xf>
    <xf numFmtId="37" fontId="0" fillId="23" borderId="0" xfId="0" applyNumberFormat="1" applyFill="1" applyAlignment="1">
      <alignment horizontal="right"/>
    </xf>
    <xf numFmtId="0" fontId="4" fillId="28" borderId="0" xfId="0" applyFont="1" applyFill="1"/>
    <xf numFmtId="0" fontId="5" fillId="28" borderId="0" xfId="0" applyFont="1" applyFill="1"/>
    <xf numFmtId="3" fontId="0" fillId="28" borderId="0" xfId="0" applyNumberFormat="1" applyFill="1"/>
    <xf numFmtId="3" fontId="0" fillId="28" borderId="0" xfId="0" applyNumberFormat="1" applyFill="1" applyAlignment="1">
      <alignment horizontal="center"/>
    </xf>
    <xf numFmtId="3" fontId="5" fillId="28" borderId="0" xfId="0" applyNumberFormat="1" applyFont="1" applyFill="1"/>
    <xf numFmtId="0" fontId="0" fillId="28" borderId="0" xfId="0" applyFill="1"/>
    <xf numFmtId="37" fontId="0" fillId="29" borderId="0" xfId="0" applyNumberFormat="1" applyFill="1"/>
    <xf numFmtId="37" fontId="0" fillId="0" borderId="2" xfId="0" applyNumberFormat="1" applyBorder="1"/>
    <xf numFmtId="37" fontId="0" fillId="9" borderId="0" xfId="0" applyNumberFormat="1" applyFill="1" applyAlignment="1">
      <alignment horizontal="right"/>
    </xf>
    <xf numFmtId="3" fontId="5" fillId="21" borderId="0" xfId="0" applyNumberFormat="1" applyFont="1" applyFill="1" applyAlignment="1">
      <alignment horizontal="right"/>
    </xf>
    <xf numFmtId="0" fontId="0" fillId="0" borderId="4" xfId="0" applyBorder="1"/>
    <xf numFmtId="37" fontId="0" fillId="0" borderId="0" xfId="0" applyNumberFormat="1" applyAlignment="1">
      <alignment horizontal="right"/>
    </xf>
    <xf numFmtId="164" fontId="0" fillId="2" borderId="0" xfId="1" applyNumberFormat="1" applyFont="1" applyFill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0" borderId="0" xfId="1" applyNumberFormat="1" applyFont="1" applyFill="1"/>
    <xf numFmtId="164" fontId="0" fillId="5" borderId="0" xfId="1" applyNumberFormat="1" applyFont="1" applyFill="1"/>
    <xf numFmtId="164" fontId="0" fillId="0" borderId="0" xfId="1" applyNumberFormat="1" applyFont="1"/>
    <xf numFmtId="164" fontId="2" fillId="6" borderId="0" xfId="1" applyNumberFormat="1" applyFont="1" applyFill="1"/>
    <xf numFmtId="164" fontId="0" fillId="7" borderId="0" xfId="1" applyNumberFormat="1" applyFont="1" applyFill="1"/>
    <xf numFmtId="164" fontId="18" fillId="8" borderId="0" xfId="1" applyNumberFormat="1" applyFont="1" applyFill="1" applyBorder="1"/>
    <xf numFmtId="164" fontId="0" fillId="0" borderId="0" xfId="1" applyNumberFormat="1" applyFont="1" applyFill="1" applyBorder="1"/>
    <xf numFmtId="164" fontId="0" fillId="0" borderId="0" xfId="1" applyNumberFormat="1" applyFont="1" applyBorder="1"/>
    <xf numFmtId="164" fontId="2" fillId="4" borderId="0" xfId="1" applyNumberFormat="1" applyFont="1" applyFill="1"/>
    <xf numFmtId="164" fontId="0" fillId="10" borderId="0" xfId="1" applyNumberFormat="1" applyFont="1" applyFill="1"/>
    <xf numFmtId="164" fontId="0" fillId="11" borderId="0" xfId="1" applyNumberFormat="1" applyFont="1" applyFill="1"/>
    <xf numFmtId="164" fontId="0" fillId="12" borderId="0" xfId="1" applyNumberFormat="1" applyFont="1" applyFill="1" applyBorder="1"/>
    <xf numFmtId="164" fontId="0" fillId="0" borderId="4" xfId="1" applyNumberFormat="1" applyFont="1" applyBorder="1"/>
    <xf numFmtId="164" fontId="5" fillId="25" borderId="0" xfId="1" applyNumberFormat="1" applyFont="1" applyFill="1"/>
    <xf numFmtId="164" fontId="5" fillId="10" borderId="0" xfId="1" applyNumberFormat="1" applyFont="1" applyFill="1"/>
    <xf numFmtId="0" fontId="0" fillId="30" borderId="0" xfId="0" applyFill="1"/>
    <xf numFmtId="164" fontId="18" fillId="9" borderId="0" xfId="1" applyNumberFormat="1" applyFont="1" applyFill="1" applyBorder="1"/>
    <xf numFmtId="0" fontId="2" fillId="31" borderId="0" xfId="0" applyFont="1" applyFill="1"/>
    <xf numFmtId="37" fontId="2" fillId="31" borderId="0" xfId="0" applyNumberFormat="1" applyFont="1" applyFill="1"/>
    <xf numFmtId="37" fontId="0" fillId="7" borderId="0" xfId="0" applyNumberFormat="1" applyFill="1" applyAlignment="1">
      <alignment horizontal="right"/>
    </xf>
    <xf numFmtId="0" fontId="20" fillId="10" borderId="0" xfId="0" applyFont="1" applyFill="1"/>
    <xf numFmtId="0" fontId="20" fillId="19" borderId="0" xfId="0" applyFont="1" applyFill="1"/>
    <xf numFmtId="0" fontId="20" fillId="2" borderId="0" xfId="0" applyFont="1" applyFill="1"/>
    <xf numFmtId="0" fontId="20" fillId="4" borderId="0" xfId="0" applyFont="1" applyFill="1"/>
    <xf numFmtId="0" fontId="20" fillId="11" borderId="0" xfId="0" applyFont="1" applyFill="1"/>
    <xf numFmtId="0" fontId="20" fillId="0" borderId="0" xfId="0" applyFont="1"/>
    <xf numFmtId="0" fontId="2" fillId="0" borderId="2" xfId="0" applyFont="1" applyBorder="1" applyAlignment="1">
      <alignment wrapText="1"/>
    </xf>
    <xf numFmtId="37" fontId="0" fillId="29" borderId="0" xfId="0" applyNumberFormat="1" applyFill="1" applyAlignment="1">
      <alignment horizontal="right"/>
    </xf>
    <xf numFmtId="37" fontId="0" fillId="8" borderId="0" xfId="0" applyNumberFormat="1" applyFill="1" applyAlignment="1">
      <alignment horizontal="right"/>
    </xf>
    <xf numFmtId="0" fontId="0" fillId="0" borderId="2" xfId="0" applyBorder="1"/>
    <xf numFmtId="0" fontId="20" fillId="7" borderId="10" xfId="0" applyFont="1" applyFill="1" applyBorder="1"/>
    <xf numFmtId="0" fontId="21" fillId="7" borderId="0" xfId="0" applyFont="1" applyFill="1"/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7" fontId="2" fillId="0" borderId="4" xfId="0" applyNumberFormat="1" applyFont="1" applyBorder="1"/>
    <xf numFmtId="37" fontId="5" fillId="0" borderId="2" xfId="0" applyNumberFormat="1" applyFont="1" applyBorder="1" applyAlignment="1">
      <alignment horizontal="center" wrapText="1"/>
    </xf>
    <xf numFmtId="0" fontId="0" fillId="6" borderId="0" xfId="0" applyFill="1"/>
    <xf numFmtId="0" fontId="5" fillId="31" borderId="0" xfId="0" applyFont="1" applyFill="1"/>
    <xf numFmtId="37" fontId="5" fillId="31" borderId="0" xfId="0" applyNumberFormat="1" applyFont="1" applyFill="1"/>
    <xf numFmtId="37" fontId="0" fillId="12" borderId="2" xfId="0" applyNumberFormat="1" applyFill="1" applyBorder="1"/>
    <xf numFmtId="37" fontId="5" fillId="13" borderId="0" xfId="0" applyNumberFormat="1" applyFont="1" applyFill="1"/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0" fillId="5" borderId="0" xfId="0" applyFill="1"/>
    <xf numFmtId="0" fontId="22" fillId="13" borderId="9" xfId="0" applyFont="1" applyFill="1" applyBorder="1" applyAlignment="1">
      <alignment horizontal="center" vertical="center" wrapText="1"/>
    </xf>
    <xf numFmtId="3" fontId="24" fillId="0" borderId="0" xfId="0" applyNumberFormat="1" applyFont="1"/>
    <xf numFmtId="3" fontId="24" fillId="26" borderId="0" xfId="0" applyNumberFormat="1" applyFont="1" applyFill="1"/>
    <xf numFmtId="2" fontId="0" fillId="2" borderId="0" xfId="0" applyNumberFormat="1" applyFill="1"/>
    <xf numFmtId="2" fontId="0" fillId="3" borderId="0" xfId="0" applyNumberFormat="1" applyFill="1"/>
    <xf numFmtId="2" fontId="0" fillId="24" borderId="0" xfId="0" applyNumberFormat="1" applyFill="1"/>
    <xf numFmtId="2" fontId="0" fillId="5" borderId="2" xfId="0" applyNumberFormat="1" applyFill="1" applyBorder="1"/>
    <xf numFmtId="2" fontId="2" fillId="6" borderId="0" xfId="0" applyNumberFormat="1" applyFont="1" applyFill="1"/>
    <xf numFmtId="2" fontId="0" fillId="7" borderId="0" xfId="0" applyNumberFormat="1" applyFill="1"/>
    <xf numFmtId="2" fontId="0" fillId="23" borderId="0" xfId="0" applyNumberFormat="1" applyFill="1"/>
    <xf numFmtId="2" fontId="0" fillId="9" borderId="0" xfId="0" applyNumberFormat="1" applyFill="1"/>
    <xf numFmtId="2" fontId="0" fillId="0" borderId="4" xfId="0" applyNumberFormat="1" applyBorder="1"/>
    <xf numFmtId="2" fontId="2" fillId="4" borderId="0" xfId="0" applyNumberFormat="1" applyFont="1" applyFill="1"/>
    <xf numFmtId="2" fontId="0" fillId="0" borderId="0" xfId="0" applyNumberFormat="1"/>
    <xf numFmtId="2" fontId="0" fillId="10" borderId="0" xfId="0" applyNumberFormat="1" applyFill="1"/>
    <xf numFmtId="2" fontId="0" fillId="11" borderId="0" xfId="0" applyNumberFormat="1" applyFill="1"/>
    <xf numFmtId="2" fontId="0" fillId="12" borderId="0" xfId="0" applyNumberFormat="1" applyFill="1"/>
    <xf numFmtId="2" fontId="5" fillId="25" borderId="0" xfId="0" applyNumberFormat="1" applyFont="1" applyFill="1"/>
    <xf numFmtId="0" fontId="17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0" fillId="7" borderId="0" xfId="0" applyFont="1" applyFill="1"/>
    <xf numFmtId="37" fontId="2" fillId="0" borderId="2" xfId="0" applyNumberFormat="1" applyFont="1" applyBorder="1"/>
    <xf numFmtId="37" fontId="2" fillId="0" borderId="1" xfId="0" applyNumberFormat="1" applyFont="1" applyBorder="1"/>
    <xf numFmtId="2" fontId="2" fillId="0" borderId="0" xfId="0" applyNumberFormat="1" applyFont="1"/>
    <xf numFmtId="2" fontId="2" fillId="0" borderId="2" xfId="0" applyNumberFormat="1" applyFont="1" applyBorder="1"/>
    <xf numFmtId="0" fontId="5" fillId="0" borderId="1" xfId="0" applyFont="1" applyBorder="1" applyAlignment="1">
      <alignment horizontal="center" wrapText="1"/>
    </xf>
    <xf numFmtId="0" fontId="25" fillId="0" borderId="0" xfId="0" applyFont="1"/>
    <xf numFmtId="0" fontId="26" fillId="26" borderId="0" xfId="0" applyFont="1" applyFill="1"/>
    <xf numFmtId="0" fontId="27" fillId="26" borderId="0" xfId="0" applyFont="1" applyFill="1"/>
    <xf numFmtId="3" fontId="20" fillId="26" borderId="0" xfId="0" applyNumberFormat="1" applyFont="1" applyFill="1"/>
    <xf numFmtId="3" fontId="20" fillId="26" borderId="0" xfId="0" applyNumberFormat="1" applyFont="1" applyFill="1" applyAlignment="1">
      <alignment horizontal="center"/>
    </xf>
    <xf numFmtId="3" fontId="28" fillId="26" borderId="0" xfId="0" applyNumberFormat="1" applyFont="1" applyFill="1"/>
    <xf numFmtId="3" fontId="27" fillId="26" borderId="0" xfId="0" applyNumberFormat="1" applyFont="1" applyFill="1"/>
    <xf numFmtId="0" fontId="20" fillId="26" borderId="0" xfId="0" applyFont="1" applyFill="1"/>
    <xf numFmtId="0" fontId="26" fillId="0" borderId="0" xfId="0" applyFont="1"/>
    <xf numFmtId="0" fontId="27" fillId="0" borderId="0" xfId="0" applyFont="1"/>
    <xf numFmtId="3" fontId="20" fillId="0" borderId="0" xfId="0" applyNumberFormat="1" applyFont="1"/>
    <xf numFmtId="3" fontId="20" fillId="0" borderId="0" xfId="0" applyNumberFormat="1" applyFont="1" applyAlignment="1">
      <alignment horizontal="center"/>
    </xf>
    <xf numFmtId="3" fontId="28" fillId="0" borderId="0" xfId="0" applyNumberFormat="1" applyFont="1"/>
    <xf numFmtId="3" fontId="27" fillId="0" borderId="0" xfId="0" applyNumberFormat="1" applyFont="1"/>
    <xf numFmtId="37" fontId="5" fillId="14" borderId="0" xfId="0" applyNumberFormat="1" applyFont="1" applyFill="1"/>
    <xf numFmtId="37" fontId="0" fillId="26" borderId="0" xfId="0" applyNumberFormat="1" applyFill="1"/>
    <xf numFmtId="37" fontId="20" fillId="0" borderId="0" xfId="0" applyNumberFormat="1" applyFont="1"/>
    <xf numFmtId="0" fontId="2" fillId="13" borderId="9" xfId="0" applyFont="1" applyFill="1" applyBorder="1" applyAlignment="1">
      <alignment horizontal="center" wrapText="1"/>
    </xf>
    <xf numFmtId="37" fontId="0" fillId="32" borderId="0" xfId="0" applyNumberFormat="1" applyFill="1"/>
    <xf numFmtId="0" fontId="5" fillId="0" borderId="0" xfId="0" applyFont="1" applyAlignment="1">
      <alignment wrapText="1"/>
    </xf>
    <xf numFmtId="0" fontId="2" fillId="28" borderId="0" xfId="0" applyFont="1" applyFill="1"/>
    <xf numFmtId="37" fontId="2" fillId="28" borderId="0" xfId="0" applyNumberFormat="1" applyFont="1" applyFill="1"/>
    <xf numFmtId="3" fontId="5" fillId="26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37" fontId="23" fillId="26" borderId="0" xfId="0" applyNumberFormat="1" applyFont="1" applyFill="1" applyAlignment="1">
      <alignment horizontal="center"/>
    </xf>
    <xf numFmtId="164" fontId="2" fillId="0" borderId="0" xfId="1" applyNumberFormat="1" applyFont="1" applyFill="1"/>
    <xf numFmtId="164" fontId="2" fillId="0" borderId="0" xfId="1" applyNumberFormat="1" applyFont="1"/>
    <xf numFmtId="164" fontId="2" fillId="0" borderId="4" xfId="1" applyNumberFormat="1" applyFont="1" applyFill="1" applyBorder="1"/>
    <xf numFmtId="2" fontId="0" fillId="0" borderId="2" xfId="0" applyNumberFormat="1" applyBorder="1"/>
    <xf numFmtId="2" fontId="0" fillId="4" borderId="0" xfId="0" applyNumberFormat="1" applyFill="1"/>
    <xf numFmtId="2" fontId="2" fillId="0" borderId="4" xfId="0" applyNumberFormat="1" applyFont="1" applyBorder="1"/>
    <xf numFmtId="3" fontId="24" fillId="28" borderId="0" xfId="0" applyNumberFormat="1" applyFont="1" applyFill="1"/>
    <xf numFmtId="0" fontId="31" fillId="0" borderId="0" xfId="0" applyFont="1"/>
    <xf numFmtId="37" fontId="20" fillId="5" borderId="0" xfId="0" applyNumberFormat="1" applyFont="1" applyFill="1"/>
    <xf numFmtId="0" fontId="20" fillId="3" borderId="0" xfId="0" applyFont="1" applyFill="1"/>
    <xf numFmtId="37" fontId="0" fillId="4" borderId="2" xfId="0" applyNumberFormat="1" applyFill="1" applyBorder="1"/>
    <xf numFmtId="0" fontId="20" fillId="5" borderId="0" xfId="0" applyFont="1" applyFill="1"/>
    <xf numFmtId="0" fontId="20" fillId="5" borderId="2" xfId="0" applyFont="1" applyFill="1" applyBorder="1"/>
    <xf numFmtId="37" fontId="0" fillId="19" borderId="2" xfId="0" applyNumberFormat="1" applyFill="1" applyBorder="1"/>
    <xf numFmtId="37" fontId="0" fillId="0" borderId="1" xfId="0" applyNumberFormat="1" applyBorder="1"/>
    <xf numFmtId="0" fontId="20" fillId="0" borderId="2" xfId="0" applyFont="1" applyBorder="1"/>
    <xf numFmtId="0" fontId="32" fillId="0" borderId="3" xfId="0" applyFont="1" applyBorder="1"/>
    <xf numFmtId="0" fontId="0" fillId="0" borderId="18" xfId="0" applyBorder="1"/>
    <xf numFmtId="0" fontId="25" fillId="0" borderId="0" xfId="0" applyFont="1" applyAlignment="1">
      <alignment horizontal="center"/>
    </xf>
    <xf numFmtId="0" fontId="10" fillId="0" borderId="9" xfId="0" applyFont="1" applyBorder="1"/>
    <xf numFmtId="0" fontId="0" fillId="0" borderId="7" xfId="0" applyBorder="1" applyAlignment="1">
      <alignment horizontal="center"/>
    </xf>
    <xf numFmtId="0" fontId="10" fillId="0" borderId="0" xfId="0" applyFont="1"/>
    <xf numFmtId="0" fontId="10" fillId="0" borderId="2" xfId="0" applyFont="1" applyBorder="1"/>
    <xf numFmtId="0" fontId="25" fillId="0" borderId="7" xfId="0" applyFont="1" applyBorder="1" applyAlignment="1">
      <alignment horizontal="center"/>
    </xf>
    <xf numFmtId="0" fontId="9" fillId="0" borderId="10" xfId="0" applyFont="1" applyBorder="1"/>
    <xf numFmtId="0" fontId="9" fillId="0" borderId="14" xfId="0" applyFont="1" applyBorder="1"/>
    <xf numFmtId="0" fontId="12" fillId="0" borderId="9" xfId="0" applyFont="1" applyBorder="1"/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2" fillId="0" borderId="17" xfId="0" applyFont="1" applyBorder="1"/>
    <xf numFmtId="0" fontId="12" fillId="0" borderId="2" xfId="0" applyFont="1" applyBorder="1"/>
    <xf numFmtId="0" fontId="1" fillId="0" borderId="0" xfId="0" applyFont="1"/>
    <xf numFmtId="0" fontId="22" fillId="0" borderId="0" xfId="0" applyFont="1"/>
    <xf numFmtId="3" fontId="25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164" fontId="2" fillId="0" borderId="0" xfId="1" applyNumberFormat="1" applyFont="1" applyFill="1" applyAlignment="1">
      <alignment horizontal="right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7" fontId="5" fillId="33" borderId="0" xfId="0" applyNumberFormat="1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14" fillId="20" borderId="5" xfId="0" applyFont="1" applyFill="1" applyBorder="1" applyAlignment="1">
      <alignment horizontal="center"/>
    </xf>
    <xf numFmtId="0" fontId="14" fillId="2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30" borderId="0" xfId="0" applyFont="1" applyFill="1"/>
    <xf numFmtId="0" fontId="5" fillId="30" borderId="0" xfId="0" applyFont="1" applyFill="1"/>
    <xf numFmtId="3" fontId="0" fillId="30" borderId="0" xfId="0" applyNumberFormat="1" applyFill="1"/>
    <xf numFmtId="3" fontId="0" fillId="30" borderId="0" xfId="0" applyNumberFormat="1" applyFill="1" applyAlignment="1">
      <alignment horizontal="center"/>
    </xf>
    <xf numFmtId="3" fontId="24" fillId="30" borderId="0" xfId="0" applyNumberFormat="1" applyFont="1" applyFill="1"/>
    <xf numFmtId="3" fontId="5" fillId="30" borderId="0" xfId="0" applyNumberFormat="1" applyFont="1" applyFill="1"/>
  </cellXfs>
  <cellStyles count="10">
    <cellStyle name="Comma" xfId="1" builtinId="3"/>
    <cellStyle name="Followed Hyperlink" xfId="5" builtinId="9" hidden="1"/>
    <cellStyle name="Followed Hyperlink" xfId="3" builtinId="9" hidden="1"/>
    <cellStyle name="Followed Hyperlink" xfId="9" builtinId="9" hidden="1"/>
    <cellStyle name="Followed Hyperlink" xfId="7" builtinId="9" hidden="1"/>
    <cellStyle name="Hyperlink" xfId="4" builtinId="8" hidden="1"/>
    <cellStyle name="Hyperlink" xfId="2" builtinId="8" hidden="1"/>
    <cellStyle name="Hyperlink" xfId="8" builtinId="8" hidden="1"/>
    <cellStyle name="Hyperlink" xfId="6" builtinId="8" hidden="1"/>
    <cellStyle name="Normal" xfId="0" builtinId="0"/>
  </cellStyles>
  <dxfs count="0"/>
  <tableStyles count="0" defaultTableStyle="TableStyleMedium9" defaultPivotStyle="PivotStyleLight16"/>
  <colors>
    <mruColors>
      <color rgb="FFFF9900"/>
      <color rgb="FF339966"/>
      <color rgb="FFCC99FF"/>
      <color rgb="FF808000"/>
      <color rgb="FF33CCCC"/>
      <color rgb="FF800080"/>
      <color rgb="FFBFBFBF"/>
      <color rgb="FFFFCC00"/>
      <color rgb="FF66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ssicarandazzo/Downloads/Louisiana%202014%20C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adia"/>
      <sheetName val="Allen"/>
      <sheetName val="Assumption"/>
      <sheetName val="Bienville"/>
      <sheetName val="Bossier"/>
      <sheetName val="Calcasieu"/>
      <sheetName val="Caldwell"/>
      <sheetName val="Cameron"/>
      <sheetName val="Catahoula"/>
      <sheetName val="Claiborne"/>
      <sheetName val="Concordia"/>
      <sheetName val="DeSoto"/>
      <sheetName val="East Baton Rouge"/>
      <sheetName val="East Carroll"/>
      <sheetName val="East Feliciana"/>
      <sheetName val="Evangeline"/>
      <sheetName val="Franklin"/>
      <sheetName val="Grant"/>
      <sheetName val="Iberia"/>
      <sheetName val="Iberville"/>
      <sheetName val="Jackson"/>
      <sheetName val="Jefferson Davis"/>
      <sheetName val="Jefferson"/>
      <sheetName val="Lafayette"/>
      <sheetName val="Lafourche"/>
      <sheetName val="LaSalle"/>
      <sheetName val="Cross Sectional"/>
      <sheetName val="Lincoln"/>
      <sheetName val="Livingston"/>
      <sheetName val="Madison"/>
      <sheetName val="Morehouse"/>
      <sheetName val="Natchitoches"/>
      <sheetName val="Orleans"/>
      <sheetName val="Ouachita"/>
      <sheetName val="Plaquemines"/>
      <sheetName val="Rapides"/>
      <sheetName val="Red River"/>
      <sheetName val="Richland"/>
      <sheetName val="Sabine"/>
      <sheetName val="St. Bernard"/>
      <sheetName val="St. Charles"/>
      <sheetName val="St. James"/>
      <sheetName val="St. John the Baptist"/>
      <sheetName val="St. Martin"/>
      <sheetName val="St. Tammany"/>
      <sheetName val="Tangipahoa"/>
      <sheetName val="Tensas"/>
      <sheetName val="St. Landry"/>
      <sheetName val="Terrebonne"/>
      <sheetName val="Vermillion"/>
      <sheetName val="Vernon"/>
      <sheetName val="Washington "/>
      <sheetName val="Webster"/>
      <sheetName val="West Baton Rouge"/>
      <sheetName val="West Carroll"/>
      <sheetName val="Win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zoomScale="70" zoomScaleNormal="70" zoomScalePageLayoutView="70" workbookViewId="0">
      <selection activeCell="J46" sqref="J46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6" width="12.42578125" customWidth="1"/>
    <col min="7" max="7" width="24.28515625" customWidth="1"/>
    <col min="8" max="8" width="22" customWidth="1"/>
    <col min="9" max="9" width="17.28515625" customWidth="1"/>
  </cols>
  <sheetData>
    <row r="1" spans="1:10" ht="18.75" customHeight="1">
      <c r="A1" s="1"/>
      <c r="B1" s="1"/>
      <c r="C1" s="1"/>
      <c r="D1" s="272" t="s">
        <v>0</v>
      </c>
      <c r="E1" s="272"/>
      <c r="F1" s="272"/>
      <c r="G1" s="272"/>
      <c r="H1" s="272"/>
    </row>
    <row r="2" spans="1:10" ht="18.600000000000001">
      <c r="A2" s="1"/>
      <c r="B2" s="1"/>
      <c r="C2" s="1"/>
      <c r="D2" s="271" t="s">
        <v>1</v>
      </c>
      <c r="E2" s="271"/>
      <c r="F2" s="271"/>
      <c r="G2" s="271"/>
      <c r="H2" s="271"/>
    </row>
    <row r="4" spans="1:10">
      <c r="H4" s="225" t="s">
        <v>2</v>
      </c>
    </row>
    <row r="5" spans="1:10">
      <c r="H5" s="2" t="s">
        <v>3</v>
      </c>
      <c r="I5" s="265" t="s">
        <v>4</v>
      </c>
      <c r="J5" s="5"/>
    </row>
    <row r="6" spans="1:10">
      <c r="A6" s="3" t="s">
        <v>5</v>
      </c>
      <c r="D6" s="3"/>
      <c r="G6" s="4"/>
      <c r="H6" s="4"/>
    </row>
    <row r="7" spans="1:10">
      <c r="A7" s="3"/>
      <c r="B7" s="5" t="s">
        <v>6</v>
      </c>
      <c r="D7" s="3"/>
      <c r="G7" s="4"/>
      <c r="H7" s="76"/>
      <c r="I7" s="83"/>
    </row>
    <row r="8" spans="1:10">
      <c r="C8" t="s">
        <v>7</v>
      </c>
      <c r="H8" s="77">
        <v>9195544</v>
      </c>
      <c r="I8" s="83">
        <v>79400</v>
      </c>
    </row>
    <row r="9" spans="1:10">
      <c r="C9" t="s">
        <v>8</v>
      </c>
      <c r="H9" s="84">
        <v>7939036</v>
      </c>
      <c r="I9" s="83"/>
    </row>
    <row r="10" spans="1:10">
      <c r="C10" t="s">
        <v>9</v>
      </c>
      <c r="H10" s="78">
        <v>6542496</v>
      </c>
      <c r="I10" s="83"/>
    </row>
    <row r="11" spans="1:10">
      <c r="C11" t="s">
        <v>10</v>
      </c>
      <c r="H11" s="78">
        <v>16996</v>
      </c>
      <c r="I11" s="83"/>
    </row>
    <row r="12" spans="1:10">
      <c r="C12" t="s">
        <v>11</v>
      </c>
      <c r="H12" s="78">
        <v>10094</v>
      </c>
      <c r="I12" s="83"/>
    </row>
    <row r="13" spans="1:10">
      <c r="C13" t="s">
        <v>12</v>
      </c>
      <c r="H13" s="90">
        <v>550460</v>
      </c>
      <c r="I13" s="83"/>
    </row>
    <row r="14" spans="1:10">
      <c r="C14" t="s">
        <v>13</v>
      </c>
      <c r="H14" s="90">
        <v>20177</v>
      </c>
      <c r="I14" s="83"/>
    </row>
    <row r="15" spans="1:10">
      <c r="C15" t="s">
        <v>14</v>
      </c>
      <c r="H15" s="83"/>
      <c r="I15" s="83"/>
    </row>
    <row r="16" spans="1:10">
      <c r="D16" t="s">
        <v>15</v>
      </c>
      <c r="H16" s="80">
        <v>1704568</v>
      </c>
      <c r="I16" s="83"/>
    </row>
    <row r="17" spans="1:9">
      <c r="D17" t="s">
        <v>16</v>
      </c>
      <c r="H17" s="80">
        <v>50254249</v>
      </c>
      <c r="I17" s="83"/>
    </row>
    <row r="18" spans="1:9">
      <c r="H18" s="83"/>
      <c r="I18" s="81"/>
    </row>
    <row r="19" spans="1:9" s="5" customFormat="1">
      <c r="C19" s="6" t="s">
        <v>17</v>
      </c>
      <c r="D19" s="6"/>
      <c r="E19" s="6"/>
      <c r="F19" s="6"/>
      <c r="G19" s="6"/>
      <c r="H19" s="82">
        <f>SUM(H8:H17)</f>
        <v>76233620</v>
      </c>
      <c r="I19" s="82">
        <f>SUM(I8:I17)</f>
        <v>79400</v>
      </c>
    </row>
    <row r="20" spans="1:9">
      <c r="H20" s="83"/>
      <c r="I20" s="83"/>
    </row>
    <row r="21" spans="1:9">
      <c r="A21" s="5" t="s">
        <v>18</v>
      </c>
      <c r="H21" s="83"/>
      <c r="I21" s="83"/>
    </row>
    <row r="22" spans="1:9">
      <c r="C22" t="s">
        <v>19</v>
      </c>
      <c r="H22" s="83">
        <v>9122</v>
      </c>
      <c r="I22" s="83"/>
    </row>
    <row r="23" spans="1:9">
      <c r="C23" t="s">
        <v>20</v>
      </c>
      <c r="H23" s="122">
        <v>656278</v>
      </c>
      <c r="I23" s="122">
        <v>105698</v>
      </c>
    </row>
    <row r="24" spans="1:9" s="5" customFormat="1">
      <c r="D24" s="5" t="s">
        <v>21</v>
      </c>
      <c r="H24" s="100">
        <f>SUM(H22:H23)</f>
        <v>665400</v>
      </c>
      <c r="I24" s="100">
        <f>SUM(I22:I23)</f>
        <v>105698</v>
      </c>
    </row>
    <row r="25" spans="1:9">
      <c r="H25" s="83"/>
      <c r="I25" s="83"/>
    </row>
    <row r="26" spans="1:9">
      <c r="H26" s="83"/>
      <c r="I26" s="83"/>
    </row>
    <row r="27" spans="1:9">
      <c r="A27" s="5" t="s">
        <v>22</v>
      </c>
      <c r="H27" s="83"/>
      <c r="I27" s="83"/>
    </row>
    <row r="28" spans="1:9">
      <c r="C28" t="s">
        <v>23</v>
      </c>
      <c r="H28" s="84">
        <v>1295353</v>
      </c>
      <c r="I28" s="83">
        <v>9083</v>
      </c>
    </row>
    <row r="29" spans="1:9">
      <c r="C29" t="s">
        <v>24</v>
      </c>
      <c r="H29" s="83"/>
      <c r="I29" s="83"/>
    </row>
    <row r="30" spans="1:9">
      <c r="C30" t="s">
        <v>25</v>
      </c>
      <c r="H30" s="84">
        <v>650540</v>
      </c>
      <c r="I30" s="83"/>
    </row>
    <row r="31" spans="1:9">
      <c r="C31" t="s">
        <v>26</v>
      </c>
      <c r="H31" s="79">
        <v>62997</v>
      </c>
      <c r="I31" s="83"/>
    </row>
    <row r="32" spans="1:9">
      <c r="C32" t="s">
        <v>27</v>
      </c>
      <c r="H32" s="84">
        <v>57734</v>
      </c>
      <c r="I32" s="83"/>
    </row>
    <row r="33" spans="1:9">
      <c r="C33" t="s">
        <v>28</v>
      </c>
      <c r="H33" s="83"/>
      <c r="I33" s="83">
        <v>20177</v>
      </c>
    </row>
    <row r="34" spans="1:9">
      <c r="C34" t="s">
        <v>29</v>
      </c>
      <c r="H34" s="83"/>
      <c r="I34" s="83"/>
    </row>
    <row r="35" spans="1:9">
      <c r="D35" t="s">
        <v>30</v>
      </c>
      <c r="H35" s="83"/>
      <c r="I35" s="83"/>
    </row>
    <row r="36" spans="1:9">
      <c r="E36" t="s">
        <v>31</v>
      </c>
      <c r="H36" s="85">
        <v>1587435</v>
      </c>
      <c r="I36" s="83"/>
    </row>
    <row r="37" spans="1:9">
      <c r="E37" t="s">
        <v>32</v>
      </c>
      <c r="H37" s="86">
        <v>176145</v>
      </c>
      <c r="I37" s="83"/>
    </row>
    <row r="38" spans="1:9" ht="17.25" customHeight="1">
      <c r="D38" t="s">
        <v>33</v>
      </c>
      <c r="H38" s="83"/>
      <c r="I38" s="83"/>
    </row>
    <row r="39" spans="1:9">
      <c r="E39" t="s">
        <v>31</v>
      </c>
      <c r="H39" s="78">
        <v>9865913</v>
      </c>
      <c r="I39" s="83"/>
    </row>
    <row r="40" spans="1:9">
      <c r="E40" t="s">
        <v>32</v>
      </c>
      <c r="H40" s="86">
        <v>158899</v>
      </c>
      <c r="I40" s="83"/>
    </row>
    <row r="41" spans="1:9">
      <c r="E41" t="s">
        <v>34</v>
      </c>
      <c r="H41" s="79">
        <v>411100</v>
      </c>
      <c r="I41" s="83">
        <v>23082</v>
      </c>
    </row>
    <row r="42" spans="1:9">
      <c r="E42" t="s">
        <v>35</v>
      </c>
      <c r="H42" s="79">
        <v>5054233</v>
      </c>
      <c r="I42" s="83"/>
    </row>
    <row r="43" spans="1:9">
      <c r="H43" s="81"/>
      <c r="I43" s="81"/>
    </row>
    <row r="44" spans="1:9">
      <c r="D44" s="7" t="s">
        <v>36</v>
      </c>
      <c r="E44" s="8"/>
      <c r="F44" s="8"/>
      <c r="G44" s="8"/>
      <c r="H44" s="87">
        <f>SUM(H28:H42)</f>
        <v>19320349</v>
      </c>
      <c r="I44" s="87">
        <f>SUM(I28:I42)</f>
        <v>52342</v>
      </c>
    </row>
    <row r="45" spans="1:9">
      <c r="H45" s="83"/>
      <c r="I45" s="83"/>
    </row>
    <row r="46" spans="1:9">
      <c r="A46" s="5" t="s">
        <v>37</v>
      </c>
      <c r="H46" s="83"/>
      <c r="I46" s="83"/>
    </row>
    <row r="47" spans="1:9">
      <c r="C47" t="s">
        <v>20</v>
      </c>
      <c r="H47" s="122">
        <v>178983</v>
      </c>
      <c r="I47" s="122">
        <v>19678</v>
      </c>
    </row>
    <row r="48" spans="1:9" s="5" customFormat="1">
      <c r="D48" s="5" t="s">
        <v>38</v>
      </c>
      <c r="H48" s="100">
        <f>H47</f>
        <v>178983</v>
      </c>
      <c r="I48" s="100">
        <f>I47</f>
        <v>19678</v>
      </c>
    </row>
    <row r="49" spans="1:9">
      <c r="H49" s="83"/>
      <c r="I49" s="83"/>
    </row>
    <row r="50" spans="1:9">
      <c r="A50" s="3" t="s">
        <v>39</v>
      </c>
      <c r="H50" s="83"/>
      <c r="I50" s="83"/>
    </row>
    <row r="51" spans="1:9">
      <c r="B51" t="s">
        <v>40</v>
      </c>
      <c r="H51" s="88">
        <v>40505469</v>
      </c>
      <c r="I51" s="83"/>
    </row>
    <row r="52" spans="1:9">
      <c r="B52" t="s">
        <v>41</v>
      </c>
      <c r="H52" s="83"/>
      <c r="I52" s="83"/>
    </row>
    <row r="53" spans="1:9">
      <c r="C53" t="s">
        <v>42</v>
      </c>
      <c r="H53" s="89">
        <v>1669655</v>
      </c>
      <c r="I53" s="83"/>
    </row>
    <row r="54" spans="1:9">
      <c r="C54" t="s">
        <v>43</v>
      </c>
      <c r="H54" s="89">
        <v>11456448</v>
      </c>
      <c r="I54" s="83"/>
    </row>
    <row r="55" spans="1:9">
      <c r="C55" t="s">
        <v>44</v>
      </c>
      <c r="H55" s="89">
        <v>4276100</v>
      </c>
      <c r="I55" s="83"/>
    </row>
    <row r="56" spans="1:9">
      <c r="B56" t="s">
        <v>45</v>
      </c>
      <c r="H56" s="93">
        <v>-507984</v>
      </c>
      <c r="I56" s="83">
        <v>113078</v>
      </c>
    </row>
    <row r="57" spans="1:9">
      <c r="H57" s="81"/>
      <c r="I57" s="81"/>
    </row>
    <row r="58" spans="1:9" s="3" customFormat="1">
      <c r="C58" s="9" t="s">
        <v>46</v>
      </c>
      <c r="D58" s="9"/>
      <c r="E58" s="9"/>
      <c r="F58" s="9"/>
      <c r="G58" s="9"/>
      <c r="H58" s="94">
        <f>SUM(H51:H56)</f>
        <v>57399688</v>
      </c>
      <c r="I58" s="94">
        <f>SUM(I50:I56)</f>
        <v>113078</v>
      </c>
    </row>
    <row r="59" spans="1:9">
      <c r="H59" s="83"/>
      <c r="I59" s="83"/>
    </row>
    <row r="60" spans="1:9" s="3" customFormat="1">
      <c r="C60" s="10" t="s">
        <v>47</v>
      </c>
      <c r="D60" s="10"/>
      <c r="E60" s="10"/>
      <c r="F60" s="10"/>
      <c r="G60" s="10"/>
      <c r="H60" s="95">
        <f>H58+H47+H44</f>
        <v>76899020</v>
      </c>
      <c r="I60" s="95">
        <f>I58+I47+I44</f>
        <v>185098</v>
      </c>
    </row>
    <row r="61" spans="1:9">
      <c r="H61" s="83"/>
      <c r="I61" s="83"/>
    </row>
  </sheetData>
  <mergeCells count="2">
    <mergeCell ref="D2:H2"/>
    <mergeCell ref="D1:H1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H50"/>
  <sheetViews>
    <sheetView zoomScale="70" zoomScaleNormal="70" zoomScalePageLayoutView="70" workbookViewId="0">
      <selection activeCell="G49" sqref="G49"/>
    </sheetView>
  </sheetViews>
  <sheetFormatPr defaultColWidth="8.85546875" defaultRowHeight="14.45"/>
  <cols>
    <col min="1" max="1" width="16.85546875" customWidth="1"/>
    <col min="2" max="2" width="18.42578125" customWidth="1"/>
    <col min="3" max="3" width="14" customWidth="1"/>
    <col min="7" max="7" width="22.85546875" customWidth="1"/>
  </cols>
  <sheetData>
    <row r="1" spans="1:7" ht="18.600000000000001">
      <c r="A1" s="1"/>
      <c r="B1" s="1"/>
      <c r="C1" s="272" t="s">
        <v>48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49</v>
      </c>
      <c r="G6" s="127">
        <v>4069562</v>
      </c>
    </row>
    <row r="7" spans="1:7">
      <c r="B7" t="s">
        <v>50</v>
      </c>
      <c r="G7" s="128">
        <v>2833111</v>
      </c>
    </row>
    <row r="8" spans="1:7">
      <c r="B8" t="s">
        <v>51</v>
      </c>
      <c r="G8" s="129">
        <v>762395</v>
      </c>
    </row>
    <row r="9" spans="1:7">
      <c r="B9" t="s">
        <v>52</v>
      </c>
      <c r="G9" s="129">
        <v>45179</v>
      </c>
    </row>
    <row r="10" spans="1:7">
      <c r="B10" t="s">
        <v>53</v>
      </c>
      <c r="G10" s="131">
        <v>7432</v>
      </c>
    </row>
    <row r="11" spans="1:7">
      <c r="B11" t="s">
        <v>54</v>
      </c>
      <c r="G11" s="131">
        <v>23777069</v>
      </c>
    </row>
    <row r="12" spans="1:7">
      <c r="G12" s="132"/>
    </row>
    <row r="13" spans="1:7">
      <c r="A13" s="5"/>
      <c r="B13" s="6" t="s">
        <v>17</v>
      </c>
      <c r="C13" s="6"/>
      <c r="D13" s="6"/>
      <c r="E13" s="6"/>
      <c r="F13" s="6"/>
      <c r="G13" s="133">
        <f>SUM(G6:G11)</f>
        <v>31494748</v>
      </c>
    </row>
    <row r="14" spans="1:7">
      <c r="A14" s="5"/>
      <c r="B14" s="5"/>
      <c r="C14" s="5"/>
      <c r="D14" s="5"/>
      <c r="E14" s="5"/>
      <c r="F14" s="5"/>
      <c r="G14" s="227"/>
    </row>
    <row r="15" spans="1:7">
      <c r="A15" s="5" t="s">
        <v>55</v>
      </c>
      <c r="B15" s="5"/>
      <c r="C15" s="5"/>
      <c r="D15" s="5"/>
      <c r="E15" s="5"/>
      <c r="F15" s="5"/>
      <c r="G15" s="227">
        <v>276783</v>
      </c>
    </row>
    <row r="16" spans="1:7">
      <c r="A16" s="5"/>
      <c r="B16" s="5" t="s">
        <v>56</v>
      </c>
      <c r="C16" s="5"/>
      <c r="D16" s="5"/>
      <c r="E16" s="5"/>
      <c r="F16" s="5"/>
      <c r="G16" s="229">
        <f>SUM(G15+G13)</f>
        <v>31771531</v>
      </c>
    </row>
    <row r="17" spans="1:8">
      <c r="G17" s="132"/>
    </row>
    <row r="18" spans="1:8">
      <c r="A18" s="5" t="s">
        <v>22</v>
      </c>
      <c r="G18" s="132"/>
    </row>
    <row r="19" spans="1:8">
      <c r="A19" s="5"/>
      <c r="B19" t="s">
        <v>57</v>
      </c>
      <c r="G19" s="134">
        <v>824559</v>
      </c>
    </row>
    <row r="20" spans="1:8">
      <c r="B20" t="s">
        <v>27</v>
      </c>
      <c r="G20" s="134">
        <v>5628</v>
      </c>
    </row>
    <row r="21" spans="1:8">
      <c r="B21" t="s">
        <v>26</v>
      </c>
      <c r="G21" s="129">
        <v>48703</v>
      </c>
    </row>
    <row r="22" spans="1:8">
      <c r="B22" t="s">
        <v>58</v>
      </c>
      <c r="G22" s="135">
        <v>254000</v>
      </c>
    </row>
    <row r="23" spans="1:8">
      <c r="B23" t="s">
        <v>59</v>
      </c>
      <c r="G23" s="136"/>
    </row>
    <row r="24" spans="1:8">
      <c r="C24" t="s">
        <v>60</v>
      </c>
      <c r="G24" s="146">
        <v>29759</v>
      </c>
      <c r="H24" s="145"/>
    </row>
    <row r="25" spans="1:8">
      <c r="B25" t="s">
        <v>61</v>
      </c>
      <c r="G25" s="137"/>
    </row>
    <row r="26" spans="1:8">
      <c r="C26" t="s">
        <v>62</v>
      </c>
      <c r="G26" s="129">
        <v>1311282</v>
      </c>
      <c r="H26" s="145"/>
    </row>
    <row r="27" spans="1:8">
      <c r="B27" t="s">
        <v>63</v>
      </c>
      <c r="G27" s="128">
        <v>54246</v>
      </c>
      <c r="H27" s="145"/>
    </row>
    <row r="28" spans="1:8">
      <c r="B28" t="s">
        <v>64</v>
      </c>
      <c r="G28" s="128">
        <v>1394000</v>
      </c>
    </row>
    <row r="29" spans="1:8">
      <c r="G29" s="137"/>
    </row>
    <row r="30" spans="1:8">
      <c r="C30" s="7" t="s">
        <v>36</v>
      </c>
      <c r="D30" s="8"/>
      <c r="E30" s="8"/>
      <c r="F30" s="8"/>
      <c r="G30" s="138">
        <f>SUM(G19:G28)</f>
        <v>3922177</v>
      </c>
    </row>
    <row r="31" spans="1:8">
      <c r="G31" s="132"/>
    </row>
    <row r="32" spans="1:8" s="5" customFormat="1">
      <c r="A32" s="5" t="s">
        <v>65</v>
      </c>
      <c r="G32" s="228">
        <v>24855</v>
      </c>
    </row>
    <row r="33" spans="1:7">
      <c r="G33" s="132"/>
    </row>
    <row r="34" spans="1:7">
      <c r="A34" s="3" t="s">
        <v>39</v>
      </c>
      <c r="G34" s="132"/>
    </row>
    <row r="35" spans="1:7">
      <c r="B35" t="s">
        <v>66</v>
      </c>
      <c r="G35" s="139">
        <v>22129069</v>
      </c>
    </row>
    <row r="36" spans="1:7">
      <c r="B36" t="s">
        <v>41</v>
      </c>
      <c r="G36" s="130"/>
    </row>
    <row r="37" spans="1:7">
      <c r="C37" t="s">
        <v>52</v>
      </c>
      <c r="G37" s="140">
        <v>45179</v>
      </c>
    </row>
    <row r="38" spans="1:7">
      <c r="C38" t="s">
        <v>67</v>
      </c>
      <c r="G38" s="140">
        <v>611041</v>
      </c>
    </row>
    <row r="39" spans="1:7">
      <c r="C39" t="s">
        <v>68</v>
      </c>
      <c r="G39" s="140">
        <v>634469</v>
      </c>
    </row>
    <row r="40" spans="1:7">
      <c r="C40" t="s">
        <v>69</v>
      </c>
      <c r="G40" s="140">
        <v>3501405</v>
      </c>
    </row>
    <row r="41" spans="1:7">
      <c r="C41" t="s">
        <v>70</v>
      </c>
      <c r="G41" s="140">
        <v>479982</v>
      </c>
    </row>
    <row r="42" spans="1:7">
      <c r="C42" t="s">
        <v>43</v>
      </c>
      <c r="G42" s="140">
        <v>390551</v>
      </c>
    </row>
    <row r="43" spans="1:7">
      <c r="C43" t="s">
        <v>42</v>
      </c>
      <c r="G43" s="140">
        <v>53723</v>
      </c>
    </row>
    <row r="44" spans="1:7">
      <c r="B44" t="s">
        <v>45</v>
      </c>
      <c r="G44" s="141">
        <v>-20920</v>
      </c>
    </row>
    <row r="45" spans="1:7">
      <c r="G45" s="142"/>
    </row>
    <row r="46" spans="1:7">
      <c r="A46" s="3"/>
      <c r="B46" s="9" t="s">
        <v>46</v>
      </c>
      <c r="C46" s="9"/>
      <c r="D46" s="9"/>
      <c r="E46" s="9"/>
      <c r="F46" s="9"/>
      <c r="G46" s="143">
        <f>SUM(G35:G44)</f>
        <v>27824499</v>
      </c>
    </row>
    <row r="47" spans="1:7">
      <c r="G47" s="132"/>
    </row>
    <row r="48" spans="1:7">
      <c r="A48" s="3"/>
      <c r="B48" s="10" t="s">
        <v>71</v>
      </c>
      <c r="C48" s="10"/>
      <c r="D48" s="10"/>
      <c r="E48" s="10"/>
      <c r="F48" s="10"/>
      <c r="G48" s="144">
        <f>SUM(G30+G46+G32)</f>
        <v>31771531</v>
      </c>
    </row>
    <row r="49" spans="7:7">
      <c r="G49" s="132"/>
    </row>
    <row r="50" spans="7:7">
      <c r="G50" s="132"/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9"/>
  <sheetViews>
    <sheetView topLeftCell="A24" zoomScale="80" zoomScaleNormal="80" zoomScalePageLayoutView="80" workbookViewId="0">
      <selection activeCell="I43" sqref="I43"/>
    </sheetView>
  </sheetViews>
  <sheetFormatPr defaultColWidth="8.85546875" defaultRowHeight="14.45"/>
  <cols>
    <col min="3" max="3" width="12.85546875" customWidth="1"/>
    <col min="9" max="9" width="17" customWidth="1"/>
    <col min="10" max="11" width="16.42578125" customWidth="1"/>
    <col min="12" max="12" width="13.7109375" customWidth="1"/>
    <col min="13" max="13" width="14.140625" customWidth="1"/>
  </cols>
  <sheetData>
    <row r="1" spans="1:13" ht="18.600000000000001">
      <c r="A1" s="1"/>
      <c r="B1" s="1"/>
      <c r="C1" s="1"/>
      <c r="D1" s="272" t="s">
        <v>72</v>
      </c>
      <c r="E1" s="272"/>
      <c r="F1" s="272"/>
      <c r="G1" s="272"/>
      <c r="H1" s="272"/>
      <c r="I1" s="272"/>
      <c r="J1" s="97"/>
      <c r="K1" s="97"/>
    </row>
    <row r="2" spans="1:13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271"/>
      <c r="J2" s="98"/>
      <c r="K2" s="98"/>
    </row>
    <row r="4" spans="1:13">
      <c r="I4" s="273" t="s">
        <v>2</v>
      </c>
      <c r="J4" s="273"/>
      <c r="K4" s="264"/>
      <c r="L4" s="274" t="s">
        <v>4</v>
      </c>
      <c r="M4" s="274"/>
    </row>
    <row r="5" spans="1:13" ht="29.1">
      <c r="I5" s="99" t="s">
        <v>3</v>
      </c>
      <c r="J5" s="99" t="s">
        <v>73</v>
      </c>
      <c r="K5" s="99" t="s">
        <v>74</v>
      </c>
      <c r="L5" s="99" t="s">
        <v>3</v>
      </c>
      <c r="M5" s="99" t="s">
        <v>73</v>
      </c>
    </row>
    <row r="6" spans="1:13">
      <c r="A6" s="3" t="s">
        <v>5</v>
      </c>
      <c r="D6" s="3"/>
      <c r="H6" s="4"/>
      <c r="I6" s="76"/>
      <c r="J6" s="76"/>
      <c r="K6" s="76"/>
      <c r="L6" s="83"/>
      <c r="M6" s="83"/>
    </row>
    <row r="7" spans="1:13">
      <c r="A7" s="3"/>
      <c r="B7" s="5" t="s">
        <v>6</v>
      </c>
      <c r="D7" s="3"/>
      <c r="H7" s="4"/>
      <c r="I7" s="76"/>
      <c r="J7" s="76"/>
      <c r="K7" s="76"/>
      <c r="L7" s="83"/>
      <c r="M7" s="83"/>
    </row>
    <row r="8" spans="1:13">
      <c r="C8" t="s">
        <v>7</v>
      </c>
      <c r="I8" s="77">
        <v>32250738</v>
      </c>
      <c r="J8" s="83">
        <v>3967892</v>
      </c>
      <c r="K8" s="83">
        <f t="shared" ref="K8:K15" si="0">SUM(I8:J8)</f>
        <v>36218630</v>
      </c>
      <c r="L8" s="83">
        <v>32916630</v>
      </c>
      <c r="M8" s="83">
        <v>1196210</v>
      </c>
    </row>
    <row r="9" spans="1:13">
      <c r="C9" t="s">
        <v>8</v>
      </c>
      <c r="I9" s="84">
        <v>135507608</v>
      </c>
      <c r="J9" s="83">
        <v>10561966</v>
      </c>
      <c r="K9" s="83">
        <f t="shared" si="0"/>
        <v>146069574</v>
      </c>
      <c r="L9" s="83">
        <v>5694111</v>
      </c>
      <c r="M9" s="83">
        <v>14060003</v>
      </c>
    </row>
    <row r="10" spans="1:13">
      <c r="C10" t="s">
        <v>75</v>
      </c>
      <c r="I10" s="78">
        <v>35732327</v>
      </c>
      <c r="J10" s="83">
        <v>257762</v>
      </c>
      <c r="K10" s="83">
        <f t="shared" si="0"/>
        <v>35990089</v>
      </c>
      <c r="L10" s="83">
        <v>4072629</v>
      </c>
      <c r="M10" s="83">
        <v>1536049</v>
      </c>
    </row>
    <row r="11" spans="1:13">
      <c r="C11" t="s">
        <v>51</v>
      </c>
      <c r="I11" s="90">
        <v>5417238</v>
      </c>
      <c r="J11" s="83">
        <v>51244</v>
      </c>
      <c r="K11" s="83">
        <f t="shared" si="0"/>
        <v>5468482</v>
      </c>
      <c r="L11" s="83">
        <v>2280280</v>
      </c>
      <c r="M11" s="83"/>
    </row>
    <row r="12" spans="1:13">
      <c r="C12" t="s">
        <v>76</v>
      </c>
      <c r="I12" s="79">
        <v>5</v>
      </c>
      <c r="J12" s="83">
        <v>-5</v>
      </c>
      <c r="K12" s="83">
        <f t="shared" si="0"/>
        <v>0</v>
      </c>
      <c r="L12" s="83"/>
      <c r="M12" s="83"/>
    </row>
    <row r="13" spans="1:13">
      <c r="C13" t="s">
        <v>77</v>
      </c>
      <c r="I13" s="79">
        <v>251833</v>
      </c>
      <c r="J13" s="83">
        <v>250281</v>
      </c>
      <c r="K13" s="83">
        <f t="shared" si="0"/>
        <v>502114</v>
      </c>
      <c r="L13" s="83">
        <v>207600</v>
      </c>
      <c r="M13" s="83">
        <v>146137</v>
      </c>
    </row>
    <row r="14" spans="1:13">
      <c r="C14" t="s">
        <v>52</v>
      </c>
      <c r="I14" s="83"/>
      <c r="J14" s="83">
        <v>25935</v>
      </c>
      <c r="K14" s="83">
        <v>25935</v>
      </c>
      <c r="L14" s="83"/>
      <c r="M14" s="83">
        <v>206469</v>
      </c>
    </row>
    <row r="15" spans="1:13">
      <c r="C15" t="s">
        <v>78</v>
      </c>
      <c r="I15" s="83"/>
      <c r="J15" s="83">
        <v>37019</v>
      </c>
      <c r="K15" s="83">
        <f t="shared" si="0"/>
        <v>37019</v>
      </c>
      <c r="L15" s="83">
        <v>718443</v>
      </c>
      <c r="M15" s="83">
        <v>597235</v>
      </c>
    </row>
    <row r="16" spans="1:13">
      <c r="C16" t="s">
        <v>14</v>
      </c>
      <c r="I16" s="83"/>
      <c r="J16" s="83"/>
      <c r="K16" s="83"/>
      <c r="L16" s="83"/>
      <c r="M16" s="83"/>
    </row>
    <row r="17" spans="1:13">
      <c r="D17" t="s">
        <v>79</v>
      </c>
      <c r="I17" s="80">
        <v>46116046</v>
      </c>
      <c r="J17" s="83">
        <v>1655313</v>
      </c>
      <c r="K17" s="83">
        <f>SUM(I17:J17)</f>
        <v>47771359</v>
      </c>
      <c r="L17" s="83">
        <v>3500494</v>
      </c>
      <c r="M17" s="83">
        <v>110902</v>
      </c>
    </row>
    <row r="18" spans="1:13">
      <c r="D18" t="s">
        <v>16</v>
      </c>
      <c r="I18" s="91">
        <v>181199117</v>
      </c>
      <c r="J18" s="83">
        <v>9634710</v>
      </c>
      <c r="K18" s="83">
        <f>SUM(I18:J18)</f>
        <v>190833827</v>
      </c>
      <c r="L18" s="83">
        <v>12535508</v>
      </c>
      <c r="M18" s="83">
        <v>11104401</v>
      </c>
    </row>
    <row r="19" spans="1:13">
      <c r="I19" s="81"/>
      <c r="J19" s="81"/>
      <c r="K19" s="81"/>
      <c r="L19" s="81"/>
      <c r="M19" s="81"/>
    </row>
    <row r="20" spans="1:13">
      <c r="A20" s="5"/>
      <c r="B20" s="5"/>
      <c r="C20" s="6" t="s">
        <v>17</v>
      </c>
      <c r="D20" s="6"/>
      <c r="E20" s="6"/>
      <c r="F20" s="6"/>
      <c r="G20" s="6"/>
      <c r="H20" s="6"/>
      <c r="I20" s="82">
        <f>SUM(I8:I18)</f>
        <v>436474912</v>
      </c>
      <c r="J20" s="82">
        <f>SUM(J8:J18)</f>
        <v>26442117</v>
      </c>
      <c r="K20" s="82">
        <f>SUM(K8:K18)</f>
        <v>462917029</v>
      </c>
      <c r="L20" s="82">
        <f>SUM(L8:L18)</f>
        <v>61925695</v>
      </c>
      <c r="M20" s="82">
        <f>SUM(M7:M18)</f>
        <v>28957406</v>
      </c>
    </row>
    <row r="21" spans="1:13">
      <c r="I21" s="83"/>
      <c r="J21" s="83"/>
      <c r="K21" s="83"/>
      <c r="L21" s="83"/>
      <c r="M21" s="83"/>
    </row>
    <row r="22" spans="1:13">
      <c r="A22" s="5" t="s">
        <v>80</v>
      </c>
      <c r="I22" s="83"/>
      <c r="J22" s="83"/>
      <c r="K22" s="83"/>
      <c r="L22" s="83"/>
      <c r="M22" s="83"/>
    </row>
    <row r="23" spans="1:13">
      <c r="A23" s="5"/>
      <c r="B23" t="s">
        <v>81</v>
      </c>
      <c r="I23" s="83">
        <v>3835629</v>
      </c>
      <c r="J23" s="83">
        <v>75110</v>
      </c>
      <c r="K23" s="83">
        <f>SUM(I23:J23)</f>
        <v>3910739</v>
      </c>
      <c r="L23" s="83">
        <v>4763789</v>
      </c>
      <c r="M23" s="83">
        <v>27020</v>
      </c>
    </row>
    <row r="24" spans="1:13">
      <c r="B24" t="s">
        <v>82</v>
      </c>
      <c r="I24" s="122">
        <v>6506451</v>
      </c>
      <c r="J24" s="122">
        <v>0</v>
      </c>
      <c r="K24" s="122">
        <v>6506451</v>
      </c>
      <c r="L24" s="122">
        <v>0</v>
      </c>
      <c r="M24" s="122">
        <v>0</v>
      </c>
    </row>
    <row r="25" spans="1:13">
      <c r="I25" s="83"/>
      <c r="J25" s="83"/>
      <c r="K25" s="83"/>
      <c r="L25" s="83"/>
      <c r="M25" s="83"/>
    </row>
    <row r="26" spans="1:13">
      <c r="C26" s="102" t="s">
        <v>83</v>
      </c>
      <c r="D26" s="102"/>
      <c r="E26" s="102"/>
      <c r="F26" s="102"/>
      <c r="G26" s="102"/>
      <c r="H26" s="102"/>
      <c r="I26" s="103">
        <f>SUM(I23:I24)</f>
        <v>10342080</v>
      </c>
      <c r="J26" s="103">
        <f t="shared" ref="J26:M26" si="1">SUM(J23:J24)</f>
        <v>75110</v>
      </c>
      <c r="K26" s="103">
        <f t="shared" si="1"/>
        <v>10417190</v>
      </c>
      <c r="L26" s="103">
        <f t="shared" si="1"/>
        <v>4763789</v>
      </c>
      <c r="M26" s="103">
        <f t="shared" si="1"/>
        <v>27020</v>
      </c>
    </row>
    <row r="27" spans="1:13">
      <c r="C27" s="5"/>
      <c r="D27" s="5"/>
      <c r="E27" s="5"/>
      <c r="F27" s="5"/>
      <c r="G27" s="5"/>
      <c r="H27" s="5"/>
      <c r="I27" s="100"/>
      <c r="J27" s="100"/>
      <c r="K27" s="100"/>
      <c r="L27" s="100"/>
      <c r="M27" s="100"/>
    </row>
    <row r="28" spans="1:13">
      <c r="C28" s="102" t="s">
        <v>84</v>
      </c>
      <c r="D28" s="102"/>
      <c r="E28" s="102"/>
      <c r="F28" s="102"/>
      <c r="G28" s="102"/>
      <c r="H28" s="102"/>
      <c r="I28" s="103">
        <f>I26+I20</f>
        <v>446816992</v>
      </c>
      <c r="J28" s="103">
        <f t="shared" ref="J28:M28" si="2">J26+J20</f>
        <v>26517227</v>
      </c>
      <c r="K28" s="103">
        <f t="shared" si="2"/>
        <v>473334219</v>
      </c>
      <c r="L28" s="103">
        <f t="shared" si="2"/>
        <v>66689484</v>
      </c>
      <c r="M28" s="103">
        <f t="shared" si="2"/>
        <v>28984426</v>
      </c>
    </row>
    <row r="29" spans="1:13">
      <c r="I29" s="83"/>
      <c r="J29" s="83"/>
      <c r="K29" s="83"/>
      <c r="L29" s="83"/>
      <c r="M29" s="83"/>
    </row>
    <row r="30" spans="1:13">
      <c r="A30" s="5" t="s">
        <v>22</v>
      </c>
      <c r="I30" s="83"/>
      <c r="J30" s="83"/>
      <c r="K30" s="83"/>
      <c r="L30" s="83"/>
      <c r="M30" s="83"/>
    </row>
    <row r="31" spans="1:13">
      <c r="C31" t="s">
        <v>85</v>
      </c>
      <c r="I31" s="84">
        <v>3140132</v>
      </c>
      <c r="J31" s="83">
        <v>733139</v>
      </c>
      <c r="K31" s="83">
        <f>SUM(I31:J31)</f>
        <v>3873271</v>
      </c>
      <c r="L31" s="83">
        <v>2037934</v>
      </c>
      <c r="M31" s="83">
        <v>606412</v>
      </c>
    </row>
    <row r="32" spans="1:13">
      <c r="C32" t="s">
        <v>86</v>
      </c>
      <c r="I32" s="84">
        <v>5106697</v>
      </c>
      <c r="J32" s="83"/>
      <c r="K32" s="83">
        <f t="shared" ref="K32:K45" si="3">SUM(I32:J32)</f>
        <v>5106697</v>
      </c>
      <c r="L32" s="83"/>
      <c r="M32" s="83"/>
    </row>
    <row r="33" spans="1:13">
      <c r="C33" t="s">
        <v>87</v>
      </c>
      <c r="I33" s="96">
        <v>472207</v>
      </c>
      <c r="J33" s="83"/>
      <c r="K33" s="83">
        <f t="shared" si="3"/>
        <v>472207</v>
      </c>
      <c r="L33" s="83">
        <v>934476</v>
      </c>
      <c r="M33" s="83"/>
    </row>
    <row r="34" spans="1:13">
      <c r="C34" t="s">
        <v>88</v>
      </c>
      <c r="H34" s="145"/>
      <c r="I34" s="129">
        <v>736585</v>
      </c>
      <c r="J34" s="83">
        <v>31614</v>
      </c>
      <c r="K34" s="83">
        <f t="shared" si="3"/>
        <v>768199</v>
      </c>
      <c r="L34" s="83"/>
      <c r="M34" s="83"/>
    </row>
    <row r="35" spans="1:13">
      <c r="C35" t="s">
        <v>89</v>
      </c>
      <c r="I35" s="83"/>
      <c r="J35" s="83">
        <v>37019</v>
      </c>
      <c r="K35" s="83">
        <f t="shared" si="3"/>
        <v>37019</v>
      </c>
      <c r="L35" s="83"/>
      <c r="M35" s="83">
        <v>45946</v>
      </c>
    </row>
    <row r="36" spans="1:13">
      <c r="C36" t="s">
        <v>90</v>
      </c>
      <c r="I36" s="79">
        <v>4759700</v>
      </c>
      <c r="J36" s="83"/>
      <c r="K36" s="83">
        <f t="shared" si="3"/>
        <v>4759700</v>
      </c>
      <c r="L36" s="83"/>
      <c r="M36" s="83"/>
    </row>
    <row r="37" spans="1:13">
      <c r="C37" t="s">
        <v>26</v>
      </c>
      <c r="I37" s="79">
        <v>414404</v>
      </c>
      <c r="J37" s="83">
        <v>42364</v>
      </c>
      <c r="K37" s="83">
        <f t="shared" si="3"/>
        <v>456768</v>
      </c>
      <c r="L37" s="83"/>
      <c r="M37" s="83"/>
    </row>
    <row r="38" spans="1:13">
      <c r="C38" t="s">
        <v>91</v>
      </c>
      <c r="I38" s="83"/>
      <c r="J38" s="83"/>
      <c r="K38" s="83">
        <f t="shared" si="3"/>
        <v>0</v>
      </c>
      <c r="L38" s="83"/>
      <c r="M38" s="83"/>
    </row>
    <row r="39" spans="1:13">
      <c r="D39" t="s">
        <v>92</v>
      </c>
      <c r="I39" s="85">
        <v>354297</v>
      </c>
      <c r="J39" s="83"/>
      <c r="K39" s="83">
        <f t="shared" si="3"/>
        <v>354297</v>
      </c>
      <c r="L39" s="83"/>
      <c r="M39" s="83"/>
    </row>
    <row r="40" spans="1:13">
      <c r="D40" t="s">
        <v>93</v>
      </c>
      <c r="I40" s="78">
        <v>904237</v>
      </c>
      <c r="J40" s="83"/>
      <c r="K40" s="83">
        <f t="shared" si="3"/>
        <v>904237</v>
      </c>
      <c r="L40" s="83"/>
      <c r="M40" s="83"/>
    </row>
    <row r="41" spans="1:13">
      <c r="C41" t="s">
        <v>94</v>
      </c>
      <c r="I41" s="83"/>
      <c r="J41" s="83"/>
      <c r="K41" s="83">
        <f t="shared" si="3"/>
        <v>0</v>
      </c>
      <c r="L41" s="83"/>
      <c r="M41" s="83"/>
    </row>
    <row r="42" spans="1:13">
      <c r="D42" t="s">
        <v>92</v>
      </c>
      <c r="I42" s="92">
        <v>5546774</v>
      </c>
      <c r="J42" s="83"/>
      <c r="K42" s="83">
        <f t="shared" si="3"/>
        <v>5546774</v>
      </c>
      <c r="L42" s="83">
        <v>601691</v>
      </c>
      <c r="M42" s="83">
        <v>182363</v>
      </c>
    </row>
    <row r="43" spans="1:13">
      <c r="D43" t="s">
        <v>95</v>
      </c>
      <c r="I43" s="77">
        <v>77209825</v>
      </c>
      <c r="J43" s="83"/>
      <c r="K43" s="83">
        <f t="shared" si="3"/>
        <v>77209825</v>
      </c>
      <c r="L43" s="83">
        <v>2680740</v>
      </c>
      <c r="M43" s="83">
        <v>4394107</v>
      </c>
    </row>
    <row r="44" spans="1:13">
      <c r="D44" t="s">
        <v>96</v>
      </c>
      <c r="I44" s="77">
        <v>659115</v>
      </c>
      <c r="J44" s="83"/>
      <c r="K44" s="83">
        <f t="shared" si="3"/>
        <v>659115</v>
      </c>
      <c r="L44" s="83">
        <v>7147074</v>
      </c>
      <c r="M44" s="83"/>
    </row>
    <row r="45" spans="1:13">
      <c r="D45" t="s">
        <v>34</v>
      </c>
      <c r="I45" s="77">
        <v>3360215</v>
      </c>
      <c r="J45" s="83">
        <v>1607</v>
      </c>
      <c r="K45" s="83">
        <f t="shared" si="3"/>
        <v>3361822</v>
      </c>
      <c r="L45" s="83">
        <v>14902076</v>
      </c>
      <c r="M45" s="83">
        <v>578</v>
      </c>
    </row>
    <row r="46" spans="1:13">
      <c r="I46" s="81"/>
      <c r="J46" s="81"/>
      <c r="K46" s="81"/>
      <c r="L46" s="81"/>
      <c r="M46" s="81"/>
    </row>
    <row r="47" spans="1:13">
      <c r="A47" s="5"/>
      <c r="B47" s="5"/>
      <c r="C47" s="5"/>
      <c r="D47" s="7" t="s">
        <v>36</v>
      </c>
      <c r="E47" s="7"/>
      <c r="F47" s="7"/>
      <c r="G47" s="7"/>
      <c r="H47" s="7"/>
      <c r="I47" s="87">
        <f>SUM(I31:I45)</f>
        <v>102664188</v>
      </c>
      <c r="J47" s="87">
        <f t="shared" ref="J47:M47" si="4">SUM(J31:J45)</f>
        <v>845743</v>
      </c>
      <c r="K47" s="87">
        <f t="shared" si="4"/>
        <v>103509931</v>
      </c>
      <c r="L47" s="87">
        <f t="shared" si="4"/>
        <v>28303991</v>
      </c>
      <c r="M47" s="87">
        <f t="shared" si="4"/>
        <v>5229406</v>
      </c>
    </row>
    <row r="48" spans="1:13">
      <c r="A48" s="5"/>
      <c r="B48" s="5"/>
      <c r="C48" s="5"/>
      <c r="D48" s="5"/>
      <c r="E48" s="5"/>
      <c r="F48" s="5"/>
      <c r="G48" s="5"/>
      <c r="H48" s="5"/>
      <c r="I48" s="100"/>
      <c r="J48" s="100"/>
      <c r="K48" s="100"/>
      <c r="L48" s="100"/>
      <c r="M48" s="100"/>
    </row>
    <row r="49" spans="1:13">
      <c r="A49" s="5" t="s">
        <v>97</v>
      </c>
      <c r="B49" s="5"/>
      <c r="C49" s="5"/>
      <c r="D49" s="5"/>
      <c r="E49" s="5"/>
      <c r="F49" s="5"/>
      <c r="G49" s="5"/>
      <c r="H49" s="5"/>
      <c r="I49" s="100"/>
      <c r="J49" s="100"/>
      <c r="K49" s="100"/>
      <c r="L49" s="100"/>
      <c r="M49" s="100"/>
    </row>
    <row r="50" spans="1:13">
      <c r="A50" s="5"/>
      <c r="B50" t="s">
        <v>81</v>
      </c>
      <c r="C50" s="5"/>
      <c r="D50" s="5"/>
      <c r="E50" s="5"/>
      <c r="F50" s="5"/>
      <c r="G50" s="5"/>
      <c r="H50" s="5"/>
      <c r="I50" s="122">
        <v>864558</v>
      </c>
      <c r="J50" s="122">
        <v>15572</v>
      </c>
      <c r="K50" s="122">
        <f>SUM(I50:J50)</f>
        <v>880130</v>
      </c>
      <c r="L50" s="122">
        <v>7535323</v>
      </c>
      <c r="M50" s="122">
        <v>5602</v>
      </c>
    </row>
    <row r="51" spans="1:13">
      <c r="A51" s="5"/>
      <c r="C51" s="5"/>
      <c r="D51" s="5"/>
      <c r="E51" s="5"/>
      <c r="F51" s="5"/>
      <c r="G51" s="5"/>
      <c r="H51" s="5"/>
      <c r="I51" s="83"/>
      <c r="J51" s="83"/>
      <c r="K51" s="83"/>
      <c r="L51" s="83"/>
      <c r="M51" s="83"/>
    </row>
    <row r="52" spans="1:13">
      <c r="A52" s="5"/>
      <c r="B52" s="5"/>
      <c r="C52" s="5"/>
      <c r="D52" s="102" t="s">
        <v>98</v>
      </c>
      <c r="E52" s="102"/>
      <c r="F52" s="102"/>
      <c r="G52" s="102"/>
      <c r="H52" s="104"/>
      <c r="I52" s="103">
        <f>SUM(I50:I50)</f>
        <v>864558</v>
      </c>
      <c r="J52" s="103">
        <f>SUM(J50:J50)</f>
        <v>15572</v>
      </c>
      <c r="K52" s="103">
        <f>SUM(K50:K50)</f>
        <v>880130</v>
      </c>
      <c r="L52" s="103">
        <f t="shared" ref="L52:M52" si="5">SUM(L50:L50)</f>
        <v>7535323</v>
      </c>
      <c r="M52" s="103">
        <f t="shared" si="5"/>
        <v>5602</v>
      </c>
    </row>
    <row r="53" spans="1:13">
      <c r="I53" s="83"/>
      <c r="J53" s="83"/>
      <c r="K53" s="83"/>
      <c r="L53" s="83"/>
      <c r="M53" s="83"/>
    </row>
    <row r="54" spans="1:13">
      <c r="A54" s="3" t="s">
        <v>99</v>
      </c>
      <c r="I54" s="83"/>
      <c r="J54" s="83"/>
      <c r="K54" s="83"/>
      <c r="L54" s="83"/>
      <c r="M54" s="83"/>
    </row>
    <row r="55" spans="1:13">
      <c r="B55" t="s">
        <v>40</v>
      </c>
      <c r="I55" s="88">
        <v>129059066</v>
      </c>
      <c r="J55" s="83">
        <v>11290023</v>
      </c>
      <c r="K55" s="83">
        <f>SUM(I55:J55)</f>
        <v>140349089</v>
      </c>
      <c r="L55" s="83">
        <v>15240788</v>
      </c>
      <c r="M55" s="83">
        <v>6638833</v>
      </c>
    </row>
    <row r="56" spans="1:13">
      <c r="B56" t="s">
        <v>41</v>
      </c>
      <c r="I56" s="83"/>
      <c r="J56" s="83"/>
      <c r="K56" s="83"/>
      <c r="L56" s="83"/>
      <c r="M56" s="83"/>
    </row>
    <row r="57" spans="1:13">
      <c r="C57" t="s">
        <v>100</v>
      </c>
      <c r="I57" s="89">
        <v>39274391</v>
      </c>
      <c r="J57" s="83"/>
      <c r="K57" s="83">
        <f t="shared" ref="K57:K64" si="6">SUM(I57:J57)</f>
        <v>39274391</v>
      </c>
      <c r="L57" s="83"/>
      <c r="M57" s="83"/>
    </row>
    <row r="58" spans="1:13">
      <c r="C58" t="s">
        <v>69</v>
      </c>
      <c r="I58" s="89">
        <v>42672416</v>
      </c>
      <c r="J58" s="83"/>
      <c r="K58" s="83">
        <f t="shared" si="6"/>
        <v>42672416</v>
      </c>
      <c r="L58" s="83"/>
      <c r="M58" s="83"/>
    </row>
    <row r="59" spans="1:13">
      <c r="C59" t="s">
        <v>101</v>
      </c>
      <c r="I59" s="89">
        <v>25429449</v>
      </c>
      <c r="J59" s="83"/>
      <c r="K59" s="83">
        <f t="shared" si="6"/>
        <v>25429449</v>
      </c>
      <c r="L59" s="83"/>
      <c r="M59" s="83"/>
    </row>
    <row r="60" spans="1:13">
      <c r="C60" t="s">
        <v>102</v>
      </c>
      <c r="I60" s="89">
        <v>10773016</v>
      </c>
      <c r="J60" s="83"/>
      <c r="K60" s="83">
        <f t="shared" si="6"/>
        <v>10773016</v>
      </c>
      <c r="L60" s="83"/>
      <c r="M60" s="83"/>
    </row>
    <row r="61" spans="1:13">
      <c r="C61" t="s">
        <v>103</v>
      </c>
      <c r="I61" s="89">
        <v>10732783</v>
      </c>
      <c r="J61" s="83"/>
      <c r="K61" s="83">
        <f t="shared" si="6"/>
        <v>10732783</v>
      </c>
      <c r="L61" s="83"/>
      <c r="M61" s="83"/>
    </row>
    <row r="62" spans="1:13">
      <c r="C62" t="s">
        <v>42</v>
      </c>
      <c r="I62" s="89">
        <v>2891744</v>
      </c>
      <c r="J62" s="83"/>
      <c r="K62" s="83">
        <f t="shared" si="6"/>
        <v>2891744</v>
      </c>
      <c r="L62" s="83"/>
      <c r="M62" s="83">
        <v>551289</v>
      </c>
    </row>
    <row r="63" spans="1:13">
      <c r="C63" t="s">
        <v>104</v>
      </c>
      <c r="I63" s="89">
        <v>922119</v>
      </c>
      <c r="J63" s="83"/>
      <c r="K63" s="83">
        <f t="shared" si="6"/>
        <v>922119</v>
      </c>
      <c r="L63" s="83">
        <v>3080526</v>
      </c>
      <c r="M63" s="83"/>
    </row>
    <row r="64" spans="1:13">
      <c r="B64" t="s">
        <v>45</v>
      </c>
      <c r="I64" s="93">
        <v>81533262</v>
      </c>
      <c r="J64" s="83">
        <v>14365889</v>
      </c>
      <c r="K64" s="83">
        <f t="shared" si="6"/>
        <v>95899151</v>
      </c>
      <c r="L64" s="83">
        <v>12528604</v>
      </c>
      <c r="M64" s="83">
        <v>16559296</v>
      </c>
    </row>
    <row r="65" spans="1:13">
      <c r="I65" s="81"/>
      <c r="J65" s="81"/>
      <c r="K65" s="81"/>
      <c r="L65" s="81"/>
      <c r="M65" s="81"/>
    </row>
    <row r="66" spans="1:13">
      <c r="A66" s="3"/>
      <c r="B66" s="3"/>
      <c r="C66" s="9" t="s">
        <v>105</v>
      </c>
      <c r="D66" s="9"/>
      <c r="E66" s="9"/>
      <c r="F66" s="9"/>
      <c r="G66" s="9"/>
      <c r="H66" s="9"/>
      <c r="I66" s="94">
        <f>SUM(I55:I64)</f>
        <v>343288246</v>
      </c>
      <c r="J66" s="94">
        <f>SUM(J55:J64)</f>
        <v>25655912</v>
      </c>
      <c r="K66" s="94">
        <f>SUM(K55:K64)</f>
        <v>368944158</v>
      </c>
      <c r="L66" s="94">
        <f>SUM(L55:L64)</f>
        <v>30849918</v>
      </c>
      <c r="M66" s="94">
        <f>SUM(M55:M64)</f>
        <v>23749418</v>
      </c>
    </row>
    <row r="67" spans="1:13">
      <c r="I67" s="83"/>
      <c r="J67" s="83"/>
      <c r="K67" s="83"/>
      <c r="L67" s="83"/>
      <c r="M67" s="83"/>
    </row>
    <row r="68" spans="1:13">
      <c r="A68" s="3"/>
      <c r="B68" s="3"/>
      <c r="C68" s="10" t="s">
        <v>106</v>
      </c>
      <c r="D68" s="10"/>
      <c r="E68" s="10"/>
      <c r="F68" s="10"/>
      <c r="G68" s="10"/>
      <c r="H68" s="10"/>
      <c r="I68" s="95">
        <f>SUM(I47+I66+I52)</f>
        <v>446816992</v>
      </c>
      <c r="J68" s="95">
        <f>SUM(J47+J66+J52)</f>
        <v>26517227</v>
      </c>
      <c r="K68" s="95">
        <f t="shared" ref="K68:L68" si="7">SUM(K47+K66+K52)</f>
        <v>473334219</v>
      </c>
      <c r="L68" s="95">
        <f t="shared" si="7"/>
        <v>66689232</v>
      </c>
      <c r="M68" s="95">
        <f>SUM(M47+M66+M52)</f>
        <v>28984426</v>
      </c>
    </row>
    <row r="69" spans="1:13">
      <c r="I69" s="83"/>
      <c r="J69" s="83"/>
      <c r="K69" s="83"/>
      <c r="L69" s="83"/>
      <c r="M69" s="83"/>
    </row>
  </sheetData>
  <mergeCells count="4">
    <mergeCell ref="D1:I1"/>
    <mergeCell ref="D2:I2"/>
    <mergeCell ref="I4:J4"/>
    <mergeCell ref="L4:M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zoomScale="80" zoomScaleNormal="80" zoomScalePageLayoutView="80" workbookViewId="0">
      <selection activeCell="K45" sqref="K45"/>
    </sheetView>
  </sheetViews>
  <sheetFormatPr defaultColWidth="8.85546875" defaultRowHeight="14.45"/>
  <cols>
    <col min="1" max="1" width="3.28515625" customWidth="1"/>
    <col min="2" max="2" width="5.28515625" customWidth="1"/>
    <col min="3" max="3" width="2.140625" customWidth="1"/>
    <col min="4" max="4" width="11.140625" customWidth="1"/>
    <col min="5" max="5" width="8.7109375" customWidth="1"/>
    <col min="6" max="6" width="12.42578125" customWidth="1"/>
    <col min="7" max="7" width="23.42578125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72" t="s">
        <v>107</v>
      </c>
      <c r="E1" s="272"/>
      <c r="F1" s="272"/>
      <c r="G1" s="272"/>
      <c r="H1" s="272"/>
    </row>
    <row r="2" spans="1:10" ht="18.600000000000001">
      <c r="A2" s="1"/>
      <c r="B2" s="1"/>
      <c r="C2" s="1"/>
      <c r="D2" s="271" t="s">
        <v>1</v>
      </c>
      <c r="E2" s="271"/>
      <c r="F2" s="271"/>
      <c r="G2" s="271"/>
      <c r="H2" s="271"/>
    </row>
    <row r="4" spans="1:10" ht="29.1">
      <c r="H4" s="2" t="s">
        <v>2</v>
      </c>
      <c r="I4" s="156" t="s">
        <v>108</v>
      </c>
      <c r="J4" s="5"/>
    </row>
    <row r="5" spans="1:10">
      <c r="A5" s="3" t="s">
        <v>5</v>
      </c>
      <c r="D5" s="3"/>
      <c r="G5" s="4"/>
      <c r="H5" s="4"/>
    </row>
    <row r="6" spans="1:10">
      <c r="A6" s="3"/>
      <c r="B6" s="5" t="s">
        <v>6</v>
      </c>
      <c r="D6" s="3"/>
      <c r="G6" s="4"/>
      <c r="H6" s="76"/>
      <c r="I6" s="83"/>
    </row>
    <row r="7" spans="1:10">
      <c r="C7" t="s">
        <v>7</v>
      </c>
      <c r="H7" s="77">
        <v>5055668</v>
      </c>
      <c r="I7" s="83">
        <v>2111958</v>
      </c>
    </row>
    <row r="8" spans="1:10">
      <c r="C8" t="s">
        <v>8</v>
      </c>
      <c r="H8" s="84">
        <v>14723668</v>
      </c>
      <c r="I8" s="83">
        <v>4748511</v>
      </c>
    </row>
    <row r="9" spans="1:10">
      <c r="C9" t="s">
        <v>50</v>
      </c>
      <c r="H9" s="78">
        <v>5990950</v>
      </c>
      <c r="I9" s="83">
        <v>1476612</v>
      </c>
    </row>
    <row r="10" spans="1:10">
      <c r="C10" t="s">
        <v>109</v>
      </c>
      <c r="H10" s="79">
        <v>139035</v>
      </c>
      <c r="I10" s="83">
        <v>252635</v>
      </c>
    </row>
    <row r="11" spans="1:10">
      <c r="C11" t="s">
        <v>110</v>
      </c>
      <c r="H11" s="83"/>
      <c r="I11" s="83">
        <v>3417634</v>
      </c>
    </row>
    <row r="12" spans="1:10">
      <c r="C12" t="s">
        <v>40</v>
      </c>
      <c r="H12" s="84">
        <v>44674146</v>
      </c>
      <c r="I12" s="83">
        <v>16188968</v>
      </c>
    </row>
    <row r="13" spans="1:10">
      <c r="H13" s="83"/>
      <c r="I13" s="81"/>
    </row>
    <row r="14" spans="1:10" s="5" customFormat="1">
      <c r="C14" s="6" t="s">
        <v>17</v>
      </c>
      <c r="D14" s="6"/>
      <c r="E14" s="6"/>
      <c r="F14" s="6"/>
      <c r="G14" s="6"/>
      <c r="H14" s="82">
        <f>SUM(H7:H12)</f>
        <v>70583467</v>
      </c>
      <c r="I14" s="82">
        <f>SUM(I7:I12)</f>
        <v>28196318</v>
      </c>
    </row>
    <row r="15" spans="1:10" s="5" customFormat="1">
      <c r="H15" s="100"/>
      <c r="I15" s="100"/>
    </row>
    <row r="16" spans="1:10" s="5" customFormat="1">
      <c r="A16" s="5" t="s">
        <v>18</v>
      </c>
      <c r="H16" s="100"/>
      <c r="I16" s="100"/>
    </row>
    <row r="17" spans="1:9">
      <c r="B17" t="s">
        <v>20</v>
      </c>
      <c r="H17" s="83">
        <v>546760</v>
      </c>
      <c r="I17" s="83">
        <v>473091</v>
      </c>
    </row>
    <row r="18" spans="1:9" s="5" customFormat="1">
      <c r="C18" s="5" t="s">
        <v>111</v>
      </c>
      <c r="H18" s="166">
        <f>H17</f>
        <v>546760</v>
      </c>
      <c r="I18" s="166">
        <f>I17</f>
        <v>473091</v>
      </c>
    </row>
    <row r="19" spans="1:9">
      <c r="H19" s="83"/>
      <c r="I19" s="83"/>
    </row>
    <row r="20" spans="1:9">
      <c r="A20" s="5" t="s">
        <v>112</v>
      </c>
      <c r="H20" s="83"/>
      <c r="I20" s="83"/>
    </row>
    <row r="21" spans="1:9">
      <c r="A21" s="5"/>
      <c r="B21" s="5" t="s">
        <v>113</v>
      </c>
      <c r="H21" s="83"/>
      <c r="I21" s="83"/>
    </row>
    <row r="22" spans="1:9">
      <c r="C22" t="s">
        <v>23</v>
      </c>
      <c r="H22" s="84">
        <v>1677434</v>
      </c>
      <c r="I22" s="83">
        <v>87422</v>
      </c>
    </row>
    <row r="23" spans="1:9">
      <c r="C23" t="s">
        <v>114</v>
      </c>
      <c r="H23" s="84">
        <v>44380</v>
      </c>
      <c r="I23" s="83">
        <v>16770</v>
      </c>
    </row>
    <row r="24" spans="1:9">
      <c r="C24" t="s">
        <v>115</v>
      </c>
      <c r="H24" s="79">
        <v>165805</v>
      </c>
      <c r="I24" s="83">
        <v>29149</v>
      </c>
    </row>
    <row r="25" spans="1:9">
      <c r="C25" t="s">
        <v>116</v>
      </c>
      <c r="H25" s="84">
        <v>1072694</v>
      </c>
      <c r="I25" s="83">
        <v>1854099</v>
      </c>
    </row>
    <row r="26" spans="1:9">
      <c r="C26" t="s">
        <v>117</v>
      </c>
      <c r="H26" s="79">
        <v>707891</v>
      </c>
      <c r="I26" s="83">
        <v>336749</v>
      </c>
    </row>
    <row r="27" spans="1:9">
      <c r="C27" t="s">
        <v>29</v>
      </c>
      <c r="H27" s="83"/>
      <c r="I27" s="83"/>
    </row>
    <row r="28" spans="1:9">
      <c r="D28" t="s">
        <v>92</v>
      </c>
      <c r="H28" s="83"/>
      <c r="I28" s="83">
        <v>530000</v>
      </c>
    </row>
    <row r="29" spans="1:9">
      <c r="D29" t="s">
        <v>93</v>
      </c>
      <c r="H29" s="83"/>
      <c r="I29" s="83">
        <v>4270000</v>
      </c>
    </row>
    <row r="30" spans="1:9">
      <c r="D30" t="s">
        <v>34</v>
      </c>
      <c r="H30" s="79">
        <v>137545</v>
      </c>
      <c r="I30" s="83">
        <v>993483</v>
      </c>
    </row>
    <row r="31" spans="1:9">
      <c r="H31" s="81"/>
      <c r="I31" s="81"/>
    </row>
    <row r="32" spans="1:9">
      <c r="D32" s="7" t="s">
        <v>36</v>
      </c>
      <c r="E32" s="8"/>
      <c r="F32" s="8"/>
      <c r="G32" s="8"/>
      <c r="H32" s="87">
        <f>SUM(H22:H30)</f>
        <v>3805749</v>
      </c>
      <c r="I32" s="87">
        <f t="shared" ref="I32" si="0">SUM(I22:I30)</f>
        <v>8117672</v>
      </c>
    </row>
    <row r="33" spans="1:9">
      <c r="H33" s="83"/>
      <c r="I33" s="83"/>
    </row>
    <row r="34" spans="1:9" s="5" customFormat="1">
      <c r="A34" s="5" t="s">
        <v>37</v>
      </c>
      <c r="H34" s="100"/>
      <c r="I34" s="100"/>
    </row>
    <row r="35" spans="1:9">
      <c r="B35" t="s">
        <v>20</v>
      </c>
      <c r="H35" s="83">
        <v>70848</v>
      </c>
      <c r="I35" s="83">
        <v>315637</v>
      </c>
    </row>
    <row r="36" spans="1:9" s="5" customFormat="1">
      <c r="D36" s="5" t="s">
        <v>118</v>
      </c>
      <c r="H36" s="166">
        <f>H35</f>
        <v>70848</v>
      </c>
      <c r="I36" s="166">
        <f>I35</f>
        <v>315637</v>
      </c>
    </row>
    <row r="37" spans="1:9">
      <c r="H37" s="83"/>
      <c r="I37" s="83"/>
    </row>
    <row r="38" spans="1:9">
      <c r="A38" s="3" t="s">
        <v>39</v>
      </c>
      <c r="H38" s="83"/>
      <c r="I38" s="83"/>
    </row>
    <row r="39" spans="1:9">
      <c r="B39" t="s">
        <v>119</v>
      </c>
      <c r="H39" s="88">
        <v>44674146</v>
      </c>
      <c r="I39" s="83">
        <v>11388968</v>
      </c>
    </row>
    <row r="40" spans="1:9">
      <c r="B40" t="s">
        <v>120</v>
      </c>
      <c r="H40" s="20"/>
      <c r="I40" s="83">
        <v>3417553</v>
      </c>
    </row>
    <row r="41" spans="1:9">
      <c r="B41" t="s">
        <v>45</v>
      </c>
      <c r="H41" s="93">
        <v>22579484</v>
      </c>
      <c r="I41" s="83">
        <v>5429579</v>
      </c>
    </row>
    <row r="42" spans="1:9">
      <c r="H42" s="81"/>
      <c r="I42" s="81"/>
    </row>
    <row r="43" spans="1:9" s="3" customFormat="1">
      <c r="C43" s="9" t="s">
        <v>46</v>
      </c>
      <c r="D43" s="9"/>
      <c r="E43" s="9"/>
      <c r="F43" s="9"/>
      <c r="G43" s="9"/>
      <c r="H43" s="94">
        <f>SUM(H39:H41)</f>
        <v>67253630</v>
      </c>
      <c r="I43" s="94">
        <f>SUM(I38:I41)</f>
        <v>20236100</v>
      </c>
    </row>
    <row r="44" spans="1:9">
      <c r="H44" s="83"/>
      <c r="I44" s="83"/>
    </row>
    <row r="45" spans="1:9">
      <c r="C45" s="10" t="s">
        <v>47</v>
      </c>
      <c r="D45" s="10"/>
      <c r="E45" s="10"/>
      <c r="F45" s="10"/>
      <c r="G45" s="10"/>
      <c r="H45" s="95">
        <f>SUM(H32+H43+H36)</f>
        <v>71130227</v>
      </c>
      <c r="I45" s="95">
        <f>SUM(I32+I43+I36)</f>
        <v>28669409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zoomScale="80" zoomScaleNormal="80" zoomScalePageLayoutView="80" workbookViewId="0">
      <selection activeCell="H7" sqref="H7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" customWidth="1"/>
    <col min="8" max="8" width="17.140625" customWidth="1"/>
  </cols>
  <sheetData>
    <row r="1" spans="1:9" ht="18.75" customHeight="1">
      <c r="A1" s="1"/>
      <c r="B1" s="1"/>
      <c r="C1" s="1"/>
      <c r="D1" s="272" t="s">
        <v>121</v>
      </c>
      <c r="E1" s="272"/>
      <c r="F1" s="272"/>
      <c r="G1" s="272"/>
      <c r="H1" s="272"/>
    </row>
    <row r="2" spans="1:9" ht="15.75" customHeight="1">
      <c r="A2" s="1"/>
      <c r="B2" s="1"/>
      <c r="C2" s="1"/>
      <c r="D2" s="271" t="s">
        <v>1</v>
      </c>
      <c r="E2" s="271"/>
      <c r="F2" s="271"/>
      <c r="G2" s="271"/>
      <c r="H2" s="271"/>
    </row>
    <row r="4" spans="1:9" ht="31.5" customHeight="1">
      <c r="H4" s="105" t="s">
        <v>2</v>
      </c>
      <c r="I4" s="5"/>
    </row>
    <row r="5" spans="1:9">
      <c r="A5" s="3" t="s">
        <v>5</v>
      </c>
      <c r="D5" s="3"/>
      <c r="G5" s="4"/>
      <c r="H5" s="4"/>
    </row>
    <row r="6" spans="1:9">
      <c r="A6" s="3"/>
      <c r="B6" s="5" t="s">
        <v>6</v>
      </c>
      <c r="D6" s="3"/>
      <c r="G6" s="4"/>
      <c r="H6" s="76"/>
    </row>
    <row r="7" spans="1:9">
      <c r="C7" t="s">
        <v>122</v>
      </c>
      <c r="H7" s="77">
        <v>10522207</v>
      </c>
    </row>
    <row r="8" spans="1:9">
      <c r="C8" t="s">
        <v>123</v>
      </c>
      <c r="H8" s="78">
        <v>33789</v>
      </c>
    </row>
    <row r="9" spans="1:9">
      <c r="C9" t="s">
        <v>124</v>
      </c>
      <c r="H9" s="90">
        <v>2575929</v>
      </c>
    </row>
    <row r="10" spans="1:9">
      <c r="C10" t="s">
        <v>125</v>
      </c>
      <c r="H10" s="79">
        <v>108830</v>
      </c>
    </row>
    <row r="11" spans="1:9">
      <c r="C11" t="s">
        <v>126</v>
      </c>
      <c r="H11" s="79">
        <v>1775946</v>
      </c>
    </row>
    <row r="12" spans="1:9">
      <c r="C12" t="s">
        <v>127</v>
      </c>
      <c r="H12" s="80">
        <v>4318512</v>
      </c>
    </row>
    <row r="13" spans="1:9">
      <c r="H13" s="83"/>
    </row>
    <row r="14" spans="1:9" s="5" customFormat="1">
      <c r="C14" s="6" t="s">
        <v>17</v>
      </c>
      <c r="D14" s="6"/>
      <c r="E14" s="6"/>
      <c r="F14" s="6"/>
      <c r="G14" s="6"/>
      <c r="H14" s="82">
        <f>SUM(H7:H12)</f>
        <v>19335213</v>
      </c>
    </row>
    <row r="15" spans="1:9">
      <c r="H15" s="83"/>
    </row>
    <row r="16" spans="1:9" s="5" customFormat="1">
      <c r="B16" s="5" t="s">
        <v>128</v>
      </c>
      <c r="H16" s="197">
        <v>192033</v>
      </c>
    </row>
    <row r="17" spans="1:8" s="5" customFormat="1">
      <c r="H17" s="100"/>
    </row>
    <row r="18" spans="1:8">
      <c r="A18" s="5" t="s">
        <v>22</v>
      </c>
      <c r="H18" s="83"/>
    </row>
    <row r="19" spans="1:8">
      <c r="C19" t="s">
        <v>129</v>
      </c>
      <c r="H19" s="84">
        <v>689137</v>
      </c>
    </row>
    <row r="20" spans="1:8">
      <c r="C20" t="s">
        <v>26</v>
      </c>
      <c r="H20" s="107">
        <v>36260</v>
      </c>
    </row>
    <row r="21" spans="1:8">
      <c r="C21" t="s">
        <v>130</v>
      </c>
      <c r="H21" s="107">
        <v>66004</v>
      </c>
    </row>
    <row r="22" spans="1:8">
      <c r="C22" t="s">
        <v>29</v>
      </c>
      <c r="H22" s="126"/>
    </row>
    <row r="23" spans="1:8">
      <c r="D23" t="s">
        <v>131</v>
      </c>
      <c r="H23" s="92">
        <v>30149</v>
      </c>
    </row>
    <row r="24" spans="1:8">
      <c r="D24" t="s">
        <v>132</v>
      </c>
      <c r="H24" s="77">
        <v>64772</v>
      </c>
    </row>
    <row r="25" spans="1:8">
      <c r="C25" t="s">
        <v>34</v>
      </c>
      <c r="H25" s="79">
        <v>79068</v>
      </c>
    </row>
    <row r="26" spans="1:8">
      <c r="H26" s="81"/>
    </row>
    <row r="27" spans="1:8">
      <c r="D27" s="7" t="s">
        <v>36</v>
      </c>
      <c r="E27" s="8"/>
      <c r="F27" s="8"/>
      <c r="G27" s="8"/>
      <c r="H27" s="87">
        <f>SUM(H19:H25)</f>
        <v>965390</v>
      </c>
    </row>
    <row r="28" spans="1:8">
      <c r="D28" s="5"/>
      <c r="H28" s="100"/>
    </row>
    <row r="29" spans="1:8">
      <c r="B29" s="5" t="s">
        <v>133</v>
      </c>
      <c r="D29" s="5"/>
      <c r="H29" s="197">
        <v>51851</v>
      </c>
    </row>
    <row r="30" spans="1:8">
      <c r="H30" s="83"/>
    </row>
    <row r="31" spans="1:8">
      <c r="A31" s="3" t="s">
        <v>39</v>
      </c>
      <c r="H31" s="83"/>
    </row>
    <row r="32" spans="1:8">
      <c r="B32" t="s">
        <v>40</v>
      </c>
      <c r="H32" s="88">
        <v>6094458</v>
      </c>
    </row>
    <row r="33" spans="2:8">
      <c r="B33" t="s">
        <v>134</v>
      </c>
      <c r="H33" s="93">
        <v>12415547</v>
      </c>
    </row>
    <row r="34" spans="2:8">
      <c r="H34" s="81"/>
    </row>
    <row r="35" spans="2:8" s="3" customFormat="1">
      <c r="C35" s="9" t="s">
        <v>46</v>
      </c>
      <c r="D35" s="9"/>
      <c r="E35" s="9"/>
      <c r="F35" s="9"/>
      <c r="G35" s="9"/>
      <c r="H35" s="94">
        <f>SUM(H32:H33)</f>
        <v>18510005</v>
      </c>
    </row>
    <row r="36" spans="2:8">
      <c r="H36" s="83"/>
    </row>
    <row r="37" spans="2:8" s="3" customFormat="1">
      <c r="C37" s="10" t="s">
        <v>47</v>
      </c>
      <c r="D37" s="10"/>
      <c r="E37" s="10"/>
      <c r="F37" s="10"/>
      <c r="G37" s="10"/>
      <c r="H37" s="95">
        <f>H35+H27</f>
        <v>19475395</v>
      </c>
    </row>
    <row r="38" spans="2:8">
      <c r="H38" s="83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3"/>
  <sheetViews>
    <sheetView topLeftCell="A5" zoomScale="112" zoomScaleNormal="112" zoomScalePageLayoutView="112" workbookViewId="0">
      <selection activeCell="I39" sqref="I39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135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25520552</v>
      </c>
    </row>
    <row r="7" spans="1:7">
      <c r="B7" t="s">
        <v>50</v>
      </c>
      <c r="G7" s="78">
        <v>6425452</v>
      </c>
    </row>
    <row r="8" spans="1:7">
      <c r="B8" t="s">
        <v>52</v>
      </c>
      <c r="G8" s="79">
        <v>334682</v>
      </c>
    </row>
    <row r="9" spans="1:7">
      <c r="B9" t="s">
        <v>136</v>
      </c>
      <c r="G9" s="79">
        <v>226353</v>
      </c>
    </row>
    <row r="10" spans="1:7">
      <c r="B10" t="s">
        <v>137</v>
      </c>
      <c r="G10" s="83"/>
    </row>
    <row r="11" spans="1:7">
      <c r="C11" t="s">
        <v>138</v>
      </c>
      <c r="G11" s="80">
        <v>698779</v>
      </c>
    </row>
    <row r="12" spans="1:7">
      <c r="C12" t="s">
        <v>139</v>
      </c>
      <c r="G12" s="80">
        <v>11668437</v>
      </c>
    </row>
    <row r="13" spans="1:7">
      <c r="C13" t="s">
        <v>140</v>
      </c>
      <c r="G13" s="80">
        <v>3697372</v>
      </c>
    </row>
    <row r="14" spans="1:7">
      <c r="C14" t="s">
        <v>141</v>
      </c>
      <c r="G14" s="80">
        <v>14276186</v>
      </c>
    </row>
    <row r="15" spans="1:7">
      <c r="C15" t="s">
        <v>142</v>
      </c>
      <c r="G15" s="91">
        <v>5640233</v>
      </c>
    </row>
    <row r="16" spans="1:7">
      <c r="G16" s="83"/>
    </row>
    <row r="17" spans="1:7">
      <c r="A17" s="5"/>
      <c r="B17" s="6" t="s">
        <v>17</v>
      </c>
      <c r="C17" s="6"/>
      <c r="D17" s="6"/>
      <c r="E17" s="6"/>
      <c r="F17" s="6"/>
      <c r="G17" s="82">
        <f>SUM(G6:G15)</f>
        <v>68488046</v>
      </c>
    </row>
    <row r="18" spans="1:7">
      <c r="G18" s="83"/>
    </row>
    <row r="19" spans="1:7" s="5" customFormat="1">
      <c r="A19" s="5" t="s">
        <v>80</v>
      </c>
      <c r="G19" s="100"/>
    </row>
    <row r="20" spans="1:7">
      <c r="B20" t="s">
        <v>143</v>
      </c>
      <c r="G20" s="122">
        <v>587818</v>
      </c>
    </row>
    <row r="21" spans="1:7">
      <c r="G21" s="83"/>
    </row>
    <row r="22" spans="1:7">
      <c r="A22" s="5" t="s">
        <v>22</v>
      </c>
      <c r="G22" s="83"/>
    </row>
    <row r="23" spans="1:7">
      <c r="A23" s="5"/>
      <c r="B23" t="s">
        <v>144</v>
      </c>
      <c r="G23" s="84">
        <v>1531644</v>
      </c>
    </row>
    <row r="24" spans="1:7">
      <c r="B24" t="s">
        <v>145</v>
      </c>
      <c r="G24" s="84">
        <v>33384</v>
      </c>
    </row>
    <row r="25" spans="1:7">
      <c r="B25" t="s">
        <v>34</v>
      </c>
      <c r="G25" s="79">
        <v>148204</v>
      </c>
    </row>
    <row r="26" spans="1:7">
      <c r="B26" t="s">
        <v>29</v>
      </c>
      <c r="G26" s="83"/>
    </row>
    <row r="27" spans="1:7">
      <c r="C27" t="s">
        <v>92</v>
      </c>
      <c r="G27" s="92">
        <v>1256668</v>
      </c>
    </row>
    <row r="28" spans="1:7">
      <c r="C28" t="s">
        <v>93</v>
      </c>
      <c r="G28" s="77">
        <v>13691999</v>
      </c>
    </row>
    <row r="29" spans="1:7">
      <c r="G29" s="81"/>
    </row>
    <row r="30" spans="1:7">
      <c r="C30" s="7" t="s">
        <v>36</v>
      </c>
      <c r="D30" s="8"/>
      <c r="E30" s="8"/>
      <c r="F30" s="8"/>
      <c r="G30" s="87">
        <f>SUM(G23:G28)</f>
        <v>16661899</v>
      </c>
    </row>
    <row r="31" spans="1:7">
      <c r="C31" s="5"/>
      <c r="G31" s="100"/>
    </row>
    <row r="32" spans="1:7" s="5" customFormat="1">
      <c r="A32" s="5" t="s">
        <v>97</v>
      </c>
      <c r="G32" s="100"/>
    </row>
    <row r="33" spans="1:7">
      <c r="B33" t="s">
        <v>143</v>
      </c>
      <c r="G33" s="122">
        <v>99372</v>
      </c>
    </row>
    <row r="34" spans="1:7">
      <c r="G34" s="83"/>
    </row>
    <row r="35" spans="1:7">
      <c r="A35" s="3" t="s">
        <v>39</v>
      </c>
      <c r="G35" s="83"/>
    </row>
    <row r="36" spans="1:7">
      <c r="B36" t="s">
        <v>119</v>
      </c>
      <c r="G36" s="88">
        <v>21141007</v>
      </c>
    </row>
    <row r="37" spans="1:7">
      <c r="B37" t="s">
        <v>41</v>
      </c>
      <c r="G37" s="83"/>
    </row>
    <row r="38" spans="1:7">
      <c r="C38" t="s">
        <v>52</v>
      </c>
      <c r="G38" s="89">
        <v>334682</v>
      </c>
    </row>
    <row r="39" spans="1:7">
      <c r="C39" t="s">
        <v>146</v>
      </c>
      <c r="G39" s="89">
        <v>744819</v>
      </c>
    </row>
    <row r="40" spans="1:7">
      <c r="C40" t="s">
        <v>101</v>
      </c>
      <c r="G40" s="89">
        <v>1932609</v>
      </c>
    </row>
    <row r="41" spans="1:7">
      <c r="C41" t="s">
        <v>69</v>
      </c>
      <c r="G41" s="89">
        <v>5856335</v>
      </c>
    </row>
    <row r="42" spans="1:7">
      <c r="C42" t="s">
        <v>102</v>
      </c>
      <c r="G42" s="89">
        <v>2576641</v>
      </c>
    </row>
    <row r="43" spans="1:7">
      <c r="C43" t="s">
        <v>147</v>
      </c>
      <c r="G43" s="89">
        <v>865917</v>
      </c>
    </row>
    <row r="44" spans="1:7">
      <c r="C44" t="s">
        <v>70</v>
      </c>
      <c r="G44" s="89">
        <v>5074980</v>
      </c>
    </row>
    <row r="45" spans="1:7">
      <c r="C45" t="s">
        <v>68</v>
      </c>
      <c r="G45" s="89">
        <v>325299</v>
      </c>
    </row>
    <row r="46" spans="1:7">
      <c r="C46" t="s">
        <v>43</v>
      </c>
      <c r="G46" s="89">
        <v>11558772</v>
      </c>
    </row>
    <row r="47" spans="1:7">
      <c r="C47" t="s">
        <v>42</v>
      </c>
      <c r="G47" s="89">
        <v>166333</v>
      </c>
    </row>
    <row r="48" spans="1:7">
      <c r="B48" t="s">
        <v>45</v>
      </c>
      <c r="G48" s="93">
        <v>1737199</v>
      </c>
    </row>
    <row r="49" spans="1:7">
      <c r="G49" s="81"/>
    </row>
    <row r="50" spans="1:7">
      <c r="A50" s="3"/>
      <c r="B50" s="9" t="s">
        <v>46</v>
      </c>
      <c r="C50" s="9"/>
      <c r="D50" s="9"/>
      <c r="E50" s="9"/>
      <c r="F50" s="9"/>
      <c r="G50" s="94">
        <f>SUM(G36:G48)</f>
        <v>52314593</v>
      </c>
    </row>
    <row r="51" spans="1:7">
      <c r="G51" s="83"/>
    </row>
    <row r="52" spans="1:7">
      <c r="A52" s="3"/>
      <c r="B52" s="10" t="s">
        <v>47</v>
      </c>
      <c r="C52" s="10"/>
      <c r="D52" s="10"/>
      <c r="E52" s="10"/>
      <c r="F52" s="10"/>
      <c r="G52" s="95">
        <f>SUM(G30+G50)</f>
        <v>68976492</v>
      </c>
    </row>
    <row r="53" spans="1:7">
      <c r="G53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9"/>
  <sheetViews>
    <sheetView zoomScale="70" zoomScaleNormal="70" zoomScalePageLayoutView="70" workbookViewId="0">
      <selection activeCell="A12" sqref="A12:XFD13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30.28515625" customWidth="1"/>
    <col min="7" max="7" width="17.140625" customWidth="1"/>
  </cols>
  <sheetData>
    <row r="1" spans="1:7" ht="18.600000000000001">
      <c r="A1" s="1"/>
      <c r="B1" s="1"/>
      <c r="C1" s="272" t="s">
        <v>148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16858491</v>
      </c>
    </row>
    <row r="7" spans="1:7">
      <c r="B7" t="s">
        <v>50</v>
      </c>
      <c r="G7" s="78">
        <v>4654602</v>
      </c>
    </row>
    <row r="8" spans="1:7">
      <c r="B8" t="s">
        <v>127</v>
      </c>
      <c r="G8" s="91">
        <v>22261869</v>
      </c>
    </row>
    <row r="9" spans="1:7">
      <c r="G9" s="83"/>
    </row>
    <row r="10" spans="1:7">
      <c r="A10" s="5"/>
      <c r="B10" s="6" t="s">
        <v>17</v>
      </c>
      <c r="C10" s="6"/>
      <c r="D10" s="6"/>
      <c r="E10" s="6"/>
      <c r="F10" s="6"/>
      <c r="G10" s="82">
        <f>SUM(G6:G8)</f>
        <v>43774962</v>
      </c>
    </row>
    <row r="11" spans="1:7">
      <c r="G11" s="83"/>
    </row>
    <row r="12" spans="1:7" s="5" customFormat="1">
      <c r="A12" s="5" t="s">
        <v>149</v>
      </c>
      <c r="G12" s="100"/>
    </row>
    <row r="13" spans="1:7">
      <c r="B13" t="s">
        <v>20</v>
      </c>
      <c r="G13" s="122">
        <v>134448</v>
      </c>
    </row>
    <row r="14" spans="1:7" s="5" customFormat="1">
      <c r="B14" s="5" t="s">
        <v>150</v>
      </c>
      <c r="G14" s="100">
        <f>G13</f>
        <v>134448</v>
      </c>
    </row>
    <row r="15" spans="1:7">
      <c r="G15" s="83"/>
    </row>
    <row r="16" spans="1:7">
      <c r="A16" s="5" t="s">
        <v>22</v>
      </c>
      <c r="G16" s="83"/>
    </row>
    <row r="17" spans="1:7">
      <c r="A17" s="5"/>
      <c r="B17" t="s">
        <v>23</v>
      </c>
      <c r="G17" s="84">
        <v>216581</v>
      </c>
    </row>
    <row r="18" spans="1:7">
      <c r="B18" t="s">
        <v>151</v>
      </c>
      <c r="G18" s="84">
        <v>33526</v>
      </c>
    </row>
    <row r="19" spans="1:7">
      <c r="B19" t="s">
        <v>145</v>
      </c>
      <c r="G19" s="84">
        <v>130263</v>
      </c>
    </row>
    <row r="20" spans="1:7">
      <c r="B20" t="s">
        <v>31</v>
      </c>
      <c r="G20" s="85">
        <v>9895000</v>
      </c>
    </row>
    <row r="21" spans="1:7">
      <c r="B21" t="s">
        <v>152</v>
      </c>
      <c r="G21" s="79">
        <v>259109</v>
      </c>
    </row>
    <row r="22" spans="1:7">
      <c r="B22" t="s">
        <v>153</v>
      </c>
      <c r="G22" s="79">
        <v>70000</v>
      </c>
    </row>
    <row r="23" spans="1:7">
      <c r="B23" t="s">
        <v>115</v>
      </c>
      <c r="G23" s="86">
        <v>87473</v>
      </c>
    </row>
    <row r="24" spans="1:7">
      <c r="B24" t="s">
        <v>154</v>
      </c>
      <c r="G24" s="79">
        <v>186811</v>
      </c>
    </row>
    <row r="25" spans="1:7">
      <c r="B25" t="s">
        <v>155</v>
      </c>
      <c r="G25" s="79">
        <v>1756770</v>
      </c>
    </row>
    <row r="26" spans="1:7">
      <c r="G26" s="81"/>
    </row>
    <row r="27" spans="1:7">
      <c r="C27" s="7" t="s">
        <v>36</v>
      </c>
      <c r="D27" s="8"/>
      <c r="E27" s="8"/>
      <c r="F27" s="8"/>
      <c r="G27" s="87">
        <f>SUM(G17:G25)</f>
        <v>12635533</v>
      </c>
    </row>
    <row r="28" spans="1:7">
      <c r="C28" s="5"/>
      <c r="G28" s="100"/>
    </row>
    <row r="29" spans="1:7" s="5" customFormat="1">
      <c r="A29" s="5" t="s">
        <v>97</v>
      </c>
      <c r="G29" s="100"/>
    </row>
    <row r="30" spans="1:7">
      <c r="B30" t="s">
        <v>20</v>
      </c>
      <c r="G30" s="122">
        <v>46967</v>
      </c>
    </row>
    <row r="31" spans="1:7">
      <c r="G31" s="83"/>
    </row>
    <row r="32" spans="1:7">
      <c r="A32" s="3" t="s">
        <v>39</v>
      </c>
      <c r="G32" s="83"/>
    </row>
    <row r="33" spans="1:7">
      <c r="B33" t="s">
        <v>119</v>
      </c>
      <c r="G33" s="88">
        <v>12366869</v>
      </c>
    </row>
    <row r="34" spans="1:7">
      <c r="B34" t="s">
        <v>45</v>
      </c>
      <c r="G34" s="93">
        <v>18860041</v>
      </c>
    </row>
    <row r="35" spans="1:7">
      <c r="G35" s="81"/>
    </row>
    <row r="36" spans="1:7">
      <c r="A36" s="3"/>
      <c r="B36" s="9" t="s">
        <v>46</v>
      </c>
      <c r="C36" s="9"/>
      <c r="D36" s="9"/>
      <c r="E36" s="9"/>
      <c r="F36" s="9"/>
      <c r="G36" s="94">
        <f>SUM(G33:G34)</f>
        <v>31226910</v>
      </c>
    </row>
    <row r="37" spans="1:7">
      <c r="G37" s="83"/>
    </row>
    <row r="38" spans="1:7">
      <c r="A38" s="3"/>
      <c r="B38" s="10" t="s">
        <v>47</v>
      </c>
      <c r="C38" s="10"/>
      <c r="D38" s="10"/>
      <c r="E38" s="10"/>
      <c r="F38" s="10"/>
      <c r="G38" s="95">
        <f>SUM(G27+G36+G30)</f>
        <v>43909410</v>
      </c>
    </row>
    <row r="39" spans="1:7">
      <c r="G39" s="83"/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6"/>
  <sheetViews>
    <sheetView zoomScale="80" zoomScaleNormal="80" zoomScalePageLayoutView="80" workbookViewId="0">
      <selection activeCell="K50" sqref="K50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72" t="s">
        <v>156</v>
      </c>
      <c r="E1" s="272"/>
      <c r="F1" s="272"/>
      <c r="G1" s="272"/>
      <c r="H1" s="272"/>
      <c r="I1" s="97"/>
      <c r="J1" s="97"/>
    </row>
    <row r="2" spans="1:11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1" ht="15" customHeight="1">
      <c r="H4" s="275"/>
      <c r="I4" s="275"/>
      <c r="J4" s="275"/>
    </row>
    <row r="5" spans="1:11" ht="29.1">
      <c r="H5" s="105" t="s">
        <v>3</v>
      </c>
      <c r="I5" s="105" t="s">
        <v>157</v>
      </c>
      <c r="J5" s="105" t="s">
        <v>74</v>
      </c>
      <c r="K5" s="5"/>
    </row>
    <row r="6" spans="1:11">
      <c r="A6" s="3" t="s">
        <v>5</v>
      </c>
      <c r="D6" s="3"/>
      <c r="G6" s="4"/>
      <c r="H6" s="4"/>
      <c r="I6" s="4"/>
      <c r="J6" s="4"/>
    </row>
    <row r="7" spans="1:11">
      <c r="C7" t="s">
        <v>7</v>
      </c>
      <c r="H7" s="77">
        <v>41742235</v>
      </c>
      <c r="I7" s="83"/>
      <c r="J7" s="83">
        <f t="shared" ref="J7:J16" si="0">SUM(H7:I7)</f>
        <v>41742235</v>
      </c>
    </row>
    <row r="8" spans="1:11">
      <c r="C8" t="s">
        <v>158</v>
      </c>
      <c r="H8" s="77">
        <v>4378132</v>
      </c>
      <c r="I8" s="83">
        <v>1257137</v>
      </c>
      <c r="J8" s="83">
        <f t="shared" si="0"/>
        <v>5635269</v>
      </c>
    </row>
    <row r="9" spans="1:11">
      <c r="C9" t="s">
        <v>8</v>
      </c>
      <c r="H9" s="196">
        <v>2525000</v>
      </c>
      <c r="I9" s="83"/>
      <c r="J9" s="83">
        <f t="shared" si="0"/>
        <v>2525000</v>
      </c>
    </row>
    <row r="10" spans="1:11">
      <c r="C10" t="s">
        <v>159</v>
      </c>
      <c r="H10" s="196">
        <v>11092426</v>
      </c>
      <c r="I10" s="83"/>
      <c r="J10" s="83">
        <f t="shared" si="0"/>
        <v>11092426</v>
      </c>
    </row>
    <row r="11" spans="1:11">
      <c r="C11" t="s">
        <v>160</v>
      </c>
      <c r="H11" s="78">
        <v>18410937</v>
      </c>
      <c r="I11" s="83">
        <v>308664</v>
      </c>
      <c r="J11" s="83">
        <f t="shared" si="0"/>
        <v>18719601</v>
      </c>
    </row>
    <row r="12" spans="1:11">
      <c r="C12" t="s">
        <v>136</v>
      </c>
      <c r="H12" s="79">
        <v>922640</v>
      </c>
      <c r="I12" s="83">
        <v>116888</v>
      </c>
      <c r="J12" s="83">
        <f t="shared" si="0"/>
        <v>1039528</v>
      </c>
    </row>
    <row r="13" spans="1:11">
      <c r="C13" t="s">
        <v>161</v>
      </c>
      <c r="H13" s="83"/>
      <c r="I13" s="83"/>
      <c r="J13" s="83">
        <f t="shared" si="0"/>
        <v>0</v>
      </c>
    </row>
    <row r="14" spans="1:11">
      <c r="D14" t="s">
        <v>15</v>
      </c>
      <c r="H14" s="80">
        <v>21139166</v>
      </c>
      <c r="I14" s="83">
        <v>36078080</v>
      </c>
      <c r="J14" s="83">
        <f t="shared" si="0"/>
        <v>57217246</v>
      </c>
    </row>
    <row r="15" spans="1:11">
      <c r="D15" t="s">
        <v>162</v>
      </c>
      <c r="H15" s="80">
        <v>266323459</v>
      </c>
      <c r="I15" s="83">
        <v>4557975</v>
      </c>
      <c r="J15" s="83">
        <f t="shared" si="0"/>
        <v>270881434</v>
      </c>
    </row>
    <row r="16" spans="1:11">
      <c r="C16" t="s">
        <v>76</v>
      </c>
      <c r="H16" s="79">
        <v>8176744</v>
      </c>
      <c r="I16" s="83">
        <v>-8176744</v>
      </c>
      <c r="J16" s="83">
        <f t="shared" si="0"/>
        <v>0</v>
      </c>
    </row>
    <row r="17" spans="1:10">
      <c r="H17" s="83"/>
      <c r="I17" s="83"/>
      <c r="J17" s="83"/>
    </row>
    <row r="18" spans="1:10" s="5" customFormat="1">
      <c r="C18" s="6" t="s">
        <v>17</v>
      </c>
      <c r="D18" s="6"/>
      <c r="E18" s="6"/>
      <c r="F18" s="6"/>
      <c r="G18" s="6"/>
      <c r="H18" s="82">
        <f>SUM(H7:H16)</f>
        <v>374710739</v>
      </c>
      <c r="I18" s="82">
        <f>SUM(I7:I16)</f>
        <v>34142000</v>
      </c>
      <c r="J18" s="82">
        <f>SUM(J7:J16)</f>
        <v>408852739</v>
      </c>
    </row>
    <row r="19" spans="1:10" s="5" customFormat="1">
      <c r="H19" s="100"/>
      <c r="I19" s="100"/>
      <c r="J19" s="100"/>
    </row>
    <row r="20" spans="1:10" s="5" customFormat="1">
      <c r="A20" s="5" t="s">
        <v>80</v>
      </c>
      <c r="H20" s="100"/>
      <c r="I20" s="100"/>
      <c r="J20" s="100"/>
    </row>
    <row r="21" spans="1:10">
      <c r="C21" t="s">
        <v>20</v>
      </c>
      <c r="H21" s="122">
        <v>2017962</v>
      </c>
      <c r="I21" s="122">
        <v>62411</v>
      </c>
      <c r="J21" s="122">
        <f>SUM(H21:I21)</f>
        <v>2080373</v>
      </c>
    </row>
    <row r="22" spans="1:10">
      <c r="H22" s="83"/>
      <c r="I22" s="83"/>
      <c r="J22" s="83"/>
    </row>
    <row r="23" spans="1:10">
      <c r="A23" s="5" t="s">
        <v>22</v>
      </c>
      <c r="H23" s="83"/>
      <c r="I23" s="83"/>
      <c r="J23" s="83"/>
    </row>
    <row r="24" spans="1:10">
      <c r="B24" s="5" t="s">
        <v>163</v>
      </c>
      <c r="C24" s="5"/>
      <c r="D24" s="5"/>
      <c r="E24" s="5"/>
      <c r="H24" s="83"/>
      <c r="I24" s="83"/>
      <c r="J24" s="83"/>
    </row>
    <row r="25" spans="1:10">
      <c r="A25" s="5"/>
      <c r="C25" t="s">
        <v>164</v>
      </c>
      <c r="H25" s="84">
        <v>3040969</v>
      </c>
      <c r="I25" s="83">
        <v>1147352</v>
      </c>
      <c r="J25" s="83">
        <f t="shared" ref="J25" si="1">SUM(H25:I25)</f>
        <v>4188321</v>
      </c>
    </row>
    <row r="26" spans="1:10">
      <c r="C26" t="s">
        <v>165</v>
      </c>
      <c r="H26" s="83"/>
      <c r="I26" s="83"/>
      <c r="J26" s="83"/>
    </row>
    <row r="27" spans="1:10">
      <c r="D27" t="s">
        <v>89</v>
      </c>
      <c r="H27" s="83"/>
      <c r="I27" s="83">
        <v>125647</v>
      </c>
      <c r="J27" s="83">
        <f t="shared" ref="J27" si="2">SUM(H27:I27)</f>
        <v>125647</v>
      </c>
    </row>
    <row r="28" spans="1:10">
      <c r="B28" s="5" t="s">
        <v>166</v>
      </c>
      <c r="H28" s="83"/>
      <c r="I28" s="83"/>
      <c r="J28" s="83"/>
    </row>
    <row r="29" spans="1:10">
      <c r="C29" t="s">
        <v>92</v>
      </c>
      <c r="H29" s="92">
        <v>4779068</v>
      </c>
      <c r="I29" s="83">
        <v>492000</v>
      </c>
      <c r="J29" s="83">
        <v>5271068</v>
      </c>
    </row>
    <row r="30" spans="1:10">
      <c r="C30" t="s">
        <v>93</v>
      </c>
      <c r="H30" s="77">
        <v>65724929</v>
      </c>
      <c r="I30" s="83">
        <v>17765150</v>
      </c>
      <c r="J30" s="83">
        <f>SUM(H30:I30)</f>
        <v>83490079</v>
      </c>
    </row>
    <row r="31" spans="1:10">
      <c r="H31" s="81"/>
      <c r="I31" s="81"/>
      <c r="J31" s="81"/>
    </row>
    <row r="32" spans="1:10">
      <c r="D32" s="7" t="s">
        <v>36</v>
      </c>
      <c r="E32" s="8"/>
      <c r="F32" s="8"/>
      <c r="G32" s="8"/>
      <c r="H32" s="87">
        <f>SUM(H25+H27+H29+H30)</f>
        <v>73544966</v>
      </c>
      <c r="I32" s="87">
        <f t="shared" ref="I32:J32" si="3">SUM(I25+I27+I29+I30)</f>
        <v>19530149</v>
      </c>
      <c r="J32" s="87">
        <f t="shared" si="3"/>
        <v>93075115</v>
      </c>
    </row>
    <row r="33" spans="1:10">
      <c r="H33" s="83"/>
      <c r="I33" s="83"/>
      <c r="J33" s="83"/>
    </row>
    <row r="34" spans="1:10">
      <c r="A34" s="5" t="s">
        <v>167</v>
      </c>
      <c r="H34" s="83"/>
      <c r="I34" s="83"/>
      <c r="J34" s="83"/>
    </row>
    <row r="35" spans="1:10">
      <c r="C35" t="s">
        <v>168</v>
      </c>
      <c r="H35" s="83"/>
      <c r="I35" s="83"/>
      <c r="J35" s="83"/>
    </row>
    <row r="36" spans="1:10">
      <c r="E36" t="s">
        <v>169</v>
      </c>
      <c r="H36" s="83">
        <v>15056302</v>
      </c>
      <c r="I36" s="83"/>
      <c r="J36" s="83">
        <f t="shared" ref="J36:J37" si="4">SUM(H36:I36)</f>
        <v>15056302</v>
      </c>
    </row>
    <row r="37" spans="1:10">
      <c r="D37" t="s">
        <v>20</v>
      </c>
      <c r="H37" s="83">
        <v>173586</v>
      </c>
      <c r="I37" s="83">
        <v>5369</v>
      </c>
      <c r="J37" s="83">
        <f t="shared" si="4"/>
        <v>178955</v>
      </c>
    </row>
    <row r="38" spans="1:10" s="5" customFormat="1">
      <c r="C38" s="5" t="s">
        <v>170</v>
      </c>
      <c r="H38" s="166">
        <f>SUM(H36:H37)</f>
        <v>15229888</v>
      </c>
      <c r="I38" s="166">
        <f t="shared" ref="I38" si="5">SUM(I36:I37)</f>
        <v>5369</v>
      </c>
      <c r="J38" s="166">
        <f>SUM(H38:I38)</f>
        <v>15235257</v>
      </c>
    </row>
    <row r="39" spans="1:10">
      <c r="H39" s="83"/>
      <c r="I39" s="83"/>
      <c r="J39" s="83"/>
    </row>
    <row r="40" spans="1:10">
      <c r="A40" s="3" t="s">
        <v>39</v>
      </c>
      <c r="H40" s="83"/>
      <c r="I40" s="83"/>
      <c r="J40" s="83"/>
    </row>
    <row r="41" spans="1:10">
      <c r="B41" t="s">
        <v>40</v>
      </c>
      <c r="H41" s="88">
        <v>241133940</v>
      </c>
      <c r="I41" s="83">
        <v>14213969</v>
      </c>
      <c r="J41" s="83">
        <f>SUM(H41:I41)</f>
        <v>255347909</v>
      </c>
    </row>
    <row r="42" spans="1:10">
      <c r="B42" t="s">
        <v>41</v>
      </c>
      <c r="H42" s="83"/>
      <c r="I42" s="83"/>
      <c r="J42" s="83"/>
    </row>
    <row r="43" spans="1:10">
      <c r="C43" t="s">
        <v>43</v>
      </c>
      <c r="H43" s="89">
        <v>10311163</v>
      </c>
      <c r="I43" s="83"/>
      <c r="J43" s="83">
        <f>SUM(H43:I43)</f>
        <v>10311163</v>
      </c>
    </row>
    <row r="44" spans="1:10">
      <c r="C44" t="s">
        <v>69</v>
      </c>
      <c r="H44" s="89">
        <v>743268</v>
      </c>
      <c r="I44" s="83"/>
      <c r="J44" s="83">
        <f>SUM(H44:I44)</f>
        <v>743268</v>
      </c>
    </row>
    <row r="45" spans="1:10">
      <c r="C45" t="s">
        <v>171</v>
      </c>
      <c r="H45" s="89">
        <v>1228154</v>
      </c>
      <c r="I45" s="83"/>
      <c r="J45" s="83">
        <f>SUM(H45:I45)</f>
        <v>1228154</v>
      </c>
    </row>
    <row r="46" spans="1:10">
      <c r="C46" t="s">
        <v>172</v>
      </c>
      <c r="H46" s="89">
        <v>37213</v>
      </c>
      <c r="I46" s="83"/>
      <c r="J46" s="83">
        <f t="shared" ref="J46:J49" si="6">SUM(H46)</f>
        <v>37213</v>
      </c>
    </row>
    <row r="47" spans="1:10">
      <c r="C47" t="s">
        <v>147</v>
      </c>
      <c r="H47" s="89">
        <v>6758072</v>
      </c>
      <c r="I47" s="83"/>
      <c r="J47" s="83">
        <f t="shared" si="6"/>
        <v>6758072</v>
      </c>
    </row>
    <row r="48" spans="1:10">
      <c r="C48" t="s">
        <v>42</v>
      </c>
      <c r="H48" s="89">
        <v>1722767</v>
      </c>
      <c r="I48" s="83"/>
      <c r="J48" s="83">
        <f t="shared" si="6"/>
        <v>1722767</v>
      </c>
    </row>
    <row r="49" spans="2:10">
      <c r="C49" t="s">
        <v>102</v>
      </c>
      <c r="H49" s="89">
        <v>2300039</v>
      </c>
      <c r="I49" s="83"/>
      <c r="J49" s="83">
        <f t="shared" si="6"/>
        <v>2300039</v>
      </c>
    </row>
    <row r="50" spans="2:10">
      <c r="C50" t="s">
        <v>173</v>
      </c>
      <c r="H50" s="89">
        <v>508358</v>
      </c>
      <c r="I50" s="83"/>
      <c r="J50" s="83">
        <f>SUM(H50:I50)</f>
        <v>508358</v>
      </c>
    </row>
    <row r="51" spans="2:10">
      <c r="B51" t="s">
        <v>45</v>
      </c>
      <c r="H51" s="93">
        <v>23210873</v>
      </c>
      <c r="I51" s="83">
        <v>454924</v>
      </c>
      <c r="J51" s="83">
        <f>SUM(H51:I51)</f>
        <v>23665797</v>
      </c>
    </row>
    <row r="52" spans="2:10">
      <c r="H52" s="81"/>
      <c r="I52" s="81"/>
      <c r="J52" s="81"/>
    </row>
    <row r="53" spans="2:10" s="3" customFormat="1">
      <c r="C53" s="9" t="s">
        <v>46</v>
      </c>
      <c r="D53" s="9"/>
      <c r="E53" s="9"/>
      <c r="F53" s="9"/>
      <c r="G53" s="9"/>
      <c r="H53" s="94">
        <f>SUM(H41:H51)</f>
        <v>287953847</v>
      </c>
      <c r="I53" s="94">
        <f>SUM(I41:I51)</f>
        <v>14668893</v>
      </c>
      <c r="J53" s="94">
        <f>SUM(J41:J51)</f>
        <v>302622740</v>
      </c>
    </row>
    <row r="54" spans="2:10">
      <c r="H54" s="83"/>
      <c r="I54" s="83"/>
      <c r="J54" s="83"/>
    </row>
    <row r="55" spans="2:10" s="3" customFormat="1">
      <c r="C55" s="10" t="s">
        <v>47</v>
      </c>
      <c r="D55" s="10"/>
      <c r="E55" s="10"/>
      <c r="F55" s="10"/>
      <c r="G55" s="10"/>
      <c r="H55" s="95">
        <f>SUM(H53+H32+H38)</f>
        <v>376728701</v>
      </c>
      <c r="I55" s="95">
        <f t="shared" ref="I55:J55" si="7">SUM(I53+I32+I38)</f>
        <v>34204411</v>
      </c>
      <c r="J55" s="95">
        <f t="shared" si="7"/>
        <v>410933112</v>
      </c>
    </row>
    <row r="56" spans="2:10">
      <c r="H56" s="83"/>
      <c r="I56" s="83"/>
      <c r="J56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7"/>
  <sheetViews>
    <sheetView zoomScale="80" zoomScaleNormal="80" zoomScalePageLayoutView="80" workbookViewId="0">
      <selection activeCell="O15" sqref="O15"/>
    </sheetView>
  </sheetViews>
  <sheetFormatPr defaultColWidth="8.85546875" defaultRowHeight="14.45"/>
  <cols>
    <col min="1" max="1" width="3.28515625" customWidth="1"/>
    <col min="2" max="2" width="3" customWidth="1"/>
    <col min="3" max="3" width="18.42578125" customWidth="1"/>
    <col min="4" max="4" width="13.8554687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5.7109375" customWidth="1"/>
  </cols>
  <sheetData>
    <row r="1" spans="1:10" ht="18.75" customHeight="1">
      <c r="A1" s="1"/>
      <c r="B1" s="1"/>
      <c r="C1" s="1"/>
      <c r="D1" s="272" t="s">
        <v>174</v>
      </c>
      <c r="E1" s="272"/>
      <c r="F1" s="272"/>
      <c r="G1" s="272"/>
      <c r="H1" s="272"/>
    </row>
    <row r="2" spans="1:10" ht="15.75" customHeight="1">
      <c r="A2" s="1"/>
      <c r="B2" s="1"/>
      <c r="C2" s="1"/>
      <c r="D2" s="271" t="s">
        <v>1</v>
      </c>
      <c r="E2" s="271"/>
      <c r="F2" s="271"/>
      <c r="G2" s="271"/>
      <c r="H2" s="271"/>
    </row>
    <row r="4" spans="1:10" ht="14.25" customHeight="1">
      <c r="H4" s="268"/>
    </row>
    <row r="5" spans="1:10" ht="31.5" customHeight="1">
      <c r="H5" s="105" t="s">
        <v>175</v>
      </c>
      <c r="I5" s="106" t="s">
        <v>108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7</v>
      </c>
      <c r="H7" s="77">
        <v>5950999</v>
      </c>
      <c r="I7" s="83">
        <v>15245486</v>
      </c>
    </row>
    <row r="8" spans="1:10">
      <c r="C8" t="s">
        <v>8</v>
      </c>
      <c r="H8" s="84">
        <v>124633857</v>
      </c>
      <c r="I8" s="83">
        <v>5095867</v>
      </c>
    </row>
    <row r="9" spans="1:10">
      <c r="C9" t="s">
        <v>123</v>
      </c>
      <c r="H9" s="78">
        <v>44347039</v>
      </c>
      <c r="I9" s="83">
        <v>16115808</v>
      </c>
    </row>
    <row r="10" spans="1:10">
      <c r="C10" t="s">
        <v>51</v>
      </c>
      <c r="H10" s="90">
        <v>2274558</v>
      </c>
      <c r="I10" s="83">
        <v>817834</v>
      </c>
    </row>
    <row r="11" spans="1:10">
      <c r="C11" t="s">
        <v>176</v>
      </c>
      <c r="H11" s="121"/>
      <c r="I11" s="83">
        <v>692410</v>
      </c>
    </row>
    <row r="12" spans="1:10">
      <c r="C12" t="s">
        <v>177</v>
      </c>
      <c r="H12" s="79">
        <v>115369</v>
      </c>
      <c r="I12" s="83">
        <v>450463</v>
      </c>
    </row>
    <row r="13" spans="1:10">
      <c r="C13" t="s">
        <v>109</v>
      </c>
      <c r="H13" s="79">
        <v>19512</v>
      </c>
      <c r="I13" s="83">
        <v>9942089</v>
      </c>
    </row>
    <row r="14" spans="1:10">
      <c r="C14" t="s">
        <v>14</v>
      </c>
      <c r="H14" s="83"/>
      <c r="I14" s="83"/>
    </row>
    <row r="15" spans="1:10">
      <c r="D15" t="s">
        <v>178</v>
      </c>
      <c r="H15" s="80">
        <v>9700709</v>
      </c>
      <c r="I15" s="83">
        <v>1603135</v>
      </c>
    </row>
    <row r="16" spans="1:10">
      <c r="D16" t="s">
        <v>179</v>
      </c>
      <c r="H16" s="91">
        <v>151921031</v>
      </c>
      <c r="I16" s="83">
        <v>50887863</v>
      </c>
    </row>
    <row r="17" spans="1:9">
      <c r="H17" s="83"/>
      <c r="I17" s="81"/>
    </row>
    <row r="18" spans="1:9" s="5" customFormat="1">
      <c r="C18" s="6" t="s">
        <v>17</v>
      </c>
      <c r="D18" s="6"/>
      <c r="E18" s="6"/>
      <c r="F18" s="6"/>
      <c r="G18" s="6"/>
      <c r="H18" s="82">
        <f>SUM(H7:H16)</f>
        <v>338963074</v>
      </c>
      <c r="I18" s="82">
        <f>SUM(I7:I16)</f>
        <v>100850955</v>
      </c>
    </row>
    <row r="19" spans="1:9">
      <c r="H19" s="83"/>
      <c r="I19" s="83"/>
    </row>
    <row r="20" spans="1:9">
      <c r="A20" s="5" t="s">
        <v>18</v>
      </c>
      <c r="H20" s="83"/>
      <c r="I20" s="83"/>
    </row>
    <row r="21" spans="1:9">
      <c r="C21" t="s">
        <v>180</v>
      </c>
      <c r="H21" s="83">
        <v>3279211</v>
      </c>
      <c r="I21" s="83">
        <v>6079574</v>
      </c>
    </row>
    <row r="22" spans="1:9">
      <c r="C22" t="s">
        <v>181</v>
      </c>
      <c r="H22" s="122">
        <v>73334</v>
      </c>
      <c r="I22" s="122">
        <v>139786</v>
      </c>
    </row>
    <row r="23" spans="1:9">
      <c r="H23" s="83"/>
      <c r="I23" s="83"/>
    </row>
    <row r="24" spans="1:9">
      <c r="E24" s="102" t="s">
        <v>182</v>
      </c>
      <c r="F24" s="102"/>
      <c r="G24" s="102"/>
      <c r="H24" s="103">
        <f>H21+H18</f>
        <v>342242285</v>
      </c>
      <c r="I24" s="103">
        <f>I21+I18</f>
        <v>106930529</v>
      </c>
    </row>
    <row r="25" spans="1:9">
      <c r="H25" s="83"/>
      <c r="I25" s="83"/>
    </row>
    <row r="26" spans="1:9">
      <c r="A26" s="5" t="s">
        <v>22</v>
      </c>
      <c r="H26" s="83"/>
      <c r="I26" s="83"/>
    </row>
    <row r="27" spans="1:9">
      <c r="C27" t="s">
        <v>23</v>
      </c>
      <c r="H27" s="84">
        <v>2998886</v>
      </c>
      <c r="I27" s="83">
        <v>4389663</v>
      </c>
    </row>
    <row r="28" spans="1:9">
      <c r="C28" t="s">
        <v>183</v>
      </c>
      <c r="H28" s="84">
        <v>223000</v>
      </c>
      <c r="I28" s="83">
        <v>1523876</v>
      </c>
    </row>
    <row r="29" spans="1:9">
      <c r="C29" t="s">
        <v>27</v>
      </c>
      <c r="H29" s="84">
        <v>453794</v>
      </c>
      <c r="I29" s="83">
        <v>19447</v>
      </c>
    </row>
    <row r="30" spans="1:9">
      <c r="C30" t="s">
        <v>24</v>
      </c>
      <c r="H30" s="84">
        <v>405543</v>
      </c>
      <c r="I30" s="83"/>
    </row>
    <row r="31" spans="1:9">
      <c r="C31" t="s">
        <v>184</v>
      </c>
      <c r="H31" s="84">
        <v>1214564</v>
      </c>
      <c r="I31" s="83">
        <v>334504</v>
      </c>
    </row>
    <row r="32" spans="1:9">
      <c r="C32" t="s">
        <v>185</v>
      </c>
      <c r="H32" s="96">
        <v>893500</v>
      </c>
      <c r="I32" s="83"/>
    </row>
    <row r="33" spans="1:9">
      <c r="C33" t="s">
        <v>186</v>
      </c>
      <c r="H33" s="96">
        <v>282960</v>
      </c>
      <c r="I33" s="83">
        <v>113287</v>
      </c>
    </row>
    <row r="34" spans="1:9">
      <c r="C34" t="s">
        <v>26</v>
      </c>
      <c r="H34" s="79">
        <v>34466</v>
      </c>
      <c r="I34" s="83">
        <v>53585</v>
      </c>
    </row>
    <row r="35" spans="1:9">
      <c r="C35" t="s">
        <v>187</v>
      </c>
      <c r="H35" s="83"/>
      <c r="I35" s="83"/>
    </row>
    <row r="36" spans="1:9">
      <c r="D36" t="s">
        <v>92</v>
      </c>
      <c r="H36" s="92">
        <v>3181419</v>
      </c>
      <c r="I36" s="83">
        <v>3595406</v>
      </c>
    </row>
    <row r="37" spans="1:9">
      <c r="D37" t="s">
        <v>93</v>
      </c>
      <c r="H37" s="77">
        <v>34939843</v>
      </c>
      <c r="I37" s="83">
        <v>25755110</v>
      </c>
    </row>
    <row r="38" spans="1:9">
      <c r="C38" t="s">
        <v>34</v>
      </c>
      <c r="H38" s="77">
        <v>622014</v>
      </c>
      <c r="I38" s="83">
        <v>20794724</v>
      </c>
    </row>
    <row r="39" spans="1:9">
      <c r="C39" t="s">
        <v>188</v>
      </c>
      <c r="H39" s="77">
        <v>4436978</v>
      </c>
      <c r="I39" s="83">
        <v>12583599</v>
      </c>
    </row>
    <row r="40" spans="1:9">
      <c r="H40" s="81"/>
      <c r="I40" s="81"/>
    </row>
    <row r="41" spans="1:9">
      <c r="D41" s="7" t="s">
        <v>36</v>
      </c>
      <c r="E41" s="8"/>
      <c r="F41" s="8"/>
      <c r="G41" s="8"/>
      <c r="H41" s="87">
        <f>SUM(H27:H39)</f>
        <v>49686967</v>
      </c>
      <c r="I41" s="87">
        <f>SUM(I27:I39)</f>
        <v>69163201</v>
      </c>
    </row>
    <row r="42" spans="1:9">
      <c r="D42" s="5"/>
      <c r="H42" s="100"/>
      <c r="I42" s="100"/>
    </row>
    <row r="43" spans="1:9">
      <c r="A43" s="5" t="s">
        <v>189</v>
      </c>
      <c r="D43" s="5"/>
      <c r="H43" s="100"/>
      <c r="I43" s="100"/>
    </row>
    <row r="44" spans="1:9">
      <c r="C44" t="s">
        <v>190</v>
      </c>
      <c r="D44" s="5"/>
      <c r="H44" s="83"/>
      <c r="I44" s="83">
        <v>2156050</v>
      </c>
    </row>
    <row r="45" spans="1:9">
      <c r="C45" t="s">
        <v>191</v>
      </c>
      <c r="D45" s="5"/>
      <c r="H45" s="83">
        <v>190000</v>
      </c>
      <c r="I45" s="83"/>
    </row>
    <row r="46" spans="1:9">
      <c r="C46" t="s">
        <v>192</v>
      </c>
      <c r="D46" s="5"/>
      <c r="H46" s="83">
        <v>300293</v>
      </c>
      <c r="I46" s="83">
        <v>7176874</v>
      </c>
    </row>
    <row r="47" spans="1:9">
      <c r="D47" s="5"/>
      <c r="H47" s="100"/>
      <c r="I47" s="100"/>
    </row>
    <row r="48" spans="1:9" s="5" customFormat="1">
      <c r="D48" s="147" t="s">
        <v>98</v>
      </c>
      <c r="E48" s="147"/>
      <c r="F48" s="147"/>
      <c r="G48" s="147"/>
      <c r="H48" s="148">
        <f>SUM(H44:H46)</f>
        <v>490293</v>
      </c>
      <c r="I48" s="148">
        <f>SUM(I44:I46)</f>
        <v>9332924</v>
      </c>
    </row>
    <row r="49" spans="1:9">
      <c r="D49" s="5"/>
      <c r="H49" s="83"/>
      <c r="I49" s="83"/>
    </row>
    <row r="50" spans="1:9">
      <c r="A50" s="3" t="s">
        <v>39</v>
      </c>
      <c r="H50" s="83"/>
      <c r="I50" s="83"/>
    </row>
    <row r="51" spans="1:9">
      <c r="B51" t="s">
        <v>40</v>
      </c>
      <c r="H51" s="88">
        <v>135822820</v>
      </c>
      <c r="I51" s="83">
        <v>25973741</v>
      </c>
    </row>
    <row r="52" spans="1:9">
      <c r="B52" t="s">
        <v>41</v>
      </c>
      <c r="H52" s="83"/>
      <c r="I52" s="83"/>
    </row>
    <row r="53" spans="1:9">
      <c r="C53" t="s">
        <v>193</v>
      </c>
      <c r="H53" s="89">
        <v>15647979</v>
      </c>
      <c r="I53" s="83"/>
    </row>
    <row r="54" spans="1:9">
      <c r="C54" t="s">
        <v>102</v>
      </c>
      <c r="H54" s="89">
        <v>5061413</v>
      </c>
      <c r="I54" s="83"/>
    </row>
    <row r="55" spans="1:9">
      <c r="C55" t="s">
        <v>194</v>
      </c>
      <c r="H55" s="89">
        <v>30895016</v>
      </c>
      <c r="I55" s="83"/>
    </row>
    <row r="56" spans="1:9">
      <c r="C56" t="s">
        <v>195</v>
      </c>
      <c r="H56" s="89">
        <v>10254430</v>
      </c>
      <c r="I56" s="83"/>
    </row>
    <row r="57" spans="1:9">
      <c r="C57" t="s">
        <v>70</v>
      </c>
      <c r="H57" s="89">
        <v>23026737</v>
      </c>
      <c r="I57" s="83"/>
    </row>
    <row r="58" spans="1:9">
      <c r="C58" t="s">
        <v>147</v>
      </c>
      <c r="H58" s="89">
        <v>3893020</v>
      </c>
      <c r="I58" s="83"/>
    </row>
    <row r="59" spans="1:9">
      <c r="C59" t="s">
        <v>172</v>
      </c>
      <c r="H59" s="89">
        <v>603291</v>
      </c>
      <c r="I59" s="83">
        <v>6875000</v>
      </c>
    </row>
    <row r="60" spans="1:9">
      <c r="C60" t="s">
        <v>42</v>
      </c>
      <c r="H60" s="89">
        <v>3176805</v>
      </c>
      <c r="I60" s="83">
        <v>1904900</v>
      </c>
    </row>
    <row r="61" spans="1:9">
      <c r="C61" t="s">
        <v>196</v>
      </c>
      <c r="H61" s="83"/>
      <c r="I61" s="83">
        <v>2289574</v>
      </c>
    </row>
    <row r="62" spans="1:9">
      <c r="B62" t="s">
        <v>45</v>
      </c>
      <c r="H62" s="93">
        <v>63756848</v>
      </c>
      <c r="I62" s="83">
        <v>-8469025</v>
      </c>
    </row>
    <row r="63" spans="1:9">
      <c r="H63" s="81"/>
      <c r="I63" s="81"/>
    </row>
    <row r="64" spans="1:9" s="3" customFormat="1">
      <c r="C64" s="9" t="s">
        <v>46</v>
      </c>
      <c r="D64" s="9"/>
      <c r="E64" s="9"/>
      <c r="F64" s="9"/>
      <c r="G64" s="9"/>
      <c r="H64" s="94">
        <f>SUM(H51:H62)</f>
        <v>292138359</v>
      </c>
      <c r="I64" s="94">
        <f>SUM(I51:I62)</f>
        <v>28574190</v>
      </c>
    </row>
    <row r="65" spans="3:9">
      <c r="H65" s="83"/>
      <c r="I65" s="83"/>
    </row>
    <row r="66" spans="3:9" s="3" customFormat="1">
      <c r="C66" s="10" t="s">
        <v>47</v>
      </c>
      <c r="D66" s="10"/>
      <c r="E66" s="10"/>
      <c r="F66" s="10"/>
      <c r="G66" s="10"/>
      <c r="H66" s="95">
        <f>SUM(H41+H64+H48)</f>
        <v>342315619</v>
      </c>
      <c r="I66" s="95">
        <f>SUM(I41+I64+I48)</f>
        <v>107070315</v>
      </c>
    </row>
    <row r="67" spans="3:9">
      <c r="H67" s="83"/>
      <c r="I67" s="83"/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4"/>
  <sheetViews>
    <sheetView zoomScale="80" zoomScaleNormal="80" zoomScalePageLayoutView="80" workbookViewId="0">
      <selection activeCell="K48" sqref="K48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  <col min="11" max="11" width="17.28515625" customWidth="1"/>
  </cols>
  <sheetData>
    <row r="1" spans="1:11" ht="18.75" customHeight="1">
      <c r="A1" s="1"/>
      <c r="B1" s="1"/>
      <c r="C1" s="1"/>
      <c r="D1" s="272" t="s">
        <v>197</v>
      </c>
      <c r="E1" s="272"/>
      <c r="F1" s="272"/>
      <c r="G1" s="272"/>
      <c r="H1" s="272"/>
      <c r="I1" s="97"/>
      <c r="J1" s="97"/>
    </row>
    <row r="2" spans="1:11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1" ht="14.25" customHeight="1">
      <c r="H4" s="276" t="s">
        <v>2</v>
      </c>
      <c r="I4" s="276"/>
      <c r="J4" s="276"/>
      <c r="K4" s="195"/>
    </row>
    <row r="5" spans="1:11" ht="31.5" customHeight="1">
      <c r="H5" s="105" t="s">
        <v>3</v>
      </c>
      <c r="I5" s="105" t="s">
        <v>157</v>
      </c>
      <c r="J5" s="105" t="s">
        <v>74</v>
      </c>
      <c r="K5" s="106" t="s">
        <v>4</v>
      </c>
    </row>
    <row r="6" spans="1:11">
      <c r="A6" s="3" t="s">
        <v>5</v>
      </c>
      <c r="D6" s="3"/>
      <c r="G6" s="4"/>
      <c r="H6" s="4"/>
      <c r="I6" s="4"/>
      <c r="J6" s="4"/>
    </row>
    <row r="7" spans="1:11">
      <c r="C7" t="s">
        <v>7</v>
      </c>
      <c r="H7" s="77">
        <v>47833925</v>
      </c>
      <c r="I7" s="83">
        <v>323060</v>
      </c>
      <c r="J7" s="83">
        <f t="shared" ref="J7:J23" si="0">SUM(H7:I7)</f>
        <v>48156985</v>
      </c>
      <c r="K7" s="83">
        <v>43385785</v>
      </c>
    </row>
    <row r="8" spans="1:11">
      <c r="C8" t="s">
        <v>8</v>
      </c>
      <c r="H8" s="84">
        <v>254012189</v>
      </c>
      <c r="I8" s="83">
        <v>1534237</v>
      </c>
      <c r="J8" s="83">
        <f t="shared" si="0"/>
        <v>255546426</v>
      </c>
      <c r="K8" s="83">
        <v>50541626</v>
      </c>
    </row>
    <row r="9" spans="1:11">
      <c r="C9" t="s">
        <v>198</v>
      </c>
      <c r="H9" s="78">
        <v>62053802</v>
      </c>
      <c r="I9" s="83">
        <v>550844</v>
      </c>
      <c r="J9" s="83">
        <f t="shared" si="0"/>
        <v>62604646</v>
      </c>
      <c r="K9" s="83">
        <v>79442776</v>
      </c>
    </row>
    <row r="10" spans="1:11">
      <c r="C10" t="s">
        <v>199</v>
      </c>
      <c r="H10" s="78">
        <v>2771729</v>
      </c>
      <c r="I10" s="83">
        <v>33551</v>
      </c>
      <c r="J10" s="83">
        <f t="shared" si="0"/>
        <v>2805280</v>
      </c>
      <c r="K10" s="83">
        <v>1283024</v>
      </c>
    </row>
    <row r="11" spans="1:11">
      <c r="C11" t="s">
        <v>76</v>
      </c>
      <c r="H11" s="79">
        <v>4408</v>
      </c>
      <c r="I11" s="83">
        <v>-4408</v>
      </c>
      <c r="J11" s="83">
        <f t="shared" si="0"/>
        <v>0</v>
      </c>
      <c r="K11" s="83"/>
    </row>
    <row r="12" spans="1:11">
      <c r="C12" t="s">
        <v>176</v>
      </c>
      <c r="H12" s="83"/>
      <c r="I12" s="83"/>
      <c r="J12" s="83">
        <f t="shared" si="0"/>
        <v>0</v>
      </c>
      <c r="K12" s="83">
        <v>60846</v>
      </c>
    </row>
    <row r="13" spans="1:11">
      <c r="C13" t="s">
        <v>200</v>
      </c>
      <c r="H13" s="78">
        <v>25764</v>
      </c>
      <c r="I13" s="83"/>
      <c r="J13" s="83">
        <f t="shared" si="0"/>
        <v>25764</v>
      </c>
      <c r="K13" s="83"/>
    </row>
    <row r="14" spans="1:11">
      <c r="C14" t="s">
        <v>125</v>
      </c>
      <c r="H14" s="79">
        <v>488700</v>
      </c>
      <c r="I14" s="83">
        <v>26741</v>
      </c>
      <c r="J14" s="83">
        <f t="shared" si="0"/>
        <v>515441</v>
      </c>
      <c r="K14" s="83">
        <v>2012295</v>
      </c>
    </row>
    <row r="15" spans="1:11">
      <c r="C15" t="s">
        <v>52</v>
      </c>
      <c r="H15" s="79">
        <v>998047</v>
      </c>
      <c r="I15" s="83"/>
      <c r="J15" s="83">
        <f t="shared" si="0"/>
        <v>998047</v>
      </c>
      <c r="K15" s="83">
        <v>1939692</v>
      </c>
    </row>
    <row r="16" spans="1:11">
      <c r="C16" t="s">
        <v>109</v>
      </c>
      <c r="H16" s="83"/>
      <c r="I16" s="83">
        <v>320</v>
      </c>
      <c r="J16" s="83">
        <f t="shared" si="0"/>
        <v>320</v>
      </c>
      <c r="K16" s="83">
        <v>1041703</v>
      </c>
    </row>
    <row r="17" spans="1:11">
      <c r="C17" t="s">
        <v>201</v>
      </c>
      <c r="H17" s="83"/>
      <c r="I17" s="83"/>
      <c r="J17" s="83">
        <f t="shared" si="0"/>
        <v>0</v>
      </c>
      <c r="K17" s="83"/>
    </row>
    <row r="18" spans="1:11">
      <c r="D18" t="s">
        <v>7</v>
      </c>
      <c r="H18" s="83"/>
      <c r="I18" s="83">
        <v>11882</v>
      </c>
      <c r="J18" s="83">
        <f t="shared" si="0"/>
        <v>11882</v>
      </c>
      <c r="K18" s="83">
        <v>4435646</v>
      </c>
    </row>
    <row r="19" spans="1:11">
      <c r="D19" t="s">
        <v>8</v>
      </c>
      <c r="H19" s="83"/>
      <c r="I19" s="83">
        <v>288173</v>
      </c>
      <c r="J19" s="83">
        <f t="shared" si="0"/>
        <v>288173</v>
      </c>
      <c r="K19" s="83">
        <v>7590803</v>
      </c>
    </row>
    <row r="20" spans="1:11">
      <c r="D20" t="s">
        <v>202</v>
      </c>
      <c r="H20" s="83"/>
      <c r="I20" s="83">
        <v>153051</v>
      </c>
      <c r="J20" s="83">
        <f t="shared" si="0"/>
        <v>153051</v>
      </c>
      <c r="K20" s="83">
        <v>2713172</v>
      </c>
    </row>
    <row r="21" spans="1:11">
      <c r="C21" t="s">
        <v>14</v>
      </c>
      <c r="H21" s="83"/>
      <c r="I21" s="83"/>
      <c r="J21" s="83">
        <f t="shared" si="0"/>
        <v>0</v>
      </c>
      <c r="K21" s="83"/>
    </row>
    <row r="22" spans="1:11">
      <c r="D22" t="s">
        <v>15</v>
      </c>
      <c r="H22" s="80">
        <v>427965041</v>
      </c>
      <c r="I22" s="83">
        <v>227920</v>
      </c>
      <c r="J22" s="83">
        <f t="shared" si="0"/>
        <v>428192961</v>
      </c>
      <c r="K22" s="83">
        <v>42292522</v>
      </c>
    </row>
    <row r="23" spans="1:11">
      <c r="D23" t="s">
        <v>16</v>
      </c>
      <c r="H23" s="91">
        <v>102872425</v>
      </c>
      <c r="I23" s="83">
        <v>9680095</v>
      </c>
      <c r="J23" s="83">
        <f t="shared" si="0"/>
        <v>112552520</v>
      </c>
      <c r="K23" s="83">
        <v>215355582</v>
      </c>
    </row>
    <row r="24" spans="1:11">
      <c r="H24" s="83"/>
      <c r="I24" s="81"/>
      <c r="J24" s="81"/>
      <c r="K24" s="81"/>
    </row>
    <row r="25" spans="1:11">
      <c r="A25" s="5"/>
      <c r="B25" s="5"/>
      <c r="C25" s="6" t="s">
        <v>17</v>
      </c>
      <c r="D25" s="6"/>
      <c r="E25" s="6"/>
      <c r="F25" s="6"/>
      <c r="G25" s="6"/>
      <c r="H25" s="82">
        <f>SUM(H7:H23)</f>
        <v>899026030</v>
      </c>
      <c r="I25" s="82">
        <f>SUM(I7:I23)</f>
        <v>12825466</v>
      </c>
      <c r="J25" s="82">
        <f>SUM(J7:J23)</f>
        <v>911851496</v>
      </c>
      <c r="K25" s="82">
        <f>SUM(K7:K23)</f>
        <v>452095472</v>
      </c>
    </row>
    <row r="26" spans="1:11">
      <c r="H26" s="83"/>
      <c r="I26" s="83"/>
      <c r="J26" s="83"/>
      <c r="K26" s="83"/>
    </row>
    <row r="27" spans="1:11">
      <c r="A27" s="5" t="s">
        <v>18</v>
      </c>
      <c r="H27" s="83"/>
      <c r="I27" s="83"/>
      <c r="J27" s="83"/>
      <c r="K27" s="83"/>
    </row>
    <row r="28" spans="1:11">
      <c r="C28" t="s">
        <v>203</v>
      </c>
      <c r="H28" s="83"/>
      <c r="I28" s="83"/>
      <c r="J28" s="83">
        <f>SUM(H28:I28)</f>
        <v>0</v>
      </c>
      <c r="K28" s="83">
        <v>59374</v>
      </c>
    </row>
    <row r="29" spans="1:11">
      <c r="C29" t="s">
        <v>204</v>
      </c>
      <c r="H29" s="83"/>
      <c r="I29" s="83"/>
      <c r="J29" s="83">
        <f t="shared" ref="J29:J30" si="1">SUM(H29:I29)</f>
        <v>0</v>
      </c>
      <c r="K29" s="83">
        <v>10668000</v>
      </c>
    </row>
    <row r="30" spans="1:11">
      <c r="C30" t="s">
        <v>205</v>
      </c>
      <c r="H30" s="83">
        <v>5963331</v>
      </c>
      <c r="I30" s="83"/>
      <c r="J30" s="83">
        <f t="shared" si="1"/>
        <v>5963331</v>
      </c>
      <c r="K30" s="83">
        <v>10209540</v>
      </c>
    </row>
    <row r="31" spans="1:11" s="5" customFormat="1">
      <c r="C31" s="5" t="s">
        <v>206</v>
      </c>
      <c r="H31" s="166">
        <f>SUM(H28:H30)</f>
        <v>5963331</v>
      </c>
      <c r="I31" s="166">
        <f t="shared" ref="I31:K31" si="2">SUM(I28:I30)</f>
        <v>0</v>
      </c>
      <c r="J31" s="166">
        <f t="shared" si="2"/>
        <v>5963331</v>
      </c>
      <c r="K31" s="166">
        <f t="shared" si="2"/>
        <v>20936914</v>
      </c>
    </row>
    <row r="32" spans="1:11">
      <c r="H32" s="83"/>
      <c r="I32" s="83"/>
      <c r="J32" s="83"/>
      <c r="K32" s="83"/>
    </row>
    <row r="33" spans="1:11">
      <c r="A33" s="5" t="s">
        <v>22</v>
      </c>
      <c r="H33" s="83"/>
      <c r="I33" s="83"/>
      <c r="J33" s="83"/>
      <c r="K33" s="83"/>
    </row>
    <row r="34" spans="1:11">
      <c r="C34" t="s">
        <v>207</v>
      </c>
      <c r="H34" s="84">
        <v>8118541</v>
      </c>
      <c r="I34" s="83">
        <v>188157</v>
      </c>
      <c r="J34" s="83">
        <f t="shared" ref="J34:J42" si="3">SUM(H34:I34)</f>
        <v>8306698</v>
      </c>
      <c r="K34" s="83">
        <v>11455655</v>
      </c>
    </row>
    <row r="35" spans="1:11">
      <c r="C35" t="s">
        <v>208</v>
      </c>
      <c r="H35" s="84">
        <v>4132661</v>
      </c>
      <c r="I35" s="83"/>
      <c r="J35" s="83">
        <f t="shared" si="3"/>
        <v>4132661</v>
      </c>
      <c r="K35" s="83">
        <v>10064354</v>
      </c>
    </row>
    <row r="36" spans="1:11">
      <c r="C36" t="s">
        <v>185</v>
      </c>
      <c r="H36" s="96">
        <v>60846</v>
      </c>
      <c r="I36" s="83"/>
      <c r="J36" s="83">
        <f t="shared" si="3"/>
        <v>60846</v>
      </c>
      <c r="K36" s="83"/>
    </row>
    <row r="37" spans="1:11">
      <c r="C37" t="s">
        <v>26</v>
      </c>
      <c r="H37" s="79">
        <v>3382097</v>
      </c>
      <c r="I37" s="83"/>
      <c r="J37" s="83">
        <f t="shared" si="3"/>
        <v>3382097</v>
      </c>
      <c r="K37" s="83">
        <v>1600562</v>
      </c>
    </row>
    <row r="38" spans="1:11">
      <c r="C38" t="s">
        <v>117</v>
      </c>
      <c r="H38" s="79">
        <v>172537</v>
      </c>
      <c r="I38" s="83"/>
      <c r="J38" s="83">
        <f t="shared" si="3"/>
        <v>172537</v>
      </c>
      <c r="K38" s="83">
        <v>327849</v>
      </c>
    </row>
    <row r="39" spans="1:11">
      <c r="C39" t="s">
        <v>209</v>
      </c>
      <c r="H39" s="83"/>
      <c r="I39" s="83">
        <v>169443</v>
      </c>
      <c r="J39" s="83">
        <f t="shared" si="3"/>
        <v>169443</v>
      </c>
      <c r="K39" s="83">
        <v>894726</v>
      </c>
    </row>
    <row r="40" spans="1:11">
      <c r="C40" t="s">
        <v>187</v>
      </c>
      <c r="H40" s="83"/>
      <c r="I40" s="83"/>
      <c r="J40" s="83">
        <f t="shared" si="3"/>
        <v>0</v>
      </c>
      <c r="K40" s="83"/>
    </row>
    <row r="41" spans="1:11">
      <c r="D41" t="s">
        <v>92</v>
      </c>
      <c r="H41" s="92">
        <v>2926865</v>
      </c>
      <c r="I41" s="83">
        <v>42456</v>
      </c>
      <c r="J41" s="83">
        <f t="shared" si="3"/>
        <v>2969321</v>
      </c>
      <c r="K41" s="83">
        <v>10956289</v>
      </c>
    </row>
    <row r="42" spans="1:11">
      <c r="D42" t="s">
        <v>93</v>
      </c>
      <c r="H42" s="77">
        <v>9767208</v>
      </c>
      <c r="I42" s="83">
        <v>232004</v>
      </c>
      <c r="J42" s="83">
        <f t="shared" si="3"/>
        <v>9999212</v>
      </c>
      <c r="K42" s="83">
        <v>62595999</v>
      </c>
    </row>
    <row r="43" spans="1:11">
      <c r="H43" s="81"/>
      <c r="I43" s="81"/>
      <c r="J43" s="81"/>
      <c r="K43" s="81"/>
    </row>
    <row r="44" spans="1:11">
      <c r="D44" s="7" t="s">
        <v>36</v>
      </c>
      <c r="E44" s="8"/>
      <c r="F44" s="8"/>
      <c r="G44" s="8"/>
      <c r="H44" s="87">
        <f>SUM(H34:H42)</f>
        <v>28560755</v>
      </c>
      <c r="I44" s="87">
        <f>SUM(I34:I42)</f>
        <v>632060</v>
      </c>
      <c r="J44" s="87">
        <f>SUM(J34:J42)</f>
        <v>29192815</v>
      </c>
      <c r="K44" s="87">
        <f>SUM(K34:K42)</f>
        <v>97895434</v>
      </c>
    </row>
    <row r="45" spans="1:11">
      <c r="H45" s="83"/>
      <c r="I45" s="83"/>
      <c r="J45" s="83"/>
      <c r="K45" s="83"/>
    </row>
    <row r="46" spans="1:11">
      <c r="A46" s="5" t="s">
        <v>37</v>
      </c>
      <c r="H46" s="83"/>
      <c r="I46" s="83"/>
      <c r="J46" s="83"/>
      <c r="K46" s="83"/>
    </row>
    <row r="47" spans="1:11">
      <c r="C47" t="s">
        <v>210</v>
      </c>
      <c r="H47" s="83">
        <v>49819728</v>
      </c>
      <c r="I47" s="83"/>
      <c r="J47" s="83">
        <f>SUM(H47:I47)</f>
        <v>49819728</v>
      </c>
      <c r="K47" s="83">
        <v>23589626</v>
      </c>
    </row>
    <row r="48" spans="1:11">
      <c r="C48" t="s">
        <v>211</v>
      </c>
      <c r="H48" s="83">
        <v>238778</v>
      </c>
      <c r="I48" s="83"/>
      <c r="J48" s="83">
        <f t="shared" ref="J48:J49" si="4">SUM(H48:I48)</f>
        <v>238778</v>
      </c>
      <c r="K48" s="83"/>
    </row>
    <row r="49" spans="1:11">
      <c r="C49" t="s">
        <v>205</v>
      </c>
      <c r="H49" s="83">
        <v>549550</v>
      </c>
      <c r="I49" s="83"/>
      <c r="J49" s="83">
        <f t="shared" si="4"/>
        <v>549550</v>
      </c>
      <c r="K49" s="122">
        <v>1362378</v>
      </c>
    </row>
    <row r="50" spans="1:11" s="5" customFormat="1">
      <c r="D50" s="5" t="s">
        <v>98</v>
      </c>
      <c r="H50" s="166">
        <f>SUM(H47:H49)</f>
        <v>50608056</v>
      </c>
      <c r="I50" s="166">
        <f t="shared" ref="I50:K50" si="5">SUM(I47:I49)</f>
        <v>0</v>
      </c>
      <c r="J50" s="166">
        <f t="shared" si="5"/>
        <v>50608056</v>
      </c>
      <c r="K50" s="166">
        <f t="shared" si="5"/>
        <v>24952004</v>
      </c>
    </row>
    <row r="51" spans="1:11">
      <c r="H51" s="83"/>
      <c r="I51" s="83"/>
      <c r="J51" s="83"/>
      <c r="K51" s="83"/>
    </row>
    <row r="52" spans="1:11">
      <c r="H52" s="83"/>
      <c r="I52" s="83"/>
      <c r="J52" s="83"/>
      <c r="K52" s="83"/>
    </row>
    <row r="53" spans="1:11">
      <c r="A53" s="3" t="s">
        <v>39</v>
      </c>
      <c r="H53" s="83"/>
      <c r="I53" s="83"/>
      <c r="J53" s="83"/>
      <c r="K53" s="83"/>
    </row>
    <row r="54" spans="1:11">
      <c r="B54" t="s">
        <v>40</v>
      </c>
      <c r="H54" s="88">
        <v>530837466</v>
      </c>
      <c r="I54" s="83">
        <v>9633555</v>
      </c>
      <c r="J54" s="83">
        <f>SUM(H54:I54)</f>
        <v>540471021</v>
      </c>
      <c r="K54" s="83">
        <v>217056007</v>
      </c>
    </row>
    <row r="55" spans="1:11" s="3" customFormat="1">
      <c r="A55"/>
      <c r="B55" t="s">
        <v>41</v>
      </c>
      <c r="C55"/>
      <c r="D55"/>
      <c r="E55"/>
      <c r="F55"/>
      <c r="G55"/>
      <c r="H55" s="83"/>
      <c r="I55" s="83"/>
      <c r="J55" s="83"/>
      <c r="K55" s="83"/>
    </row>
    <row r="56" spans="1:11" s="3" customFormat="1">
      <c r="A56"/>
      <c r="B56"/>
      <c r="C56" t="s">
        <v>42</v>
      </c>
      <c r="D56"/>
      <c r="E56"/>
      <c r="F56"/>
      <c r="G56"/>
      <c r="H56" s="83"/>
      <c r="I56" s="83">
        <v>287228</v>
      </c>
      <c r="J56" s="83">
        <f t="shared" ref="J56:J57" si="6">SUM(H56:I56)</f>
        <v>287228</v>
      </c>
      <c r="K56" s="83">
        <v>2496680</v>
      </c>
    </row>
    <row r="57" spans="1:11" s="3" customFormat="1">
      <c r="A57"/>
      <c r="B57"/>
      <c r="C57" t="s">
        <v>212</v>
      </c>
      <c r="D57"/>
      <c r="E57"/>
      <c r="F57"/>
      <c r="G57"/>
      <c r="H57" s="89">
        <v>122479766</v>
      </c>
      <c r="I57" s="83"/>
      <c r="J57" s="83">
        <f t="shared" si="6"/>
        <v>122479766</v>
      </c>
      <c r="K57" s="83"/>
    </row>
    <row r="58" spans="1:11">
      <c r="C58" t="s">
        <v>213</v>
      </c>
      <c r="H58" s="89">
        <v>86351450</v>
      </c>
      <c r="I58" s="83"/>
      <c r="J58" s="83">
        <f>SUM(H58:I58)</f>
        <v>86351450</v>
      </c>
      <c r="K58" s="83">
        <v>5438246</v>
      </c>
    </row>
    <row r="59" spans="1:11" s="3" customFormat="1">
      <c r="A59"/>
      <c r="B59" t="s">
        <v>45</v>
      </c>
      <c r="C59"/>
      <c r="D59"/>
      <c r="E59"/>
      <c r="F59"/>
      <c r="G59"/>
      <c r="H59" s="93">
        <v>86151868</v>
      </c>
      <c r="I59" s="83">
        <v>2272623</v>
      </c>
      <c r="J59" s="83">
        <f>SUM(H59:I59)</f>
        <v>88424491</v>
      </c>
      <c r="K59" s="83">
        <v>125194015</v>
      </c>
    </row>
    <row r="60" spans="1:11">
      <c r="H60" s="81"/>
      <c r="I60" s="81"/>
      <c r="J60" s="81"/>
      <c r="K60" s="81"/>
    </row>
    <row r="61" spans="1:11">
      <c r="A61" s="3"/>
      <c r="B61" s="3"/>
      <c r="C61" s="9" t="s">
        <v>46</v>
      </c>
      <c r="D61" s="9"/>
      <c r="E61" s="9"/>
      <c r="F61" s="9"/>
      <c r="G61" s="9"/>
      <c r="H61" s="94">
        <f>SUM(H54:H59)</f>
        <v>825820550</v>
      </c>
      <c r="I61" s="94">
        <f>SUM(I54:I59)</f>
        <v>12193406</v>
      </c>
      <c r="J61" s="94">
        <f t="shared" ref="J61:K61" si="7">SUM(J54:J59)</f>
        <v>838013956</v>
      </c>
      <c r="K61" s="94">
        <f t="shared" si="7"/>
        <v>350184948</v>
      </c>
    </row>
    <row r="62" spans="1:11">
      <c r="H62" s="83"/>
      <c r="I62" s="83"/>
      <c r="J62" s="83"/>
      <c r="K62" s="83"/>
    </row>
    <row r="63" spans="1:11">
      <c r="A63" s="3"/>
      <c r="B63" s="3"/>
      <c r="C63" s="10" t="s">
        <v>47</v>
      </c>
      <c r="D63" s="10"/>
      <c r="E63" s="10"/>
      <c r="F63" s="10"/>
      <c r="G63" s="10"/>
      <c r="H63" s="95">
        <f>SUM(H44+H61+H50)</f>
        <v>904989361</v>
      </c>
      <c r="I63" s="95">
        <f t="shared" ref="I63:K63" si="8">SUM(I44+I61+I50)</f>
        <v>12825466</v>
      </c>
      <c r="J63" s="95">
        <f t="shared" si="8"/>
        <v>917814827</v>
      </c>
      <c r="K63" s="95">
        <f t="shared" si="8"/>
        <v>473032386</v>
      </c>
    </row>
    <row r="64" spans="1:11">
      <c r="H64" s="83"/>
      <c r="I64" s="83"/>
      <c r="J64" s="83"/>
      <c r="K64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workbookViewId="0">
      <selection activeCell="I28" sqref="I28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214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7400441</v>
      </c>
    </row>
    <row r="7" spans="1:7">
      <c r="B7" t="s">
        <v>50</v>
      </c>
      <c r="G7" s="78">
        <v>1902779</v>
      </c>
    </row>
    <row r="8" spans="1:7">
      <c r="B8" t="s">
        <v>54</v>
      </c>
      <c r="G8" s="91">
        <v>16886347</v>
      </c>
    </row>
    <row r="9" spans="1:7">
      <c r="G9" s="83"/>
    </row>
    <row r="10" spans="1:7">
      <c r="A10" s="5"/>
      <c r="B10" s="6" t="s">
        <v>17</v>
      </c>
      <c r="C10" s="6"/>
      <c r="D10" s="6"/>
      <c r="E10" s="6"/>
      <c r="F10" s="6"/>
      <c r="G10" s="82">
        <f>SUM(G6:G8)</f>
        <v>26189567</v>
      </c>
    </row>
    <row r="11" spans="1:7">
      <c r="G11" s="83"/>
    </row>
    <row r="12" spans="1:7">
      <c r="A12" s="5" t="s">
        <v>215</v>
      </c>
      <c r="G12" s="83"/>
    </row>
    <row r="13" spans="1:7">
      <c r="B13" t="s">
        <v>20</v>
      </c>
      <c r="G13" s="122">
        <v>85830</v>
      </c>
    </row>
    <row r="14" spans="1:7">
      <c r="G14" s="83"/>
    </row>
    <row r="15" spans="1:7">
      <c r="A15" s="5" t="s">
        <v>22</v>
      </c>
      <c r="G15" s="83"/>
    </row>
    <row r="16" spans="1:7">
      <c r="A16" s="5"/>
      <c r="B16" t="s">
        <v>216</v>
      </c>
      <c r="G16" s="83"/>
    </row>
    <row r="17" spans="1:7">
      <c r="A17" s="5"/>
      <c r="B17" t="s">
        <v>144</v>
      </c>
      <c r="G17" s="84">
        <v>436806</v>
      </c>
    </row>
    <row r="18" spans="1:7">
      <c r="B18" t="s">
        <v>217</v>
      </c>
      <c r="G18" s="96">
        <v>57698</v>
      </c>
    </row>
    <row r="19" spans="1:7">
      <c r="B19" t="s">
        <v>115</v>
      </c>
      <c r="G19" s="86">
        <v>102079</v>
      </c>
    </row>
    <row r="20" spans="1:7">
      <c r="B20" t="s">
        <v>34</v>
      </c>
      <c r="G20" s="79">
        <v>86662</v>
      </c>
    </row>
    <row r="21" spans="1:7">
      <c r="G21" s="81"/>
    </row>
    <row r="22" spans="1:7">
      <c r="C22" s="7" t="s">
        <v>36</v>
      </c>
      <c r="D22" s="8"/>
      <c r="E22" s="8"/>
      <c r="F22" s="8"/>
      <c r="G22" s="87">
        <f>SUM(G17:G20)</f>
        <v>683245</v>
      </c>
    </row>
    <row r="23" spans="1:7">
      <c r="C23" s="5"/>
      <c r="G23" s="100"/>
    </row>
    <row r="24" spans="1:7" s="5" customFormat="1">
      <c r="A24" s="5" t="s">
        <v>218</v>
      </c>
      <c r="G24" s="100"/>
    </row>
    <row r="25" spans="1:7">
      <c r="B25" t="s">
        <v>20</v>
      </c>
      <c r="C25" s="5"/>
      <c r="G25" s="197">
        <v>35166</v>
      </c>
    </row>
    <row r="26" spans="1:7">
      <c r="G26" s="83"/>
    </row>
    <row r="27" spans="1:7">
      <c r="A27" s="3" t="s">
        <v>39</v>
      </c>
      <c r="G27" s="83"/>
    </row>
    <row r="28" spans="1:7">
      <c r="B28" t="s">
        <v>40</v>
      </c>
      <c r="G28" s="88">
        <v>16886347</v>
      </c>
    </row>
    <row r="29" spans="1:7">
      <c r="B29" t="s">
        <v>219</v>
      </c>
      <c r="G29" s="89">
        <v>8172641</v>
      </c>
    </row>
    <row r="30" spans="1:7">
      <c r="B30" t="s">
        <v>45</v>
      </c>
      <c r="G30" s="93">
        <v>497998</v>
      </c>
    </row>
    <row r="31" spans="1:7">
      <c r="G31" s="81"/>
    </row>
    <row r="32" spans="1:7">
      <c r="A32" s="3"/>
      <c r="B32" s="9" t="s">
        <v>46</v>
      </c>
      <c r="C32" s="9"/>
      <c r="D32" s="9"/>
      <c r="E32" s="9"/>
      <c r="F32" s="9"/>
      <c r="G32" s="94">
        <f>SUM(G28:G30)</f>
        <v>25556986</v>
      </c>
    </row>
    <row r="33" spans="1:7">
      <c r="G33" s="83"/>
    </row>
    <row r="34" spans="1:7">
      <c r="A34" s="3"/>
      <c r="B34" s="10" t="s">
        <v>47</v>
      </c>
      <c r="C34" s="10"/>
      <c r="D34" s="10"/>
      <c r="E34" s="10"/>
      <c r="F34" s="10"/>
      <c r="G34" s="95">
        <f>SUM(G22+G32+G25)</f>
        <v>26275397</v>
      </c>
    </row>
    <row r="35" spans="1:7">
      <c r="G35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1"/>
  <sheetViews>
    <sheetView workbookViewId="0">
      <selection activeCell="I21" sqref="I21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5.7109375" customWidth="1"/>
  </cols>
  <sheetData>
    <row r="1" spans="1:10" ht="18.75" customHeight="1">
      <c r="A1" s="1"/>
      <c r="B1" s="1"/>
      <c r="C1" s="1"/>
      <c r="D1" s="272" t="s">
        <v>220</v>
      </c>
      <c r="E1" s="272"/>
      <c r="F1" s="272"/>
      <c r="G1" s="272"/>
      <c r="H1" s="272"/>
    </row>
    <row r="2" spans="1:10" ht="18.600000000000001">
      <c r="A2" s="1"/>
      <c r="B2" s="1"/>
      <c r="C2" s="1"/>
      <c r="D2" s="271" t="s">
        <v>1</v>
      </c>
      <c r="E2" s="271"/>
      <c r="F2" s="271"/>
      <c r="G2" s="271"/>
      <c r="H2" s="271"/>
    </row>
    <row r="4" spans="1:10">
      <c r="H4" s="268"/>
      <c r="I4" s="173" t="s">
        <v>108</v>
      </c>
    </row>
    <row r="5" spans="1:10" ht="29.1">
      <c r="H5" s="105" t="s">
        <v>3</v>
      </c>
      <c r="I5" s="106" t="s">
        <v>221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7</v>
      </c>
      <c r="H7" s="77">
        <v>2146227</v>
      </c>
      <c r="I7" s="83">
        <v>116852</v>
      </c>
    </row>
    <row r="8" spans="1:10">
      <c r="C8" t="s">
        <v>222</v>
      </c>
      <c r="H8" s="77">
        <v>27472</v>
      </c>
      <c r="I8" s="83"/>
    </row>
    <row r="9" spans="1:10">
      <c r="C9" t="s">
        <v>223</v>
      </c>
      <c r="H9" s="77">
        <v>38193</v>
      </c>
      <c r="I9" s="83"/>
    </row>
    <row r="10" spans="1:10">
      <c r="C10" t="s">
        <v>50</v>
      </c>
      <c r="H10" s="78">
        <v>1487134</v>
      </c>
      <c r="I10" s="83">
        <v>14895</v>
      </c>
    </row>
    <row r="11" spans="1:10">
      <c r="C11" t="s">
        <v>109</v>
      </c>
      <c r="H11" s="79">
        <v>83326</v>
      </c>
      <c r="I11" s="83"/>
    </row>
    <row r="12" spans="1:10">
      <c r="C12" t="s">
        <v>54</v>
      </c>
      <c r="H12" s="91">
        <v>6900530</v>
      </c>
      <c r="I12" s="83">
        <v>92646</v>
      </c>
    </row>
    <row r="13" spans="1:10">
      <c r="H13" s="83"/>
      <c r="I13" s="81"/>
    </row>
    <row r="14" spans="1:10" s="5" customFormat="1">
      <c r="C14" s="6" t="s">
        <v>17</v>
      </c>
      <c r="D14" s="6"/>
      <c r="E14" s="6"/>
      <c r="F14" s="6"/>
      <c r="G14" s="6"/>
      <c r="H14" s="82">
        <f>SUM(H7:H12)</f>
        <v>10682882</v>
      </c>
      <c r="I14" s="82">
        <f>SUM(I7:I12)</f>
        <v>224393</v>
      </c>
    </row>
    <row r="15" spans="1:10" s="5" customFormat="1">
      <c r="H15" s="100"/>
      <c r="I15" s="100"/>
    </row>
    <row r="16" spans="1:10" s="5" customFormat="1">
      <c r="A16" s="5" t="s">
        <v>215</v>
      </c>
      <c r="H16" s="100"/>
      <c r="I16" s="100"/>
    </row>
    <row r="17" spans="1:9">
      <c r="B17" t="s">
        <v>224</v>
      </c>
      <c r="H17" s="122">
        <v>54981</v>
      </c>
      <c r="I17" s="122"/>
    </row>
    <row r="18" spans="1:9">
      <c r="H18" s="83"/>
      <c r="I18" s="83"/>
    </row>
    <row r="19" spans="1:9">
      <c r="A19" s="5" t="s">
        <v>22</v>
      </c>
      <c r="H19" s="83"/>
      <c r="I19" s="83"/>
    </row>
    <row r="20" spans="1:9">
      <c r="C20" t="s">
        <v>144</v>
      </c>
      <c r="H20" s="84">
        <v>656405</v>
      </c>
      <c r="I20" s="83">
        <v>522</v>
      </c>
    </row>
    <row r="21" spans="1:9">
      <c r="C21" t="s">
        <v>32</v>
      </c>
      <c r="H21" s="86">
        <v>36269</v>
      </c>
      <c r="I21" s="83"/>
    </row>
    <row r="22" spans="1:9">
      <c r="C22" t="s">
        <v>225</v>
      </c>
      <c r="H22" s="92">
        <v>107000</v>
      </c>
      <c r="I22" s="83"/>
    </row>
    <row r="23" spans="1:9">
      <c r="C23" t="s">
        <v>226</v>
      </c>
      <c r="H23" s="77">
        <v>165000</v>
      </c>
      <c r="I23" s="83"/>
    </row>
    <row r="24" spans="1:9">
      <c r="C24" t="s">
        <v>34</v>
      </c>
      <c r="H24" s="77">
        <v>26562</v>
      </c>
      <c r="I24" s="83"/>
    </row>
    <row r="25" spans="1:9">
      <c r="H25" s="81"/>
      <c r="I25" s="81"/>
    </row>
    <row r="26" spans="1:9">
      <c r="D26" s="7" t="s">
        <v>36</v>
      </c>
      <c r="E26" s="8"/>
      <c r="F26" s="8"/>
      <c r="G26" s="8"/>
      <c r="H26" s="87">
        <f>SUM(H20:H24)</f>
        <v>991236</v>
      </c>
      <c r="I26" s="87">
        <f>SUM(I20:I24)</f>
        <v>522</v>
      </c>
    </row>
    <row r="27" spans="1:9">
      <c r="H27" s="83"/>
      <c r="I27" s="83"/>
    </row>
    <row r="28" spans="1:9">
      <c r="A28" s="5" t="s">
        <v>218</v>
      </c>
      <c r="H28" s="83"/>
      <c r="I28" s="83"/>
    </row>
    <row r="29" spans="1:9">
      <c r="A29" s="5"/>
      <c r="C29" t="s">
        <v>227</v>
      </c>
      <c r="H29" s="83">
        <v>12106</v>
      </c>
      <c r="I29" s="83"/>
    </row>
    <row r="30" spans="1:9">
      <c r="C30" t="s">
        <v>228</v>
      </c>
      <c r="H30" s="122">
        <v>14776</v>
      </c>
      <c r="I30" s="122"/>
    </row>
    <row r="31" spans="1:9" s="5" customFormat="1">
      <c r="D31" s="5" t="s">
        <v>38</v>
      </c>
      <c r="H31" s="100">
        <f>SUM(H29:H30)</f>
        <v>26882</v>
      </c>
      <c r="I31" s="100">
        <f>SUM(I29:I30)</f>
        <v>0</v>
      </c>
    </row>
    <row r="32" spans="1:9">
      <c r="H32" s="83"/>
      <c r="I32" s="83"/>
    </row>
    <row r="33" spans="1:9">
      <c r="A33" s="3" t="s">
        <v>39</v>
      </c>
      <c r="H33" s="83"/>
      <c r="I33" s="83"/>
    </row>
    <row r="34" spans="1:9">
      <c r="B34" t="s">
        <v>40</v>
      </c>
      <c r="H34" s="88">
        <v>6900530</v>
      </c>
      <c r="I34" s="83">
        <v>92646</v>
      </c>
    </row>
    <row r="35" spans="1:9">
      <c r="B35" t="s">
        <v>229</v>
      </c>
      <c r="H35" s="154">
        <v>2035217</v>
      </c>
      <c r="I35" s="83">
        <v>131225</v>
      </c>
    </row>
    <row r="36" spans="1:9">
      <c r="B36" t="s">
        <v>230</v>
      </c>
      <c r="H36" s="93">
        <v>783998</v>
      </c>
      <c r="I36" s="83"/>
    </row>
    <row r="37" spans="1:9">
      <c r="H37" s="81"/>
      <c r="I37" s="81"/>
    </row>
    <row r="38" spans="1:9" s="3" customFormat="1">
      <c r="C38" s="9" t="s">
        <v>46</v>
      </c>
      <c r="D38" s="9"/>
      <c r="E38" s="9"/>
      <c r="F38" s="9"/>
      <c r="G38" s="9"/>
      <c r="H38" s="94">
        <f>SUM(H34:H36)</f>
        <v>9719745</v>
      </c>
      <c r="I38" s="94">
        <f>SUM(I34:I36)</f>
        <v>223871</v>
      </c>
    </row>
    <row r="39" spans="1:9">
      <c r="H39" s="83"/>
      <c r="I39" s="83"/>
    </row>
    <row r="40" spans="1:9" s="3" customFormat="1">
      <c r="C40" s="10" t="s">
        <v>47</v>
      </c>
      <c r="D40" s="10"/>
      <c r="E40" s="10"/>
      <c r="F40" s="10"/>
      <c r="G40" s="10"/>
      <c r="H40" s="95">
        <f>SUM(H26+H38+H31)</f>
        <v>10737863</v>
      </c>
      <c r="I40" s="95">
        <f>SUM(I26+I38+I31)</f>
        <v>224393</v>
      </c>
    </row>
    <row r="41" spans="1:9">
      <c r="H41" s="83"/>
      <c r="I41" s="83"/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3"/>
  <sheetViews>
    <sheetView workbookViewId="0">
      <selection activeCell="L15" sqref="L15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231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232</v>
      </c>
      <c r="G6" s="77">
        <v>16575500</v>
      </c>
    </row>
    <row r="7" spans="1:7">
      <c r="B7" t="s">
        <v>8</v>
      </c>
      <c r="G7" s="84">
        <v>11477630</v>
      </c>
    </row>
    <row r="8" spans="1:7">
      <c r="B8" t="s">
        <v>123</v>
      </c>
      <c r="G8" s="78">
        <v>13918620</v>
      </c>
    </row>
    <row r="9" spans="1:7">
      <c r="B9" t="s">
        <v>233</v>
      </c>
      <c r="G9" s="79">
        <v>1858050</v>
      </c>
    </row>
    <row r="10" spans="1:7">
      <c r="B10" t="s">
        <v>234</v>
      </c>
      <c r="G10" s="79">
        <v>197269</v>
      </c>
    </row>
    <row r="11" spans="1:7">
      <c r="B11" t="s">
        <v>54</v>
      </c>
      <c r="G11" s="91">
        <v>123784927</v>
      </c>
    </row>
    <row r="12" spans="1:7">
      <c r="G12" s="83"/>
    </row>
    <row r="13" spans="1:7">
      <c r="A13" s="5"/>
      <c r="B13" s="6" t="s">
        <v>17</v>
      </c>
      <c r="C13" s="6"/>
      <c r="D13" s="6"/>
      <c r="E13" s="6"/>
      <c r="F13" s="6"/>
      <c r="G13" s="82">
        <f>SUM(G6:G11)</f>
        <v>167811996</v>
      </c>
    </row>
    <row r="14" spans="1:7">
      <c r="G14" s="83"/>
    </row>
    <row r="15" spans="1:7" s="5" customFormat="1">
      <c r="A15" s="5" t="s">
        <v>18</v>
      </c>
      <c r="G15" s="197">
        <v>1016716</v>
      </c>
    </row>
    <row r="16" spans="1:7">
      <c r="G16" s="83"/>
    </row>
    <row r="17" spans="1:7">
      <c r="A17" s="5" t="s">
        <v>22</v>
      </c>
      <c r="G17" s="83"/>
    </row>
    <row r="18" spans="1:7">
      <c r="A18" s="5"/>
      <c r="B18" t="s">
        <v>144</v>
      </c>
      <c r="G18" s="84">
        <v>1999259</v>
      </c>
    </row>
    <row r="19" spans="1:7">
      <c r="B19" t="s">
        <v>217</v>
      </c>
      <c r="G19" s="96">
        <v>2551196</v>
      </c>
    </row>
    <row r="20" spans="1:7">
      <c r="B20" t="s">
        <v>26</v>
      </c>
      <c r="G20" s="79">
        <v>17231</v>
      </c>
    </row>
    <row r="21" spans="1:7">
      <c r="B21" t="s">
        <v>145</v>
      </c>
      <c r="G21" s="84">
        <v>22491</v>
      </c>
    </row>
    <row r="22" spans="1:7">
      <c r="B22" t="s">
        <v>29</v>
      </c>
      <c r="G22" s="83"/>
    </row>
    <row r="23" spans="1:7">
      <c r="C23" t="s">
        <v>92</v>
      </c>
      <c r="G23" s="92">
        <v>1183863</v>
      </c>
    </row>
    <row r="24" spans="1:7">
      <c r="C24" t="s">
        <v>235</v>
      </c>
      <c r="G24" s="77">
        <v>3075083</v>
      </c>
    </row>
    <row r="25" spans="1:7">
      <c r="G25" s="81"/>
    </row>
    <row r="26" spans="1:7">
      <c r="C26" s="7" t="s">
        <v>36</v>
      </c>
      <c r="D26" s="8"/>
      <c r="E26" s="8"/>
      <c r="F26" s="8"/>
      <c r="G26" s="87">
        <f>SUM(G18:G24)</f>
        <v>8849123</v>
      </c>
    </row>
    <row r="27" spans="1:7">
      <c r="G27" s="83"/>
    </row>
    <row r="28" spans="1:7">
      <c r="A28" s="5" t="s">
        <v>37</v>
      </c>
      <c r="G28" s="197">
        <v>1986478</v>
      </c>
    </row>
    <row r="29" spans="1:7">
      <c r="G29" s="83"/>
    </row>
    <row r="30" spans="1:7">
      <c r="A30" s="3" t="s">
        <v>39</v>
      </c>
      <c r="G30" s="83"/>
    </row>
    <row r="31" spans="1:7">
      <c r="B31" t="s">
        <v>40</v>
      </c>
      <c r="G31" s="88">
        <v>121538091</v>
      </c>
    </row>
    <row r="32" spans="1:7">
      <c r="B32" t="s">
        <v>236</v>
      </c>
      <c r="G32" s="83"/>
    </row>
    <row r="33" spans="1:7">
      <c r="C33" t="s">
        <v>67</v>
      </c>
      <c r="G33" s="89">
        <v>48266</v>
      </c>
    </row>
    <row r="34" spans="1:7">
      <c r="C34" t="s">
        <v>42</v>
      </c>
      <c r="G34" s="89">
        <v>646986</v>
      </c>
    </row>
    <row r="35" spans="1:7">
      <c r="C35" t="s">
        <v>237</v>
      </c>
      <c r="G35" s="89">
        <v>44880</v>
      </c>
    </row>
    <row r="36" spans="1:7">
      <c r="C36" t="s">
        <v>177</v>
      </c>
      <c r="G36" s="89">
        <v>1909983</v>
      </c>
    </row>
    <row r="37" spans="1:7">
      <c r="C37" t="s">
        <v>136</v>
      </c>
      <c r="G37" s="89">
        <v>145336</v>
      </c>
    </row>
    <row r="38" spans="1:7">
      <c r="B38" t="s">
        <v>238</v>
      </c>
      <c r="G38" s="93">
        <v>33659569</v>
      </c>
    </row>
    <row r="39" spans="1:7">
      <c r="G39" s="83"/>
    </row>
    <row r="40" spans="1:7">
      <c r="A40" s="3"/>
      <c r="B40" s="9" t="s">
        <v>46</v>
      </c>
      <c r="C40" s="9"/>
      <c r="D40" s="9"/>
      <c r="E40" s="9"/>
      <c r="F40" s="9"/>
      <c r="G40" s="94">
        <f>SUM(G31:G38)</f>
        <v>157993111</v>
      </c>
    </row>
    <row r="41" spans="1:7">
      <c r="G41" s="83"/>
    </row>
    <row r="42" spans="1:7">
      <c r="A42" s="3"/>
      <c r="B42" s="10" t="s">
        <v>47</v>
      </c>
      <c r="C42" s="10"/>
      <c r="D42" s="10"/>
      <c r="E42" s="10"/>
      <c r="F42" s="10"/>
      <c r="G42" s="95">
        <f>SUM(G26+G40+G28)</f>
        <v>168828712</v>
      </c>
    </row>
    <row r="43" spans="1:7">
      <c r="G43" s="83"/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6"/>
  <sheetViews>
    <sheetView workbookViewId="0">
      <selection activeCell="H23" sqref="H23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239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6780670</v>
      </c>
    </row>
    <row r="7" spans="1:7">
      <c r="B7" t="s">
        <v>8</v>
      </c>
      <c r="G7" s="84">
        <v>793544</v>
      </c>
    </row>
    <row r="8" spans="1:7">
      <c r="B8" t="s">
        <v>50</v>
      </c>
      <c r="G8" s="78">
        <v>3238498</v>
      </c>
    </row>
    <row r="9" spans="1:7">
      <c r="B9" t="s">
        <v>240</v>
      </c>
      <c r="G9" s="79">
        <v>26080</v>
      </c>
    </row>
    <row r="10" spans="1:7">
      <c r="B10" t="s">
        <v>241</v>
      </c>
      <c r="G10" s="79">
        <v>106117</v>
      </c>
    </row>
    <row r="11" spans="1:7">
      <c r="B11" t="s">
        <v>54</v>
      </c>
      <c r="G11" s="91">
        <v>8351695</v>
      </c>
    </row>
    <row r="12" spans="1:7">
      <c r="G12" s="83"/>
    </row>
    <row r="13" spans="1:7">
      <c r="A13" s="5"/>
      <c r="B13" s="6" t="s">
        <v>17</v>
      </c>
      <c r="C13" s="6"/>
      <c r="D13" s="6"/>
      <c r="E13" s="6"/>
      <c r="F13" s="6"/>
      <c r="G13" s="82">
        <f>SUM(G6:G11)</f>
        <v>19296604</v>
      </c>
    </row>
    <row r="14" spans="1:7">
      <c r="A14" s="5"/>
      <c r="B14" s="5"/>
      <c r="C14" s="5"/>
      <c r="D14" s="5"/>
      <c r="E14" s="5"/>
      <c r="F14" s="5"/>
      <c r="G14" s="100"/>
    </row>
    <row r="15" spans="1:7">
      <c r="A15" s="5" t="s">
        <v>215</v>
      </c>
      <c r="B15" s="5"/>
      <c r="C15" s="5"/>
      <c r="D15" s="5"/>
      <c r="E15" s="5"/>
      <c r="F15" s="5"/>
      <c r="G15" s="100"/>
    </row>
    <row r="16" spans="1:7">
      <c r="B16" t="s">
        <v>242</v>
      </c>
      <c r="G16" s="122">
        <v>129494</v>
      </c>
    </row>
    <row r="17" spans="1:7">
      <c r="G17" s="83"/>
    </row>
    <row r="18" spans="1:7">
      <c r="A18" s="5" t="s">
        <v>22</v>
      </c>
      <c r="G18" s="83"/>
    </row>
    <row r="19" spans="1:7">
      <c r="A19" s="5"/>
      <c r="B19" t="s">
        <v>144</v>
      </c>
      <c r="G19" s="84">
        <v>547636</v>
      </c>
    </row>
    <row r="20" spans="1:7">
      <c r="B20" t="s">
        <v>217</v>
      </c>
      <c r="G20" s="96">
        <v>14025</v>
      </c>
    </row>
    <row r="21" spans="1:7">
      <c r="B21" t="s">
        <v>243</v>
      </c>
      <c r="G21" s="79">
        <v>15626</v>
      </c>
    </row>
    <row r="22" spans="1:7">
      <c r="B22" t="s">
        <v>115</v>
      </c>
      <c r="G22" s="86">
        <v>70564</v>
      </c>
    </row>
    <row r="23" spans="1:7">
      <c r="B23" t="s">
        <v>244</v>
      </c>
      <c r="G23" s="92">
        <v>155000</v>
      </c>
    </row>
    <row r="24" spans="1:7">
      <c r="B24" t="s">
        <v>245</v>
      </c>
      <c r="G24" s="77">
        <v>1390000</v>
      </c>
    </row>
    <row r="25" spans="1:7">
      <c r="B25" t="s">
        <v>34</v>
      </c>
      <c r="G25" s="79">
        <v>87240</v>
      </c>
    </row>
    <row r="26" spans="1:7">
      <c r="G26" s="81"/>
    </row>
    <row r="27" spans="1:7">
      <c r="C27" s="7" t="s">
        <v>36</v>
      </c>
      <c r="D27" s="8"/>
      <c r="E27" s="8"/>
      <c r="F27" s="8"/>
      <c r="G27" s="87">
        <f>SUM(G19:G25)</f>
        <v>2280091</v>
      </c>
    </row>
    <row r="28" spans="1:7">
      <c r="G28" s="83"/>
    </row>
    <row r="29" spans="1:7" s="5" customFormat="1">
      <c r="A29" s="5" t="s">
        <v>218</v>
      </c>
      <c r="G29" s="100"/>
    </row>
    <row r="30" spans="1:7">
      <c r="B30" t="s">
        <v>227</v>
      </c>
      <c r="G30" s="122">
        <v>33504</v>
      </c>
    </row>
    <row r="31" spans="1:7">
      <c r="G31" s="83"/>
    </row>
    <row r="32" spans="1:7">
      <c r="A32" s="3" t="s">
        <v>39</v>
      </c>
      <c r="G32" s="83"/>
    </row>
    <row r="33" spans="1:7">
      <c r="B33" t="s">
        <v>40</v>
      </c>
      <c r="G33" s="88">
        <v>6806695</v>
      </c>
    </row>
    <row r="34" spans="1:7">
      <c r="B34" t="s">
        <v>41</v>
      </c>
      <c r="G34" s="83"/>
    </row>
    <row r="35" spans="1:7">
      <c r="C35" t="s">
        <v>246</v>
      </c>
      <c r="G35" s="89">
        <v>587824</v>
      </c>
    </row>
    <row r="36" spans="1:7">
      <c r="C36" t="s">
        <v>247</v>
      </c>
      <c r="G36" s="89">
        <v>162333</v>
      </c>
    </row>
    <row r="37" spans="1:7">
      <c r="C37" t="s">
        <v>69</v>
      </c>
      <c r="G37" s="89">
        <v>2871650</v>
      </c>
    </row>
    <row r="38" spans="1:7">
      <c r="C38" t="s">
        <v>101</v>
      </c>
      <c r="G38" s="89">
        <v>266061</v>
      </c>
    </row>
    <row r="39" spans="1:7">
      <c r="C39" t="s">
        <v>102</v>
      </c>
      <c r="G39" s="89">
        <v>244831</v>
      </c>
    </row>
    <row r="40" spans="1:7">
      <c r="C40" t="s">
        <v>147</v>
      </c>
      <c r="G40" s="89">
        <v>1395262</v>
      </c>
    </row>
    <row r="41" spans="1:7">
      <c r="B41" t="s">
        <v>45</v>
      </c>
      <c r="G41" s="93">
        <v>4777847</v>
      </c>
    </row>
    <row r="42" spans="1:7">
      <c r="G42" s="83"/>
    </row>
    <row r="43" spans="1:7">
      <c r="A43" s="3"/>
      <c r="B43" s="9" t="s">
        <v>46</v>
      </c>
      <c r="C43" s="9"/>
      <c r="D43" s="9"/>
      <c r="E43" s="9"/>
      <c r="F43" s="9"/>
      <c r="G43" s="94">
        <f>SUM(G33:G41)</f>
        <v>17112503</v>
      </c>
    </row>
    <row r="44" spans="1:7">
      <c r="G44" s="83"/>
    </row>
    <row r="45" spans="1:7">
      <c r="A45" s="3"/>
      <c r="B45" s="10" t="s">
        <v>47</v>
      </c>
      <c r="C45" s="10"/>
      <c r="D45" s="10"/>
      <c r="E45" s="10"/>
      <c r="F45" s="10"/>
      <c r="G45" s="95">
        <f>SUM(G27+G43+G30)</f>
        <v>19426098</v>
      </c>
    </row>
    <row r="46" spans="1:7">
      <c r="G46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2"/>
  <sheetViews>
    <sheetView workbookViewId="0">
      <selection activeCell="J47" sqref="J47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18.2851562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248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A6" s="3"/>
      <c r="B6" s="5" t="s">
        <v>6</v>
      </c>
      <c r="C6" s="3"/>
      <c r="F6" s="4"/>
      <c r="G6" s="4"/>
    </row>
    <row r="7" spans="1:7">
      <c r="B7" t="s">
        <v>7</v>
      </c>
      <c r="G7" s="77">
        <v>8008253</v>
      </c>
    </row>
    <row r="8" spans="1:7">
      <c r="B8" t="s">
        <v>249</v>
      </c>
      <c r="G8" s="77">
        <v>2542427</v>
      </c>
    </row>
    <row r="9" spans="1:7">
      <c r="B9" t="s">
        <v>250</v>
      </c>
      <c r="G9" s="78">
        <v>131838</v>
      </c>
    </row>
    <row r="10" spans="1:7">
      <c r="B10" t="s">
        <v>251</v>
      </c>
      <c r="G10" s="78">
        <v>1569088</v>
      </c>
    </row>
    <row r="11" spans="1:7">
      <c r="B11" t="s">
        <v>252</v>
      </c>
      <c r="G11" s="78">
        <v>167250</v>
      </c>
    </row>
    <row r="12" spans="1:7">
      <c r="B12" t="s">
        <v>253</v>
      </c>
      <c r="G12" s="78">
        <v>183685</v>
      </c>
    </row>
    <row r="13" spans="1:7">
      <c r="G13" s="83"/>
    </row>
    <row r="14" spans="1:7">
      <c r="A14" s="5"/>
      <c r="B14" s="6" t="s">
        <v>17</v>
      </c>
      <c r="C14" s="6"/>
      <c r="D14" s="6"/>
      <c r="E14" s="6"/>
      <c r="F14" s="6"/>
      <c r="G14" s="82">
        <f>SUM(G7:G12)</f>
        <v>12602541</v>
      </c>
    </row>
    <row r="15" spans="1:7">
      <c r="A15" s="5"/>
      <c r="B15" s="5"/>
      <c r="C15" s="5"/>
      <c r="D15" s="5"/>
      <c r="E15" s="5"/>
      <c r="F15" s="5"/>
      <c r="G15" s="100"/>
    </row>
    <row r="16" spans="1:7">
      <c r="A16" s="5"/>
      <c r="B16" s="5" t="s">
        <v>254</v>
      </c>
      <c r="C16" s="5"/>
      <c r="D16" s="5"/>
      <c r="E16" s="5"/>
      <c r="F16" s="5"/>
      <c r="G16" s="100"/>
    </row>
    <row r="17" spans="1:7">
      <c r="A17" s="5"/>
      <c r="B17" t="s">
        <v>255</v>
      </c>
      <c r="C17" s="5"/>
      <c r="D17" s="5"/>
      <c r="E17" s="5"/>
      <c r="F17" s="5"/>
      <c r="G17" s="122">
        <v>10080096</v>
      </c>
    </row>
    <row r="18" spans="1:7">
      <c r="A18" s="5"/>
      <c r="C18" s="5"/>
      <c r="D18" s="5"/>
      <c r="E18" s="5"/>
      <c r="F18" s="5"/>
      <c r="G18" s="198">
        <f>SUM(G14+G17)</f>
        <v>22682637</v>
      </c>
    </row>
    <row r="19" spans="1:7">
      <c r="A19" s="5"/>
      <c r="C19" s="5"/>
      <c r="D19" s="5"/>
      <c r="E19" s="5"/>
      <c r="F19" s="5"/>
      <c r="G19" s="100"/>
    </row>
    <row r="20" spans="1:7" s="5" customFormat="1">
      <c r="B20" s="5" t="s">
        <v>80</v>
      </c>
      <c r="G20" s="100"/>
    </row>
    <row r="21" spans="1:7">
      <c r="B21" t="s">
        <v>256</v>
      </c>
      <c r="G21" s="122">
        <v>234703</v>
      </c>
    </row>
    <row r="22" spans="1:7">
      <c r="G22" s="100">
        <f>G21+G18</f>
        <v>22917340</v>
      </c>
    </row>
    <row r="23" spans="1:7">
      <c r="G23" s="83"/>
    </row>
    <row r="24" spans="1:7">
      <c r="A24" s="5" t="s">
        <v>257</v>
      </c>
      <c r="G24" s="83"/>
    </row>
    <row r="25" spans="1:7">
      <c r="A25" s="5"/>
      <c r="B25" s="5" t="s">
        <v>258</v>
      </c>
      <c r="G25" s="83"/>
    </row>
    <row r="26" spans="1:7">
      <c r="C26" t="s">
        <v>23</v>
      </c>
      <c r="G26" s="84">
        <v>216980</v>
      </c>
    </row>
    <row r="27" spans="1:7">
      <c r="C27" t="s">
        <v>259</v>
      </c>
      <c r="G27" s="79">
        <v>92325</v>
      </c>
    </row>
    <row r="28" spans="1:7">
      <c r="C28" t="s">
        <v>145</v>
      </c>
      <c r="G28" s="84">
        <v>217504</v>
      </c>
    </row>
    <row r="29" spans="1:7">
      <c r="C29" t="s">
        <v>260</v>
      </c>
      <c r="G29" s="92">
        <v>413369</v>
      </c>
    </row>
    <row r="30" spans="1:7">
      <c r="G30" s="198">
        <f>SUM(G26:G29)</f>
        <v>940178</v>
      </c>
    </row>
    <row r="31" spans="1:7">
      <c r="G31" s="83"/>
    </row>
    <row r="32" spans="1:7">
      <c r="B32" s="5" t="s">
        <v>261</v>
      </c>
      <c r="G32" s="83"/>
    </row>
    <row r="33" spans="1:7">
      <c r="B33" s="5"/>
      <c r="C33" t="s">
        <v>262</v>
      </c>
      <c r="G33" s="79">
        <v>8419519</v>
      </c>
    </row>
    <row r="34" spans="1:7">
      <c r="C34" t="s">
        <v>34</v>
      </c>
      <c r="G34" s="77">
        <v>76459</v>
      </c>
    </row>
    <row r="35" spans="1:7">
      <c r="G35" s="100">
        <f>SUM(G33:G34)</f>
        <v>8495978</v>
      </c>
    </row>
    <row r="37" spans="1:7">
      <c r="C37" s="7" t="s">
        <v>36</v>
      </c>
      <c r="D37" s="8"/>
      <c r="E37" s="8"/>
      <c r="F37" s="8"/>
      <c r="G37" s="87">
        <f>G35+G30</f>
        <v>9436156</v>
      </c>
    </row>
    <row r="38" spans="1:7">
      <c r="C38" s="5"/>
      <c r="G38" s="100"/>
    </row>
    <row r="39" spans="1:7" s="5" customFormat="1">
      <c r="A39" s="5" t="s">
        <v>97</v>
      </c>
      <c r="G39" s="100"/>
    </row>
    <row r="40" spans="1:7">
      <c r="B40" t="s">
        <v>192</v>
      </c>
      <c r="C40" s="5"/>
      <c r="G40" s="197">
        <v>34846</v>
      </c>
    </row>
    <row r="41" spans="1:7">
      <c r="G41" s="83"/>
    </row>
    <row r="42" spans="1:7">
      <c r="A42" s="3" t="s">
        <v>39</v>
      </c>
      <c r="G42" s="83"/>
    </row>
    <row r="43" spans="1:7">
      <c r="B43" t="s">
        <v>40</v>
      </c>
      <c r="G43" s="88">
        <v>1247208</v>
      </c>
    </row>
    <row r="44" spans="1:7">
      <c r="B44" t="s">
        <v>41</v>
      </c>
      <c r="G44" s="83"/>
    </row>
    <row r="45" spans="1:7">
      <c r="C45" t="s">
        <v>42</v>
      </c>
      <c r="G45" s="89">
        <v>3206009</v>
      </c>
    </row>
    <row r="46" spans="1:7">
      <c r="C46" t="s">
        <v>263</v>
      </c>
      <c r="G46" s="89">
        <v>5041759</v>
      </c>
    </row>
    <row r="47" spans="1:7">
      <c r="B47" t="s">
        <v>45</v>
      </c>
      <c r="G47" s="93">
        <v>3951362</v>
      </c>
    </row>
    <row r="48" spans="1:7">
      <c r="G48" s="81"/>
    </row>
    <row r="49" spans="1:7">
      <c r="A49" s="3"/>
      <c r="B49" s="9" t="s">
        <v>46</v>
      </c>
      <c r="C49" s="9"/>
      <c r="D49" s="9"/>
      <c r="E49" s="9"/>
      <c r="F49" s="9"/>
      <c r="G49" s="94">
        <f>SUM(G43:G47)</f>
        <v>13446338</v>
      </c>
    </row>
    <row r="50" spans="1:7">
      <c r="G50" s="83"/>
    </row>
    <row r="51" spans="1:7">
      <c r="A51" s="3"/>
      <c r="B51" s="10" t="s">
        <v>47</v>
      </c>
      <c r="C51" s="10"/>
      <c r="D51" s="10"/>
      <c r="E51" s="10"/>
      <c r="F51" s="10"/>
      <c r="G51" s="95">
        <f>SUM(G37+G49+G40)</f>
        <v>22917340</v>
      </c>
    </row>
    <row r="52" spans="1:7">
      <c r="G52" s="83"/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43"/>
  <sheetViews>
    <sheetView topLeftCell="A2" zoomScale="60" zoomScaleNormal="60" zoomScalePageLayoutView="60" workbookViewId="0">
      <selection activeCell="N31" sqref="N31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9" width="20.28515625" customWidth="1"/>
    <col min="10" max="10" width="17.140625" customWidth="1"/>
  </cols>
  <sheetData>
    <row r="1" spans="1:11" ht="18.600000000000001">
      <c r="A1" s="1"/>
      <c r="B1" s="1"/>
      <c r="C1" s="1"/>
      <c r="D1" s="272" t="s">
        <v>264</v>
      </c>
      <c r="E1" s="272"/>
      <c r="F1" s="272"/>
      <c r="G1" s="272"/>
      <c r="H1" s="272"/>
      <c r="I1" s="97"/>
      <c r="J1" s="97"/>
    </row>
    <row r="2" spans="1:11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1">
      <c r="H4" s="277" t="s">
        <v>2</v>
      </c>
      <c r="I4" s="277"/>
      <c r="J4" s="277"/>
    </row>
    <row r="5" spans="1:11" ht="29.1">
      <c r="H5" s="105" t="s">
        <v>3</v>
      </c>
      <c r="I5" s="105" t="s">
        <v>157</v>
      </c>
      <c r="J5" s="105" t="s">
        <v>74</v>
      </c>
      <c r="K5" s="5"/>
    </row>
    <row r="6" spans="1:11">
      <c r="A6" s="3" t="s">
        <v>5</v>
      </c>
      <c r="D6" s="3"/>
      <c r="G6" s="4"/>
      <c r="H6" s="4"/>
      <c r="I6" s="4"/>
      <c r="J6" s="4"/>
    </row>
    <row r="7" spans="1:11">
      <c r="C7" t="s">
        <v>7</v>
      </c>
      <c r="H7" s="77">
        <v>8494984</v>
      </c>
      <c r="I7" s="83">
        <v>36131</v>
      </c>
      <c r="J7" s="83">
        <f t="shared" ref="J7:J8" si="0">SUM(H7:I7)</f>
        <v>8531115</v>
      </c>
    </row>
    <row r="8" spans="1:11">
      <c r="C8" t="s">
        <v>8</v>
      </c>
      <c r="H8" s="84">
        <v>20852796</v>
      </c>
      <c r="I8" s="83"/>
      <c r="J8" s="83">
        <f t="shared" si="0"/>
        <v>20852796</v>
      </c>
    </row>
    <row r="9" spans="1:11">
      <c r="C9" t="s">
        <v>198</v>
      </c>
      <c r="H9" s="78">
        <v>13253156</v>
      </c>
      <c r="I9" s="83">
        <v>2154</v>
      </c>
      <c r="J9" s="83">
        <f>SUM(H9:I9)</f>
        <v>13255310</v>
      </c>
    </row>
    <row r="10" spans="1:11">
      <c r="C10" t="s">
        <v>52</v>
      </c>
      <c r="H10" s="79">
        <v>26264</v>
      </c>
      <c r="I10" s="83"/>
      <c r="J10" s="83">
        <f>SUM(H10:I10)</f>
        <v>26264</v>
      </c>
    </row>
    <row r="11" spans="1:11">
      <c r="C11" t="s">
        <v>127</v>
      </c>
      <c r="H11" s="80">
        <v>76265772</v>
      </c>
      <c r="I11" s="83">
        <v>21965</v>
      </c>
      <c r="J11" s="83">
        <f>SUM(H11:I11)</f>
        <v>76287737</v>
      </c>
    </row>
    <row r="12" spans="1:11">
      <c r="H12" s="81"/>
      <c r="I12" s="81"/>
      <c r="J12" s="81"/>
    </row>
    <row r="13" spans="1:11" s="5" customFormat="1">
      <c r="C13" s="6" t="s">
        <v>17</v>
      </c>
      <c r="D13" s="6"/>
      <c r="E13" s="6"/>
      <c r="F13" s="6"/>
      <c r="G13" s="6"/>
      <c r="H13" s="82">
        <f>SUM(H7:H11)</f>
        <v>118892972</v>
      </c>
      <c r="I13" s="82">
        <f>SUM(I7:I11)</f>
        <v>60250</v>
      </c>
      <c r="J13" s="82">
        <f>SUM(J7:J11)</f>
        <v>118953222</v>
      </c>
    </row>
    <row r="14" spans="1:11" s="5" customFormat="1">
      <c r="H14" s="100"/>
      <c r="I14" s="100"/>
      <c r="J14" s="100"/>
    </row>
    <row r="15" spans="1:11" s="5" customFormat="1">
      <c r="A15" s="5" t="s">
        <v>80</v>
      </c>
      <c r="H15" s="197">
        <v>594521</v>
      </c>
      <c r="I15" s="197"/>
      <c r="J15" s="197">
        <f>SUM(H15:I15)</f>
        <v>594521</v>
      </c>
    </row>
    <row r="16" spans="1:11" s="5" customFormat="1">
      <c r="H16" s="100"/>
      <c r="I16" s="100"/>
      <c r="J16" s="100"/>
    </row>
    <row r="17" spans="1:10">
      <c r="H17" s="83"/>
      <c r="I17" s="83"/>
      <c r="J17" s="83"/>
    </row>
    <row r="18" spans="1:10">
      <c r="A18" s="5" t="s">
        <v>22</v>
      </c>
      <c r="H18" s="83"/>
      <c r="I18" s="83"/>
      <c r="J18" s="83"/>
    </row>
    <row r="19" spans="1:10">
      <c r="A19" s="5"/>
      <c r="C19" t="s">
        <v>23</v>
      </c>
      <c r="H19" s="84">
        <v>1358547</v>
      </c>
      <c r="I19" s="83">
        <v>1538</v>
      </c>
      <c r="J19" s="83">
        <f t="shared" ref="J19:J27" si="1">SUM(H19:I19)</f>
        <v>1360085</v>
      </c>
    </row>
    <row r="20" spans="1:10">
      <c r="A20" s="5"/>
      <c r="C20" t="s">
        <v>265</v>
      </c>
      <c r="H20" s="79">
        <v>50957</v>
      </c>
      <c r="I20" s="83"/>
      <c r="J20" s="83">
        <f t="shared" si="1"/>
        <v>50957</v>
      </c>
    </row>
    <row r="21" spans="1:10">
      <c r="C21" t="s">
        <v>266</v>
      </c>
      <c r="H21" s="79">
        <v>300</v>
      </c>
      <c r="I21" s="83">
        <v>270</v>
      </c>
      <c r="J21" s="83">
        <f t="shared" si="1"/>
        <v>570</v>
      </c>
    </row>
    <row r="22" spans="1:10">
      <c r="C22" t="s">
        <v>267</v>
      </c>
      <c r="H22" s="79">
        <v>18938</v>
      </c>
      <c r="I22" s="83"/>
      <c r="J22" s="83">
        <f t="shared" si="1"/>
        <v>18938</v>
      </c>
    </row>
    <row r="23" spans="1:10">
      <c r="C23" t="s">
        <v>87</v>
      </c>
      <c r="H23" s="96">
        <v>154306</v>
      </c>
      <c r="I23" s="83"/>
      <c r="J23" s="83">
        <f t="shared" si="1"/>
        <v>154306</v>
      </c>
    </row>
    <row r="24" spans="1:10">
      <c r="C24" t="s">
        <v>268</v>
      </c>
      <c r="H24" s="79">
        <v>2402514</v>
      </c>
      <c r="I24" s="83"/>
      <c r="J24" s="83">
        <f t="shared" si="1"/>
        <v>2402514</v>
      </c>
    </row>
    <row r="25" spans="1:10">
      <c r="C25" t="s">
        <v>32</v>
      </c>
      <c r="H25" s="86">
        <v>323506</v>
      </c>
      <c r="I25" s="83"/>
      <c r="J25" s="83">
        <f t="shared" si="1"/>
        <v>323506</v>
      </c>
    </row>
    <row r="26" spans="1:10">
      <c r="C26" t="s">
        <v>269</v>
      </c>
      <c r="H26" s="79">
        <v>3391372</v>
      </c>
      <c r="I26" s="83"/>
      <c r="J26" s="83">
        <f t="shared" si="1"/>
        <v>3391372</v>
      </c>
    </row>
    <row r="27" spans="1:10">
      <c r="C27" t="s">
        <v>34</v>
      </c>
      <c r="H27" s="79">
        <v>76675</v>
      </c>
      <c r="I27" s="83"/>
      <c r="J27" s="83">
        <f t="shared" si="1"/>
        <v>76675</v>
      </c>
    </row>
    <row r="28" spans="1:10">
      <c r="C28" t="s">
        <v>29</v>
      </c>
      <c r="H28" s="83"/>
      <c r="I28" s="83"/>
      <c r="J28" s="83"/>
    </row>
    <row r="29" spans="1:10">
      <c r="D29" t="s">
        <v>92</v>
      </c>
      <c r="H29" s="92">
        <v>449</v>
      </c>
      <c r="I29" s="83"/>
      <c r="J29" s="83">
        <f>SUM(H29:I29)</f>
        <v>449</v>
      </c>
    </row>
    <row r="30" spans="1:10">
      <c r="H30" s="81"/>
      <c r="I30" s="81"/>
      <c r="J30" s="81"/>
    </row>
    <row r="31" spans="1:10">
      <c r="D31" s="7" t="s">
        <v>36</v>
      </c>
      <c r="E31" s="8"/>
      <c r="F31" s="8"/>
      <c r="G31" s="8"/>
      <c r="H31" s="87">
        <f>SUM(H19:H29)</f>
        <v>7777564</v>
      </c>
      <c r="I31" s="87">
        <f>SUM(I19:I29)</f>
        <v>1808</v>
      </c>
      <c r="J31" s="87">
        <f>SUM(J19:J29)</f>
        <v>7779372</v>
      </c>
    </row>
    <row r="32" spans="1:10">
      <c r="H32" s="83"/>
      <c r="I32" s="83"/>
      <c r="J32" s="83"/>
    </row>
    <row r="33" spans="1:10" s="5" customFormat="1">
      <c r="A33" s="5" t="s">
        <v>97</v>
      </c>
      <c r="H33" s="197">
        <v>165486</v>
      </c>
      <c r="I33" s="197"/>
      <c r="J33" s="197">
        <f>SUM(H33:I33)</f>
        <v>165486</v>
      </c>
    </row>
    <row r="34" spans="1:10">
      <c r="H34" s="83"/>
      <c r="I34" s="83"/>
      <c r="J34" s="83"/>
    </row>
    <row r="35" spans="1:10">
      <c r="A35" s="3" t="s">
        <v>39</v>
      </c>
      <c r="H35" s="83"/>
      <c r="I35" s="83"/>
      <c r="J35" s="83"/>
    </row>
    <row r="36" spans="1:10">
      <c r="B36" t="s">
        <v>40</v>
      </c>
      <c r="H36" s="88">
        <v>76265323</v>
      </c>
      <c r="I36" s="83">
        <v>21965</v>
      </c>
      <c r="J36" s="83">
        <f>SUM(H36:I36)</f>
        <v>76287288</v>
      </c>
    </row>
    <row r="37" spans="1:10">
      <c r="B37" t="s">
        <v>270</v>
      </c>
      <c r="H37" s="154">
        <v>449</v>
      </c>
      <c r="I37" s="83"/>
      <c r="J37" s="83">
        <f>SUM(H37:I37)</f>
        <v>449</v>
      </c>
    </row>
    <row r="38" spans="1:10">
      <c r="B38" t="s">
        <v>45</v>
      </c>
      <c r="H38" s="93">
        <v>35278671</v>
      </c>
      <c r="I38" s="83">
        <v>36477</v>
      </c>
      <c r="J38" s="83">
        <f>SUM(H38:I38)</f>
        <v>35315148</v>
      </c>
    </row>
    <row r="39" spans="1:10">
      <c r="H39" s="81"/>
      <c r="I39" s="81"/>
      <c r="J39" s="81"/>
    </row>
    <row r="40" spans="1:10" s="3" customFormat="1">
      <c r="C40" s="9" t="s">
        <v>46</v>
      </c>
      <c r="D40" s="9"/>
      <c r="E40" s="9"/>
      <c r="F40" s="9"/>
      <c r="G40" s="9"/>
      <c r="H40" s="94">
        <f>SUM(H36:H38)</f>
        <v>111544443</v>
      </c>
      <c r="I40" s="94">
        <f>SUM(I36:I38)</f>
        <v>58442</v>
      </c>
      <c r="J40" s="94">
        <f>SUM(J36:J38)</f>
        <v>111602885</v>
      </c>
    </row>
    <row r="41" spans="1:10">
      <c r="H41" s="83"/>
      <c r="I41" s="83"/>
      <c r="J41" s="83"/>
    </row>
    <row r="42" spans="1:10" s="3" customFormat="1">
      <c r="C42" s="10" t="s">
        <v>47</v>
      </c>
      <c r="D42" s="10"/>
      <c r="E42" s="10"/>
      <c r="F42" s="10"/>
      <c r="G42" s="10"/>
      <c r="H42" s="95">
        <f>SUM(H40+H31)</f>
        <v>119322007</v>
      </c>
      <c r="I42" s="95">
        <f>SUM(I40+I31)</f>
        <v>60250</v>
      </c>
      <c r="J42" s="95">
        <f>SUM(J40+J31)</f>
        <v>119382257</v>
      </c>
    </row>
    <row r="43" spans="1:10">
      <c r="H43" s="83"/>
      <c r="I43" s="83"/>
      <c r="J43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5"/>
  <sheetViews>
    <sheetView zoomScale="60" zoomScaleNormal="60" zoomScalePageLayoutView="60" workbookViewId="0">
      <selection activeCell="J47" sqref="J4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9.42578125" customWidth="1"/>
    <col min="9" max="9" width="21" customWidth="1"/>
    <col min="10" max="10" width="19.28515625" customWidth="1"/>
    <col min="11" max="11" width="17.28515625" customWidth="1"/>
  </cols>
  <sheetData>
    <row r="1" spans="1:11" ht="18.75" customHeight="1">
      <c r="A1" s="1"/>
      <c r="B1" s="1"/>
      <c r="C1" s="1"/>
      <c r="D1" s="272" t="s">
        <v>271</v>
      </c>
      <c r="E1" s="272"/>
      <c r="F1" s="272"/>
      <c r="G1" s="272"/>
      <c r="H1" s="272"/>
      <c r="I1" s="97"/>
      <c r="J1" s="97"/>
    </row>
    <row r="2" spans="1:11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1" ht="14.25" customHeight="1">
      <c r="H4" s="273" t="s">
        <v>2</v>
      </c>
      <c r="I4" s="273"/>
      <c r="J4" s="273"/>
      <c r="K4" s="195"/>
    </row>
    <row r="5" spans="1:11" ht="31.5" customHeight="1">
      <c r="H5" s="105" t="s">
        <v>3</v>
      </c>
      <c r="I5" s="105" t="s">
        <v>157</v>
      </c>
      <c r="J5" s="105" t="s">
        <v>74</v>
      </c>
      <c r="K5" s="106" t="s">
        <v>4</v>
      </c>
    </row>
    <row r="6" spans="1:11">
      <c r="A6" s="3" t="s">
        <v>5</v>
      </c>
      <c r="D6" s="3"/>
      <c r="G6" s="4"/>
      <c r="H6" s="4"/>
      <c r="I6" s="4"/>
      <c r="J6" s="4"/>
    </row>
    <row r="7" spans="1:11">
      <c r="A7" s="3"/>
      <c r="B7" s="5" t="s">
        <v>6</v>
      </c>
      <c r="D7" s="3"/>
      <c r="G7" s="4"/>
      <c r="H7" s="76"/>
      <c r="I7" s="76"/>
      <c r="J7" s="76"/>
      <c r="K7" s="83"/>
    </row>
    <row r="8" spans="1:11">
      <c r="C8" t="s">
        <v>272</v>
      </c>
      <c r="H8" s="77">
        <v>166127175</v>
      </c>
      <c r="I8" s="83">
        <v>79289820</v>
      </c>
      <c r="J8" s="83">
        <f t="shared" ref="J8:J23" si="0">SUM(H8:I8)</f>
        <v>245416995</v>
      </c>
      <c r="K8" s="83">
        <v>16982146</v>
      </c>
    </row>
    <row r="9" spans="1:11">
      <c r="C9" t="s">
        <v>273</v>
      </c>
      <c r="H9" s="84">
        <v>211759186</v>
      </c>
      <c r="I9" s="83">
        <v>118482692</v>
      </c>
      <c r="J9" s="83">
        <f t="shared" si="0"/>
        <v>330241878</v>
      </c>
      <c r="K9" s="83"/>
    </row>
    <row r="10" spans="1:11">
      <c r="C10" t="s">
        <v>274</v>
      </c>
      <c r="H10" s="78">
        <v>52535997</v>
      </c>
      <c r="I10" s="83">
        <v>16288427</v>
      </c>
      <c r="J10" s="83">
        <f t="shared" si="0"/>
        <v>68824424</v>
      </c>
      <c r="K10" s="83">
        <v>16655099</v>
      </c>
    </row>
    <row r="11" spans="1:11">
      <c r="C11" t="s">
        <v>275</v>
      </c>
      <c r="H11" s="90">
        <v>84333564</v>
      </c>
      <c r="I11" s="83">
        <v>2817878</v>
      </c>
      <c r="J11" s="83">
        <f t="shared" si="0"/>
        <v>87151442</v>
      </c>
      <c r="K11" s="83">
        <v>1994449</v>
      </c>
    </row>
    <row r="12" spans="1:11">
      <c r="C12" t="s">
        <v>125</v>
      </c>
      <c r="H12" s="79">
        <v>383370</v>
      </c>
      <c r="I12" s="83">
        <v>207466</v>
      </c>
      <c r="J12" s="83">
        <f t="shared" si="0"/>
        <v>590836</v>
      </c>
      <c r="K12" s="83">
        <v>79566</v>
      </c>
    </row>
    <row r="13" spans="1:11">
      <c r="C13" t="s">
        <v>276</v>
      </c>
      <c r="H13" s="78">
        <v>4115590</v>
      </c>
      <c r="I13" s="83"/>
      <c r="J13" s="83">
        <f t="shared" si="0"/>
        <v>4115590</v>
      </c>
      <c r="K13" s="83">
        <v>2138660</v>
      </c>
    </row>
    <row r="14" spans="1:11">
      <c r="C14" t="s">
        <v>52</v>
      </c>
      <c r="H14" s="79">
        <v>896044</v>
      </c>
      <c r="I14" s="83">
        <v>93352</v>
      </c>
      <c r="J14" s="83">
        <f t="shared" si="0"/>
        <v>989396</v>
      </c>
      <c r="K14" s="83">
        <v>5295059</v>
      </c>
    </row>
    <row r="15" spans="1:11">
      <c r="C15" t="s">
        <v>109</v>
      </c>
      <c r="H15" s="83"/>
      <c r="I15" s="83"/>
      <c r="J15" s="83"/>
      <c r="K15" s="83">
        <v>404912</v>
      </c>
    </row>
    <row r="16" spans="1:11">
      <c r="C16" t="s">
        <v>201</v>
      </c>
      <c r="H16" s="83"/>
      <c r="I16" s="83"/>
      <c r="J16" s="83"/>
      <c r="K16" s="83"/>
    </row>
    <row r="17" spans="1:11">
      <c r="D17" t="s">
        <v>272</v>
      </c>
      <c r="H17" s="83"/>
      <c r="I17" s="83">
        <v>135635134</v>
      </c>
      <c r="J17" s="83">
        <f t="shared" si="0"/>
        <v>135635134</v>
      </c>
      <c r="K17" s="83">
        <v>13552638</v>
      </c>
    </row>
    <row r="18" spans="1:11">
      <c r="D18" t="s">
        <v>273</v>
      </c>
      <c r="H18" s="83"/>
      <c r="I18" s="83">
        <v>232187796</v>
      </c>
      <c r="J18" s="83">
        <f t="shared" si="0"/>
        <v>232187796</v>
      </c>
      <c r="K18" s="83"/>
    </row>
    <row r="19" spans="1:11">
      <c r="D19" t="s">
        <v>274</v>
      </c>
      <c r="H19" s="83"/>
      <c r="I19" s="83">
        <v>423264</v>
      </c>
      <c r="J19" s="83">
        <f t="shared" si="0"/>
        <v>423264</v>
      </c>
      <c r="K19" s="83"/>
    </row>
    <row r="20" spans="1:11">
      <c r="D20" t="s">
        <v>125</v>
      </c>
      <c r="H20" s="83"/>
      <c r="I20" s="83">
        <v>5880</v>
      </c>
      <c r="J20" s="83">
        <f t="shared" si="0"/>
        <v>5880</v>
      </c>
      <c r="K20" s="83"/>
    </row>
    <row r="21" spans="1:11">
      <c r="C21" t="s">
        <v>14</v>
      </c>
      <c r="H21" s="83"/>
      <c r="I21" s="83"/>
      <c r="J21" s="83"/>
      <c r="K21" s="83"/>
    </row>
    <row r="22" spans="1:11">
      <c r="D22" t="s">
        <v>15</v>
      </c>
      <c r="H22" s="80">
        <v>198991410</v>
      </c>
      <c r="I22" s="83">
        <v>349628460</v>
      </c>
      <c r="J22" s="83">
        <f t="shared" si="0"/>
        <v>548619870</v>
      </c>
      <c r="K22" s="83"/>
    </row>
    <row r="23" spans="1:11">
      <c r="D23" t="s">
        <v>16</v>
      </c>
      <c r="H23" s="91">
        <v>692284458</v>
      </c>
      <c r="I23" s="83">
        <v>1530952497</v>
      </c>
      <c r="J23" s="83">
        <f t="shared" si="0"/>
        <v>2223236955</v>
      </c>
      <c r="K23" s="83">
        <v>105830990</v>
      </c>
    </row>
    <row r="24" spans="1:11">
      <c r="H24" s="83"/>
      <c r="I24" s="81"/>
      <c r="J24" s="81"/>
      <c r="K24" s="81"/>
    </row>
    <row r="25" spans="1:11">
      <c r="A25" s="5"/>
      <c r="B25" s="5"/>
      <c r="C25" s="6" t="s">
        <v>17</v>
      </c>
      <c r="D25" s="6"/>
      <c r="E25" s="6"/>
      <c r="F25" s="6"/>
      <c r="G25" s="6"/>
      <c r="H25" s="82">
        <f>SUM(H8:H23)</f>
        <v>1411426794</v>
      </c>
      <c r="I25" s="82">
        <f>SUM(I8:I23)</f>
        <v>2466012666</v>
      </c>
      <c r="J25" s="82">
        <f>SUM(J8:J23)</f>
        <v>3877439460</v>
      </c>
      <c r="K25" s="82">
        <f>SUM(K8:K23)</f>
        <v>162933519</v>
      </c>
    </row>
    <row r="26" spans="1:11">
      <c r="A26" s="5"/>
      <c r="B26" s="5"/>
      <c r="C26" s="5"/>
      <c r="D26" s="5"/>
      <c r="E26" s="5"/>
      <c r="F26" s="5"/>
      <c r="G26" s="5"/>
      <c r="H26" s="100"/>
      <c r="I26" s="100"/>
      <c r="J26" s="100"/>
      <c r="K26" s="100"/>
    </row>
    <row r="27" spans="1:11">
      <c r="A27" s="5" t="s">
        <v>80</v>
      </c>
      <c r="B27" s="5"/>
      <c r="C27" s="5"/>
      <c r="D27" s="5"/>
      <c r="E27" s="5"/>
      <c r="F27" s="5"/>
      <c r="G27" s="5"/>
      <c r="H27" s="100"/>
      <c r="I27" s="100"/>
      <c r="J27" s="100"/>
      <c r="K27" s="100"/>
    </row>
    <row r="28" spans="1:11">
      <c r="A28" s="5"/>
      <c r="B28" t="s">
        <v>277</v>
      </c>
      <c r="C28" s="5"/>
      <c r="D28" s="5"/>
      <c r="E28" s="5"/>
      <c r="F28" s="5"/>
      <c r="G28" s="5"/>
      <c r="H28" s="83">
        <v>14606047</v>
      </c>
      <c r="I28" s="83">
        <v>39737972</v>
      </c>
      <c r="J28" s="83">
        <f>SUM(H28:I28)</f>
        <v>54344019</v>
      </c>
      <c r="K28" s="83">
        <v>0</v>
      </c>
    </row>
    <row r="29" spans="1:11">
      <c r="A29" s="5"/>
      <c r="B29" t="s">
        <v>278</v>
      </c>
      <c r="C29" s="5"/>
      <c r="D29" s="5"/>
      <c r="E29" s="5"/>
      <c r="F29" s="5"/>
      <c r="G29" s="5"/>
      <c r="H29" s="83">
        <v>14755836</v>
      </c>
      <c r="I29" s="83">
        <v>92452209</v>
      </c>
      <c r="J29" s="83">
        <f>SUM(H29:I29)</f>
        <v>107208045</v>
      </c>
      <c r="K29" s="83">
        <v>0</v>
      </c>
    </row>
    <row r="30" spans="1:11">
      <c r="A30" s="5"/>
      <c r="B30" t="s">
        <v>279</v>
      </c>
      <c r="C30" s="5"/>
      <c r="D30" s="5"/>
      <c r="E30" s="5"/>
      <c r="F30" s="5"/>
      <c r="G30" s="5"/>
      <c r="H30" s="122">
        <v>66874233</v>
      </c>
      <c r="I30" s="122">
        <v>5853183</v>
      </c>
      <c r="J30" s="122">
        <f>SUM(H30:I30)</f>
        <v>72727416</v>
      </c>
      <c r="K30" s="122">
        <v>9366140</v>
      </c>
    </row>
    <row r="31" spans="1:11">
      <c r="A31" s="5"/>
      <c r="C31" s="5"/>
      <c r="D31" s="5"/>
      <c r="E31" s="5"/>
      <c r="F31" s="5"/>
      <c r="G31" s="5"/>
      <c r="H31" s="83"/>
      <c r="I31" s="83"/>
      <c r="J31" s="83"/>
      <c r="K31" s="83"/>
    </row>
    <row r="32" spans="1:11">
      <c r="C32" s="102" t="s">
        <v>83</v>
      </c>
      <c r="D32" s="104"/>
      <c r="E32" s="104"/>
      <c r="F32" s="104"/>
      <c r="G32" s="104"/>
      <c r="H32" s="103">
        <f>SUM(H28:H30)</f>
        <v>96236116</v>
      </c>
      <c r="I32" s="103">
        <f t="shared" ref="I32:J32" si="1">SUM(I28:I30)</f>
        <v>138043364</v>
      </c>
      <c r="J32" s="103">
        <f t="shared" si="1"/>
        <v>234279480</v>
      </c>
      <c r="K32" s="103">
        <f>SUM(K28:K30)</f>
        <v>9366140</v>
      </c>
    </row>
    <row r="33" spans="1:11">
      <c r="H33" s="83"/>
      <c r="I33" s="83"/>
      <c r="J33" s="83"/>
      <c r="K33" s="83"/>
    </row>
    <row r="34" spans="1:11">
      <c r="A34" s="5" t="s">
        <v>22</v>
      </c>
      <c r="H34" s="83"/>
      <c r="I34" s="83"/>
      <c r="J34" s="83"/>
      <c r="K34" s="83"/>
    </row>
    <row r="35" spans="1:11">
      <c r="C35" t="s">
        <v>280</v>
      </c>
      <c r="H35" s="84">
        <v>27771571</v>
      </c>
      <c r="I35" s="83">
        <v>50174496</v>
      </c>
      <c r="J35" s="83">
        <f t="shared" ref="J35:J39" si="2">SUM(H35:I35)</f>
        <v>77946067</v>
      </c>
      <c r="K35" s="83">
        <v>2709410</v>
      </c>
    </row>
    <row r="36" spans="1:11">
      <c r="C36" t="s">
        <v>281</v>
      </c>
      <c r="H36" s="79">
        <v>-1418884</v>
      </c>
      <c r="I36" s="83">
        <v>1418884</v>
      </c>
      <c r="J36" s="83"/>
      <c r="K36" s="83"/>
    </row>
    <row r="37" spans="1:11">
      <c r="C37" t="s">
        <v>87</v>
      </c>
      <c r="H37" s="96">
        <v>490429</v>
      </c>
      <c r="I37" s="83"/>
      <c r="J37" s="83">
        <f t="shared" si="2"/>
        <v>490429</v>
      </c>
      <c r="K37" s="83">
        <v>189168</v>
      </c>
    </row>
    <row r="38" spans="1:11">
      <c r="C38" t="s">
        <v>282</v>
      </c>
      <c r="H38" s="79">
        <v>9680296</v>
      </c>
      <c r="I38" s="83">
        <v>28401015</v>
      </c>
      <c r="J38" s="83">
        <f t="shared" si="2"/>
        <v>38081311</v>
      </c>
      <c r="K38" s="83">
        <v>1490511</v>
      </c>
    </row>
    <row r="39" spans="1:11">
      <c r="C39" t="s">
        <v>26</v>
      </c>
      <c r="H39" s="79">
        <v>1095601</v>
      </c>
      <c r="I39" s="83">
        <v>1767570</v>
      </c>
      <c r="J39" s="83">
        <f t="shared" si="2"/>
        <v>2863171</v>
      </c>
      <c r="K39" s="83"/>
    </row>
    <row r="40" spans="1:11">
      <c r="C40" t="s">
        <v>283</v>
      </c>
      <c r="H40" s="79">
        <v>1095601</v>
      </c>
      <c r="I40" s="83">
        <v>1767570</v>
      </c>
      <c r="J40" s="83">
        <v>11480091</v>
      </c>
      <c r="K40" s="83"/>
    </row>
    <row r="41" spans="1:11">
      <c r="C41" t="s">
        <v>117</v>
      </c>
      <c r="H41" s="79">
        <v>11480091</v>
      </c>
      <c r="I41" s="83"/>
      <c r="J41" s="83"/>
      <c r="K41" s="83">
        <v>59366</v>
      </c>
    </row>
    <row r="42" spans="1:11">
      <c r="C42" t="s">
        <v>284</v>
      </c>
      <c r="H42" s="83"/>
      <c r="I42" s="83"/>
      <c r="J42" s="83"/>
      <c r="K42" s="83"/>
    </row>
    <row r="43" spans="1:11">
      <c r="D43" t="s">
        <v>92</v>
      </c>
      <c r="H43" s="92">
        <v>35509330</v>
      </c>
      <c r="I43" s="83">
        <v>14070175</v>
      </c>
      <c r="J43" s="83">
        <f t="shared" ref="J43" si="3">SUM(H43:I43)</f>
        <v>49579505</v>
      </c>
      <c r="K43" s="83">
        <v>3611296</v>
      </c>
    </row>
    <row r="44" spans="1:11">
      <c r="D44" t="s">
        <v>93</v>
      </c>
      <c r="H44" s="77">
        <v>1236678992</v>
      </c>
      <c r="I44" s="83">
        <v>1683809809</v>
      </c>
      <c r="J44" s="83">
        <f>SUM(H44:I44)</f>
        <v>2920488801</v>
      </c>
      <c r="K44" s="83">
        <v>154960366</v>
      </c>
    </row>
    <row r="45" spans="1:11">
      <c r="H45" s="81"/>
      <c r="I45" s="81"/>
      <c r="J45" s="81"/>
      <c r="K45" s="81"/>
    </row>
    <row r="46" spans="1:11">
      <c r="D46" s="7" t="s">
        <v>36</v>
      </c>
      <c r="E46" s="8"/>
      <c r="F46" s="8"/>
      <c r="G46" s="8"/>
      <c r="H46" s="87">
        <f>SUM(H35:H44)</f>
        <v>1322383027</v>
      </c>
      <c r="I46" s="87">
        <f>SUM(I35:I44)</f>
        <v>1781409519</v>
      </c>
      <c r="J46" s="87">
        <f>SUM(H46:I46)</f>
        <v>3103792546</v>
      </c>
      <c r="K46" s="87">
        <f>SUM(K35:K44)</f>
        <v>163020117</v>
      </c>
    </row>
    <row r="47" spans="1:11">
      <c r="H47" s="83"/>
      <c r="I47" s="83"/>
      <c r="J47" s="83"/>
      <c r="K47" s="83"/>
    </row>
    <row r="48" spans="1:11">
      <c r="A48" s="5" t="s">
        <v>285</v>
      </c>
      <c r="H48" s="83"/>
      <c r="I48" s="83"/>
      <c r="J48" s="83"/>
      <c r="K48" s="83"/>
    </row>
    <row r="49" spans="1:11">
      <c r="B49" t="s">
        <v>286</v>
      </c>
      <c r="H49" s="83">
        <v>668996</v>
      </c>
      <c r="I49" s="83"/>
      <c r="J49" s="83">
        <f>SUM(H49:I49)</f>
        <v>668996</v>
      </c>
      <c r="K49" s="83">
        <v>0</v>
      </c>
    </row>
    <row r="50" spans="1:11">
      <c r="B50" t="s">
        <v>287</v>
      </c>
      <c r="H50" s="83">
        <v>7458464</v>
      </c>
      <c r="I50" s="83">
        <v>566897</v>
      </c>
      <c r="J50" s="83">
        <f>SUM(H50:I50)</f>
        <v>8025361</v>
      </c>
      <c r="K50" s="83">
        <v>6207313</v>
      </c>
    </row>
    <row r="51" spans="1:11" s="5" customFormat="1">
      <c r="D51" s="5" t="s">
        <v>98</v>
      </c>
      <c r="H51" s="166">
        <f>SUM(H49:H50)</f>
        <v>8127460</v>
      </c>
      <c r="I51" s="166">
        <f t="shared" ref="I51:K51" si="4">SUM(I49:I50)</f>
        <v>566897</v>
      </c>
      <c r="J51" s="166">
        <f t="shared" si="4"/>
        <v>8694357</v>
      </c>
      <c r="K51" s="166">
        <f t="shared" si="4"/>
        <v>6207313</v>
      </c>
    </row>
    <row r="52" spans="1:11">
      <c r="H52" s="83"/>
      <c r="I52" s="83"/>
      <c r="J52" s="83"/>
      <c r="K52" s="83"/>
    </row>
    <row r="53" spans="1:11">
      <c r="A53" s="3" t="s">
        <v>39</v>
      </c>
      <c r="H53" s="83"/>
      <c r="I53" s="83"/>
      <c r="J53" s="83"/>
      <c r="K53" s="83"/>
    </row>
    <row r="54" spans="1:11">
      <c r="B54" t="s">
        <v>40</v>
      </c>
      <c r="H54" s="88">
        <v>665194789</v>
      </c>
      <c r="I54" s="83">
        <v>652390880</v>
      </c>
      <c r="J54" s="83">
        <f>SUM(H54:I54)</f>
        <v>1317585669</v>
      </c>
      <c r="K54" s="83">
        <v>14842088</v>
      </c>
    </row>
    <row r="55" spans="1:11" s="3" customFormat="1">
      <c r="A55"/>
      <c r="B55" t="s">
        <v>288</v>
      </c>
      <c r="C55"/>
      <c r="D55"/>
      <c r="E55"/>
      <c r="F55"/>
      <c r="G55"/>
      <c r="H55" s="83"/>
      <c r="I55" s="83"/>
      <c r="J55" s="83"/>
      <c r="K55" s="83"/>
    </row>
    <row r="56" spans="1:11" s="3" customFormat="1">
      <c r="A56"/>
      <c r="B56"/>
      <c r="C56" t="s">
        <v>43</v>
      </c>
      <c r="D56"/>
      <c r="E56"/>
      <c r="F56"/>
      <c r="G56"/>
      <c r="H56" s="89">
        <v>78237843</v>
      </c>
      <c r="I56" s="83">
        <v>8306503</v>
      </c>
      <c r="J56" s="83">
        <f t="shared" ref="J56:J59" si="5">SUM(H56:I56)</f>
        <v>86544346</v>
      </c>
      <c r="K56" s="83"/>
    </row>
    <row r="57" spans="1:11" s="3" customFormat="1">
      <c r="A57"/>
      <c r="B57"/>
      <c r="C57" t="s">
        <v>42</v>
      </c>
      <c r="D57"/>
      <c r="E57"/>
      <c r="F57"/>
      <c r="G57"/>
      <c r="H57" s="89">
        <v>9169416</v>
      </c>
      <c r="I57" s="83">
        <v>57375662</v>
      </c>
      <c r="J57" s="83">
        <f t="shared" si="5"/>
        <v>66545078</v>
      </c>
      <c r="K57" s="83">
        <v>10322023</v>
      </c>
    </row>
    <row r="58" spans="1:11" s="3" customFormat="1">
      <c r="A58"/>
      <c r="B58"/>
      <c r="C58" t="s">
        <v>289</v>
      </c>
      <c r="D58"/>
      <c r="E58"/>
      <c r="F58"/>
      <c r="G58"/>
      <c r="H58" s="83"/>
      <c r="I58" s="83">
        <v>440848</v>
      </c>
      <c r="J58" s="83">
        <f t="shared" si="5"/>
        <v>440848</v>
      </c>
      <c r="K58" s="83"/>
    </row>
    <row r="59" spans="1:11">
      <c r="C59" t="s">
        <v>212</v>
      </c>
      <c r="H59" s="89">
        <v>78661575</v>
      </c>
      <c r="I59" s="83">
        <v>70000000</v>
      </c>
      <c r="J59" s="83">
        <f t="shared" si="5"/>
        <v>148661575</v>
      </c>
      <c r="K59" s="83">
        <v>4024483</v>
      </c>
    </row>
    <row r="60" spans="1:11" s="3" customFormat="1">
      <c r="A60"/>
      <c r="B60" t="s">
        <v>45</v>
      </c>
      <c r="C60"/>
      <c r="D60"/>
      <c r="E60"/>
      <c r="F60"/>
      <c r="G60"/>
      <c r="H60" s="93">
        <v>-650015599</v>
      </c>
      <c r="I60" s="83">
        <v>35333291</v>
      </c>
      <c r="J60" s="83">
        <f>SUM(H60:I60)</f>
        <v>-614682308</v>
      </c>
      <c r="K60" s="83">
        <v>-26116368</v>
      </c>
    </row>
    <row r="61" spans="1:11">
      <c r="H61" s="81"/>
      <c r="I61" s="81"/>
      <c r="J61" s="81"/>
      <c r="K61" s="81"/>
    </row>
    <row r="62" spans="1:11">
      <c r="A62" s="3"/>
      <c r="B62" s="3"/>
      <c r="C62" s="9" t="s">
        <v>46</v>
      </c>
      <c r="D62" s="9"/>
      <c r="E62" s="9"/>
      <c r="F62" s="9"/>
      <c r="G62" s="9"/>
      <c r="H62" s="94">
        <f>SUM(H54:H60)</f>
        <v>181248024</v>
      </c>
      <c r="I62" s="94">
        <f>SUM(I54:I60)</f>
        <v>823847184</v>
      </c>
      <c r="J62" s="94">
        <f>SUM(J54:J60)</f>
        <v>1005095208</v>
      </c>
      <c r="K62" s="94">
        <f>SUM(K53:K60)</f>
        <v>3072226</v>
      </c>
    </row>
    <row r="63" spans="1:11">
      <c r="H63" s="83"/>
      <c r="I63" s="83"/>
      <c r="J63" s="83"/>
      <c r="K63" s="83"/>
    </row>
    <row r="64" spans="1:11">
      <c r="A64" s="3"/>
      <c r="B64" s="3"/>
      <c r="C64" s="10" t="s">
        <v>47</v>
      </c>
      <c r="D64" s="10"/>
      <c r="E64" s="10"/>
      <c r="F64" s="10"/>
      <c r="G64" s="10"/>
      <c r="H64" s="95">
        <f>SUM(H46+H62+H51)</f>
        <v>1511758511</v>
      </c>
      <c r="I64" s="95">
        <f t="shared" ref="I64:K64" si="6">SUM(I46+I62+I51)</f>
        <v>2605823600</v>
      </c>
      <c r="J64" s="95">
        <f t="shared" si="6"/>
        <v>4117582111</v>
      </c>
      <c r="K64" s="95">
        <f t="shared" si="6"/>
        <v>172299656</v>
      </c>
    </row>
    <row r="65" spans="8:11">
      <c r="H65" s="83"/>
      <c r="I65" s="83"/>
      <c r="J65" s="83"/>
      <c r="K65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2"/>
  <sheetViews>
    <sheetView zoomScale="70" zoomScaleNormal="70" zoomScalePageLayoutView="70" workbookViewId="0">
      <selection activeCell="I52" sqref="I52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18.7109375" customWidth="1"/>
    <col min="6" max="6" width="12.4257812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72" t="s">
        <v>290</v>
      </c>
      <c r="E1" s="272"/>
      <c r="F1" s="272"/>
      <c r="G1" s="272"/>
      <c r="H1" s="272"/>
      <c r="I1" s="97"/>
      <c r="J1" s="97"/>
    </row>
    <row r="2" spans="1:11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1">
      <c r="H4" s="277" t="s">
        <v>2</v>
      </c>
      <c r="I4" s="277"/>
      <c r="J4" s="277"/>
    </row>
    <row r="5" spans="1:11" ht="29.1">
      <c r="H5" s="105" t="s">
        <v>3</v>
      </c>
      <c r="I5" s="105" t="s">
        <v>157</v>
      </c>
      <c r="J5" s="105" t="s">
        <v>74</v>
      </c>
      <c r="K5" s="5"/>
    </row>
    <row r="6" spans="1:11">
      <c r="A6" s="3" t="s">
        <v>5</v>
      </c>
      <c r="D6" s="3"/>
      <c r="G6" s="4"/>
      <c r="H6" s="4"/>
      <c r="I6" s="4"/>
      <c r="J6" s="4"/>
    </row>
    <row r="7" spans="1:11">
      <c r="C7" t="s">
        <v>7</v>
      </c>
      <c r="H7" s="77">
        <v>1995746</v>
      </c>
      <c r="I7" s="83">
        <v>35311</v>
      </c>
      <c r="J7" s="83">
        <f t="shared" ref="J7:J8" si="0">SUM(H7:I7)</f>
        <v>2031057</v>
      </c>
    </row>
    <row r="8" spans="1:11">
      <c r="C8" t="s">
        <v>8</v>
      </c>
      <c r="H8" s="84">
        <v>719027</v>
      </c>
      <c r="I8" s="83"/>
      <c r="J8" s="83">
        <f t="shared" si="0"/>
        <v>719027</v>
      </c>
    </row>
    <row r="9" spans="1:11">
      <c r="C9" t="s">
        <v>50</v>
      </c>
      <c r="H9" s="78">
        <v>2907365</v>
      </c>
      <c r="I9" s="83">
        <v>2197</v>
      </c>
      <c r="J9" s="83">
        <f>SUM(H9:I9)</f>
        <v>2909562</v>
      </c>
    </row>
    <row r="10" spans="1:11">
      <c r="C10" t="s">
        <v>125</v>
      </c>
      <c r="H10" s="83"/>
      <c r="I10" s="83">
        <v>1189</v>
      </c>
      <c r="J10" s="83">
        <f>SUM(H10:I10)</f>
        <v>1189</v>
      </c>
    </row>
    <row r="11" spans="1:11">
      <c r="C11" t="s">
        <v>249</v>
      </c>
      <c r="H11" s="83"/>
      <c r="I11" s="83">
        <v>10050</v>
      </c>
      <c r="J11" s="83">
        <f>SUM(H11:I11)</f>
        <v>10050</v>
      </c>
    </row>
    <row r="12" spans="1:11">
      <c r="C12" t="s">
        <v>291</v>
      </c>
      <c r="H12" s="80">
        <v>695896</v>
      </c>
      <c r="I12" s="83"/>
      <c r="J12" s="83">
        <f>SUM(H12:I12)</f>
        <v>695896</v>
      </c>
    </row>
    <row r="13" spans="1:11">
      <c r="C13" t="s">
        <v>54</v>
      </c>
      <c r="H13" s="80">
        <v>5462550</v>
      </c>
      <c r="I13" s="83"/>
      <c r="J13" s="83">
        <f>SUM(H13:I13)</f>
        <v>5462550</v>
      </c>
    </row>
    <row r="14" spans="1:11">
      <c r="H14" s="81"/>
      <c r="I14" s="81"/>
      <c r="J14" s="81"/>
    </row>
    <row r="15" spans="1:11" s="5" customFormat="1">
      <c r="C15" s="6" t="s">
        <v>17</v>
      </c>
      <c r="D15" s="6"/>
      <c r="E15" s="6"/>
      <c r="F15" s="6"/>
      <c r="G15" s="6"/>
      <c r="H15" s="82">
        <f>SUM(H7:H13)</f>
        <v>11780584</v>
      </c>
      <c r="I15" s="82">
        <f>SUM(I7:I13)</f>
        <v>48747</v>
      </c>
      <c r="J15" s="82">
        <f>SUM(J7:J13)</f>
        <v>11829331</v>
      </c>
    </row>
    <row r="16" spans="1:11">
      <c r="H16" s="83"/>
      <c r="I16" s="83"/>
      <c r="J16" s="83"/>
    </row>
    <row r="17" spans="1:10">
      <c r="A17" t="s">
        <v>18</v>
      </c>
      <c r="H17" s="83"/>
      <c r="I17" s="83"/>
      <c r="J17" s="83"/>
    </row>
    <row r="18" spans="1:10">
      <c r="B18" t="s">
        <v>180</v>
      </c>
      <c r="H18" s="83">
        <v>287208</v>
      </c>
      <c r="I18" s="83">
        <v>6937</v>
      </c>
      <c r="J18" s="83">
        <f>SUM(H18:I18)</f>
        <v>294145</v>
      </c>
    </row>
    <row r="19" spans="1:10" s="5" customFormat="1">
      <c r="C19" s="5" t="s">
        <v>111</v>
      </c>
      <c r="H19" s="166">
        <f>SUM(H18)</f>
        <v>287208</v>
      </c>
      <c r="I19" s="166">
        <f>SUM(I18)</f>
        <v>6937</v>
      </c>
      <c r="J19" s="166">
        <f>SUM(H19:I19)</f>
        <v>294145</v>
      </c>
    </row>
    <row r="20" spans="1:10">
      <c r="H20" s="83"/>
      <c r="I20" s="83"/>
      <c r="J20" s="83"/>
    </row>
    <row r="21" spans="1:10">
      <c r="A21" s="5" t="s">
        <v>22</v>
      </c>
      <c r="H21" s="83"/>
      <c r="I21" s="83"/>
      <c r="J21" s="83"/>
    </row>
    <row r="22" spans="1:10">
      <c r="A22" s="5"/>
      <c r="C22" t="s">
        <v>23</v>
      </c>
      <c r="H22" s="84">
        <v>111679</v>
      </c>
      <c r="I22" s="83">
        <v>339</v>
      </c>
      <c r="J22" s="83">
        <f t="shared" ref="J22:J23" si="1">SUM(H22:I22)</f>
        <v>112018</v>
      </c>
    </row>
    <row r="23" spans="1:10">
      <c r="C23" t="s">
        <v>145</v>
      </c>
      <c r="H23" s="84">
        <v>5987</v>
      </c>
      <c r="I23" s="83"/>
      <c r="J23" s="83">
        <f t="shared" si="1"/>
        <v>5987</v>
      </c>
    </row>
    <row r="24" spans="1:10">
      <c r="C24" t="s">
        <v>29</v>
      </c>
      <c r="H24" s="83"/>
      <c r="I24" s="83"/>
      <c r="J24" s="83"/>
    </row>
    <row r="25" spans="1:10">
      <c r="D25" t="s">
        <v>92</v>
      </c>
      <c r="H25" s="92">
        <v>213975</v>
      </c>
      <c r="I25" s="83">
        <v>489</v>
      </c>
      <c r="J25" s="83">
        <f>SUM(H25:I25)</f>
        <v>214464</v>
      </c>
    </row>
    <row r="26" spans="1:10">
      <c r="D26" t="s">
        <v>93</v>
      </c>
      <c r="H26" s="77">
        <v>310647</v>
      </c>
      <c r="I26" s="83">
        <v>1431</v>
      </c>
      <c r="J26" s="83">
        <f>SUM(H26:I26)</f>
        <v>312078</v>
      </c>
    </row>
    <row r="27" spans="1:10">
      <c r="H27" s="83"/>
      <c r="I27" s="83"/>
      <c r="J27" s="83"/>
    </row>
    <row r="28" spans="1:10">
      <c r="D28" s="7" t="s">
        <v>36</v>
      </c>
      <c r="E28" s="8"/>
      <c r="F28" s="8"/>
      <c r="G28" s="8"/>
      <c r="H28" s="87">
        <f>SUM(H22:H26)</f>
        <v>642288</v>
      </c>
      <c r="I28" s="87">
        <f>SUM(I22:I26)</f>
        <v>2259</v>
      </c>
      <c r="J28" s="87">
        <f>SUM(J22:J26)</f>
        <v>644547</v>
      </c>
    </row>
    <row r="29" spans="1:10">
      <c r="D29" s="5"/>
      <c r="H29" s="100"/>
      <c r="I29" s="100"/>
      <c r="J29" s="100"/>
    </row>
    <row r="30" spans="1:10">
      <c r="A30" t="s">
        <v>37</v>
      </c>
      <c r="D30" s="5"/>
      <c r="H30" s="100"/>
      <c r="I30" s="100"/>
      <c r="J30" s="100"/>
    </row>
    <row r="31" spans="1:10">
      <c r="B31" t="s">
        <v>180</v>
      </c>
      <c r="D31" s="5"/>
      <c r="H31" s="100">
        <v>39401</v>
      </c>
      <c r="I31" s="100">
        <v>952</v>
      </c>
      <c r="J31" s="100">
        <f>SUM(H31:I31)</f>
        <v>40353</v>
      </c>
    </row>
    <row r="32" spans="1:10">
      <c r="D32" s="5" t="s">
        <v>118</v>
      </c>
      <c r="H32" s="166">
        <f>H31</f>
        <v>39401</v>
      </c>
      <c r="I32" s="166">
        <f t="shared" ref="I32" si="2">I31</f>
        <v>952</v>
      </c>
      <c r="J32" s="166">
        <f>SUM(H32:I32)</f>
        <v>40353</v>
      </c>
    </row>
    <row r="33" spans="1:10">
      <c r="H33" s="83"/>
      <c r="I33" s="83"/>
      <c r="J33" s="83"/>
    </row>
    <row r="34" spans="1:10">
      <c r="A34" s="3" t="s">
        <v>39</v>
      </c>
      <c r="H34" s="83"/>
      <c r="I34" s="83"/>
      <c r="J34" s="83"/>
    </row>
    <row r="35" spans="1:10">
      <c r="B35" t="s">
        <v>40</v>
      </c>
      <c r="H35" s="88">
        <v>5701437</v>
      </c>
      <c r="I35" s="83"/>
      <c r="J35" s="83">
        <f>SUM(H35:I35)</f>
        <v>5701437</v>
      </c>
    </row>
    <row r="36" spans="1:10">
      <c r="B36" t="s">
        <v>41</v>
      </c>
      <c r="H36" s="83"/>
      <c r="I36" s="83"/>
      <c r="J36" s="83"/>
    </row>
    <row r="37" spans="1:10">
      <c r="C37" t="s">
        <v>292</v>
      </c>
      <c r="H37" s="89">
        <v>1374444</v>
      </c>
      <c r="I37" s="83"/>
      <c r="J37" s="83">
        <f>SUM(H37:I37)</f>
        <v>1374444</v>
      </c>
    </row>
    <row r="38" spans="1:10">
      <c r="C38" t="s">
        <v>293</v>
      </c>
      <c r="H38" s="89">
        <v>547996</v>
      </c>
      <c r="I38" s="83"/>
      <c r="J38" s="83">
        <f t="shared" ref="J38:J46" si="3">SUM(H38:I38)</f>
        <v>547996</v>
      </c>
    </row>
    <row r="39" spans="1:10">
      <c r="C39" t="s">
        <v>294</v>
      </c>
      <c r="H39" s="89">
        <v>682205</v>
      </c>
      <c r="I39" s="83"/>
      <c r="J39" s="83">
        <f t="shared" si="3"/>
        <v>682205</v>
      </c>
    </row>
    <row r="40" spans="1:10">
      <c r="C40" t="s">
        <v>295</v>
      </c>
      <c r="H40" s="89">
        <v>631962</v>
      </c>
      <c r="I40" s="83"/>
      <c r="J40" s="83">
        <f t="shared" si="3"/>
        <v>631962</v>
      </c>
    </row>
    <row r="41" spans="1:10">
      <c r="C41" t="s">
        <v>296</v>
      </c>
      <c r="H41" s="89">
        <v>715989</v>
      </c>
      <c r="I41" s="83"/>
      <c r="J41" s="83">
        <f t="shared" si="3"/>
        <v>715989</v>
      </c>
    </row>
    <row r="42" spans="1:10">
      <c r="C42" t="s">
        <v>297</v>
      </c>
      <c r="H42" s="89">
        <v>12682</v>
      </c>
      <c r="I42" s="83"/>
      <c r="J42" s="83">
        <f t="shared" si="3"/>
        <v>12682</v>
      </c>
    </row>
    <row r="43" spans="1:10">
      <c r="C43" t="s">
        <v>42</v>
      </c>
      <c r="H43" s="89">
        <v>97837</v>
      </c>
      <c r="I43" s="83"/>
      <c r="J43" s="83">
        <f t="shared" si="3"/>
        <v>97837</v>
      </c>
    </row>
    <row r="44" spans="1:10">
      <c r="C44" t="s">
        <v>298</v>
      </c>
      <c r="H44" s="89">
        <v>490894</v>
      </c>
      <c r="I44" s="83"/>
      <c r="J44" s="83">
        <f t="shared" si="3"/>
        <v>490894</v>
      </c>
    </row>
    <row r="45" spans="1:10">
      <c r="C45" t="s">
        <v>299</v>
      </c>
      <c r="H45" s="89">
        <v>221548</v>
      </c>
      <c r="I45" s="83"/>
      <c r="J45" s="83">
        <f t="shared" si="3"/>
        <v>221548</v>
      </c>
    </row>
    <row r="46" spans="1:10">
      <c r="C46" t="s">
        <v>300</v>
      </c>
      <c r="H46" s="83"/>
      <c r="I46" s="83">
        <v>10050</v>
      </c>
      <c r="J46" s="83">
        <f t="shared" si="3"/>
        <v>10050</v>
      </c>
    </row>
    <row r="47" spans="1:10">
      <c r="B47" t="s">
        <v>45</v>
      </c>
      <c r="H47" s="93">
        <v>909109</v>
      </c>
      <c r="I47" s="83">
        <v>42423</v>
      </c>
      <c r="J47" s="83">
        <f>SUM(H47:I47)</f>
        <v>951532</v>
      </c>
    </row>
    <row r="48" spans="1:10">
      <c r="H48" s="81"/>
      <c r="I48" s="81"/>
      <c r="J48" s="81"/>
    </row>
    <row r="49" spans="3:10" s="3" customFormat="1">
      <c r="C49" s="9" t="s">
        <v>46</v>
      </c>
      <c r="D49" s="9"/>
      <c r="E49" s="9"/>
      <c r="F49" s="9"/>
      <c r="G49" s="9"/>
      <c r="H49" s="94">
        <f>SUM(H35:H47)</f>
        <v>11386103</v>
      </c>
      <c r="I49" s="94">
        <f>SUM(I35:I47)</f>
        <v>52473</v>
      </c>
      <c r="J49" s="94">
        <f>SUM(J35:J47)</f>
        <v>11438576</v>
      </c>
    </row>
    <row r="50" spans="3:10">
      <c r="H50" s="83"/>
      <c r="I50" s="83"/>
      <c r="J50" s="83"/>
    </row>
    <row r="51" spans="3:10" s="3" customFormat="1">
      <c r="C51" s="10" t="s">
        <v>47</v>
      </c>
      <c r="D51" s="10"/>
      <c r="E51" s="10"/>
      <c r="F51" s="10"/>
      <c r="G51" s="10"/>
      <c r="H51" s="95">
        <f>SUM(H49+H28+H32)</f>
        <v>12067792</v>
      </c>
      <c r="I51" s="95">
        <f>SUM(I49+I28+I32)</f>
        <v>55684</v>
      </c>
      <c r="J51" s="95">
        <f t="shared" ref="J51" si="4">SUM(J49+J28+J32)</f>
        <v>12123476</v>
      </c>
    </row>
    <row r="52" spans="3:10">
      <c r="H52" s="83"/>
      <c r="I52" s="83"/>
      <c r="J52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2"/>
  <sheetViews>
    <sheetView workbookViewId="0">
      <selection activeCell="O16" sqref="O16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301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179">
        <v>4577606</v>
      </c>
    </row>
    <row r="7" spans="1:7">
      <c r="B7" t="s">
        <v>123</v>
      </c>
      <c r="G7" s="180">
        <v>1201051</v>
      </c>
    </row>
    <row r="8" spans="1:7">
      <c r="B8" t="s">
        <v>302</v>
      </c>
      <c r="G8" s="181">
        <v>1889509</v>
      </c>
    </row>
    <row r="9" spans="1:7">
      <c r="B9" t="s">
        <v>303</v>
      </c>
      <c r="G9" s="181">
        <v>70258</v>
      </c>
    </row>
    <row r="10" spans="1:7">
      <c r="B10" t="s">
        <v>127</v>
      </c>
      <c r="G10" s="182">
        <v>14087861</v>
      </c>
    </row>
    <row r="11" spans="1:7">
      <c r="G11" s="83"/>
    </row>
    <row r="12" spans="1:7">
      <c r="A12" s="5"/>
      <c r="B12" s="6" t="s">
        <v>17</v>
      </c>
      <c r="C12" s="6"/>
      <c r="D12" s="6"/>
      <c r="E12" s="6"/>
      <c r="F12" s="6"/>
      <c r="G12" s="183">
        <f>SUM(G6:G10)</f>
        <v>21826285</v>
      </c>
    </row>
    <row r="13" spans="1:7">
      <c r="A13" s="5"/>
      <c r="B13" s="5"/>
      <c r="C13" s="5"/>
      <c r="D13" s="5"/>
      <c r="E13" s="5"/>
      <c r="F13" s="5"/>
      <c r="G13" s="199"/>
    </row>
    <row r="14" spans="1:7">
      <c r="A14" s="5" t="s">
        <v>18</v>
      </c>
      <c r="B14" s="5"/>
      <c r="C14" s="5"/>
      <c r="D14" s="5"/>
      <c r="E14" s="5"/>
      <c r="F14" s="5"/>
      <c r="G14" s="199"/>
    </row>
    <row r="15" spans="1:7">
      <c r="A15" s="5"/>
      <c r="B15" t="s">
        <v>304</v>
      </c>
      <c r="C15" s="5"/>
      <c r="D15" s="5"/>
      <c r="E15" s="5"/>
      <c r="F15" s="5"/>
      <c r="G15" s="230">
        <v>132270</v>
      </c>
    </row>
    <row r="16" spans="1:7">
      <c r="A16" s="5"/>
      <c r="B16" s="5" t="s">
        <v>305</v>
      </c>
      <c r="C16" s="5"/>
      <c r="D16" s="5"/>
      <c r="E16" s="5"/>
      <c r="F16" s="5"/>
      <c r="G16" s="199">
        <f>G15</f>
        <v>132270</v>
      </c>
    </row>
    <row r="17" spans="1:7">
      <c r="G17" s="83"/>
    </row>
    <row r="18" spans="1:7">
      <c r="A18" s="5" t="s">
        <v>22</v>
      </c>
      <c r="G18" s="83"/>
    </row>
    <row r="19" spans="1:7">
      <c r="A19" s="5"/>
      <c r="B19" t="s">
        <v>23</v>
      </c>
      <c r="G19" s="184">
        <v>98217</v>
      </c>
    </row>
    <row r="20" spans="1:7">
      <c r="B20" t="s">
        <v>306</v>
      </c>
      <c r="G20" s="185">
        <v>1417178</v>
      </c>
    </row>
    <row r="21" spans="1:7">
      <c r="B21" t="s">
        <v>186</v>
      </c>
      <c r="G21" s="189"/>
    </row>
    <row r="22" spans="1:7">
      <c r="B22" t="s">
        <v>34</v>
      </c>
      <c r="G22" s="231">
        <v>66241</v>
      </c>
    </row>
    <row r="23" spans="1:7">
      <c r="B23" t="s">
        <v>32</v>
      </c>
      <c r="G23" s="186">
        <v>8736</v>
      </c>
    </row>
    <row r="24" spans="1:7">
      <c r="G24" s="187"/>
    </row>
    <row r="25" spans="1:7">
      <c r="C25" s="7" t="s">
        <v>36</v>
      </c>
      <c r="D25" s="8"/>
      <c r="E25" s="8"/>
      <c r="F25" s="8"/>
      <c r="G25" s="188">
        <f>SUM(G19:G23)</f>
        <v>1590372</v>
      </c>
    </row>
    <row r="26" spans="1:7">
      <c r="C26" s="5"/>
      <c r="G26" s="199"/>
    </row>
    <row r="27" spans="1:7">
      <c r="A27" s="5" t="s">
        <v>18</v>
      </c>
      <c r="C27" s="5"/>
      <c r="G27" s="199"/>
    </row>
    <row r="28" spans="1:7">
      <c r="A28" s="5"/>
      <c r="B28" t="s">
        <v>304</v>
      </c>
      <c r="C28" s="5"/>
      <c r="G28" s="200">
        <v>23363</v>
      </c>
    </row>
    <row r="29" spans="1:7" s="5" customFormat="1">
      <c r="B29" s="5" t="s">
        <v>305</v>
      </c>
      <c r="G29" s="232">
        <f>G28</f>
        <v>23363</v>
      </c>
    </row>
    <row r="30" spans="1:7">
      <c r="G30" s="189"/>
    </row>
    <row r="31" spans="1:7">
      <c r="A31" s="3" t="s">
        <v>39</v>
      </c>
      <c r="G31" s="83"/>
    </row>
    <row r="32" spans="1:7">
      <c r="B32" t="s">
        <v>40</v>
      </c>
      <c r="G32" s="190">
        <v>14087861</v>
      </c>
    </row>
    <row r="33" spans="1:7">
      <c r="B33" t="s">
        <v>41</v>
      </c>
      <c r="G33" s="189"/>
    </row>
    <row r="34" spans="1:7">
      <c r="C34" t="s">
        <v>307</v>
      </c>
      <c r="G34" s="191">
        <v>698574</v>
      </c>
    </row>
    <row r="35" spans="1:7">
      <c r="C35" t="s">
        <v>308</v>
      </c>
      <c r="G35" s="191">
        <v>30194</v>
      </c>
    </row>
    <row r="36" spans="1:7">
      <c r="C36" t="s">
        <v>309</v>
      </c>
      <c r="G36" s="191">
        <v>4205435</v>
      </c>
    </row>
    <row r="37" spans="1:7">
      <c r="B37" t="s">
        <v>45</v>
      </c>
      <c r="G37" s="192">
        <v>1322756</v>
      </c>
    </row>
    <row r="38" spans="1:7">
      <c r="G38" s="187"/>
    </row>
    <row r="39" spans="1:7">
      <c r="A39" s="3"/>
      <c r="B39" s="9" t="s">
        <v>46</v>
      </c>
      <c r="C39" s="9"/>
      <c r="D39" s="9"/>
      <c r="E39" s="9"/>
      <c r="F39" s="9"/>
      <c r="G39" s="193">
        <f>SUM(G32:G37)</f>
        <v>20344820</v>
      </c>
    </row>
    <row r="40" spans="1:7">
      <c r="G40" s="83"/>
    </row>
    <row r="41" spans="1:7">
      <c r="A41" s="3"/>
      <c r="B41" s="10" t="s">
        <v>47</v>
      </c>
      <c r="C41" s="10"/>
      <c r="D41" s="10"/>
      <c r="E41" s="10"/>
      <c r="F41" s="10"/>
      <c r="G41" s="95">
        <f>G39+G25+G29</f>
        <v>21958555</v>
      </c>
    </row>
    <row r="42" spans="1:7">
      <c r="G42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5"/>
  <sheetViews>
    <sheetView zoomScale="70" zoomScaleNormal="70" zoomScalePageLayoutView="70" workbookViewId="0">
      <selection activeCell="O29" sqref="O29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72" t="s">
        <v>310</v>
      </c>
      <c r="E1" s="272"/>
      <c r="F1" s="272"/>
      <c r="G1" s="272"/>
      <c r="H1" s="272"/>
      <c r="I1" s="97"/>
      <c r="J1" s="97"/>
    </row>
    <row r="2" spans="1:11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1" ht="15" customHeight="1">
      <c r="H4" s="277" t="s">
        <v>2</v>
      </c>
      <c r="I4" s="277"/>
      <c r="J4" s="277"/>
    </row>
    <row r="5" spans="1:11" ht="29.1">
      <c r="H5" s="105" t="s">
        <v>3</v>
      </c>
      <c r="I5" s="105" t="s">
        <v>157</v>
      </c>
      <c r="J5" s="105" t="s">
        <v>74</v>
      </c>
      <c r="K5" s="5"/>
    </row>
    <row r="6" spans="1:11">
      <c r="A6" s="3" t="s">
        <v>5</v>
      </c>
      <c r="D6" s="3"/>
      <c r="G6" s="4"/>
      <c r="H6" s="4"/>
      <c r="I6" s="4"/>
      <c r="J6" s="4"/>
    </row>
    <row r="7" spans="1:11">
      <c r="C7" t="s">
        <v>122</v>
      </c>
      <c r="H7" s="77">
        <v>9976548</v>
      </c>
      <c r="I7" s="83">
        <v>120763</v>
      </c>
      <c r="J7" s="83">
        <f t="shared" ref="J7" si="0">SUM(H7:I7)</f>
        <v>10097311</v>
      </c>
    </row>
    <row r="8" spans="1:11">
      <c r="C8" t="s">
        <v>123</v>
      </c>
      <c r="H8" s="78">
        <v>7163</v>
      </c>
      <c r="I8" s="83">
        <v>13593</v>
      </c>
      <c r="J8" s="83">
        <f>SUM(H8:I8)</f>
        <v>20756</v>
      </c>
    </row>
    <row r="9" spans="1:11">
      <c r="C9" t="s">
        <v>124</v>
      </c>
      <c r="H9" s="90">
        <v>6075704</v>
      </c>
      <c r="I9" s="83"/>
      <c r="J9" s="83">
        <f>SUM(H9:I9)</f>
        <v>6075704</v>
      </c>
    </row>
    <row r="10" spans="1:11">
      <c r="C10" t="s">
        <v>109</v>
      </c>
      <c r="H10" s="79">
        <v>46456</v>
      </c>
      <c r="I10" s="83"/>
      <c r="J10" s="83">
        <f>SUM(H10:I10)</f>
        <v>46456</v>
      </c>
    </row>
    <row r="11" spans="1:11">
      <c r="C11" t="s">
        <v>201</v>
      </c>
      <c r="H11" s="83"/>
      <c r="I11" s="83"/>
      <c r="J11" s="83"/>
    </row>
    <row r="12" spans="1:11">
      <c r="D12" t="s">
        <v>122</v>
      </c>
      <c r="H12" s="83"/>
      <c r="I12" s="83">
        <v>20858</v>
      </c>
      <c r="J12" s="83">
        <f>SUM(I12)</f>
        <v>20858</v>
      </c>
    </row>
    <row r="13" spans="1:11">
      <c r="D13" t="s">
        <v>8</v>
      </c>
      <c r="H13" s="84">
        <v>7198420</v>
      </c>
      <c r="I13" s="83"/>
      <c r="J13" s="83">
        <f>SUM(H13:I13)</f>
        <v>7198420</v>
      </c>
    </row>
    <row r="14" spans="1:11">
      <c r="C14" t="s">
        <v>127</v>
      </c>
      <c r="H14" s="80">
        <v>47031804</v>
      </c>
      <c r="I14" s="83">
        <v>233558</v>
      </c>
      <c r="J14" s="83">
        <f>SUM(H14:I14)</f>
        <v>47265362</v>
      </c>
    </row>
    <row r="15" spans="1:11">
      <c r="H15" s="81"/>
      <c r="I15" s="81"/>
      <c r="J15" s="81"/>
    </row>
    <row r="16" spans="1:11" s="5" customFormat="1">
      <c r="C16" s="6" t="s">
        <v>17</v>
      </c>
      <c r="D16" s="6"/>
      <c r="E16" s="6"/>
      <c r="F16" s="6"/>
      <c r="G16" s="6"/>
      <c r="H16" s="82">
        <f>SUM(H7:H14)</f>
        <v>70336095</v>
      </c>
      <c r="I16" s="82">
        <f t="shared" ref="I16:J16" si="1">SUM(I7:I14)</f>
        <v>388772</v>
      </c>
      <c r="J16" s="82">
        <f t="shared" si="1"/>
        <v>70724867</v>
      </c>
    </row>
    <row r="17" spans="1:10" s="5" customFormat="1">
      <c r="H17" s="100"/>
      <c r="I17" s="100"/>
      <c r="J17" s="100"/>
    </row>
    <row r="18" spans="1:10" s="5" customFormat="1">
      <c r="A18" s="5" t="s">
        <v>311</v>
      </c>
      <c r="H18" s="197">
        <v>560010</v>
      </c>
      <c r="I18" s="197">
        <v>3029</v>
      </c>
      <c r="J18" s="197">
        <f>SUM(H18:I18)</f>
        <v>563039</v>
      </c>
    </row>
    <row r="19" spans="1:10">
      <c r="H19" s="83"/>
      <c r="I19" s="83"/>
      <c r="J19" s="83"/>
    </row>
    <row r="20" spans="1:10">
      <c r="H20" s="83"/>
      <c r="I20" s="83"/>
      <c r="J20" s="83"/>
    </row>
    <row r="21" spans="1:10">
      <c r="A21" s="5" t="s">
        <v>22</v>
      </c>
      <c r="H21" s="83"/>
      <c r="I21" s="83"/>
      <c r="J21" s="83"/>
    </row>
    <row r="22" spans="1:10">
      <c r="C22" t="s">
        <v>312</v>
      </c>
      <c r="H22" s="84">
        <v>2822672</v>
      </c>
      <c r="I22" s="83">
        <v>795</v>
      </c>
      <c r="J22" s="83">
        <f t="shared" ref="J22:J24" si="2">SUM(H22:I22)</f>
        <v>2823467</v>
      </c>
    </row>
    <row r="23" spans="1:10">
      <c r="C23" t="s">
        <v>313</v>
      </c>
      <c r="H23" s="84">
        <v>96408</v>
      </c>
      <c r="I23" s="83"/>
      <c r="J23" s="83">
        <f t="shared" si="2"/>
        <v>96408</v>
      </c>
    </row>
    <row r="24" spans="1:10">
      <c r="C24" t="s">
        <v>26</v>
      </c>
      <c r="H24" s="79">
        <v>300318</v>
      </c>
      <c r="I24" s="83"/>
      <c r="J24" s="83">
        <f t="shared" si="2"/>
        <v>300318</v>
      </c>
    </row>
    <row r="25" spans="1:10">
      <c r="C25" t="s">
        <v>314</v>
      </c>
      <c r="H25" s="84">
        <v>249333</v>
      </c>
      <c r="I25" s="83">
        <v>1065</v>
      </c>
      <c r="J25" s="83">
        <f>SUM(H25:I25)</f>
        <v>250398</v>
      </c>
    </row>
    <row r="26" spans="1:10">
      <c r="C26" t="s">
        <v>26</v>
      </c>
      <c r="H26" s="79">
        <v>12297</v>
      </c>
      <c r="I26" s="83">
        <v>12349</v>
      </c>
      <c r="J26" s="83">
        <f t="shared" ref="J26:J30" si="3">SUM(H26:I26)</f>
        <v>24646</v>
      </c>
    </row>
    <row r="27" spans="1:10">
      <c r="C27" t="s">
        <v>315</v>
      </c>
      <c r="H27" s="83"/>
      <c r="I27" s="83"/>
      <c r="J27" s="83">
        <f t="shared" si="3"/>
        <v>0</v>
      </c>
    </row>
    <row r="28" spans="1:10">
      <c r="C28" t="s">
        <v>29</v>
      </c>
      <c r="H28" s="83"/>
      <c r="I28" s="83"/>
      <c r="J28" s="83">
        <f t="shared" si="3"/>
        <v>0</v>
      </c>
    </row>
    <row r="29" spans="1:10">
      <c r="D29" t="s">
        <v>131</v>
      </c>
      <c r="H29" s="151">
        <v>1889000</v>
      </c>
      <c r="I29" s="83">
        <v>1926</v>
      </c>
      <c r="J29" s="83">
        <f t="shared" si="3"/>
        <v>1890926</v>
      </c>
    </row>
    <row r="30" spans="1:10">
      <c r="D30" t="s">
        <v>132</v>
      </c>
      <c r="H30" s="152">
        <v>28115103</v>
      </c>
      <c r="I30" s="83">
        <v>55870</v>
      </c>
      <c r="J30" s="83">
        <f t="shared" si="3"/>
        <v>28170973</v>
      </c>
    </row>
    <row r="31" spans="1:10">
      <c r="C31" t="s">
        <v>34</v>
      </c>
      <c r="H31" s="77">
        <v>214778</v>
      </c>
      <c r="I31" s="83">
        <v>563</v>
      </c>
      <c r="J31" s="83">
        <f t="shared" ref="J31" si="4">SUM(H31:I31)</f>
        <v>215341</v>
      </c>
    </row>
    <row r="32" spans="1:10">
      <c r="H32" s="81"/>
      <c r="I32" s="81"/>
      <c r="J32" s="81"/>
    </row>
    <row r="33" spans="1:10">
      <c r="D33" s="7" t="s">
        <v>36</v>
      </c>
      <c r="E33" s="8"/>
      <c r="F33" s="8"/>
      <c r="G33" s="8"/>
      <c r="H33" s="87">
        <f>SUM(H22:H31)</f>
        <v>33699909</v>
      </c>
      <c r="I33" s="87">
        <f>SUM(I22:I31)</f>
        <v>72568</v>
      </c>
      <c r="J33" s="87">
        <f>SUM(J22:J31)</f>
        <v>33772477</v>
      </c>
    </row>
    <row r="34" spans="1:10">
      <c r="H34" s="83"/>
      <c r="I34" s="83"/>
      <c r="J34" s="83"/>
    </row>
    <row r="35" spans="1:10" s="5" customFormat="1">
      <c r="A35" s="5" t="s">
        <v>316</v>
      </c>
      <c r="H35" s="197">
        <v>82697</v>
      </c>
      <c r="I35" s="197">
        <v>307</v>
      </c>
      <c r="J35" s="197">
        <f>SUM(H35:I35)</f>
        <v>83004</v>
      </c>
    </row>
    <row r="36" spans="1:10">
      <c r="H36" s="83"/>
      <c r="I36" s="83"/>
      <c r="J36" s="83"/>
    </row>
    <row r="37" spans="1:10">
      <c r="A37" s="3" t="s">
        <v>39</v>
      </c>
      <c r="H37" s="83"/>
      <c r="I37" s="83"/>
      <c r="J37" s="83"/>
    </row>
    <row r="38" spans="1:10">
      <c r="B38" t="s">
        <v>40</v>
      </c>
      <c r="H38" s="88">
        <v>24827361</v>
      </c>
      <c r="I38" s="83">
        <v>177688</v>
      </c>
      <c r="J38" s="83">
        <f>SUM(H38:I38)</f>
        <v>25005049</v>
      </c>
    </row>
    <row r="39" spans="1:10">
      <c r="B39" t="s">
        <v>317</v>
      </c>
      <c r="H39" s="89">
        <v>144210</v>
      </c>
      <c r="I39" s="83">
        <v>6583</v>
      </c>
      <c r="J39" s="83">
        <f>SUM(H39:I39)</f>
        <v>150793</v>
      </c>
    </row>
    <row r="40" spans="1:10">
      <c r="B40" t="s">
        <v>45</v>
      </c>
      <c r="H40" s="93">
        <v>12141928</v>
      </c>
      <c r="I40" s="83">
        <v>134655</v>
      </c>
      <c r="J40" s="83">
        <f>SUM(H40:I40)</f>
        <v>12276583</v>
      </c>
    </row>
    <row r="41" spans="1:10">
      <c r="H41" s="81"/>
      <c r="I41" s="81"/>
      <c r="J41" s="81"/>
    </row>
    <row r="42" spans="1:10" s="3" customFormat="1">
      <c r="C42" s="9" t="s">
        <v>46</v>
      </c>
      <c r="D42" s="9"/>
      <c r="E42" s="9"/>
      <c r="F42" s="9"/>
      <c r="G42" s="9"/>
      <c r="H42" s="94">
        <f>SUM(H38:H40)</f>
        <v>37113499</v>
      </c>
      <c r="I42" s="94">
        <f>SUM(I38:I40)</f>
        <v>318926</v>
      </c>
      <c r="J42" s="94">
        <f>SUM(J38:J40)</f>
        <v>37432425</v>
      </c>
    </row>
    <row r="43" spans="1:10">
      <c r="H43" s="83"/>
      <c r="I43" s="83"/>
      <c r="J43" s="83"/>
    </row>
    <row r="44" spans="1:10" s="3" customFormat="1">
      <c r="C44" s="10" t="s">
        <v>47</v>
      </c>
      <c r="D44" s="10"/>
      <c r="E44" s="10"/>
      <c r="F44" s="10"/>
      <c r="G44" s="10"/>
      <c r="H44" s="95">
        <f>SUM(H42+H33)</f>
        <v>70813408</v>
      </c>
      <c r="I44" s="95">
        <f t="shared" ref="I44:J44" si="5">SUM(I42+I33)</f>
        <v>391494</v>
      </c>
      <c r="J44" s="95">
        <f t="shared" si="5"/>
        <v>71204902</v>
      </c>
    </row>
    <row r="45" spans="1:10">
      <c r="H45" s="83"/>
      <c r="I45" s="83"/>
      <c r="J45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9"/>
  <sheetViews>
    <sheetView workbookViewId="0">
      <selection activeCell="G11" sqref="G11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9.42578125" customWidth="1"/>
    <col min="6" max="6" width="24" customWidth="1"/>
    <col min="7" max="7" width="17.140625" customWidth="1"/>
  </cols>
  <sheetData>
    <row r="1" spans="1:7" ht="18.600000000000001">
      <c r="A1" s="1"/>
      <c r="B1" s="1"/>
      <c r="C1" s="272" t="s">
        <v>318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9845125</v>
      </c>
    </row>
    <row r="7" spans="1:7">
      <c r="B7" t="s">
        <v>50</v>
      </c>
      <c r="G7" s="78">
        <v>3565030</v>
      </c>
    </row>
    <row r="8" spans="1:7">
      <c r="B8" t="s">
        <v>319</v>
      </c>
      <c r="G8" s="91">
        <v>19315782</v>
      </c>
    </row>
    <row r="9" spans="1:7">
      <c r="G9" s="83"/>
    </row>
    <row r="10" spans="1:7">
      <c r="A10" s="5"/>
      <c r="B10" s="6" t="s">
        <v>17</v>
      </c>
      <c r="C10" s="6"/>
      <c r="D10" s="6"/>
      <c r="E10" s="6"/>
      <c r="F10" s="6"/>
      <c r="G10" s="82">
        <f>SUM(G6:G8)</f>
        <v>32725937</v>
      </c>
    </row>
    <row r="11" spans="1:7">
      <c r="G11" s="83"/>
    </row>
    <row r="12" spans="1:7" s="5" customFormat="1">
      <c r="A12" s="5" t="s">
        <v>18</v>
      </c>
      <c r="G12" s="100"/>
    </row>
    <row r="13" spans="1:7">
      <c r="B13" t="s">
        <v>20</v>
      </c>
      <c r="G13" s="122">
        <v>114200</v>
      </c>
    </row>
    <row r="14" spans="1:7" s="5" customFormat="1">
      <c r="B14" s="5" t="s">
        <v>320</v>
      </c>
      <c r="G14" s="100">
        <f>G13+G10</f>
        <v>32840137</v>
      </c>
    </row>
    <row r="15" spans="1:7">
      <c r="G15" s="83"/>
    </row>
    <row r="16" spans="1:7">
      <c r="A16" s="5" t="s">
        <v>22</v>
      </c>
      <c r="G16" s="83"/>
    </row>
    <row r="17" spans="1:7">
      <c r="A17" s="5"/>
      <c r="B17" t="s">
        <v>23</v>
      </c>
      <c r="G17" s="84">
        <v>410724</v>
      </c>
    </row>
    <row r="18" spans="1:7">
      <c r="B18" t="s">
        <v>321</v>
      </c>
      <c r="G18" s="84">
        <v>73784</v>
      </c>
    </row>
    <row r="19" spans="1:7">
      <c r="B19" t="s">
        <v>115</v>
      </c>
      <c r="G19" s="86">
        <v>97918</v>
      </c>
    </row>
    <row r="20" spans="1:7">
      <c r="B20" t="s">
        <v>322</v>
      </c>
      <c r="G20" s="84">
        <v>42662</v>
      </c>
    </row>
    <row r="21" spans="1:7">
      <c r="B21" t="s">
        <v>29</v>
      </c>
      <c r="G21" s="83"/>
    </row>
    <row r="22" spans="1:7">
      <c r="C22" t="s">
        <v>92</v>
      </c>
      <c r="G22" s="151">
        <v>31000</v>
      </c>
    </row>
    <row r="23" spans="1:7">
      <c r="C23" t="s">
        <v>93</v>
      </c>
      <c r="G23" s="152">
        <v>72000</v>
      </c>
    </row>
    <row r="24" spans="1:7">
      <c r="B24" t="s">
        <v>34</v>
      </c>
      <c r="G24" s="96">
        <v>72472</v>
      </c>
    </row>
    <row r="25" spans="1:7">
      <c r="B25" t="s">
        <v>155</v>
      </c>
      <c r="G25" s="79">
        <v>1566426</v>
      </c>
    </row>
    <row r="26" spans="1:7">
      <c r="G26" s="81"/>
    </row>
    <row r="27" spans="1:7">
      <c r="C27" s="7" t="s">
        <v>36</v>
      </c>
      <c r="D27" s="8"/>
      <c r="E27" s="8"/>
      <c r="F27" s="8"/>
      <c r="G27" s="87">
        <f>SUM(G17:G25)</f>
        <v>2366986</v>
      </c>
    </row>
    <row r="28" spans="1:7">
      <c r="C28" s="5"/>
      <c r="G28" s="100"/>
    </row>
    <row r="29" spans="1:7" s="5" customFormat="1">
      <c r="A29" s="5" t="s">
        <v>37</v>
      </c>
      <c r="G29" s="100"/>
    </row>
    <row r="30" spans="1:7">
      <c r="B30" t="s">
        <v>20</v>
      </c>
      <c r="G30" s="122">
        <v>28927</v>
      </c>
    </row>
    <row r="31" spans="1:7">
      <c r="G31" s="83"/>
    </row>
    <row r="32" spans="1:7">
      <c r="A32" s="3" t="s">
        <v>39</v>
      </c>
      <c r="G32" s="83"/>
    </row>
    <row r="33" spans="1:7">
      <c r="B33" t="s">
        <v>119</v>
      </c>
      <c r="G33" s="88">
        <v>19170120</v>
      </c>
    </row>
    <row r="34" spans="1:7">
      <c r="B34" t="s">
        <v>45</v>
      </c>
      <c r="G34" s="93">
        <v>11271104</v>
      </c>
    </row>
    <row r="35" spans="1:7">
      <c r="G35" s="81"/>
    </row>
    <row r="36" spans="1:7">
      <c r="A36" s="3"/>
      <c r="B36" s="9" t="s">
        <v>46</v>
      </c>
      <c r="C36" s="9"/>
      <c r="D36" s="9"/>
      <c r="E36" s="9"/>
      <c r="F36" s="9"/>
      <c r="G36" s="94">
        <f>SUM(G33:G34)</f>
        <v>30441224</v>
      </c>
    </row>
    <row r="37" spans="1:7">
      <c r="G37" s="83"/>
    </row>
    <row r="38" spans="1:7">
      <c r="A38" s="3"/>
      <c r="B38" s="10" t="s">
        <v>323</v>
      </c>
      <c r="C38" s="10"/>
      <c r="D38" s="10"/>
      <c r="E38" s="10"/>
      <c r="F38" s="10"/>
      <c r="G38" s="95">
        <f>SUM(G27+G36+G30)</f>
        <v>32837137</v>
      </c>
    </row>
    <row r="39" spans="1:7">
      <c r="G39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46"/>
  <sheetViews>
    <sheetView zoomScale="80" zoomScaleNormal="80" zoomScalePageLayoutView="80" workbookViewId="0">
      <selection activeCell="Q14" sqref="Q1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72" t="s">
        <v>324</v>
      </c>
      <c r="E1" s="272"/>
      <c r="F1" s="272"/>
      <c r="G1" s="272"/>
      <c r="H1" s="272"/>
      <c r="I1" s="97"/>
      <c r="J1" s="97"/>
    </row>
    <row r="2" spans="1:11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1">
      <c r="H4" s="277" t="s">
        <v>2</v>
      </c>
      <c r="I4" s="277"/>
      <c r="J4" s="277"/>
    </row>
    <row r="5" spans="1:11" ht="29.1">
      <c r="H5" s="105" t="s">
        <v>3</v>
      </c>
      <c r="I5" s="105" t="s">
        <v>157</v>
      </c>
      <c r="J5" s="105" t="s">
        <v>74</v>
      </c>
      <c r="K5" s="5"/>
    </row>
    <row r="6" spans="1:11">
      <c r="A6" s="3" t="s">
        <v>5</v>
      </c>
      <c r="D6" s="3"/>
      <c r="G6" s="4"/>
      <c r="H6" s="4"/>
      <c r="I6" s="4"/>
      <c r="J6" s="4"/>
    </row>
    <row r="7" spans="1:11">
      <c r="C7" t="s">
        <v>7</v>
      </c>
      <c r="H7" s="77">
        <v>1607559</v>
      </c>
      <c r="I7" s="83">
        <v>448494</v>
      </c>
      <c r="J7" s="83">
        <f t="shared" ref="J7" si="0">SUM(H7:I7)</f>
        <v>2056053</v>
      </c>
    </row>
    <row r="8" spans="1:11">
      <c r="C8" t="s">
        <v>325</v>
      </c>
      <c r="H8" s="78">
        <v>1476524</v>
      </c>
      <c r="I8" s="83">
        <v>52934</v>
      </c>
      <c r="J8" s="83">
        <f>SUM(H8:I8)</f>
        <v>1529458</v>
      </c>
    </row>
    <row r="9" spans="1:11">
      <c r="C9" t="s">
        <v>14</v>
      </c>
      <c r="H9" s="83"/>
      <c r="I9" s="83"/>
      <c r="J9" s="83"/>
    </row>
    <row r="10" spans="1:11">
      <c r="D10" t="s">
        <v>326</v>
      </c>
      <c r="H10" s="83"/>
      <c r="I10" s="83"/>
      <c r="J10" s="83"/>
    </row>
    <row r="11" spans="1:11">
      <c r="E11" t="s">
        <v>142</v>
      </c>
      <c r="H11" s="80">
        <v>410009</v>
      </c>
      <c r="I11" s="83">
        <v>20000</v>
      </c>
      <c r="J11" s="83">
        <f>SUM(H11:I11)</f>
        <v>430009</v>
      </c>
    </row>
    <row r="12" spans="1:11">
      <c r="E12" t="s">
        <v>138</v>
      </c>
      <c r="H12" s="80">
        <v>203250</v>
      </c>
      <c r="I12" s="83"/>
      <c r="J12" s="83">
        <f>SUM(H12:I12)</f>
        <v>203250</v>
      </c>
    </row>
    <row r="13" spans="1:11">
      <c r="D13" t="s">
        <v>327</v>
      </c>
      <c r="H13" s="80">
        <v>5503118</v>
      </c>
      <c r="I13" s="83">
        <v>312597</v>
      </c>
      <c r="J13" s="83">
        <f>SUM(H13:I13)</f>
        <v>5815715</v>
      </c>
    </row>
    <row r="14" spans="1:11">
      <c r="H14" s="81"/>
      <c r="I14" s="81"/>
      <c r="J14" s="81"/>
    </row>
    <row r="15" spans="1:11" s="5" customFormat="1">
      <c r="C15" s="6" t="s">
        <v>17</v>
      </c>
      <c r="D15" s="6"/>
      <c r="E15" s="6"/>
      <c r="F15" s="6"/>
      <c r="G15" s="6"/>
      <c r="H15" s="82">
        <f>SUM(H7:H13)</f>
        <v>9200460</v>
      </c>
      <c r="I15" s="82">
        <f>SUM(I7:I13)</f>
        <v>834025</v>
      </c>
      <c r="J15" s="82">
        <f>SUM(J7:J13)</f>
        <v>10034485</v>
      </c>
    </row>
    <row r="16" spans="1:11" s="5" customFormat="1">
      <c r="H16" s="100"/>
      <c r="I16" s="100"/>
      <c r="J16" s="100"/>
    </row>
    <row r="17" spans="1:10" s="5" customFormat="1">
      <c r="C17" s="5" t="s">
        <v>328</v>
      </c>
      <c r="H17" s="197">
        <v>327152</v>
      </c>
      <c r="I17" s="197">
        <v>39770</v>
      </c>
      <c r="J17" s="197">
        <f>SUM(H17:I17)</f>
        <v>366922</v>
      </c>
    </row>
    <row r="18" spans="1:10">
      <c r="H18" s="83"/>
      <c r="I18" s="83"/>
      <c r="J18" s="83"/>
    </row>
    <row r="19" spans="1:10">
      <c r="A19" s="5" t="s">
        <v>22</v>
      </c>
      <c r="H19" s="83"/>
      <c r="I19" s="83"/>
      <c r="J19" s="83"/>
    </row>
    <row r="20" spans="1:10">
      <c r="A20" s="5"/>
      <c r="C20" t="s">
        <v>312</v>
      </c>
      <c r="H20" s="84">
        <v>481261</v>
      </c>
      <c r="I20" s="83">
        <v>22337</v>
      </c>
      <c r="J20" s="83">
        <f>SUM(H20:I20)</f>
        <v>503598</v>
      </c>
    </row>
    <row r="21" spans="1:10">
      <c r="A21" s="5"/>
      <c r="C21" t="s">
        <v>329</v>
      </c>
      <c r="H21" s="84">
        <v>32870</v>
      </c>
      <c r="I21" s="83"/>
      <c r="J21" s="83">
        <f t="shared" ref="J21:J29" si="1">SUM(H21:I21)</f>
        <v>32870</v>
      </c>
    </row>
    <row r="22" spans="1:10">
      <c r="C22" t="s">
        <v>330</v>
      </c>
      <c r="H22" s="83"/>
      <c r="I22" s="83">
        <v>79146</v>
      </c>
      <c r="J22" s="83">
        <f t="shared" si="1"/>
        <v>79146</v>
      </c>
    </row>
    <row r="23" spans="1:10">
      <c r="C23" t="s">
        <v>331</v>
      </c>
      <c r="H23" s="83"/>
      <c r="I23" s="83"/>
      <c r="J23" s="83">
        <f t="shared" si="1"/>
        <v>0</v>
      </c>
    </row>
    <row r="24" spans="1:10">
      <c r="C24" t="s">
        <v>29</v>
      </c>
      <c r="H24" s="83"/>
      <c r="I24" s="83"/>
      <c r="J24" s="83">
        <f t="shared" si="1"/>
        <v>0</v>
      </c>
    </row>
    <row r="25" spans="1:10">
      <c r="D25" t="s">
        <v>32</v>
      </c>
      <c r="H25" s="86">
        <v>48059</v>
      </c>
      <c r="I25" s="83">
        <v>12224</v>
      </c>
      <c r="J25" s="83">
        <f t="shared" si="1"/>
        <v>60283</v>
      </c>
    </row>
    <row r="26" spans="1:10">
      <c r="D26" t="s">
        <v>332</v>
      </c>
      <c r="H26" s="83"/>
      <c r="I26" s="83"/>
      <c r="J26" s="83">
        <f t="shared" si="1"/>
        <v>0</v>
      </c>
    </row>
    <row r="27" spans="1:10">
      <c r="E27" t="s">
        <v>92</v>
      </c>
      <c r="H27" s="92">
        <v>97605</v>
      </c>
      <c r="I27" s="83"/>
      <c r="J27" s="83">
        <f t="shared" si="1"/>
        <v>97605</v>
      </c>
    </row>
    <row r="28" spans="1:10">
      <c r="E28" t="s">
        <v>93</v>
      </c>
      <c r="H28" s="77">
        <v>149857</v>
      </c>
      <c r="I28" s="83"/>
      <c r="J28" s="83">
        <f t="shared" si="1"/>
        <v>149857</v>
      </c>
    </row>
    <row r="29" spans="1:10">
      <c r="D29" t="s">
        <v>333</v>
      </c>
      <c r="H29" s="79">
        <v>95921</v>
      </c>
      <c r="I29" s="83">
        <v>7854</v>
      </c>
      <c r="J29" s="83">
        <f t="shared" si="1"/>
        <v>103775</v>
      </c>
    </row>
    <row r="30" spans="1:10">
      <c r="H30" s="83"/>
      <c r="I30" s="83"/>
      <c r="J30" s="83"/>
    </row>
    <row r="31" spans="1:10">
      <c r="D31" s="7" t="s">
        <v>36</v>
      </c>
      <c r="E31" s="8"/>
      <c r="F31" s="8"/>
      <c r="G31" s="8"/>
      <c r="H31" s="87">
        <f>SUM(H20:H29)</f>
        <v>905573</v>
      </c>
      <c r="I31" s="87">
        <f>SUM(I20:I29)</f>
        <v>121561</v>
      </c>
      <c r="J31" s="87">
        <f>SUM(J20:J29)</f>
        <v>1027134</v>
      </c>
    </row>
    <row r="32" spans="1:10">
      <c r="D32" s="5"/>
      <c r="H32" s="100"/>
      <c r="I32" s="100"/>
      <c r="J32" s="100"/>
    </row>
    <row r="33" spans="1:10" s="5" customFormat="1">
      <c r="C33" s="5" t="s">
        <v>218</v>
      </c>
      <c r="H33" s="197">
        <v>101227</v>
      </c>
      <c r="I33" s="197">
        <v>3497</v>
      </c>
      <c r="J33" s="197">
        <f>SUM(H33:I33)</f>
        <v>104724</v>
      </c>
    </row>
    <row r="34" spans="1:10">
      <c r="H34" s="83"/>
      <c r="I34" s="83"/>
      <c r="J34" s="83"/>
    </row>
    <row r="35" spans="1:10">
      <c r="A35" s="3" t="s">
        <v>39</v>
      </c>
      <c r="H35" s="83"/>
      <c r="I35" s="83"/>
      <c r="J35" s="83"/>
    </row>
    <row r="36" spans="1:10">
      <c r="B36" t="s">
        <v>119</v>
      </c>
      <c r="H36" s="88">
        <v>5836045</v>
      </c>
      <c r="I36" s="83">
        <v>332597</v>
      </c>
      <c r="J36" s="83">
        <f>SUM(H36:I36)</f>
        <v>6168642</v>
      </c>
    </row>
    <row r="37" spans="1:10">
      <c r="B37" t="s">
        <v>334</v>
      </c>
      <c r="H37" s="83"/>
      <c r="I37" s="83"/>
      <c r="J37" s="83"/>
    </row>
    <row r="38" spans="1:10">
      <c r="C38" t="s">
        <v>335</v>
      </c>
      <c r="H38" s="89">
        <v>1732973</v>
      </c>
      <c r="I38" s="83"/>
      <c r="J38" s="83">
        <f>SUM(H38:I38)</f>
        <v>1732973</v>
      </c>
    </row>
    <row r="39" spans="1:10">
      <c r="C39" t="s">
        <v>67</v>
      </c>
      <c r="H39" s="89">
        <v>30664</v>
      </c>
      <c r="I39" s="83"/>
      <c r="J39" s="83">
        <f>SUM(H39:I39)</f>
        <v>30664</v>
      </c>
    </row>
    <row r="40" spans="1:10">
      <c r="C40" t="s">
        <v>336</v>
      </c>
      <c r="H40" s="89">
        <v>51728</v>
      </c>
      <c r="I40" s="83"/>
      <c r="J40" s="83">
        <f t="shared" ref="J40" si="2">SUM(H40:I40)</f>
        <v>51728</v>
      </c>
    </row>
    <row r="41" spans="1:10">
      <c r="B41" t="s">
        <v>45</v>
      </c>
      <c r="H41" s="93">
        <v>869402</v>
      </c>
      <c r="I41" s="83">
        <v>416140</v>
      </c>
      <c r="J41" s="83">
        <f>SUM(H41:I41)</f>
        <v>1285542</v>
      </c>
    </row>
    <row r="42" spans="1:10">
      <c r="H42" s="81"/>
      <c r="I42" s="81"/>
      <c r="J42" s="81"/>
    </row>
    <row r="43" spans="1:10" s="3" customFormat="1">
      <c r="C43" s="9" t="s">
        <v>46</v>
      </c>
      <c r="D43" s="9"/>
      <c r="E43" s="9"/>
      <c r="F43" s="9"/>
      <c r="G43" s="9"/>
      <c r="H43" s="94">
        <f>SUM(H36:H41)</f>
        <v>8520812</v>
      </c>
      <c r="I43" s="94">
        <f>SUM(I36:I41)</f>
        <v>748737</v>
      </c>
      <c r="J43" s="94">
        <f>SUM(J36:J41)</f>
        <v>9269549</v>
      </c>
    </row>
    <row r="44" spans="1:10">
      <c r="H44" s="83"/>
      <c r="I44" s="83"/>
      <c r="J44" s="83"/>
    </row>
    <row r="45" spans="1:10" s="3" customFormat="1">
      <c r="C45" s="10" t="s">
        <v>47</v>
      </c>
      <c r="D45" s="10"/>
      <c r="E45" s="10"/>
      <c r="F45" s="10"/>
      <c r="G45" s="10"/>
      <c r="H45" s="95">
        <f>SUM(H43+H31+H33)</f>
        <v>9527612</v>
      </c>
      <c r="I45" s="95">
        <f t="shared" ref="I45:J45" si="3">SUM(I43+I31+I33)</f>
        <v>873795</v>
      </c>
      <c r="J45" s="95">
        <f t="shared" si="3"/>
        <v>10401407</v>
      </c>
    </row>
    <row r="46" spans="1:10">
      <c r="H46" s="83"/>
      <c r="I46" s="83"/>
      <c r="J46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64"/>
  <sheetViews>
    <sheetView zoomScale="80" zoomScaleNormal="80" zoomScalePageLayoutView="80" workbookViewId="0">
      <selection activeCell="L40" sqref="L40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7.7109375" customWidth="1"/>
  </cols>
  <sheetData>
    <row r="1" spans="1:10" ht="18.75" customHeight="1">
      <c r="A1" s="1"/>
      <c r="B1" s="1"/>
      <c r="C1" s="1"/>
      <c r="D1" s="272" t="s">
        <v>337</v>
      </c>
      <c r="E1" s="272"/>
      <c r="F1" s="272"/>
      <c r="G1" s="272"/>
      <c r="H1" s="272"/>
    </row>
    <row r="2" spans="1:10" ht="15.75" customHeight="1">
      <c r="A2" s="1"/>
      <c r="B2" s="1"/>
      <c r="C2" s="1"/>
      <c r="D2" s="271" t="s">
        <v>1</v>
      </c>
      <c r="E2" s="271"/>
      <c r="F2" s="271"/>
      <c r="G2" s="271"/>
      <c r="H2" s="271"/>
    </row>
    <row r="4" spans="1:10" ht="31.5" customHeight="1">
      <c r="H4" s="201" t="s">
        <v>2</v>
      </c>
    </row>
    <row r="5" spans="1:10" ht="31.5" customHeight="1">
      <c r="H5" s="2" t="s">
        <v>3</v>
      </c>
      <c r="I5" s="106" t="s">
        <v>108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122</v>
      </c>
      <c r="H7" s="77">
        <v>46860646</v>
      </c>
      <c r="I7" s="83">
        <v>41977434</v>
      </c>
    </row>
    <row r="8" spans="1:10">
      <c r="C8" t="s">
        <v>8</v>
      </c>
      <c r="H8" s="84">
        <v>63081</v>
      </c>
      <c r="I8" s="83"/>
    </row>
    <row r="9" spans="1:10">
      <c r="C9" t="s">
        <v>123</v>
      </c>
      <c r="H9" s="78">
        <v>7717579</v>
      </c>
      <c r="I9" s="83">
        <v>10093684</v>
      </c>
    </row>
    <row r="10" spans="1:10">
      <c r="C10" t="s">
        <v>338</v>
      </c>
      <c r="H10" s="79">
        <v>1989685</v>
      </c>
      <c r="I10" s="83"/>
    </row>
    <row r="11" spans="1:10">
      <c r="C11" t="s">
        <v>303</v>
      </c>
      <c r="H11" s="90">
        <v>3219065</v>
      </c>
      <c r="I11" s="83">
        <v>813304</v>
      </c>
    </row>
    <row r="12" spans="1:10">
      <c r="C12" t="s">
        <v>176</v>
      </c>
      <c r="H12" s="121"/>
      <c r="I12" s="83">
        <v>614357</v>
      </c>
    </row>
    <row r="13" spans="1:10">
      <c r="C13" t="s">
        <v>177</v>
      </c>
      <c r="H13" s="83"/>
      <c r="I13" s="83">
        <v>1727422</v>
      </c>
    </row>
    <row r="14" spans="1:10">
      <c r="C14" t="s">
        <v>125</v>
      </c>
      <c r="H14" s="83"/>
      <c r="I14" s="83">
        <v>707184</v>
      </c>
    </row>
    <row r="15" spans="1:10">
      <c r="C15" t="s">
        <v>339</v>
      </c>
      <c r="H15" s="83"/>
      <c r="I15" s="83">
        <v>282536</v>
      </c>
    </row>
    <row r="16" spans="1:10">
      <c r="C16" t="s">
        <v>340</v>
      </c>
      <c r="H16" s="83"/>
      <c r="I16" s="83">
        <v>501439</v>
      </c>
    </row>
    <row r="17" spans="1:9">
      <c r="C17" t="s">
        <v>78</v>
      </c>
      <c r="H17" s="83"/>
      <c r="I17" s="83">
        <v>3890720</v>
      </c>
    </row>
    <row r="18" spans="1:9">
      <c r="C18" t="s">
        <v>14</v>
      </c>
      <c r="H18" s="83"/>
      <c r="I18" s="83"/>
    </row>
    <row r="19" spans="1:9">
      <c r="D19" t="s">
        <v>15</v>
      </c>
      <c r="H19" s="80">
        <v>8523433</v>
      </c>
      <c r="I19" s="83">
        <v>13973493</v>
      </c>
    </row>
    <row r="20" spans="1:9">
      <c r="D20" t="s">
        <v>16</v>
      </c>
      <c r="H20" s="91">
        <v>85605502</v>
      </c>
      <c r="I20" s="83">
        <v>67696703</v>
      </c>
    </row>
    <row r="21" spans="1:9">
      <c r="H21" s="83"/>
      <c r="I21" s="81"/>
    </row>
    <row r="22" spans="1:9" s="5" customFormat="1">
      <c r="C22" s="6" t="s">
        <v>17</v>
      </c>
      <c r="D22" s="6"/>
      <c r="E22" s="6"/>
      <c r="F22" s="6"/>
      <c r="G22" s="6"/>
      <c r="H22" s="82">
        <f>SUM(H7:H20)</f>
        <v>153978991</v>
      </c>
      <c r="I22" s="82">
        <f>SUM(I7:I20)</f>
        <v>142278276</v>
      </c>
    </row>
    <row r="23" spans="1:9" s="5" customFormat="1">
      <c r="H23" s="100"/>
      <c r="I23" s="100"/>
    </row>
    <row r="24" spans="1:9" s="5" customFormat="1">
      <c r="A24" s="5" t="s">
        <v>18</v>
      </c>
      <c r="H24" s="100"/>
      <c r="I24" s="100"/>
    </row>
    <row r="25" spans="1:9">
      <c r="B25" t="s">
        <v>20</v>
      </c>
      <c r="H25" s="83">
        <v>1266943</v>
      </c>
      <c r="I25" s="83">
        <v>5503380</v>
      </c>
    </row>
    <row r="26" spans="1:9" s="5" customFormat="1">
      <c r="B26" t="s">
        <v>341</v>
      </c>
      <c r="H26" s="100"/>
      <c r="I26" s="83">
        <v>80687</v>
      </c>
    </row>
    <row r="27" spans="1:9" s="5" customFormat="1">
      <c r="B27"/>
      <c r="C27" s="5" t="s">
        <v>83</v>
      </c>
      <c r="H27" s="166">
        <f>SUM(H25:H26)</f>
        <v>1266943</v>
      </c>
      <c r="I27" s="166">
        <f>SUM(I25:I26)</f>
        <v>5584067</v>
      </c>
    </row>
    <row r="28" spans="1:9">
      <c r="H28" s="83"/>
      <c r="I28" s="83"/>
    </row>
    <row r="29" spans="1:9">
      <c r="A29" s="5" t="s">
        <v>22</v>
      </c>
      <c r="H29" s="83"/>
      <c r="I29" s="83"/>
    </row>
    <row r="30" spans="1:9">
      <c r="C30" t="s">
        <v>23</v>
      </c>
      <c r="H30" s="84">
        <v>1304798</v>
      </c>
      <c r="I30" s="83">
        <v>2567682</v>
      </c>
    </row>
    <row r="31" spans="1:9">
      <c r="C31" t="s">
        <v>342</v>
      </c>
      <c r="H31" s="84">
        <v>233319</v>
      </c>
      <c r="I31" s="83">
        <v>6224024</v>
      </c>
    </row>
    <row r="32" spans="1:9">
      <c r="C32" t="s">
        <v>343</v>
      </c>
      <c r="H32" s="84">
        <v>860129</v>
      </c>
      <c r="I32" s="83">
        <v>1227829</v>
      </c>
    </row>
    <row r="33" spans="1:9">
      <c r="C33" t="s">
        <v>186</v>
      </c>
      <c r="H33" s="96">
        <v>364569</v>
      </c>
      <c r="I33" s="83">
        <v>234180</v>
      </c>
    </row>
    <row r="34" spans="1:9">
      <c r="C34" t="s">
        <v>344</v>
      </c>
      <c r="H34" s="96">
        <v>614357</v>
      </c>
      <c r="I34" s="83"/>
    </row>
    <row r="35" spans="1:9">
      <c r="C35" t="s">
        <v>345</v>
      </c>
      <c r="H35" s="83"/>
      <c r="I35" s="83">
        <v>1989685</v>
      </c>
    </row>
    <row r="36" spans="1:9">
      <c r="C36" t="s">
        <v>346</v>
      </c>
      <c r="H36" s="79">
        <v>89950</v>
      </c>
      <c r="I36" s="83">
        <v>66735</v>
      </c>
    </row>
    <row r="37" spans="1:9">
      <c r="C37" t="s">
        <v>347</v>
      </c>
      <c r="H37" s="83"/>
      <c r="I37" s="83">
        <v>371027</v>
      </c>
    </row>
    <row r="38" spans="1:9">
      <c r="C38" t="s">
        <v>27</v>
      </c>
      <c r="H38" s="84">
        <v>23641</v>
      </c>
      <c r="I38" s="83">
        <v>221554</v>
      </c>
    </row>
    <row r="39" spans="1:9">
      <c r="C39" t="s">
        <v>29</v>
      </c>
      <c r="H39" s="83"/>
      <c r="I39" s="83"/>
    </row>
    <row r="40" spans="1:9">
      <c r="D40" t="s">
        <v>348</v>
      </c>
      <c r="H40" s="83"/>
      <c r="I40" s="83">
        <v>12311</v>
      </c>
    </row>
    <row r="41" spans="1:9">
      <c r="D41" t="s">
        <v>349</v>
      </c>
      <c r="H41" s="79">
        <v>5571987</v>
      </c>
      <c r="I41" s="83">
        <v>2214306</v>
      </c>
    </row>
    <row r="42" spans="1:9">
      <c r="D42" t="s">
        <v>34</v>
      </c>
      <c r="H42" s="79">
        <v>245699</v>
      </c>
      <c r="I42" s="83">
        <v>3734210</v>
      </c>
    </row>
    <row r="43" spans="1:9">
      <c r="D43" t="s">
        <v>92</v>
      </c>
      <c r="H43" s="92">
        <v>1825318</v>
      </c>
      <c r="I43" s="83">
        <v>3726878</v>
      </c>
    </row>
    <row r="44" spans="1:9">
      <c r="D44" t="s">
        <v>93</v>
      </c>
      <c r="H44" s="77">
        <v>13093322</v>
      </c>
      <c r="I44" s="83">
        <v>37757138</v>
      </c>
    </row>
    <row r="45" spans="1:9">
      <c r="H45" s="81"/>
      <c r="I45" s="81"/>
    </row>
    <row r="46" spans="1:9">
      <c r="D46" s="7" t="s">
        <v>36</v>
      </c>
      <c r="E46" s="8"/>
      <c r="F46" s="8"/>
      <c r="G46" s="8"/>
      <c r="H46" s="87">
        <f>SUM(H30:H44)</f>
        <v>24227089</v>
      </c>
      <c r="I46" s="87">
        <f>SUM(I30:I44)</f>
        <v>60347559</v>
      </c>
    </row>
    <row r="47" spans="1:9">
      <c r="D47" s="5"/>
      <c r="H47" s="100"/>
      <c r="I47" s="100"/>
    </row>
    <row r="48" spans="1:9" s="5" customFormat="1">
      <c r="A48" s="5" t="s">
        <v>37</v>
      </c>
      <c r="H48" s="100"/>
      <c r="I48" s="100"/>
    </row>
    <row r="49" spans="1:9">
      <c r="B49" t="s">
        <v>20</v>
      </c>
      <c r="H49" s="122">
        <v>109223</v>
      </c>
      <c r="I49" s="122">
        <v>734436</v>
      </c>
    </row>
    <row r="50" spans="1:9">
      <c r="H50" s="83"/>
      <c r="I50" s="83"/>
    </row>
    <row r="51" spans="1:9">
      <c r="A51" s="3" t="s">
        <v>39</v>
      </c>
      <c r="H51" s="83"/>
      <c r="I51" s="83"/>
    </row>
    <row r="52" spans="1:9">
      <c r="B52" t="s">
        <v>40</v>
      </c>
      <c r="H52" s="88">
        <v>80033586</v>
      </c>
      <c r="I52" s="83">
        <v>56080744</v>
      </c>
    </row>
    <row r="53" spans="1:9">
      <c r="B53" t="s">
        <v>219</v>
      </c>
      <c r="H53" s="83"/>
      <c r="I53" s="83"/>
    </row>
    <row r="54" spans="1:9">
      <c r="C54" t="s">
        <v>350</v>
      </c>
      <c r="H54" s="89">
        <v>68863</v>
      </c>
      <c r="I54" s="83"/>
    </row>
    <row r="55" spans="1:9">
      <c r="C55" t="s">
        <v>43</v>
      </c>
      <c r="H55" s="89">
        <v>189936</v>
      </c>
      <c r="I55" s="83"/>
    </row>
    <row r="56" spans="1:9">
      <c r="C56" t="s">
        <v>351</v>
      </c>
      <c r="H56" s="89">
        <v>286475</v>
      </c>
      <c r="I56" s="83"/>
    </row>
    <row r="57" spans="1:9">
      <c r="C57" t="s">
        <v>352</v>
      </c>
      <c r="H57" s="89">
        <v>29531203</v>
      </c>
      <c r="I57" s="83">
        <v>2873733</v>
      </c>
    </row>
    <row r="58" spans="1:9">
      <c r="C58" t="s">
        <v>234</v>
      </c>
      <c r="H58" s="89">
        <v>28428</v>
      </c>
      <c r="I58" s="83">
        <v>8959449</v>
      </c>
    </row>
    <row r="59" spans="1:9">
      <c r="B59" t="s">
        <v>45</v>
      </c>
      <c r="H59" s="93">
        <v>20771131</v>
      </c>
      <c r="I59" s="83">
        <v>18866422</v>
      </c>
    </row>
    <row r="60" spans="1:9">
      <c r="H60" s="81"/>
      <c r="I60" s="81"/>
    </row>
    <row r="61" spans="1:9" s="3" customFormat="1">
      <c r="C61" s="9" t="s">
        <v>46</v>
      </c>
      <c r="D61" s="9"/>
      <c r="E61" s="9"/>
      <c r="F61" s="9"/>
      <c r="G61" s="9"/>
      <c r="H61" s="94">
        <f>SUM(H52:H59)</f>
        <v>130909622</v>
      </c>
      <c r="I61" s="94">
        <f>SUM(I52:I59)</f>
        <v>86780348</v>
      </c>
    </row>
    <row r="62" spans="1:9">
      <c r="H62" s="83"/>
      <c r="I62" s="83"/>
    </row>
    <row r="63" spans="1:9" s="3" customFormat="1">
      <c r="C63" s="10" t="s">
        <v>47</v>
      </c>
      <c r="D63" s="10"/>
      <c r="E63" s="10"/>
      <c r="F63" s="10"/>
      <c r="G63" s="10"/>
      <c r="H63" s="95">
        <f>SUM(H46+H61+H49)</f>
        <v>155245934</v>
      </c>
      <c r="I63" s="95">
        <f>SUM(I46+I61+I49)</f>
        <v>147862343</v>
      </c>
    </row>
    <row r="64" spans="1:9">
      <c r="H64" s="83"/>
      <c r="I64" s="83"/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62"/>
  <sheetViews>
    <sheetView zoomScale="80" zoomScaleNormal="80" zoomScalePageLayoutView="80" workbookViewId="0">
      <selection activeCell="H44" sqref="H4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1" width="17.140625" customWidth="1"/>
    <col min="12" max="12" width="17.28515625" customWidth="1"/>
  </cols>
  <sheetData>
    <row r="1" spans="1:13" ht="18.75" customHeight="1">
      <c r="A1" s="1"/>
      <c r="B1" s="1"/>
      <c r="C1" s="1"/>
      <c r="D1" s="272" t="s">
        <v>353</v>
      </c>
      <c r="E1" s="272"/>
      <c r="F1" s="272"/>
      <c r="G1" s="272"/>
      <c r="H1" s="272"/>
      <c r="I1" s="97"/>
      <c r="J1" s="97"/>
      <c r="K1" s="97"/>
    </row>
    <row r="2" spans="1:13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  <c r="K2" s="98"/>
    </row>
    <row r="4" spans="1:13" ht="14.25" customHeight="1">
      <c r="H4" s="277" t="s">
        <v>2</v>
      </c>
      <c r="I4" s="277"/>
      <c r="J4" s="277"/>
      <c r="K4" s="277" t="s">
        <v>354</v>
      </c>
      <c r="L4" s="277"/>
    </row>
    <row r="5" spans="1:13" ht="31.5" customHeight="1">
      <c r="H5" s="105" t="s">
        <v>3</v>
      </c>
      <c r="I5" s="105" t="s">
        <v>157</v>
      </c>
      <c r="J5" s="105" t="s">
        <v>74</v>
      </c>
      <c r="K5" s="105" t="s">
        <v>3</v>
      </c>
      <c r="L5" s="194" t="s">
        <v>73</v>
      </c>
      <c r="M5" s="5"/>
    </row>
    <row r="6" spans="1:13">
      <c r="A6" s="3" t="s">
        <v>5</v>
      </c>
      <c r="D6" s="3"/>
      <c r="G6" s="4"/>
      <c r="H6" s="4"/>
      <c r="I6" s="4"/>
      <c r="J6" s="4"/>
      <c r="K6" s="4"/>
    </row>
    <row r="7" spans="1:13">
      <c r="A7" s="3"/>
      <c r="B7" s="5" t="s">
        <v>6</v>
      </c>
      <c r="D7" s="3"/>
      <c r="G7" s="4"/>
      <c r="H7" s="76"/>
      <c r="I7" s="76"/>
      <c r="J7" s="76"/>
      <c r="K7" s="76"/>
      <c r="L7" s="83"/>
    </row>
    <row r="8" spans="1:13">
      <c r="C8" t="s">
        <v>7</v>
      </c>
      <c r="H8" s="77">
        <v>30313280</v>
      </c>
      <c r="I8" s="83">
        <v>3497391</v>
      </c>
      <c r="J8" s="83">
        <f t="shared" ref="J8:J13" si="0">SUM(H8:I8)</f>
        <v>33810671</v>
      </c>
      <c r="K8" s="83">
        <v>1884797</v>
      </c>
      <c r="L8" s="83">
        <v>546127</v>
      </c>
    </row>
    <row r="9" spans="1:13">
      <c r="C9" t="s">
        <v>8</v>
      </c>
      <c r="H9" s="83"/>
      <c r="I9" s="83"/>
      <c r="J9" s="83">
        <f t="shared" si="0"/>
        <v>0</v>
      </c>
      <c r="K9" s="83">
        <v>299697</v>
      </c>
      <c r="L9" s="83"/>
    </row>
    <row r="10" spans="1:13">
      <c r="C10" t="s">
        <v>198</v>
      </c>
      <c r="H10" s="78">
        <v>9106856</v>
      </c>
      <c r="I10" s="83">
        <v>705101</v>
      </c>
      <c r="J10" s="83">
        <f t="shared" si="0"/>
        <v>9811957</v>
      </c>
      <c r="K10" s="83">
        <v>3893015</v>
      </c>
      <c r="L10" s="83">
        <v>193352</v>
      </c>
    </row>
    <row r="11" spans="1:13">
      <c r="C11" t="s">
        <v>177</v>
      </c>
      <c r="H11" s="83"/>
      <c r="I11" s="83">
        <v>177220</v>
      </c>
      <c r="J11" s="83">
        <f t="shared" si="0"/>
        <v>177220</v>
      </c>
      <c r="K11" s="83"/>
      <c r="L11" s="83"/>
    </row>
    <row r="12" spans="1:13">
      <c r="C12" t="s">
        <v>125</v>
      </c>
      <c r="H12" s="79">
        <v>5222</v>
      </c>
      <c r="I12" s="83"/>
      <c r="J12" s="83">
        <f t="shared" si="0"/>
        <v>5222</v>
      </c>
      <c r="K12" s="83"/>
      <c r="L12" s="83">
        <v>15379</v>
      </c>
    </row>
    <row r="13" spans="1:13">
      <c r="C13" t="s">
        <v>109</v>
      </c>
      <c r="H13" s="79">
        <v>1217886</v>
      </c>
      <c r="I13" s="83">
        <v>62274</v>
      </c>
      <c r="J13" s="83">
        <f t="shared" si="0"/>
        <v>1280160</v>
      </c>
      <c r="K13" s="83">
        <v>38380</v>
      </c>
      <c r="L13" s="83">
        <v>35137</v>
      </c>
    </row>
    <row r="14" spans="1:13">
      <c r="C14" t="s">
        <v>78</v>
      </c>
      <c r="H14" s="83"/>
      <c r="I14" s="83"/>
      <c r="J14" s="83"/>
      <c r="K14" s="83"/>
      <c r="L14" s="83"/>
    </row>
    <row r="15" spans="1:13">
      <c r="D15" t="s">
        <v>7</v>
      </c>
      <c r="H15" s="77">
        <v>100000</v>
      </c>
      <c r="I15" s="83">
        <v>303573</v>
      </c>
      <c r="J15" s="83">
        <f>SUM(H15:I15)</f>
        <v>403573</v>
      </c>
      <c r="K15" s="83"/>
      <c r="L15" s="83">
        <v>750238</v>
      </c>
    </row>
    <row r="16" spans="1:13">
      <c r="C16" t="s">
        <v>355</v>
      </c>
      <c r="H16" s="83"/>
      <c r="I16" s="83"/>
      <c r="J16" s="83"/>
      <c r="K16" s="83"/>
      <c r="L16" s="83"/>
    </row>
    <row r="17" spans="1:12">
      <c r="D17" t="s">
        <v>138</v>
      </c>
      <c r="H17" s="80">
        <v>3232380</v>
      </c>
      <c r="I17" s="83">
        <v>193511</v>
      </c>
      <c r="J17" s="83">
        <f>SUM(H17:I17)</f>
        <v>3425891</v>
      </c>
      <c r="K17" s="83">
        <v>435740</v>
      </c>
      <c r="L17" s="83"/>
    </row>
    <row r="18" spans="1:12">
      <c r="D18" t="s">
        <v>356</v>
      </c>
      <c r="H18" s="80">
        <v>52248412</v>
      </c>
      <c r="I18" s="83">
        <v>10523122</v>
      </c>
      <c r="J18" s="83">
        <f>SUM(H18:I18)</f>
        <v>62771534</v>
      </c>
      <c r="K18" s="83">
        <v>869565</v>
      </c>
      <c r="L18" s="83">
        <v>1722119</v>
      </c>
    </row>
    <row r="19" spans="1:12">
      <c r="D19" t="s">
        <v>357</v>
      </c>
      <c r="H19" s="80">
        <v>54880429</v>
      </c>
      <c r="I19" s="83"/>
      <c r="J19" s="83">
        <f>SUM(H19:I19)</f>
        <v>54880429</v>
      </c>
      <c r="K19" s="83">
        <v>484925</v>
      </c>
      <c r="L19" s="83">
        <v>3204005</v>
      </c>
    </row>
    <row r="20" spans="1:12">
      <c r="D20" t="s">
        <v>358</v>
      </c>
      <c r="H20" s="80">
        <v>6118075</v>
      </c>
      <c r="I20" s="83">
        <v>486014</v>
      </c>
      <c r="J20" s="83">
        <f>SUM(H20:I20)</f>
        <v>6604089</v>
      </c>
      <c r="K20" s="83">
        <v>433565</v>
      </c>
      <c r="L20" s="83">
        <v>1150084</v>
      </c>
    </row>
    <row r="21" spans="1:12">
      <c r="D21" t="s">
        <v>142</v>
      </c>
      <c r="H21" s="91">
        <v>1222654</v>
      </c>
      <c r="I21" s="83"/>
      <c r="J21" s="83">
        <f>SUM(H21:I21)</f>
        <v>1222654</v>
      </c>
      <c r="K21" s="83">
        <v>220857</v>
      </c>
      <c r="L21" s="83">
        <v>73167</v>
      </c>
    </row>
    <row r="22" spans="1:12">
      <c r="H22" s="83"/>
      <c r="I22" s="81"/>
      <c r="J22" s="81"/>
      <c r="K22" s="81"/>
      <c r="L22" s="81"/>
    </row>
    <row r="23" spans="1:12" s="5" customFormat="1">
      <c r="C23" s="6" t="s">
        <v>17</v>
      </c>
      <c r="D23" s="6"/>
      <c r="E23" s="6"/>
      <c r="F23" s="6"/>
      <c r="G23" s="6"/>
      <c r="H23" s="82">
        <f>SUM(H8:H21)</f>
        <v>158445194</v>
      </c>
      <c r="I23" s="82">
        <f>SUM(I8:I21)</f>
        <v>15948206</v>
      </c>
      <c r="J23" s="82">
        <f>SUM(J8:J21)</f>
        <v>174393400</v>
      </c>
      <c r="K23" s="82">
        <f>SUM(K8:K21)</f>
        <v>8560541</v>
      </c>
      <c r="L23" s="82">
        <f>SUM(L8:L21)</f>
        <v>7689608</v>
      </c>
    </row>
    <row r="24" spans="1:12">
      <c r="H24" s="83"/>
      <c r="I24" s="83"/>
      <c r="J24" s="83"/>
      <c r="K24" s="83"/>
      <c r="L24" s="83"/>
    </row>
    <row r="25" spans="1:12" s="5" customFormat="1">
      <c r="A25" s="5" t="s">
        <v>18</v>
      </c>
      <c r="H25" s="100"/>
      <c r="I25" s="100"/>
      <c r="J25" s="100"/>
      <c r="K25" s="100"/>
      <c r="L25" s="100"/>
    </row>
    <row r="26" spans="1:12">
      <c r="B26" t="s">
        <v>359</v>
      </c>
      <c r="H26" s="122">
        <v>1111407</v>
      </c>
      <c r="I26" s="122">
        <v>209614</v>
      </c>
      <c r="J26" s="122">
        <f>SUM(H26:I26)</f>
        <v>1321021</v>
      </c>
      <c r="K26" s="122">
        <v>308042</v>
      </c>
      <c r="L26" s="122"/>
    </row>
    <row r="27" spans="1:12">
      <c r="H27" s="83"/>
      <c r="I27" s="83"/>
      <c r="J27" s="83"/>
      <c r="K27" s="83"/>
      <c r="L27" s="83"/>
    </row>
    <row r="28" spans="1:12">
      <c r="A28" s="5" t="s">
        <v>22</v>
      </c>
      <c r="H28" s="83"/>
      <c r="I28" s="83"/>
      <c r="J28" s="83"/>
      <c r="K28" s="83"/>
      <c r="L28" s="83"/>
    </row>
    <row r="29" spans="1:12">
      <c r="A29" s="5"/>
      <c r="C29" t="s">
        <v>280</v>
      </c>
      <c r="H29" s="84">
        <v>3426953</v>
      </c>
      <c r="I29" s="83">
        <v>517330</v>
      </c>
      <c r="J29" s="83">
        <f t="shared" ref="J29:J36" si="1">SUM(H29:I29)</f>
        <v>3944283</v>
      </c>
      <c r="K29" s="83"/>
      <c r="L29" s="83">
        <v>71599</v>
      </c>
    </row>
    <row r="30" spans="1:12">
      <c r="C30" t="s">
        <v>360</v>
      </c>
      <c r="H30" s="83"/>
      <c r="I30" s="83"/>
      <c r="J30" s="83">
        <f t="shared" si="1"/>
        <v>0</v>
      </c>
      <c r="K30" s="83"/>
      <c r="L30" s="83"/>
    </row>
    <row r="31" spans="1:12">
      <c r="C31" t="s">
        <v>27</v>
      </c>
      <c r="H31" s="83"/>
      <c r="I31" s="83"/>
      <c r="J31" s="83">
        <f t="shared" si="1"/>
        <v>0</v>
      </c>
      <c r="K31" s="83"/>
      <c r="L31" s="83"/>
    </row>
    <row r="32" spans="1:12">
      <c r="C32" t="s">
        <v>361</v>
      </c>
      <c r="H32" s="83"/>
      <c r="I32" s="83"/>
      <c r="J32" s="83">
        <f t="shared" si="1"/>
        <v>0</v>
      </c>
      <c r="K32" s="83"/>
      <c r="L32" s="83"/>
    </row>
    <row r="33" spans="1:12">
      <c r="C33" t="s">
        <v>362</v>
      </c>
      <c r="H33" s="84">
        <v>885850</v>
      </c>
      <c r="I33" s="83">
        <v>3348</v>
      </c>
      <c r="J33" s="83">
        <f t="shared" si="1"/>
        <v>889198</v>
      </c>
      <c r="K33" s="83">
        <v>282113</v>
      </c>
      <c r="L33" s="83"/>
    </row>
    <row r="34" spans="1:12">
      <c r="C34" t="s">
        <v>209</v>
      </c>
      <c r="H34" s="83"/>
      <c r="I34" s="83">
        <v>300298</v>
      </c>
      <c r="J34" s="83">
        <f t="shared" si="1"/>
        <v>300298</v>
      </c>
      <c r="K34" s="83">
        <v>189454</v>
      </c>
      <c r="L34" s="83">
        <v>124376</v>
      </c>
    </row>
    <row r="35" spans="1:12">
      <c r="C35" t="s">
        <v>187</v>
      </c>
      <c r="H35" s="83"/>
      <c r="I35" s="83"/>
      <c r="J35" s="83">
        <f t="shared" si="1"/>
        <v>0</v>
      </c>
      <c r="K35" s="83"/>
      <c r="L35" s="83"/>
    </row>
    <row r="36" spans="1:12">
      <c r="D36" t="s">
        <v>359</v>
      </c>
      <c r="H36" s="79">
        <v>204798</v>
      </c>
      <c r="I36" s="83">
        <v>38625</v>
      </c>
      <c r="J36" s="83">
        <f t="shared" si="1"/>
        <v>243423</v>
      </c>
      <c r="K36" s="83">
        <v>57273</v>
      </c>
      <c r="L36" s="83"/>
    </row>
    <row r="37" spans="1:12">
      <c r="D37" t="s">
        <v>363</v>
      </c>
      <c r="H37" s="79">
        <v>585479</v>
      </c>
      <c r="I37" s="83"/>
      <c r="J37" s="83">
        <f>SUM(H37:I37)</f>
        <v>585479</v>
      </c>
      <c r="K37" s="83">
        <v>89936</v>
      </c>
      <c r="L37" s="83"/>
    </row>
    <row r="38" spans="1:12">
      <c r="D38" t="s">
        <v>364</v>
      </c>
      <c r="H38" s="92">
        <v>1415089</v>
      </c>
      <c r="I38" s="83">
        <v>55000</v>
      </c>
      <c r="J38" s="83">
        <f>SUM(H38:I38)</f>
        <v>1470089</v>
      </c>
      <c r="K38" s="83"/>
      <c r="L38" s="83">
        <v>97891</v>
      </c>
    </row>
    <row r="39" spans="1:12">
      <c r="D39" t="s">
        <v>93</v>
      </c>
      <c r="H39" s="77">
        <v>18163086</v>
      </c>
      <c r="I39" s="83">
        <v>435000</v>
      </c>
      <c r="J39" s="83">
        <f>SUM(H39:I39)</f>
        <v>18598086</v>
      </c>
      <c r="K39" s="83">
        <v>312344</v>
      </c>
      <c r="L39" s="83">
        <v>3160978</v>
      </c>
    </row>
    <row r="40" spans="1:12">
      <c r="H40" s="81"/>
      <c r="I40" s="81"/>
      <c r="J40" s="81"/>
      <c r="K40" s="81"/>
      <c r="L40" s="81"/>
    </row>
    <row r="41" spans="1:12">
      <c r="D41" s="7" t="s">
        <v>36</v>
      </c>
      <c r="E41" s="8"/>
      <c r="F41" s="8"/>
      <c r="G41" s="8"/>
      <c r="H41" s="87">
        <f>SUM(H29:H39)</f>
        <v>24681255</v>
      </c>
      <c r="I41" s="87">
        <f>SUM(I29:I39)</f>
        <v>1349601</v>
      </c>
      <c r="J41" s="87">
        <f>SUM(J29:J39)</f>
        <v>26030856</v>
      </c>
      <c r="K41" s="87">
        <f>SUM(K29:K39)</f>
        <v>931120</v>
      </c>
      <c r="L41" s="87">
        <f>SUM(L29:L39)</f>
        <v>3454844</v>
      </c>
    </row>
    <row r="42" spans="1:12">
      <c r="D42" s="5"/>
      <c r="H42" s="100"/>
      <c r="I42" s="100"/>
      <c r="J42" s="100"/>
      <c r="K42" s="100"/>
      <c r="L42" s="100"/>
    </row>
    <row r="43" spans="1:12" s="5" customFormat="1">
      <c r="A43" s="5" t="s">
        <v>37</v>
      </c>
      <c r="H43" s="100"/>
      <c r="I43" s="100"/>
      <c r="J43" s="100"/>
      <c r="K43" s="100"/>
      <c r="L43" s="100"/>
    </row>
    <row r="44" spans="1:12">
      <c r="B44" t="s">
        <v>359</v>
      </c>
      <c r="H44" s="122">
        <v>97127</v>
      </c>
      <c r="I44" s="122">
        <v>18318</v>
      </c>
      <c r="J44" s="122">
        <f>SUM(H44:I44)</f>
        <v>115445</v>
      </c>
      <c r="K44" s="122">
        <v>27415</v>
      </c>
      <c r="L44" s="122"/>
    </row>
    <row r="45" spans="1:12">
      <c r="H45" s="83"/>
      <c r="I45" s="83"/>
      <c r="J45" s="83"/>
      <c r="K45" s="83"/>
      <c r="L45" s="83"/>
    </row>
    <row r="46" spans="1:12">
      <c r="A46" s="3" t="s">
        <v>39</v>
      </c>
      <c r="H46" s="83"/>
      <c r="I46" s="83"/>
      <c r="J46" s="83"/>
      <c r="K46" s="83"/>
      <c r="L46" s="83"/>
    </row>
    <row r="47" spans="1:12">
      <c r="B47" t="s">
        <v>365</v>
      </c>
      <c r="H47" s="88">
        <v>99077563</v>
      </c>
      <c r="I47" s="83">
        <v>10712647</v>
      </c>
      <c r="J47" s="83">
        <f>SUM(H47:I47)</f>
        <v>109790210</v>
      </c>
      <c r="K47" s="83">
        <v>2444652</v>
      </c>
      <c r="L47" s="83">
        <v>3023534</v>
      </c>
    </row>
    <row r="48" spans="1:12">
      <c r="B48" t="s">
        <v>366</v>
      </c>
      <c r="H48" s="83"/>
      <c r="I48" s="83"/>
      <c r="J48" s="83"/>
      <c r="K48" s="83"/>
      <c r="L48" s="83"/>
    </row>
    <row r="49" spans="2:12">
      <c r="C49" t="s">
        <v>367</v>
      </c>
      <c r="H49" s="89">
        <v>2310065</v>
      </c>
      <c r="I49" s="83"/>
      <c r="J49" s="83">
        <f t="shared" ref="J49:J57" si="2">SUM(H49:I49)</f>
        <v>2310065</v>
      </c>
      <c r="K49" s="83"/>
      <c r="L49" s="83"/>
    </row>
    <row r="50" spans="2:12">
      <c r="C50" t="s">
        <v>295</v>
      </c>
      <c r="H50" s="89">
        <v>3929497</v>
      </c>
      <c r="I50" s="83"/>
      <c r="J50" s="83">
        <f t="shared" si="2"/>
        <v>3929497</v>
      </c>
      <c r="K50" s="83"/>
      <c r="L50" s="83"/>
    </row>
    <row r="51" spans="2:12">
      <c r="C51" t="s">
        <v>368</v>
      </c>
      <c r="H51" s="89">
        <v>4131751</v>
      </c>
      <c r="I51" s="83"/>
      <c r="J51" s="83">
        <f t="shared" si="2"/>
        <v>4131751</v>
      </c>
      <c r="K51" s="83"/>
      <c r="L51" s="83"/>
    </row>
    <row r="52" spans="2:12">
      <c r="C52" t="s">
        <v>369</v>
      </c>
      <c r="H52" s="89">
        <v>3032689</v>
      </c>
      <c r="I52" s="83"/>
      <c r="J52" s="83">
        <f t="shared" si="2"/>
        <v>3032689</v>
      </c>
      <c r="K52" s="83"/>
      <c r="L52" s="83"/>
    </row>
    <row r="53" spans="2:12">
      <c r="C53" t="s">
        <v>370</v>
      </c>
      <c r="H53" s="89">
        <v>1210889</v>
      </c>
      <c r="I53" s="83"/>
      <c r="J53" s="83">
        <f t="shared" si="2"/>
        <v>1210889</v>
      </c>
      <c r="K53" s="83"/>
      <c r="L53" s="83"/>
    </row>
    <row r="54" spans="2:12">
      <c r="C54" t="s">
        <v>42</v>
      </c>
      <c r="H54" s="89">
        <v>2723809</v>
      </c>
      <c r="I54" s="83"/>
      <c r="J54" s="83">
        <f t="shared" si="2"/>
        <v>2723809</v>
      </c>
      <c r="K54" s="83"/>
      <c r="L54" s="83">
        <v>527971</v>
      </c>
    </row>
    <row r="55" spans="2:12">
      <c r="C55" t="s">
        <v>371</v>
      </c>
      <c r="H55" s="89">
        <v>5507033</v>
      </c>
      <c r="I55" s="83"/>
      <c r="J55" s="83">
        <f t="shared" si="2"/>
        <v>5507033</v>
      </c>
      <c r="K55" s="83"/>
      <c r="L55" s="83"/>
    </row>
    <row r="56" spans="2:12">
      <c r="C56" t="s">
        <v>234</v>
      </c>
      <c r="H56" s="89">
        <v>906025</v>
      </c>
      <c r="I56" s="83"/>
      <c r="J56" s="83">
        <f t="shared" si="2"/>
        <v>906025</v>
      </c>
      <c r="K56" s="83"/>
      <c r="L56" s="83"/>
    </row>
    <row r="57" spans="2:12">
      <c r="B57" t="s">
        <v>45</v>
      </c>
      <c r="H57" s="93">
        <v>11948898</v>
      </c>
      <c r="I57" s="83">
        <v>4077254</v>
      </c>
      <c r="J57" s="83">
        <f t="shared" si="2"/>
        <v>16026152</v>
      </c>
      <c r="K57" s="83">
        <v>5465396</v>
      </c>
      <c r="L57" s="83">
        <v>683259</v>
      </c>
    </row>
    <row r="58" spans="2:12">
      <c r="H58" s="81"/>
      <c r="I58" s="81"/>
      <c r="J58" s="81"/>
      <c r="K58" s="81"/>
      <c r="L58" s="81"/>
    </row>
    <row r="59" spans="2:12" s="3" customFormat="1">
      <c r="C59" s="9" t="s">
        <v>46</v>
      </c>
      <c r="D59" s="9"/>
      <c r="E59" s="9"/>
      <c r="F59" s="9"/>
      <c r="G59" s="9"/>
      <c r="H59" s="94">
        <f>SUM(H47:H57)</f>
        <v>134778219</v>
      </c>
      <c r="I59" s="94">
        <f>SUM(I47:I57)</f>
        <v>14789901</v>
      </c>
      <c r="J59" s="94">
        <f>SUM(J47:J57)</f>
        <v>149568120</v>
      </c>
      <c r="K59" s="94">
        <f>SUM(K47:K57)</f>
        <v>7910048</v>
      </c>
      <c r="L59" s="94">
        <f>SUM(L46:L57)</f>
        <v>4234764</v>
      </c>
    </row>
    <row r="60" spans="2:12">
      <c r="H60" s="83"/>
      <c r="I60" s="83"/>
      <c r="J60" s="83"/>
      <c r="K60" s="83"/>
      <c r="L60" s="83"/>
    </row>
    <row r="61" spans="2:12" s="3" customFormat="1">
      <c r="C61" s="10" t="s">
        <v>47</v>
      </c>
      <c r="D61" s="10"/>
      <c r="E61" s="10"/>
      <c r="F61" s="10"/>
      <c r="G61" s="10"/>
      <c r="H61" s="95">
        <f>SUM(H41+H59+H44)</f>
        <v>159556601</v>
      </c>
      <c r="I61" s="95">
        <f t="shared" ref="I61:L61" si="3">SUM(I41+I59+I44)</f>
        <v>16157820</v>
      </c>
      <c r="J61" s="95">
        <f t="shared" si="3"/>
        <v>175714421</v>
      </c>
      <c r="K61" s="95">
        <f t="shared" si="3"/>
        <v>8868583</v>
      </c>
      <c r="L61" s="95">
        <f t="shared" si="3"/>
        <v>7689608</v>
      </c>
    </row>
    <row r="62" spans="2:12">
      <c r="H62" s="83"/>
      <c r="I62" s="83"/>
      <c r="J62" s="83"/>
      <c r="K62" s="83"/>
      <c r="L62" s="83"/>
    </row>
  </sheetData>
  <mergeCells count="4">
    <mergeCell ref="D1:H1"/>
    <mergeCell ref="D2:H2"/>
    <mergeCell ref="H4:J4"/>
    <mergeCell ref="K4:L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0"/>
  <sheetViews>
    <sheetView workbookViewId="0">
      <selection activeCell="G21" sqref="G21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372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10715548</v>
      </c>
    </row>
    <row r="7" spans="1:7">
      <c r="B7" t="s">
        <v>50</v>
      </c>
      <c r="G7" s="78">
        <v>5708768</v>
      </c>
    </row>
    <row r="8" spans="1:7">
      <c r="B8" t="s">
        <v>125</v>
      </c>
      <c r="G8" s="79">
        <v>43519</v>
      </c>
    </row>
    <row r="9" spans="1:7">
      <c r="B9" t="s">
        <v>14</v>
      </c>
      <c r="G9" s="83"/>
    </row>
    <row r="10" spans="1:7">
      <c r="C10" t="s">
        <v>178</v>
      </c>
      <c r="G10" s="80">
        <v>433912</v>
      </c>
    </row>
    <row r="11" spans="1:7">
      <c r="C11" t="s">
        <v>373</v>
      </c>
      <c r="G11" s="91">
        <v>16798841</v>
      </c>
    </row>
    <row r="12" spans="1:7">
      <c r="G12" s="83"/>
    </row>
    <row r="13" spans="1:7">
      <c r="A13" s="5"/>
      <c r="B13" s="6" t="s">
        <v>17</v>
      </c>
      <c r="C13" s="6"/>
      <c r="D13" s="6"/>
      <c r="E13" s="6"/>
      <c r="F13" s="6"/>
      <c r="G13" s="82">
        <f>SUM(G6:G11)</f>
        <v>33700588</v>
      </c>
    </row>
    <row r="14" spans="1:7">
      <c r="G14" s="83"/>
    </row>
    <row r="15" spans="1:7" s="5" customFormat="1">
      <c r="A15" s="5" t="s">
        <v>18</v>
      </c>
      <c r="G15" s="100"/>
    </row>
    <row r="16" spans="1:7">
      <c r="B16" t="s">
        <v>180</v>
      </c>
      <c r="G16" s="122">
        <v>425617</v>
      </c>
    </row>
    <row r="17" spans="1:7" s="5" customFormat="1">
      <c r="B17" s="5" t="s">
        <v>111</v>
      </c>
      <c r="G17" s="100">
        <f>G16</f>
        <v>425617</v>
      </c>
    </row>
    <row r="18" spans="1:7">
      <c r="G18" s="83"/>
    </row>
    <row r="19" spans="1:7">
      <c r="A19" s="5" t="s">
        <v>22</v>
      </c>
      <c r="G19" s="83"/>
    </row>
    <row r="20" spans="1:7">
      <c r="A20" s="5"/>
      <c r="B20" t="s">
        <v>144</v>
      </c>
      <c r="G20" s="84">
        <v>491701</v>
      </c>
    </row>
    <row r="21" spans="1:7">
      <c r="B21" t="s">
        <v>374</v>
      </c>
      <c r="G21" s="79">
        <v>25321</v>
      </c>
    </row>
    <row r="22" spans="1:7">
      <c r="B22" t="s">
        <v>29</v>
      </c>
      <c r="G22" s="83"/>
    </row>
    <row r="23" spans="1:7">
      <c r="C23" t="s">
        <v>92</v>
      </c>
      <c r="G23" s="92">
        <v>372241</v>
      </c>
    </row>
    <row r="24" spans="1:7">
      <c r="C24" t="s">
        <v>93</v>
      </c>
      <c r="G24" s="77">
        <v>3340963</v>
      </c>
    </row>
    <row r="25" spans="1:7">
      <c r="G25" s="81"/>
    </row>
    <row r="26" spans="1:7">
      <c r="C26" s="7" t="s">
        <v>36</v>
      </c>
      <c r="D26" s="8"/>
      <c r="E26" s="8"/>
      <c r="F26" s="8"/>
      <c r="G26" s="87">
        <f>SUM(G20:G24)</f>
        <v>4230226</v>
      </c>
    </row>
    <row r="27" spans="1:7">
      <c r="C27" s="5"/>
      <c r="G27" s="100"/>
    </row>
    <row r="28" spans="1:7" s="5" customFormat="1">
      <c r="A28" s="5" t="s">
        <v>37</v>
      </c>
      <c r="G28" s="100"/>
    </row>
    <row r="29" spans="1:7">
      <c r="B29" t="s">
        <v>180</v>
      </c>
      <c r="G29" s="122">
        <v>64691</v>
      </c>
    </row>
    <row r="30" spans="1:7" s="5" customFormat="1">
      <c r="B30" s="5" t="s">
        <v>111</v>
      </c>
      <c r="G30" s="100">
        <f>G29</f>
        <v>64691</v>
      </c>
    </row>
    <row r="31" spans="1:7">
      <c r="G31" s="83"/>
    </row>
    <row r="32" spans="1:7">
      <c r="A32" s="3" t="s">
        <v>39</v>
      </c>
      <c r="G32" s="83"/>
    </row>
    <row r="33" spans="1:7">
      <c r="B33" t="s">
        <v>40</v>
      </c>
      <c r="G33" s="88">
        <v>14791909</v>
      </c>
    </row>
    <row r="34" spans="1:7">
      <c r="B34" t="s">
        <v>41</v>
      </c>
      <c r="G34" s="83"/>
    </row>
    <row r="35" spans="1:7">
      <c r="C35" t="s">
        <v>375</v>
      </c>
      <c r="G35" s="89">
        <v>6733177</v>
      </c>
    </row>
    <row r="36" spans="1:7">
      <c r="C36" t="s">
        <v>376</v>
      </c>
      <c r="G36" s="89">
        <v>1158237</v>
      </c>
    </row>
    <row r="37" spans="1:7">
      <c r="C37" t="s">
        <v>294</v>
      </c>
      <c r="G37" s="89">
        <v>2469276</v>
      </c>
    </row>
    <row r="38" spans="1:7">
      <c r="C38" t="s">
        <v>296</v>
      </c>
      <c r="G38" s="89">
        <v>286867</v>
      </c>
    </row>
    <row r="39" spans="1:7">
      <c r="C39" t="s">
        <v>377</v>
      </c>
      <c r="G39" s="89">
        <v>50860</v>
      </c>
    </row>
    <row r="40" spans="1:7">
      <c r="C40" t="s">
        <v>378</v>
      </c>
      <c r="G40" s="89">
        <v>555594</v>
      </c>
    </row>
    <row r="41" spans="1:7">
      <c r="C41" t="s">
        <v>379</v>
      </c>
      <c r="G41" s="89">
        <v>251024</v>
      </c>
    </row>
    <row r="42" spans="1:7">
      <c r="C42" t="s">
        <v>380</v>
      </c>
      <c r="G42" s="89">
        <v>35419</v>
      </c>
    </row>
    <row r="43" spans="1:7">
      <c r="C43" t="s">
        <v>381</v>
      </c>
      <c r="G43" s="89">
        <v>15158</v>
      </c>
    </row>
    <row r="44" spans="1:7">
      <c r="C44" t="s">
        <v>42</v>
      </c>
      <c r="G44" s="89">
        <v>190913</v>
      </c>
    </row>
    <row r="45" spans="1:7">
      <c r="B45" t="s">
        <v>45</v>
      </c>
      <c r="G45" s="93">
        <v>3292854</v>
      </c>
    </row>
    <row r="46" spans="1:7">
      <c r="G46" s="81"/>
    </row>
    <row r="47" spans="1:7">
      <c r="A47" s="3"/>
      <c r="B47" s="9" t="s">
        <v>46</v>
      </c>
      <c r="C47" s="9"/>
      <c r="D47" s="9"/>
      <c r="E47" s="9"/>
      <c r="F47" s="9"/>
      <c r="G47" s="94">
        <f>SUM(G33:G45)</f>
        <v>29831288</v>
      </c>
    </row>
    <row r="48" spans="1:7">
      <c r="G48" s="83"/>
    </row>
    <row r="49" spans="1:7">
      <c r="A49" s="3"/>
      <c r="B49" s="10" t="s">
        <v>47</v>
      </c>
      <c r="C49" s="10"/>
      <c r="D49" s="10"/>
      <c r="E49" s="10"/>
      <c r="F49" s="10"/>
      <c r="G49" s="95">
        <f>SUM(G26+G47+G30)</f>
        <v>34126205</v>
      </c>
    </row>
    <row r="50" spans="1:7">
      <c r="G50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104"/>
  <sheetViews>
    <sheetView topLeftCell="A20" zoomScale="60" zoomScaleNormal="60" zoomScalePageLayoutView="60" workbookViewId="0">
      <selection activeCell="J88" sqref="J88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25.7109375" customWidth="1"/>
    <col min="7" max="7" width="23" customWidth="1"/>
    <col min="8" max="8" width="19.7109375" customWidth="1"/>
    <col min="9" max="9" width="20.28515625" customWidth="1"/>
    <col min="10" max="10" width="17.140625" customWidth="1"/>
    <col min="11" max="11" width="17.28515625" customWidth="1"/>
  </cols>
  <sheetData>
    <row r="1" spans="1:12" ht="18.600000000000001">
      <c r="A1" s="1"/>
      <c r="B1" s="1"/>
      <c r="C1" s="1"/>
      <c r="D1" s="272" t="s">
        <v>382</v>
      </c>
      <c r="E1" s="272"/>
      <c r="F1" s="272"/>
      <c r="G1" s="272"/>
      <c r="H1" s="272"/>
      <c r="I1" s="97"/>
      <c r="J1" s="97"/>
    </row>
    <row r="2" spans="1:12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3" spans="1:12">
      <c r="G3" t="s">
        <v>383</v>
      </c>
    </row>
    <row r="5" spans="1:12" ht="15" customHeight="1">
      <c r="H5" s="277" t="s">
        <v>2</v>
      </c>
      <c r="I5" s="277"/>
      <c r="J5" s="277"/>
      <c r="K5" s="195"/>
    </row>
    <row r="6" spans="1:12" ht="29.1">
      <c r="H6" s="105" t="s">
        <v>3</v>
      </c>
      <c r="I6" s="105" t="s">
        <v>157</v>
      </c>
      <c r="J6" s="105" t="s">
        <v>74</v>
      </c>
      <c r="K6" s="156" t="s">
        <v>4</v>
      </c>
      <c r="L6" s="5"/>
    </row>
    <row r="7" spans="1:12">
      <c r="A7" s="3" t="s">
        <v>5</v>
      </c>
      <c r="D7" s="3"/>
      <c r="G7" s="4"/>
      <c r="H7" s="4"/>
      <c r="I7" s="4"/>
      <c r="J7" s="4"/>
    </row>
    <row r="8" spans="1:12">
      <c r="A8" s="3"/>
      <c r="B8" s="5" t="s">
        <v>6</v>
      </c>
      <c r="D8" s="3"/>
      <c r="G8" s="4"/>
      <c r="H8" s="76"/>
      <c r="I8" s="76"/>
      <c r="J8" s="76"/>
      <c r="K8" s="83"/>
    </row>
    <row r="9" spans="1:12">
      <c r="C9" t="s">
        <v>7</v>
      </c>
      <c r="H9" s="77">
        <v>5540</v>
      </c>
      <c r="I9" s="83">
        <v>4796</v>
      </c>
      <c r="J9" s="83">
        <f>SUM(H9:I9)</f>
        <v>10336</v>
      </c>
      <c r="K9" s="83">
        <v>15882</v>
      </c>
    </row>
    <row r="10" spans="1:12">
      <c r="C10" t="s">
        <v>8</v>
      </c>
      <c r="H10" s="84">
        <v>73132</v>
      </c>
      <c r="I10" s="83"/>
      <c r="J10" s="83">
        <f t="shared" ref="J10" si="0">SUM(H10:I10)</f>
        <v>73132</v>
      </c>
      <c r="K10" s="83">
        <v>90512</v>
      </c>
    </row>
    <row r="11" spans="1:12">
      <c r="C11" t="s">
        <v>384</v>
      </c>
      <c r="H11" s="79">
        <v>558920</v>
      </c>
      <c r="I11" s="83">
        <v>15040</v>
      </c>
      <c r="J11" s="83">
        <f>SUM(H11:I11)</f>
        <v>573960</v>
      </c>
      <c r="K11" s="83"/>
    </row>
    <row r="12" spans="1:12">
      <c r="C12" t="s">
        <v>385</v>
      </c>
      <c r="H12" s="83"/>
      <c r="I12" s="83"/>
      <c r="J12" s="83"/>
      <c r="K12" s="83"/>
    </row>
    <row r="13" spans="1:12">
      <c r="D13" t="s">
        <v>386</v>
      </c>
      <c r="H13" s="83"/>
      <c r="I13" s="83"/>
      <c r="J13" s="83"/>
      <c r="K13" s="83"/>
    </row>
    <row r="14" spans="1:12">
      <c r="D14" t="s">
        <v>387</v>
      </c>
      <c r="H14" s="78">
        <v>214</v>
      </c>
      <c r="I14" s="83"/>
      <c r="J14" s="83">
        <f>SUM(H14:I14)</f>
        <v>214</v>
      </c>
      <c r="K14" s="83">
        <v>180</v>
      </c>
    </row>
    <row r="15" spans="1:12">
      <c r="D15" t="s">
        <v>388</v>
      </c>
      <c r="H15" s="78">
        <v>200503</v>
      </c>
      <c r="I15" s="83">
        <v>9211</v>
      </c>
      <c r="J15" s="83">
        <f>SUM(H15:I15)</f>
        <v>209714</v>
      </c>
      <c r="K15" s="83"/>
    </row>
    <row r="16" spans="1:12">
      <c r="D16" t="s">
        <v>389</v>
      </c>
      <c r="H16" s="78">
        <v>5688</v>
      </c>
      <c r="I16" s="83">
        <v>5439</v>
      </c>
      <c r="J16" s="83">
        <f>SUM(H16:I16)</f>
        <v>11127</v>
      </c>
      <c r="K16" s="83">
        <v>51143</v>
      </c>
    </row>
    <row r="17" spans="2:11">
      <c r="D17" t="s">
        <v>390</v>
      </c>
      <c r="H17" s="83"/>
      <c r="I17" s="83"/>
      <c r="J17" s="83"/>
      <c r="K17" s="83">
        <v>7625</v>
      </c>
    </row>
    <row r="18" spans="2:11">
      <c r="D18" t="s">
        <v>391</v>
      </c>
      <c r="H18" s="83"/>
      <c r="I18" s="83"/>
      <c r="J18" s="83"/>
      <c r="K18" s="83"/>
    </row>
    <row r="19" spans="2:11">
      <c r="D19" t="s">
        <v>392</v>
      </c>
      <c r="H19" s="78">
        <v>62084</v>
      </c>
      <c r="I19" s="83">
        <v>21</v>
      </c>
      <c r="J19" s="83">
        <f>SUM(H19:I19)</f>
        <v>62105</v>
      </c>
      <c r="K19" s="83">
        <v>58</v>
      </c>
    </row>
    <row r="20" spans="2:11">
      <c r="D20" t="s">
        <v>234</v>
      </c>
      <c r="H20" s="83"/>
      <c r="I20" s="83"/>
      <c r="J20" s="83">
        <f t="shared" ref="J20:J24" si="1">SUM(H20:I20)</f>
        <v>0</v>
      </c>
      <c r="K20" s="83">
        <v>6239</v>
      </c>
    </row>
    <row r="21" spans="2:11">
      <c r="C21" t="s">
        <v>177</v>
      </c>
      <c r="H21" s="79">
        <v>3414</v>
      </c>
      <c r="I21" s="83">
        <v>7786</v>
      </c>
      <c r="J21" s="83">
        <f t="shared" si="1"/>
        <v>11200</v>
      </c>
      <c r="K21" s="83">
        <v>10061</v>
      </c>
    </row>
    <row r="22" spans="2:11">
      <c r="C22" t="s">
        <v>125</v>
      </c>
      <c r="H22" s="83"/>
      <c r="I22" s="83">
        <v>398</v>
      </c>
      <c r="J22" s="83">
        <f t="shared" si="1"/>
        <v>398</v>
      </c>
      <c r="K22" s="83">
        <v>7818</v>
      </c>
    </row>
    <row r="23" spans="2:11">
      <c r="C23" t="s">
        <v>201</v>
      </c>
      <c r="H23" s="83"/>
      <c r="I23" s="83"/>
      <c r="J23" s="83">
        <f t="shared" si="1"/>
        <v>0</v>
      </c>
      <c r="K23" s="83"/>
    </row>
    <row r="24" spans="2:11">
      <c r="D24" t="s">
        <v>7</v>
      </c>
      <c r="H24" s="83"/>
      <c r="I24" s="83">
        <v>27743</v>
      </c>
      <c r="J24" s="83">
        <f t="shared" si="1"/>
        <v>27743</v>
      </c>
      <c r="K24" s="83">
        <v>10881</v>
      </c>
    </row>
    <row r="25" spans="2:11">
      <c r="D25" t="s">
        <v>8</v>
      </c>
      <c r="H25" s="83"/>
      <c r="I25" s="83">
        <v>106509</v>
      </c>
      <c r="J25" s="83">
        <f>SUM(H25:I25)</f>
        <v>106509</v>
      </c>
      <c r="K25" s="83">
        <v>83923</v>
      </c>
    </row>
    <row r="26" spans="2:11">
      <c r="D26" t="s">
        <v>384</v>
      </c>
      <c r="H26" s="83"/>
      <c r="I26" s="83">
        <v>57307</v>
      </c>
      <c r="J26" s="83">
        <f>SUM(H26:I26)</f>
        <v>57307</v>
      </c>
      <c r="K26" s="83"/>
    </row>
    <row r="27" spans="2:11">
      <c r="D27" t="s">
        <v>50</v>
      </c>
      <c r="H27" s="83"/>
      <c r="I27" s="83">
        <v>13488</v>
      </c>
      <c r="J27" s="83">
        <f>SUM(H27:I27)</f>
        <v>13488</v>
      </c>
      <c r="K27" s="83"/>
    </row>
    <row r="28" spans="2:11">
      <c r="H28" s="81"/>
      <c r="I28" s="81"/>
      <c r="J28" s="81"/>
      <c r="K28" s="81"/>
    </row>
    <row r="29" spans="2:11" s="5" customFormat="1">
      <c r="C29" s="102" t="s">
        <v>393</v>
      </c>
      <c r="D29" s="102"/>
      <c r="E29" s="102"/>
      <c r="F29" s="102"/>
      <c r="G29" s="102"/>
      <c r="H29" s="103">
        <f>SUM(H9:H27)</f>
        <v>909495</v>
      </c>
      <c r="I29" s="103">
        <f>SUM(I9:I27)</f>
        <v>247738</v>
      </c>
      <c r="J29" s="103">
        <f>SUM(J9:J27)</f>
        <v>1157233</v>
      </c>
      <c r="K29" s="103">
        <f>SUM(K9:K27)</f>
        <v>284322</v>
      </c>
    </row>
    <row r="30" spans="2:11">
      <c r="H30" s="83"/>
      <c r="I30" s="83"/>
      <c r="J30" s="83"/>
      <c r="K30" s="83"/>
    </row>
    <row r="31" spans="2:11" s="5" customFormat="1">
      <c r="B31" s="5" t="s">
        <v>394</v>
      </c>
      <c r="H31" s="100"/>
      <c r="I31" s="100"/>
      <c r="J31" s="100"/>
      <c r="K31" s="100"/>
    </row>
    <row r="32" spans="2:11">
      <c r="C32" t="s">
        <v>201</v>
      </c>
      <c r="H32" s="83"/>
      <c r="I32" s="83"/>
      <c r="J32" s="83"/>
      <c r="K32" s="83"/>
    </row>
    <row r="33" spans="2:11">
      <c r="D33" t="s">
        <v>395</v>
      </c>
      <c r="H33" s="79">
        <v>7817</v>
      </c>
      <c r="I33" s="83"/>
      <c r="J33" s="83">
        <f>SUM(H33:I33)</f>
        <v>7817</v>
      </c>
      <c r="K33" s="83">
        <v>7698</v>
      </c>
    </row>
    <row r="34" spans="2:11">
      <c r="C34" t="s">
        <v>396</v>
      </c>
      <c r="H34" s="83"/>
      <c r="I34" s="83"/>
      <c r="J34" s="83">
        <f t="shared" ref="J34:J36" si="2">SUM(H34:I34)</f>
        <v>0</v>
      </c>
      <c r="K34" s="83">
        <v>40572</v>
      </c>
    </row>
    <row r="35" spans="2:11">
      <c r="C35" t="s">
        <v>291</v>
      </c>
      <c r="H35" s="80">
        <v>202984</v>
      </c>
      <c r="I35" s="83">
        <v>50606</v>
      </c>
      <c r="J35" s="83">
        <f t="shared" si="2"/>
        <v>253590</v>
      </c>
      <c r="K35" s="83"/>
    </row>
    <row r="36" spans="2:11">
      <c r="C36" t="s">
        <v>397</v>
      </c>
      <c r="H36" s="80">
        <v>1112858</v>
      </c>
      <c r="I36" s="83">
        <v>639120</v>
      </c>
      <c r="J36" s="83">
        <f t="shared" si="2"/>
        <v>1751978</v>
      </c>
      <c r="K36" s="83">
        <v>221050</v>
      </c>
    </row>
    <row r="37" spans="2:11">
      <c r="H37" s="81"/>
      <c r="I37" s="81"/>
      <c r="J37" s="81"/>
      <c r="K37" s="81"/>
    </row>
    <row r="38" spans="2:11" s="5" customFormat="1">
      <c r="C38" s="102" t="s">
        <v>398</v>
      </c>
      <c r="D38" s="102"/>
      <c r="E38" s="102"/>
      <c r="F38" s="102"/>
      <c r="G38" s="102"/>
      <c r="H38" s="103">
        <f>SUM(H31:H36)</f>
        <v>1323659</v>
      </c>
      <c r="I38" s="103">
        <f>SUM(I31:I36)</f>
        <v>689726</v>
      </c>
      <c r="J38" s="103">
        <f t="shared" ref="J38:K38" si="3">SUM(J31:J36)</f>
        <v>2013385</v>
      </c>
      <c r="K38" s="103">
        <f t="shared" si="3"/>
        <v>269320</v>
      </c>
    </row>
    <row r="39" spans="2:11">
      <c r="H39" s="83"/>
      <c r="I39" s="83"/>
      <c r="J39" s="83"/>
      <c r="K39" s="83"/>
    </row>
    <row r="40" spans="2:11" s="5" customFormat="1">
      <c r="C40" s="6" t="s">
        <v>17</v>
      </c>
      <c r="D40" s="6"/>
      <c r="E40" s="6"/>
      <c r="F40" s="6"/>
      <c r="G40" s="6"/>
      <c r="H40" s="82">
        <f>SUM(H38+H29)</f>
        <v>2233154</v>
      </c>
      <c r="I40" s="82">
        <f>SUM(I38+I29)</f>
        <v>937464</v>
      </c>
      <c r="J40" s="82">
        <f>SUM(J29+J38)</f>
        <v>3170618</v>
      </c>
      <c r="K40" s="82">
        <f>SUM(K29+K38)</f>
        <v>553642</v>
      </c>
    </row>
    <row r="41" spans="2:11">
      <c r="H41" s="83"/>
      <c r="I41" s="83"/>
      <c r="J41" s="83"/>
      <c r="K41" s="83"/>
    </row>
    <row r="42" spans="2:11" s="5" customFormat="1">
      <c r="B42" s="5" t="s">
        <v>311</v>
      </c>
      <c r="H42" s="100"/>
      <c r="I42" s="100"/>
      <c r="J42" s="100"/>
      <c r="K42" s="100"/>
    </row>
    <row r="43" spans="2:11">
      <c r="C43" t="s">
        <v>399</v>
      </c>
      <c r="H43" s="83">
        <v>9616</v>
      </c>
      <c r="I43" s="83"/>
      <c r="J43" s="83">
        <f t="shared" ref="J43:J44" si="4">SUM(H43:I43)</f>
        <v>9616</v>
      </c>
      <c r="K43" s="83"/>
    </row>
    <row r="44" spans="2:11">
      <c r="C44" t="s">
        <v>400</v>
      </c>
      <c r="H44" s="83"/>
      <c r="I44" s="83">
        <v>3362</v>
      </c>
      <c r="J44" s="83">
        <f t="shared" si="4"/>
        <v>3362</v>
      </c>
      <c r="K44" s="83"/>
    </row>
    <row r="45" spans="2:11">
      <c r="C45" t="s">
        <v>401</v>
      </c>
      <c r="H45" s="83">
        <v>35056</v>
      </c>
      <c r="I45" s="83">
        <v>8197</v>
      </c>
      <c r="J45" s="83">
        <f>SUM(H45:I45)</f>
        <v>43253</v>
      </c>
      <c r="K45" s="83">
        <v>4090</v>
      </c>
    </row>
    <row r="46" spans="2:11">
      <c r="H46" s="81"/>
      <c r="I46" s="81"/>
      <c r="J46" s="81"/>
      <c r="K46" s="81"/>
    </row>
    <row r="47" spans="2:11" s="5" customFormat="1">
      <c r="C47" s="102" t="s">
        <v>305</v>
      </c>
      <c r="D47" s="102"/>
      <c r="E47" s="102"/>
      <c r="F47" s="102"/>
      <c r="G47" s="102"/>
      <c r="H47" s="103">
        <f>SUM(H43:H45)</f>
        <v>44672</v>
      </c>
      <c r="I47" s="103">
        <f t="shared" ref="I47:K47" si="5">SUM(I43:I45)</f>
        <v>11559</v>
      </c>
      <c r="J47" s="103">
        <f t="shared" si="5"/>
        <v>56231</v>
      </c>
      <c r="K47" s="103">
        <f t="shared" si="5"/>
        <v>4090</v>
      </c>
    </row>
    <row r="48" spans="2:11">
      <c r="H48" s="83"/>
      <c r="I48" s="83"/>
      <c r="J48" s="83"/>
      <c r="K48" s="83"/>
    </row>
    <row r="49" spans="1:11">
      <c r="A49" s="5" t="s">
        <v>22</v>
      </c>
      <c r="H49" s="83"/>
      <c r="I49" s="83"/>
      <c r="J49" s="83"/>
      <c r="K49" s="83"/>
    </row>
    <row r="50" spans="1:11">
      <c r="B50" s="5" t="s">
        <v>402</v>
      </c>
      <c r="C50" s="5"/>
      <c r="D50" s="5"/>
      <c r="E50" s="5"/>
      <c r="H50" s="83"/>
      <c r="I50" s="83"/>
      <c r="J50" s="83"/>
      <c r="K50" s="83"/>
    </row>
    <row r="51" spans="1:11">
      <c r="A51" s="5"/>
      <c r="C51" t="s">
        <v>403</v>
      </c>
      <c r="H51" s="84">
        <v>32009</v>
      </c>
      <c r="I51" s="83">
        <v>785</v>
      </c>
      <c r="J51" s="83">
        <f t="shared" ref="J51:J61" si="6">SUM(H51:I51)</f>
        <v>32794</v>
      </c>
      <c r="K51" s="83">
        <v>14268</v>
      </c>
    </row>
    <row r="52" spans="1:11">
      <c r="C52" t="s">
        <v>404</v>
      </c>
      <c r="H52" s="84">
        <v>5994</v>
      </c>
      <c r="I52" s="83"/>
      <c r="J52" s="83">
        <f t="shared" si="6"/>
        <v>5994</v>
      </c>
      <c r="K52" s="83"/>
    </row>
    <row r="53" spans="1:11">
      <c r="C53" t="s">
        <v>208</v>
      </c>
      <c r="H53" s="84">
        <v>2180</v>
      </c>
      <c r="I53" s="83">
        <v>1193</v>
      </c>
      <c r="J53" s="83">
        <f t="shared" si="6"/>
        <v>3373</v>
      </c>
      <c r="K53" s="83"/>
    </row>
    <row r="54" spans="1:11">
      <c r="C54" t="s">
        <v>405</v>
      </c>
      <c r="H54" s="92">
        <v>34211</v>
      </c>
      <c r="I54" s="83">
        <v>2251</v>
      </c>
      <c r="J54" s="83">
        <f t="shared" si="6"/>
        <v>36462</v>
      </c>
      <c r="K54" s="83"/>
    </row>
    <row r="55" spans="1:11">
      <c r="C55" t="s">
        <v>347</v>
      </c>
      <c r="H55" s="79">
        <v>72</v>
      </c>
      <c r="I55" s="83"/>
      <c r="J55" s="83">
        <f t="shared" si="6"/>
        <v>72</v>
      </c>
      <c r="K55" s="83"/>
    </row>
    <row r="56" spans="1:11">
      <c r="C56" t="s">
        <v>406</v>
      </c>
      <c r="H56" s="84">
        <v>1919</v>
      </c>
      <c r="I56" s="83">
        <v>3198</v>
      </c>
      <c r="J56" s="83">
        <f t="shared" si="6"/>
        <v>5117</v>
      </c>
      <c r="K56" s="83"/>
    </row>
    <row r="57" spans="1:11">
      <c r="C57" t="s">
        <v>27</v>
      </c>
      <c r="H57" s="84">
        <v>1357</v>
      </c>
      <c r="I57" s="83"/>
      <c r="J57" s="83">
        <f>SUM(H57:I57)</f>
        <v>1357</v>
      </c>
      <c r="K57" s="83">
        <v>2325</v>
      </c>
    </row>
    <row r="58" spans="1:11">
      <c r="C58" t="s">
        <v>407</v>
      </c>
      <c r="H58" s="84">
        <v>6249</v>
      </c>
      <c r="I58" s="83">
        <v>3122</v>
      </c>
      <c r="J58" s="83">
        <f t="shared" si="6"/>
        <v>9371</v>
      </c>
      <c r="K58" s="83">
        <v>31515</v>
      </c>
    </row>
    <row r="59" spans="1:11">
      <c r="C59" t="s">
        <v>26</v>
      </c>
      <c r="H59" s="79">
        <v>203067</v>
      </c>
      <c r="I59" s="83">
        <v>9236</v>
      </c>
      <c r="J59" s="83">
        <f t="shared" si="6"/>
        <v>212303</v>
      </c>
      <c r="K59" s="83"/>
    </row>
    <row r="60" spans="1:11">
      <c r="C60" t="s">
        <v>408</v>
      </c>
      <c r="H60" s="83"/>
      <c r="I60" s="83">
        <v>4467</v>
      </c>
      <c r="J60" s="83">
        <f t="shared" si="6"/>
        <v>4467</v>
      </c>
      <c r="K60" s="83"/>
    </row>
    <row r="61" spans="1:11">
      <c r="C61" t="s">
        <v>165</v>
      </c>
      <c r="H61" s="83"/>
      <c r="I61" s="83"/>
      <c r="J61" s="83">
        <f t="shared" si="6"/>
        <v>0</v>
      </c>
      <c r="K61" s="83"/>
    </row>
    <row r="62" spans="1:11">
      <c r="D62" t="s">
        <v>23</v>
      </c>
      <c r="H62" s="83"/>
      <c r="I62" s="83">
        <v>1405</v>
      </c>
      <c r="J62" s="83">
        <f t="shared" ref="J62:J66" si="7">SUM(H62:I62)</f>
        <v>1405</v>
      </c>
      <c r="K62" s="83"/>
    </row>
    <row r="63" spans="1:11">
      <c r="D63" t="s">
        <v>24</v>
      </c>
      <c r="H63" s="83"/>
      <c r="I63" s="83">
        <v>257</v>
      </c>
      <c r="J63" s="83">
        <f t="shared" si="7"/>
        <v>257</v>
      </c>
      <c r="K63" s="83"/>
    </row>
    <row r="64" spans="1:11">
      <c r="D64" t="s">
        <v>27</v>
      </c>
      <c r="H64" s="83"/>
      <c r="I64" s="83"/>
      <c r="J64" s="83">
        <f t="shared" si="7"/>
        <v>0</v>
      </c>
      <c r="K64" s="83">
        <v>4657</v>
      </c>
    </row>
    <row r="65" spans="2:11">
      <c r="D65" t="s">
        <v>405</v>
      </c>
      <c r="H65" s="83"/>
      <c r="I65" s="83"/>
      <c r="J65" s="83">
        <f t="shared" si="7"/>
        <v>0</v>
      </c>
      <c r="K65" s="83">
        <v>4246</v>
      </c>
    </row>
    <row r="66" spans="2:11">
      <c r="D66" t="s">
        <v>26</v>
      </c>
      <c r="H66" s="83"/>
      <c r="I66" s="83">
        <v>11034</v>
      </c>
      <c r="J66" s="83">
        <f t="shared" si="7"/>
        <v>11034</v>
      </c>
      <c r="K66" s="83"/>
    </row>
    <row r="67" spans="2:11">
      <c r="H67" s="81"/>
      <c r="I67" s="81"/>
      <c r="J67" s="81"/>
      <c r="K67" s="81"/>
    </row>
    <row r="68" spans="2:11">
      <c r="D68" s="102" t="s">
        <v>409</v>
      </c>
      <c r="E68" s="104"/>
      <c r="F68" s="104"/>
      <c r="G68" s="104"/>
      <c r="H68" s="103">
        <f>SUM(H51:H66)</f>
        <v>287058</v>
      </c>
      <c r="I68" s="103">
        <f>SUM(I51:I66)</f>
        <v>36948</v>
      </c>
      <c r="J68" s="103">
        <f>SUM(J51:J66)</f>
        <v>324006</v>
      </c>
      <c r="K68" s="103">
        <f>SUM(K51:K66)</f>
        <v>57011</v>
      </c>
    </row>
    <row r="69" spans="2:11">
      <c r="H69" s="83"/>
      <c r="I69" s="83"/>
      <c r="J69" s="83"/>
      <c r="K69" s="83"/>
    </row>
    <row r="70" spans="2:11">
      <c r="B70" t="s">
        <v>166</v>
      </c>
      <c r="H70" s="83"/>
      <c r="I70" s="83"/>
      <c r="J70" s="83"/>
      <c r="K70" s="83"/>
    </row>
    <row r="71" spans="2:11">
      <c r="C71" t="s">
        <v>34</v>
      </c>
      <c r="H71" s="79">
        <v>51302</v>
      </c>
      <c r="I71" s="83">
        <v>61921</v>
      </c>
      <c r="J71" s="83">
        <f>SUM(H71:I71)</f>
        <v>113223</v>
      </c>
      <c r="K71" s="83">
        <v>32992</v>
      </c>
    </row>
    <row r="72" spans="2:11">
      <c r="C72" t="s">
        <v>410</v>
      </c>
      <c r="H72" s="83"/>
      <c r="I72" s="83">
        <v>6321</v>
      </c>
      <c r="J72" s="83">
        <f t="shared" ref="J72:J74" si="8">SUM(H72:I72)</f>
        <v>6321</v>
      </c>
      <c r="K72" s="83"/>
    </row>
    <row r="73" spans="2:11">
      <c r="C73" t="s">
        <v>411</v>
      </c>
      <c r="H73" s="83"/>
      <c r="I73" s="83">
        <v>9337</v>
      </c>
      <c r="J73" s="83">
        <f t="shared" si="8"/>
        <v>9337</v>
      </c>
      <c r="K73" s="83"/>
    </row>
    <row r="74" spans="2:11">
      <c r="C74" t="s">
        <v>408</v>
      </c>
      <c r="H74" s="83"/>
      <c r="I74" s="83">
        <v>194422</v>
      </c>
      <c r="J74" s="83">
        <f t="shared" si="8"/>
        <v>194422</v>
      </c>
      <c r="K74" s="83"/>
    </row>
    <row r="75" spans="2:11">
      <c r="C75" t="s">
        <v>93</v>
      </c>
      <c r="H75" s="77">
        <v>413686</v>
      </c>
      <c r="I75" s="83">
        <v>14700</v>
      </c>
      <c r="J75" s="83">
        <f>SUM(H75:I75)</f>
        <v>428386</v>
      </c>
      <c r="K75" s="83">
        <v>213342</v>
      </c>
    </row>
    <row r="76" spans="2:11">
      <c r="H76" s="81"/>
      <c r="I76" s="81"/>
      <c r="J76" s="81"/>
      <c r="K76" s="81"/>
    </row>
    <row r="77" spans="2:11">
      <c r="D77" s="102" t="s">
        <v>412</v>
      </c>
      <c r="E77" s="104"/>
      <c r="F77" s="104"/>
      <c r="G77" s="104"/>
      <c r="H77" s="103">
        <f>SUM(H70:H75)</f>
        <v>464988</v>
      </c>
      <c r="I77" s="103">
        <f t="shared" ref="I77:K77" si="9">SUM(I70:I75)</f>
        <v>286701</v>
      </c>
      <c r="J77" s="103">
        <f t="shared" si="9"/>
        <v>751689</v>
      </c>
      <c r="K77" s="103">
        <f t="shared" si="9"/>
        <v>246334</v>
      </c>
    </row>
    <row r="78" spans="2:11">
      <c r="H78" s="83"/>
      <c r="I78" s="83"/>
      <c r="J78" s="83"/>
      <c r="K78" s="83"/>
    </row>
    <row r="79" spans="2:11">
      <c r="D79" s="7" t="s">
        <v>36</v>
      </c>
      <c r="E79" s="8"/>
      <c r="F79" s="8"/>
      <c r="G79" s="8"/>
      <c r="H79" s="87">
        <f>SUM(H68+H77)</f>
        <v>752046</v>
      </c>
      <c r="I79" s="87">
        <f>SUM(I77+I68)</f>
        <v>323649</v>
      </c>
      <c r="J79" s="87">
        <f>SUM(J77+J68)</f>
        <v>1075695</v>
      </c>
      <c r="K79" s="87">
        <f>SUM(K68+K77)</f>
        <v>303345</v>
      </c>
    </row>
    <row r="80" spans="2:11">
      <c r="D80" s="5"/>
      <c r="H80" s="100"/>
      <c r="I80" s="100"/>
      <c r="J80" s="100"/>
      <c r="K80" s="100"/>
    </row>
    <row r="81" spans="1:14" s="5" customFormat="1">
      <c r="B81" s="5" t="s">
        <v>311</v>
      </c>
      <c r="H81" s="100"/>
      <c r="I81" s="100"/>
      <c r="J81" s="100"/>
      <c r="K81" s="100"/>
    </row>
    <row r="82" spans="1:14">
      <c r="C82" t="s">
        <v>413</v>
      </c>
      <c r="H82" s="122">
        <v>4096</v>
      </c>
      <c r="I82" s="122">
        <v>399</v>
      </c>
      <c r="J82" s="122">
        <f>SUM(H82:I82)</f>
        <v>4495</v>
      </c>
      <c r="K82" s="122">
        <v>117</v>
      </c>
      <c r="N82" s="5"/>
    </row>
    <row r="83" spans="1:14">
      <c r="H83" s="83"/>
      <c r="I83" s="83"/>
      <c r="J83" s="83"/>
      <c r="K83" s="83"/>
      <c r="N83" s="5"/>
    </row>
    <row r="84" spans="1:14">
      <c r="A84" s="3" t="s">
        <v>39</v>
      </c>
      <c r="H84" s="83"/>
      <c r="I84" s="83"/>
      <c r="J84" s="83"/>
      <c r="K84" s="83"/>
    </row>
    <row r="85" spans="1:14">
      <c r="B85" t="s">
        <v>40</v>
      </c>
      <c r="H85" s="88">
        <v>991422</v>
      </c>
      <c r="I85" s="83">
        <v>674982</v>
      </c>
      <c r="J85" s="83">
        <f>SUM(H85:I85)</f>
        <v>1666404</v>
      </c>
      <c r="K85" s="83">
        <v>63515</v>
      </c>
    </row>
    <row r="86" spans="1:14">
      <c r="B86" t="s">
        <v>41</v>
      </c>
      <c r="H86" s="83"/>
      <c r="I86" s="83"/>
      <c r="J86" s="83"/>
      <c r="K86" s="83"/>
    </row>
    <row r="87" spans="1:14">
      <c r="C87" t="s">
        <v>414</v>
      </c>
      <c r="H87" s="89">
        <v>1683</v>
      </c>
      <c r="I87" s="83"/>
      <c r="J87" s="83">
        <f>SUM(H87:I87)</f>
        <v>1683</v>
      </c>
      <c r="K87" s="83"/>
    </row>
    <row r="88" spans="1:14">
      <c r="C88" t="s">
        <v>246</v>
      </c>
      <c r="H88" s="89">
        <v>1237</v>
      </c>
      <c r="I88" s="83"/>
      <c r="J88" s="83">
        <f t="shared" ref="J88:J96" si="10">SUM(H88:I88)</f>
        <v>1237</v>
      </c>
      <c r="K88" s="83"/>
    </row>
    <row r="89" spans="1:14">
      <c r="C89" t="s">
        <v>171</v>
      </c>
      <c r="H89" s="89">
        <v>50112</v>
      </c>
      <c r="I89" s="83"/>
      <c r="J89" s="83">
        <f t="shared" si="10"/>
        <v>50112</v>
      </c>
      <c r="K89" s="83"/>
    </row>
    <row r="90" spans="1:14">
      <c r="C90" t="s">
        <v>69</v>
      </c>
      <c r="H90" s="89">
        <v>36097</v>
      </c>
      <c r="I90" s="83"/>
      <c r="J90" s="83">
        <f t="shared" si="10"/>
        <v>36097</v>
      </c>
      <c r="K90" s="83"/>
    </row>
    <row r="91" spans="1:14">
      <c r="C91" t="s">
        <v>415</v>
      </c>
      <c r="H91" s="89">
        <v>22867</v>
      </c>
      <c r="I91" s="83"/>
      <c r="J91" s="83">
        <f t="shared" si="10"/>
        <v>22867</v>
      </c>
      <c r="K91" s="83"/>
    </row>
    <row r="92" spans="1:14">
      <c r="C92" t="s">
        <v>102</v>
      </c>
      <c r="H92" s="89">
        <v>9138</v>
      </c>
      <c r="I92" s="83">
        <v>20000</v>
      </c>
      <c r="J92" s="83">
        <f t="shared" si="10"/>
        <v>29138</v>
      </c>
      <c r="K92" s="83"/>
    </row>
    <row r="93" spans="1:14">
      <c r="C93" t="s">
        <v>147</v>
      </c>
      <c r="H93" s="89">
        <v>88153</v>
      </c>
      <c r="I93" s="83"/>
      <c r="J93" s="83">
        <f t="shared" si="10"/>
        <v>88153</v>
      </c>
      <c r="K93" s="83"/>
    </row>
    <row r="94" spans="1:14">
      <c r="C94" t="s">
        <v>172</v>
      </c>
      <c r="H94" s="89">
        <v>4366</v>
      </c>
      <c r="I94" s="83"/>
      <c r="J94" s="83">
        <f t="shared" si="10"/>
        <v>4366</v>
      </c>
      <c r="K94" s="83"/>
    </row>
    <row r="95" spans="1:14">
      <c r="C95" t="s">
        <v>416</v>
      </c>
      <c r="H95" s="89">
        <v>2278</v>
      </c>
      <c r="I95" s="83"/>
      <c r="J95" s="83">
        <f t="shared" si="10"/>
        <v>2278</v>
      </c>
      <c r="K95" s="83">
        <v>15138</v>
      </c>
    </row>
    <row r="96" spans="1:14">
      <c r="C96" t="s">
        <v>336</v>
      </c>
      <c r="H96" s="89">
        <v>223717</v>
      </c>
      <c r="I96" s="83">
        <v>58952</v>
      </c>
      <c r="J96" s="83">
        <f t="shared" si="10"/>
        <v>282669</v>
      </c>
      <c r="K96" s="83"/>
    </row>
    <row r="97" spans="2:11">
      <c r="C97" t="s">
        <v>42</v>
      </c>
      <c r="H97" s="83"/>
      <c r="I97" s="83">
        <v>127</v>
      </c>
      <c r="J97" s="83">
        <f>SUM(H97:I97)</f>
        <v>127</v>
      </c>
      <c r="K97" s="83">
        <v>51082</v>
      </c>
    </row>
    <row r="98" spans="2:11">
      <c r="C98" t="s">
        <v>404</v>
      </c>
      <c r="H98" s="89">
        <v>3643</v>
      </c>
      <c r="I98" s="83"/>
      <c r="J98" s="83">
        <f>SUM(H98:I98)</f>
        <v>3643</v>
      </c>
      <c r="K98" s="83"/>
    </row>
    <row r="99" spans="2:11">
      <c r="B99" t="s">
        <v>45</v>
      </c>
      <c r="H99" s="93">
        <v>86971</v>
      </c>
      <c r="I99" s="83">
        <v>-129086</v>
      </c>
      <c r="J99" s="83">
        <f>SUM(H99:I99)</f>
        <v>-42115</v>
      </c>
      <c r="K99" s="83">
        <v>124535</v>
      </c>
    </row>
    <row r="100" spans="2:11">
      <c r="H100" s="81"/>
      <c r="I100" s="81"/>
      <c r="J100" s="81"/>
      <c r="K100" s="81"/>
    </row>
    <row r="101" spans="2:11" s="3" customFormat="1">
      <c r="C101" s="9" t="s">
        <v>46</v>
      </c>
      <c r="D101" s="9"/>
      <c r="E101" s="9"/>
      <c r="F101" s="9"/>
      <c r="G101" s="9"/>
      <c r="H101" s="94">
        <f>SUM(H85:H99)</f>
        <v>1521684</v>
      </c>
      <c r="I101" s="94">
        <f>SUM(I85:I99)</f>
        <v>624975</v>
      </c>
      <c r="J101" s="94">
        <f>SUM(J85:J99)</f>
        <v>2146659</v>
      </c>
      <c r="K101" s="94">
        <f>SUM(K84:K99)</f>
        <v>254270</v>
      </c>
    </row>
    <row r="102" spans="2:11">
      <c r="H102" s="83"/>
      <c r="I102" s="83"/>
      <c r="J102" s="83"/>
      <c r="K102" s="83"/>
    </row>
    <row r="103" spans="2:11" s="3" customFormat="1">
      <c r="C103" s="10" t="s">
        <v>47</v>
      </c>
      <c r="D103" s="10"/>
      <c r="E103" s="10"/>
      <c r="F103" s="10"/>
      <c r="G103" s="10"/>
      <c r="H103" s="95">
        <f>SUM(H79+H101+H82)</f>
        <v>2277826</v>
      </c>
      <c r="I103" s="95">
        <f t="shared" ref="I103:J103" si="11">SUM(I79+I101+I82)</f>
        <v>949023</v>
      </c>
      <c r="J103" s="95">
        <f t="shared" si="11"/>
        <v>3226849</v>
      </c>
      <c r="K103" s="95">
        <f>SUM(K79+K101+K82)</f>
        <v>557732</v>
      </c>
    </row>
    <row r="104" spans="2:11">
      <c r="H104" s="83"/>
      <c r="I104" s="83"/>
      <c r="J104" s="83"/>
      <c r="K104" s="83"/>
    </row>
  </sheetData>
  <mergeCells count="3">
    <mergeCell ref="D1:H1"/>
    <mergeCell ref="D2:H2"/>
    <mergeCell ref="H5:J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52"/>
  <sheetViews>
    <sheetView zoomScale="70" zoomScaleNormal="70" zoomScalePageLayoutView="70" workbookViewId="0">
      <selection activeCell="G39" sqref="G39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12.855468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417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22295246</v>
      </c>
    </row>
    <row r="7" spans="1:7">
      <c r="B7" t="s">
        <v>8</v>
      </c>
      <c r="G7" s="84">
        <v>2118764</v>
      </c>
    </row>
    <row r="8" spans="1:7">
      <c r="B8" t="s">
        <v>50</v>
      </c>
      <c r="G8" s="78">
        <v>2190018</v>
      </c>
    </row>
    <row r="9" spans="1:7">
      <c r="B9" t="s">
        <v>125</v>
      </c>
      <c r="G9" s="79">
        <v>79428</v>
      </c>
    </row>
    <row r="10" spans="1:7">
      <c r="B10" t="s">
        <v>418</v>
      </c>
      <c r="G10" s="77">
        <v>2678453</v>
      </c>
    </row>
    <row r="11" spans="1:7">
      <c r="B11" t="s">
        <v>319</v>
      </c>
      <c r="G11" s="91">
        <v>34263814</v>
      </c>
    </row>
    <row r="12" spans="1:7">
      <c r="G12" s="83"/>
    </row>
    <row r="13" spans="1:7">
      <c r="A13" s="5"/>
      <c r="B13" s="6" t="s">
        <v>17</v>
      </c>
      <c r="C13" s="6"/>
      <c r="D13" s="6"/>
      <c r="E13" s="6"/>
      <c r="F13" s="6"/>
      <c r="G13" s="82">
        <f>SUM(G6:G11)</f>
        <v>63625723</v>
      </c>
    </row>
    <row r="14" spans="1:7">
      <c r="G14" s="83"/>
    </row>
    <row r="15" spans="1:7">
      <c r="A15" s="5" t="s">
        <v>18</v>
      </c>
      <c r="G15" s="83"/>
    </row>
    <row r="16" spans="1:7">
      <c r="A16" s="5"/>
      <c r="B16" t="s">
        <v>419</v>
      </c>
      <c r="G16" s="83">
        <v>327109</v>
      </c>
    </row>
    <row r="17" spans="1:7">
      <c r="B17" t="s">
        <v>420</v>
      </c>
      <c r="G17" s="122">
        <v>57099</v>
      </c>
    </row>
    <row r="18" spans="1:7" s="5" customFormat="1">
      <c r="B18" s="5" t="s">
        <v>111</v>
      </c>
      <c r="G18" s="100">
        <f>SUM(G16:G17)</f>
        <v>384208</v>
      </c>
    </row>
    <row r="19" spans="1:7">
      <c r="G19" s="83"/>
    </row>
    <row r="20" spans="1:7">
      <c r="A20" s="5" t="s">
        <v>22</v>
      </c>
      <c r="G20" s="83"/>
    </row>
    <row r="21" spans="1:7">
      <c r="A21" s="5"/>
      <c r="B21" t="s">
        <v>144</v>
      </c>
      <c r="G21" s="84">
        <v>827526</v>
      </c>
    </row>
    <row r="22" spans="1:7">
      <c r="A22" s="5"/>
      <c r="B22" t="s">
        <v>86</v>
      </c>
      <c r="G22" s="84">
        <v>43790</v>
      </c>
    </row>
    <row r="23" spans="1:7">
      <c r="A23" s="5"/>
      <c r="B23" t="s">
        <v>330</v>
      </c>
      <c r="G23" s="96">
        <v>567800</v>
      </c>
    </row>
    <row r="24" spans="1:7">
      <c r="A24" s="5"/>
      <c r="B24" t="s">
        <v>27</v>
      </c>
      <c r="G24" s="84">
        <v>262428</v>
      </c>
    </row>
    <row r="25" spans="1:7">
      <c r="A25" s="5"/>
      <c r="B25" t="s">
        <v>421</v>
      </c>
      <c r="G25" s="79">
        <v>2453168</v>
      </c>
    </row>
    <row r="26" spans="1:7">
      <c r="B26" t="s">
        <v>422</v>
      </c>
      <c r="G26" s="85">
        <v>984000</v>
      </c>
    </row>
    <row r="27" spans="1:7">
      <c r="B27" t="s">
        <v>423</v>
      </c>
      <c r="G27" s="84">
        <v>144783</v>
      </c>
    </row>
    <row r="28" spans="1:7">
      <c r="B28" t="s">
        <v>322</v>
      </c>
      <c r="G28" s="84">
        <v>639410</v>
      </c>
    </row>
    <row r="29" spans="1:7">
      <c r="B29" t="s">
        <v>31</v>
      </c>
      <c r="G29" s="78">
        <v>13730000</v>
      </c>
    </row>
    <row r="30" spans="1:7">
      <c r="B30" t="s">
        <v>34</v>
      </c>
      <c r="G30" s="79">
        <v>273215</v>
      </c>
    </row>
    <row r="31" spans="1:7">
      <c r="G31" s="81"/>
    </row>
    <row r="32" spans="1:7">
      <c r="C32" s="7" t="s">
        <v>36</v>
      </c>
      <c r="D32" s="8"/>
      <c r="E32" s="8"/>
      <c r="F32" s="8"/>
      <c r="G32" s="87">
        <f>SUM(G21:G30)</f>
        <v>19926120</v>
      </c>
    </row>
    <row r="33" spans="1:14">
      <c r="G33" s="83"/>
    </row>
    <row r="34" spans="1:14">
      <c r="A34" s="5" t="s">
        <v>37</v>
      </c>
      <c r="G34" s="83"/>
      <c r="H34" s="202"/>
      <c r="I34" s="202"/>
      <c r="J34" s="202"/>
      <c r="K34" s="202"/>
      <c r="L34" s="202"/>
      <c r="M34" s="202"/>
      <c r="N34" s="202"/>
    </row>
    <row r="35" spans="1:14">
      <c r="A35" s="5"/>
      <c r="B35" t="s">
        <v>419</v>
      </c>
      <c r="G35" s="83">
        <v>78329</v>
      </c>
      <c r="H35" s="202"/>
      <c r="I35" s="202"/>
      <c r="J35" s="202"/>
      <c r="K35" s="202"/>
      <c r="L35" s="202"/>
      <c r="M35" s="202"/>
      <c r="N35" s="202"/>
    </row>
    <row r="36" spans="1:14">
      <c r="B36" t="s">
        <v>153</v>
      </c>
      <c r="G36" s="122">
        <v>177663</v>
      </c>
      <c r="H36" s="202"/>
      <c r="I36" s="202"/>
      <c r="J36" s="202"/>
      <c r="K36" s="202"/>
      <c r="L36" s="202"/>
      <c r="M36" s="202"/>
      <c r="N36" s="202"/>
    </row>
    <row r="37" spans="1:14" s="5" customFormat="1">
      <c r="B37" s="5" t="s">
        <v>118</v>
      </c>
      <c r="G37" s="100">
        <f>SUM(G35:G36)</f>
        <v>255992</v>
      </c>
      <c r="H37" s="234"/>
      <c r="I37" s="234"/>
      <c r="J37" s="234"/>
      <c r="K37" s="234"/>
      <c r="L37" s="234"/>
      <c r="M37" s="234"/>
      <c r="N37" s="234"/>
    </row>
    <row r="38" spans="1:14">
      <c r="G38" s="83"/>
    </row>
    <row r="39" spans="1:14">
      <c r="A39" s="3" t="s">
        <v>39</v>
      </c>
      <c r="G39" s="83"/>
    </row>
    <row r="40" spans="1:14">
      <c r="B40" t="s">
        <v>40</v>
      </c>
      <c r="G40" s="88">
        <v>18503193</v>
      </c>
    </row>
    <row r="41" spans="1:14">
      <c r="B41" t="s">
        <v>41</v>
      </c>
      <c r="G41" s="83"/>
    </row>
    <row r="42" spans="1:14">
      <c r="C42" t="s">
        <v>101</v>
      </c>
      <c r="G42" s="89">
        <v>7352490</v>
      </c>
    </row>
    <row r="43" spans="1:14">
      <c r="C43" t="s">
        <v>69</v>
      </c>
      <c r="G43" s="89">
        <v>8777284</v>
      </c>
    </row>
    <row r="44" spans="1:14">
      <c r="C44" t="s">
        <v>102</v>
      </c>
      <c r="G44" s="89">
        <v>407444</v>
      </c>
    </row>
    <row r="45" spans="1:14">
      <c r="C45" t="s">
        <v>42</v>
      </c>
      <c r="G45" s="89">
        <v>2675500</v>
      </c>
    </row>
    <row r="46" spans="1:14">
      <c r="C46" t="s">
        <v>68</v>
      </c>
      <c r="G46" s="89">
        <v>1503341</v>
      </c>
    </row>
    <row r="47" spans="1:14">
      <c r="B47" t="s">
        <v>45</v>
      </c>
      <c r="G47" s="93">
        <v>4608567</v>
      </c>
    </row>
    <row r="48" spans="1:14">
      <c r="G48" s="81"/>
    </row>
    <row r="49" spans="1:7">
      <c r="A49" s="3"/>
      <c r="B49" s="9" t="s">
        <v>46</v>
      </c>
      <c r="C49" s="9"/>
      <c r="D49" s="9"/>
      <c r="E49" s="9"/>
      <c r="F49" s="9"/>
      <c r="G49" s="94">
        <f>SUM(G40:G47)</f>
        <v>43827819</v>
      </c>
    </row>
    <row r="50" spans="1:7">
      <c r="G50" s="83"/>
    </row>
    <row r="51" spans="1:7">
      <c r="A51" s="3"/>
      <c r="B51" s="10" t="s">
        <v>47</v>
      </c>
      <c r="C51" s="10"/>
      <c r="D51" s="10"/>
      <c r="E51" s="10"/>
      <c r="F51" s="10"/>
      <c r="G51" s="95">
        <f>SUM(G32+G49+G37)</f>
        <v>64009931</v>
      </c>
    </row>
    <row r="52" spans="1:7">
      <c r="G52" s="83"/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64"/>
  <sheetViews>
    <sheetView zoomScale="60" zoomScaleNormal="60" zoomScalePageLayoutView="60" workbookViewId="0">
      <selection activeCell="J56" sqref="J56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9.42578125" customWidth="1"/>
    <col min="9" max="9" width="20" customWidth="1"/>
    <col min="10" max="10" width="19.42578125" customWidth="1"/>
    <col min="11" max="11" width="17.28515625" customWidth="1"/>
  </cols>
  <sheetData>
    <row r="1" spans="1:12" ht="18.75" customHeight="1">
      <c r="A1" s="1"/>
      <c r="B1" s="1"/>
      <c r="C1" s="1"/>
      <c r="D1" s="272" t="s">
        <v>424</v>
      </c>
      <c r="E1" s="272"/>
      <c r="F1" s="272"/>
      <c r="G1" s="272"/>
      <c r="H1" s="272"/>
      <c r="I1" s="97"/>
      <c r="J1" s="97"/>
    </row>
    <row r="2" spans="1:12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2" ht="14.25" customHeight="1">
      <c r="H4" s="277" t="s">
        <v>2</v>
      </c>
      <c r="I4" s="277"/>
      <c r="J4" s="277"/>
    </row>
    <row r="5" spans="1:12" ht="31.5" customHeight="1">
      <c r="H5" s="2" t="s">
        <v>3</v>
      </c>
      <c r="I5" s="2" t="s">
        <v>157</v>
      </c>
      <c r="J5" s="2" t="s">
        <v>74</v>
      </c>
      <c r="K5" s="156" t="s">
        <v>4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122</v>
      </c>
      <c r="H7" s="77">
        <v>16641210</v>
      </c>
      <c r="I7" s="83">
        <v>5283189</v>
      </c>
      <c r="J7" s="83">
        <f t="shared" ref="J7:J23" si="0">SUM(H7:I7)</f>
        <v>21924399</v>
      </c>
      <c r="K7" s="83">
        <v>52538532</v>
      </c>
    </row>
    <row r="8" spans="1:12">
      <c r="C8" t="s">
        <v>8</v>
      </c>
      <c r="H8" s="84">
        <v>271226470</v>
      </c>
      <c r="I8" s="83">
        <v>28061815</v>
      </c>
      <c r="J8" s="83">
        <f t="shared" si="0"/>
        <v>299288285</v>
      </c>
      <c r="K8" s="83">
        <v>18134974</v>
      </c>
    </row>
    <row r="9" spans="1:12">
      <c r="C9" t="s">
        <v>123</v>
      </c>
      <c r="H9" s="78">
        <v>5368379</v>
      </c>
      <c r="I9" s="83">
        <v>23844975</v>
      </c>
      <c r="J9" s="83">
        <f t="shared" si="0"/>
        <v>29213354</v>
      </c>
      <c r="K9" s="83">
        <v>9343950</v>
      </c>
    </row>
    <row r="10" spans="1:12">
      <c r="C10" t="s">
        <v>76</v>
      </c>
      <c r="H10" s="79">
        <v>1545353</v>
      </c>
      <c r="I10" s="83">
        <v>-1545353</v>
      </c>
      <c r="J10" s="83">
        <f>SUM(H10:I10)</f>
        <v>0</v>
      </c>
      <c r="K10" s="83"/>
    </row>
    <row r="11" spans="1:12">
      <c r="C11" t="s">
        <v>176</v>
      </c>
      <c r="H11" s="83"/>
      <c r="I11" s="83"/>
      <c r="J11" s="83">
        <f t="shared" si="0"/>
        <v>0</v>
      </c>
      <c r="K11" s="83">
        <v>92392</v>
      </c>
    </row>
    <row r="12" spans="1:12">
      <c r="C12" t="s">
        <v>303</v>
      </c>
      <c r="H12" s="90">
        <v>19498802</v>
      </c>
      <c r="I12" s="83">
        <v>2460768</v>
      </c>
      <c r="J12" s="83">
        <f t="shared" si="0"/>
        <v>21959570</v>
      </c>
      <c r="K12" s="83">
        <v>4672050</v>
      </c>
    </row>
    <row r="13" spans="1:12">
      <c r="C13" t="s">
        <v>425</v>
      </c>
      <c r="H13" s="79">
        <v>479070</v>
      </c>
      <c r="I13" s="83">
        <v>19979155</v>
      </c>
      <c r="J13" s="83">
        <f t="shared" si="0"/>
        <v>20458225</v>
      </c>
      <c r="K13" s="83">
        <v>226786</v>
      </c>
    </row>
    <row r="14" spans="1:12">
      <c r="C14" t="s">
        <v>125</v>
      </c>
      <c r="H14" s="79">
        <v>311348</v>
      </c>
      <c r="I14" s="83">
        <v>603948</v>
      </c>
      <c r="J14" s="83">
        <f t="shared" si="0"/>
        <v>915296</v>
      </c>
      <c r="K14" s="83">
        <v>460338</v>
      </c>
    </row>
    <row r="15" spans="1:12">
      <c r="C15" t="s">
        <v>109</v>
      </c>
      <c r="H15" s="79">
        <v>775000</v>
      </c>
      <c r="I15" s="83"/>
      <c r="J15" s="83">
        <f t="shared" si="0"/>
        <v>775000</v>
      </c>
      <c r="K15" s="83">
        <v>2339940</v>
      </c>
    </row>
    <row r="16" spans="1:12">
      <c r="C16" t="s">
        <v>201</v>
      </c>
      <c r="H16" s="83"/>
      <c r="I16" s="83"/>
      <c r="J16" s="83">
        <f t="shared" si="0"/>
        <v>0</v>
      </c>
      <c r="K16" s="83"/>
    </row>
    <row r="17" spans="1:11">
      <c r="D17" t="s">
        <v>232</v>
      </c>
      <c r="H17" s="83"/>
      <c r="I17" s="83">
        <v>4557261</v>
      </c>
      <c r="J17" s="83">
        <f t="shared" si="0"/>
        <v>4557261</v>
      </c>
      <c r="K17" s="83">
        <v>3590811</v>
      </c>
    </row>
    <row r="18" spans="1:11">
      <c r="D18" t="s">
        <v>8</v>
      </c>
      <c r="H18" s="83"/>
      <c r="I18" s="83">
        <v>158334857</v>
      </c>
      <c r="J18" s="83">
        <f t="shared" si="0"/>
        <v>158334857</v>
      </c>
      <c r="K18" s="83">
        <v>12248459</v>
      </c>
    </row>
    <row r="19" spans="1:11">
      <c r="D19" t="s">
        <v>50</v>
      </c>
      <c r="H19" s="83"/>
      <c r="I19" s="83">
        <v>156557</v>
      </c>
      <c r="J19" s="83">
        <f t="shared" si="0"/>
        <v>156557</v>
      </c>
      <c r="K19" s="83">
        <v>24899</v>
      </c>
    </row>
    <row r="20" spans="1:11">
      <c r="C20" t="s">
        <v>426</v>
      </c>
      <c r="H20" s="83"/>
      <c r="I20" s="83">
        <v>1753603</v>
      </c>
      <c r="J20" s="83">
        <f t="shared" si="0"/>
        <v>1753603</v>
      </c>
      <c r="K20" s="83"/>
    </row>
    <row r="21" spans="1:11">
      <c r="C21" t="s">
        <v>14</v>
      </c>
      <c r="H21" s="83"/>
      <c r="I21" s="83"/>
      <c r="J21" s="83">
        <f t="shared" si="0"/>
        <v>0</v>
      </c>
      <c r="K21" s="83"/>
    </row>
    <row r="22" spans="1:11">
      <c r="D22" t="s">
        <v>15</v>
      </c>
      <c r="H22" s="80">
        <v>69787539</v>
      </c>
      <c r="I22" s="83">
        <v>103348893</v>
      </c>
      <c r="J22" s="83">
        <f t="shared" si="0"/>
        <v>173136432</v>
      </c>
      <c r="K22" s="83">
        <v>21843992</v>
      </c>
    </row>
    <row r="23" spans="1:11">
      <c r="D23" t="s">
        <v>427</v>
      </c>
      <c r="H23" s="91">
        <v>529713470</v>
      </c>
      <c r="I23" s="83">
        <v>668422936</v>
      </c>
      <c r="J23" s="83">
        <f t="shared" si="0"/>
        <v>1198136406</v>
      </c>
      <c r="K23" s="83">
        <v>103294800</v>
      </c>
    </row>
    <row r="24" spans="1:11">
      <c r="H24" s="83"/>
      <c r="I24" s="81"/>
      <c r="J24" s="81"/>
      <c r="K24" s="81"/>
    </row>
    <row r="25" spans="1:11" s="5" customFormat="1">
      <c r="C25" s="6" t="s">
        <v>17</v>
      </c>
      <c r="D25" s="6"/>
      <c r="E25" s="6"/>
      <c r="F25" s="6"/>
      <c r="G25" s="6"/>
      <c r="H25" s="82">
        <f>SUM(H7:H23)</f>
        <v>915346641</v>
      </c>
      <c r="I25" s="82">
        <f t="shared" ref="I25:J25" si="1">SUM(I7:I23)</f>
        <v>1015262604</v>
      </c>
      <c r="J25" s="82">
        <f t="shared" si="1"/>
        <v>1930609245</v>
      </c>
      <c r="K25" s="82">
        <f>SUM(K7:K23)</f>
        <v>228811923</v>
      </c>
    </row>
    <row r="26" spans="1:11" s="5" customFormat="1">
      <c r="H26" s="100"/>
      <c r="I26" s="100"/>
      <c r="J26" s="100"/>
      <c r="K26" s="100"/>
    </row>
    <row r="27" spans="1:11" s="5" customFormat="1">
      <c r="A27" s="5" t="s">
        <v>18</v>
      </c>
      <c r="H27" s="100"/>
      <c r="I27" s="100"/>
      <c r="J27" s="100"/>
      <c r="K27" s="100"/>
    </row>
    <row r="28" spans="1:11">
      <c r="B28" t="s">
        <v>428</v>
      </c>
      <c r="H28" s="83">
        <v>8782907</v>
      </c>
      <c r="I28" s="83">
        <v>16251537</v>
      </c>
      <c r="J28" s="83">
        <f>SUM(H28:I28)</f>
        <v>25034444</v>
      </c>
      <c r="K28" s="83">
        <v>21454</v>
      </c>
    </row>
    <row r="29" spans="1:11">
      <c r="B29" t="s">
        <v>180</v>
      </c>
      <c r="H29" s="122">
        <v>28818871</v>
      </c>
      <c r="I29" s="122">
        <v>10704356</v>
      </c>
      <c r="J29" s="122">
        <f>SUM(H29:I29)</f>
        <v>39523227</v>
      </c>
      <c r="K29" s="122">
        <v>1313649</v>
      </c>
    </row>
    <row r="30" spans="1:11" s="5" customFormat="1">
      <c r="C30" s="5" t="s">
        <v>83</v>
      </c>
      <c r="H30" s="100">
        <f>SUM(H28:H29)</f>
        <v>37601778</v>
      </c>
      <c r="I30" s="100">
        <f t="shared" ref="I30:K30" si="2">SUM(I28:I29)</f>
        <v>26955893</v>
      </c>
      <c r="J30" s="100">
        <f t="shared" si="2"/>
        <v>64557671</v>
      </c>
      <c r="K30" s="100">
        <f t="shared" si="2"/>
        <v>1335103</v>
      </c>
    </row>
    <row r="31" spans="1:11" s="5" customFormat="1">
      <c r="H31" s="100"/>
      <c r="I31" s="100"/>
      <c r="J31" s="100"/>
      <c r="K31" s="100"/>
    </row>
    <row r="32" spans="1:11" s="5" customFormat="1">
      <c r="H32" s="83"/>
      <c r="I32" s="100"/>
      <c r="J32" s="100"/>
      <c r="K32" s="100"/>
    </row>
    <row r="33" spans="1:11">
      <c r="A33" s="5" t="s">
        <v>22</v>
      </c>
      <c r="H33" s="83"/>
      <c r="I33" s="83"/>
      <c r="J33" s="83"/>
      <c r="K33" s="83"/>
    </row>
    <row r="34" spans="1:11">
      <c r="A34" s="5"/>
      <c r="C34" t="s">
        <v>429</v>
      </c>
      <c r="H34" s="84">
        <v>11527783</v>
      </c>
      <c r="I34" s="83">
        <v>9718935</v>
      </c>
      <c r="J34" s="83">
        <f t="shared" ref="J34" si="3">SUM(H34:I34)</f>
        <v>21246718</v>
      </c>
      <c r="K34" s="83">
        <v>1997015</v>
      </c>
    </row>
    <row r="35" spans="1:11">
      <c r="C35" t="s">
        <v>185</v>
      </c>
      <c r="H35" s="96">
        <v>92392</v>
      </c>
      <c r="I35" s="83"/>
      <c r="J35" s="83">
        <f>SUM(H35:I35)</f>
        <v>92392</v>
      </c>
      <c r="K35" s="83"/>
    </row>
    <row r="36" spans="1:11">
      <c r="C36" t="s">
        <v>186</v>
      </c>
      <c r="H36" s="96">
        <v>262270</v>
      </c>
      <c r="I36" s="83"/>
      <c r="J36" s="83">
        <f>SUM(H36:I36)</f>
        <v>262270</v>
      </c>
      <c r="K36" s="83">
        <v>10939</v>
      </c>
    </row>
    <row r="37" spans="1:11">
      <c r="C37" t="s">
        <v>26</v>
      </c>
      <c r="H37" s="79">
        <v>210423</v>
      </c>
      <c r="I37" s="83">
        <v>10621</v>
      </c>
      <c r="J37" s="83">
        <f>SUM(H37:I37)</f>
        <v>221044</v>
      </c>
      <c r="K37" s="83">
        <v>1676684</v>
      </c>
    </row>
    <row r="38" spans="1:11">
      <c r="C38" t="s">
        <v>89</v>
      </c>
      <c r="H38" s="83"/>
      <c r="I38" s="83">
        <v>8700206</v>
      </c>
      <c r="J38" s="83">
        <f>SUM(H38:I38)</f>
        <v>8700206</v>
      </c>
      <c r="K38" s="83">
        <v>233936</v>
      </c>
    </row>
    <row r="39" spans="1:11">
      <c r="C39" t="s">
        <v>29</v>
      </c>
      <c r="H39" s="83"/>
      <c r="I39" s="83"/>
      <c r="J39" s="83"/>
      <c r="K39" s="83"/>
    </row>
    <row r="40" spans="1:11">
      <c r="D40" t="s">
        <v>430</v>
      </c>
      <c r="H40" s="92">
        <v>33728815</v>
      </c>
      <c r="I40" s="83">
        <v>2363943</v>
      </c>
      <c r="J40" s="83">
        <f>SUM(H40:I40)</f>
        <v>36092758</v>
      </c>
      <c r="K40" s="83">
        <v>3203565</v>
      </c>
    </row>
    <row r="41" spans="1:11">
      <c r="D41" t="s">
        <v>431</v>
      </c>
      <c r="H41" s="77">
        <v>368165568</v>
      </c>
      <c r="I41" s="83">
        <v>472682900</v>
      </c>
      <c r="J41" s="83">
        <f t="shared" ref="J41:J42" si="4">SUM(H41:I41)</f>
        <v>840848468</v>
      </c>
      <c r="K41" s="83">
        <v>16264846</v>
      </c>
    </row>
    <row r="42" spans="1:11">
      <c r="C42" t="s">
        <v>96</v>
      </c>
      <c r="H42" s="79">
        <v>3280148</v>
      </c>
      <c r="I42" s="83"/>
      <c r="J42" s="83">
        <f t="shared" si="4"/>
        <v>3280148</v>
      </c>
      <c r="K42" s="83">
        <v>12820</v>
      </c>
    </row>
    <row r="43" spans="1:11">
      <c r="C43" t="s">
        <v>34</v>
      </c>
      <c r="H43" s="79">
        <v>105952178</v>
      </c>
      <c r="I43" s="83">
        <v>28220360</v>
      </c>
      <c r="J43" s="83">
        <f>SUM(H43:I43)</f>
        <v>134172538</v>
      </c>
      <c r="K43" s="83">
        <v>3791169</v>
      </c>
    </row>
    <row r="44" spans="1:11">
      <c r="H44" s="81"/>
      <c r="I44" s="81"/>
      <c r="J44" s="81"/>
      <c r="K44" s="81"/>
    </row>
    <row r="45" spans="1:11">
      <c r="D45" s="7" t="s">
        <v>36</v>
      </c>
      <c r="E45" s="8"/>
      <c r="F45" s="8"/>
      <c r="G45" s="8"/>
      <c r="H45" s="87">
        <f>SUM(H34:H43)</f>
        <v>523219577</v>
      </c>
      <c r="I45" s="87">
        <f t="shared" ref="I45:J45" si="5">SUM(I34:I43)</f>
        <v>521696965</v>
      </c>
      <c r="J45" s="87">
        <f t="shared" si="5"/>
        <v>1044916542</v>
      </c>
      <c r="K45" s="87">
        <f>SUM(K34:K43)</f>
        <v>27190974</v>
      </c>
    </row>
    <row r="46" spans="1:11">
      <c r="D46" s="5"/>
      <c r="H46" s="100"/>
      <c r="I46" s="100"/>
      <c r="J46" s="100"/>
      <c r="K46" s="100"/>
    </row>
    <row r="47" spans="1:11">
      <c r="A47" s="5" t="s">
        <v>37</v>
      </c>
      <c r="D47" s="5"/>
      <c r="H47" s="100"/>
      <c r="I47" s="100"/>
      <c r="J47" s="100"/>
      <c r="K47" s="100"/>
    </row>
    <row r="48" spans="1:11">
      <c r="A48" t="s">
        <v>169</v>
      </c>
      <c r="D48" s="5"/>
      <c r="H48" s="83"/>
      <c r="I48" s="83"/>
      <c r="J48" s="83"/>
      <c r="K48" s="83">
        <v>1931828</v>
      </c>
    </row>
    <row r="49" spans="1:11">
      <c r="A49" t="s">
        <v>192</v>
      </c>
      <c r="D49" s="5"/>
      <c r="H49" s="83">
        <v>5264024</v>
      </c>
      <c r="I49" s="83">
        <v>1444333</v>
      </c>
      <c r="J49" s="83">
        <f>SUM(H49:I49)</f>
        <v>6708357</v>
      </c>
      <c r="K49" s="83">
        <v>569700</v>
      </c>
    </row>
    <row r="50" spans="1:11">
      <c r="D50" s="5" t="s">
        <v>98</v>
      </c>
      <c r="H50" s="166">
        <f>SUM(H48:H49)</f>
        <v>5264024</v>
      </c>
      <c r="I50" s="166">
        <f t="shared" ref="I50:K50" si="6">SUM(I48:I49)</f>
        <v>1444333</v>
      </c>
      <c r="J50" s="166">
        <f t="shared" si="6"/>
        <v>6708357</v>
      </c>
      <c r="K50" s="166">
        <f t="shared" si="6"/>
        <v>2501528</v>
      </c>
    </row>
    <row r="51" spans="1:11">
      <c r="D51" s="5"/>
      <c r="H51" s="100"/>
      <c r="I51" s="100"/>
      <c r="J51" s="100"/>
      <c r="K51" s="100"/>
    </row>
    <row r="52" spans="1:11">
      <c r="H52" s="83"/>
      <c r="I52" s="83"/>
      <c r="J52" s="83"/>
      <c r="K52" s="83"/>
    </row>
    <row r="53" spans="1:11">
      <c r="A53" s="3" t="s">
        <v>39</v>
      </c>
      <c r="H53" s="83"/>
      <c r="I53" s="83"/>
      <c r="J53" s="83"/>
      <c r="K53" s="83"/>
    </row>
    <row r="54" spans="1:11">
      <c r="B54" t="s">
        <v>40</v>
      </c>
      <c r="H54" s="88">
        <v>323368785</v>
      </c>
      <c r="I54" s="83">
        <v>318155755</v>
      </c>
      <c r="J54" s="83">
        <f t="shared" ref="J54:J56" si="7">SUM(H54:I54)</f>
        <v>641524540</v>
      </c>
      <c r="K54" s="83">
        <v>118304299</v>
      </c>
    </row>
    <row r="55" spans="1:11">
      <c r="B55" t="s">
        <v>41</v>
      </c>
      <c r="H55" s="83"/>
      <c r="I55" s="83"/>
      <c r="J55" s="83">
        <f t="shared" si="7"/>
        <v>0</v>
      </c>
      <c r="K55" s="83"/>
    </row>
    <row r="56" spans="1:11">
      <c r="C56" t="s">
        <v>43</v>
      </c>
      <c r="H56" s="89">
        <v>81566002</v>
      </c>
      <c r="I56" s="83"/>
      <c r="J56" s="83">
        <f t="shared" si="7"/>
        <v>81566002</v>
      </c>
      <c r="K56" s="83">
        <v>4480744</v>
      </c>
    </row>
    <row r="57" spans="1:11">
      <c r="C57" t="s">
        <v>42</v>
      </c>
      <c r="H57" s="89">
        <v>45839088</v>
      </c>
      <c r="I57" s="83">
        <v>143872510</v>
      </c>
      <c r="J57" s="83">
        <f>SUM(H57:I57)</f>
        <v>189711598</v>
      </c>
      <c r="K57" s="83">
        <v>3502224</v>
      </c>
    </row>
    <row r="58" spans="1:11">
      <c r="C58" t="s">
        <v>234</v>
      </c>
      <c r="H58" s="89">
        <v>54623926</v>
      </c>
      <c r="I58" s="83"/>
      <c r="J58" s="83">
        <f>SUM(H58:I58)</f>
        <v>54623926</v>
      </c>
      <c r="K58" s="83">
        <v>589961</v>
      </c>
    </row>
    <row r="59" spans="1:11">
      <c r="B59" t="s">
        <v>432</v>
      </c>
      <c r="H59" s="93">
        <v>-80932983</v>
      </c>
      <c r="I59" s="83">
        <v>57048934</v>
      </c>
      <c r="J59" s="83">
        <f>SUM(H59:I59)</f>
        <v>-23884049</v>
      </c>
      <c r="K59" s="83">
        <v>73577296</v>
      </c>
    </row>
    <row r="60" spans="1:11">
      <c r="H60" s="81"/>
      <c r="I60" s="81"/>
      <c r="J60" s="81"/>
      <c r="K60" s="81"/>
    </row>
    <row r="61" spans="1:11" s="3" customFormat="1">
      <c r="C61" s="9" t="s">
        <v>46</v>
      </c>
      <c r="D61" s="9"/>
      <c r="E61" s="9"/>
      <c r="F61" s="9"/>
      <c r="G61" s="9"/>
      <c r="H61" s="94">
        <f>SUM(H54:H59)</f>
        <v>424464818</v>
      </c>
      <c r="I61" s="94">
        <f>SUM(I54:I59)</f>
        <v>519077199</v>
      </c>
      <c r="J61" s="94">
        <f>SUM(J54:J59)</f>
        <v>943542017</v>
      </c>
      <c r="K61" s="94">
        <f>SUM(K53:K59)</f>
        <v>200454524</v>
      </c>
    </row>
    <row r="62" spans="1:11">
      <c r="H62" s="83"/>
      <c r="I62" s="83"/>
      <c r="J62" s="83"/>
      <c r="K62" s="83"/>
    </row>
    <row r="63" spans="1:11" s="3" customFormat="1">
      <c r="C63" s="10" t="s">
        <v>47</v>
      </c>
      <c r="D63" s="10"/>
      <c r="E63" s="10"/>
      <c r="F63" s="10"/>
      <c r="G63" s="10"/>
      <c r="H63" s="95">
        <f>SUM(H45+H61+H50)</f>
        <v>952948419</v>
      </c>
      <c r="I63" s="95">
        <f t="shared" ref="I63:K63" si="8">SUM(I45+I61+I50)</f>
        <v>1042218497</v>
      </c>
      <c r="J63" s="95">
        <f t="shared" si="8"/>
        <v>1995166916</v>
      </c>
      <c r="K63" s="95">
        <f t="shared" si="8"/>
        <v>230147026</v>
      </c>
    </row>
    <row r="64" spans="1:11">
      <c r="H64" s="83"/>
      <c r="I64" s="83"/>
      <c r="J64" s="83"/>
      <c r="K64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9"/>
  <sheetViews>
    <sheetView zoomScale="70" zoomScaleNormal="70" zoomScalePageLayoutView="70" workbookViewId="0">
      <selection activeCell="P44" sqref="P4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9.85546875" customWidth="1"/>
    <col min="10" max="10" width="17.140625" customWidth="1"/>
    <col min="11" max="11" width="21.42578125" customWidth="1"/>
  </cols>
  <sheetData>
    <row r="1" spans="1:12" ht="18.600000000000001">
      <c r="A1" s="1"/>
      <c r="B1" s="1"/>
      <c r="C1" s="1"/>
      <c r="D1" s="272" t="s">
        <v>433</v>
      </c>
      <c r="E1" s="272"/>
      <c r="F1" s="272"/>
      <c r="G1" s="272"/>
      <c r="H1" s="272"/>
      <c r="I1" s="97"/>
      <c r="J1" s="97"/>
    </row>
    <row r="2" spans="1:12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2" ht="15" customHeight="1">
      <c r="H4" s="277" t="s">
        <v>2</v>
      </c>
      <c r="I4" s="277"/>
      <c r="J4" s="277"/>
      <c r="K4" s="156" t="s">
        <v>4</v>
      </c>
    </row>
    <row r="5" spans="1:12" ht="29.1">
      <c r="H5" s="105" t="s">
        <v>3</v>
      </c>
      <c r="I5" s="105" t="s">
        <v>157</v>
      </c>
      <c r="J5" s="105" t="s">
        <v>74</v>
      </c>
      <c r="K5" s="265" t="s">
        <v>74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49</v>
      </c>
      <c r="H7" s="77">
        <v>17684263</v>
      </c>
      <c r="I7" s="83"/>
      <c r="J7" s="83">
        <f>SUM(H7:I7)</f>
        <v>17684263</v>
      </c>
      <c r="K7" s="83">
        <v>194871525</v>
      </c>
    </row>
    <row r="8" spans="1:12">
      <c r="C8" t="s">
        <v>8</v>
      </c>
      <c r="H8" s="84">
        <v>27443994</v>
      </c>
      <c r="I8" s="83"/>
      <c r="J8" s="83">
        <f>SUM(H8:I8)</f>
        <v>27443994</v>
      </c>
      <c r="K8" s="83">
        <v>21272286</v>
      </c>
    </row>
    <row r="9" spans="1:12">
      <c r="A9" t="s">
        <v>434</v>
      </c>
      <c r="C9" t="s">
        <v>50</v>
      </c>
      <c r="H9" s="78">
        <v>1414026</v>
      </c>
      <c r="I9" s="83">
        <v>15905</v>
      </c>
      <c r="J9" s="83">
        <f>SUM(H9:I9)</f>
        <v>1429931</v>
      </c>
      <c r="K9" s="83">
        <v>42193102</v>
      </c>
    </row>
    <row r="10" spans="1:12">
      <c r="C10" t="s">
        <v>124</v>
      </c>
      <c r="H10" s="90">
        <v>33698714</v>
      </c>
      <c r="I10" s="83"/>
      <c r="J10" s="83">
        <f>SUM(H10:I10)</f>
        <v>33698714</v>
      </c>
      <c r="K10" s="83"/>
    </row>
    <row r="11" spans="1:12">
      <c r="C11" t="s">
        <v>435</v>
      </c>
      <c r="H11" s="79">
        <v>2261412</v>
      </c>
      <c r="I11" s="83"/>
      <c r="J11" s="83">
        <f>SUM(H11:I11)</f>
        <v>2261412</v>
      </c>
      <c r="K11" s="83">
        <v>9542611</v>
      </c>
    </row>
    <row r="12" spans="1:12">
      <c r="C12" t="s">
        <v>14</v>
      </c>
      <c r="H12" s="83"/>
      <c r="I12" s="83"/>
      <c r="J12" s="83"/>
      <c r="K12" s="83">
        <v>1401858</v>
      </c>
    </row>
    <row r="13" spans="1:12">
      <c r="D13" t="s">
        <v>15</v>
      </c>
      <c r="H13" s="80">
        <v>15216799</v>
      </c>
      <c r="I13" s="83"/>
      <c r="J13" s="83">
        <f>SUM(H13:I13)</f>
        <v>15216799</v>
      </c>
      <c r="K13" s="83">
        <v>29927075</v>
      </c>
    </row>
    <row r="14" spans="1:12">
      <c r="D14" t="s">
        <v>436</v>
      </c>
      <c r="H14" s="80">
        <v>86570530</v>
      </c>
      <c r="I14" s="83">
        <v>2477397</v>
      </c>
      <c r="J14" s="83">
        <f>SUM(H14:I14)</f>
        <v>89047927</v>
      </c>
      <c r="K14" s="83">
        <v>251936313</v>
      </c>
    </row>
    <row r="15" spans="1:12">
      <c r="H15" s="81"/>
      <c r="I15" s="81"/>
      <c r="J15" s="81"/>
      <c r="K15" s="81"/>
    </row>
    <row r="16" spans="1:12" s="5" customFormat="1">
      <c r="C16" s="6" t="s">
        <v>17</v>
      </c>
      <c r="D16" s="6"/>
      <c r="E16" s="6"/>
      <c r="F16" s="6"/>
      <c r="G16" s="6"/>
      <c r="H16" s="82">
        <f>SUM(H7:H14)</f>
        <v>184289738</v>
      </c>
      <c r="I16" s="82">
        <f>SUM(I7:I14)</f>
        <v>2493302</v>
      </c>
      <c r="J16" s="82">
        <f>SUM(J7:J14)</f>
        <v>186783040</v>
      </c>
      <c r="K16" s="82">
        <f>SUM(K7:K14)</f>
        <v>551144770</v>
      </c>
    </row>
    <row r="17" spans="1:11">
      <c r="H17" s="83"/>
      <c r="I17" s="83"/>
      <c r="J17" s="83"/>
      <c r="K17" s="83"/>
    </row>
    <row r="18" spans="1:11" s="5" customFormat="1">
      <c r="B18" s="5" t="s">
        <v>311</v>
      </c>
      <c r="H18" s="100"/>
      <c r="I18" s="100"/>
      <c r="J18" s="100"/>
      <c r="K18" s="100"/>
    </row>
    <row r="19" spans="1:11">
      <c r="C19" t="s">
        <v>437</v>
      </c>
      <c r="H19" s="83">
        <v>918193</v>
      </c>
      <c r="I19" s="83"/>
      <c r="J19" s="83">
        <f t="shared" ref="J19:J20" si="0">SUM(H19:I19)</f>
        <v>918193</v>
      </c>
      <c r="K19" s="83"/>
    </row>
    <row r="20" spans="1:11">
      <c r="C20" t="s">
        <v>438</v>
      </c>
      <c r="H20" s="83">
        <v>5797</v>
      </c>
      <c r="I20" s="83"/>
      <c r="J20" s="83">
        <f t="shared" si="0"/>
        <v>5797</v>
      </c>
      <c r="K20" s="83">
        <v>905123</v>
      </c>
    </row>
    <row r="21" spans="1:11">
      <c r="C21" t="s">
        <v>439</v>
      </c>
      <c r="H21" s="83">
        <v>15475</v>
      </c>
      <c r="I21" s="83"/>
      <c r="J21" s="83">
        <f>SUM(H21:I21)</f>
        <v>15475</v>
      </c>
      <c r="K21" s="83"/>
    </row>
    <row r="22" spans="1:11">
      <c r="H22" s="81"/>
      <c r="I22" s="81"/>
      <c r="J22" s="81"/>
      <c r="K22" s="81"/>
    </row>
    <row r="23" spans="1:11" s="5" customFormat="1">
      <c r="C23" s="102" t="s">
        <v>305</v>
      </c>
      <c r="D23" s="102"/>
      <c r="E23" s="102"/>
      <c r="F23" s="102"/>
      <c r="G23" s="102"/>
      <c r="H23" s="103">
        <f>SUM(H19:H21)</f>
        <v>939465</v>
      </c>
      <c r="I23" s="103">
        <f t="shared" ref="I23:K23" si="1">SUM(I19:I21)</f>
        <v>0</v>
      </c>
      <c r="J23" s="103">
        <f t="shared" si="1"/>
        <v>939465</v>
      </c>
      <c r="K23" s="103">
        <f t="shared" si="1"/>
        <v>905123</v>
      </c>
    </row>
    <row r="24" spans="1:11">
      <c r="H24" s="83"/>
      <c r="I24" s="83"/>
      <c r="J24" s="83"/>
      <c r="K24" s="83"/>
    </row>
    <row r="25" spans="1:11">
      <c r="A25" s="5" t="s">
        <v>22</v>
      </c>
      <c r="H25" s="83"/>
      <c r="I25" s="83"/>
      <c r="J25" s="83"/>
      <c r="K25" s="83"/>
    </row>
    <row r="26" spans="1:11">
      <c r="A26" s="5"/>
      <c r="C26" t="s">
        <v>164</v>
      </c>
      <c r="H26" s="84">
        <v>6254898</v>
      </c>
      <c r="I26" s="83">
        <v>14914</v>
      </c>
      <c r="J26" s="83">
        <f t="shared" ref="J26:J32" si="2">SUM(H26:I26)</f>
        <v>6269812</v>
      </c>
      <c r="K26" s="83">
        <v>21813201</v>
      </c>
    </row>
    <row r="27" spans="1:11">
      <c r="C27" t="s">
        <v>440</v>
      </c>
      <c r="H27" s="79">
        <v>639621</v>
      </c>
      <c r="I27" s="83"/>
      <c r="J27" s="83">
        <f t="shared" si="2"/>
        <v>639621</v>
      </c>
      <c r="K27" s="83">
        <v>2460428</v>
      </c>
    </row>
    <row r="28" spans="1:11">
      <c r="C28" t="s">
        <v>27</v>
      </c>
      <c r="H28" s="84">
        <v>938561</v>
      </c>
      <c r="I28" s="83"/>
      <c r="J28" s="83">
        <f>SUM(H28:I28)</f>
        <v>938561</v>
      </c>
      <c r="K28" s="83"/>
    </row>
    <row r="29" spans="1:11">
      <c r="C29" t="s">
        <v>130</v>
      </c>
      <c r="H29" s="96">
        <v>1027057</v>
      </c>
      <c r="I29" s="83">
        <v>231793</v>
      </c>
      <c r="J29" s="83">
        <f t="shared" si="2"/>
        <v>1258850</v>
      </c>
      <c r="K29" s="83"/>
    </row>
    <row r="30" spans="1:11">
      <c r="C30" t="s">
        <v>441</v>
      </c>
      <c r="H30" s="83"/>
      <c r="I30" s="83"/>
      <c r="J30" s="83">
        <f t="shared" si="2"/>
        <v>0</v>
      </c>
      <c r="K30" s="83"/>
    </row>
    <row r="31" spans="1:11">
      <c r="D31" t="s">
        <v>92</v>
      </c>
      <c r="H31" s="92">
        <v>3981003</v>
      </c>
      <c r="I31" s="83"/>
      <c r="J31" s="83">
        <f t="shared" si="2"/>
        <v>3981003</v>
      </c>
      <c r="K31" s="83">
        <v>3040602</v>
      </c>
    </row>
    <row r="32" spans="1:11">
      <c r="D32" t="s">
        <v>93</v>
      </c>
      <c r="H32" s="77">
        <v>42264212</v>
      </c>
      <c r="I32" s="83"/>
      <c r="J32" s="83">
        <f t="shared" si="2"/>
        <v>42264212</v>
      </c>
      <c r="K32" s="83">
        <v>24361165</v>
      </c>
    </row>
    <row r="33" spans="1:11">
      <c r="H33" s="81"/>
      <c r="I33" s="81"/>
      <c r="J33" s="81"/>
      <c r="K33" s="81"/>
    </row>
    <row r="34" spans="1:11">
      <c r="D34" s="7" t="s">
        <v>36</v>
      </c>
      <c r="E34" s="8"/>
      <c r="F34" s="8"/>
      <c r="G34" s="8"/>
      <c r="H34" s="87">
        <f>SUM(H26:H32)</f>
        <v>55105352</v>
      </c>
      <c r="I34" s="87">
        <f>SUM(I26:I32)</f>
        <v>246707</v>
      </c>
      <c r="J34" s="87">
        <f>SUM(J26:J32)</f>
        <v>55352059</v>
      </c>
      <c r="K34" s="87">
        <f>SUM(K26:K32)</f>
        <v>51675396</v>
      </c>
    </row>
    <row r="35" spans="1:11">
      <c r="D35" s="5"/>
      <c r="H35" s="100"/>
      <c r="I35" s="100"/>
      <c r="J35" s="100"/>
      <c r="K35" s="100"/>
    </row>
    <row r="36" spans="1:11" s="5" customFormat="1">
      <c r="B36" s="5" t="s">
        <v>311</v>
      </c>
      <c r="H36" s="100"/>
      <c r="I36" s="100"/>
      <c r="J36" s="100"/>
      <c r="K36" s="100"/>
    </row>
    <row r="37" spans="1:11">
      <c r="C37" t="s">
        <v>442</v>
      </c>
      <c r="H37" s="122">
        <v>17130</v>
      </c>
      <c r="I37" s="122"/>
      <c r="J37" s="122">
        <f>SUM(H37:I37)</f>
        <v>17130</v>
      </c>
      <c r="K37" s="122">
        <v>3734963</v>
      </c>
    </row>
    <row r="38" spans="1:11">
      <c r="H38" s="83"/>
      <c r="I38" s="83"/>
      <c r="J38" s="83"/>
      <c r="K38" s="83"/>
    </row>
    <row r="39" spans="1:11">
      <c r="A39" s="3" t="s">
        <v>39</v>
      </c>
      <c r="H39" s="83"/>
      <c r="I39" s="83"/>
      <c r="J39" s="83"/>
      <c r="K39" s="83"/>
    </row>
    <row r="40" spans="1:11">
      <c r="B40" t="s">
        <v>443</v>
      </c>
      <c r="H40" s="88">
        <v>65174839</v>
      </c>
      <c r="I40" s="83">
        <v>2477397</v>
      </c>
      <c r="J40" s="83">
        <f>SUM(H40:I40)</f>
        <v>67652236</v>
      </c>
      <c r="K40" s="83">
        <v>258318924</v>
      </c>
    </row>
    <row r="41" spans="1:11">
      <c r="B41" t="s">
        <v>41</v>
      </c>
      <c r="H41" s="83"/>
      <c r="I41" s="83"/>
      <c r="J41" s="83"/>
      <c r="K41" s="83"/>
    </row>
    <row r="42" spans="1:11">
      <c r="C42" t="s">
        <v>43</v>
      </c>
      <c r="H42" s="89">
        <v>19568786</v>
      </c>
      <c r="I42" s="83"/>
      <c r="J42" s="83">
        <f>SUM(H42:I42)</f>
        <v>19568786</v>
      </c>
      <c r="K42" s="83">
        <v>1079044</v>
      </c>
    </row>
    <row r="43" spans="1:11">
      <c r="C43" t="s">
        <v>42</v>
      </c>
      <c r="H43" s="89">
        <v>5955009</v>
      </c>
      <c r="I43" s="83"/>
      <c r="J43" s="83">
        <f>SUM(H43:I43)</f>
        <v>5955009</v>
      </c>
      <c r="K43" s="83">
        <v>3708544</v>
      </c>
    </row>
    <row r="44" spans="1:11">
      <c r="B44" t="s">
        <v>432</v>
      </c>
      <c r="H44" s="93">
        <v>39408087</v>
      </c>
      <c r="I44" s="83">
        <v>-230802</v>
      </c>
      <c r="J44" s="83">
        <f>SUM(H44:I44)</f>
        <v>39177285</v>
      </c>
      <c r="K44" s="83">
        <v>233541202</v>
      </c>
    </row>
    <row r="45" spans="1:11">
      <c r="H45" s="81"/>
      <c r="I45" s="81"/>
      <c r="J45" s="81"/>
      <c r="K45" s="81"/>
    </row>
    <row r="46" spans="1:11" s="3" customFormat="1">
      <c r="C46" s="9" t="s">
        <v>46</v>
      </c>
      <c r="D46" s="9"/>
      <c r="E46" s="9"/>
      <c r="F46" s="9"/>
      <c r="G46" s="9"/>
      <c r="H46" s="94">
        <f>SUM(H40:H44)</f>
        <v>130106721</v>
      </c>
      <c r="I46" s="94">
        <f>SUM(I40:I44)</f>
        <v>2246595</v>
      </c>
      <c r="J46" s="94">
        <f>SUM(J40:J44)</f>
        <v>132353316</v>
      </c>
      <c r="K46" s="94">
        <f>SUM(K39:K44)</f>
        <v>496647714</v>
      </c>
    </row>
    <row r="47" spans="1:11">
      <c r="H47" s="83"/>
      <c r="I47" s="83"/>
      <c r="J47" s="83"/>
      <c r="K47" s="83"/>
    </row>
    <row r="48" spans="1:11" s="3" customFormat="1">
      <c r="C48" s="10" t="s">
        <v>47</v>
      </c>
      <c r="D48" s="10"/>
      <c r="E48" s="10"/>
      <c r="F48" s="10"/>
      <c r="G48" s="10"/>
      <c r="H48" s="95">
        <f>SUM(H46+H34+H37)</f>
        <v>185229203</v>
      </c>
      <c r="I48" s="95">
        <f t="shared" ref="I48:K48" si="3">SUM(I46+I34+I37)</f>
        <v>2493302</v>
      </c>
      <c r="J48" s="95">
        <f t="shared" si="3"/>
        <v>187722505</v>
      </c>
      <c r="K48" s="95">
        <f t="shared" si="3"/>
        <v>552058073</v>
      </c>
    </row>
    <row r="49" spans="8:11">
      <c r="H49" s="83"/>
      <c r="I49" s="83"/>
      <c r="J49" s="83"/>
      <c r="K49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0"/>
  <sheetViews>
    <sheetView workbookViewId="0">
      <selection activeCell="K10" sqref="K10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444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2710652</v>
      </c>
    </row>
    <row r="7" spans="1:7">
      <c r="B7" t="s">
        <v>50</v>
      </c>
      <c r="G7" s="78">
        <v>3081390</v>
      </c>
    </row>
    <row r="8" spans="1:7">
      <c r="B8" t="s">
        <v>445</v>
      </c>
      <c r="G8" s="79">
        <v>9851</v>
      </c>
    </row>
    <row r="9" spans="1:7">
      <c r="B9" t="s">
        <v>319</v>
      </c>
      <c r="G9" s="91">
        <v>8452909</v>
      </c>
    </row>
    <row r="10" spans="1:7">
      <c r="G10" s="83"/>
    </row>
    <row r="11" spans="1:7">
      <c r="A11" s="5"/>
      <c r="B11" s="6" t="s">
        <v>17</v>
      </c>
      <c r="C11" s="6"/>
      <c r="D11" s="6"/>
      <c r="E11" s="6"/>
      <c r="F11" s="6"/>
      <c r="G11" s="82">
        <f>SUM(G6:G9)</f>
        <v>14254802</v>
      </c>
    </row>
    <row r="12" spans="1:7">
      <c r="A12" s="5"/>
      <c r="B12" s="5"/>
      <c r="C12" s="5"/>
      <c r="D12" s="5"/>
      <c r="E12" s="5"/>
      <c r="F12" s="5"/>
      <c r="G12" s="100"/>
    </row>
    <row r="13" spans="1:7">
      <c r="A13" s="5" t="s">
        <v>446</v>
      </c>
      <c r="B13" s="5"/>
      <c r="C13" s="5"/>
      <c r="D13" s="5"/>
      <c r="E13" s="5"/>
      <c r="F13" s="5"/>
      <c r="G13" s="100"/>
    </row>
    <row r="14" spans="1:7">
      <c r="B14" t="s">
        <v>20</v>
      </c>
      <c r="G14" s="83">
        <v>121997</v>
      </c>
    </row>
    <row r="15" spans="1:7" s="5" customFormat="1">
      <c r="G15" s="198">
        <f>G14</f>
        <v>121997</v>
      </c>
    </row>
    <row r="16" spans="1:7">
      <c r="B16" s="5" t="s">
        <v>447</v>
      </c>
      <c r="G16" s="100">
        <f>G15+G11</f>
        <v>14376799</v>
      </c>
    </row>
    <row r="17" spans="1:7">
      <c r="B17" s="5"/>
      <c r="G17" s="83"/>
    </row>
    <row r="18" spans="1:7">
      <c r="A18" s="5" t="s">
        <v>22</v>
      </c>
      <c r="G18" s="83"/>
    </row>
    <row r="19" spans="1:7">
      <c r="A19" s="5"/>
      <c r="B19" t="s">
        <v>216</v>
      </c>
      <c r="G19" s="79">
        <v>166079</v>
      </c>
    </row>
    <row r="20" spans="1:7">
      <c r="A20" s="5"/>
      <c r="B20" t="s">
        <v>23</v>
      </c>
      <c r="G20" s="84">
        <v>434518</v>
      </c>
    </row>
    <row r="21" spans="1:7">
      <c r="A21" s="5"/>
      <c r="B21" t="s">
        <v>448</v>
      </c>
      <c r="G21" s="84">
        <v>39912</v>
      </c>
    </row>
    <row r="22" spans="1:7">
      <c r="A22" s="5"/>
      <c r="B22" t="s">
        <v>34</v>
      </c>
      <c r="G22" s="84">
        <v>151069</v>
      </c>
    </row>
    <row r="23" spans="1:7">
      <c r="A23" s="5"/>
      <c r="B23" t="s">
        <v>449</v>
      </c>
      <c r="G23" s="79">
        <v>107621</v>
      </c>
    </row>
    <row r="24" spans="1:7">
      <c r="A24" s="5"/>
      <c r="B24" t="s">
        <v>450</v>
      </c>
      <c r="G24" s="83"/>
    </row>
    <row r="25" spans="1:7">
      <c r="A25" s="5"/>
      <c r="C25" t="s">
        <v>92</v>
      </c>
      <c r="G25" s="92">
        <v>231322</v>
      </c>
    </row>
    <row r="26" spans="1:7">
      <c r="C26" t="s">
        <v>93</v>
      </c>
      <c r="G26" s="77">
        <v>69377</v>
      </c>
    </row>
    <row r="27" spans="1:7">
      <c r="G27" s="81"/>
    </row>
    <row r="28" spans="1:7">
      <c r="C28" s="7" t="s">
        <v>36</v>
      </c>
      <c r="D28" s="8"/>
      <c r="E28" s="8"/>
      <c r="F28" s="8"/>
      <c r="G28" s="87">
        <f>SUM(G19:G26)</f>
        <v>1199898</v>
      </c>
    </row>
    <row r="29" spans="1:7">
      <c r="C29" s="5"/>
      <c r="G29" s="100"/>
    </row>
    <row r="30" spans="1:7">
      <c r="A30" s="5" t="s">
        <v>451</v>
      </c>
      <c r="B30" s="5"/>
      <c r="C30" s="5"/>
      <c r="D30" s="5"/>
      <c r="E30" s="5"/>
      <c r="F30" s="5"/>
      <c r="G30" s="100"/>
    </row>
    <row r="31" spans="1:7">
      <c r="B31" t="s">
        <v>20</v>
      </c>
      <c r="G31" s="122">
        <v>34818</v>
      </c>
    </row>
    <row r="32" spans="1:7">
      <c r="G32" s="83"/>
    </row>
    <row r="33" spans="1:7">
      <c r="A33" s="3" t="s">
        <v>39</v>
      </c>
      <c r="G33" s="83"/>
    </row>
    <row r="34" spans="1:7">
      <c r="B34" t="s">
        <v>119</v>
      </c>
      <c r="G34" s="88">
        <v>8152210</v>
      </c>
    </row>
    <row r="35" spans="1:7">
      <c r="B35" t="s">
        <v>45</v>
      </c>
      <c r="G35" s="93">
        <v>4989473</v>
      </c>
    </row>
    <row r="36" spans="1:7">
      <c r="G36" s="81"/>
    </row>
    <row r="37" spans="1:7">
      <c r="A37" s="3"/>
      <c r="B37" s="9" t="s">
        <v>46</v>
      </c>
      <c r="C37" s="9"/>
      <c r="D37" s="9"/>
      <c r="E37" s="9"/>
      <c r="F37" s="9"/>
      <c r="G37" s="94">
        <f>SUM(G34:G35)</f>
        <v>13141683</v>
      </c>
    </row>
    <row r="38" spans="1:7">
      <c r="G38" s="83"/>
    </row>
    <row r="39" spans="1:7">
      <c r="A39" s="3"/>
      <c r="B39" s="10" t="s">
        <v>47</v>
      </c>
      <c r="C39" s="10"/>
      <c r="D39" s="10"/>
      <c r="E39" s="10"/>
      <c r="F39" s="10"/>
      <c r="G39" s="95">
        <f>SUM(G28+G37+G31)</f>
        <v>14376399</v>
      </c>
    </row>
    <row r="40" spans="1:7">
      <c r="G40" s="83"/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1"/>
  <sheetViews>
    <sheetView workbookViewId="0">
      <selection activeCell="F29" sqref="F29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452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12183072</v>
      </c>
    </row>
    <row r="7" spans="1:7">
      <c r="B7" t="s">
        <v>8</v>
      </c>
      <c r="G7" s="84">
        <v>22135974</v>
      </c>
    </row>
    <row r="8" spans="1:7">
      <c r="B8" t="s">
        <v>50</v>
      </c>
      <c r="G8" s="78">
        <v>8644696</v>
      </c>
    </row>
    <row r="9" spans="1:7">
      <c r="B9" t="s">
        <v>51</v>
      </c>
      <c r="G9" s="90">
        <v>333786</v>
      </c>
    </row>
    <row r="10" spans="1:7">
      <c r="B10" t="s">
        <v>52</v>
      </c>
      <c r="G10" s="79">
        <v>11582</v>
      </c>
    </row>
    <row r="11" spans="1:7">
      <c r="B11" t="s">
        <v>453</v>
      </c>
      <c r="G11" s="80">
        <v>22658045</v>
      </c>
    </row>
    <row r="12" spans="1:7">
      <c r="G12" s="83"/>
    </row>
    <row r="13" spans="1:7">
      <c r="A13" s="5"/>
      <c r="B13" s="6" t="s">
        <v>17</v>
      </c>
      <c r="C13" s="6"/>
      <c r="D13" s="6"/>
      <c r="E13" s="6"/>
      <c r="F13" s="6"/>
      <c r="G13" s="82">
        <f>SUM(G6:G11)</f>
        <v>65967155</v>
      </c>
    </row>
    <row r="14" spans="1:7">
      <c r="G14" s="83"/>
    </row>
    <row r="15" spans="1:7">
      <c r="A15" s="5" t="s">
        <v>18</v>
      </c>
      <c r="G15" s="83"/>
    </row>
    <row r="16" spans="1:7">
      <c r="B16" t="s">
        <v>20</v>
      </c>
      <c r="G16" s="122">
        <v>333795</v>
      </c>
    </row>
    <row r="17" spans="1:7">
      <c r="G17" s="83"/>
    </row>
    <row r="18" spans="1:7">
      <c r="A18" s="5" t="s">
        <v>22</v>
      </c>
      <c r="G18" s="83"/>
    </row>
    <row r="19" spans="1:7">
      <c r="A19" s="5"/>
      <c r="B19" t="s">
        <v>23</v>
      </c>
      <c r="G19" s="84">
        <v>1687700</v>
      </c>
    </row>
    <row r="20" spans="1:7">
      <c r="A20" s="5"/>
      <c r="B20" t="s">
        <v>454</v>
      </c>
      <c r="G20" s="84">
        <v>134316</v>
      </c>
    </row>
    <row r="21" spans="1:7">
      <c r="A21" s="5"/>
      <c r="B21" t="s">
        <v>217</v>
      </c>
      <c r="G21" s="79">
        <v>803497</v>
      </c>
    </row>
    <row r="22" spans="1:7">
      <c r="A22" s="5"/>
      <c r="B22" t="s">
        <v>455</v>
      </c>
      <c r="G22" s="85">
        <v>128050</v>
      </c>
    </row>
    <row r="23" spans="1:7">
      <c r="A23" s="5"/>
      <c r="B23" t="s">
        <v>456</v>
      </c>
      <c r="G23" s="85">
        <v>508000</v>
      </c>
    </row>
    <row r="24" spans="1:7">
      <c r="A24" s="5"/>
      <c r="B24" t="s">
        <v>457</v>
      </c>
      <c r="G24" s="236">
        <v>2481000</v>
      </c>
    </row>
    <row r="25" spans="1:7">
      <c r="B25" t="s">
        <v>155</v>
      </c>
      <c r="G25" s="86">
        <v>1738938</v>
      </c>
    </row>
    <row r="26" spans="1:7">
      <c r="B26" t="s">
        <v>34</v>
      </c>
      <c r="G26" s="78">
        <v>161049</v>
      </c>
    </row>
    <row r="27" spans="1:7">
      <c r="G27" s="81"/>
    </row>
    <row r="28" spans="1:7">
      <c r="C28" s="7" t="s">
        <v>36</v>
      </c>
      <c r="D28" s="8"/>
      <c r="E28" s="8"/>
      <c r="F28" s="8"/>
      <c r="G28" s="87">
        <f>SUM(G19:G26)</f>
        <v>7642550</v>
      </c>
    </row>
    <row r="29" spans="1:7">
      <c r="C29" s="5"/>
      <c r="G29" s="100"/>
    </row>
    <row r="30" spans="1:7">
      <c r="A30" s="5" t="s">
        <v>37</v>
      </c>
      <c r="G30" s="83"/>
    </row>
    <row r="31" spans="1:7">
      <c r="B31" t="s">
        <v>20</v>
      </c>
      <c r="G31" s="122">
        <v>72700</v>
      </c>
    </row>
    <row r="32" spans="1:7">
      <c r="G32" s="83"/>
    </row>
    <row r="33" spans="1:7">
      <c r="A33" s="3" t="s">
        <v>39</v>
      </c>
      <c r="G33" s="83"/>
    </row>
    <row r="34" spans="1:7">
      <c r="B34" t="s">
        <v>40</v>
      </c>
      <c r="G34" s="88">
        <v>19669045</v>
      </c>
    </row>
    <row r="35" spans="1:7">
      <c r="B35" t="s">
        <v>229</v>
      </c>
      <c r="G35" s="89">
        <v>3648216</v>
      </c>
    </row>
    <row r="36" spans="1:7">
      <c r="B36" t="s">
        <v>230</v>
      </c>
      <c r="G36" s="93">
        <v>35268439</v>
      </c>
    </row>
    <row r="37" spans="1:7">
      <c r="G37" s="81"/>
    </row>
    <row r="38" spans="1:7">
      <c r="A38" s="3"/>
      <c r="B38" s="9" t="s">
        <v>46</v>
      </c>
      <c r="C38" s="9"/>
      <c r="D38" s="9"/>
      <c r="E38" s="9"/>
      <c r="F38" s="9"/>
      <c r="G38" s="94">
        <f>SUM(G34:G36)</f>
        <v>58585700</v>
      </c>
    </row>
    <row r="39" spans="1:7">
      <c r="G39" s="83"/>
    </row>
    <row r="40" spans="1:7">
      <c r="A40" s="3"/>
      <c r="B40" s="10" t="s">
        <v>47</v>
      </c>
      <c r="C40" s="10"/>
      <c r="D40" s="10"/>
      <c r="E40" s="10"/>
      <c r="F40" s="10"/>
      <c r="G40" s="95">
        <f>SUM(G28+G38+G31)</f>
        <v>66300950</v>
      </c>
    </row>
    <row r="41" spans="1:7">
      <c r="G41" s="83"/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56"/>
  <sheetViews>
    <sheetView zoomScale="70" zoomScaleNormal="70" zoomScalePageLayoutView="70" workbookViewId="0">
      <selection activeCell="H9" sqref="H9:K9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710937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72" t="s">
        <v>458</v>
      </c>
      <c r="E1" s="272"/>
      <c r="F1" s="272"/>
      <c r="G1" s="272"/>
      <c r="H1" s="272"/>
      <c r="I1" s="97"/>
    </row>
    <row r="2" spans="1:11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</row>
    <row r="4" spans="1:11" ht="31.5" customHeight="1">
      <c r="H4" s="105" t="s">
        <v>3</v>
      </c>
      <c r="I4" s="105" t="s">
        <v>157</v>
      </c>
      <c r="J4" s="106" t="s">
        <v>74</v>
      </c>
      <c r="K4" s="5"/>
    </row>
    <row r="5" spans="1:11">
      <c r="A5" s="3" t="s">
        <v>5</v>
      </c>
      <c r="D5" s="3"/>
      <c r="G5" s="4"/>
      <c r="H5" s="4"/>
      <c r="I5" s="4"/>
    </row>
    <row r="6" spans="1:11">
      <c r="C6" t="s">
        <v>7</v>
      </c>
      <c r="H6" s="77">
        <v>10951230</v>
      </c>
      <c r="I6" s="83">
        <v>424438</v>
      </c>
      <c r="J6" s="83">
        <f t="shared" ref="J6:J16" si="0">SUM(H6:I6)</f>
        <v>11375668</v>
      </c>
    </row>
    <row r="7" spans="1:11">
      <c r="C7" t="s">
        <v>8</v>
      </c>
      <c r="H7" s="84">
        <v>3410079</v>
      </c>
      <c r="I7" s="83"/>
      <c r="J7" s="83">
        <f>SUM(H7:I7)</f>
        <v>3410079</v>
      </c>
    </row>
    <row r="8" spans="1:11">
      <c r="C8" t="s">
        <v>459</v>
      </c>
      <c r="H8" s="78">
        <v>1015336</v>
      </c>
      <c r="I8" s="83">
        <v>12935</v>
      </c>
      <c r="J8" s="83">
        <f t="shared" si="0"/>
        <v>1028271</v>
      </c>
    </row>
    <row r="9" spans="1:11">
      <c r="C9" t="s">
        <v>52</v>
      </c>
      <c r="H9" s="79">
        <v>231759</v>
      </c>
      <c r="I9" s="83"/>
      <c r="J9" s="83">
        <f>SUM(H9:I9)</f>
        <v>231759</v>
      </c>
    </row>
    <row r="10" spans="1:11">
      <c r="C10" t="s">
        <v>76</v>
      </c>
      <c r="H10" s="79">
        <v>22383</v>
      </c>
      <c r="I10" s="83">
        <v>-22383</v>
      </c>
      <c r="J10" s="83">
        <f t="shared" si="0"/>
        <v>0</v>
      </c>
    </row>
    <row r="11" spans="1:11">
      <c r="C11" t="s">
        <v>51</v>
      </c>
      <c r="H11" s="90">
        <v>12808896</v>
      </c>
      <c r="I11" s="83">
        <v>2231</v>
      </c>
      <c r="J11" s="83">
        <f t="shared" si="0"/>
        <v>12811127</v>
      </c>
    </row>
    <row r="12" spans="1:11">
      <c r="C12" t="s">
        <v>460</v>
      </c>
      <c r="H12" s="90">
        <v>116846</v>
      </c>
      <c r="I12" s="83"/>
      <c r="J12" s="83">
        <f>SUM(H12:I12)</f>
        <v>116846</v>
      </c>
    </row>
    <row r="13" spans="1:11">
      <c r="C13" t="s">
        <v>461</v>
      </c>
      <c r="H13" s="79">
        <v>313827</v>
      </c>
      <c r="I13" s="83"/>
      <c r="J13" s="83">
        <f>SUM(H13:I13)</f>
        <v>313827</v>
      </c>
    </row>
    <row r="14" spans="1:11">
      <c r="C14" t="s">
        <v>125</v>
      </c>
      <c r="H14" s="79">
        <v>329158</v>
      </c>
      <c r="I14" s="83">
        <v>670</v>
      </c>
      <c r="J14" s="83">
        <f>SUM(H14:I14)</f>
        <v>329828</v>
      </c>
    </row>
    <row r="15" spans="1:11">
      <c r="C15" t="s">
        <v>78</v>
      </c>
      <c r="H15" s="83"/>
      <c r="I15" s="83"/>
      <c r="J15" s="83"/>
    </row>
    <row r="16" spans="1:11">
      <c r="D16" t="s">
        <v>232</v>
      </c>
      <c r="H16" s="77">
        <v>6811053</v>
      </c>
      <c r="I16" s="83">
        <v>106017</v>
      </c>
      <c r="J16" s="83">
        <f t="shared" si="0"/>
        <v>6917070</v>
      </c>
    </row>
    <row r="17" spans="1:10">
      <c r="C17" t="s">
        <v>462</v>
      </c>
      <c r="H17" s="83"/>
      <c r="I17" s="83"/>
      <c r="J17" s="83"/>
    </row>
    <row r="18" spans="1:10">
      <c r="D18" t="s">
        <v>15</v>
      </c>
      <c r="H18" s="80">
        <v>10491236</v>
      </c>
      <c r="I18" s="83">
        <v>13243</v>
      </c>
      <c r="J18" s="83">
        <f>SUM(H18:I18)</f>
        <v>10504479</v>
      </c>
    </row>
    <row r="19" spans="1:10">
      <c r="D19" t="s">
        <v>463</v>
      </c>
      <c r="H19" s="91">
        <v>124998336</v>
      </c>
      <c r="I19" s="83">
        <v>7037753</v>
      </c>
      <c r="J19" s="83">
        <f>SUM(H19:I19)</f>
        <v>132036089</v>
      </c>
    </row>
    <row r="20" spans="1:10">
      <c r="H20" s="83"/>
      <c r="I20" s="81"/>
      <c r="J20" s="81"/>
    </row>
    <row r="21" spans="1:10" s="5" customFormat="1">
      <c r="C21" s="6" t="s">
        <v>17</v>
      </c>
      <c r="D21" s="6"/>
      <c r="E21" s="6"/>
      <c r="F21" s="6"/>
      <c r="G21" s="6"/>
      <c r="H21" s="82">
        <f>SUM(H6:H19)</f>
        <v>171500139</v>
      </c>
      <c r="I21" s="82">
        <f>SUM(I6:I19)</f>
        <v>7574904</v>
      </c>
      <c r="J21" s="82">
        <f>SUM(J6:J19)</f>
        <v>179075043</v>
      </c>
    </row>
    <row r="22" spans="1:10">
      <c r="H22" s="83"/>
      <c r="I22" s="83"/>
      <c r="J22" s="83"/>
    </row>
    <row r="23" spans="1:10">
      <c r="B23" s="5" t="s">
        <v>80</v>
      </c>
      <c r="H23" s="83"/>
      <c r="I23" s="83"/>
      <c r="J23" s="83"/>
    </row>
    <row r="24" spans="1:10">
      <c r="C24" t="s">
        <v>464</v>
      </c>
      <c r="H24" s="83">
        <v>4129145</v>
      </c>
      <c r="I24" s="83"/>
      <c r="J24" s="83">
        <f>SUM(H24:I24)</f>
        <v>4129145</v>
      </c>
    </row>
    <row r="25" spans="1:10">
      <c r="C25" t="s">
        <v>465</v>
      </c>
      <c r="H25" s="83">
        <v>734791</v>
      </c>
      <c r="I25" s="83"/>
      <c r="J25" s="83">
        <f>SUM(H25:I25)</f>
        <v>734791</v>
      </c>
    </row>
    <row r="26" spans="1:10">
      <c r="H26" s="81"/>
      <c r="I26" s="81"/>
      <c r="J26" s="81"/>
    </row>
    <row r="27" spans="1:10">
      <c r="E27" s="147" t="s">
        <v>305</v>
      </c>
      <c r="F27" s="147"/>
      <c r="G27" s="147"/>
      <c r="H27" s="148">
        <f>SUM(H24:H25)</f>
        <v>4863936</v>
      </c>
      <c r="I27" s="148">
        <f t="shared" ref="I27:J27" si="1">SUM(I24:I25)</f>
        <v>0</v>
      </c>
      <c r="J27" s="148">
        <f t="shared" si="1"/>
        <v>4863936</v>
      </c>
    </row>
    <row r="28" spans="1:10">
      <c r="H28" s="83"/>
      <c r="I28" s="83"/>
      <c r="J28" s="83"/>
    </row>
    <row r="29" spans="1:10">
      <c r="A29" s="5" t="s">
        <v>22</v>
      </c>
      <c r="H29" s="83"/>
      <c r="I29" s="83"/>
      <c r="J29" s="83"/>
    </row>
    <row r="30" spans="1:10">
      <c r="C30" t="s">
        <v>164</v>
      </c>
      <c r="H30" s="84">
        <v>2796656</v>
      </c>
      <c r="I30" s="83">
        <v>28848</v>
      </c>
      <c r="J30" s="83">
        <f>SUM(H30:I30)</f>
        <v>2825504</v>
      </c>
    </row>
    <row r="31" spans="1:10">
      <c r="C31" t="s">
        <v>87</v>
      </c>
      <c r="H31" s="114">
        <v>1110280</v>
      </c>
      <c r="I31" s="83"/>
      <c r="J31" s="83">
        <f>SUM(H31:I31)</f>
        <v>1110280</v>
      </c>
    </row>
    <row r="32" spans="1:10">
      <c r="C32" t="s">
        <v>466</v>
      </c>
      <c r="H32" s="114">
        <v>142562</v>
      </c>
      <c r="I32" s="83"/>
      <c r="J32" s="83">
        <f>SUM(H32:I32)</f>
        <v>142562</v>
      </c>
    </row>
    <row r="33" spans="1:10">
      <c r="C33" t="s">
        <v>331</v>
      </c>
      <c r="H33" s="79">
        <v>19700</v>
      </c>
      <c r="I33" s="83"/>
      <c r="J33" s="83">
        <f>SUM(H33:I33)</f>
        <v>19700</v>
      </c>
    </row>
    <row r="34" spans="1:10">
      <c r="C34" t="s">
        <v>467</v>
      </c>
      <c r="H34" s="84">
        <v>935076</v>
      </c>
      <c r="I34" s="83">
        <v>1338</v>
      </c>
      <c r="J34" s="83">
        <f>SUM(H34:I34)</f>
        <v>936414</v>
      </c>
    </row>
    <row r="35" spans="1:10">
      <c r="C35" t="s">
        <v>468</v>
      </c>
      <c r="H35" s="83"/>
      <c r="I35" s="83"/>
      <c r="J35" s="83"/>
    </row>
    <row r="36" spans="1:10">
      <c r="E36" t="s">
        <v>92</v>
      </c>
      <c r="H36" s="92">
        <v>7473612</v>
      </c>
      <c r="I36" s="83">
        <v>94408</v>
      </c>
      <c r="J36" s="83">
        <f>SUM(H36:I36)</f>
        <v>7568020</v>
      </c>
    </row>
    <row r="37" spans="1:10">
      <c r="E37" t="s">
        <v>93</v>
      </c>
      <c r="H37" s="77">
        <v>71567604</v>
      </c>
      <c r="I37" s="83">
        <v>2306910</v>
      </c>
      <c r="J37" s="83">
        <f>SUM(H37:I37)</f>
        <v>73874514</v>
      </c>
    </row>
    <row r="38" spans="1:10">
      <c r="H38" s="81"/>
      <c r="I38" s="81"/>
      <c r="J38" s="81"/>
    </row>
    <row r="39" spans="1:10">
      <c r="D39" s="7" t="s">
        <v>36</v>
      </c>
      <c r="E39" s="8"/>
      <c r="F39" s="8"/>
      <c r="G39" s="8"/>
      <c r="H39" s="87">
        <f>SUM(H30:H37)</f>
        <v>84045490</v>
      </c>
      <c r="I39" s="87">
        <f>SUM(I30:I37)</f>
        <v>2431504</v>
      </c>
      <c r="J39" s="87">
        <f>SUM(J30:J37)</f>
        <v>86476994</v>
      </c>
    </row>
    <row r="40" spans="1:10">
      <c r="D40" s="5"/>
      <c r="H40" s="100"/>
      <c r="I40" s="100"/>
      <c r="J40" s="100"/>
    </row>
    <row r="41" spans="1:10">
      <c r="B41" s="5" t="s">
        <v>97</v>
      </c>
      <c r="H41" s="83"/>
      <c r="I41" s="83"/>
      <c r="J41" s="83"/>
    </row>
    <row r="42" spans="1:10">
      <c r="C42" t="s">
        <v>465</v>
      </c>
      <c r="H42" s="122">
        <v>117051</v>
      </c>
      <c r="I42" s="122"/>
      <c r="J42" s="122">
        <f>SUM(H42:I42)</f>
        <v>117051</v>
      </c>
    </row>
    <row r="43" spans="1:10" s="5" customFormat="1">
      <c r="D43" s="5" t="s">
        <v>170</v>
      </c>
      <c r="H43" s="100">
        <f>H42</f>
        <v>117051</v>
      </c>
      <c r="I43" s="100">
        <f t="shared" ref="I43:J43" si="2">I42</f>
        <v>0</v>
      </c>
      <c r="J43" s="100">
        <f t="shared" si="2"/>
        <v>117051</v>
      </c>
    </row>
    <row r="44" spans="1:10">
      <c r="H44" s="83"/>
      <c r="I44" s="83"/>
      <c r="J44" s="83"/>
    </row>
    <row r="45" spans="1:10">
      <c r="A45" s="3" t="s">
        <v>39</v>
      </c>
      <c r="H45" s="83"/>
      <c r="I45" s="83"/>
      <c r="J45" s="83"/>
    </row>
    <row r="46" spans="1:10">
      <c r="B46" t="s">
        <v>40</v>
      </c>
      <c r="H46" s="150">
        <v>56844478</v>
      </c>
      <c r="I46" s="83">
        <v>4650923</v>
      </c>
      <c r="J46" s="83">
        <f>SUM(H46:I46)</f>
        <v>61495401</v>
      </c>
    </row>
    <row r="47" spans="1:10">
      <c r="B47" t="s">
        <v>41</v>
      </c>
      <c r="H47" s="83"/>
      <c r="I47" s="83"/>
      <c r="J47" s="83"/>
    </row>
    <row r="48" spans="1:10">
      <c r="C48" t="s">
        <v>336</v>
      </c>
      <c r="H48" s="89">
        <v>945547</v>
      </c>
      <c r="I48" s="83"/>
      <c r="J48" s="83">
        <f t="shared" ref="J48:J52" si="3">SUM(H48:I48)</f>
        <v>945547</v>
      </c>
    </row>
    <row r="49" spans="2:10">
      <c r="C49" t="s">
        <v>297</v>
      </c>
      <c r="H49" s="89">
        <v>79332</v>
      </c>
      <c r="I49" s="83"/>
      <c r="J49" s="83">
        <f t="shared" si="3"/>
        <v>79332</v>
      </c>
    </row>
    <row r="50" spans="2:10">
      <c r="C50" t="s">
        <v>351</v>
      </c>
      <c r="H50" s="89">
        <v>7697876</v>
      </c>
      <c r="I50" s="83"/>
      <c r="J50" s="83">
        <f t="shared" si="3"/>
        <v>7697876</v>
      </c>
    </row>
    <row r="51" spans="2:10">
      <c r="C51" t="s">
        <v>469</v>
      </c>
      <c r="H51" s="89">
        <v>97896</v>
      </c>
      <c r="I51" s="83"/>
      <c r="J51" s="83">
        <f t="shared" si="3"/>
        <v>97896</v>
      </c>
    </row>
    <row r="52" spans="2:10">
      <c r="B52" t="s">
        <v>45</v>
      </c>
      <c r="H52" s="93">
        <v>26536405</v>
      </c>
      <c r="I52" s="83">
        <v>492477</v>
      </c>
      <c r="J52" s="83">
        <f t="shared" si="3"/>
        <v>27028882</v>
      </c>
    </row>
    <row r="53" spans="2:10">
      <c r="H53" s="81"/>
      <c r="I53" s="81"/>
      <c r="J53" s="81"/>
    </row>
    <row r="54" spans="2:10" s="3" customFormat="1">
      <c r="C54" s="9" t="s">
        <v>105</v>
      </c>
      <c r="D54" s="9"/>
      <c r="E54" s="9"/>
      <c r="F54" s="9"/>
      <c r="G54" s="9"/>
      <c r="H54" s="94">
        <f>SUM(H46:H52)</f>
        <v>92201534</v>
      </c>
      <c r="I54" s="94">
        <f>SUM(I46:I52)</f>
        <v>5143400</v>
      </c>
      <c r="J54" s="94">
        <f>SUM(J45:J52)</f>
        <v>97344934</v>
      </c>
    </row>
    <row r="55" spans="2:10">
      <c r="H55" s="83"/>
      <c r="I55" s="83"/>
      <c r="J55" s="83"/>
    </row>
    <row r="56" spans="2:10">
      <c r="C56" s="10" t="s">
        <v>47</v>
      </c>
      <c r="D56" s="10"/>
      <c r="E56" s="10"/>
      <c r="F56" s="10"/>
      <c r="G56" s="10"/>
      <c r="H56" s="95">
        <f>H54+H39+H43</f>
        <v>176364075</v>
      </c>
      <c r="I56" s="95">
        <f t="shared" ref="I56:J56" si="4">I54+I39+I43</f>
        <v>7574904</v>
      </c>
      <c r="J56" s="95">
        <f t="shared" si="4"/>
        <v>183938979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9"/>
  <sheetViews>
    <sheetView topLeftCell="A4" zoomScale="90" zoomScaleNormal="90" zoomScalePageLayoutView="90" workbookViewId="0">
      <selection activeCell="G40" sqref="G40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470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3" spans="1:7">
      <c r="G3" s="5" t="s">
        <v>2</v>
      </c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6196038</v>
      </c>
    </row>
    <row r="7" spans="1:7">
      <c r="B7" t="s">
        <v>8</v>
      </c>
      <c r="G7" s="84">
        <v>3053632</v>
      </c>
    </row>
    <row r="8" spans="1:7">
      <c r="B8" t="s">
        <v>325</v>
      </c>
      <c r="G8" s="78">
        <v>5831186</v>
      </c>
    </row>
    <row r="9" spans="1:7">
      <c r="B9" t="s">
        <v>127</v>
      </c>
      <c r="G9" s="91">
        <v>7751890</v>
      </c>
    </row>
    <row r="10" spans="1:7">
      <c r="G10" s="83"/>
    </row>
    <row r="11" spans="1:7">
      <c r="A11" s="5"/>
      <c r="B11" s="6" t="s">
        <v>17</v>
      </c>
      <c r="C11" s="6"/>
      <c r="D11" s="6"/>
      <c r="E11" s="6"/>
      <c r="F11" s="6"/>
      <c r="G11" s="82">
        <f>SUM(G6:G9)</f>
        <v>22832746</v>
      </c>
    </row>
    <row r="12" spans="1:7">
      <c r="G12" s="83"/>
    </row>
    <row r="13" spans="1:7" s="5" customFormat="1">
      <c r="A13" s="5" t="s">
        <v>80</v>
      </c>
      <c r="G13" s="197">
        <v>639383</v>
      </c>
    </row>
    <row r="14" spans="1:7">
      <c r="G14" s="83"/>
    </row>
    <row r="15" spans="1:7">
      <c r="A15" s="5" t="s">
        <v>22</v>
      </c>
      <c r="G15" s="83"/>
    </row>
    <row r="16" spans="1:7">
      <c r="A16" s="5"/>
      <c r="B16" t="s">
        <v>471</v>
      </c>
      <c r="G16" s="84">
        <v>406136</v>
      </c>
    </row>
    <row r="17" spans="1:7">
      <c r="A17" s="5"/>
      <c r="B17" t="s">
        <v>29</v>
      </c>
      <c r="G17" s="83"/>
    </row>
    <row r="18" spans="1:7">
      <c r="A18" s="5"/>
      <c r="C18" t="s">
        <v>92</v>
      </c>
      <c r="G18" s="92">
        <v>45871</v>
      </c>
    </row>
    <row r="19" spans="1:7">
      <c r="A19" s="5"/>
      <c r="C19" t="s">
        <v>93</v>
      </c>
      <c r="G19" s="77">
        <v>665717</v>
      </c>
    </row>
    <row r="20" spans="1:7">
      <c r="G20" s="83"/>
    </row>
    <row r="21" spans="1:7">
      <c r="C21" s="7" t="s">
        <v>36</v>
      </c>
      <c r="D21" s="8"/>
      <c r="E21" s="8"/>
      <c r="F21" s="8"/>
      <c r="G21" s="87">
        <f>SUM(G16:G19)</f>
        <v>1117724</v>
      </c>
    </row>
    <row r="22" spans="1:7">
      <c r="G22" s="83"/>
    </row>
    <row r="23" spans="1:7" s="5" customFormat="1">
      <c r="A23" s="5" t="s">
        <v>97</v>
      </c>
      <c r="G23" s="197">
        <v>41890</v>
      </c>
    </row>
    <row r="24" spans="1:7" s="5" customFormat="1">
      <c r="G24" s="100"/>
    </row>
    <row r="25" spans="1:7">
      <c r="A25" s="3" t="s">
        <v>39</v>
      </c>
      <c r="G25" s="83"/>
    </row>
    <row r="26" spans="1:7">
      <c r="B26" t="s">
        <v>119</v>
      </c>
      <c r="G26" s="88">
        <v>7706019</v>
      </c>
    </row>
    <row r="27" spans="1:7">
      <c r="B27" t="s">
        <v>41</v>
      </c>
      <c r="G27" s="83"/>
    </row>
    <row r="28" spans="1:7">
      <c r="C28" t="s">
        <v>294</v>
      </c>
      <c r="G28" s="89">
        <v>1506597</v>
      </c>
    </row>
    <row r="29" spans="1:7">
      <c r="C29" t="s">
        <v>472</v>
      </c>
      <c r="G29" s="89">
        <v>1374297</v>
      </c>
    </row>
    <row r="30" spans="1:7">
      <c r="C30" t="s">
        <v>296</v>
      </c>
      <c r="G30" s="89">
        <v>1380616</v>
      </c>
    </row>
    <row r="31" spans="1:7">
      <c r="C31" t="s">
        <v>473</v>
      </c>
      <c r="G31" s="89">
        <v>1845896</v>
      </c>
    </row>
    <row r="32" spans="1:7">
      <c r="C32" t="s">
        <v>474</v>
      </c>
      <c r="G32" s="89">
        <v>6358091</v>
      </c>
    </row>
    <row r="33" spans="1:7">
      <c r="C33" t="s">
        <v>475</v>
      </c>
      <c r="G33" s="89">
        <v>1621741</v>
      </c>
    </row>
    <row r="34" spans="1:7">
      <c r="C34" t="s">
        <v>44</v>
      </c>
      <c r="G34" s="89">
        <v>597493</v>
      </c>
    </row>
    <row r="35" spans="1:7">
      <c r="B35" t="s">
        <v>45</v>
      </c>
      <c r="G35" s="93">
        <v>-78235</v>
      </c>
    </row>
    <row r="36" spans="1:7">
      <c r="G36" s="81"/>
    </row>
    <row r="37" spans="1:7">
      <c r="A37" s="3"/>
      <c r="B37" s="9" t="s">
        <v>105</v>
      </c>
      <c r="C37" s="9"/>
      <c r="D37" s="9"/>
      <c r="E37" s="9"/>
      <c r="F37" s="9"/>
      <c r="G37" s="94">
        <f>SUM(G26:G35)</f>
        <v>22312515</v>
      </c>
    </row>
    <row r="38" spans="1:7">
      <c r="G38" s="83"/>
    </row>
    <row r="39" spans="1:7">
      <c r="B39" s="10" t="s">
        <v>47</v>
      </c>
      <c r="C39" s="10"/>
      <c r="D39" s="10"/>
      <c r="E39" s="10"/>
      <c r="F39" s="10"/>
      <c r="G39" s="95">
        <f>G37+G21+G23</f>
        <v>23472129</v>
      </c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40"/>
  <sheetViews>
    <sheetView workbookViewId="0">
      <selection activeCell="H26" sqref="H26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476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232</v>
      </c>
      <c r="G6" s="77">
        <v>4679320</v>
      </c>
    </row>
    <row r="7" spans="1:7">
      <c r="B7" t="s">
        <v>8</v>
      </c>
      <c r="G7" s="84">
        <v>540000</v>
      </c>
    </row>
    <row r="8" spans="1:7">
      <c r="B8" t="s">
        <v>50</v>
      </c>
      <c r="G8" s="78">
        <v>2222961</v>
      </c>
    </row>
    <row r="9" spans="1:7">
      <c r="B9" t="s">
        <v>14</v>
      </c>
      <c r="G9" s="83"/>
    </row>
    <row r="10" spans="1:7">
      <c r="C10" t="s">
        <v>138</v>
      </c>
      <c r="G10" s="80">
        <v>778626</v>
      </c>
    </row>
    <row r="11" spans="1:7">
      <c r="C11" t="s">
        <v>179</v>
      </c>
      <c r="G11" s="91">
        <v>12196276</v>
      </c>
    </row>
    <row r="12" spans="1:7">
      <c r="G12" s="83"/>
    </row>
    <row r="13" spans="1:7">
      <c r="A13" s="5"/>
      <c r="B13" s="6" t="s">
        <v>17</v>
      </c>
      <c r="C13" s="6"/>
      <c r="D13" s="6"/>
      <c r="E13" s="6"/>
      <c r="F13" s="6"/>
      <c r="G13" s="82">
        <f>SUM(G6:G11)</f>
        <v>20417183</v>
      </c>
    </row>
    <row r="14" spans="1:7">
      <c r="A14" s="5"/>
      <c r="B14" s="5"/>
      <c r="C14" s="5"/>
      <c r="D14" s="5"/>
      <c r="E14" s="5"/>
      <c r="F14" s="5"/>
      <c r="G14" s="100"/>
    </row>
    <row r="15" spans="1:7">
      <c r="A15" s="5" t="s">
        <v>18</v>
      </c>
      <c r="B15" s="5"/>
      <c r="C15" s="5"/>
      <c r="D15" s="5"/>
      <c r="E15" s="5"/>
      <c r="F15" s="5"/>
      <c r="G15" s="100"/>
    </row>
    <row r="16" spans="1:7">
      <c r="A16" s="5"/>
      <c r="B16" t="s">
        <v>477</v>
      </c>
      <c r="C16" s="5"/>
      <c r="D16" s="5"/>
      <c r="E16" s="5"/>
      <c r="F16" s="5"/>
      <c r="G16" s="197">
        <v>235036</v>
      </c>
    </row>
    <row r="17" spans="1:7">
      <c r="G17" s="83"/>
    </row>
    <row r="18" spans="1:7">
      <c r="A18" s="5" t="s">
        <v>22</v>
      </c>
      <c r="G18" s="83"/>
    </row>
    <row r="19" spans="1:7">
      <c r="A19" s="5"/>
      <c r="B19" t="s">
        <v>478</v>
      </c>
      <c r="G19" s="79">
        <v>2189874</v>
      </c>
    </row>
    <row r="20" spans="1:7">
      <c r="B20" t="s">
        <v>23</v>
      </c>
      <c r="G20" s="84">
        <v>183700</v>
      </c>
    </row>
    <row r="21" spans="1:7">
      <c r="B21" t="s">
        <v>479</v>
      </c>
      <c r="G21" s="84">
        <v>46115</v>
      </c>
    </row>
    <row r="22" spans="1:7">
      <c r="B22" t="s">
        <v>29</v>
      </c>
      <c r="G22" s="83"/>
    </row>
    <row r="23" spans="1:7">
      <c r="C23" t="s">
        <v>92</v>
      </c>
      <c r="G23" s="92">
        <v>38154</v>
      </c>
    </row>
    <row r="24" spans="1:7">
      <c r="B24" t="s">
        <v>480</v>
      </c>
      <c r="G24" s="79">
        <v>44944</v>
      </c>
    </row>
    <row r="25" spans="1:7">
      <c r="G25" s="81"/>
    </row>
    <row r="26" spans="1:7">
      <c r="C26" s="7" t="s">
        <v>36</v>
      </c>
      <c r="D26" s="8"/>
      <c r="E26" s="8"/>
      <c r="F26" s="8"/>
      <c r="G26" s="87">
        <f>SUM(G19:G24)</f>
        <v>2502787</v>
      </c>
    </row>
    <row r="27" spans="1:7">
      <c r="G27" s="83"/>
    </row>
    <row r="28" spans="1:7">
      <c r="A28" s="5" t="s">
        <v>97</v>
      </c>
      <c r="G28" s="83"/>
    </row>
    <row r="29" spans="1:7">
      <c r="B29" t="s">
        <v>481</v>
      </c>
      <c r="G29" s="83">
        <v>2092981</v>
      </c>
    </row>
    <row r="30" spans="1:7">
      <c r="B30" t="s">
        <v>482</v>
      </c>
      <c r="G30" s="122">
        <v>20444</v>
      </c>
    </row>
    <row r="31" spans="1:7" s="5" customFormat="1">
      <c r="C31" s="5" t="s">
        <v>98</v>
      </c>
      <c r="G31" s="197">
        <f>SUM(G29:G30)</f>
        <v>2113425</v>
      </c>
    </row>
    <row r="32" spans="1:7">
      <c r="G32" s="83"/>
    </row>
    <row r="33" spans="1:7">
      <c r="A33" s="3" t="s">
        <v>99</v>
      </c>
      <c r="G33" s="83"/>
    </row>
    <row r="34" spans="1:7">
      <c r="B34" t="s">
        <v>483</v>
      </c>
      <c r="G34" s="88">
        <v>12974902</v>
      </c>
    </row>
    <row r="35" spans="1:7">
      <c r="B35" t="s">
        <v>484</v>
      </c>
      <c r="G35" s="89">
        <v>5216951</v>
      </c>
    </row>
    <row r="36" spans="1:7">
      <c r="B36" t="s">
        <v>432</v>
      </c>
      <c r="G36" s="93">
        <v>-2158846</v>
      </c>
    </row>
    <row r="37" spans="1:7">
      <c r="G37" s="81"/>
    </row>
    <row r="38" spans="1:7">
      <c r="A38" s="3"/>
      <c r="B38" s="9" t="s">
        <v>105</v>
      </c>
      <c r="C38" s="9"/>
      <c r="D38" s="9"/>
      <c r="E38" s="9"/>
      <c r="F38" s="9"/>
      <c r="G38" s="94">
        <f>SUM(G34:G36)</f>
        <v>16033007</v>
      </c>
    </row>
    <row r="39" spans="1:7">
      <c r="G39" s="83"/>
    </row>
    <row r="40" spans="1:7">
      <c r="B40" s="10" t="s">
        <v>47</v>
      </c>
      <c r="C40" s="10"/>
      <c r="D40" s="10"/>
      <c r="E40" s="10"/>
      <c r="F40" s="10"/>
      <c r="G40" s="95">
        <f>G38+G26+G31</f>
        <v>20649219</v>
      </c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41"/>
  <sheetViews>
    <sheetView zoomScale="70" zoomScaleNormal="70" zoomScalePageLayoutView="70" workbookViewId="0">
      <selection activeCell="H42" sqref="H42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" customWidth="1"/>
    <col min="8" max="8" width="17.140625" customWidth="1"/>
  </cols>
  <sheetData>
    <row r="1" spans="1:8" ht="18.75" customHeight="1">
      <c r="A1" s="1"/>
      <c r="B1" s="1"/>
      <c r="C1" s="1"/>
      <c r="D1" s="272" t="s">
        <v>485</v>
      </c>
      <c r="E1" s="272"/>
      <c r="F1" s="272"/>
      <c r="G1" s="272"/>
      <c r="H1" s="272"/>
    </row>
    <row r="2" spans="1:8" ht="15.75" customHeight="1">
      <c r="A2" s="1"/>
      <c r="B2" s="1"/>
      <c r="C2" s="1"/>
      <c r="D2" s="271" t="s">
        <v>1</v>
      </c>
      <c r="E2" s="271"/>
      <c r="F2" s="271"/>
      <c r="G2" s="271"/>
      <c r="H2" s="271"/>
    </row>
    <row r="4" spans="1:8" ht="40.5" customHeight="1">
      <c r="H4" s="105" t="s">
        <v>3</v>
      </c>
    </row>
    <row r="5" spans="1:8">
      <c r="A5" s="3" t="s">
        <v>5</v>
      </c>
      <c r="D5" s="3"/>
      <c r="G5" s="4"/>
      <c r="H5" s="4"/>
    </row>
    <row r="6" spans="1:8">
      <c r="A6" s="3"/>
      <c r="B6" s="5" t="s">
        <v>6</v>
      </c>
      <c r="D6" s="3"/>
      <c r="G6" s="4"/>
      <c r="H6" s="76"/>
    </row>
    <row r="7" spans="1:8">
      <c r="C7" t="s">
        <v>7</v>
      </c>
      <c r="H7" s="77">
        <v>8323481</v>
      </c>
    </row>
    <row r="8" spans="1:8">
      <c r="C8" t="s">
        <v>486</v>
      </c>
      <c r="H8" s="78">
        <v>6015839</v>
      </c>
    </row>
    <row r="9" spans="1:8" s="5" customFormat="1">
      <c r="C9" s="5" t="s">
        <v>393</v>
      </c>
      <c r="H9" s="166">
        <f>SUM(H7:H8)</f>
        <v>14339320</v>
      </c>
    </row>
    <row r="10" spans="1:8">
      <c r="B10" t="s">
        <v>487</v>
      </c>
    </row>
    <row r="11" spans="1:8">
      <c r="C11" t="s">
        <v>488</v>
      </c>
      <c r="H11" s="80">
        <v>10781636</v>
      </c>
    </row>
    <row r="12" spans="1:8">
      <c r="H12" s="83"/>
    </row>
    <row r="13" spans="1:8" s="5" customFormat="1">
      <c r="C13" s="102" t="s">
        <v>17</v>
      </c>
      <c r="D13" s="102"/>
      <c r="E13" s="102"/>
      <c r="F13" s="102"/>
      <c r="G13" s="102"/>
      <c r="H13" s="103">
        <f>H11+H9</f>
        <v>25120956</v>
      </c>
    </row>
    <row r="14" spans="1:8" s="5" customFormat="1">
      <c r="H14" s="100"/>
    </row>
    <row r="15" spans="1:8" s="5" customFormat="1">
      <c r="A15" s="5" t="s">
        <v>80</v>
      </c>
      <c r="H15" s="197">
        <v>961781</v>
      </c>
    </row>
    <row r="16" spans="1:8">
      <c r="H16" s="83"/>
    </row>
    <row r="17" spans="1:8">
      <c r="A17" s="5" t="s">
        <v>22</v>
      </c>
      <c r="H17" s="83"/>
    </row>
    <row r="18" spans="1:8">
      <c r="A18" s="5"/>
      <c r="B18" t="s">
        <v>489</v>
      </c>
      <c r="H18" s="83"/>
    </row>
    <row r="19" spans="1:8">
      <c r="A19" s="5"/>
      <c r="C19" t="s">
        <v>216</v>
      </c>
      <c r="H19" s="107">
        <v>5846</v>
      </c>
    </row>
    <row r="20" spans="1:8">
      <c r="C20" t="s">
        <v>23</v>
      </c>
      <c r="H20" s="84">
        <v>731262</v>
      </c>
    </row>
    <row r="21" spans="1:8">
      <c r="C21" t="s">
        <v>88</v>
      </c>
      <c r="H21" s="149">
        <v>34379</v>
      </c>
    </row>
    <row r="22" spans="1:8">
      <c r="C22" t="s">
        <v>87</v>
      </c>
      <c r="H22" s="153">
        <v>774223</v>
      </c>
    </row>
    <row r="23" spans="1:8" s="5" customFormat="1">
      <c r="D23" s="5" t="s">
        <v>409</v>
      </c>
      <c r="H23" s="20"/>
    </row>
    <row r="24" spans="1:8">
      <c r="C24" t="s">
        <v>490</v>
      </c>
      <c r="H24" s="126"/>
    </row>
    <row r="25" spans="1:8">
      <c r="D25" t="s">
        <v>491</v>
      </c>
      <c r="H25" s="151">
        <v>143222</v>
      </c>
    </row>
    <row r="26" spans="1:8">
      <c r="D26" t="s">
        <v>492</v>
      </c>
      <c r="H26" s="152">
        <v>1311775</v>
      </c>
    </row>
    <row r="27" spans="1:8">
      <c r="D27" t="s">
        <v>493</v>
      </c>
      <c r="H27" s="153">
        <v>251910</v>
      </c>
    </row>
    <row r="28" spans="1:8">
      <c r="H28" s="83"/>
    </row>
    <row r="29" spans="1:8">
      <c r="D29" s="102" t="s">
        <v>494</v>
      </c>
      <c r="E29" s="104"/>
      <c r="F29" s="104"/>
      <c r="G29" s="104"/>
      <c r="H29" s="103">
        <f>SUM(H25:H27)</f>
        <v>1706907</v>
      </c>
    </row>
    <row r="30" spans="1:8">
      <c r="D30" s="5"/>
      <c r="H30" s="100"/>
    </row>
    <row r="31" spans="1:8">
      <c r="D31" s="102" t="s">
        <v>36</v>
      </c>
      <c r="E31" s="104"/>
      <c r="F31" s="104"/>
      <c r="G31" s="104"/>
      <c r="H31" s="103">
        <f>SUM(H19:H27)</f>
        <v>3252617</v>
      </c>
    </row>
    <row r="32" spans="1:8">
      <c r="D32" s="5"/>
      <c r="H32" s="100"/>
    </row>
    <row r="33" spans="1:8" s="5" customFormat="1">
      <c r="A33" s="5" t="s">
        <v>97</v>
      </c>
      <c r="H33" s="122">
        <v>162622</v>
      </c>
    </row>
    <row r="34" spans="1:8" ht="15.75" customHeight="1">
      <c r="H34" s="83"/>
    </row>
    <row r="35" spans="1:8">
      <c r="A35" s="3" t="s">
        <v>99</v>
      </c>
      <c r="H35" s="83"/>
    </row>
    <row r="36" spans="1:8">
      <c r="B36" t="s">
        <v>40</v>
      </c>
      <c r="H36" s="88">
        <v>10781636</v>
      </c>
    </row>
    <row r="37" spans="1:8">
      <c r="B37" t="s">
        <v>45</v>
      </c>
      <c r="H37" s="93">
        <v>11885862</v>
      </c>
    </row>
    <row r="38" spans="1:8">
      <c r="H38" s="83"/>
    </row>
    <row r="39" spans="1:8" s="3" customFormat="1">
      <c r="C39" s="9" t="s">
        <v>105</v>
      </c>
      <c r="D39" s="9"/>
      <c r="E39" s="9"/>
      <c r="F39" s="9"/>
      <c r="G39" s="9"/>
      <c r="H39" s="94">
        <f>SUM(H36:H37)</f>
        <v>22667498</v>
      </c>
    </row>
    <row r="40" spans="1:8">
      <c r="H40" s="83"/>
    </row>
    <row r="41" spans="1:8">
      <c r="C41" s="10" t="s">
        <v>47</v>
      </c>
      <c r="D41" s="10"/>
      <c r="E41" s="10"/>
      <c r="F41" s="10"/>
      <c r="G41" s="10"/>
      <c r="H41" s="95">
        <f>H39+H33+H31</f>
        <v>26082737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9"/>
  <sheetViews>
    <sheetView zoomScale="80" zoomScaleNormal="80" zoomScalePageLayoutView="80" workbookViewId="0">
      <selection activeCell="H16" sqref="H16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72" t="s">
        <v>495</v>
      </c>
      <c r="E1" s="272"/>
      <c r="F1" s="272"/>
      <c r="G1" s="272"/>
      <c r="H1" s="272"/>
    </row>
    <row r="2" spans="1:10" ht="15.75" customHeight="1">
      <c r="A2" s="1"/>
      <c r="B2" s="1"/>
      <c r="C2" s="1"/>
      <c r="D2" s="271" t="s">
        <v>1</v>
      </c>
      <c r="E2" s="271"/>
      <c r="F2" s="271"/>
      <c r="G2" s="271"/>
      <c r="H2" s="271"/>
    </row>
    <row r="4" spans="1:10" ht="14.25" customHeight="1">
      <c r="H4" s="264" t="s">
        <v>2</v>
      </c>
    </row>
    <row r="5" spans="1:10" ht="31.5" customHeight="1">
      <c r="H5" s="2" t="s">
        <v>3</v>
      </c>
      <c r="I5" s="156" t="s">
        <v>4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7</v>
      </c>
      <c r="H7" s="77">
        <v>131482</v>
      </c>
      <c r="I7" s="83">
        <v>161433</v>
      </c>
    </row>
    <row r="8" spans="1:10">
      <c r="C8" t="s">
        <v>8</v>
      </c>
      <c r="H8" s="84">
        <v>227108</v>
      </c>
      <c r="I8" s="83">
        <v>68663</v>
      </c>
    </row>
    <row r="9" spans="1:10">
      <c r="C9" t="s">
        <v>496</v>
      </c>
      <c r="H9" s="83"/>
      <c r="I9" s="83"/>
    </row>
    <row r="10" spans="1:10">
      <c r="D10" t="s">
        <v>497</v>
      </c>
      <c r="H10" s="78">
        <v>28454</v>
      </c>
      <c r="I10" s="83">
        <v>8486</v>
      </c>
    </row>
    <row r="11" spans="1:10">
      <c r="D11" t="s">
        <v>389</v>
      </c>
      <c r="H11" s="78">
        <v>15445</v>
      </c>
      <c r="I11" s="83">
        <v>33874</v>
      </c>
    </row>
    <row r="12" spans="1:10">
      <c r="D12" t="s">
        <v>387</v>
      </c>
      <c r="H12" s="121"/>
      <c r="I12" s="83">
        <v>56</v>
      </c>
    </row>
    <row r="13" spans="1:10">
      <c r="D13" t="s">
        <v>498</v>
      </c>
      <c r="H13" s="78">
        <v>542</v>
      </c>
      <c r="I13" s="83">
        <v>52808</v>
      </c>
    </row>
    <row r="14" spans="1:10">
      <c r="D14" t="s">
        <v>234</v>
      </c>
      <c r="H14" s="155"/>
      <c r="I14" s="83">
        <v>4651</v>
      </c>
    </row>
    <row r="15" spans="1:10">
      <c r="C15" t="s">
        <v>13</v>
      </c>
      <c r="H15" s="90">
        <v>11205</v>
      </c>
      <c r="I15" s="83"/>
    </row>
    <row r="16" spans="1:10">
      <c r="C16" t="s">
        <v>51</v>
      </c>
      <c r="H16" s="90">
        <v>39849</v>
      </c>
      <c r="I16" s="83">
        <v>3467</v>
      </c>
    </row>
    <row r="17" spans="1:9">
      <c r="C17" t="s">
        <v>109</v>
      </c>
      <c r="H17" s="79">
        <v>257</v>
      </c>
      <c r="I17" s="83">
        <v>46320</v>
      </c>
    </row>
    <row r="18" spans="1:9">
      <c r="C18" t="s">
        <v>499</v>
      </c>
      <c r="H18" s="83"/>
      <c r="I18" s="83">
        <v>1052497</v>
      </c>
    </row>
    <row r="19" spans="1:9">
      <c r="C19" t="s">
        <v>355</v>
      </c>
      <c r="H19" s="91">
        <v>1611132</v>
      </c>
      <c r="I19" s="83">
        <v>3444536</v>
      </c>
    </row>
    <row r="20" spans="1:9">
      <c r="H20" s="83"/>
      <c r="I20" s="81"/>
    </row>
    <row r="21" spans="1:9" s="5" customFormat="1">
      <c r="C21" s="6" t="s">
        <v>17</v>
      </c>
      <c r="D21" s="6"/>
      <c r="E21" s="6"/>
      <c r="F21" s="6"/>
      <c r="G21" s="6"/>
      <c r="H21" s="82">
        <f>SUM(H7:H19)</f>
        <v>2065474</v>
      </c>
      <c r="I21" s="82">
        <f>SUM(I7:I19)</f>
        <v>4876791</v>
      </c>
    </row>
    <row r="22" spans="1:9">
      <c r="H22" s="83"/>
      <c r="I22" s="83"/>
    </row>
    <row r="23" spans="1:9">
      <c r="A23" s="5" t="s">
        <v>80</v>
      </c>
      <c r="H23" s="83"/>
      <c r="I23" s="83"/>
    </row>
    <row r="24" spans="1:9">
      <c r="B24" t="s">
        <v>500</v>
      </c>
      <c r="H24" s="83">
        <v>214249</v>
      </c>
      <c r="I24" s="83">
        <v>23880</v>
      </c>
    </row>
    <row r="25" spans="1:9">
      <c r="B25" t="s">
        <v>428</v>
      </c>
      <c r="H25" s="122">
        <v>4679</v>
      </c>
      <c r="I25" s="122">
        <v>19889</v>
      </c>
    </row>
    <row r="26" spans="1:9">
      <c r="H26" s="83"/>
      <c r="I26" s="83"/>
    </row>
    <row r="27" spans="1:9">
      <c r="C27" s="102" t="s">
        <v>83</v>
      </c>
      <c r="D27" s="102"/>
      <c r="E27" s="102"/>
      <c r="F27" s="102"/>
      <c r="G27" s="102"/>
      <c r="H27" s="103">
        <f>SUM(H24:H25)</f>
        <v>218928</v>
      </c>
      <c r="I27" s="103">
        <f>SUM(I24:I25)</f>
        <v>43769</v>
      </c>
    </row>
    <row r="28" spans="1:9">
      <c r="H28" s="83"/>
      <c r="I28" s="83"/>
    </row>
    <row r="29" spans="1:9">
      <c r="A29" s="5" t="s">
        <v>22</v>
      </c>
      <c r="H29" s="83"/>
      <c r="I29" s="83"/>
    </row>
    <row r="30" spans="1:9">
      <c r="C30" t="s">
        <v>23</v>
      </c>
      <c r="H30" s="84">
        <v>96508</v>
      </c>
      <c r="I30" s="83">
        <v>60842</v>
      </c>
    </row>
    <row r="31" spans="1:9">
      <c r="C31" t="s">
        <v>24</v>
      </c>
      <c r="H31" s="84">
        <v>3483</v>
      </c>
      <c r="I31" s="83">
        <v>8320</v>
      </c>
    </row>
    <row r="32" spans="1:9">
      <c r="C32" t="s">
        <v>342</v>
      </c>
      <c r="H32" s="79">
        <v>793</v>
      </c>
      <c r="I32" s="83">
        <v>34075</v>
      </c>
    </row>
    <row r="33" spans="1:9">
      <c r="C33" t="s">
        <v>501</v>
      </c>
      <c r="H33" s="84">
        <v>8098</v>
      </c>
      <c r="I33" s="83"/>
    </row>
    <row r="34" spans="1:9">
      <c r="C34" t="s">
        <v>502</v>
      </c>
      <c r="H34" s="84">
        <v>7267</v>
      </c>
      <c r="I34" s="83">
        <v>26940</v>
      </c>
    </row>
    <row r="35" spans="1:9">
      <c r="C35" t="s">
        <v>185</v>
      </c>
      <c r="H35" s="96">
        <v>216</v>
      </c>
      <c r="I35" s="83"/>
    </row>
    <row r="36" spans="1:9">
      <c r="C36" t="s">
        <v>87</v>
      </c>
      <c r="H36" s="96">
        <v>1890</v>
      </c>
      <c r="I36" s="83">
        <v>29444</v>
      </c>
    </row>
    <row r="37" spans="1:9">
      <c r="C37" t="s">
        <v>209</v>
      </c>
      <c r="H37" s="83"/>
      <c r="I37" s="83">
        <v>7720</v>
      </c>
    </row>
    <row r="38" spans="1:9">
      <c r="C38" t="s">
        <v>503</v>
      </c>
      <c r="H38" s="92">
        <v>109620</v>
      </c>
      <c r="I38" s="83">
        <v>48456</v>
      </c>
    </row>
    <row r="39" spans="1:9">
      <c r="C39" t="s">
        <v>504</v>
      </c>
      <c r="H39" s="77">
        <v>2304860</v>
      </c>
      <c r="I39" s="83">
        <v>1932028</v>
      </c>
    </row>
    <row r="40" spans="1:9">
      <c r="H40" s="81"/>
      <c r="I40" s="81"/>
    </row>
    <row r="41" spans="1:9">
      <c r="D41" s="7" t="s">
        <v>36</v>
      </c>
      <c r="E41" s="8"/>
      <c r="F41" s="8"/>
      <c r="G41" s="8"/>
      <c r="H41" s="87">
        <f>SUM(H30:H39)</f>
        <v>2532735</v>
      </c>
      <c r="I41" s="87">
        <f>SUM(I30:I39)</f>
        <v>2147825</v>
      </c>
    </row>
    <row r="42" spans="1:9">
      <c r="H42" s="83"/>
      <c r="I42" s="83"/>
    </row>
    <row r="43" spans="1:9">
      <c r="A43" s="5" t="s">
        <v>97</v>
      </c>
      <c r="H43" s="83"/>
      <c r="I43" s="83"/>
    </row>
    <row r="44" spans="1:9">
      <c r="B44" t="s">
        <v>500</v>
      </c>
      <c r="H44" s="83">
        <v>34976</v>
      </c>
      <c r="I44" s="83">
        <v>25263</v>
      </c>
    </row>
    <row r="45" spans="1:9">
      <c r="B45" t="s">
        <v>428</v>
      </c>
      <c r="H45" s="83">
        <v>1581</v>
      </c>
      <c r="I45" s="83"/>
    </row>
    <row r="46" spans="1:9">
      <c r="B46" t="s">
        <v>505</v>
      </c>
      <c r="H46" s="122">
        <v>9295</v>
      </c>
      <c r="I46" s="122">
        <v>5575</v>
      </c>
    </row>
    <row r="47" spans="1:9">
      <c r="H47" s="83"/>
      <c r="I47" s="83"/>
    </row>
    <row r="48" spans="1:9">
      <c r="C48" s="102" t="s">
        <v>98</v>
      </c>
      <c r="D48" s="102"/>
      <c r="E48" s="102"/>
      <c r="F48" s="102"/>
      <c r="G48" s="102"/>
      <c r="H48" s="103">
        <f>SUM(H44:H46)</f>
        <v>45852</v>
      </c>
      <c r="I48" s="103">
        <f>SUM(I44:I46)</f>
        <v>30838</v>
      </c>
    </row>
    <row r="49" spans="1:9">
      <c r="H49" s="83"/>
      <c r="I49" s="83"/>
    </row>
    <row r="50" spans="1:9">
      <c r="A50" s="3" t="s">
        <v>99</v>
      </c>
      <c r="H50" s="83"/>
      <c r="I50" s="83"/>
    </row>
    <row r="51" spans="1:9">
      <c r="B51" t="s">
        <v>40</v>
      </c>
      <c r="H51" s="88">
        <v>933606</v>
      </c>
      <c r="I51" s="83">
        <v>2342335</v>
      </c>
    </row>
    <row r="52" spans="1:9">
      <c r="B52" t="s">
        <v>317</v>
      </c>
      <c r="H52" s="89">
        <v>38167</v>
      </c>
      <c r="I52" s="83">
        <v>131455</v>
      </c>
    </row>
    <row r="53" spans="1:9">
      <c r="B53" t="s">
        <v>506</v>
      </c>
      <c r="H53" s="89">
        <v>75270</v>
      </c>
      <c r="I53" s="83">
        <v>366441</v>
      </c>
    </row>
    <row r="54" spans="1:9">
      <c r="B54" t="s">
        <v>507</v>
      </c>
      <c r="H54" s="83"/>
      <c r="I54" s="83">
        <v>15800</v>
      </c>
    </row>
    <row r="55" spans="1:9">
      <c r="B55" t="s">
        <v>432</v>
      </c>
      <c r="H55" s="93">
        <v>-1341228</v>
      </c>
      <c r="I55" s="83">
        <v>-115134</v>
      </c>
    </row>
    <row r="56" spans="1:9">
      <c r="H56" s="81"/>
      <c r="I56" s="81"/>
    </row>
    <row r="57" spans="1:9" s="3" customFormat="1">
      <c r="C57" s="9" t="s">
        <v>105</v>
      </c>
      <c r="D57" s="9"/>
      <c r="E57" s="9"/>
      <c r="F57" s="9"/>
      <c r="G57" s="9"/>
      <c r="H57" s="94">
        <f>SUM(H51:H55)</f>
        <v>-294185</v>
      </c>
      <c r="I57" s="94">
        <f>SUM(I50:I55)</f>
        <v>2740897</v>
      </c>
    </row>
    <row r="58" spans="1:9">
      <c r="H58" s="83"/>
      <c r="I58" s="83"/>
    </row>
    <row r="59" spans="1:9">
      <c r="C59" s="10" t="s">
        <v>47</v>
      </c>
      <c r="D59" s="10"/>
      <c r="E59" s="10"/>
      <c r="F59" s="10"/>
      <c r="G59" s="10"/>
      <c r="H59" s="95">
        <f>H57+H41+H48</f>
        <v>2284402</v>
      </c>
      <c r="I59" s="95">
        <f>I57+I41+I48</f>
        <v>4919560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61"/>
  <sheetViews>
    <sheetView zoomScale="80" zoomScaleNormal="80" zoomScalePageLayoutView="80" workbookViewId="0">
      <selection activeCell="H23" sqref="H23"/>
    </sheetView>
  </sheetViews>
  <sheetFormatPr defaultColWidth="8.85546875" defaultRowHeight="14.45"/>
  <cols>
    <col min="1" max="1" width="3.42578125" customWidth="1"/>
    <col min="2" max="2" width="4.140625" customWidth="1"/>
    <col min="5" max="5" width="21" customWidth="1"/>
    <col min="6" max="6" width="15.42578125" customWidth="1"/>
    <col min="7" max="7" width="16.28515625" customWidth="1"/>
    <col min="8" max="8" width="13.85546875" customWidth="1"/>
  </cols>
  <sheetData>
    <row r="1" spans="1:8" ht="18.600000000000001">
      <c r="A1" s="1"/>
      <c r="B1" s="1"/>
      <c r="C1" s="1" t="s">
        <v>508</v>
      </c>
      <c r="D1" s="1"/>
      <c r="E1" s="97"/>
      <c r="F1" s="97"/>
      <c r="G1" s="97"/>
    </row>
    <row r="2" spans="1:8" ht="18.600000000000001">
      <c r="A2" s="1"/>
      <c r="B2" s="1"/>
      <c r="C2" s="1"/>
      <c r="D2" s="271" t="s">
        <v>1</v>
      </c>
      <c r="E2" s="271"/>
      <c r="F2" s="271"/>
      <c r="G2" s="98"/>
    </row>
    <row r="4" spans="1:8">
      <c r="F4" s="278"/>
      <c r="G4" s="278"/>
    </row>
    <row r="5" spans="1:8" ht="29.1">
      <c r="F5" s="105" t="s">
        <v>3</v>
      </c>
      <c r="G5" s="105" t="s">
        <v>157</v>
      </c>
      <c r="H5" s="106" t="s">
        <v>74</v>
      </c>
    </row>
    <row r="6" spans="1:8">
      <c r="A6" s="3" t="s">
        <v>5</v>
      </c>
      <c r="D6" s="3"/>
      <c r="F6" s="4"/>
      <c r="G6" s="4"/>
    </row>
    <row r="7" spans="1:8">
      <c r="B7" t="s">
        <v>7</v>
      </c>
      <c r="F7" s="77">
        <v>48840225</v>
      </c>
      <c r="G7" s="83">
        <v>129021</v>
      </c>
      <c r="H7" s="83">
        <f>SUM(F7:G7)</f>
        <v>48969246</v>
      </c>
    </row>
    <row r="8" spans="1:8">
      <c r="B8" t="s">
        <v>509</v>
      </c>
      <c r="F8" s="84">
        <v>18766100</v>
      </c>
      <c r="G8" s="83"/>
      <c r="H8" s="83">
        <f t="shared" ref="H8:H20" si="0">SUM(F8:G8)</f>
        <v>18766100</v>
      </c>
    </row>
    <row r="9" spans="1:8">
      <c r="B9" t="s">
        <v>510</v>
      </c>
      <c r="F9" s="121"/>
      <c r="G9" s="83"/>
      <c r="H9" s="83"/>
    </row>
    <row r="10" spans="1:8">
      <c r="C10" t="s">
        <v>511</v>
      </c>
      <c r="F10" s="78">
        <v>32241945</v>
      </c>
      <c r="G10" s="83"/>
      <c r="H10" s="83">
        <f t="shared" si="0"/>
        <v>32241945</v>
      </c>
    </row>
    <row r="11" spans="1:8">
      <c r="C11" t="s">
        <v>512</v>
      </c>
      <c r="F11" s="78">
        <v>2535630</v>
      </c>
      <c r="G11" s="83"/>
      <c r="H11" s="83">
        <f t="shared" si="0"/>
        <v>2535630</v>
      </c>
    </row>
    <row r="12" spans="1:8">
      <c r="C12" t="s">
        <v>513</v>
      </c>
      <c r="F12" s="78">
        <v>185117</v>
      </c>
      <c r="G12" s="83"/>
      <c r="H12" s="83">
        <f t="shared" si="0"/>
        <v>185117</v>
      </c>
    </row>
    <row r="13" spans="1:8">
      <c r="C13" t="s">
        <v>514</v>
      </c>
      <c r="F13" s="78">
        <v>979992</v>
      </c>
      <c r="G13" s="83">
        <v>2372</v>
      </c>
      <c r="H13" s="83">
        <f t="shared" si="0"/>
        <v>982364</v>
      </c>
    </row>
    <row r="14" spans="1:8">
      <c r="C14" t="s">
        <v>234</v>
      </c>
      <c r="F14" s="83"/>
      <c r="G14" s="83">
        <v>29634</v>
      </c>
      <c r="H14" s="83">
        <f t="shared" si="0"/>
        <v>29634</v>
      </c>
    </row>
    <row r="15" spans="1:8">
      <c r="B15" t="s">
        <v>515</v>
      </c>
      <c r="F15" s="90">
        <v>5436679</v>
      </c>
      <c r="G15" s="83">
        <v>1890</v>
      </c>
      <c r="H15" s="83">
        <f t="shared" si="0"/>
        <v>5438569</v>
      </c>
    </row>
    <row r="16" spans="1:8">
      <c r="B16" t="s">
        <v>76</v>
      </c>
      <c r="F16" s="79">
        <v>55570</v>
      </c>
      <c r="G16" s="83">
        <v>-55571</v>
      </c>
      <c r="H16" s="83">
        <f t="shared" si="0"/>
        <v>-1</v>
      </c>
    </row>
    <row r="17" spans="1:9">
      <c r="B17" t="s">
        <v>136</v>
      </c>
      <c r="F17" s="79">
        <v>550021</v>
      </c>
      <c r="G17" s="83"/>
      <c r="H17" s="83">
        <f t="shared" si="0"/>
        <v>550021</v>
      </c>
    </row>
    <row r="18" spans="1:9">
      <c r="B18" t="s">
        <v>177</v>
      </c>
      <c r="F18" s="79">
        <v>568545</v>
      </c>
      <c r="G18" s="83"/>
      <c r="H18" s="83">
        <f t="shared" si="0"/>
        <v>568545</v>
      </c>
    </row>
    <row r="19" spans="1:9">
      <c r="B19" t="s">
        <v>516</v>
      </c>
      <c r="F19" s="83"/>
      <c r="G19" s="83">
        <v>58502</v>
      </c>
      <c r="H19" s="83">
        <f t="shared" si="0"/>
        <v>58502</v>
      </c>
    </row>
    <row r="20" spans="1:9">
      <c r="B20" t="s">
        <v>127</v>
      </c>
      <c r="F20" s="91">
        <v>183839139</v>
      </c>
      <c r="G20" s="83">
        <v>2399612</v>
      </c>
      <c r="H20" s="83">
        <f t="shared" si="0"/>
        <v>186238751</v>
      </c>
    </row>
    <row r="21" spans="1:9">
      <c r="F21" s="83"/>
      <c r="G21" s="81"/>
      <c r="H21" s="81"/>
    </row>
    <row r="22" spans="1:9">
      <c r="A22" s="5"/>
      <c r="B22" s="5"/>
      <c r="C22" s="6" t="s">
        <v>17</v>
      </c>
      <c r="D22" s="6"/>
      <c r="E22" s="6"/>
      <c r="F22" s="82">
        <f>SUM(F7:F20)</f>
        <v>293998963</v>
      </c>
      <c r="G22" s="82">
        <f>SUM(G7:G20)</f>
        <v>2565460</v>
      </c>
      <c r="H22" s="82">
        <f>SUM(H7:H20)</f>
        <v>296564423</v>
      </c>
    </row>
    <row r="23" spans="1:9">
      <c r="A23" s="5"/>
      <c r="B23" s="5"/>
      <c r="C23" s="5"/>
      <c r="D23" s="5"/>
      <c r="E23" s="5"/>
      <c r="F23" s="100"/>
      <c r="G23" s="100"/>
      <c r="H23" s="100"/>
    </row>
    <row r="24" spans="1:9">
      <c r="A24" s="5" t="s">
        <v>80</v>
      </c>
      <c r="H24" s="83"/>
      <c r="I24" s="83"/>
    </row>
    <row r="25" spans="1:9">
      <c r="B25" t="s">
        <v>517</v>
      </c>
      <c r="F25" s="159">
        <v>7023044</v>
      </c>
      <c r="G25" s="159"/>
      <c r="H25" s="122">
        <f>SUM(F25:G25)</f>
        <v>7023044</v>
      </c>
      <c r="I25" s="83"/>
    </row>
    <row r="26" spans="1:9">
      <c r="H26" s="83"/>
      <c r="I26" s="83"/>
    </row>
    <row r="27" spans="1:9">
      <c r="C27" s="102" t="s">
        <v>83</v>
      </c>
      <c r="D27" s="102"/>
      <c r="E27" s="102"/>
      <c r="F27" s="102">
        <f>F25</f>
        <v>7023044</v>
      </c>
      <c r="G27" s="102">
        <f t="shared" ref="G27:H27" si="1">G25</f>
        <v>0</v>
      </c>
      <c r="H27" s="102">
        <f t="shared" si="1"/>
        <v>7023044</v>
      </c>
      <c r="I27" s="83"/>
    </row>
    <row r="28" spans="1:9">
      <c r="F28" s="83"/>
      <c r="G28" s="83"/>
      <c r="H28" s="83"/>
    </row>
    <row r="29" spans="1:9">
      <c r="A29" s="5" t="s">
        <v>22</v>
      </c>
      <c r="F29" s="83"/>
      <c r="G29" s="83"/>
      <c r="H29" s="83"/>
    </row>
    <row r="30" spans="1:9">
      <c r="B30" t="s">
        <v>164</v>
      </c>
      <c r="F30" s="149">
        <v>6805903</v>
      </c>
      <c r="G30" s="83">
        <v>7802</v>
      </c>
      <c r="H30" s="83">
        <f>SUM(F30:G30)</f>
        <v>6813705</v>
      </c>
    </row>
    <row r="31" spans="1:9">
      <c r="B31" t="s">
        <v>331</v>
      </c>
      <c r="F31" s="79">
        <v>438624</v>
      </c>
      <c r="G31" s="83"/>
      <c r="H31" s="83">
        <f t="shared" ref="H31:H35" si="2">SUM(F31:G31)</f>
        <v>438624</v>
      </c>
    </row>
    <row r="32" spans="1:9">
      <c r="B32" t="s">
        <v>518</v>
      </c>
      <c r="F32" s="79">
        <v>243741</v>
      </c>
      <c r="G32" s="83"/>
      <c r="H32" s="83">
        <f t="shared" si="2"/>
        <v>243741</v>
      </c>
    </row>
    <row r="33" spans="1:9">
      <c r="B33" t="s">
        <v>441</v>
      </c>
      <c r="F33" s="83"/>
      <c r="G33" s="83"/>
      <c r="H33" s="83"/>
    </row>
    <row r="34" spans="1:9">
      <c r="C34" t="s">
        <v>92</v>
      </c>
      <c r="D34" s="5"/>
      <c r="F34" s="92">
        <v>1749976</v>
      </c>
      <c r="G34" s="83">
        <v>25000</v>
      </c>
      <c r="H34" s="83">
        <f t="shared" si="2"/>
        <v>1774976</v>
      </c>
    </row>
    <row r="35" spans="1:9">
      <c r="A35" s="5"/>
      <c r="B35" s="5"/>
      <c r="C35" t="s">
        <v>93</v>
      </c>
      <c r="D35" s="5"/>
      <c r="E35" s="5"/>
      <c r="F35" s="77">
        <v>29887275</v>
      </c>
      <c r="G35" s="83">
        <v>351000</v>
      </c>
      <c r="H35" s="83">
        <f t="shared" si="2"/>
        <v>30238275</v>
      </c>
    </row>
    <row r="36" spans="1:9">
      <c r="A36" s="5"/>
      <c r="B36" t="s">
        <v>519</v>
      </c>
      <c r="D36" s="5"/>
      <c r="E36" s="5"/>
      <c r="F36" s="83"/>
      <c r="G36" s="83">
        <v>2400</v>
      </c>
      <c r="H36" s="83">
        <f>SUM(F36:G36)</f>
        <v>2400</v>
      </c>
    </row>
    <row r="37" spans="1:9">
      <c r="F37" s="81"/>
      <c r="G37" s="81"/>
      <c r="H37" s="81"/>
    </row>
    <row r="38" spans="1:9">
      <c r="D38" s="7" t="s">
        <v>36</v>
      </c>
      <c r="E38" s="8"/>
      <c r="F38" s="87">
        <f>SUM(F30:F36)</f>
        <v>39125519</v>
      </c>
      <c r="G38" s="87">
        <f t="shared" ref="G38:H38" si="3">SUM(G30:G36)</f>
        <v>386202</v>
      </c>
      <c r="H38" s="87">
        <f t="shared" si="3"/>
        <v>39511721</v>
      </c>
    </row>
    <row r="39" spans="1:9">
      <c r="D39" s="5"/>
      <c r="F39" s="100"/>
      <c r="G39" s="100"/>
      <c r="H39" s="100"/>
    </row>
    <row r="40" spans="1:9">
      <c r="A40" s="5" t="s">
        <v>97</v>
      </c>
      <c r="H40" s="83"/>
      <c r="I40" s="83"/>
    </row>
    <row r="41" spans="1:9">
      <c r="B41" t="s">
        <v>517</v>
      </c>
      <c r="F41" s="159">
        <v>758244</v>
      </c>
      <c r="G41" s="159"/>
      <c r="H41" s="122">
        <v>4679</v>
      </c>
      <c r="I41" s="83"/>
    </row>
    <row r="42" spans="1:9">
      <c r="H42" s="83"/>
      <c r="I42" s="83"/>
    </row>
    <row r="43" spans="1:9">
      <c r="C43" s="102" t="s">
        <v>98</v>
      </c>
      <c r="D43" s="102"/>
      <c r="E43" s="102"/>
      <c r="F43" s="102">
        <f>F41</f>
        <v>758244</v>
      </c>
      <c r="G43" s="102">
        <f t="shared" ref="G43:H43" si="4">G41</f>
        <v>0</v>
      </c>
      <c r="H43" s="102">
        <f t="shared" si="4"/>
        <v>4679</v>
      </c>
      <c r="I43" s="83"/>
    </row>
    <row r="44" spans="1:9">
      <c r="F44" s="83"/>
      <c r="G44" s="83"/>
      <c r="H44" s="83"/>
    </row>
    <row r="45" spans="1:9">
      <c r="A45" s="3" t="s">
        <v>99</v>
      </c>
      <c r="F45" s="83"/>
      <c r="G45" s="83"/>
      <c r="H45" s="83"/>
    </row>
    <row r="46" spans="1:9">
      <c r="B46" t="s">
        <v>40</v>
      </c>
      <c r="F46" s="88">
        <v>183839139</v>
      </c>
      <c r="G46" s="83">
        <v>2023612</v>
      </c>
      <c r="H46" s="83">
        <f>SUM(F46:G46)</f>
        <v>185862751</v>
      </c>
    </row>
    <row r="47" spans="1:9">
      <c r="B47" t="s">
        <v>41</v>
      </c>
      <c r="F47" s="83"/>
      <c r="G47" s="83"/>
      <c r="H47" s="83"/>
    </row>
    <row r="48" spans="1:9">
      <c r="C48" t="s">
        <v>69</v>
      </c>
      <c r="F48" s="89">
        <v>8362775</v>
      </c>
      <c r="G48" s="83"/>
      <c r="H48" s="83">
        <f t="shared" ref="H48:H57" si="5">SUM(F48:G48)</f>
        <v>8362775</v>
      </c>
    </row>
    <row r="49" spans="1:8">
      <c r="C49" t="s">
        <v>101</v>
      </c>
      <c r="F49" s="89">
        <v>46259909</v>
      </c>
      <c r="G49" s="83"/>
      <c r="H49" s="83">
        <f t="shared" si="5"/>
        <v>46259909</v>
      </c>
    </row>
    <row r="50" spans="1:8">
      <c r="C50" t="s">
        <v>102</v>
      </c>
      <c r="F50" s="89">
        <v>4261788</v>
      </c>
      <c r="G50" s="83"/>
      <c r="H50" s="83">
        <f t="shared" si="5"/>
        <v>4261788</v>
      </c>
    </row>
    <row r="51" spans="1:8">
      <c r="C51" t="s">
        <v>147</v>
      </c>
      <c r="F51" s="89">
        <v>11448354</v>
      </c>
      <c r="G51" s="83"/>
      <c r="H51" s="83">
        <f t="shared" si="5"/>
        <v>11448354</v>
      </c>
    </row>
    <row r="52" spans="1:8">
      <c r="C52" t="s">
        <v>172</v>
      </c>
      <c r="F52" s="89">
        <v>948427</v>
      </c>
      <c r="G52" s="83"/>
      <c r="H52" s="83">
        <f t="shared" si="5"/>
        <v>948427</v>
      </c>
    </row>
    <row r="53" spans="1:8">
      <c r="C53" t="s">
        <v>67</v>
      </c>
      <c r="F53" s="89">
        <v>1559222</v>
      </c>
      <c r="G53" s="83"/>
      <c r="H53" s="83">
        <f t="shared" si="5"/>
        <v>1559222</v>
      </c>
    </row>
    <row r="54" spans="1:8">
      <c r="C54" t="s">
        <v>42</v>
      </c>
      <c r="F54" s="89">
        <v>98410</v>
      </c>
      <c r="G54" s="83">
        <v>58502</v>
      </c>
      <c r="H54" s="83">
        <f t="shared" si="5"/>
        <v>156912</v>
      </c>
    </row>
    <row r="55" spans="1:8">
      <c r="C55" t="s">
        <v>520</v>
      </c>
      <c r="F55" s="89">
        <v>1056212</v>
      </c>
      <c r="G55" s="83"/>
      <c r="H55" s="83">
        <f t="shared" si="5"/>
        <v>1056212</v>
      </c>
    </row>
    <row r="56" spans="1:8">
      <c r="C56" t="s">
        <v>521</v>
      </c>
      <c r="F56" s="89">
        <v>5064371</v>
      </c>
      <c r="G56" s="83"/>
      <c r="H56" s="83">
        <f t="shared" si="5"/>
        <v>5064371</v>
      </c>
    </row>
    <row r="57" spans="1:8">
      <c r="B57" t="s">
        <v>45</v>
      </c>
      <c r="F57" s="93">
        <v>-1760362</v>
      </c>
      <c r="G57" s="83">
        <v>97144</v>
      </c>
      <c r="H57" s="83">
        <f t="shared" si="5"/>
        <v>-1663218</v>
      </c>
    </row>
    <row r="58" spans="1:8">
      <c r="F58" s="81"/>
      <c r="G58" s="81"/>
      <c r="H58" s="81"/>
    </row>
    <row r="59" spans="1:8">
      <c r="A59" s="3"/>
      <c r="B59" s="3"/>
      <c r="C59" s="9" t="s">
        <v>105</v>
      </c>
      <c r="D59" s="9"/>
      <c r="E59" s="9"/>
      <c r="F59" s="94">
        <f>SUM(F46:F57)</f>
        <v>261138245</v>
      </c>
      <c r="G59" s="94">
        <f>SUM(G46:G57)</f>
        <v>2179258</v>
      </c>
      <c r="H59" s="94">
        <f>SUM(H45:H57)</f>
        <v>263317503</v>
      </c>
    </row>
    <row r="60" spans="1:8">
      <c r="F60" s="83"/>
      <c r="G60" s="83"/>
      <c r="H60" s="83"/>
    </row>
    <row r="61" spans="1:8">
      <c r="C61" s="10" t="s">
        <v>47</v>
      </c>
      <c r="D61" s="10"/>
      <c r="E61" s="10"/>
      <c r="F61" s="216">
        <f>F59+F38</f>
        <v>300263764</v>
      </c>
      <c r="G61" s="216">
        <f t="shared" ref="G61:H61" si="6">G59+G38</f>
        <v>2565460</v>
      </c>
      <c r="H61" s="216">
        <f t="shared" si="6"/>
        <v>302829224</v>
      </c>
    </row>
  </sheetData>
  <mergeCells count="2">
    <mergeCell ref="D2:F2"/>
    <mergeCell ref="F4:G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65"/>
  <sheetViews>
    <sheetView zoomScale="70" zoomScaleNormal="70" zoomScalePageLayoutView="70" workbookViewId="0">
      <selection activeCell="I10" sqref="I10"/>
    </sheetView>
  </sheetViews>
  <sheetFormatPr defaultColWidth="8.85546875" defaultRowHeight="14.45"/>
  <cols>
    <col min="1" max="1" width="3.28515625" customWidth="1"/>
    <col min="2" max="2" width="3" customWidth="1"/>
    <col min="3" max="3" width="15.85546875" customWidth="1"/>
    <col min="4" max="4" width="14.85546875" customWidth="1"/>
    <col min="5" max="5" width="10.28515625" customWidth="1"/>
    <col min="6" max="6" width="12.42578125" customWidth="1"/>
    <col min="7" max="7" width="23" customWidth="1"/>
    <col min="8" max="8" width="17.140625" customWidth="1"/>
    <col min="9" max="9" width="18.7109375" customWidth="1"/>
    <col min="10" max="10" width="17.28515625" customWidth="1"/>
  </cols>
  <sheetData>
    <row r="1" spans="1:11" ht="18.75" customHeight="1">
      <c r="A1" s="1"/>
      <c r="B1" s="1"/>
      <c r="C1" s="1"/>
      <c r="D1" s="272" t="s">
        <v>522</v>
      </c>
      <c r="E1" s="272"/>
      <c r="F1" s="272"/>
      <c r="G1" s="272"/>
      <c r="H1" s="272"/>
      <c r="I1" s="97"/>
    </row>
    <row r="2" spans="1:11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</row>
    <row r="4" spans="1:11" ht="31.5" customHeight="1">
      <c r="H4" s="105" t="s">
        <v>3</v>
      </c>
      <c r="I4" s="105" t="s">
        <v>157</v>
      </c>
      <c r="J4" s="106" t="s">
        <v>74</v>
      </c>
      <c r="K4" s="5"/>
    </row>
    <row r="5" spans="1:11">
      <c r="A5" s="3" t="s">
        <v>5</v>
      </c>
      <c r="D5" s="3"/>
      <c r="G5" s="4"/>
      <c r="H5" s="4"/>
      <c r="I5" s="4"/>
    </row>
    <row r="6" spans="1:11">
      <c r="A6" s="3"/>
      <c r="B6" s="5" t="s">
        <v>6</v>
      </c>
      <c r="D6" s="3"/>
      <c r="G6" s="4"/>
      <c r="H6" s="76"/>
      <c r="I6" s="76"/>
      <c r="J6" s="83"/>
    </row>
    <row r="7" spans="1:11">
      <c r="C7" t="s">
        <v>7</v>
      </c>
      <c r="H7" s="77">
        <v>106567890</v>
      </c>
      <c r="I7" s="83">
        <v>330318</v>
      </c>
      <c r="J7" s="83">
        <f>SUM(H7:I7)</f>
        <v>106898208</v>
      </c>
    </row>
    <row r="8" spans="1:11">
      <c r="C8" t="s">
        <v>8</v>
      </c>
      <c r="H8" s="84">
        <v>3103</v>
      </c>
      <c r="I8" s="83"/>
      <c r="J8" s="83">
        <f t="shared" ref="J8:J9" si="0">SUM(H8:I8)</f>
        <v>3103</v>
      </c>
    </row>
    <row r="9" spans="1:11">
      <c r="C9" t="s">
        <v>523</v>
      </c>
      <c r="H9" s="78">
        <v>65493974</v>
      </c>
      <c r="I9" s="83">
        <v>4920337</v>
      </c>
      <c r="J9" s="83">
        <f t="shared" si="0"/>
        <v>70414311</v>
      </c>
    </row>
    <row r="10" spans="1:11">
      <c r="C10" t="s">
        <v>125</v>
      </c>
      <c r="H10" s="79">
        <v>1199944</v>
      </c>
      <c r="I10" s="83">
        <v>6562</v>
      </c>
      <c r="J10" s="83">
        <f>SUM(H10:I10)</f>
        <v>1206506</v>
      </c>
    </row>
    <row r="11" spans="1:11">
      <c r="H11" s="81"/>
      <c r="I11" s="81"/>
      <c r="J11" s="81"/>
    </row>
    <row r="12" spans="1:11" s="5" customFormat="1">
      <c r="C12" s="102" t="s">
        <v>393</v>
      </c>
      <c r="D12" s="102"/>
      <c r="E12" s="102"/>
      <c r="F12" s="102"/>
      <c r="G12" s="102"/>
      <c r="H12" s="103">
        <f>SUM(H7:H10)</f>
        <v>173264911</v>
      </c>
      <c r="I12" s="103">
        <f>SUM(I7:I10)</f>
        <v>5257217</v>
      </c>
      <c r="J12" s="103">
        <f>SUM(J7:J10)</f>
        <v>178522128</v>
      </c>
    </row>
    <row r="13" spans="1:11">
      <c r="H13" s="83"/>
      <c r="I13" s="83"/>
      <c r="J13" s="83"/>
    </row>
    <row r="14" spans="1:11" s="5" customFormat="1">
      <c r="B14" s="5" t="s">
        <v>524</v>
      </c>
      <c r="H14" s="100"/>
      <c r="I14" s="100"/>
      <c r="J14" s="100"/>
    </row>
    <row r="15" spans="1:11" s="5" customFormat="1">
      <c r="C15" t="s">
        <v>76</v>
      </c>
      <c r="H15" s="79">
        <v>2073727</v>
      </c>
      <c r="I15" s="83">
        <v>-2073727</v>
      </c>
      <c r="J15" s="83">
        <f>SUM(H15:I15)</f>
        <v>0</v>
      </c>
    </row>
    <row r="16" spans="1:11">
      <c r="C16" t="s">
        <v>54</v>
      </c>
      <c r="H16" s="80">
        <v>329099468</v>
      </c>
      <c r="I16" s="83">
        <v>79152492</v>
      </c>
      <c r="J16" s="83">
        <f>SUM(H16:I16)</f>
        <v>408251960</v>
      </c>
    </row>
    <row r="17" spans="1:10">
      <c r="C17" t="s">
        <v>291</v>
      </c>
      <c r="H17" s="80">
        <v>135058617</v>
      </c>
      <c r="I17" s="83">
        <v>26036945</v>
      </c>
      <c r="J17" s="83">
        <f>SUM(H17:I17)</f>
        <v>161095562</v>
      </c>
    </row>
    <row r="18" spans="1:10">
      <c r="H18" s="81"/>
      <c r="I18" s="81"/>
      <c r="J18" s="81"/>
    </row>
    <row r="19" spans="1:10" s="5" customFormat="1">
      <c r="C19" s="102" t="s">
        <v>525</v>
      </c>
      <c r="D19" s="102"/>
      <c r="E19" s="102"/>
      <c r="F19" s="102"/>
      <c r="G19" s="102"/>
      <c r="H19" s="103">
        <f>SUM(H14:H17)</f>
        <v>466231812</v>
      </c>
      <c r="I19" s="103">
        <f>SUM(I14:I17)</f>
        <v>103115710</v>
      </c>
      <c r="J19" s="103">
        <f>SUM(J14:J17)</f>
        <v>569347522</v>
      </c>
    </row>
    <row r="20" spans="1:10">
      <c r="H20" s="83"/>
      <c r="I20" s="83"/>
      <c r="J20" s="83"/>
    </row>
    <row r="21" spans="1:10" s="5" customFormat="1">
      <c r="C21" s="6" t="s">
        <v>17</v>
      </c>
      <c r="D21" s="6"/>
      <c r="E21" s="6"/>
      <c r="F21" s="6"/>
      <c r="G21" s="6"/>
      <c r="H21" s="82">
        <f>SUM(H12+H19)</f>
        <v>639496723</v>
      </c>
      <c r="I21" s="82">
        <f>SUM(I12+I19)</f>
        <v>108372927</v>
      </c>
      <c r="J21" s="82">
        <f>SUM(J12+J19)</f>
        <v>747869650</v>
      </c>
    </row>
    <row r="22" spans="1:10" s="5" customFormat="1">
      <c r="H22" s="100"/>
      <c r="I22" s="100"/>
      <c r="J22" s="100"/>
    </row>
    <row r="23" spans="1:10" s="5" customFormat="1">
      <c r="A23" s="5" t="s">
        <v>526</v>
      </c>
      <c r="H23" s="100"/>
      <c r="I23" s="100"/>
      <c r="J23" s="100"/>
    </row>
    <row r="24" spans="1:10">
      <c r="B24" t="s">
        <v>527</v>
      </c>
      <c r="H24" s="83">
        <v>7317000</v>
      </c>
      <c r="I24" s="83">
        <v>163693</v>
      </c>
      <c r="J24" s="83">
        <f>SUM(H24:I24)</f>
        <v>7480693</v>
      </c>
    </row>
    <row r="25" spans="1:10" s="5" customFormat="1">
      <c r="C25" s="5" t="s">
        <v>528</v>
      </c>
      <c r="H25" s="166">
        <f>H24+H21</f>
        <v>646813723</v>
      </c>
      <c r="I25" s="166">
        <f t="shared" ref="I25:J25" si="1">I24+I21</f>
        <v>108536620</v>
      </c>
      <c r="J25" s="166">
        <f t="shared" si="1"/>
        <v>755350343</v>
      </c>
    </row>
    <row r="26" spans="1:10">
      <c r="H26" s="83"/>
      <c r="I26" s="83"/>
      <c r="J26" s="83"/>
    </row>
    <row r="27" spans="1:10">
      <c r="A27" s="5" t="s">
        <v>22</v>
      </c>
      <c r="H27" s="83"/>
      <c r="I27" s="83"/>
      <c r="J27" s="83"/>
    </row>
    <row r="28" spans="1:10" s="5" customFormat="1">
      <c r="B28" s="5" t="s">
        <v>529</v>
      </c>
      <c r="H28" s="100"/>
      <c r="I28" s="100"/>
      <c r="J28" s="100"/>
    </row>
    <row r="29" spans="1:10">
      <c r="A29" s="5"/>
      <c r="C29" t="s">
        <v>216</v>
      </c>
      <c r="H29" s="157"/>
      <c r="I29" s="83">
        <v>4933197</v>
      </c>
      <c r="J29" s="83">
        <f t="shared" ref="J29:J37" si="2">SUM(H29:I29)</f>
        <v>4933197</v>
      </c>
    </row>
    <row r="30" spans="1:10">
      <c r="C30" t="s">
        <v>129</v>
      </c>
      <c r="H30" s="84">
        <v>13601682</v>
      </c>
      <c r="I30" s="83">
        <v>723370</v>
      </c>
      <c r="J30" s="83">
        <f t="shared" si="2"/>
        <v>14325052</v>
      </c>
    </row>
    <row r="31" spans="1:10">
      <c r="C31" t="s">
        <v>31</v>
      </c>
      <c r="H31" s="158">
        <v>3895000</v>
      </c>
      <c r="I31" s="83"/>
      <c r="J31" s="83">
        <f t="shared" si="2"/>
        <v>3895000</v>
      </c>
    </row>
    <row r="32" spans="1:10">
      <c r="C32" t="s">
        <v>322</v>
      </c>
      <c r="H32" s="149">
        <v>49724</v>
      </c>
      <c r="I32" s="83"/>
      <c r="J32" s="83">
        <f t="shared" si="2"/>
        <v>49724</v>
      </c>
    </row>
    <row r="33" spans="2:10">
      <c r="C33" t="s">
        <v>331</v>
      </c>
      <c r="H33" s="107">
        <v>11382905</v>
      </c>
      <c r="I33" s="83"/>
      <c r="J33" s="83">
        <f t="shared" si="2"/>
        <v>11382905</v>
      </c>
    </row>
    <row r="34" spans="2:10">
      <c r="C34" t="s">
        <v>27</v>
      </c>
      <c r="H34" s="149">
        <v>1531476</v>
      </c>
      <c r="I34" s="83"/>
      <c r="J34" s="83">
        <f t="shared" si="2"/>
        <v>1531476</v>
      </c>
    </row>
    <row r="35" spans="2:10">
      <c r="C35" t="s">
        <v>115</v>
      </c>
      <c r="H35" s="123">
        <v>1085692</v>
      </c>
      <c r="I35" s="83">
        <v>40681</v>
      </c>
      <c r="J35" s="83">
        <f t="shared" si="2"/>
        <v>1126373</v>
      </c>
    </row>
    <row r="36" spans="2:10">
      <c r="C36" t="s">
        <v>330</v>
      </c>
      <c r="H36" s="96">
        <v>35330</v>
      </c>
      <c r="I36" s="83">
        <v>429470</v>
      </c>
      <c r="J36" s="83">
        <f>SUM(H36:I36)</f>
        <v>464800</v>
      </c>
    </row>
    <row r="37" spans="2:10">
      <c r="C37" t="s">
        <v>234</v>
      </c>
      <c r="H37" s="79">
        <v>963639</v>
      </c>
      <c r="I37" s="83">
        <v>130128</v>
      </c>
      <c r="J37" s="83">
        <f t="shared" si="2"/>
        <v>1093767</v>
      </c>
    </row>
    <row r="38" spans="2:10">
      <c r="H38" s="81"/>
      <c r="I38" s="81"/>
      <c r="J38" s="81"/>
    </row>
    <row r="39" spans="2:10">
      <c r="D39" s="102" t="s">
        <v>409</v>
      </c>
      <c r="E39" s="104"/>
      <c r="F39" s="104"/>
      <c r="G39" s="104"/>
      <c r="H39" s="103">
        <f>SUM(H29:H37)</f>
        <v>32545448</v>
      </c>
      <c r="I39" s="103">
        <f>SUM(I29:I37)</f>
        <v>6256846</v>
      </c>
      <c r="J39" s="103">
        <f>SUM(J29:J37)</f>
        <v>38802294</v>
      </c>
    </row>
    <row r="40" spans="2:10">
      <c r="H40" s="83"/>
      <c r="I40" s="83"/>
      <c r="J40" s="83"/>
    </row>
    <row r="41" spans="2:10" s="5" customFormat="1">
      <c r="B41" s="5" t="s">
        <v>530</v>
      </c>
      <c r="H41" s="100"/>
      <c r="I41" s="100"/>
      <c r="J41" s="100"/>
    </row>
    <row r="42" spans="2:10" s="5" customFormat="1">
      <c r="C42" t="s">
        <v>531</v>
      </c>
      <c r="H42" s="79">
        <v>4526860</v>
      </c>
      <c r="I42" s="100"/>
      <c r="J42" s="83">
        <f t="shared" ref="J42:J44" si="3">SUM(H42:I42)</f>
        <v>4526860</v>
      </c>
    </row>
    <row r="43" spans="2:10" s="5" customFormat="1">
      <c r="C43" t="s">
        <v>322</v>
      </c>
      <c r="H43" s="84">
        <v>126286</v>
      </c>
      <c r="I43" s="100"/>
      <c r="J43" s="83">
        <f t="shared" si="3"/>
        <v>126286</v>
      </c>
    </row>
    <row r="44" spans="2:10" s="5" customFormat="1">
      <c r="C44" t="s">
        <v>532</v>
      </c>
      <c r="H44" s="78">
        <v>2989446</v>
      </c>
      <c r="I44" s="100"/>
      <c r="J44" s="83">
        <f t="shared" si="3"/>
        <v>2989446</v>
      </c>
    </row>
    <row r="45" spans="2:10">
      <c r="C45" t="s">
        <v>533</v>
      </c>
      <c r="H45" s="78">
        <v>114902122</v>
      </c>
      <c r="I45" s="83"/>
      <c r="J45" s="83">
        <f>SUM(H45:I45)</f>
        <v>114902122</v>
      </c>
    </row>
    <row r="46" spans="2:10">
      <c r="C46" t="s">
        <v>116</v>
      </c>
      <c r="H46" s="84">
        <v>24017610</v>
      </c>
      <c r="I46" s="83">
        <v>869565</v>
      </c>
      <c r="J46" s="83">
        <f>SUM(H46:I46)</f>
        <v>24887175</v>
      </c>
    </row>
    <row r="47" spans="2:10">
      <c r="C47" t="s">
        <v>34</v>
      </c>
      <c r="H47" s="84">
        <v>9876324</v>
      </c>
      <c r="I47" s="83">
        <v>32996</v>
      </c>
      <c r="J47" s="83">
        <f>SUM(H47:I47)</f>
        <v>9909320</v>
      </c>
    </row>
    <row r="48" spans="2:10">
      <c r="H48" s="81"/>
      <c r="I48" s="81"/>
      <c r="J48" s="81"/>
    </row>
    <row r="49" spans="1:10">
      <c r="D49" s="102" t="s">
        <v>534</v>
      </c>
      <c r="E49" s="104"/>
      <c r="F49" s="104"/>
      <c r="G49" s="104"/>
      <c r="H49" s="103">
        <f>SUM(H42:H47)</f>
        <v>156438648</v>
      </c>
      <c r="I49" s="103">
        <f t="shared" ref="I49:J49" si="4">SUM(I42:I47)</f>
        <v>902561</v>
      </c>
      <c r="J49" s="103">
        <f t="shared" si="4"/>
        <v>157341209</v>
      </c>
    </row>
    <row r="50" spans="1:10">
      <c r="H50" s="83"/>
      <c r="I50" s="83"/>
      <c r="J50" s="83"/>
    </row>
    <row r="51" spans="1:10">
      <c r="D51" s="7" t="s">
        <v>36</v>
      </c>
      <c r="E51" s="8"/>
      <c r="F51" s="8"/>
      <c r="G51" s="8"/>
      <c r="H51" s="87">
        <f>SUM(H39+H49)</f>
        <v>188984096</v>
      </c>
      <c r="I51" s="87">
        <f>SUM(I49+I39)</f>
        <v>7159407</v>
      </c>
      <c r="J51" s="87">
        <f>SUM(J39+J49)</f>
        <v>196143503</v>
      </c>
    </row>
    <row r="52" spans="1:10">
      <c r="D52" s="5"/>
      <c r="H52" s="100"/>
      <c r="I52" s="100"/>
      <c r="J52" s="100"/>
    </row>
    <row r="53" spans="1:10" s="5" customFormat="1">
      <c r="A53" s="5" t="s">
        <v>535</v>
      </c>
      <c r="H53" s="100"/>
      <c r="I53" s="100"/>
      <c r="J53" s="100"/>
    </row>
    <row r="54" spans="1:10">
      <c r="B54" t="s">
        <v>536</v>
      </c>
      <c r="H54" s="83">
        <v>1009468</v>
      </c>
      <c r="I54" s="83">
        <v>14817</v>
      </c>
      <c r="J54" s="83">
        <f>SUM(H54:I54)</f>
        <v>1024285</v>
      </c>
    </row>
    <row r="55" spans="1:10" s="5" customFormat="1">
      <c r="C55" s="5" t="s">
        <v>528</v>
      </c>
      <c r="H55" s="166">
        <f>H54+H50</f>
        <v>1009468</v>
      </c>
      <c r="I55" s="166">
        <f t="shared" ref="I55" si="5">I54+I50</f>
        <v>14817</v>
      </c>
      <c r="J55" s="166">
        <f t="shared" ref="J55" si="6">J54+J50</f>
        <v>1024285</v>
      </c>
    </row>
    <row r="56" spans="1:10">
      <c r="H56" s="83"/>
      <c r="I56" s="83"/>
      <c r="J56" s="83"/>
    </row>
    <row r="57" spans="1:10">
      <c r="A57" s="3" t="s">
        <v>99</v>
      </c>
      <c r="H57" s="83"/>
      <c r="I57" s="83"/>
      <c r="J57" s="83"/>
    </row>
    <row r="58" spans="1:10">
      <c r="B58" t="s">
        <v>537</v>
      </c>
      <c r="H58" s="88">
        <v>345913086</v>
      </c>
      <c r="I58" s="83">
        <v>105189437</v>
      </c>
      <c r="J58" s="83">
        <f>SUM(H58:I58)</f>
        <v>451102523</v>
      </c>
    </row>
    <row r="59" spans="1:10">
      <c r="B59" t="s">
        <v>219</v>
      </c>
      <c r="H59" s="89">
        <v>83817891</v>
      </c>
      <c r="I59" s="83"/>
      <c r="J59" s="83">
        <f>SUM(H59:I59)</f>
        <v>83817891</v>
      </c>
    </row>
    <row r="60" spans="1:10">
      <c r="B60" t="s">
        <v>432</v>
      </c>
      <c r="H60" s="93">
        <v>27089182</v>
      </c>
      <c r="I60" s="83">
        <v>-3827041</v>
      </c>
      <c r="J60" s="83">
        <f t="shared" ref="J60" si="7">SUM(H60:I60)</f>
        <v>23262141</v>
      </c>
    </row>
    <row r="61" spans="1:10">
      <c r="H61" s="81"/>
      <c r="I61" s="81"/>
      <c r="J61" s="81"/>
    </row>
    <row r="62" spans="1:10" s="3" customFormat="1">
      <c r="C62" s="9" t="s">
        <v>105</v>
      </c>
      <c r="D62" s="9"/>
      <c r="E62" s="9"/>
      <c r="F62" s="9"/>
      <c r="G62" s="9"/>
      <c r="H62" s="94">
        <f>SUM(H58:H60)</f>
        <v>456820159</v>
      </c>
      <c r="I62" s="94">
        <f>SUM(I58:I60)</f>
        <v>101362396</v>
      </c>
      <c r="J62" s="94">
        <f>SUM(J57:J60)</f>
        <v>558182555</v>
      </c>
    </row>
    <row r="63" spans="1:10">
      <c r="H63" s="83"/>
      <c r="I63" s="83"/>
      <c r="J63" s="83"/>
    </row>
    <row r="64" spans="1:10" s="3" customFormat="1">
      <c r="C64" s="10" t="s">
        <v>538</v>
      </c>
      <c r="D64" s="10"/>
      <c r="E64" s="10"/>
      <c r="F64" s="10"/>
      <c r="G64" s="10"/>
      <c r="H64" s="95">
        <f>SUM(H51+H62+H55)</f>
        <v>646813723</v>
      </c>
      <c r="I64" s="95">
        <f t="shared" ref="I64:J64" si="8">SUM(I51+I62+I55)</f>
        <v>108536620</v>
      </c>
      <c r="J64" s="95">
        <f t="shared" si="8"/>
        <v>755350343</v>
      </c>
    </row>
    <row r="65" spans="8:10">
      <c r="H65" s="83"/>
      <c r="I65" s="83"/>
      <c r="J65" s="83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49"/>
  <sheetViews>
    <sheetView zoomScale="80" zoomScaleNormal="80" zoomScalePageLayoutView="80" workbookViewId="0">
      <selection activeCell="J53" sqref="J53"/>
    </sheetView>
  </sheetViews>
  <sheetFormatPr defaultColWidth="8.85546875" defaultRowHeight="14.45"/>
  <cols>
    <col min="1" max="1" width="3.42578125" customWidth="1"/>
    <col min="2" max="2" width="6.42578125" customWidth="1"/>
    <col min="3" max="3" width="15" customWidth="1"/>
    <col min="4" max="4" width="24" customWidth="1"/>
    <col min="5" max="5" width="17.42578125" customWidth="1"/>
    <col min="6" max="6" width="18.42578125" customWidth="1"/>
    <col min="7" max="7" width="16.28515625" customWidth="1"/>
    <col min="8" max="8" width="11.42578125" customWidth="1"/>
    <col min="9" max="9" width="15" customWidth="1"/>
  </cols>
  <sheetData>
    <row r="1" spans="1:9" ht="18.600000000000001">
      <c r="A1" s="1"/>
      <c r="B1" s="1"/>
      <c r="C1" s="1" t="s">
        <v>539</v>
      </c>
      <c r="D1" s="1"/>
      <c r="E1" s="97"/>
      <c r="F1" s="97"/>
      <c r="G1" s="97"/>
    </row>
    <row r="2" spans="1:9" ht="18.600000000000001">
      <c r="A2" s="1"/>
      <c r="B2" s="1"/>
      <c r="C2" s="1"/>
      <c r="D2" s="271" t="s">
        <v>1</v>
      </c>
      <c r="E2" s="271"/>
      <c r="F2" s="271"/>
      <c r="G2" s="98"/>
    </row>
    <row r="4" spans="1:9" ht="29.1">
      <c r="F4" s="273" t="s">
        <v>2</v>
      </c>
      <c r="G4" s="273"/>
      <c r="H4" s="159"/>
      <c r="I4" s="267" t="s">
        <v>108</v>
      </c>
    </row>
    <row r="5" spans="1:9" ht="33.75" customHeight="1">
      <c r="F5" s="105" t="s">
        <v>3</v>
      </c>
      <c r="G5" s="105" t="s">
        <v>157</v>
      </c>
      <c r="H5" s="106" t="s">
        <v>74</v>
      </c>
      <c r="I5" s="105" t="s">
        <v>157</v>
      </c>
    </row>
    <row r="6" spans="1:9">
      <c r="A6" s="3" t="s">
        <v>5</v>
      </c>
      <c r="D6" s="3"/>
      <c r="F6" s="4"/>
      <c r="G6" s="4"/>
      <c r="I6" s="4"/>
    </row>
    <row r="7" spans="1:9">
      <c r="B7" t="s">
        <v>7</v>
      </c>
      <c r="F7" s="77">
        <v>3316480</v>
      </c>
      <c r="G7" s="83">
        <v>1183805</v>
      </c>
      <c r="H7" s="83">
        <f>SUM(F7:G7)</f>
        <v>4500285</v>
      </c>
      <c r="I7" s="83">
        <v>197148</v>
      </c>
    </row>
    <row r="8" spans="1:9">
      <c r="B8" t="s">
        <v>8</v>
      </c>
      <c r="F8" s="84">
        <v>141853</v>
      </c>
      <c r="G8" s="83"/>
      <c r="H8" s="83">
        <f t="shared" ref="H8:H17" si="0">SUM(F8:G8)</f>
        <v>141853</v>
      </c>
      <c r="I8" s="83">
        <v>181195</v>
      </c>
    </row>
    <row r="9" spans="1:9">
      <c r="B9" t="s">
        <v>75</v>
      </c>
      <c r="F9" s="78">
        <v>3467205</v>
      </c>
      <c r="G9" s="83">
        <v>510331</v>
      </c>
      <c r="H9" s="83">
        <f t="shared" si="0"/>
        <v>3977536</v>
      </c>
      <c r="I9" s="83">
        <v>170359</v>
      </c>
    </row>
    <row r="10" spans="1:9">
      <c r="B10" t="s">
        <v>51</v>
      </c>
      <c r="F10" s="220">
        <v>597623</v>
      </c>
      <c r="G10" s="83">
        <v>26465</v>
      </c>
      <c r="H10" s="83">
        <f t="shared" si="0"/>
        <v>624088</v>
      </c>
      <c r="I10" s="83">
        <v>117188</v>
      </c>
    </row>
    <row r="11" spans="1:9">
      <c r="B11" t="s">
        <v>540</v>
      </c>
      <c r="F11" s="220">
        <v>126524</v>
      </c>
      <c r="G11" s="83"/>
      <c r="H11" s="83">
        <f t="shared" si="0"/>
        <v>126524</v>
      </c>
      <c r="I11" s="83"/>
    </row>
    <row r="12" spans="1:9">
      <c r="B12" t="s">
        <v>76</v>
      </c>
      <c r="F12" s="79">
        <v>818000</v>
      </c>
      <c r="G12" s="83">
        <v>-818000</v>
      </c>
      <c r="H12" s="83">
        <f t="shared" si="0"/>
        <v>0</v>
      </c>
      <c r="I12" s="83"/>
    </row>
    <row r="13" spans="1:9">
      <c r="B13" t="s">
        <v>125</v>
      </c>
      <c r="F13" s="79">
        <v>110525</v>
      </c>
      <c r="G13" s="83">
        <v>1136</v>
      </c>
      <c r="H13" s="83">
        <f t="shared" si="0"/>
        <v>111661</v>
      </c>
      <c r="I13" s="83">
        <v>5350</v>
      </c>
    </row>
    <row r="14" spans="1:9">
      <c r="B14" t="s">
        <v>109</v>
      </c>
      <c r="F14" s="79">
        <v>15537</v>
      </c>
      <c r="G14" s="83">
        <v>24921</v>
      </c>
      <c r="H14" s="83">
        <f t="shared" si="0"/>
        <v>40458</v>
      </c>
      <c r="I14" s="83">
        <v>519</v>
      </c>
    </row>
    <row r="15" spans="1:9">
      <c r="A15" s="5"/>
      <c r="B15" t="s">
        <v>14</v>
      </c>
      <c r="C15" s="5"/>
      <c r="D15" s="5"/>
      <c r="E15" s="5"/>
      <c r="F15" s="100"/>
      <c r="G15" s="100"/>
      <c r="H15" s="83">
        <f t="shared" si="0"/>
        <v>0</v>
      </c>
      <c r="I15" s="100"/>
    </row>
    <row r="16" spans="1:9">
      <c r="C16" t="s">
        <v>15</v>
      </c>
      <c r="F16" s="80">
        <v>4044749</v>
      </c>
      <c r="G16" s="83">
        <v>236768</v>
      </c>
      <c r="H16" s="83">
        <f t="shared" si="0"/>
        <v>4281517</v>
      </c>
      <c r="I16" s="83">
        <v>81400</v>
      </c>
    </row>
    <row r="17" spans="1:9">
      <c r="C17" t="s">
        <v>16</v>
      </c>
      <c r="F17" s="91">
        <v>15190315</v>
      </c>
      <c r="G17" s="83">
        <v>2083978</v>
      </c>
      <c r="H17" s="83">
        <f t="shared" si="0"/>
        <v>17274293</v>
      </c>
      <c r="I17" s="83">
        <v>4616543</v>
      </c>
    </row>
    <row r="18" spans="1:9">
      <c r="F18" s="83"/>
      <c r="G18" s="81"/>
      <c r="H18" s="81"/>
      <c r="I18" s="81"/>
    </row>
    <row r="19" spans="1:9">
      <c r="A19" s="5"/>
      <c r="B19" s="5"/>
      <c r="C19" s="6" t="s">
        <v>17</v>
      </c>
      <c r="D19" s="6"/>
      <c r="E19" s="6"/>
      <c r="F19" s="82">
        <f>SUM(F7:F17)</f>
        <v>27828811</v>
      </c>
      <c r="G19" s="82">
        <f>SUM(G7:G17)</f>
        <v>3249404</v>
      </c>
      <c r="H19" s="82">
        <f t="shared" ref="H19:I19" si="1">SUM(H7:H17)</f>
        <v>31078215</v>
      </c>
      <c r="I19" s="82">
        <f t="shared" si="1"/>
        <v>5369702</v>
      </c>
    </row>
    <row r="20" spans="1:9">
      <c r="F20" s="83"/>
      <c r="G20" s="83"/>
      <c r="H20" s="83"/>
      <c r="I20" s="83"/>
    </row>
    <row r="21" spans="1:9">
      <c r="A21" s="5" t="s">
        <v>22</v>
      </c>
      <c r="F21" s="126"/>
      <c r="G21" s="83"/>
      <c r="H21" s="83"/>
      <c r="I21" s="83"/>
    </row>
    <row r="22" spans="1:9">
      <c r="B22" t="s">
        <v>85</v>
      </c>
      <c r="F22" s="149">
        <v>1805749</v>
      </c>
      <c r="G22" s="83">
        <v>200793</v>
      </c>
      <c r="H22" s="83">
        <f>SUM(F22:G22)</f>
        <v>2006542</v>
      </c>
      <c r="I22" s="83">
        <v>89944</v>
      </c>
    </row>
    <row r="23" spans="1:9">
      <c r="B23" t="s">
        <v>87</v>
      </c>
      <c r="F23" s="96">
        <v>519937</v>
      </c>
      <c r="G23" s="83"/>
      <c r="H23" s="83">
        <f t="shared" ref="H23:H29" si="2">SUM(F23:G23)</f>
        <v>519937</v>
      </c>
      <c r="I23" s="83">
        <v>220000</v>
      </c>
    </row>
    <row r="24" spans="1:9">
      <c r="B24" t="s">
        <v>541</v>
      </c>
      <c r="F24" s="121"/>
      <c r="G24" s="83">
        <v>803565</v>
      </c>
      <c r="H24" s="83">
        <f t="shared" si="2"/>
        <v>803565</v>
      </c>
      <c r="I24" s="83"/>
    </row>
    <row r="25" spans="1:9">
      <c r="B25" t="s">
        <v>542</v>
      </c>
      <c r="F25" s="83"/>
      <c r="G25" s="83"/>
      <c r="H25" s="83">
        <f t="shared" si="2"/>
        <v>0</v>
      </c>
      <c r="I25" s="83"/>
    </row>
    <row r="26" spans="1:9">
      <c r="C26" t="s">
        <v>92</v>
      </c>
      <c r="D26" s="5"/>
      <c r="F26" s="92">
        <v>495471</v>
      </c>
      <c r="G26" s="83">
        <v>98061</v>
      </c>
      <c r="H26" s="83">
        <f t="shared" si="2"/>
        <v>593532</v>
      </c>
      <c r="I26" s="83">
        <v>62741</v>
      </c>
    </row>
    <row r="27" spans="1:9">
      <c r="A27" s="5"/>
      <c r="B27" s="5"/>
      <c r="C27" t="s">
        <v>93</v>
      </c>
      <c r="D27" s="5"/>
      <c r="E27" s="5"/>
      <c r="F27" s="77">
        <v>5664157</v>
      </c>
      <c r="G27" s="83">
        <v>358880</v>
      </c>
      <c r="H27" s="83">
        <f t="shared" si="2"/>
        <v>6023037</v>
      </c>
      <c r="I27" s="83">
        <v>1408611</v>
      </c>
    </row>
    <row r="28" spans="1:9">
      <c r="A28" s="5"/>
      <c r="B28" s="5"/>
      <c r="C28" t="s">
        <v>96</v>
      </c>
      <c r="D28" s="5"/>
      <c r="E28" s="5"/>
      <c r="F28" s="79">
        <v>2004255</v>
      </c>
      <c r="G28" s="83"/>
      <c r="H28" s="83">
        <f t="shared" si="2"/>
        <v>2004255</v>
      </c>
      <c r="I28" s="83"/>
    </row>
    <row r="29" spans="1:9">
      <c r="A29" s="5"/>
      <c r="B29" s="5"/>
      <c r="C29" t="s">
        <v>34</v>
      </c>
      <c r="D29" s="5"/>
      <c r="E29" s="5"/>
      <c r="F29" s="79">
        <v>152946</v>
      </c>
      <c r="G29" s="83">
        <v>21307</v>
      </c>
      <c r="H29" s="83">
        <f t="shared" si="2"/>
        <v>174253</v>
      </c>
      <c r="I29" s="83"/>
    </row>
    <row r="30" spans="1:9">
      <c r="F30" s="81"/>
      <c r="G30" s="81"/>
      <c r="H30" s="81"/>
      <c r="I30" s="81"/>
    </row>
    <row r="31" spans="1:9">
      <c r="D31" s="7" t="s">
        <v>36</v>
      </c>
      <c r="E31" s="8"/>
      <c r="F31" s="87">
        <f>SUM(F22:F29)</f>
        <v>10642515</v>
      </c>
      <c r="G31" s="87">
        <f t="shared" ref="G31:I31" si="3">SUM(G22:G29)</f>
        <v>1482606</v>
      </c>
      <c r="H31" s="87">
        <f t="shared" si="3"/>
        <v>12125121</v>
      </c>
      <c r="I31" s="87">
        <f t="shared" si="3"/>
        <v>1781296</v>
      </c>
    </row>
    <row r="32" spans="1:9">
      <c r="F32" s="83"/>
      <c r="G32" s="83"/>
      <c r="H32" s="83"/>
      <c r="I32" s="83"/>
    </row>
    <row r="33" spans="1:9">
      <c r="A33" s="5" t="s">
        <v>97</v>
      </c>
      <c r="F33" s="83"/>
      <c r="G33" s="83"/>
      <c r="H33" s="83"/>
      <c r="I33" s="83"/>
    </row>
    <row r="34" spans="1:9">
      <c r="B34" t="s">
        <v>81</v>
      </c>
      <c r="F34" s="83">
        <v>61852</v>
      </c>
      <c r="G34" s="83">
        <v>9639</v>
      </c>
      <c r="H34" s="83">
        <f>SUM(F34:G34)</f>
        <v>71491</v>
      </c>
      <c r="I34" s="83">
        <v>0</v>
      </c>
    </row>
    <row r="35" spans="1:9" s="5" customFormat="1">
      <c r="C35" s="5" t="s">
        <v>98</v>
      </c>
      <c r="F35" s="166">
        <f>F34</f>
        <v>61852</v>
      </c>
      <c r="G35" s="166">
        <f t="shared" ref="G35:I35" si="4">G34</f>
        <v>9639</v>
      </c>
      <c r="H35" s="166">
        <f t="shared" si="4"/>
        <v>71491</v>
      </c>
      <c r="I35" s="166">
        <f t="shared" si="4"/>
        <v>0</v>
      </c>
    </row>
    <row r="36" spans="1:9" s="5" customFormat="1">
      <c r="F36" s="100"/>
      <c r="G36" s="100"/>
      <c r="H36" s="100"/>
      <c r="I36" s="100"/>
    </row>
    <row r="37" spans="1:9" s="5" customFormat="1">
      <c r="C37" s="5" t="s">
        <v>543</v>
      </c>
      <c r="F37" s="166">
        <f>F35+F31</f>
        <v>10704367</v>
      </c>
      <c r="G37" s="166">
        <f>G35+G31</f>
        <v>1492245</v>
      </c>
      <c r="H37" s="166">
        <f>H35+H31</f>
        <v>12196612</v>
      </c>
      <c r="I37" s="166">
        <f>I35+I31</f>
        <v>1781296</v>
      </c>
    </row>
    <row r="38" spans="1:9">
      <c r="F38" s="83"/>
      <c r="G38" s="83"/>
      <c r="H38" s="83"/>
      <c r="I38" s="83"/>
    </row>
    <row r="39" spans="1:9">
      <c r="A39" s="3" t="s">
        <v>39</v>
      </c>
      <c r="F39" s="83"/>
      <c r="G39" s="83"/>
      <c r="H39" s="83"/>
      <c r="I39" s="83"/>
    </row>
    <row r="40" spans="1:9">
      <c r="B40" t="s">
        <v>119</v>
      </c>
      <c r="F40" s="88">
        <v>13322085</v>
      </c>
      <c r="G40" s="83">
        <v>1863805</v>
      </c>
      <c r="H40" s="83">
        <f t="shared" ref="H40:H45" si="5">SUM(F40:G40)</f>
        <v>15185890</v>
      </c>
      <c r="I40" s="83">
        <v>3226591</v>
      </c>
    </row>
    <row r="41" spans="1:9">
      <c r="B41" t="s">
        <v>41</v>
      </c>
      <c r="F41" s="83"/>
      <c r="G41" s="83"/>
      <c r="H41" s="83"/>
      <c r="I41" s="83"/>
    </row>
    <row r="42" spans="1:9">
      <c r="C42" t="s">
        <v>544</v>
      </c>
      <c r="F42" s="89">
        <v>4151746</v>
      </c>
      <c r="G42" s="83"/>
      <c r="H42" s="83">
        <f t="shared" si="5"/>
        <v>4151746</v>
      </c>
      <c r="I42" s="83"/>
    </row>
    <row r="43" spans="1:9">
      <c r="C43" t="s">
        <v>545</v>
      </c>
      <c r="F43" s="89">
        <v>495092</v>
      </c>
      <c r="G43" s="83"/>
      <c r="H43" s="83">
        <f t="shared" si="5"/>
        <v>495092</v>
      </c>
      <c r="I43" s="83"/>
    </row>
    <row r="44" spans="1:9">
      <c r="C44" t="s">
        <v>42</v>
      </c>
      <c r="F44" s="89">
        <v>1930745</v>
      </c>
      <c r="G44" s="83">
        <v>35563</v>
      </c>
      <c r="H44" s="83">
        <f t="shared" si="5"/>
        <v>1966308</v>
      </c>
      <c r="I44" s="83">
        <v>80745</v>
      </c>
    </row>
    <row r="45" spans="1:9">
      <c r="B45" t="s">
        <v>45</v>
      </c>
      <c r="F45" s="93">
        <v>-2231273</v>
      </c>
      <c r="G45" s="83">
        <v>-33436</v>
      </c>
      <c r="H45" s="83">
        <f t="shared" si="5"/>
        <v>-2264709</v>
      </c>
      <c r="I45" s="83">
        <v>281070</v>
      </c>
    </row>
    <row r="46" spans="1:9">
      <c r="F46" s="81"/>
      <c r="G46" s="81"/>
      <c r="H46" s="81"/>
      <c r="I46" s="81"/>
    </row>
    <row r="47" spans="1:9">
      <c r="A47" s="3"/>
      <c r="B47" s="3"/>
      <c r="C47" s="9" t="s">
        <v>46</v>
      </c>
      <c r="D47" s="9"/>
      <c r="E47" s="9"/>
      <c r="F47" s="94">
        <f>SUM(F40:F45)</f>
        <v>17668395</v>
      </c>
      <c r="G47" s="94">
        <f t="shared" ref="G47:I47" si="6">SUM(G40:G45)</f>
        <v>1865932</v>
      </c>
      <c r="H47" s="94">
        <f t="shared" si="6"/>
        <v>19534327</v>
      </c>
      <c r="I47" s="94">
        <f t="shared" si="6"/>
        <v>3588406</v>
      </c>
    </row>
    <row r="48" spans="1:9">
      <c r="F48" s="83"/>
      <c r="G48" s="83"/>
      <c r="H48" s="83"/>
      <c r="I48" s="83"/>
    </row>
    <row r="49" spans="1:9">
      <c r="A49" s="3"/>
      <c r="B49" s="3"/>
      <c r="C49" s="10" t="s">
        <v>106</v>
      </c>
      <c r="D49" s="10"/>
      <c r="E49" s="10"/>
      <c r="F49" s="95">
        <f>SUM(F31+F47+F34)</f>
        <v>28372762</v>
      </c>
      <c r="G49" s="95">
        <f>SUM(G31+G47+G34)</f>
        <v>3358177</v>
      </c>
      <c r="H49" s="95">
        <f>SUM(H31+H47+H34)</f>
        <v>31730939</v>
      </c>
      <c r="I49" s="95">
        <f>SUM(I31+I47+I34)</f>
        <v>5369702</v>
      </c>
    </row>
  </sheetData>
  <mergeCells count="2">
    <mergeCell ref="D2:F2"/>
    <mergeCell ref="F4:G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40"/>
  <sheetViews>
    <sheetView zoomScale="60" zoomScaleNormal="60" zoomScalePageLayoutView="60" workbookViewId="0">
      <selection activeCell="H41" sqref="H41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72" t="s">
        <v>546</v>
      </c>
      <c r="E1" s="272"/>
      <c r="F1" s="272"/>
      <c r="G1" s="272"/>
      <c r="H1" s="272"/>
    </row>
    <row r="2" spans="1:10" ht="18.600000000000001">
      <c r="A2" s="1"/>
      <c r="B2" s="1"/>
      <c r="C2" s="1"/>
      <c r="D2" s="271" t="s">
        <v>1</v>
      </c>
      <c r="E2" s="271"/>
      <c r="F2" s="271"/>
      <c r="G2" s="271"/>
      <c r="H2" s="271"/>
    </row>
    <row r="4" spans="1:10">
      <c r="H4" s="268"/>
    </row>
    <row r="5" spans="1:10">
      <c r="H5" s="105">
        <v>2015</v>
      </c>
      <c r="I5" s="106">
        <v>2014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7</v>
      </c>
      <c r="H7" s="77">
        <v>43047450</v>
      </c>
      <c r="I7" s="83">
        <v>51085465</v>
      </c>
    </row>
    <row r="8" spans="1:10">
      <c r="C8" t="s">
        <v>50</v>
      </c>
      <c r="H8" s="78">
        <v>22738987</v>
      </c>
      <c r="I8" s="83">
        <v>22832720</v>
      </c>
    </row>
    <row r="9" spans="1:10">
      <c r="C9" t="s">
        <v>109</v>
      </c>
      <c r="H9" s="83"/>
      <c r="I9" s="83">
        <v>516</v>
      </c>
    </row>
    <row r="10" spans="1:10">
      <c r="C10" t="s">
        <v>137</v>
      </c>
      <c r="H10" s="121"/>
      <c r="I10" s="83"/>
    </row>
    <row r="11" spans="1:10">
      <c r="D11" t="s">
        <v>547</v>
      </c>
      <c r="H11" s="83"/>
      <c r="I11" s="83"/>
    </row>
    <row r="12" spans="1:10">
      <c r="E12" t="s">
        <v>138</v>
      </c>
      <c r="H12" s="80">
        <v>3125048</v>
      </c>
      <c r="I12" s="83">
        <v>1091998</v>
      </c>
    </row>
    <row r="13" spans="1:10">
      <c r="E13" t="s">
        <v>142</v>
      </c>
      <c r="H13" s="80">
        <v>12342066</v>
      </c>
      <c r="I13" s="83">
        <v>4503009</v>
      </c>
    </row>
    <row r="14" spans="1:10">
      <c r="D14" t="s">
        <v>548</v>
      </c>
      <c r="H14" s="83"/>
      <c r="I14" s="83"/>
    </row>
    <row r="15" spans="1:10">
      <c r="E15" t="s">
        <v>139</v>
      </c>
      <c r="H15" s="80">
        <v>9922928</v>
      </c>
      <c r="I15" s="83">
        <v>10023028</v>
      </c>
    </row>
    <row r="16" spans="1:10">
      <c r="E16" t="s">
        <v>549</v>
      </c>
      <c r="H16" s="80">
        <v>7374755</v>
      </c>
      <c r="I16" s="83">
        <v>8034400</v>
      </c>
    </row>
    <row r="17" spans="1:9">
      <c r="E17" t="s">
        <v>141</v>
      </c>
      <c r="H17" s="80">
        <v>31353451</v>
      </c>
      <c r="I17" s="83">
        <v>29558510</v>
      </c>
    </row>
    <row r="18" spans="1:9">
      <c r="D18" t="s">
        <v>180</v>
      </c>
      <c r="H18" s="237">
        <v>4009397</v>
      </c>
      <c r="I18" s="83"/>
    </row>
    <row r="19" spans="1:9">
      <c r="H19" s="83"/>
      <c r="I19" s="81"/>
    </row>
    <row r="20" spans="1:9" s="5" customFormat="1">
      <c r="C20" s="6" t="s">
        <v>17</v>
      </c>
      <c r="D20" s="6"/>
      <c r="E20" s="6"/>
      <c r="F20" s="6"/>
      <c r="G20" s="6"/>
      <c r="H20" s="82">
        <f>SUM(H7:H18)</f>
        <v>133914082</v>
      </c>
      <c r="I20" s="82">
        <f>SUM(I7:I18)</f>
        <v>127129646</v>
      </c>
    </row>
    <row r="21" spans="1:9">
      <c r="H21" s="83"/>
      <c r="I21" s="83"/>
    </row>
    <row r="22" spans="1:9">
      <c r="A22" s="5" t="s">
        <v>22</v>
      </c>
      <c r="H22" s="83"/>
      <c r="I22" s="83"/>
    </row>
    <row r="23" spans="1:9">
      <c r="C23" t="s">
        <v>144</v>
      </c>
      <c r="H23" s="84">
        <v>666080</v>
      </c>
      <c r="I23" s="83">
        <v>916265</v>
      </c>
    </row>
    <row r="24" spans="1:9">
      <c r="C24" t="s">
        <v>153</v>
      </c>
      <c r="H24" s="79">
        <v>715461</v>
      </c>
      <c r="I24" s="83">
        <v>632212</v>
      </c>
    </row>
    <row r="25" spans="1:9">
      <c r="C25" t="s">
        <v>145</v>
      </c>
      <c r="H25" s="84">
        <v>843394</v>
      </c>
      <c r="I25" s="83">
        <v>881344</v>
      </c>
    </row>
    <row r="26" spans="1:9">
      <c r="C26" t="s">
        <v>29</v>
      </c>
      <c r="H26" s="83"/>
      <c r="I26" s="83"/>
    </row>
    <row r="27" spans="1:9">
      <c r="D27" t="s">
        <v>92</v>
      </c>
      <c r="H27" s="92">
        <v>1701962</v>
      </c>
      <c r="I27" s="83">
        <v>1660074.23</v>
      </c>
    </row>
    <row r="28" spans="1:9">
      <c r="D28" t="s">
        <v>93</v>
      </c>
      <c r="H28" s="77">
        <v>62946023</v>
      </c>
      <c r="I28" s="83">
        <v>59740212.869999997</v>
      </c>
    </row>
    <row r="29" spans="1:9">
      <c r="C29" t="s">
        <v>192</v>
      </c>
      <c r="H29" s="79">
        <v>1103597</v>
      </c>
      <c r="I29" s="83"/>
    </row>
    <row r="30" spans="1:9">
      <c r="H30" s="81"/>
      <c r="I30" s="81"/>
    </row>
    <row r="31" spans="1:9">
      <c r="D31" s="7" t="s">
        <v>36</v>
      </c>
      <c r="E31" s="8"/>
      <c r="F31" s="8"/>
      <c r="G31" s="8"/>
      <c r="H31" s="87">
        <f>SUM(H23:H29)</f>
        <v>67976517</v>
      </c>
      <c r="I31" s="87">
        <f>SUM(I23:I29)</f>
        <v>63830108.099999994</v>
      </c>
    </row>
    <row r="32" spans="1:9">
      <c r="H32" s="83"/>
      <c r="I32" s="83"/>
    </row>
    <row r="33" spans="1:9">
      <c r="A33" s="3" t="s">
        <v>39</v>
      </c>
      <c r="H33" s="83"/>
      <c r="I33" s="83"/>
    </row>
    <row r="34" spans="1:9">
      <c r="B34" t="s">
        <v>119</v>
      </c>
      <c r="H34" s="88">
        <v>38384558</v>
      </c>
      <c r="I34" s="83">
        <v>26878874</v>
      </c>
    </row>
    <row r="35" spans="1:9">
      <c r="B35" t="s">
        <v>317</v>
      </c>
      <c r="H35" s="89">
        <v>3526607</v>
      </c>
      <c r="I35" s="83">
        <v>3296486</v>
      </c>
    </row>
    <row r="36" spans="1:9">
      <c r="B36" t="s">
        <v>45</v>
      </c>
      <c r="H36" s="93">
        <v>24026401</v>
      </c>
      <c r="I36" s="83">
        <v>34024176</v>
      </c>
    </row>
    <row r="37" spans="1:9">
      <c r="H37" s="81"/>
      <c r="I37" s="81"/>
    </row>
    <row r="38" spans="1:9" s="3" customFormat="1">
      <c r="C38" s="9" t="s">
        <v>105</v>
      </c>
      <c r="D38" s="9"/>
      <c r="E38" s="9"/>
      <c r="F38" s="9"/>
      <c r="G38" s="9"/>
      <c r="H38" s="94">
        <f>SUM(H34:H36)</f>
        <v>65937566</v>
      </c>
      <c r="I38" s="94">
        <f>SUM(I33:I36)</f>
        <v>64199536</v>
      </c>
    </row>
    <row r="39" spans="1:9">
      <c r="H39" s="83"/>
      <c r="I39" s="83"/>
    </row>
    <row r="40" spans="1:9">
      <c r="C40" s="10" t="s">
        <v>47</v>
      </c>
      <c r="D40" s="10"/>
      <c r="E40" s="10"/>
      <c r="F40" s="216"/>
      <c r="G40" s="216"/>
      <c r="H40" s="216">
        <f>H38+H31</f>
        <v>133914083</v>
      </c>
      <c r="I40" s="216">
        <f>I38+I31</f>
        <v>128029644.09999999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53"/>
  <sheetViews>
    <sheetView zoomScale="70" zoomScaleNormal="70" zoomScalePageLayoutView="50" workbookViewId="0">
      <selection activeCell="H52" sqref="H52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51.42578125" customWidth="1"/>
    <col min="8" max="8" width="17.140625" customWidth="1"/>
    <col min="9" max="9" width="19.85546875" customWidth="1"/>
    <col min="10" max="10" width="17.28515625" customWidth="1"/>
  </cols>
  <sheetData>
    <row r="1" spans="1:11" ht="18.75" customHeight="1">
      <c r="A1" s="1"/>
      <c r="B1" s="1"/>
      <c r="C1" s="1"/>
      <c r="D1" s="272" t="s">
        <v>550</v>
      </c>
      <c r="E1" s="272"/>
      <c r="F1" s="272"/>
      <c r="G1" s="272"/>
      <c r="H1" s="272"/>
      <c r="I1" s="97"/>
    </row>
    <row r="2" spans="1:11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</row>
    <row r="4" spans="1:11" ht="31.5" customHeight="1">
      <c r="H4" s="105" t="s">
        <v>3</v>
      </c>
      <c r="I4" s="105" t="s">
        <v>157</v>
      </c>
      <c r="J4" s="106" t="s">
        <v>74</v>
      </c>
      <c r="K4" s="5"/>
    </row>
    <row r="5" spans="1:11">
      <c r="A5" s="3" t="s">
        <v>5</v>
      </c>
      <c r="D5" s="3"/>
      <c r="G5" s="4"/>
      <c r="H5" s="4"/>
      <c r="I5" s="4"/>
    </row>
    <row r="6" spans="1:11">
      <c r="A6" s="3"/>
      <c r="B6" s="5" t="s">
        <v>6</v>
      </c>
      <c r="D6" s="3"/>
      <c r="G6" s="4"/>
      <c r="H6" s="76"/>
      <c r="I6" s="76"/>
      <c r="J6" s="83"/>
    </row>
    <row r="7" spans="1:11">
      <c r="C7" t="s">
        <v>7</v>
      </c>
      <c r="H7" s="77">
        <v>17711401</v>
      </c>
      <c r="I7" s="83">
        <v>93641</v>
      </c>
      <c r="J7" s="83">
        <f>SUM(H7:I7)</f>
        <v>17805042</v>
      </c>
    </row>
    <row r="8" spans="1:11">
      <c r="C8" t="s">
        <v>8</v>
      </c>
      <c r="H8" s="84">
        <v>15684226</v>
      </c>
      <c r="I8" s="83"/>
      <c r="J8" s="83">
        <f t="shared" ref="J8:J9" si="0">SUM(H8:I8)</f>
        <v>15684226</v>
      </c>
    </row>
    <row r="9" spans="1:11">
      <c r="C9" t="s">
        <v>50</v>
      </c>
      <c r="H9" s="78">
        <v>4685543</v>
      </c>
      <c r="I9" s="83">
        <v>807</v>
      </c>
      <c r="J9" s="83">
        <f t="shared" si="0"/>
        <v>4686350</v>
      </c>
    </row>
    <row r="10" spans="1:11">
      <c r="C10" t="s">
        <v>551</v>
      </c>
      <c r="H10" s="79">
        <v>20239</v>
      </c>
      <c r="I10" s="83"/>
      <c r="J10" s="83">
        <f>SUM(H10:I10)</f>
        <v>20239</v>
      </c>
    </row>
    <row r="11" spans="1:11">
      <c r="H11" s="81"/>
      <c r="I11" s="81"/>
      <c r="J11" s="81"/>
    </row>
    <row r="12" spans="1:11" s="5" customFormat="1">
      <c r="C12" s="102" t="s">
        <v>393</v>
      </c>
      <c r="D12" s="102"/>
      <c r="E12" s="102"/>
      <c r="F12" s="102"/>
      <c r="G12" s="102"/>
      <c r="H12" s="103">
        <f>SUM(H7:H10)</f>
        <v>38101409</v>
      </c>
      <c r="I12" s="103">
        <f>SUM(I7:I10)</f>
        <v>94448</v>
      </c>
      <c r="J12" s="103">
        <f>SUM(J7:J10)</f>
        <v>38195857</v>
      </c>
    </row>
    <row r="13" spans="1:11">
      <c r="H13" s="83"/>
      <c r="I13" s="83"/>
      <c r="J13" s="83"/>
    </row>
    <row r="14" spans="1:11" s="5" customFormat="1">
      <c r="B14" s="5" t="s">
        <v>524</v>
      </c>
      <c r="H14" s="100"/>
      <c r="I14" s="100"/>
      <c r="J14" s="100"/>
    </row>
    <row r="15" spans="1:11">
      <c r="C15" t="s">
        <v>54</v>
      </c>
      <c r="H15" s="80">
        <v>16044475</v>
      </c>
      <c r="I15" s="83">
        <v>205220</v>
      </c>
      <c r="J15" s="83">
        <f>SUM(H15:I15)</f>
        <v>16249695</v>
      </c>
    </row>
    <row r="16" spans="1:11">
      <c r="H16" s="81"/>
      <c r="I16" s="81"/>
      <c r="J16" s="81"/>
    </row>
    <row r="17" spans="1:10" s="5" customFormat="1">
      <c r="C17" s="6" t="s">
        <v>17</v>
      </c>
      <c r="D17" s="6"/>
      <c r="E17" s="6"/>
      <c r="F17" s="6"/>
      <c r="G17" s="6"/>
      <c r="H17" s="82">
        <f>SUM(H12+H15)</f>
        <v>54145884</v>
      </c>
      <c r="I17" s="82">
        <f t="shared" ref="I17:J17" si="1">SUM(I12+I15)</f>
        <v>299668</v>
      </c>
      <c r="J17" s="82">
        <f t="shared" si="1"/>
        <v>54445552</v>
      </c>
    </row>
    <row r="18" spans="1:10">
      <c r="H18" s="83"/>
      <c r="I18" s="83"/>
      <c r="J18" s="83"/>
    </row>
    <row r="19" spans="1:10" s="5" customFormat="1">
      <c r="A19" s="5" t="s">
        <v>18</v>
      </c>
      <c r="H19" s="197">
        <v>384360</v>
      </c>
      <c r="I19" s="197"/>
      <c r="J19" s="197">
        <f>SUM(H19:I19)</f>
        <v>384360</v>
      </c>
    </row>
    <row r="20" spans="1:10">
      <c r="H20" s="83"/>
      <c r="I20" s="83"/>
      <c r="J20" s="83"/>
    </row>
    <row r="21" spans="1:10">
      <c r="A21" s="5" t="s">
        <v>22</v>
      </c>
      <c r="H21" s="83"/>
      <c r="I21" s="83"/>
      <c r="J21" s="83"/>
    </row>
    <row r="22" spans="1:10" s="5" customFormat="1">
      <c r="B22" s="5" t="s">
        <v>529</v>
      </c>
      <c r="H22" s="100"/>
      <c r="I22" s="100"/>
      <c r="J22" s="100"/>
    </row>
    <row r="23" spans="1:10" s="5" customFormat="1">
      <c r="C23" t="s">
        <v>552</v>
      </c>
      <c r="H23" s="160">
        <v>782052</v>
      </c>
      <c r="I23" s="83">
        <v>3934</v>
      </c>
      <c r="J23" s="83">
        <f>SUM(H23:I23)</f>
        <v>785986</v>
      </c>
    </row>
    <row r="24" spans="1:10">
      <c r="A24" s="5"/>
      <c r="C24" t="s">
        <v>115</v>
      </c>
      <c r="H24" s="123">
        <v>47794</v>
      </c>
      <c r="I24" s="83"/>
      <c r="J24" s="83">
        <f>SUM(H24:I24)</f>
        <v>47794</v>
      </c>
    </row>
    <row r="25" spans="1:10">
      <c r="H25" s="81"/>
      <c r="I25" s="81"/>
      <c r="J25" s="81"/>
    </row>
    <row r="26" spans="1:10">
      <c r="D26" s="102" t="s">
        <v>409</v>
      </c>
      <c r="E26" s="104"/>
      <c r="F26" s="104"/>
      <c r="G26" s="104"/>
      <c r="H26" s="103">
        <f>SUM(H23:H24)</f>
        <v>829846</v>
      </c>
      <c r="I26" s="103">
        <f>SUM(I23:I24)</f>
        <v>3934</v>
      </c>
      <c r="J26" s="103">
        <f>SUM(J23:J24)</f>
        <v>833780</v>
      </c>
    </row>
    <row r="27" spans="1:10">
      <c r="H27" s="83"/>
      <c r="I27" s="83"/>
      <c r="J27" s="83"/>
    </row>
    <row r="28" spans="1:10" s="5" customFormat="1">
      <c r="B28" s="5" t="s">
        <v>530</v>
      </c>
      <c r="H28" s="100"/>
      <c r="I28" s="100"/>
      <c r="J28" s="100"/>
    </row>
    <row r="29" spans="1:10" s="5" customFormat="1">
      <c r="C29" t="s">
        <v>553</v>
      </c>
      <c r="H29" s="86">
        <v>17061</v>
      </c>
      <c r="I29" s="100"/>
      <c r="J29" s="83">
        <f t="shared" ref="J29:J30" si="2">SUM(H29:I29)</f>
        <v>17061</v>
      </c>
    </row>
    <row r="30" spans="1:10" s="5" customFormat="1">
      <c r="C30" t="s">
        <v>34</v>
      </c>
      <c r="H30" s="79">
        <v>115212</v>
      </c>
      <c r="I30" s="100"/>
      <c r="J30" s="83">
        <f t="shared" si="2"/>
        <v>115212</v>
      </c>
    </row>
    <row r="31" spans="1:10">
      <c r="C31" t="s">
        <v>116</v>
      </c>
      <c r="H31" s="84">
        <v>177785</v>
      </c>
      <c r="I31" s="83"/>
      <c r="J31" s="83">
        <f>SUM(H31:I31)</f>
        <v>177785</v>
      </c>
    </row>
    <row r="32" spans="1:10">
      <c r="H32" s="81"/>
      <c r="I32" s="81"/>
      <c r="J32" s="81"/>
    </row>
    <row r="33" spans="1:10">
      <c r="D33" s="102" t="s">
        <v>534</v>
      </c>
      <c r="E33" s="104"/>
      <c r="F33" s="104"/>
      <c r="G33" s="104"/>
      <c r="H33" s="103">
        <f>SUM(H29:H31)</f>
        <v>310058</v>
      </c>
      <c r="I33" s="103">
        <f>SUM(I29:I31)</f>
        <v>0</v>
      </c>
      <c r="J33" s="103">
        <f>SUM(J29:J31)</f>
        <v>310058</v>
      </c>
    </row>
    <row r="34" spans="1:10">
      <c r="H34" s="83"/>
      <c r="I34" s="83"/>
      <c r="J34" s="83"/>
    </row>
    <row r="35" spans="1:10">
      <c r="D35" s="7" t="s">
        <v>36</v>
      </c>
      <c r="E35" s="8"/>
      <c r="F35" s="8"/>
      <c r="G35" s="8"/>
      <c r="H35" s="87">
        <f>SUM(H26+H33)</f>
        <v>1139904</v>
      </c>
      <c r="I35" s="87">
        <f>SUM(I26+I33)</f>
        <v>3934</v>
      </c>
      <c r="J35" s="87">
        <f>SUM(J26+J33)</f>
        <v>1143838</v>
      </c>
    </row>
    <row r="36" spans="1:10">
      <c r="H36" s="83"/>
      <c r="I36" s="83"/>
      <c r="J36" s="83"/>
    </row>
    <row r="37" spans="1:10" s="5" customFormat="1">
      <c r="A37" s="5" t="s">
        <v>37</v>
      </c>
      <c r="H37" s="197">
        <v>64801</v>
      </c>
      <c r="I37" s="197"/>
      <c r="J37" s="197">
        <f>SUM(H37:I37)</f>
        <v>64801</v>
      </c>
    </row>
    <row r="38" spans="1:10">
      <c r="H38" s="83"/>
      <c r="I38" s="83"/>
      <c r="J38" s="83"/>
    </row>
    <row r="39" spans="1:10">
      <c r="A39" s="3" t="s">
        <v>99</v>
      </c>
      <c r="H39" s="83"/>
      <c r="I39" s="83"/>
      <c r="J39" s="83"/>
    </row>
    <row r="40" spans="1:10">
      <c r="B40" t="s">
        <v>40</v>
      </c>
      <c r="H40" s="88">
        <v>16044475</v>
      </c>
      <c r="I40" s="83">
        <v>205220</v>
      </c>
      <c r="J40" s="83">
        <f t="shared" ref="J40:J48" si="3">SUM(H40:I40)</f>
        <v>16249695</v>
      </c>
    </row>
    <row r="41" spans="1:10">
      <c r="B41" t="s">
        <v>41</v>
      </c>
      <c r="H41" s="83"/>
      <c r="I41" s="83"/>
      <c r="J41" s="83"/>
    </row>
    <row r="42" spans="1:10">
      <c r="C42" t="s">
        <v>554</v>
      </c>
      <c r="H42" s="83"/>
      <c r="I42" s="83"/>
      <c r="J42" s="83">
        <f t="shared" si="3"/>
        <v>0</v>
      </c>
    </row>
    <row r="43" spans="1:10">
      <c r="D43" t="s">
        <v>555</v>
      </c>
      <c r="H43" s="89">
        <v>5744400</v>
      </c>
      <c r="I43" s="83"/>
      <c r="J43" s="83"/>
    </row>
    <row r="44" spans="1:10">
      <c r="C44" t="s">
        <v>556</v>
      </c>
      <c r="H44" s="89">
        <v>4874153</v>
      </c>
      <c r="I44" s="83"/>
      <c r="J44" s="83">
        <f t="shared" si="3"/>
        <v>4874153</v>
      </c>
    </row>
    <row r="45" spans="1:10">
      <c r="C45" t="s">
        <v>557</v>
      </c>
      <c r="H45" s="89">
        <v>2292400</v>
      </c>
      <c r="I45" s="83"/>
      <c r="J45" s="83">
        <f t="shared" si="3"/>
        <v>2292400</v>
      </c>
    </row>
    <row r="46" spans="1:10">
      <c r="C46" t="s">
        <v>558</v>
      </c>
      <c r="H46" s="89">
        <v>200499</v>
      </c>
      <c r="I46" s="83"/>
      <c r="J46" s="83">
        <f t="shared" si="3"/>
        <v>200499</v>
      </c>
    </row>
    <row r="47" spans="1:10">
      <c r="C47" t="s">
        <v>559</v>
      </c>
      <c r="H47" s="89">
        <v>455932</v>
      </c>
      <c r="I47" s="83"/>
      <c r="J47" s="83">
        <f t="shared" si="3"/>
        <v>455932</v>
      </c>
    </row>
    <row r="48" spans="1:10">
      <c r="B48" t="s">
        <v>45</v>
      </c>
      <c r="H48" s="93">
        <v>23713680</v>
      </c>
      <c r="I48" s="83">
        <v>90514</v>
      </c>
      <c r="J48" s="83">
        <f t="shared" si="3"/>
        <v>23804194</v>
      </c>
    </row>
    <row r="49" spans="3:10">
      <c r="H49" s="81"/>
      <c r="I49" s="81"/>
      <c r="J49" s="81"/>
    </row>
    <row r="50" spans="3:10" s="3" customFormat="1">
      <c r="C50" s="9" t="s">
        <v>46</v>
      </c>
      <c r="D50" s="9"/>
      <c r="E50" s="9"/>
      <c r="F50" s="9"/>
      <c r="G50" s="9"/>
      <c r="H50" s="94">
        <f>SUM(H40:H48)</f>
        <v>53325539</v>
      </c>
      <c r="I50" s="94">
        <f t="shared" ref="I50:J50" si="4">SUM(I40:I48)</f>
        <v>295734</v>
      </c>
      <c r="J50" s="94">
        <f t="shared" si="4"/>
        <v>47876873</v>
      </c>
    </row>
    <row r="51" spans="3:10">
      <c r="H51" s="83"/>
      <c r="I51" s="83"/>
      <c r="J51" s="83"/>
    </row>
    <row r="52" spans="3:10" s="3" customFormat="1">
      <c r="C52" s="10" t="s">
        <v>47</v>
      </c>
      <c r="D52" s="10"/>
      <c r="E52" s="10"/>
      <c r="F52" s="10"/>
      <c r="G52" s="10"/>
      <c r="H52" s="95">
        <f>SUM(H35+H50+H37)</f>
        <v>54530244</v>
      </c>
      <c r="I52" s="95">
        <f t="shared" ref="I52:J52" si="5">SUM(I35+I50+I37)</f>
        <v>299668</v>
      </c>
      <c r="J52" s="95">
        <f t="shared" si="5"/>
        <v>49085512</v>
      </c>
    </row>
    <row r="53" spans="3:10">
      <c r="H53" s="83"/>
      <c r="I53" s="83"/>
      <c r="J53" s="83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36"/>
  <sheetViews>
    <sheetView zoomScale="70" zoomScaleNormal="70" zoomScalePageLayoutView="70" workbookViewId="0">
      <selection activeCell="P34" sqref="P34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560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232</v>
      </c>
      <c r="G6" s="77">
        <v>8166634</v>
      </c>
    </row>
    <row r="7" spans="1:7">
      <c r="B7" t="s">
        <v>50</v>
      </c>
      <c r="G7" s="78">
        <v>2798324</v>
      </c>
    </row>
    <row r="8" spans="1:7">
      <c r="B8" t="s">
        <v>14</v>
      </c>
      <c r="G8" s="83"/>
    </row>
    <row r="9" spans="1:7">
      <c r="C9" t="s">
        <v>138</v>
      </c>
      <c r="G9" s="80">
        <v>300273</v>
      </c>
    </row>
    <row r="10" spans="1:7">
      <c r="C10" t="s">
        <v>179</v>
      </c>
      <c r="G10" s="91">
        <v>2270299</v>
      </c>
    </row>
    <row r="11" spans="1:7">
      <c r="G11" s="83"/>
    </row>
    <row r="12" spans="1:7">
      <c r="A12" s="5"/>
      <c r="B12" s="6" t="s">
        <v>17</v>
      </c>
      <c r="C12" s="6"/>
      <c r="D12" s="6"/>
      <c r="E12" s="6"/>
      <c r="F12" s="6"/>
      <c r="G12" s="82">
        <f>SUM(G6:G10)</f>
        <v>13535530</v>
      </c>
    </row>
    <row r="13" spans="1:7">
      <c r="A13" s="5"/>
      <c r="B13" s="5"/>
      <c r="C13" s="5"/>
      <c r="D13" s="5"/>
      <c r="E13" s="5"/>
      <c r="F13" s="5"/>
      <c r="G13" s="100"/>
    </row>
    <row r="14" spans="1:7">
      <c r="A14" s="5" t="s">
        <v>18</v>
      </c>
      <c r="B14" s="5"/>
      <c r="C14" s="5"/>
      <c r="D14" s="5"/>
      <c r="E14" s="5"/>
      <c r="F14" s="5"/>
      <c r="G14" s="100"/>
    </row>
    <row r="15" spans="1:7">
      <c r="B15" t="s">
        <v>477</v>
      </c>
      <c r="G15" s="122">
        <v>463319</v>
      </c>
    </row>
    <row r="16" spans="1:7">
      <c r="G16" s="83"/>
    </row>
    <row r="17" spans="1:7">
      <c r="A17" s="5" t="s">
        <v>22</v>
      </c>
      <c r="G17" s="83"/>
    </row>
    <row r="18" spans="1:7">
      <c r="A18" s="5"/>
      <c r="B18" t="s">
        <v>23</v>
      </c>
      <c r="G18" s="161">
        <v>250383</v>
      </c>
    </row>
    <row r="19" spans="1:7">
      <c r="B19" t="s">
        <v>561</v>
      </c>
      <c r="G19" s="84">
        <v>61306</v>
      </c>
    </row>
    <row r="20" spans="1:7">
      <c r="B20" t="s">
        <v>480</v>
      </c>
      <c r="G20" s="79">
        <v>84471</v>
      </c>
    </row>
    <row r="21" spans="1:7">
      <c r="G21" s="81"/>
    </row>
    <row r="22" spans="1:7">
      <c r="C22" s="7" t="s">
        <v>36</v>
      </c>
      <c r="D22" s="8"/>
      <c r="E22" s="8"/>
      <c r="F22" s="8"/>
      <c r="G22" s="87">
        <f>SUM(G18:G20)</f>
        <v>396160</v>
      </c>
    </row>
    <row r="23" spans="1:7">
      <c r="G23" s="83"/>
    </row>
    <row r="24" spans="1:7">
      <c r="A24" s="5" t="s">
        <v>37</v>
      </c>
      <c r="G24" s="83"/>
    </row>
    <row r="25" spans="1:7">
      <c r="B25" t="s">
        <v>169</v>
      </c>
      <c r="G25" s="83">
        <v>2700584</v>
      </c>
    </row>
    <row r="26" spans="1:7">
      <c r="B26" t="s">
        <v>482</v>
      </c>
      <c r="G26" s="83">
        <v>37551</v>
      </c>
    </row>
    <row r="27" spans="1:7" s="5" customFormat="1">
      <c r="C27" s="5" t="s">
        <v>98</v>
      </c>
      <c r="G27" s="166">
        <f>SUM(G25:G26)</f>
        <v>2738135</v>
      </c>
    </row>
    <row r="28" spans="1:7">
      <c r="G28" s="83"/>
    </row>
    <row r="29" spans="1:7">
      <c r="A29" s="3" t="s">
        <v>99</v>
      </c>
      <c r="G29" s="83"/>
    </row>
    <row r="30" spans="1:7">
      <c r="B30" t="s">
        <v>40</v>
      </c>
      <c r="G30" s="88">
        <v>2570572</v>
      </c>
    </row>
    <row r="31" spans="1:7">
      <c r="B31" t="s">
        <v>484</v>
      </c>
      <c r="G31" s="89">
        <v>6385675</v>
      </c>
    </row>
    <row r="32" spans="1:7">
      <c r="B32" t="s">
        <v>45</v>
      </c>
      <c r="G32" s="93">
        <v>1908307</v>
      </c>
    </row>
    <row r="33" spans="1:7">
      <c r="G33" s="81"/>
    </row>
    <row r="34" spans="1:7">
      <c r="A34" s="3"/>
      <c r="B34" s="9" t="s">
        <v>105</v>
      </c>
      <c r="C34" s="9"/>
      <c r="D34" s="9"/>
      <c r="E34" s="9"/>
      <c r="F34" s="9"/>
      <c r="G34" s="94">
        <f>SUM(G30:G32)</f>
        <v>10864554</v>
      </c>
    </row>
    <row r="35" spans="1:7">
      <c r="G35" s="83"/>
    </row>
    <row r="36" spans="1:7">
      <c r="B36" s="10" t="s">
        <v>47</v>
      </c>
      <c r="C36" s="10"/>
      <c r="D36" s="10"/>
      <c r="E36" s="10"/>
      <c r="F36" s="10"/>
      <c r="G36" s="95">
        <f>G34+G22+G27</f>
        <v>13998849</v>
      </c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2D050"/>
  </sheetPr>
  <dimension ref="A1:J39"/>
  <sheetViews>
    <sheetView topLeftCell="A23" workbookViewId="0">
      <selection activeCell="J39" sqref="J39"/>
    </sheetView>
  </sheetViews>
  <sheetFormatPr defaultColWidth="8.85546875" defaultRowHeight="14.45"/>
  <cols>
    <col min="1" max="1" width="3.28515625" customWidth="1"/>
    <col min="2" max="2" width="3" customWidth="1"/>
    <col min="3" max="3" width="3.28515625" customWidth="1"/>
    <col min="4" max="4" width="4.28515625" customWidth="1"/>
    <col min="5" max="5" width="5.42578125" customWidth="1"/>
    <col min="6" max="6" width="12.4257812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72" t="s">
        <v>562</v>
      </c>
      <c r="E1" s="272"/>
      <c r="F1" s="272"/>
      <c r="G1" s="272"/>
      <c r="H1" s="272"/>
    </row>
    <row r="2" spans="1:10" ht="18.600000000000001">
      <c r="A2" s="1"/>
      <c r="B2" s="1"/>
      <c r="C2" s="1"/>
      <c r="D2" s="271" t="s">
        <v>1</v>
      </c>
      <c r="E2" s="271"/>
      <c r="F2" s="271"/>
      <c r="G2" s="271"/>
      <c r="H2" s="271"/>
    </row>
    <row r="3" spans="1:10" ht="18.600000000000001">
      <c r="A3" s="1"/>
      <c r="B3" s="1"/>
      <c r="C3" s="1"/>
      <c r="D3" s="98"/>
      <c r="E3" s="98"/>
      <c r="F3" s="98"/>
      <c r="G3" s="98"/>
      <c r="H3" s="98"/>
    </row>
    <row r="5" spans="1:10">
      <c r="H5" s="105">
        <v>2015</v>
      </c>
      <c r="I5" s="106">
        <v>2014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7</v>
      </c>
      <c r="H7" s="77">
        <v>10266086</v>
      </c>
      <c r="I7" s="83">
        <v>9360736</v>
      </c>
    </row>
    <row r="8" spans="1:10">
      <c r="C8" t="s">
        <v>50</v>
      </c>
      <c r="H8" s="78">
        <v>3646800</v>
      </c>
      <c r="I8" s="83">
        <v>3889321</v>
      </c>
    </row>
    <row r="9" spans="1:10">
      <c r="C9" t="s">
        <v>137</v>
      </c>
      <c r="H9" s="121"/>
      <c r="I9" s="83"/>
    </row>
    <row r="10" spans="1:10">
      <c r="E10" t="s">
        <v>138</v>
      </c>
      <c r="H10" s="80">
        <v>639576</v>
      </c>
      <c r="I10" s="83">
        <v>639576</v>
      </c>
    </row>
    <row r="11" spans="1:10">
      <c r="E11" t="s">
        <v>142</v>
      </c>
      <c r="I11" s="83">
        <v>2281793</v>
      </c>
    </row>
    <row r="12" spans="1:10">
      <c r="E12" t="s">
        <v>139</v>
      </c>
      <c r="H12" s="80">
        <v>2129702</v>
      </c>
      <c r="I12" s="83">
        <v>2199290</v>
      </c>
    </row>
    <row r="13" spans="1:10">
      <c r="E13" t="s">
        <v>358</v>
      </c>
      <c r="H13" s="80">
        <v>2983878</v>
      </c>
      <c r="I13" s="83">
        <v>2943475</v>
      </c>
    </row>
    <row r="14" spans="1:10">
      <c r="E14" t="s">
        <v>549</v>
      </c>
      <c r="H14" s="80">
        <v>21081</v>
      </c>
      <c r="I14" s="83">
        <v>12573</v>
      </c>
    </row>
    <row r="15" spans="1:10">
      <c r="E15" t="s">
        <v>563</v>
      </c>
      <c r="H15" s="83"/>
      <c r="I15" s="83"/>
    </row>
    <row r="16" spans="1:10">
      <c r="F16" t="s">
        <v>564</v>
      </c>
      <c r="H16" s="80">
        <v>3372200</v>
      </c>
      <c r="I16" s="83">
        <v>1123833</v>
      </c>
    </row>
    <row r="17" spans="1:9">
      <c r="F17" t="s">
        <v>565</v>
      </c>
      <c r="H17" s="80">
        <v>995977</v>
      </c>
      <c r="I17" s="83">
        <v>995977</v>
      </c>
    </row>
    <row r="18" spans="1:9">
      <c r="F18" t="s">
        <v>566</v>
      </c>
      <c r="H18" s="80">
        <v>3592792</v>
      </c>
      <c r="I18" s="83">
        <v>3681027</v>
      </c>
    </row>
    <row r="19" spans="1:9">
      <c r="C19" t="s">
        <v>180</v>
      </c>
      <c r="H19" s="237">
        <v>356746</v>
      </c>
      <c r="I19" s="83"/>
    </row>
    <row r="20" spans="1:9">
      <c r="H20" s="83"/>
      <c r="I20" s="81"/>
    </row>
    <row r="21" spans="1:9" s="5" customFormat="1">
      <c r="C21" s="6" t="s">
        <v>17</v>
      </c>
      <c r="D21" s="6"/>
      <c r="E21" s="6"/>
      <c r="F21" s="6"/>
      <c r="G21" s="6"/>
      <c r="H21" s="82">
        <f>SUM(H7:H19)</f>
        <v>28004838</v>
      </c>
      <c r="I21" s="82">
        <f>SUM(I7:I19)</f>
        <v>27127601</v>
      </c>
    </row>
    <row r="22" spans="1:9">
      <c r="H22" s="83"/>
      <c r="I22" s="83"/>
    </row>
    <row r="23" spans="1:9">
      <c r="A23" s="5" t="s">
        <v>22</v>
      </c>
      <c r="H23" s="83"/>
      <c r="I23" s="83"/>
    </row>
    <row r="24" spans="1:9">
      <c r="C24" t="s">
        <v>144</v>
      </c>
      <c r="H24" s="84">
        <v>389069</v>
      </c>
      <c r="I24" s="83">
        <v>477050</v>
      </c>
    </row>
    <row r="25" spans="1:9">
      <c r="C25" t="s">
        <v>145</v>
      </c>
      <c r="H25" s="84">
        <v>927</v>
      </c>
      <c r="I25" s="83">
        <v>6775</v>
      </c>
    </row>
    <row r="26" spans="1:9">
      <c r="C26" t="s">
        <v>29</v>
      </c>
      <c r="H26" s="83"/>
      <c r="I26" s="83"/>
    </row>
    <row r="27" spans="1:9">
      <c r="D27" t="s">
        <v>92</v>
      </c>
      <c r="H27" s="92">
        <v>122083</v>
      </c>
      <c r="I27" s="83">
        <v>351017</v>
      </c>
    </row>
    <row r="28" spans="1:9">
      <c r="D28" t="s">
        <v>93</v>
      </c>
      <c r="H28" s="77">
        <v>1275594</v>
      </c>
      <c r="I28" s="83">
        <v>1010869</v>
      </c>
    </row>
    <row r="29" spans="1:9">
      <c r="C29" t="s">
        <v>192</v>
      </c>
      <c r="H29" s="79">
        <v>48002</v>
      </c>
      <c r="I29" s="83"/>
    </row>
    <row r="30" spans="1:9">
      <c r="H30" s="81"/>
      <c r="I30" s="81"/>
    </row>
    <row r="31" spans="1:9">
      <c r="D31" s="7" t="s">
        <v>36</v>
      </c>
      <c r="E31" s="8"/>
      <c r="F31" s="8"/>
      <c r="G31" s="8"/>
      <c r="H31" s="87">
        <f>SUM(H24:H29)</f>
        <v>1835675</v>
      </c>
      <c r="I31" s="87">
        <f>SUM(I24:I29)</f>
        <v>1845711</v>
      </c>
    </row>
    <row r="32" spans="1:9">
      <c r="H32" s="83"/>
      <c r="I32" s="83"/>
    </row>
    <row r="33" spans="1:9">
      <c r="A33" s="3" t="s">
        <v>99</v>
      </c>
      <c r="H33" s="83"/>
      <c r="I33" s="83"/>
    </row>
    <row r="34" spans="1:9">
      <c r="B34" t="s">
        <v>119</v>
      </c>
      <c r="H34" s="88">
        <v>13686433</v>
      </c>
      <c r="I34" s="83">
        <v>13520414</v>
      </c>
    </row>
    <row r="35" spans="1:9">
      <c r="B35" t="s">
        <v>45</v>
      </c>
      <c r="H35" s="93">
        <v>12482731</v>
      </c>
      <c r="I35" s="83">
        <v>11761476</v>
      </c>
    </row>
    <row r="36" spans="1:9">
      <c r="H36" s="81"/>
      <c r="I36" s="81"/>
    </row>
    <row r="37" spans="1:9" s="3" customFormat="1">
      <c r="C37" s="9" t="s">
        <v>105</v>
      </c>
      <c r="D37" s="9"/>
      <c r="E37" s="9"/>
      <c r="F37" s="9"/>
      <c r="G37" s="9"/>
      <c r="H37" s="270">
        <f>SUM(H34:H35)</f>
        <v>26169164</v>
      </c>
      <c r="I37" s="270">
        <f>SUM(I33:I35)</f>
        <v>25281890</v>
      </c>
    </row>
    <row r="38" spans="1:9">
      <c r="H38" s="83"/>
      <c r="I38" s="83"/>
    </row>
    <row r="39" spans="1:9">
      <c r="C39" s="10" t="s">
        <v>47</v>
      </c>
      <c r="D39" s="10"/>
      <c r="E39" s="10"/>
      <c r="F39" s="10"/>
      <c r="G39" s="10"/>
      <c r="H39" s="95">
        <f>H37+H31</f>
        <v>28004839</v>
      </c>
      <c r="I39" s="95">
        <f>I37+I31</f>
        <v>27127601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4"/>
  <sheetViews>
    <sheetView topLeftCell="A14" zoomScale="80" zoomScaleNormal="80" zoomScalePageLayoutView="80" workbookViewId="0">
      <selection activeCell="O20" sqref="O20"/>
    </sheetView>
  </sheetViews>
  <sheetFormatPr defaultColWidth="8.85546875" defaultRowHeight="14.45"/>
  <cols>
    <col min="1" max="1" width="3.42578125" customWidth="1"/>
    <col min="2" max="2" width="4.140625" customWidth="1"/>
    <col min="3" max="3" width="13.7109375" customWidth="1"/>
    <col min="4" max="4" width="13.85546875" customWidth="1"/>
    <col min="5" max="5" width="21" customWidth="1"/>
    <col min="6" max="6" width="16.42578125" customWidth="1"/>
    <col min="7" max="7" width="16.28515625" customWidth="1"/>
    <col min="8" max="8" width="12.85546875" customWidth="1"/>
  </cols>
  <sheetData>
    <row r="1" spans="1:8" ht="18.600000000000001">
      <c r="A1" s="1"/>
      <c r="B1" s="1"/>
      <c r="C1" s="1" t="s">
        <v>567</v>
      </c>
      <c r="D1" s="1"/>
      <c r="E1" s="97"/>
      <c r="F1" s="97"/>
      <c r="G1" s="97"/>
    </row>
    <row r="2" spans="1:8" ht="18.600000000000001">
      <c r="A2" s="1"/>
      <c r="B2" s="1"/>
      <c r="C2" s="1"/>
      <c r="D2" s="271" t="s">
        <v>1</v>
      </c>
      <c r="E2" s="271"/>
      <c r="F2" s="271"/>
      <c r="G2" s="98"/>
    </row>
    <row r="4" spans="1:8">
      <c r="F4" s="278"/>
      <c r="G4" s="278"/>
    </row>
    <row r="5" spans="1:8" ht="29.1">
      <c r="F5" s="105" t="s">
        <v>3</v>
      </c>
      <c r="G5" s="105" t="s">
        <v>157</v>
      </c>
      <c r="H5" s="106" t="s">
        <v>74</v>
      </c>
    </row>
    <row r="6" spans="1:8">
      <c r="A6" s="3" t="s">
        <v>5</v>
      </c>
      <c r="D6" s="3"/>
      <c r="F6" s="4"/>
      <c r="G6" s="4"/>
    </row>
    <row r="7" spans="1:8">
      <c r="B7" t="s">
        <v>7</v>
      </c>
      <c r="F7" s="77">
        <v>36775410</v>
      </c>
      <c r="G7" s="83">
        <v>6883481</v>
      </c>
      <c r="H7" s="83">
        <f>SUM(F7:G7)</f>
        <v>43658891</v>
      </c>
    </row>
    <row r="8" spans="1:8">
      <c r="B8" t="s">
        <v>8</v>
      </c>
      <c r="F8" s="84">
        <v>1068813</v>
      </c>
      <c r="G8" s="83"/>
      <c r="H8" s="83">
        <f t="shared" ref="H8:H25" si="0">SUM(F8:G8)</f>
        <v>1068813</v>
      </c>
    </row>
    <row r="9" spans="1:8">
      <c r="B9" t="s">
        <v>568</v>
      </c>
      <c r="F9" s="84">
        <v>3650500</v>
      </c>
      <c r="G9" s="83"/>
      <c r="H9" s="83">
        <f t="shared" si="0"/>
        <v>3650500</v>
      </c>
    </row>
    <row r="10" spans="1:8">
      <c r="B10" t="s">
        <v>160</v>
      </c>
      <c r="F10" s="121"/>
      <c r="G10" s="83"/>
      <c r="H10" s="83">
        <f t="shared" si="0"/>
        <v>0</v>
      </c>
    </row>
    <row r="11" spans="1:8">
      <c r="C11" t="s">
        <v>569</v>
      </c>
      <c r="F11" s="78">
        <v>2177956</v>
      </c>
      <c r="G11" s="83">
        <v>545374</v>
      </c>
      <c r="H11" s="83">
        <f t="shared" si="0"/>
        <v>2723330</v>
      </c>
    </row>
    <row r="12" spans="1:8">
      <c r="C12" t="s">
        <v>169</v>
      </c>
      <c r="F12" s="78">
        <v>12806109</v>
      </c>
      <c r="G12" s="83"/>
      <c r="H12" s="83">
        <f t="shared" si="0"/>
        <v>12806109</v>
      </c>
    </row>
    <row r="13" spans="1:8">
      <c r="C13" t="s">
        <v>570</v>
      </c>
      <c r="F13" s="78">
        <v>123670</v>
      </c>
      <c r="G13" s="83"/>
      <c r="H13" s="83">
        <f t="shared" si="0"/>
        <v>123670</v>
      </c>
    </row>
    <row r="14" spans="1:8">
      <c r="C14" t="s">
        <v>571</v>
      </c>
      <c r="F14" s="83"/>
      <c r="G14" s="83">
        <v>1010725</v>
      </c>
      <c r="H14" s="83">
        <f t="shared" si="0"/>
        <v>1010725</v>
      </c>
    </row>
    <row r="15" spans="1:8">
      <c r="C15" t="s">
        <v>392</v>
      </c>
      <c r="F15" s="78">
        <v>21146438</v>
      </c>
      <c r="G15" s="83"/>
      <c r="H15" s="83">
        <f t="shared" si="0"/>
        <v>21146438</v>
      </c>
    </row>
    <row r="16" spans="1:8">
      <c r="C16" t="s">
        <v>234</v>
      </c>
      <c r="F16" s="78">
        <v>790300</v>
      </c>
      <c r="G16" s="83">
        <v>15236</v>
      </c>
      <c r="H16" s="83">
        <f t="shared" si="0"/>
        <v>805536</v>
      </c>
    </row>
    <row r="17" spans="1:8">
      <c r="B17" t="s">
        <v>572</v>
      </c>
      <c r="F17" s="83"/>
      <c r="G17" s="83">
        <v>674500</v>
      </c>
      <c r="H17" s="83">
        <f t="shared" si="0"/>
        <v>674500</v>
      </c>
    </row>
    <row r="18" spans="1:8">
      <c r="B18" t="s">
        <v>76</v>
      </c>
      <c r="F18" s="79">
        <v>-4467781</v>
      </c>
      <c r="G18" s="83">
        <v>4467781</v>
      </c>
      <c r="H18" s="83">
        <f t="shared" si="0"/>
        <v>0</v>
      </c>
    </row>
    <row r="19" spans="1:8">
      <c r="B19" t="s">
        <v>573</v>
      </c>
      <c r="F19" s="79">
        <v>251411</v>
      </c>
      <c r="G19" s="83">
        <v>126239</v>
      </c>
      <c r="H19" s="83">
        <f t="shared" si="0"/>
        <v>377650</v>
      </c>
    </row>
    <row r="20" spans="1:8">
      <c r="B20" t="s">
        <v>52</v>
      </c>
      <c r="F20" s="83"/>
      <c r="G20" s="83">
        <v>336677</v>
      </c>
      <c r="H20" s="83">
        <f t="shared" si="0"/>
        <v>336677</v>
      </c>
    </row>
    <row r="21" spans="1:8">
      <c r="B21" t="s">
        <v>574</v>
      </c>
      <c r="F21" s="83"/>
      <c r="G21" s="83">
        <v>59215577</v>
      </c>
      <c r="H21" s="83">
        <f t="shared" si="0"/>
        <v>59215577</v>
      </c>
    </row>
    <row r="22" spans="1:8">
      <c r="B22" t="s">
        <v>575</v>
      </c>
      <c r="F22" s="83"/>
      <c r="G22" s="83">
        <v>816000</v>
      </c>
      <c r="H22" s="83">
        <f t="shared" si="0"/>
        <v>816000</v>
      </c>
    </row>
    <row r="23" spans="1:8">
      <c r="B23" t="s">
        <v>462</v>
      </c>
      <c r="H23" s="83"/>
    </row>
    <row r="24" spans="1:8">
      <c r="C24" t="s">
        <v>576</v>
      </c>
      <c r="F24" s="80">
        <v>54653576</v>
      </c>
      <c r="G24" s="83">
        <v>59767224</v>
      </c>
      <c r="H24" s="83">
        <f t="shared" si="0"/>
        <v>114420800</v>
      </c>
    </row>
    <row r="25" spans="1:8">
      <c r="C25" t="s">
        <v>179</v>
      </c>
      <c r="F25" s="80">
        <v>336472221</v>
      </c>
      <c r="G25" s="83">
        <v>147240903</v>
      </c>
      <c r="H25" s="83">
        <f t="shared" si="0"/>
        <v>483713124</v>
      </c>
    </row>
    <row r="26" spans="1:8">
      <c r="F26" s="83"/>
      <c r="G26" s="83"/>
      <c r="H26" s="83"/>
    </row>
    <row r="27" spans="1:8">
      <c r="A27" s="5"/>
      <c r="B27" s="5"/>
      <c r="C27" s="6" t="s">
        <v>17</v>
      </c>
      <c r="D27" s="6"/>
      <c r="E27" s="6"/>
      <c r="F27" s="82">
        <f>SUM(F7:F25)</f>
        <v>465448623</v>
      </c>
      <c r="G27" s="82">
        <f t="shared" ref="G27:H27" si="1">SUM(G7:G25)</f>
        <v>281099717</v>
      </c>
      <c r="H27" s="82">
        <f t="shared" si="1"/>
        <v>746548340</v>
      </c>
    </row>
    <row r="28" spans="1:8">
      <c r="A28" s="5"/>
      <c r="B28" s="5"/>
      <c r="C28" s="5"/>
      <c r="D28" s="5"/>
      <c r="E28" s="5"/>
      <c r="F28" s="100"/>
      <c r="G28" s="100"/>
      <c r="H28" s="100"/>
    </row>
    <row r="29" spans="1:8">
      <c r="A29" s="5" t="s">
        <v>18</v>
      </c>
      <c r="B29" s="5"/>
      <c r="C29" s="5"/>
      <c r="D29" s="5"/>
      <c r="E29" s="5"/>
      <c r="F29" s="100"/>
      <c r="G29" s="100"/>
      <c r="H29" s="100"/>
    </row>
    <row r="30" spans="1:8">
      <c r="B30" t="s">
        <v>577</v>
      </c>
      <c r="F30" s="83">
        <v>4542971</v>
      </c>
      <c r="G30" s="83">
        <v>488361</v>
      </c>
      <c r="H30" s="83">
        <f>SUM(F30:G30)</f>
        <v>5031332</v>
      </c>
    </row>
    <row r="31" spans="1:8">
      <c r="A31" s="5"/>
      <c r="B31" s="5"/>
      <c r="C31" s="5" t="s">
        <v>83</v>
      </c>
      <c r="D31" s="5"/>
      <c r="E31" s="5"/>
      <c r="F31" s="166">
        <f>F30</f>
        <v>4542971</v>
      </c>
      <c r="G31" s="166">
        <f t="shared" ref="G31:H31" si="2">G30</f>
        <v>488361</v>
      </c>
      <c r="H31" s="166">
        <f t="shared" si="2"/>
        <v>5031332</v>
      </c>
    </row>
    <row r="32" spans="1:8">
      <c r="F32" s="83"/>
      <c r="G32" s="83"/>
      <c r="H32" s="83"/>
    </row>
    <row r="33" spans="1:8">
      <c r="A33" s="5" t="s">
        <v>22</v>
      </c>
      <c r="F33" s="83"/>
      <c r="G33" s="83"/>
      <c r="H33" s="83"/>
    </row>
    <row r="34" spans="1:8">
      <c r="B34" t="s">
        <v>23</v>
      </c>
      <c r="F34" s="149">
        <v>17765212</v>
      </c>
      <c r="G34" s="83">
        <v>1586052</v>
      </c>
      <c r="H34" s="83">
        <f>SUM(F34:G34)</f>
        <v>19351264</v>
      </c>
    </row>
    <row r="35" spans="1:8">
      <c r="B35" t="s">
        <v>578</v>
      </c>
      <c r="F35" s="84">
        <v>2443606</v>
      </c>
      <c r="G35" s="83">
        <v>527050</v>
      </c>
      <c r="H35" s="83">
        <f t="shared" ref="H35:H44" si="3">SUM(F35:G35)</f>
        <v>2970656</v>
      </c>
    </row>
    <row r="36" spans="1:8">
      <c r="B36" t="s">
        <v>24</v>
      </c>
      <c r="F36" s="84">
        <v>2434458</v>
      </c>
      <c r="G36" s="83"/>
      <c r="H36" s="83">
        <f t="shared" si="3"/>
        <v>2434458</v>
      </c>
    </row>
    <row r="37" spans="1:8">
      <c r="B37" t="s">
        <v>579</v>
      </c>
      <c r="F37" s="84">
        <v>1350447</v>
      </c>
      <c r="G37" s="83">
        <v>143647</v>
      </c>
      <c r="H37" s="83">
        <f t="shared" si="3"/>
        <v>1494094</v>
      </c>
    </row>
    <row r="38" spans="1:8">
      <c r="B38" t="s">
        <v>89</v>
      </c>
      <c r="F38" s="121"/>
      <c r="G38" s="83">
        <v>1269903</v>
      </c>
      <c r="H38" s="83">
        <f t="shared" si="3"/>
        <v>1269903</v>
      </c>
    </row>
    <row r="39" spans="1:8">
      <c r="B39" t="s">
        <v>27</v>
      </c>
      <c r="F39" s="160">
        <v>420197</v>
      </c>
      <c r="G39" s="83">
        <v>134642</v>
      </c>
      <c r="H39" s="83">
        <f t="shared" si="3"/>
        <v>554839</v>
      </c>
    </row>
    <row r="40" spans="1:8">
      <c r="B40" t="s">
        <v>580</v>
      </c>
      <c r="F40" s="79">
        <v>69188</v>
      </c>
      <c r="G40" s="83">
        <v>151913</v>
      </c>
      <c r="H40" s="83">
        <f t="shared" si="3"/>
        <v>221101</v>
      </c>
    </row>
    <row r="41" spans="1:8">
      <c r="B41" t="s">
        <v>581</v>
      </c>
      <c r="F41" s="79">
        <v>2215662</v>
      </c>
      <c r="G41" s="83"/>
      <c r="H41" s="83">
        <f t="shared" si="3"/>
        <v>2215662</v>
      </c>
    </row>
    <row r="42" spans="1:8">
      <c r="B42" t="s">
        <v>582</v>
      </c>
      <c r="F42" s="83"/>
      <c r="G42" s="83"/>
      <c r="H42" s="83"/>
    </row>
    <row r="43" spans="1:8">
      <c r="C43" t="s">
        <v>92</v>
      </c>
      <c r="D43" s="5"/>
      <c r="F43" s="92">
        <v>4044111</v>
      </c>
      <c r="G43" s="83">
        <v>1132511</v>
      </c>
      <c r="H43" s="83">
        <f t="shared" si="3"/>
        <v>5176622</v>
      </c>
    </row>
    <row r="44" spans="1:8">
      <c r="A44" s="5"/>
      <c r="B44" s="5"/>
      <c r="C44" t="s">
        <v>93</v>
      </c>
      <c r="D44" s="5"/>
      <c r="E44" s="5"/>
      <c r="F44" s="77">
        <v>48685849</v>
      </c>
      <c r="G44" s="83">
        <v>3449383</v>
      </c>
      <c r="H44" s="83">
        <f t="shared" si="3"/>
        <v>52135232</v>
      </c>
    </row>
    <row r="45" spans="1:8">
      <c r="F45" s="81"/>
      <c r="G45" s="81"/>
      <c r="H45" s="81"/>
    </row>
    <row r="46" spans="1:8">
      <c r="D46" s="7" t="s">
        <v>36</v>
      </c>
      <c r="E46" s="8"/>
      <c r="F46" s="87">
        <f>SUM(F34:F44)</f>
        <v>79428730</v>
      </c>
      <c r="G46" s="87">
        <f t="shared" ref="G46:H46" si="4">SUM(G34:G44)</f>
        <v>8395101</v>
      </c>
      <c r="H46" s="87">
        <f t="shared" si="4"/>
        <v>87823831</v>
      </c>
    </row>
    <row r="47" spans="1:8">
      <c r="D47" s="5"/>
      <c r="F47" s="100"/>
      <c r="G47" s="100"/>
      <c r="H47" s="100"/>
    </row>
    <row r="48" spans="1:8">
      <c r="A48" s="5" t="s">
        <v>37</v>
      </c>
      <c r="B48" s="5"/>
      <c r="C48" s="5"/>
      <c r="D48" s="5"/>
      <c r="E48" s="5"/>
      <c r="F48" s="100"/>
      <c r="G48" s="100"/>
      <c r="H48" s="100"/>
    </row>
    <row r="49" spans="1:8">
      <c r="B49" t="s">
        <v>577</v>
      </c>
      <c r="F49" s="83">
        <v>1282878</v>
      </c>
      <c r="G49" s="83">
        <v>100945</v>
      </c>
      <c r="H49" s="83">
        <f>SUM(F49:G49)</f>
        <v>1383823</v>
      </c>
    </row>
    <row r="50" spans="1:8">
      <c r="A50" s="5"/>
      <c r="B50" s="5"/>
      <c r="C50" s="5" t="s">
        <v>98</v>
      </c>
      <c r="D50" s="5"/>
      <c r="E50" s="5"/>
      <c r="F50" s="166">
        <f>F49</f>
        <v>1282878</v>
      </c>
      <c r="G50" s="166">
        <f t="shared" ref="G50:H50" si="5">G49</f>
        <v>100945</v>
      </c>
      <c r="H50" s="166">
        <f t="shared" si="5"/>
        <v>1383823</v>
      </c>
    </row>
    <row r="51" spans="1:8">
      <c r="F51" s="83"/>
      <c r="G51" s="83"/>
      <c r="H51" s="83"/>
    </row>
    <row r="52" spans="1:8">
      <c r="A52" s="3" t="s">
        <v>39</v>
      </c>
      <c r="F52" s="83"/>
      <c r="G52" s="83"/>
      <c r="H52" s="83"/>
    </row>
    <row r="53" spans="1:8">
      <c r="B53" t="s">
        <v>537</v>
      </c>
      <c r="F53" s="88">
        <v>357038864</v>
      </c>
      <c r="G53" s="83">
        <v>196619074</v>
      </c>
      <c r="H53" s="83">
        <f>SUM(F53:G53)</f>
        <v>553657938</v>
      </c>
    </row>
    <row r="54" spans="1:8">
      <c r="B54" t="s">
        <v>41</v>
      </c>
      <c r="F54" s="83"/>
      <c r="G54" s="83"/>
      <c r="H54" s="83">
        <f t="shared" ref="H54:H60" si="6">SUM(F54:G54)</f>
        <v>0</v>
      </c>
    </row>
    <row r="55" spans="1:8">
      <c r="C55" t="s">
        <v>43</v>
      </c>
      <c r="F55" s="89">
        <v>313966</v>
      </c>
      <c r="G55" s="83">
        <v>2888617</v>
      </c>
      <c r="H55" s="83">
        <f t="shared" si="6"/>
        <v>3202583</v>
      </c>
    </row>
    <row r="56" spans="1:8">
      <c r="C56" t="s">
        <v>42</v>
      </c>
      <c r="F56" s="89">
        <v>3561965</v>
      </c>
      <c r="G56" s="83">
        <v>2462903</v>
      </c>
      <c r="H56" s="83">
        <f t="shared" si="6"/>
        <v>6024868</v>
      </c>
    </row>
    <row r="57" spans="1:8">
      <c r="C57" t="s">
        <v>583</v>
      </c>
      <c r="F57" s="89">
        <v>5815731</v>
      </c>
      <c r="G57" s="83"/>
      <c r="H57" s="83">
        <f t="shared" si="6"/>
        <v>5815731</v>
      </c>
    </row>
    <row r="58" spans="1:8">
      <c r="C58" t="s">
        <v>101</v>
      </c>
      <c r="F58" s="89">
        <v>3099269</v>
      </c>
      <c r="G58" s="83"/>
      <c r="H58" s="83">
        <f t="shared" si="6"/>
        <v>3099269</v>
      </c>
    </row>
    <row r="59" spans="1:8">
      <c r="C59" t="s">
        <v>44</v>
      </c>
      <c r="F59" s="89">
        <v>2445691</v>
      </c>
      <c r="G59" s="83">
        <v>4</v>
      </c>
      <c r="H59" s="83">
        <f t="shared" si="6"/>
        <v>2445695</v>
      </c>
    </row>
    <row r="60" spans="1:8">
      <c r="B60" t="s">
        <v>45</v>
      </c>
      <c r="F60" s="93">
        <v>21004500</v>
      </c>
      <c r="G60" s="83">
        <v>17827434</v>
      </c>
      <c r="H60" s="83">
        <f t="shared" si="6"/>
        <v>38831934</v>
      </c>
    </row>
    <row r="61" spans="1:8">
      <c r="F61" s="81"/>
      <c r="G61" s="81"/>
      <c r="H61" s="81"/>
    </row>
    <row r="62" spans="1:8">
      <c r="A62" s="3"/>
      <c r="B62" s="3"/>
      <c r="C62" s="9" t="s">
        <v>46</v>
      </c>
      <c r="D62" s="9"/>
      <c r="E62" s="9"/>
      <c r="F62" s="94">
        <f>SUM(F53:F60)</f>
        <v>393279986</v>
      </c>
      <c r="G62" s="94">
        <f>SUM(G53:G60)</f>
        <v>219798032</v>
      </c>
      <c r="H62" s="94">
        <f>SUM(H52:H60)</f>
        <v>613078018</v>
      </c>
    </row>
    <row r="63" spans="1:8">
      <c r="F63" s="83"/>
      <c r="G63" s="83"/>
      <c r="H63" s="83"/>
    </row>
    <row r="64" spans="1:8">
      <c r="C64" s="10" t="s">
        <v>47</v>
      </c>
      <c r="D64" s="10"/>
      <c r="E64" s="10"/>
      <c r="F64" s="216">
        <f>F62+F46+F50</f>
        <v>473991594</v>
      </c>
      <c r="G64" s="216">
        <f t="shared" ref="G64:H64" si="7">G62+G46+G50</f>
        <v>228294078</v>
      </c>
      <c r="H64" s="216">
        <f t="shared" si="7"/>
        <v>702285672</v>
      </c>
    </row>
  </sheetData>
  <mergeCells count="2">
    <mergeCell ref="D2:F2"/>
    <mergeCell ref="F4:G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66"/>
  <sheetViews>
    <sheetView zoomScale="60" zoomScaleNormal="60" zoomScalePageLayoutView="60" workbookViewId="0">
      <selection activeCell="J25" sqref="J25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21.7109375" customWidth="1"/>
    <col min="9" max="10" width="17.140625" customWidth="1"/>
    <col min="11" max="11" width="17.28515625" customWidth="1"/>
  </cols>
  <sheetData>
    <row r="1" spans="1:12" ht="18.600000000000001">
      <c r="A1" s="1"/>
      <c r="B1" s="1"/>
      <c r="C1" s="1"/>
      <c r="D1" s="272" t="s">
        <v>584</v>
      </c>
      <c r="E1" s="272"/>
      <c r="F1" s="272"/>
      <c r="G1" s="272"/>
      <c r="H1" s="272"/>
      <c r="I1" s="97"/>
      <c r="J1" s="97"/>
    </row>
    <row r="2" spans="1:12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2" ht="15" customHeight="1">
      <c r="H4" s="277" t="s">
        <v>2</v>
      </c>
      <c r="I4" s="277"/>
      <c r="J4" s="277"/>
      <c r="K4" s="162"/>
    </row>
    <row r="5" spans="1:12" ht="29.1">
      <c r="H5" s="105" t="s">
        <v>3</v>
      </c>
      <c r="I5" s="105" t="s">
        <v>157</v>
      </c>
      <c r="J5" s="105" t="s">
        <v>74</v>
      </c>
      <c r="K5" s="265" t="s">
        <v>108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7</v>
      </c>
      <c r="H7" s="77">
        <v>1666632</v>
      </c>
      <c r="I7" s="83">
        <v>293475</v>
      </c>
      <c r="J7" s="83">
        <f t="shared" ref="J7:J22" si="0">SUM(H7:I7)</f>
        <v>1960107</v>
      </c>
      <c r="K7" s="83">
        <v>7895309</v>
      </c>
    </row>
    <row r="8" spans="1:12">
      <c r="C8" t="s">
        <v>8</v>
      </c>
      <c r="H8" s="84">
        <v>83769353</v>
      </c>
      <c r="I8" s="83">
        <v>684440</v>
      </c>
      <c r="J8" s="83">
        <f t="shared" si="0"/>
        <v>84453793</v>
      </c>
      <c r="K8" s="83">
        <v>9327615</v>
      </c>
    </row>
    <row r="9" spans="1:12">
      <c r="A9" t="s">
        <v>434</v>
      </c>
      <c r="C9" t="s">
        <v>123</v>
      </c>
      <c r="H9" s="78">
        <v>29459890</v>
      </c>
      <c r="I9" s="83">
        <v>3506013</v>
      </c>
      <c r="J9" s="83">
        <f t="shared" si="0"/>
        <v>32965903</v>
      </c>
      <c r="K9" s="83">
        <v>13060701</v>
      </c>
    </row>
    <row r="10" spans="1:12">
      <c r="C10" t="s">
        <v>51</v>
      </c>
      <c r="H10" s="90">
        <v>5113293</v>
      </c>
      <c r="I10" s="83">
        <v>116328</v>
      </c>
      <c r="J10" s="83">
        <v>5559621</v>
      </c>
      <c r="K10" s="83">
        <v>17963</v>
      </c>
    </row>
    <row r="11" spans="1:12">
      <c r="C11" t="s">
        <v>176</v>
      </c>
      <c r="H11" s="126"/>
      <c r="I11" s="83"/>
      <c r="J11" s="83">
        <f t="shared" si="0"/>
        <v>0</v>
      </c>
      <c r="K11" s="83">
        <v>3829</v>
      </c>
    </row>
    <row r="12" spans="1:12">
      <c r="C12" t="s">
        <v>52</v>
      </c>
      <c r="H12" s="126"/>
      <c r="I12" s="83">
        <v>485187</v>
      </c>
      <c r="J12" s="83">
        <f t="shared" si="0"/>
        <v>485187</v>
      </c>
      <c r="K12" s="83">
        <v>1249209</v>
      </c>
    </row>
    <row r="13" spans="1:12">
      <c r="C13" t="s">
        <v>585</v>
      </c>
      <c r="H13" s="79">
        <v>474947</v>
      </c>
      <c r="I13" s="83">
        <v>44262</v>
      </c>
      <c r="J13" s="83">
        <f t="shared" si="0"/>
        <v>519209</v>
      </c>
      <c r="K13" s="83">
        <v>141326</v>
      </c>
    </row>
    <row r="14" spans="1:12">
      <c r="C14" t="s">
        <v>109</v>
      </c>
      <c r="H14" s="79">
        <v>4270</v>
      </c>
      <c r="I14" s="83">
        <v>182</v>
      </c>
      <c r="J14" s="83">
        <f t="shared" si="0"/>
        <v>4452</v>
      </c>
      <c r="K14" s="83">
        <v>1737582</v>
      </c>
    </row>
    <row r="15" spans="1:12">
      <c r="C15" t="s">
        <v>78</v>
      </c>
      <c r="H15" s="83"/>
      <c r="I15" s="83"/>
      <c r="J15" s="83">
        <f t="shared" si="0"/>
        <v>0</v>
      </c>
      <c r="K15" s="83"/>
    </row>
    <row r="16" spans="1:12">
      <c r="D16" t="s">
        <v>7</v>
      </c>
      <c r="H16" s="83"/>
      <c r="I16" s="83">
        <v>40375</v>
      </c>
      <c r="J16" s="83">
        <f t="shared" si="0"/>
        <v>40375</v>
      </c>
      <c r="K16" s="83">
        <v>6060202</v>
      </c>
    </row>
    <row r="17" spans="1:11">
      <c r="D17" t="s">
        <v>8</v>
      </c>
      <c r="H17" s="83"/>
      <c r="I17" s="83">
        <v>6887998</v>
      </c>
      <c r="J17" s="83">
        <f t="shared" si="0"/>
        <v>6887998</v>
      </c>
      <c r="K17" s="83"/>
    </row>
    <row r="18" spans="1:11">
      <c r="C18" t="s">
        <v>127</v>
      </c>
      <c r="H18" s="83"/>
      <c r="I18" s="83"/>
      <c r="J18" s="83">
        <f t="shared" si="0"/>
        <v>0</v>
      </c>
      <c r="K18" s="83"/>
    </row>
    <row r="19" spans="1:11">
      <c r="D19" t="s">
        <v>138</v>
      </c>
      <c r="H19" s="80">
        <v>10669811</v>
      </c>
      <c r="I19" s="83">
        <v>824777</v>
      </c>
      <c r="J19" s="83">
        <f t="shared" si="0"/>
        <v>11494588</v>
      </c>
      <c r="K19" s="83">
        <v>1586680</v>
      </c>
    </row>
    <row r="20" spans="1:11">
      <c r="D20" t="s">
        <v>141</v>
      </c>
      <c r="H20" s="80">
        <v>55386536</v>
      </c>
      <c r="I20" s="83"/>
      <c r="J20" s="83">
        <f t="shared" si="0"/>
        <v>55386536</v>
      </c>
      <c r="K20" s="83"/>
    </row>
    <row r="21" spans="1:11">
      <c r="D21" t="s">
        <v>586</v>
      </c>
      <c r="H21" s="80">
        <v>98272578</v>
      </c>
      <c r="I21" s="83">
        <v>125671345</v>
      </c>
      <c r="J21" s="83">
        <f t="shared" si="0"/>
        <v>223943923</v>
      </c>
      <c r="K21" s="83">
        <v>30507506</v>
      </c>
    </row>
    <row r="22" spans="1:11">
      <c r="D22" t="s">
        <v>142</v>
      </c>
      <c r="H22" s="80">
        <v>51853809</v>
      </c>
      <c r="I22" s="83">
        <v>2642348</v>
      </c>
      <c r="J22" s="83">
        <f t="shared" si="0"/>
        <v>54496157</v>
      </c>
      <c r="K22" s="83">
        <v>11413600</v>
      </c>
    </row>
    <row r="23" spans="1:11">
      <c r="H23" s="81"/>
      <c r="I23" s="81"/>
      <c r="J23" s="81"/>
      <c r="K23" s="81"/>
    </row>
    <row r="24" spans="1:11" s="5" customFormat="1">
      <c r="C24" s="6" t="s">
        <v>17</v>
      </c>
      <c r="D24" s="6"/>
      <c r="E24" s="6"/>
      <c r="F24" s="6"/>
      <c r="G24" s="6"/>
      <c r="H24" s="82">
        <f>SUM(H7:H22)</f>
        <v>336671119</v>
      </c>
      <c r="I24" s="82">
        <f>SUM(I7:I22)</f>
        <v>141196730</v>
      </c>
      <c r="J24" s="82">
        <f>SUM(H24:I24)</f>
        <v>477867849</v>
      </c>
      <c r="K24" s="82">
        <f>SUM(K7:K22)</f>
        <v>83001522</v>
      </c>
    </row>
    <row r="25" spans="1:11">
      <c r="H25" s="83"/>
      <c r="I25" s="83"/>
      <c r="J25" s="83"/>
      <c r="K25" s="83"/>
    </row>
    <row r="26" spans="1:11">
      <c r="A26" s="5" t="s">
        <v>80</v>
      </c>
      <c r="H26" s="83"/>
      <c r="I26" s="83"/>
      <c r="J26" s="83"/>
      <c r="K26" s="83"/>
    </row>
    <row r="27" spans="1:11">
      <c r="B27" t="s">
        <v>587</v>
      </c>
      <c r="H27" s="83">
        <v>6025080</v>
      </c>
      <c r="I27" s="83">
        <v>2541799</v>
      </c>
      <c r="J27" s="83">
        <f>SUM(H27:I27)</f>
        <v>8566879</v>
      </c>
      <c r="K27" s="83">
        <v>755462</v>
      </c>
    </row>
    <row r="28" spans="1:11">
      <c r="H28" s="83"/>
      <c r="I28" s="83"/>
      <c r="J28" s="83"/>
      <c r="K28" s="83"/>
    </row>
    <row r="29" spans="1:11">
      <c r="D29" s="102" t="s">
        <v>98</v>
      </c>
      <c r="E29" s="102"/>
      <c r="F29" s="102"/>
      <c r="G29" s="102"/>
      <c r="H29" s="103">
        <f>H27</f>
        <v>6025080</v>
      </c>
      <c r="I29" s="103">
        <f t="shared" ref="I29:K29" si="1">I27</f>
        <v>2541799</v>
      </c>
      <c r="J29" s="103">
        <f t="shared" si="1"/>
        <v>8566879</v>
      </c>
      <c r="K29" s="103">
        <f t="shared" si="1"/>
        <v>755462</v>
      </c>
    </row>
    <row r="30" spans="1:11">
      <c r="D30" s="5"/>
      <c r="E30" s="5"/>
      <c r="F30" s="5"/>
      <c r="G30" s="5"/>
      <c r="H30" s="100"/>
      <c r="I30" s="100"/>
      <c r="J30" s="100"/>
      <c r="K30" s="100"/>
    </row>
    <row r="31" spans="1:11">
      <c r="A31" s="5" t="s">
        <v>22</v>
      </c>
      <c r="H31" s="83"/>
      <c r="I31" s="83"/>
      <c r="J31" s="83"/>
      <c r="K31" s="83"/>
    </row>
    <row r="32" spans="1:11">
      <c r="A32" s="5"/>
      <c r="C32" t="s">
        <v>280</v>
      </c>
      <c r="H32" s="84">
        <v>5754316</v>
      </c>
      <c r="I32" s="83">
        <v>900665</v>
      </c>
      <c r="J32" s="83">
        <f t="shared" ref="J32:J43" si="2">SUM(H32:I32)</f>
        <v>6654981</v>
      </c>
      <c r="K32" s="83">
        <v>1725557</v>
      </c>
    </row>
    <row r="33" spans="1:11">
      <c r="C33" t="s">
        <v>185</v>
      </c>
      <c r="H33" s="96">
        <v>3829</v>
      </c>
      <c r="I33" s="83"/>
      <c r="J33" s="83">
        <f t="shared" si="2"/>
        <v>3829</v>
      </c>
      <c r="K33" s="83"/>
    </row>
    <row r="34" spans="1:11">
      <c r="C34" t="s">
        <v>87</v>
      </c>
      <c r="H34" s="96">
        <v>484951</v>
      </c>
      <c r="I34" s="83"/>
      <c r="J34" s="83">
        <f t="shared" si="2"/>
        <v>484951</v>
      </c>
      <c r="K34" s="83"/>
    </row>
    <row r="35" spans="1:11">
      <c r="C35" t="s">
        <v>145</v>
      </c>
      <c r="H35" s="84">
        <v>96493</v>
      </c>
      <c r="I35" s="83"/>
      <c r="J35" s="83">
        <f t="shared" si="2"/>
        <v>96493</v>
      </c>
      <c r="K35" s="83"/>
    </row>
    <row r="36" spans="1:11">
      <c r="C36" t="s">
        <v>588</v>
      </c>
      <c r="H36" s="79">
        <v>1144190</v>
      </c>
      <c r="I36" s="83">
        <v>305331</v>
      </c>
      <c r="J36" s="83">
        <f t="shared" si="2"/>
        <v>1449521</v>
      </c>
      <c r="K36" s="83">
        <v>10430882</v>
      </c>
    </row>
    <row r="37" spans="1:11">
      <c r="C37" t="s">
        <v>209</v>
      </c>
      <c r="H37" s="83"/>
      <c r="I37" s="83">
        <v>1598190</v>
      </c>
      <c r="J37" s="83">
        <f t="shared" si="2"/>
        <v>1598190</v>
      </c>
      <c r="K37" s="83"/>
    </row>
    <row r="38" spans="1:11">
      <c r="C38" t="s">
        <v>468</v>
      </c>
      <c r="H38" s="83"/>
      <c r="I38" s="83"/>
      <c r="J38" s="83">
        <f t="shared" si="2"/>
        <v>0</v>
      </c>
      <c r="K38" s="83"/>
    </row>
    <row r="39" spans="1:11">
      <c r="D39" t="s">
        <v>589</v>
      </c>
      <c r="H39" s="92">
        <v>4004000</v>
      </c>
      <c r="I39" s="83">
        <v>1248000</v>
      </c>
      <c r="J39" s="83">
        <f t="shared" si="2"/>
        <v>5252000</v>
      </c>
      <c r="K39" s="83">
        <v>4019613</v>
      </c>
    </row>
    <row r="40" spans="1:11">
      <c r="D40" t="s">
        <v>590</v>
      </c>
      <c r="H40" s="77">
        <v>23758074</v>
      </c>
      <c r="I40" s="83">
        <v>25820842</v>
      </c>
      <c r="J40" s="83">
        <f t="shared" si="2"/>
        <v>49578916</v>
      </c>
      <c r="K40" s="83">
        <v>62625233</v>
      </c>
    </row>
    <row r="41" spans="1:11">
      <c r="D41" t="s">
        <v>493</v>
      </c>
      <c r="H41" s="77">
        <v>819755</v>
      </c>
      <c r="I41" s="83">
        <v>298639</v>
      </c>
      <c r="J41" s="83">
        <f t="shared" si="2"/>
        <v>1118394</v>
      </c>
      <c r="K41" s="83">
        <v>88760</v>
      </c>
    </row>
    <row r="42" spans="1:11">
      <c r="D42" t="s">
        <v>591</v>
      </c>
      <c r="H42" s="83"/>
      <c r="I42" s="83"/>
      <c r="J42" s="83"/>
      <c r="K42" s="83">
        <v>3716687</v>
      </c>
    </row>
    <row r="43" spans="1:11">
      <c r="D43" t="s">
        <v>592</v>
      </c>
      <c r="H43" s="83"/>
      <c r="I43" s="83"/>
      <c r="J43" s="83">
        <f t="shared" si="2"/>
        <v>0</v>
      </c>
      <c r="K43" s="83">
        <v>17452</v>
      </c>
    </row>
    <row r="44" spans="1:11">
      <c r="H44" s="81"/>
      <c r="I44" s="81"/>
      <c r="J44" s="81"/>
      <c r="K44" s="81"/>
    </row>
    <row r="45" spans="1:11">
      <c r="D45" s="7" t="s">
        <v>36</v>
      </c>
      <c r="E45" s="8"/>
      <c r="F45" s="8"/>
      <c r="G45" s="8"/>
      <c r="H45" s="87">
        <f>SUM(H32:H43)</f>
        <v>36065608</v>
      </c>
      <c r="I45" s="87">
        <f>SUM(I32:I43)</f>
        <v>30171667</v>
      </c>
      <c r="J45" s="87">
        <f>SUM(J32:J43)</f>
        <v>66237275</v>
      </c>
      <c r="K45" s="87">
        <f>SUM(K32:K43)</f>
        <v>82624184</v>
      </c>
    </row>
    <row r="46" spans="1:11">
      <c r="H46" s="81"/>
      <c r="I46" s="81"/>
      <c r="J46" s="81"/>
      <c r="K46" s="81"/>
    </row>
    <row r="47" spans="1:11">
      <c r="A47" s="5" t="s">
        <v>97</v>
      </c>
      <c r="H47" s="83"/>
      <c r="I47" s="83"/>
      <c r="J47" s="83"/>
      <c r="K47" s="83"/>
    </row>
    <row r="48" spans="1:11">
      <c r="B48" t="s">
        <v>593</v>
      </c>
      <c r="H48" s="83">
        <v>26277207</v>
      </c>
      <c r="I48" s="83"/>
      <c r="J48" s="83">
        <f>SUM(H48:I48)</f>
        <v>26277207</v>
      </c>
      <c r="K48" s="83">
        <v>5487598</v>
      </c>
    </row>
    <row r="49" spans="1:11">
      <c r="B49" t="s">
        <v>587</v>
      </c>
      <c r="H49" s="83">
        <v>492597</v>
      </c>
      <c r="I49" s="83">
        <v>134136</v>
      </c>
      <c r="J49" s="83">
        <f t="shared" ref="J49:J50" si="3">SUM(H49:I49)</f>
        <v>626733</v>
      </c>
      <c r="K49" s="83">
        <v>39867</v>
      </c>
    </row>
    <row r="50" spans="1:11">
      <c r="B50" t="s">
        <v>594</v>
      </c>
      <c r="H50" s="122">
        <v>1227798</v>
      </c>
      <c r="I50" s="122">
        <v>4432193</v>
      </c>
      <c r="J50" s="122">
        <f t="shared" si="3"/>
        <v>5659991</v>
      </c>
      <c r="K50" s="122"/>
    </row>
    <row r="51" spans="1:11">
      <c r="H51" s="83"/>
      <c r="I51" s="83"/>
      <c r="J51" s="83"/>
      <c r="K51" s="83"/>
    </row>
    <row r="52" spans="1:11">
      <c r="D52" s="102" t="s">
        <v>98</v>
      </c>
      <c r="E52" s="102"/>
      <c r="F52" s="102"/>
      <c r="G52" s="102"/>
      <c r="H52" s="103">
        <f>SUM(H48:H50)</f>
        <v>27997602</v>
      </c>
      <c r="I52" s="103">
        <f t="shared" ref="I52:K52" si="4">SUM(I48:I50)</f>
        <v>4566329</v>
      </c>
      <c r="J52" s="103">
        <f t="shared" si="4"/>
        <v>32563931</v>
      </c>
      <c r="K52" s="103">
        <f t="shared" si="4"/>
        <v>5527465</v>
      </c>
    </row>
    <row r="53" spans="1:11">
      <c r="H53" s="83"/>
      <c r="I53" s="83"/>
      <c r="J53" s="83"/>
      <c r="K53" s="83"/>
    </row>
    <row r="54" spans="1:11">
      <c r="A54" s="3" t="s">
        <v>39</v>
      </c>
      <c r="H54" s="83"/>
      <c r="I54" s="83"/>
      <c r="J54" s="83"/>
      <c r="K54" s="83"/>
    </row>
    <row r="55" spans="1:11">
      <c r="B55" t="s">
        <v>537</v>
      </c>
      <c r="H55" s="88">
        <v>203387734</v>
      </c>
      <c r="I55" s="83">
        <v>102069628</v>
      </c>
      <c r="J55" s="83">
        <f t="shared" ref="J55:J62" si="5">SUM(H55:I55)</f>
        <v>305457362</v>
      </c>
      <c r="K55" s="83">
        <v>-17087188</v>
      </c>
    </row>
    <row r="56" spans="1:11">
      <c r="B56" t="s">
        <v>41</v>
      </c>
      <c r="H56" s="83"/>
      <c r="I56" s="83"/>
      <c r="J56" s="83">
        <f t="shared" si="5"/>
        <v>0</v>
      </c>
      <c r="K56" s="83"/>
    </row>
    <row r="57" spans="1:11">
      <c r="C57" t="s">
        <v>595</v>
      </c>
      <c r="H57" s="89">
        <v>21557419</v>
      </c>
      <c r="I57" s="83"/>
      <c r="J57" s="83">
        <f t="shared" si="5"/>
        <v>21557419</v>
      </c>
      <c r="K57" s="83"/>
    </row>
    <row r="58" spans="1:11">
      <c r="C58" t="s">
        <v>42</v>
      </c>
      <c r="H58" s="89">
        <v>4716112</v>
      </c>
      <c r="I58" s="83">
        <v>2471579</v>
      </c>
      <c r="J58" s="83">
        <f t="shared" si="5"/>
        <v>7187691</v>
      </c>
      <c r="K58" s="83"/>
    </row>
    <row r="59" spans="1:11">
      <c r="C59" t="s">
        <v>43</v>
      </c>
      <c r="H59" s="89">
        <v>8024372</v>
      </c>
      <c r="I59" s="83">
        <v>7418328</v>
      </c>
      <c r="J59" s="83">
        <f t="shared" si="5"/>
        <v>15442700</v>
      </c>
      <c r="K59" s="83">
        <v>140449</v>
      </c>
    </row>
    <row r="60" spans="1:11">
      <c r="C60" t="s">
        <v>596</v>
      </c>
      <c r="H60" s="83"/>
      <c r="I60" s="83"/>
      <c r="J60" s="83">
        <f t="shared" si="5"/>
        <v>0</v>
      </c>
      <c r="K60" s="83"/>
    </row>
    <row r="61" spans="1:11">
      <c r="D61" t="s">
        <v>597</v>
      </c>
      <c r="H61" s="89">
        <v>8044395</v>
      </c>
      <c r="I61" s="83"/>
      <c r="J61" s="83">
        <f t="shared" si="5"/>
        <v>8044395</v>
      </c>
      <c r="K61" s="83"/>
    </row>
    <row r="62" spans="1:11">
      <c r="B62" t="s">
        <v>45</v>
      </c>
      <c r="H62" s="93">
        <v>33232957</v>
      </c>
      <c r="I62" s="83">
        <v>-2959002</v>
      </c>
      <c r="J62" s="83">
        <f t="shared" si="5"/>
        <v>30273955</v>
      </c>
      <c r="K62" s="83">
        <v>12552074</v>
      </c>
    </row>
    <row r="63" spans="1:11">
      <c r="H63" s="81"/>
      <c r="I63" s="81"/>
      <c r="J63" s="81"/>
      <c r="K63" s="81"/>
    </row>
    <row r="64" spans="1:11" s="3" customFormat="1">
      <c r="C64" s="9" t="s">
        <v>46</v>
      </c>
      <c r="D64" s="9"/>
      <c r="E64" s="9"/>
      <c r="F64" s="9"/>
      <c r="G64" s="9"/>
      <c r="H64" s="94">
        <f>SUM(H55:H62)</f>
        <v>278962989</v>
      </c>
      <c r="I64" s="94">
        <f>SUM(I55:I62)</f>
        <v>109000533</v>
      </c>
      <c r="J64" s="94">
        <f>SUM(J55:J62)</f>
        <v>387963522</v>
      </c>
      <c r="K64" s="94">
        <f>SUM(K54:K62)</f>
        <v>-4394665</v>
      </c>
    </row>
    <row r="65" spans="3:11">
      <c r="H65" s="83"/>
      <c r="I65" s="83"/>
      <c r="J65" s="83"/>
      <c r="K65" s="83"/>
    </row>
    <row r="66" spans="3:11">
      <c r="C66" s="10" t="s">
        <v>47</v>
      </c>
      <c r="D66" s="10"/>
      <c r="E66" s="10"/>
      <c r="F66" s="216"/>
      <c r="G66" s="216"/>
      <c r="H66" s="216">
        <f>H64+H45+H52</f>
        <v>343026199</v>
      </c>
      <c r="I66" s="216">
        <f t="shared" ref="I66:K66" si="6">I64+I45+I52</f>
        <v>143738529</v>
      </c>
      <c r="J66" s="216">
        <f t="shared" si="6"/>
        <v>486764728</v>
      </c>
      <c r="K66" s="216">
        <f t="shared" si="6"/>
        <v>83756984</v>
      </c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72"/>
  <sheetViews>
    <sheetView topLeftCell="A3" zoomScaleNormal="100" zoomScalePageLayoutView="80" workbookViewId="0">
      <selection activeCell="I60" sqref="I60"/>
    </sheetView>
  </sheetViews>
  <sheetFormatPr defaultColWidth="8.85546875" defaultRowHeight="14.45"/>
  <cols>
    <col min="1" max="1" width="3.28515625" customWidth="1"/>
    <col min="2" max="2" width="3" customWidth="1"/>
    <col min="3" max="3" width="4.42578125" customWidth="1"/>
    <col min="4" max="4" width="9" customWidth="1"/>
    <col min="5" max="5" width="8.7109375" customWidth="1"/>
    <col min="6" max="6" width="12.42578125" customWidth="1"/>
    <col min="7" max="7" width="25.7109375" customWidth="1"/>
    <col min="8" max="8" width="17.140625" customWidth="1"/>
    <col min="9" max="9" width="19.42578125" customWidth="1"/>
    <col min="10" max="10" width="20.42578125" customWidth="1"/>
    <col min="11" max="11" width="17.140625" customWidth="1"/>
    <col min="12" max="12" width="17.28515625" customWidth="1"/>
  </cols>
  <sheetData>
    <row r="1" spans="1:13" ht="18.600000000000001">
      <c r="A1" s="1"/>
      <c r="B1" s="1"/>
      <c r="C1" s="1"/>
      <c r="D1" s="272" t="s">
        <v>598</v>
      </c>
      <c r="E1" s="272"/>
      <c r="F1" s="272"/>
      <c r="G1" s="272"/>
      <c r="H1" s="272"/>
      <c r="I1" s="97"/>
      <c r="J1" s="97"/>
      <c r="K1" s="97"/>
    </row>
    <row r="2" spans="1:13" ht="18.60000000000000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  <c r="K2" s="98"/>
    </row>
    <row r="3" spans="1:13" ht="33" customHeight="1">
      <c r="H3" s="267" t="s">
        <v>2</v>
      </c>
      <c r="I3" s="277" t="s">
        <v>599</v>
      </c>
      <c r="J3" s="277"/>
      <c r="K3" s="277"/>
      <c r="L3" s="277"/>
      <c r="M3" s="221"/>
    </row>
    <row r="4" spans="1:13" ht="43.5">
      <c r="H4" s="105" t="s">
        <v>3</v>
      </c>
      <c r="I4" s="105" t="s">
        <v>600</v>
      </c>
      <c r="J4" s="105" t="s">
        <v>601</v>
      </c>
      <c r="K4" s="105" t="s">
        <v>602</v>
      </c>
      <c r="L4" s="265" t="s">
        <v>354</v>
      </c>
    </row>
    <row r="5" spans="1:13">
      <c r="A5" s="3" t="s">
        <v>5</v>
      </c>
      <c r="D5" s="3"/>
      <c r="G5" s="4"/>
      <c r="H5" s="4"/>
      <c r="I5" s="4"/>
      <c r="J5" s="4"/>
      <c r="K5" s="4"/>
    </row>
    <row r="6" spans="1:13">
      <c r="A6" s="3"/>
      <c r="B6" t="s">
        <v>603</v>
      </c>
      <c r="D6" s="3"/>
      <c r="G6" s="4"/>
      <c r="H6" s="4"/>
      <c r="I6" s="4"/>
      <c r="J6" s="4"/>
      <c r="K6" s="4"/>
    </row>
    <row r="7" spans="1:13">
      <c r="C7" t="s">
        <v>7</v>
      </c>
      <c r="H7" s="77">
        <v>5723972</v>
      </c>
      <c r="I7" s="83">
        <v>1278648</v>
      </c>
      <c r="J7" s="83">
        <v>877015</v>
      </c>
      <c r="K7" s="83">
        <v>449184</v>
      </c>
      <c r="L7" s="83">
        <f>SUM(I7:K7)</f>
        <v>2604847</v>
      </c>
    </row>
    <row r="8" spans="1:13">
      <c r="C8" t="s">
        <v>8</v>
      </c>
      <c r="H8" s="84">
        <v>561779</v>
      </c>
      <c r="I8" s="83"/>
      <c r="J8" s="83"/>
      <c r="K8" s="83">
        <v>20180</v>
      </c>
      <c r="L8" s="83">
        <f t="shared" ref="L8:L12" si="0">SUM(I8:K8)</f>
        <v>20180</v>
      </c>
    </row>
    <row r="9" spans="1:13">
      <c r="A9" t="s">
        <v>434</v>
      </c>
      <c r="C9" t="s">
        <v>123</v>
      </c>
      <c r="H9" s="78">
        <v>2510451</v>
      </c>
      <c r="I9" s="83">
        <v>3797489</v>
      </c>
      <c r="J9" s="83">
        <v>127929</v>
      </c>
      <c r="K9" s="83">
        <v>351631</v>
      </c>
      <c r="L9" s="83">
        <f t="shared" si="0"/>
        <v>4277049</v>
      </c>
    </row>
    <row r="10" spans="1:13">
      <c r="C10" t="s">
        <v>13</v>
      </c>
      <c r="H10" s="83"/>
      <c r="I10" s="83"/>
      <c r="J10" s="83"/>
      <c r="K10" s="83"/>
      <c r="L10" s="83">
        <f t="shared" si="0"/>
        <v>0</v>
      </c>
    </row>
    <row r="11" spans="1:13">
      <c r="C11" t="s">
        <v>52</v>
      </c>
      <c r="H11" s="126"/>
      <c r="I11" s="83">
        <v>369128</v>
      </c>
      <c r="J11" s="83">
        <v>47487</v>
      </c>
      <c r="K11" s="83"/>
      <c r="L11" s="83">
        <f t="shared" si="0"/>
        <v>416615</v>
      </c>
    </row>
    <row r="12" spans="1:13">
      <c r="C12" t="s">
        <v>604</v>
      </c>
      <c r="H12" s="79">
        <v>107473</v>
      </c>
      <c r="I12" s="83">
        <v>19061</v>
      </c>
      <c r="J12" s="83">
        <v>5614</v>
      </c>
      <c r="K12" s="83">
        <v>7243</v>
      </c>
      <c r="L12" s="83">
        <f t="shared" si="0"/>
        <v>31918</v>
      </c>
    </row>
    <row r="13" spans="1:13">
      <c r="B13" s="222" t="s">
        <v>605</v>
      </c>
      <c r="C13" s="222"/>
      <c r="D13" s="222"/>
      <c r="E13" s="222"/>
      <c r="F13" s="222"/>
      <c r="G13" s="222"/>
      <c r="H13" s="223">
        <f>SUM(H7:H12)</f>
        <v>8903675</v>
      </c>
      <c r="I13" s="223">
        <f t="shared" ref="I13:L13" si="1">SUM(I7:I12)</f>
        <v>5464326</v>
      </c>
      <c r="J13" s="223">
        <f t="shared" si="1"/>
        <v>1058045</v>
      </c>
      <c r="K13" s="223">
        <f t="shared" si="1"/>
        <v>828238</v>
      </c>
      <c r="L13" s="223">
        <f t="shared" si="1"/>
        <v>7350609</v>
      </c>
    </row>
    <row r="15" spans="1:13">
      <c r="B15" t="s">
        <v>201</v>
      </c>
      <c r="H15" s="83"/>
      <c r="I15" s="83"/>
      <c r="J15" s="83"/>
      <c r="K15" s="83"/>
      <c r="L15" s="83"/>
    </row>
    <row r="16" spans="1:13">
      <c r="C16" t="s">
        <v>418</v>
      </c>
      <c r="H16" s="77">
        <v>393912</v>
      </c>
      <c r="I16" s="83">
        <v>711595</v>
      </c>
      <c r="J16" s="83">
        <v>790541</v>
      </c>
      <c r="K16" s="83"/>
      <c r="L16" s="83">
        <f>SUM(I16:K16)</f>
        <v>1502136</v>
      </c>
    </row>
    <row r="17" spans="1:12">
      <c r="B17" s="222" t="s">
        <v>606</v>
      </c>
      <c r="C17" s="222"/>
      <c r="D17" s="222"/>
      <c r="E17" s="222"/>
      <c r="F17" s="222"/>
      <c r="G17" s="222"/>
      <c r="H17" s="223">
        <f>SUM(H16)</f>
        <v>393912</v>
      </c>
      <c r="I17" s="223">
        <f>SUM(I16)</f>
        <v>711595</v>
      </c>
      <c r="J17" s="223">
        <f t="shared" ref="J17:L17" si="2">SUM(J16)</f>
        <v>790541</v>
      </c>
      <c r="K17" s="223">
        <f t="shared" si="2"/>
        <v>0</v>
      </c>
      <c r="L17" s="223">
        <f t="shared" si="2"/>
        <v>1502136</v>
      </c>
    </row>
    <row r="18" spans="1:12">
      <c r="H18" s="83"/>
      <c r="I18" s="83"/>
      <c r="J18" s="83"/>
      <c r="K18" s="83"/>
      <c r="L18" s="83"/>
    </row>
    <row r="19" spans="1:12">
      <c r="B19" t="s">
        <v>607</v>
      </c>
      <c r="H19" s="83"/>
      <c r="I19" s="83"/>
      <c r="J19" s="83"/>
      <c r="K19" s="83"/>
      <c r="L19" s="83"/>
    </row>
    <row r="20" spans="1:12">
      <c r="C20" t="s">
        <v>8</v>
      </c>
      <c r="H20" s="83"/>
      <c r="I20" s="83"/>
      <c r="J20" s="83"/>
      <c r="K20" s="83"/>
      <c r="L20" s="83"/>
    </row>
    <row r="21" spans="1:12">
      <c r="B21" s="222" t="s">
        <v>608</v>
      </c>
      <c r="C21" s="222"/>
      <c r="D21" s="222"/>
      <c r="E21" s="222"/>
      <c r="F21" s="222"/>
      <c r="G21" s="222"/>
      <c r="H21" s="223"/>
      <c r="I21" s="223"/>
      <c r="J21" s="223"/>
      <c r="K21" s="223"/>
      <c r="L21" s="223"/>
    </row>
    <row r="22" spans="1:12">
      <c r="H22" s="83"/>
      <c r="I22" s="83"/>
      <c r="J22" s="83"/>
      <c r="K22" s="83"/>
      <c r="L22" s="83"/>
    </row>
    <row r="23" spans="1:12">
      <c r="B23" t="s">
        <v>14</v>
      </c>
      <c r="H23" s="83"/>
      <c r="I23" s="83"/>
      <c r="J23" s="83"/>
      <c r="K23" s="83"/>
      <c r="L23" s="83"/>
    </row>
    <row r="24" spans="1:12">
      <c r="C24" t="s">
        <v>138</v>
      </c>
      <c r="H24" s="80">
        <v>242736</v>
      </c>
      <c r="I24" s="83"/>
      <c r="J24" s="83">
        <v>47631</v>
      </c>
      <c r="K24" s="83"/>
      <c r="L24" s="83">
        <f>SUM(I24:K24)</f>
        <v>47631</v>
      </c>
    </row>
    <row r="25" spans="1:12">
      <c r="C25" t="s">
        <v>127</v>
      </c>
      <c r="H25" s="80">
        <v>17553409</v>
      </c>
      <c r="I25" s="83">
        <v>5755516</v>
      </c>
      <c r="J25" s="83">
        <v>7318285</v>
      </c>
      <c r="K25" s="83">
        <v>864754</v>
      </c>
      <c r="L25" s="83">
        <f>SUM(I25:K25)</f>
        <v>13938555</v>
      </c>
    </row>
    <row r="26" spans="1:12">
      <c r="H26" s="83"/>
      <c r="I26" s="83"/>
      <c r="J26" s="83"/>
      <c r="K26" s="83"/>
      <c r="L26" s="83"/>
    </row>
    <row r="27" spans="1:12">
      <c r="B27" s="222" t="s">
        <v>609</v>
      </c>
      <c r="C27" s="222"/>
      <c r="D27" s="222"/>
      <c r="E27" s="222"/>
      <c r="F27" s="222"/>
      <c r="G27" s="222"/>
      <c r="H27" s="223">
        <f>SUM(H24:H25)</f>
        <v>17796145</v>
      </c>
      <c r="I27" s="223">
        <f t="shared" ref="I27:L27" si="3">SUM(I24:I25)</f>
        <v>5755516</v>
      </c>
      <c r="J27" s="223">
        <f t="shared" si="3"/>
        <v>7365916</v>
      </c>
      <c r="K27" s="223">
        <f t="shared" si="3"/>
        <v>864754</v>
      </c>
      <c r="L27" s="223">
        <f t="shared" si="3"/>
        <v>13986186</v>
      </c>
    </row>
    <row r="28" spans="1:12">
      <c r="H28" s="83"/>
      <c r="I28" s="83"/>
      <c r="J28" s="83"/>
      <c r="K28" s="83"/>
      <c r="L28" s="83"/>
    </row>
    <row r="29" spans="1:12">
      <c r="A29" s="5"/>
      <c r="B29" s="5"/>
      <c r="C29" s="6" t="s">
        <v>17</v>
      </c>
      <c r="D29" s="6"/>
      <c r="E29" s="6"/>
      <c r="F29" s="6"/>
      <c r="G29" s="6"/>
      <c r="H29" s="82">
        <f>SUM(H13+H17+H21+H27)</f>
        <v>27093732</v>
      </c>
      <c r="I29" s="82">
        <f t="shared" ref="I29:L29" si="4">I27+I21+I17+I13</f>
        <v>11931437</v>
      </c>
      <c r="J29" s="82">
        <f t="shared" si="4"/>
        <v>9214502</v>
      </c>
      <c r="K29" s="82">
        <f t="shared" si="4"/>
        <v>1692992</v>
      </c>
      <c r="L29" s="82">
        <f t="shared" si="4"/>
        <v>22838931</v>
      </c>
    </row>
    <row r="30" spans="1:12">
      <c r="A30" s="5"/>
      <c r="B30" s="5"/>
      <c r="C30" s="5"/>
      <c r="D30" s="5"/>
      <c r="E30" s="5"/>
      <c r="F30" s="5"/>
      <c r="G30" s="5"/>
      <c r="H30" s="100"/>
      <c r="I30" s="100"/>
      <c r="J30" s="100"/>
      <c r="K30" s="100"/>
      <c r="L30" s="100"/>
    </row>
    <row r="31" spans="1:12">
      <c r="A31" s="5" t="s">
        <v>18</v>
      </c>
      <c r="B31" s="5"/>
      <c r="C31" s="5"/>
      <c r="D31" s="5"/>
      <c r="E31" s="5"/>
      <c r="F31" s="5"/>
      <c r="G31" s="5"/>
      <c r="H31" s="100"/>
      <c r="I31" s="100"/>
      <c r="J31" s="100"/>
      <c r="K31" s="100"/>
      <c r="L31" s="100"/>
    </row>
    <row r="32" spans="1:12">
      <c r="A32" s="5"/>
      <c r="B32" t="s">
        <v>20</v>
      </c>
      <c r="C32" s="5"/>
      <c r="D32" s="5"/>
      <c r="E32" s="5"/>
      <c r="F32" s="5"/>
      <c r="G32" s="5"/>
      <c r="H32" s="197">
        <v>289712</v>
      </c>
      <c r="I32" s="197"/>
      <c r="J32" s="197"/>
      <c r="K32" s="197"/>
      <c r="L32" s="197"/>
    </row>
    <row r="33" spans="1:12">
      <c r="A33" s="5"/>
      <c r="C33" s="5" t="s">
        <v>305</v>
      </c>
      <c r="D33" s="5"/>
      <c r="E33" s="5"/>
      <c r="F33" s="5"/>
      <c r="G33" s="5"/>
      <c r="H33" s="100">
        <f>H32</f>
        <v>289712</v>
      </c>
      <c r="I33" s="100">
        <f t="shared" ref="I33:L33" si="5">I32</f>
        <v>0</v>
      </c>
      <c r="J33" s="100">
        <f t="shared" si="5"/>
        <v>0</v>
      </c>
      <c r="K33" s="100">
        <f t="shared" si="5"/>
        <v>0</v>
      </c>
      <c r="L33" s="100">
        <f t="shared" si="5"/>
        <v>0</v>
      </c>
    </row>
    <row r="34" spans="1:12">
      <c r="H34" s="83"/>
      <c r="I34" s="83"/>
      <c r="J34" s="83"/>
      <c r="K34" s="83"/>
      <c r="L34" s="83"/>
    </row>
    <row r="35" spans="1:12">
      <c r="A35" s="5" t="s">
        <v>22</v>
      </c>
      <c r="H35" s="83"/>
      <c r="I35" s="83"/>
      <c r="J35" s="83"/>
      <c r="K35" s="83"/>
      <c r="L35" s="83"/>
    </row>
    <row r="36" spans="1:12">
      <c r="A36" s="5"/>
      <c r="B36" t="s">
        <v>258</v>
      </c>
      <c r="H36" s="83"/>
      <c r="I36" s="83"/>
      <c r="J36" s="83"/>
      <c r="K36" s="83"/>
      <c r="L36" s="83"/>
    </row>
    <row r="37" spans="1:12">
      <c r="A37" s="5"/>
      <c r="C37" t="s">
        <v>23</v>
      </c>
      <c r="H37" s="84">
        <v>447710</v>
      </c>
      <c r="I37" s="83">
        <v>1061127</v>
      </c>
      <c r="J37" s="83">
        <v>102879</v>
      </c>
      <c r="K37" s="83">
        <v>9810</v>
      </c>
      <c r="L37" s="83">
        <f>SUM(I37:K37)</f>
        <v>1173816</v>
      </c>
    </row>
    <row r="38" spans="1:12">
      <c r="A38" s="5"/>
      <c r="C38" t="s">
        <v>610</v>
      </c>
      <c r="H38" s="84">
        <v>63333</v>
      </c>
      <c r="I38" s="83"/>
      <c r="J38" s="83">
        <v>354497</v>
      </c>
      <c r="K38" s="83">
        <v>8816</v>
      </c>
      <c r="L38" s="83">
        <f t="shared" ref="L38:L44" si="6">SUM(I38:K38)</f>
        <v>363313</v>
      </c>
    </row>
    <row r="39" spans="1:12">
      <c r="A39" s="5"/>
      <c r="C39" t="s">
        <v>611</v>
      </c>
      <c r="H39" s="83"/>
      <c r="I39" s="83"/>
      <c r="J39" s="83">
        <v>498000</v>
      </c>
      <c r="K39" s="83"/>
      <c r="L39" s="83"/>
    </row>
    <row r="40" spans="1:12">
      <c r="C40" t="s">
        <v>612</v>
      </c>
      <c r="H40" s="79">
        <v>17955</v>
      </c>
      <c r="I40" s="83"/>
      <c r="J40" s="83">
        <v>23833</v>
      </c>
      <c r="K40" s="83">
        <v>4093</v>
      </c>
      <c r="L40" s="83">
        <f t="shared" si="6"/>
        <v>27926</v>
      </c>
    </row>
    <row r="41" spans="1:12">
      <c r="C41" t="s">
        <v>89</v>
      </c>
      <c r="H41" s="83"/>
      <c r="I41" s="83"/>
      <c r="J41" s="83">
        <v>92855</v>
      </c>
      <c r="K41" s="83"/>
      <c r="L41" s="83">
        <f t="shared" si="6"/>
        <v>92855</v>
      </c>
    </row>
    <row r="42" spans="1:12">
      <c r="C42" t="s">
        <v>613</v>
      </c>
      <c r="H42" s="83"/>
      <c r="I42" s="83"/>
      <c r="J42" s="83"/>
      <c r="K42" s="83"/>
      <c r="L42" s="83"/>
    </row>
    <row r="43" spans="1:12">
      <c r="D43" t="s">
        <v>31</v>
      </c>
      <c r="H43" s="85">
        <v>346000</v>
      </c>
      <c r="I43" s="83">
        <v>487967</v>
      </c>
      <c r="J43" s="83">
        <v>95700</v>
      </c>
      <c r="K43" s="83">
        <v>44384</v>
      </c>
      <c r="L43" s="83">
        <f t="shared" si="6"/>
        <v>628051</v>
      </c>
    </row>
    <row r="44" spans="1:12">
      <c r="D44" t="s">
        <v>614</v>
      </c>
      <c r="H44" s="79">
        <v>168310</v>
      </c>
      <c r="I44" s="83"/>
      <c r="J44" s="83"/>
      <c r="K44" s="83"/>
      <c r="L44" s="83">
        <f t="shared" si="6"/>
        <v>0</v>
      </c>
    </row>
    <row r="45" spans="1:12">
      <c r="B45" s="222" t="s">
        <v>615</v>
      </c>
      <c r="C45" s="222"/>
      <c r="D45" s="222"/>
      <c r="E45" s="222"/>
      <c r="F45" s="222"/>
      <c r="G45" s="222"/>
      <c r="H45" s="223">
        <f>SUM(H37:H44)</f>
        <v>1043308</v>
      </c>
      <c r="I45" s="223">
        <f>SUM(I37:I44)</f>
        <v>1549094</v>
      </c>
      <c r="J45" s="223">
        <f>SUM(J37:J44)</f>
        <v>1167764</v>
      </c>
      <c r="K45" s="223">
        <f>SUM(K37:K44)</f>
        <v>67103</v>
      </c>
      <c r="L45" s="223">
        <f>SUM(L37:L44)</f>
        <v>2285961</v>
      </c>
    </row>
    <row r="46" spans="1:12">
      <c r="H46" s="83"/>
      <c r="I46" s="83"/>
      <c r="J46" s="83"/>
      <c r="K46" s="83"/>
      <c r="L46" s="83"/>
    </row>
    <row r="47" spans="1:12">
      <c r="B47" t="s">
        <v>450</v>
      </c>
      <c r="H47" s="83"/>
      <c r="I47" s="83"/>
      <c r="J47" s="83"/>
      <c r="K47" s="83"/>
      <c r="L47" s="83"/>
    </row>
    <row r="48" spans="1:12">
      <c r="C48" t="s">
        <v>31</v>
      </c>
      <c r="H48" s="78">
        <v>1519000</v>
      </c>
      <c r="I48" s="83">
        <v>3714519</v>
      </c>
      <c r="J48" s="83">
        <v>3358678</v>
      </c>
      <c r="K48" s="83">
        <v>308444</v>
      </c>
      <c r="L48" s="83">
        <f>SUM(I48:K48)</f>
        <v>7381641</v>
      </c>
    </row>
    <row r="49" spans="1:13">
      <c r="C49" t="s">
        <v>614</v>
      </c>
      <c r="H49" s="84">
        <v>243047</v>
      </c>
      <c r="I49" s="83"/>
      <c r="J49" s="83"/>
      <c r="K49" s="83"/>
      <c r="L49" s="83">
        <f t="shared" ref="L49:L51" si="7">SUM(I49:K49)</f>
        <v>0</v>
      </c>
    </row>
    <row r="50" spans="1:13">
      <c r="C50" t="s">
        <v>115</v>
      </c>
      <c r="H50" s="86">
        <v>290570</v>
      </c>
      <c r="I50" s="83"/>
      <c r="J50" s="83"/>
      <c r="K50" s="83"/>
      <c r="L50" s="83">
        <f t="shared" si="7"/>
        <v>0</v>
      </c>
    </row>
    <row r="51" spans="1:13">
      <c r="C51" t="s">
        <v>616</v>
      </c>
      <c r="H51" s="79">
        <v>1434057</v>
      </c>
      <c r="I51" s="83"/>
      <c r="J51" s="83"/>
      <c r="K51" s="83"/>
      <c r="L51" s="83">
        <f t="shared" si="7"/>
        <v>0</v>
      </c>
    </row>
    <row r="52" spans="1:13">
      <c r="C52" t="s">
        <v>34</v>
      </c>
      <c r="H52" s="79">
        <v>94328</v>
      </c>
      <c r="I52" s="83"/>
      <c r="J52" s="83"/>
      <c r="K52" s="83"/>
      <c r="L52" s="83"/>
    </row>
    <row r="53" spans="1:13">
      <c r="B53" s="222" t="s">
        <v>617</v>
      </c>
      <c r="C53" s="222"/>
      <c r="D53" s="222"/>
      <c r="E53" s="222"/>
      <c r="F53" s="222"/>
      <c r="G53" s="222"/>
      <c r="H53" s="223">
        <f>SUM(H48:H52)</f>
        <v>3581002</v>
      </c>
      <c r="I53" s="223">
        <f t="shared" ref="I53:L53" si="8">SUM(I48:I52)</f>
        <v>3714519</v>
      </c>
      <c r="J53" s="223">
        <f t="shared" si="8"/>
        <v>3358678</v>
      </c>
      <c r="K53" s="223">
        <f t="shared" si="8"/>
        <v>308444</v>
      </c>
      <c r="L53" s="223">
        <f t="shared" si="8"/>
        <v>7381641</v>
      </c>
    </row>
    <row r="54" spans="1:13">
      <c r="H54" s="83"/>
      <c r="I54" s="83"/>
      <c r="J54" s="83"/>
      <c r="K54" s="83"/>
      <c r="L54" s="83"/>
    </row>
    <row r="55" spans="1:13">
      <c r="D55" s="7" t="s">
        <v>36</v>
      </c>
      <c r="E55" s="8"/>
      <c r="F55" s="8"/>
      <c r="G55" s="8"/>
      <c r="H55" s="87">
        <f>H45+H53</f>
        <v>4624310</v>
      </c>
      <c r="I55" s="87">
        <f t="shared" ref="I55:L55" si="9">I45+I53</f>
        <v>5263613</v>
      </c>
      <c r="J55" s="87">
        <f t="shared" si="9"/>
        <v>4526442</v>
      </c>
      <c r="K55" s="87">
        <f t="shared" si="9"/>
        <v>375547</v>
      </c>
      <c r="L55" s="87">
        <f t="shared" si="9"/>
        <v>9667602</v>
      </c>
    </row>
    <row r="56" spans="1:13">
      <c r="D56" s="5"/>
      <c r="H56" s="100"/>
      <c r="I56" s="100"/>
      <c r="J56" s="100"/>
      <c r="K56" s="100"/>
      <c r="L56" s="100"/>
    </row>
    <row r="57" spans="1:13">
      <c r="A57" s="5" t="s">
        <v>37</v>
      </c>
      <c r="B57" s="5"/>
      <c r="C57" s="5"/>
      <c r="D57" s="5"/>
      <c r="E57" s="5"/>
      <c r="F57" s="5"/>
      <c r="G57" s="5"/>
      <c r="H57" s="100"/>
      <c r="I57" s="100"/>
      <c r="J57" s="100"/>
      <c r="K57" s="100"/>
      <c r="L57" s="100"/>
    </row>
    <row r="58" spans="1:13">
      <c r="B58" t="s">
        <v>20</v>
      </c>
      <c r="H58" s="83">
        <v>54780</v>
      </c>
      <c r="I58" s="83"/>
      <c r="J58" s="83"/>
      <c r="K58" s="83"/>
      <c r="L58" s="83"/>
    </row>
    <row r="59" spans="1:13">
      <c r="A59" s="5"/>
      <c r="C59" s="5" t="s">
        <v>170</v>
      </c>
      <c r="D59" s="5"/>
      <c r="E59" s="5"/>
      <c r="F59" s="5"/>
      <c r="G59" s="5"/>
      <c r="H59" s="166">
        <f>H58</f>
        <v>54780</v>
      </c>
      <c r="I59" s="166">
        <f t="shared" ref="I59:L59" si="10">I58</f>
        <v>0</v>
      </c>
      <c r="J59" s="166">
        <f t="shared" si="10"/>
        <v>0</v>
      </c>
      <c r="K59" s="166">
        <f t="shared" si="10"/>
        <v>0</v>
      </c>
      <c r="L59" s="166">
        <f t="shared" si="10"/>
        <v>0</v>
      </c>
    </row>
    <row r="60" spans="1:13">
      <c r="H60" s="83"/>
      <c r="I60" s="83"/>
      <c r="J60" s="83"/>
      <c r="K60" s="83"/>
      <c r="L60" s="83"/>
    </row>
    <row r="61" spans="1:13">
      <c r="A61" s="3" t="s">
        <v>39</v>
      </c>
      <c r="H61" s="83"/>
      <c r="I61" s="83"/>
      <c r="J61" s="83"/>
      <c r="K61" s="83"/>
      <c r="L61" s="83"/>
    </row>
    <row r="62" spans="1:13">
      <c r="B62" t="s">
        <v>40</v>
      </c>
      <c r="H62" s="88">
        <v>15501833</v>
      </c>
      <c r="I62" s="83">
        <v>2674831</v>
      </c>
      <c r="J62" s="83">
        <v>3413538</v>
      </c>
      <c r="K62" s="83">
        <v>507833</v>
      </c>
      <c r="L62" s="83">
        <f>SUM(I62:K62)</f>
        <v>6596202</v>
      </c>
      <c r="M62" s="83"/>
    </row>
    <row r="63" spans="1:13">
      <c r="B63" t="s">
        <v>41</v>
      </c>
      <c r="H63" s="83"/>
      <c r="I63" s="83"/>
      <c r="J63" s="83"/>
      <c r="K63" s="83"/>
      <c r="L63" s="83">
        <f t="shared" ref="L63:L67" si="11">SUM(I63:K63)</f>
        <v>0</v>
      </c>
    </row>
    <row r="64" spans="1:13">
      <c r="C64" t="s">
        <v>42</v>
      </c>
      <c r="H64" s="89">
        <v>5297</v>
      </c>
      <c r="I64" s="83">
        <v>711595</v>
      </c>
      <c r="J64" s="83"/>
      <c r="K64" s="83">
        <v>42441</v>
      </c>
      <c r="L64" s="83">
        <f t="shared" si="11"/>
        <v>754036</v>
      </c>
    </row>
    <row r="65" spans="1:12">
      <c r="C65" t="s">
        <v>43</v>
      </c>
      <c r="H65" s="89">
        <v>348077</v>
      </c>
      <c r="I65" s="83"/>
      <c r="J65" s="83"/>
      <c r="K65" s="83"/>
      <c r="L65" s="83">
        <f t="shared" si="11"/>
        <v>0</v>
      </c>
    </row>
    <row r="66" spans="1:12">
      <c r="C66" t="s">
        <v>44</v>
      </c>
      <c r="H66" s="89">
        <v>7808226</v>
      </c>
      <c r="I66" s="83"/>
      <c r="J66" s="83">
        <v>290281</v>
      </c>
      <c r="K66" s="83"/>
      <c r="L66" s="83">
        <f t="shared" si="11"/>
        <v>290281</v>
      </c>
    </row>
    <row r="67" spans="1:12">
      <c r="B67" t="s">
        <v>45</v>
      </c>
      <c r="H67" s="93">
        <v>-959079</v>
      </c>
      <c r="I67" s="83">
        <v>3281398</v>
      </c>
      <c r="J67" s="83">
        <v>984241</v>
      </c>
      <c r="K67" s="83">
        <v>767171</v>
      </c>
      <c r="L67" s="83">
        <f t="shared" si="11"/>
        <v>5032810</v>
      </c>
    </row>
    <row r="68" spans="1:12">
      <c r="H68" s="81"/>
      <c r="I68" s="81"/>
      <c r="J68" s="81"/>
      <c r="K68" s="81"/>
      <c r="L68" s="81"/>
    </row>
    <row r="69" spans="1:12">
      <c r="A69" s="3"/>
      <c r="B69" s="3"/>
      <c r="C69" s="9" t="s">
        <v>46</v>
      </c>
      <c r="D69" s="9"/>
      <c r="E69" s="9"/>
      <c r="F69" s="9"/>
      <c r="G69" s="9"/>
      <c r="H69" s="94">
        <f>SUM(H62:H67)</f>
        <v>22704354</v>
      </c>
      <c r="I69" s="94">
        <f>SUM(I62:I67)</f>
        <v>6667824</v>
      </c>
      <c r="J69" s="94">
        <f>SUM(J62:J67)</f>
        <v>4688060</v>
      </c>
      <c r="K69" s="94">
        <f>SUM(K62:K67)</f>
        <v>1317445</v>
      </c>
      <c r="L69" s="94">
        <f>SUM(L61:L67)</f>
        <v>12673329</v>
      </c>
    </row>
    <row r="70" spans="1:12">
      <c r="H70" s="83"/>
      <c r="I70" s="83"/>
      <c r="J70" s="83"/>
      <c r="K70" s="83"/>
      <c r="L70" s="83"/>
    </row>
    <row r="71" spans="1:12">
      <c r="A71" s="3"/>
      <c r="B71" s="3"/>
      <c r="C71" s="10" t="s">
        <v>47</v>
      </c>
      <c r="D71" s="10"/>
      <c r="E71" s="10"/>
      <c r="F71" s="10"/>
      <c r="G71" s="10"/>
      <c r="H71" s="95">
        <f>SUM(H69+H55+H59)</f>
        <v>27383444</v>
      </c>
      <c r="I71" s="95">
        <f>SUM(I55+I69)</f>
        <v>11931437</v>
      </c>
      <c r="J71" s="95">
        <f>SUM(J55+J69)</f>
        <v>9214502</v>
      </c>
      <c r="K71" s="95">
        <f>SUM(K55+K69)</f>
        <v>1692992</v>
      </c>
      <c r="L71" s="95">
        <f>SUM(L69+L55)</f>
        <v>22340931</v>
      </c>
    </row>
    <row r="72" spans="1:12">
      <c r="H72" s="83"/>
      <c r="I72" s="83"/>
      <c r="J72" s="83"/>
      <c r="K72" s="83"/>
      <c r="L72" s="83"/>
    </row>
  </sheetData>
  <mergeCells count="3">
    <mergeCell ref="D1:H1"/>
    <mergeCell ref="D2:H2"/>
    <mergeCell ref="I3:L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64"/>
  <sheetViews>
    <sheetView zoomScale="80" zoomScaleNormal="80" zoomScalePageLayoutView="60" workbookViewId="0">
      <selection activeCell="AL55" sqref="AL55"/>
    </sheetView>
  </sheetViews>
  <sheetFormatPr defaultColWidth="8.85546875" defaultRowHeight="14.45"/>
  <cols>
    <col min="1" max="1" width="3.28515625" customWidth="1"/>
    <col min="2" max="3" width="2.140625" customWidth="1"/>
    <col min="4" max="4" width="8.7109375" customWidth="1"/>
    <col min="5" max="5" width="12.42578125" customWidth="1"/>
    <col min="6" max="6" width="23" customWidth="1"/>
    <col min="7" max="7" width="17.140625" customWidth="1"/>
    <col min="8" max="8" width="20" customWidth="1"/>
    <col min="9" max="9" width="17.28515625" customWidth="1"/>
    <col min="10" max="10" width="15.28515625" customWidth="1"/>
  </cols>
  <sheetData>
    <row r="1" spans="1:10" ht="18.75" customHeight="1">
      <c r="A1" s="1"/>
      <c r="B1" s="1"/>
      <c r="C1" s="272" t="s">
        <v>618</v>
      </c>
      <c r="D1" s="272"/>
      <c r="E1" s="272"/>
      <c r="F1" s="272"/>
      <c r="G1" s="272"/>
      <c r="H1" s="97"/>
    </row>
    <row r="2" spans="1:10" ht="15.75" customHeight="1">
      <c r="A2" s="1"/>
      <c r="B2" s="1"/>
      <c r="C2" s="271" t="s">
        <v>1</v>
      </c>
      <c r="D2" s="271"/>
      <c r="E2" s="271"/>
      <c r="F2" s="271"/>
      <c r="G2" s="271"/>
      <c r="H2" s="98"/>
    </row>
    <row r="4" spans="1:10" ht="36" customHeight="1">
      <c r="G4" s="279" t="s">
        <v>2</v>
      </c>
      <c r="H4" s="279"/>
      <c r="I4" s="159"/>
      <c r="J4" s="265" t="s">
        <v>4</v>
      </c>
    </row>
    <row r="5" spans="1:10" ht="45" customHeight="1">
      <c r="G5" s="105" t="s">
        <v>3</v>
      </c>
      <c r="H5" s="105" t="s">
        <v>157</v>
      </c>
      <c r="I5" s="106" t="s">
        <v>74</v>
      </c>
      <c r="J5" s="165" t="s">
        <v>619</v>
      </c>
    </row>
    <row r="6" spans="1:10">
      <c r="A6" s="3" t="s">
        <v>5</v>
      </c>
      <c r="C6" s="3"/>
      <c r="F6" s="4"/>
      <c r="G6" s="4"/>
      <c r="H6" s="4"/>
    </row>
    <row r="7" spans="1:10">
      <c r="B7" t="s">
        <v>7</v>
      </c>
      <c r="G7" s="77">
        <v>19112401</v>
      </c>
      <c r="H7" s="83">
        <v>6002490</v>
      </c>
      <c r="I7" s="83">
        <f>SUM(G7:H7)</f>
        <v>25114891</v>
      </c>
      <c r="J7">
        <v>4909263</v>
      </c>
    </row>
    <row r="8" spans="1:10">
      <c r="B8" t="s">
        <v>8</v>
      </c>
      <c r="G8" s="84">
        <v>18887294</v>
      </c>
      <c r="H8" s="83">
        <v>4016013</v>
      </c>
      <c r="I8" s="83">
        <f>SUM(G8:H8)</f>
        <v>22903307</v>
      </c>
    </row>
    <row r="9" spans="1:10">
      <c r="B9" t="s">
        <v>198</v>
      </c>
      <c r="G9" s="78">
        <v>22260635</v>
      </c>
      <c r="H9" s="83">
        <v>1210201</v>
      </c>
      <c r="I9" s="83">
        <f t="shared" ref="I9:I11" si="0">SUM(G9:H9)</f>
        <v>23470836</v>
      </c>
      <c r="J9">
        <v>3563353</v>
      </c>
    </row>
    <row r="10" spans="1:10">
      <c r="B10" t="s">
        <v>620</v>
      </c>
      <c r="G10" s="83"/>
      <c r="H10" s="83"/>
      <c r="I10" s="83">
        <f t="shared" si="0"/>
        <v>0</v>
      </c>
    </row>
    <row r="11" spans="1:10">
      <c r="C11" t="s">
        <v>92</v>
      </c>
      <c r="G11" s="90">
        <v>530000</v>
      </c>
      <c r="H11" s="83"/>
      <c r="I11" s="83">
        <f t="shared" si="0"/>
        <v>530000</v>
      </c>
    </row>
    <row r="12" spans="1:10">
      <c r="C12" t="s">
        <v>93</v>
      </c>
      <c r="G12" s="90">
        <v>550000</v>
      </c>
      <c r="H12" s="83"/>
      <c r="I12" s="83">
        <f t="shared" ref="I12:I21" si="1">SUM(G12:H12)</f>
        <v>550000</v>
      </c>
    </row>
    <row r="13" spans="1:10">
      <c r="C13" t="s">
        <v>621</v>
      </c>
      <c r="G13" s="83"/>
      <c r="H13" s="83"/>
      <c r="I13" s="83">
        <f t="shared" si="1"/>
        <v>0</v>
      </c>
      <c r="J13">
        <v>310553</v>
      </c>
    </row>
    <row r="14" spans="1:10">
      <c r="B14" t="s">
        <v>622</v>
      </c>
      <c r="G14" s="79">
        <v>-19032</v>
      </c>
      <c r="H14" s="83">
        <v>19032</v>
      </c>
      <c r="I14" s="83">
        <f t="shared" si="1"/>
        <v>0</v>
      </c>
    </row>
    <row r="15" spans="1:10">
      <c r="B15" t="s">
        <v>177</v>
      </c>
      <c r="G15" s="79">
        <v>36691</v>
      </c>
      <c r="H15" s="83">
        <v>203686</v>
      </c>
      <c r="I15" s="83">
        <f t="shared" si="1"/>
        <v>240377</v>
      </c>
      <c r="J15">
        <v>352342</v>
      </c>
    </row>
    <row r="16" spans="1:10">
      <c r="B16" t="s">
        <v>125</v>
      </c>
      <c r="G16" s="79">
        <v>159259</v>
      </c>
      <c r="H16" s="83">
        <v>9982</v>
      </c>
      <c r="I16" s="83">
        <f t="shared" si="1"/>
        <v>169241</v>
      </c>
    </row>
    <row r="17" spans="1:10">
      <c r="B17" t="s">
        <v>78</v>
      </c>
      <c r="G17" s="83"/>
      <c r="H17" s="83"/>
      <c r="I17" s="83">
        <f t="shared" si="1"/>
        <v>0</v>
      </c>
    </row>
    <row r="18" spans="1:10">
      <c r="C18" t="s">
        <v>7</v>
      </c>
      <c r="G18" s="83"/>
      <c r="H18" s="83">
        <v>515927</v>
      </c>
      <c r="I18" s="83">
        <f t="shared" si="1"/>
        <v>515927</v>
      </c>
    </row>
    <row r="19" spans="1:10">
      <c r="C19" t="s">
        <v>623</v>
      </c>
      <c r="G19" s="83"/>
      <c r="H19" s="83"/>
      <c r="I19" s="83">
        <f t="shared" si="1"/>
        <v>0</v>
      </c>
      <c r="J19">
        <v>1234565</v>
      </c>
    </row>
    <row r="20" spans="1:10">
      <c r="C20" t="s">
        <v>624</v>
      </c>
      <c r="G20" s="83"/>
      <c r="H20" s="83"/>
      <c r="I20" s="83">
        <f t="shared" si="1"/>
        <v>0</v>
      </c>
      <c r="J20">
        <v>11466837</v>
      </c>
    </row>
    <row r="21" spans="1:10">
      <c r="B21" t="s">
        <v>355</v>
      </c>
      <c r="G21" s="80">
        <v>66294696</v>
      </c>
      <c r="H21" s="83">
        <v>13027858</v>
      </c>
      <c r="I21" s="83">
        <f t="shared" si="1"/>
        <v>79322554</v>
      </c>
      <c r="J21">
        <v>20970927</v>
      </c>
    </row>
    <row r="22" spans="1:10">
      <c r="B22" t="s">
        <v>625</v>
      </c>
      <c r="G22" s="83"/>
      <c r="H22" s="83">
        <v>245</v>
      </c>
      <c r="I22" s="83">
        <f>SUM(G22:H22)</f>
        <v>245</v>
      </c>
      <c r="J22" s="122">
        <v>418547</v>
      </c>
    </row>
    <row r="23" spans="1:10">
      <c r="G23" s="81"/>
      <c r="H23" s="81"/>
      <c r="I23" s="81"/>
    </row>
    <row r="24" spans="1:10" s="5" customFormat="1">
      <c r="B24" s="6" t="s">
        <v>17</v>
      </c>
      <c r="C24" s="6"/>
      <c r="D24" s="6"/>
      <c r="E24" s="6"/>
      <c r="F24" s="6"/>
      <c r="G24" s="82">
        <f>SUM(G7:G21)</f>
        <v>127811944</v>
      </c>
      <c r="H24" s="82">
        <f>SUM(H7:H22)</f>
        <v>25005434</v>
      </c>
      <c r="I24" s="82">
        <f>SUM(I7:I22)</f>
        <v>152817378</v>
      </c>
      <c r="J24" s="82">
        <f>SUM(J7:J22)</f>
        <v>43226387</v>
      </c>
    </row>
    <row r="25" spans="1:10" s="5" customFormat="1">
      <c r="G25" s="100"/>
      <c r="H25" s="100"/>
      <c r="I25" s="100"/>
      <c r="J25" s="100"/>
    </row>
    <row r="26" spans="1:10">
      <c r="A26" s="5" t="s">
        <v>18</v>
      </c>
      <c r="G26" s="83"/>
      <c r="H26" s="83"/>
      <c r="I26" s="83"/>
    </row>
    <row r="27" spans="1:10">
      <c r="A27" s="5"/>
      <c r="C27" t="s">
        <v>81</v>
      </c>
      <c r="G27" s="83">
        <v>1749011</v>
      </c>
      <c r="H27" s="83">
        <v>235540</v>
      </c>
      <c r="I27" s="83">
        <f>SUM(G27:H27)</f>
        <v>1984551</v>
      </c>
    </row>
    <row r="28" spans="1:10">
      <c r="A28" s="5"/>
      <c r="C28" t="s">
        <v>626</v>
      </c>
      <c r="G28" s="122">
        <v>147272</v>
      </c>
      <c r="H28" s="122"/>
      <c r="I28" s="122">
        <f>SUM(G28:H28)</f>
        <v>147272</v>
      </c>
      <c r="J28" s="159">
        <v>1111336</v>
      </c>
    </row>
    <row r="29" spans="1:10" s="5" customFormat="1">
      <c r="D29" s="5" t="s">
        <v>83</v>
      </c>
      <c r="G29" s="100">
        <f>SUM(G27:G28)</f>
        <v>1896283</v>
      </c>
      <c r="H29" s="100">
        <f t="shared" ref="H29:J29" si="2">SUM(H27:H28)</f>
        <v>235540</v>
      </c>
      <c r="I29" s="100">
        <f t="shared" si="2"/>
        <v>2131823</v>
      </c>
      <c r="J29" s="100">
        <f t="shared" si="2"/>
        <v>1111336</v>
      </c>
    </row>
    <row r="30" spans="1:10">
      <c r="A30" s="5"/>
      <c r="G30" s="83"/>
      <c r="H30" s="83"/>
      <c r="I30" s="83"/>
    </row>
    <row r="31" spans="1:10">
      <c r="A31" s="5" t="s">
        <v>22</v>
      </c>
      <c r="G31" s="83"/>
      <c r="H31" s="83"/>
      <c r="I31" s="83"/>
    </row>
    <row r="32" spans="1:10">
      <c r="B32" t="s">
        <v>280</v>
      </c>
      <c r="G32" s="84">
        <v>3219582</v>
      </c>
      <c r="H32" s="83">
        <v>279772</v>
      </c>
      <c r="I32" s="83">
        <f>SUM(G32:H32)</f>
        <v>3499354</v>
      </c>
      <c r="J32">
        <v>676770</v>
      </c>
    </row>
    <row r="33" spans="1:10">
      <c r="B33" t="s">
        <v>117</v>
      </c>
      <c r="G33" s="107">
        <v>61456</v>
      </c>
      <c r="H33" s="83"/>
      <c r="I33" s="83">
        <f t="shared" ref="I33:I40" si="3">SUM(G33:H33)</f>
        <v>61456</v>
      </c>
    </row>
    <row r="34" spans="1:10">
      <c r="B34" t="s">
        <v>342</v>
      </c>
      <c r="G34" s="79">
        <v>1137165</v>
      </c>
      <c r="H34" s="83">
        <v>41486</v>
      </c>
      <c r="I34" s="83">
        <f t="shared" si="3"/>
        <v>1178651</v>
      </c>
      <c r="J34">
        <v>747782</v>
      </c>
    </row>
    <row r="35" spans="1:10">
      <c r="B35" t="s">
        <v>209</v>
      </c>
      <c r="G35" s="83"/>
      <c r="H35" s="83">
        <v>494541</v>
      </c>
      <c r="I35" s="83">
        <f t="shared" si="3"/>
        <v>494541</v>
      </c>
    </row>
    <row r="36" spans="1:10">
      <c r="B36" t="s">
        <v>29</v>
      </c>
      <c r="G36" s="83"/>
      <c r="H36" s="83"/>
      <c r="I36" s="83">
        <f t="shared" si="3"/>
        <v>0</v>
      </c>
    </row>
    <row r="37" spans="1:10">
      <c r="D37" t="s">
        <v>96</v>
      </c>
      <c r="G37" s="79">
        <v>2206570</v>
      </c>
      <c r="H37" s="83">
        <v>372652</v>
      </c>
      <c r="I37" s="83">
        <f t="shared" si="3"/>
        <v>2579222</v>
      </c>
    </row>
    <row r="38" spans="1:10">
      <c r="D38" t="s">
        <v>81</v>
      </c>
      <c r="G38" s="79">
        <v>392488</v>
      </c>
      <c r="H38" s="83">
        <v>45934</v>
      </c>
      <c r="I38" s="83">
        <f t="shared" si="3"/>
        <v>438422</v>
      </c>
    </row>
    <row r="39" spans="1:10">
      <c r="D39" t="s">
        <v>92</v>
      </c>
      <c r="G39" s="92">
        <v>1587532</v>
      </c>
      <c r="H39" s="83">
        <v>65124</v>
      </c>
      <c r="I39" s="83">
        <f t="shared" si="3"/>
        <v>1652656</v>
      </c>
      <c r="J39">
        <v>1033484</v>
      </c>
    </row>
    <row r="40" spans="1:10">
      <c r="D40" t="s">
        <v>93</v>
      </c>
      <c r="G40" s="77">
        <v>5763974</v>
      </c>
      <c r="H40" s="83">
        <v>79397</v>
      </c>
      <c r="I40" s="83">
        <f t="shared" si="3"/>
        <v>5843371</v>
      </c>
      <c r="J40" s="159">
        <v>14234263</v>
      </c>
    </row>
    <row r="41" spans="1:10">
      <c r="G41" s="81"/>
      <c r="H41" s="81"/>
      <c r="I41" s="81"/>
    </row>
    <row r="42" spans="1:10">
      <c r="C42" s="7" t="s">
        <v>36</v>
      </c>
      <c r="D42" s="8"/>
      <c r="E42" s="8"/>
      <c r="F42" s="8"/>
      <c r="G42" s="87">
        <f>SUM(G32:G40)</f>
        <v>14368767</v>
      </c>
      <c r="H42" s="87">
        <f>SUM(H32:H40)</f>
        <v>1378906</v>
      </c>
      <c r="I42" s="87">
        <f>SUM(I32:I40)</f>
        <v>15747673</v>
      </c>
      <c r="J42" s="87">
        <f>SUM(J32:J40)</f>
        <v>16692299</v>
      </c>
    </row>
    <row r="43" spans="1:10">
      <c r="C43" s="5"/>
      <c r="G43" s="100"/>
      <c r="H43" s="100"/>
      <c r="I43" s="100"/>
      <c r="J43" s="100"/>
    </row>
    <row r="44" spans="1:10">
      <c r="A44" s="5" t="s">
        <v>37</v>
      </c>
      <c r="G44" s="83"/>
      <c r="H44" s="83"/>
      <c r="I44" s="83"/>
    </row>
    <row r="45" spans="1:10">
      <c r="A45" s="5"/>
      <c r="C45" t="s">
        <v>81</v>
      </c>
      <c r="G45" s="122">
        <v>187300</v>
      </c>
      <c r="H45" s="122">
        <v>21527</v>
      </c>
      <c r="I45" s="122">
        <f>SUM(G45:H45)</f>
        <v>208827</v>
      </c>
      <c r="J45" s="159"/>
    </row>
    <row r="46" spans="1:10">
      <c r="G46" s="83"/>
      <c r="H46" s="83"/>
      <c r="I46" s="83"/>
    </row>
    <row r="47" spans="1:10">
      <c r="A47" s="3" t="s">
        <v>39</v>
      </c>
      <c r="G47" s="83"/>
      <c r="H47" s="83"/>
      <c r="I47" s="83"/>
    </row>
    <row r="48" spans="1:10">
      <c r="B48" t="s">
        <v>443</v>
      </c>
      <c r="G48" s="88">
        <v>60873245</v>
      </c>
      <c r="H48" s="83">
        <v>13027858</v>
      </c>
      <c r="I48" s="83">
        <f>SUM(G48:H48)</f>
        <v>73901103</v>
      </c>
      <c r="J48">
        <v>6773753</v>
      </c>
    </row>
    <row r="49" spans="2:10">
      <c r="B49" t="s">
        <v>41</v>
      </c>
      <c r="G49" s="83"/>
      <c r="H49" s="83"/>
      <c r="I49" s="83"/>
    </row>
    <row r="50" spans="2:10">
      <c r="C50" t="s">
        <v>246</v>
      </c>
      <c r="G50" s="89">
        <v>8506336</v>
      </c>
      <c r="H50" s="83"/>
      <c r="I50" s="83">
        <f t="shared" ref="I50:I60" si="4">SUM(G50:H50)</f>
        <v>8506336</v>
      </c>
    </row>
    <row r="51" spans="2:10">
      <c r="C51" t="s">
        <v>147</v>
      </c>
      <c r="G51" s="89">
        <v>5990063</v>
      </c>
      <c r="H51" s="83"/>
      <c r="I51" s="83">
        <f t="shared" si="4"/>
        <v>5990063</v>
      </c>
    </row>
    <row r="52" spans="2:10">
      <c r="C52" t="s">
        <v>42</v>
      </c>
      <c r="G52" s="89">
        <v>1557524</v>
      </c>
      <c r="H52" s="83"/>
      <c r="I52" s="83">
        <f t="shared" si="4"/>
        <v>1557524</v>
      </c>
      <c r="J52">
        <v>1234564</v>
      </c>
    </row>
    <row r="53" spans="2:10">
      <c r="C53" t="s">
        <v>43</v>
      </c>
      <c r="G53" s="89">
        <v>898744</v>
      </c>
      <c r="H53" s="83"/>
      <c r="I53" s="83">
        <f>SUM(G53:H53)</f>
        <v>898744</v>
      </c>
    </row>
    <row r="54" spans="2:10">
      <c r="C54" t="s">
        <v>102</v>
      </c>
      <c r="G54" s="89">
        <v>7058418</v>
      </c>
      <c r="H54" s="83"/>
      <c r="I54" s="83">
        <f t="shared" si="4"/>
        <v>7058418</v>
      </c>
    </row>
    <row r="55" spans="2:10">
      <c r="C55" t="s">
        <v>627</v>
      </c>
      <c r="G55" s="89">
        <v>5430945</v>
      </c>
      <c r="H55" s="83"/>
      <c r="I55" s="83">
        <f t="shared" si="4"/>
        <v>5430945</v>
      </c>
    </row>
    <row r="56" spans="2:10">
      <c r="C56" t="s">
        <v>101</v>
      </c>
      <c r="G56" s="89">
        <v>14651790</v>
      </c>
      <c r="H56" s="83"/>
      <c r="I56" s="83">
        <f t="shared" si="4"/>
        <v>14651790</v>
      </c>
    </row>
    <row r="57" spans="2:10">
      <c r="C57" t="s">
        <v>70</v>
      </c>
      <c r="G57" s="89">
        <v>3288760</v>
      </c>
      <c r="H57" s="83"/>
      <c r="I57" s="83">
        <f t="shared" si="4"/>
        <v>3288760</v>
      </c>
    </row>
    <row r="58" spans="2:10">
      <c r="C58" t="s">
        <v>628</v>
      </c>
      <c r="G58" s="89">
        <v>1826321</v>
      </c>
      <c r="H58" s="83"/>
      <c r="I58" s="83">
        <f t="shared" si="4"/>
        <v>1826321</v>
      </c>
    </row>
    <row r="59" spans="2:10">
      <c r="C59" t="s">
        <v>44</v>
      </c>
      <c r="G59" s="89">
        <v>5904</v>
      </c>
      <c r="H59" s="83"/>
      <c r="I59" s="83">
        <f t="shared" si="4"/>
        <v>5904</v>
      </c>
    </row>
    <row r="60" spans="2:10">
      <c r="B60" t="s">
        <v>45</v>
      </c>
      <c r="G60" s="93">
        <v>5064110</v>
      </c>
      <c r="H60" s="83">
        <v>10815683</v>
      </c>
      <c r="I60" s="83">
        <f t="shared" si="4"/>
        <v>15879793</v>
      </c>
      <c r="J60" s="159">
        <v>19637107</v>
      </c>
    </row>
    <row r="61" spans="2:10">
      <c r="G61" s="81"/>
      <c r="H61" s="81"/>
      <c r="I61" s="81"/>
    </row>
    <row r="62" spans="2:10" s="3" customFormat="1">
      <c r="B62" s="9" t="s">
        <v>46</v>
      </c>
      <c r="C62" s="9"/>
      <c r="D62" s="9"/>
      <c r="E62" s="9"/>
      <c r="F62" s="9"/>
      <c r="G62" s="94">
        <f>SUM(G48:G61)</f>
        <v>115152160</v>
      </c>
      <c r="H62" s="94">
        <f>SUM(H48:H60)</f>
        <v>23843541</v>
      </c>
      <c r="I62" s="94">
        <f>SUM(I47:I60)</f>
        <v>138995701</v>
      </c>
      <c r="J62" s="94">
        <f>SUM(J47:J60)</f>
        <v>27645424</v>
      </c>
    </row>
    <row r="63" spans="2:10">
      <c r="G63" s="83"/>
      <c r="H63" s="83"/>
      <c r="I63" s="83"/>
    </row>
    <row r="64" spans="2:10">
      <c r="B64" s="10" t="s">
        <v>47</v>
      </c>
      <c r="C64" s="10"/>
      <c r="D64" s="10"/>
      <c r="E64" s="216"/>
      <c r="F64" s="216"/>
      <c r="G64" s="216">
        <f>G62+G42+G45</f>
        <v>129708227</v>
      </c>
      <c r="H64" s="216">
        <f t="shared" ref="H64:J64" si="5">H62+H42+H45</f>
        <v>25243974</v>
      </c>
      <c r="I64" s="216">
        <f t="shared" si="5"/>
        <v>154952201</v>
      </c>
      <c r="J64" s="216">
        <f t="shared" si="5"/>
        <v>44337723</v>
      </c>
    </row>
  </sheetData>
  <mergeCells count="3">
    <mergeCell ref="C1:G1"/>
    <mergeCell ref="C2:G2"/>
    <mergeCell ref="G4:H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56"/>
  <sheetViews>
    <sheetView zoomScale="80" zoomScaleNormal="80" zoomScalePageLayoutView="80" workbookViewId="0">
      <selection activeCell="N54" sqref="N54"/>
    </sheetView>
  </sheetViews>
  <sheetFormatPr defaultColWidth="8.85546875" defaultRowHeight="14.45"/>
  <cols>
    <col min="1" max="1" width="3.28515625" customWidth="1"/>
    <col min="2" max="3" width="2.140625" customWidth="1"/>
    <col min="4" max="4" width="8.7109375" customWidth="1"/>
    <col min="5" max="5" width="12.42578125" customWidth="1"/>
    <col min="6" max="6" width="23" customWidth="1"/>
    <col min="7" max="7" width="18.85546875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272" t="s">
        <v>629</v>
      </c>
      <c r="D1" s="272"/>
      <c r="E1" s="272"/>
      <c r="F1" s="272"/>
      <c r="G1" s="272"/>
      <c r="H1" s="97"/>
      <c r="I1" s="97"/>
    </row>
    <row r="2" spans="1:11" ht="15.75" customHeight="1">
      <c r="A2" s="1"/>
      <c r="B2" s="1"/>
      <c r="C2" s="271" t="s">
        <v>1</v>
      </c>
      <c r="D2" s="271"/>
      <c r="E2" s="271"/>
      <c r="F2" s="271"/>
      <c r="G2" s="271"/>
      <c r="H2" s="98"/>
      <c r="I2" s="98"/>
    </row>
    <row r="3" spans="1:11" ht="11.25" customHeight="1"/>
    <row r="4" spans="1:11" ht="15" customHeight="1">
      <c r="G4" s="277" t="s">
        <v>2</v>
      </c>
      <c r="H4" s="277"/>
      <c r="I4" s="277"/>
      <c r="J4" s="163" t="s">
        <v>4</v>
      </c>
    </row>
    <row r="5" spans="1:11" ht="31.5" customHeight="1">
      <c r="G5" s="105" t="s">
        <v>3</v>
      </c>
      <c r="H5" s="105" t="s">
        <v>157</v>
      </c>
      <c r="I5" s="105" t="s">
        <v>74</v>
      </c>
      <c r="J5" s="164" t="s">
        <v>294</v>
      </c>
      <c r="K5" s="5"/>
    </row>
    <row r="6" spans="1:11">
      <c r="A6" s="3" t="s">
        <v>5</v>
      </c>
      <c r="C6" s="3"/>
      <c r="F6" s="4"/>
      <c r="G6" s="4"/>
      <c r="H6" s="4"/>
      <c r="I6" s="4"/>
    </row>
    <row r="7" spans="1:11">
      <c r="B7" t="s">
        <v>7</v>
      </c>
      <c r="G7" s="77">
        <v>73371436</v>
      </c>
      <c r="H7" s="83">
        <v>1361362</v>
      </c>
      <c r="I7" s="83">
        <f t="shared" ref="I7:I20" si="0">SUM(G7:H7)</f>
        <v>74732798</v>
      </c>
      <c r="J7" s="83">
        <v>6386074</v>
      </c>
    </row>
    <row r="8" spans="1:11">
      <c r="B8" t="s">
        <v>233</v>
      </c>
      <c r="G8" s="83"/>
      <c r="H8" s="83">
        <v>572914</v>
      </c>
      <c r="I8" s="83">
        <f t="shared" si="0"/>
        <v>572914</v>
      </c>
      <c r="J8" s="83"/>
    </row>
    <row r="9" spans="1:11">
      <c r="B9" t="s">
        <v>630</v>
      </c>
      <c r="G9" s="83"/>
      <c r="H9" s="83"/>
      <c r="I9" s="83">
        <f t="shared" si="0"/>
        <v>0</v>
      </c>
      <c r="J9" s="83"/>
    </row>
    <row r="10" spans="1:11">
      <c r="C10" t="s">
        <v>389</v>
      </c>
      <c r="G10" s="78">
        <v>418189</v>
      </c>
      <c r="H10" s="83">
        <v>2999215</v>
      </c>
      <c r="I10" s="83">
        <f t="shared" si="0"/>
        <v>3417404</v>
      </c>
      <c r="J10" s="83"/>
    </row>
    <row r="11" spans="1:11">
      <c r="C11" t="s">
        <v>511</v>
      </c>
      <c r="G11" s="78">
        <v>11942568</v>
      </c>
      <c r="H11" s="83"/>
      <c r="I11" s="83">
        <f t="shared" si="0"/>
        <v>11942568</v>
      </c>
      <c r="J11" s="83">
        <v>4424379</v>
      </c>
    </row>
    <row r="12" spans="1:11">
      <c r="C12" t="s">
        <v>569</v>
      </c>
      <c r="G12" s="78">
        <v>4169749</v>
      </c>
      <c r="H12" s="83"/>
      <c r="I12" s="83">
        <f t="shared" si="0"/>
        <v>4169749</v>
      </c>
      <c r="J12" s="83"/>
    </row>
    <row r="13" spans="1:11">
      <c r="C13" t="s">
        <v>234</v>
      </c>
      <c r="G13" s="78">
        <v>194298</v>
      </c>
      <c r="H13" s="83"/>
      <c r="I13" s="83">
        <f t="shared" si="0"/>
        <v>194298</v>
      </c>
      <c r="J13" s="83">
        <v>59593</v>
      </c>
    </row>
    <row r="14" spans="1:11">
      <c r="B14" t="s">
        <v>51</v>
      </c>
      <c r="G14" s="90">
        <v>3982244</v>
      </c>
      <c r="H14" s="83">
        <v>768448</v>
      </c>
      <c r="I14" s="83">
        <f t="shared" si="0"/>
        <v>4750692</v>
      </c>
      <c r="J14" s="83"/>
    </row>
    <row r="15" spans="1:11">
      <c r="B15" t="s">
        <v>125</v>
      </c>
      <c r="G15" s="79">
        <v>472358</v>
      </c>
      <c r="H15" s="83">
        <v>137008</v>
      </c>
      <c r="I15" s="83">
        <f t="shared" si="0"/>
        <v>609366</v>
      </c>
      <c r="J15" s="83"/>
    </row>
    <row r="16" spans="1:11">
      <c r="B16" t="s">
        <v>78</v>
      </c>
      <c r="G16" s="83"/>
      <c r="H16" s="83">
        <v>1383806</v>
      </c>
      <c r="I16" s="83">
        <f t="shared" si="0"/>
        <v>1383806</v>
      </c>
      <c r="J16" s="83"/>
    </row>
    <row r="17" spans="1:10">
      <c r="B17" t="s">
        <v>76</v>
      </c>
      <c r="G17" s="79">
        <v>2816901</v>
      </c>
      <c r="H17" s="83">
        <v>-2816901</v>
      </c>
      <c r="I17" s="83">
        <f t="shared" si="0"/>
        <v>0</v>
      </c>
      <c r="J17" s="83"/>
    </row>
    <row r="18" spans="1:10">
      <c r="B18" t="s">
        <v>291</v>
      </c>
      <c r="G18" s="80">
        <v>23354096</v>
      </c>
      <c r="H18" s="83">
        <v>5028428</v>
      </c>
      <c r="I18" s="83">
        <f t="shared" si="0"/>
        <v>28382524</v>
      </c>
      <c r="J18" s="83"/>
    </row>
    <row r="19" spans="1:10">
      <c r="B19" t="s">
        <v>631</v>
      </c>
      <c r="G19" s="83"/>
      <c r="H19" s="83"/>
      <c r="I19" s="83">
        <f t="shared" si="0"/>
        <v>0</v>
      </c>
      <c r="J19" s="83"/>
    </row>
    <row r="20" spans="1:10">
      <c r="C20" t="s">
        <v>632</v>
      </c>
      <c r="G20" s="80">
        <v>73814709</v>
      </c>
      <c r="H20" s="83">
        <v>121828578</v>
      </c>
      <c r="I20" s="83">
        <f t="shared" si="0"/>
        <v>195643287</v>
      </c>
      <c r="J20" s="83">
        <v>4988070</v>
      </c>
    </row>
    <row r="21" spans="1:10">
      <c r="G21" s="81"/>
      <c r="H21" s="81"/>
      <c r="I21" s="81"/>
      <c r="J21" s="81"/>
    </row>
    <row r="22" spans="1:10" s="5" customFormat="1">
      <c r="B22" s="6" t="s">
        <v>17</v>
      </c>
      <c r="C22" s="6"/>
      <c r="D22" s="6"/>
      <c r="E22" s="6"/>
      <c r="F22" s="6"/>
      <c r="G22" s="82">
        <f>SUM(G7:G20)</f>
        <v>194536548</v>
      </c>
      <c r="H22" s="82">
        <f>SUM(H7:H20)</f>
        <v>131262858</v>
      </c>
      <c r="I22" s="82">
        <f>SUM(I7:I20)</f>
        <v>325799406</v>
      </c>
      <c r="J22" s="82">
        <f>SUM(J7:J20)</f>
        <v>15858116</v>
      </c>
    </row>
    <row r="23" spans="1:10" s="5" customFormat="1">
      <c r="G23" s="100"/>
      <c r="H23" s="100"/>
      <c r="I23" s="100"/>
      <c r="J23" s="100"/>
    </row>
    <row r="24" spans="1:10" s="5" customFormat="1">
      <c r="A24" s="5" t="s">
        <v>18</v>
      </c>
      <c r="G24" s="100"/>
      <c r="H24" s="100"/>
      <c r="I24" s="100"/>
      <c r="J24" s="100"/>
    </row>
    <row r="25" spans="1:10">
      <c r="B25" t="s">
        <v>633</v>
      </c>
      <c r="G25" s="83">
        <v>2601141</v>
      </c>
      <c r="H25" s="83">
        <v>852671</v>
      </c>
      <c r="I25" s="83">
        <v>3453812</v>
      </c>
      <c r="J25" s="83">
        <v>274793</v>
      </c>
    </row>
    <row r="26" spans="1:10" s="5" customFormat="1">
      <c r="C26" s="5" t="s">
        <v>634</v>
      </c>
      <c r="G26" s="166">
        <f>G25</f>
        <v>2601141</v>
      </c>
      <c r="H26" s="166">
        <f t="shared" ref="H26:J26" si="1">H25</f>
        <v>852671</v>
      </c>
      <c r="I26" s="166">
        <f t="shared" si="1"/>
        <v>3453812</v>
      </c>
      <c r="J26" s="166">
        <f t="shared" si="1"/>
        <v>274793</v>
      </c>
    </row>
    <row r="27" spans="1:10">
      <c r="G27" s="83"/>
      <c r="H27" s="83"/>
      <c r="I27" s="83"/>
      <c r="J27" s="83"/>
    </row>
    <row r="28" spans="1:10">
      <c r="A28" s="5" t="s">
        <v>22</v>
      </c>
      <c r="G28" s="83"/>
      <c r="H28" s="83"/>
      <c r="I28" s="83"/>
      <c r="J28" s="83"/>
    </row>
    <row r="29" spans="1:10">
      <c r="A29" s="5"/>
      <c r="B29" t="s">
        <v>144</v>
      </c>
      <c r="G29" s="84">
        <v>4700672</v>
      </c>
      <c r="H29" s="83">
        <v>2436086</v>
      </c>
      <c r="I29" s="83">
        <f t="shared" ref="I29:I36" si="2">SUM(G29:H29)</f>
        <v>7136758</v>
      </c>
      <c r="J29" s="83">
        <v>29466</v>
      </c>
    </row>
    <row r="30" spans="1:10">
      <c r="B30" t="s">
        <v>86</v>
      </c>
      <c r="G30" s="79">
        <v>2034827</v>
      </c>
      <c r="H30" s="83"/>
      <c r="I30" s="83">
        <f t="shared" si="2"/>
        <v>2034827</v>
      </c>
      <c r="J30" s="83"/>
    </row>
    <row r="31" spans="1:10">
      <c r="B31" t="s">
        <v>330</v>
      </c>
      <c r="G31" s="83"/>
      <c r="H31" s="83">
        <v>1221278</v>
      </c>
      <c r="I31" s="83">
        <f t="shared" si="2"/>
        <v>1221278</v>
      </c>
      <c r="J31" s="83"/>
    </row>
    <row r="32" spans="1:10">
      <c r="B32" t="s">
        <v>117</v>
      </c>
      <c r="G32" s="79">
        <v>33935</v>
      </c>
      <c r="H32" s="83">
        <v>59233</v>
      </c>
      <c r="I32" s="83">
        <f t="shared" si="2"/>
        <v>93168</v>
      </c>
      <c r="J32" s="83">
        <v>181626</v>
      </c>
    </row>
    <row r="33" spans="1:10">
      <c r="B33" t="s">
        <v>145</v>
      </c>
      <c r="G33" s="84">
        <v>211473</v>
      </c>
      <c r="H33" s="83">
        <v>9661</v>
      </c>
      <c r="I33" s="83">
        <f t="shared" si="2"/>
        <v>221134</v>
      </c>
      <c r="J33" s="83"/>
    </row>
    <row r="34" spans="1:10">
      <c r="B34" t="s">
        <v>187</v>
      </c>
      <c r="G34" s="83"/>
      <c r="H34" s="83"/>
      <c r="I34" s="83">
        <f t="shared" si="2"/>
        <v>0</v>
      </c>
      <c r="J34" s="83"/>
    </row>
    <row r="35" spans="1:10">
      <c r="C35" t="s">
        <v>92</v>
      </c>
      <c r="G35" s="92">
        <v>6968614</v>
      </c>
      <c r="H35" s="83">
        <v>335000</v>
      </c>
      <c r="I35" s="83">
        <f t="shared" si="2"/>
        <v>7303614</v>
      </c>
      <c r="J35" s="83">
        <v>37422</v>
      </c>
    </row>
    <row r="36" spans="1:10">
      <c r="C36" t="s">
        <v>93</v>
      </c>
      <c r="G36" s="77">
        <v>98191044</v>
      </c>
      <c r="H36" s="83">
        <v>5513233</v>
      </c>
      <c r="I36" s="83">
        <f t="shared" si="2"/>
        <v>103704277</v>
      </c>
      <c r="J36" s="83">
        <v>1110596</v>
      </c>
    </row>
    <row r="37" spans="1:10">
      <c r="G37" s="81"/>
      <c r="H37" s="81"/>
      <c r="I37" s="81"/>
      <c r="J37" s="81"/>
    </row>
    <row r="38" spans="1:10">
      <c r="C38" s="7" t="s">
        <v>36</v>
      </c>
      <c r="D38" s="8"/>
      <c r="E38" s="8"/>
      <c r="F38" s="8"/>
      <c r="G38" s="87">
        <f>SUM(G29:G36)</f>
        <v>112140565</v>
      </c>
      <c r="H38" s="87">
        <f>SUM(H29:H36)</f>
        <v>9574491</v>
      </c>
      <c r="I38" s="87">
        <f>SUM(I29:I36)</f>
        <v>121715056</v>
      </c>
      <c r="J38" s="87">
        <f>SUM(J29:J36)</f>
        <v>1359110</v>
      </c>
    </row>
    <row r="39" spans="1:10">
      <c r="C39" s="5"/>
      <c r="G39" s="100"/>
      <c r="H39" s="100"/>
      <c r="I39" s="100"/>
      <c r="J39" s="100"/>
    </row>
    <row r="40" spans="1:10" s="5" customFormat="1">
      <c r="A40" s="5" t="s">
        <v>37</v>
      </c>
      <c r="G40" s="100"/>
      <c r="H40" s="100"/>
      <c r="I40" s="100"/>
      <c r="J40" s="100"/>
    </row>
    <row r="41" spans="1:10">
      <c r="B41" t="s">
        <v>633</v>
      </c>
      <c r="G41" s="83">
        <v>958119</v>
      </c>
      <c r="H41" s="83">
        <v>97444</v>
      </c>
      <c r="I41" s="83">
        <f>SUM(G41:H41)</f>
        <v>1055563</v>
      </c>
      <c r="J41" s="83">
        <v>24606</v>
      </c>
    </row>
    <row r="42" spans="1:10" s="5" customFormat="1">
      <c r="C42" s="5" t="s">
        <v>635</v>
      </c>
      <c r="G42" s="166">
        <f>G41</f>
        <v>958119</v>
      </c>
      <c r="H42" s="166">
        <f t="shared" ref="H42" si="3">H41</f>
        <v>97444</v>
      </c>
      <c r="I42" s="166">
        <f t="shared" ref="I42" si="4">I41</f>
        <v>1055563</v>
      </c>
      <c r="J42" s="166">
        <f t="shared" ref="J42" si="5">J41</f>
        <v>24606</v>
      </c>
    </row>
    <row r="43" spans="1:10">
      <c r="G43" s="83"/>
      <c r="H43" s="83"/>
      <c r="I43" s="83"/>
      <c r="J43" s="83"/>
    </row>
    <row r="44" spans="1:10">
      <c r="A44" s="3" t="s">
        <v>39</v>
      </c>
      <c r="G44" s="83"/>
      <c r="H44" s="83"/>
      <c r="I44" s="83"/>
      <c r="J44" s="83"/>
    </row>
    <row r="45" spans="1:10">
      <c r="B45" t="s">
        <v>40</v>
      </c>
      <c r="G45" s="88">
        <v>30387143</v>
      </c>
      <c r="H45" s="83">
        <v>121008773</v>
      </c>
      <c r="I45" s="83">
        <f>SUM(G45:H45)</f>
        <v>151395916</v>
      </c>
      <c r="J45" s="83">
        <v>4988070</v>
      </c>
    </row>
    <row r="46" spans="1:10">
      <c r="B46" t="s">
        <v>41</v>
      </c>
      <c r="G46" s="83"/>
      <c r="H46" s="83"/>
      <c r="I46" s="83">
        <f t="shared" ref="I46:I52" si="6">SUM(G46:H46)</f>
        <v>0</v>
      </c>
      <c r="J46" s="83"/>
    </row>
    <row r="47" spans="1:10">
      <c r="C47" t="s">
        <v>636</v>
      </c>
      <c r="G47" s="89">
        <v>23653250</v>
      </c>
      <c r="H47" s="83"/>
      <c r="I47" s="83">
        <f t="shared" si="6"/>
        <v>23653250</v>
      </c>
      <c r="J47" s="83"/>
    </row>
    <row r="48" spans="1:10">
      <c r="C48" t="s">
        <v>42</v>
      </c>
      <c r="G48" s="89">
        <v>14125296</v>
      </c>
      <c r="H48" s="83">
        <v>396000</v>
      </c>
      <c r="I48" s="83">
        <f t="shared" si="6"/>
        <v>14521296</v>
      </c>
      <c r="J48" s="83"/>
    </row>
    <row r="49" spans="2:10">
      <c r="C49" t="s">
        <v>43</v>
      </c>
      <c r="G49" s="83"/>
      <c r="H49" s="83"/>
      <c r="I49" s="83">
        <f t="shared" si="6"/>
        <v>0</v>
      </c>
      <c r="J49" s="83"/>
    </row>
    <row r="50" spans="2:10">
      <c r="C50" t="s">
        <v>89</v>
      </c>
      <c r="G50" s="83"/>
      <c r="H50" s="83">
        <v>214541</v>
      </c>
      <c r="I50" s="83">
        <f t="shared" si="6"/>
        <v>214541</v>
      </c>
      <c r="J50" s="83"/>
    </row>
    <row r="51" spans="2:10">
      <c r="C51" t="s">
        <v>637</v>
      </c>
      <c r="G51" s="83"/>
      <c r="H51" s="83"/>
      <c r="I51" s="83">
        <f t="shared" si="6"/>
        <v>0</v>
      </c>
      <c r="J51" s="83">
        <v>5000</v>
      </c>
    </row>
    <row r="52" spans="2:10">
      <c r="B52" t="s">
        <v>45</v>
      </c>
      <c r="G52" s="93">
        <v>15873316</v>
      </c>
      <c r="H52" s="83">
        <v>824280</v>
      </c>
      <c r="I52" s="83">
        <f t="shared" si="6"/>
        <v>16697596</v>
      </c>
      <c r="J52" s="83">
        <v>9756123</v>
      </c>
    </row>
    <row r="53" spans="2:10">
      <c r="G53" s="81"/>
      <c r="H53" s="81"/>
      <c r="I53" s="81"/>
      <c r="J53" s="81"/>
    </row>
    <row r="54" spans="2:10" s="3" customFormat="1">
      <c r="B54" s="9" t="s">
        <v>46</v>
      </c>
      <c r="C54" s="9"/>
      <c r="D54" s="9"/>
      <c r="E54" s="9"/>
      <c r="F54" s="9"/>
      <c r="G54" s="94">
        <f>SUM(G45:G52)</f>
        <v>84039005</v>
      </c>
      <c r="H54" s="94">
        <f t="shared" ref="H54:J54" si="7">SUM(H45:H52)</f>
        <v>122443594</v>
      </c>
      <c r="I54" s="94">
        <f t="shared" si="7"/>
        <v>206482599</v>
      </c>
      <c r="J54" s="94">
        <f t="shared" si="7"/>
        <v>14749193</v>
      </c>
    </row>
    <row r="55" spans="2:10">
      <c r="G55" s="83"/>
      <c r="H55" s="83"/>
      <c r="I55" s="83"/>
      <c r="J55" s="83"/>
    </row>
    <row r="56" spans="2:10">
      <c r="B56" s="10" t="s">
        <v>47</v>
      </c>
      <c r="C56" s="10"/>
      <c r="D56" s="10"/>
      <c r="E56" s="216"/>
      <c r="F56" s="216"/>
      <c r="G56" s="216">
        <f>G54+G38+G42</f>
        <v>197137689</v>
      </c>
      <c r="H56" s="216">
        <f t="shared" ref="H56:J56" si="8">H54+H38+H42</f>
        <v>132115529</v>
      </c>
      <c r="I56" s="216">
        <f t="shared" si="8"/>
        <v>329253218</v>
      </c>
      <c r="J56" s="216">
        <f t="shared" si="8"/>
        <v>16132909</v>
      </c>
    </row>
  </sheetData>
  <mergeCells count="3">
    <mergeCell ref="C1:G1"/>
    <mergeCell ref="C2:G2"/>
    <mergeCell ref="G4:I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64"/>
  <sheetViews>
    <sheetView zoomScale="70" zoomScaleNormal="70" zoomScalePageLayoutView="70" workbookViewId="0">
      <selection activeCell="J51" sqref="J51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8.8554687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72" t="s">
        <v>638</v>
      </c>
      <c r="E1" s="272"/>
      <c r="F1" s="272"/>
      <c r="G1" s="272"/>
      <c r="H1" s="272"/>
      <c r="I1" s="97"/>
    </row>
    <row r="2" spans="1:11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</row>
    <row r="4" spans="1:11" ht="31.5" customHeight="1">
      <c r="H4" s="105" t="s">
        <v>3</v>
      </c>
      <c r="I4" s="267" t="s">
        <v>108</v>
      </c>
      <c r="J4" s="265" t="s">
        <v>74</v>
      </c>
      <c r="K4" s="5"/>
    </row>
    <row r="5" spans="1:11">
      <c r="A5" s="3" t="s">
        <v>5</v>
      </c>
      <c r="D5" s="3"/>
      <c r="G5" s="4"/>
      <c r="H5" s="4"/>
      <c r="I5" s="4"/>
    </row>
    <row r="6" spans="1:11">
      <c r="A6" s="3"/>
      <c r="B6" s="5" t="s">
        <v>6</v>
      </c>
      <c r="D6" s="3"/>
      <c r="G6" s="4"/>
      <c r="H6" s="76"/>
      <c r="I6" s="76"/>
      <c r="J6" s="83"/>
    </row>
    <row r="7" spans="1:11">
      <c r="C7" t="s">
        <v>122</v>
      </c>
      <c r="H7" s="77">
        <v>939373</v>
      </c>
      <c r="I7" s="83">
        <v>1280142</v>
      </c>
      <c r="J7" s="83">
        <f t="shared" ref="J7:J13" si="0">SUM(H7:I7)</f>
        <v>2219515</v>
      </c>
    </row>
    <row r="8" spans="1:11">
      <c r="C8" t="s">
        <v>123</v>
      </c>
      <c r="H8" s="78">
        <v>6386342</v>
      </c>
      <c r="I8" s="83">
        <v>635460</v>
      </c>
      <c r="J8" s="83">
        <f t="shared" si="0"/>
        <v>7021802</v>
      </c>
    </row>
    <row r="9" spans="1:11">
      <c r="C9" t="s">
        <v>639</v>
      </c>
      <c r="H9" s="79">
        <v>259868</v>
      </c>
      <c r="I9" s="83"/>
      <c r="J9" s="83">
        <f t="shared" si="0"/>
        <v>259868</v>
      </c>
    </row>
    <row r="10" spans="1:11">
      <c r="C10" t="s">
        <v>640</v>
      </c>
      <c r="H10" s="90">
        <v>300878</v>
      </c>
      <c r="I10" s="83"/>
      <c r="J10" s="83">
        <f t="shared" si="0"/>
        <v>300878</v>
      </c>
    </row>
    <row r="11" spans="1:11">
      <c r="C11" t="s">
        <v>13</v>
      </c>
      <c r="H11" s="90">
        <v>12272</v>
      </c>
      <c r="I11" s="83"/>
      <c r="J11" s="83">
        <f t="shared" si="0"/>
        <v>12272</v>
      </c>
    </row>
    <row r="12" spans="1:11">
      <c r="C12" t="s">
        <v>51</v>
      </c>
      <c r="H12" s="90">
        <v>129935</v>
      </c>
      <c r="I12" s="83"/>
      <c r="J12" s="83">
        <f t="shared" si="0"/>
        <v>129935</v>
      </c>
    </row>
    <row r="13" spans="1:11">
      <c r="C13" t="s">
        <v>176</v>
      </c>
      <c r="H13" s="83"/>
      <c r="I13" s="83">
        <v>6389</v>
      </c>
      <c r="J13" s="83">
        <f t="shared" si="0"/>
        <v>6389</v>
      </c>
    </row>
    <row r="14" spans="1:11">
      <c r="H14" s="81"/>
      <c r="I14" s="81"/>
      <c r="J14" s="81"/>
    </row>
    <row r="15" spans="1:11" s="5" customFormat="1">
      <c r="C15" s="102" t="s">
        <v>393</v>
      </c>
      <c r="D15" s="102"/>
      <c r="E15" s="102"/>
      <c r="F15" s="102"/>
      <c r="G15" s="102"/>
      <c r="H15" s="103">
        <f>SUM(H7:H13)</f>
        <v>8028668</v>
      </c>
      <c r="I15" s="103">
        <f>SUM(I7:I13)</f>
        <v>1921991</v>
      </c>
      <c r="J15" s="103">
        <f>SUM(J7:J13)</f>
        <v>9950659</v>
      </c>
    </row>
    <row r="16" spans="1:11">
      <c r="H16" s="83"/>
      <c r="I16" s="83"/>
      <c r="J16" s="83"/>
    </row>
    <row r="17" spans="1:10" s="5" customFormat="1">
      <c r="B17" s="5" t="s">
        <v>641</v>
      </c>
      <c r="H17" s="100"/>
      <c r="I17" s="100"/>
      <c r="J17" s="100"/>
    </row>
    <row r="18" spans="1:10" s="5" customFormat="1">
      <c r="C18" t="s">
        <v>642</v>
      </c>
      <c r="H18" s="80">
        <v>2837846</v>
      </c>
      <c r="I18" s="100"/>
      <c r="J18" s="83">
        <f>SUM(H18:I18)</f>
        <v>2837846</v>
      </c>
    </row>
    <row r="19" spans="1:10" s="5" customFormat="1">
      <c r="C19" t="s">
        <v>643</v>
      </c>
      <c r="H19" s="80">
        <v>28604186</v>
      </c>
      <c r="I19" s="100"/>
      <c r="J19" s="83">
        <f t="shared" ref="J19" si="1">SUM(H19:I19)</f>
        <v>28604186</v>
      </c>
    </row>
    <row r="20" spans="1:10">
      <c r="C20" t="s">
        <v>127</v>
      </c>
      <c r="H20" s="80">
        <v>48348426</v>
      </c>
      <c r="I20" s="83">
        <v>2840184</v>
      </c>
      <c r="J20" s="83">
        <f>SUM(H20:I20)</f>
        <v>51188610</v>
      </c>
    </row>
    <row r="21" spans="1:10">
      <c r="H21" s="81"/>
      <c r="I21" s="81"/>
      <c r="J21" s="81"/>
    </row>
    <row r="22" spans="1:10" s="5" customFormat="1">
      <c r="C22" s="6" t="s">
        <v>17</v>
      </c>
      <c r="D22" s="6"/>
      <c r="E22" s="6"/>
      <c r="F22" s="6"/>
      <c r="G22" s="6"/>
      <c r="H22" s="82">
        <f>H20+H19+H18+H15</f>
        <v>87819126</v>
      </c>
      <c r="I22" s="82">
        <f t="shared" ref="I22:J22" si="2">I20+I19+I18+I15</f>
        <v>4762175</v>
      </c>
      <c r="J22" s="82">
        <f t="shared" si="2"/>
        <v>92581301</v>
      </c>
    </row>
    <row r="23" spans="1:10" s="5" customFormat="1">
      <c r="H23" s="100"/>
      <c r="I23" s="100"/>
      <c r="J23" s="100"/>
    </row>
    <row r="24" spans="1:10" s="5" customFormat="1">
      <c r="A24" s="5" t="s">
        <v>18</v>
      </c>
      <c r="H24" s="100"/>
      <c r="I24" s="100"/>
      <c r="J24" s="100"/>
    </row>
    <row r="25" spans="1:10">
      <c r="B25" t="s">
        <v>128</v>
      </c>
      <c r="H25" s="122">
        <v>886670</v>
      </c>
      <c r="I25" s="122"/>
      <c r="J25" s="122">
        <f>SUM(H25:I25)</f>
        <v>886670</v>
      </c>
    </row>
    <row r="26" spans="1:10">
      <c r="H26" s="83"/>
      <c r="I26" s="83"/>
      <c r="J26" s="83"/>
    </row>
    <row r="27" spans="1:10">
      <c r="A27" s="5" t="s">
        <v>22</v>
      </c>
      <c r="H27" s="83"/>
      <c r="I27" s="83"/>
      <c r="J27" s="83"/>
    </row>
    <row r="28" spans="1:10" s="5" customFormat="1">
      <c r="B28" s="5" t="s">
        <v>644</v>
      </c>
      <c r="H28" s="100"/>
      <c r="I28" s="100"/>
      <c r="J28" s="100"/>
    </row>
    <row r="29" spans="1:10">
      <c r="C29" t="s">
        <v>23</v>
      </c>
      <c r="H29" s="84">
        <v>5110250</v>
      </c>
      <c r="I29" s="83">
        <v>185254</v>
      </c>
      <c r="J29" s="83">
        <f t="shared" ref="J29:J30" si="3">SUM(H29:I29)</f>
        <v>5295504</v>
      </c>
    </row>
    <row r="30" spans="1:10">
      <c r="C30" t="s">
        <v>342</v>
      </c>
      <c r="H30" s="79">
        <v>430982</v>
      </c>
      <c r="I30" s="83"/>
      <c r="J30" s="83">
        <f t="shared" si="3"/>
        <v>430982</v>
      </c>
    </row>
    <row r="31" spans="1:10">
      <c r="C31" t="s">
        <v>313</v>
      </c>
      <c r="H31" s="79">
        <v>91816</v>
      </c>
      <c r="I31" s="83">
        <v>19406</v>
      </c>
      <c r="J31" s="83">
        <f>SUM(H31:I31)</f>
        <v>111222</v>
      </c>
    </row>
    <row r="32" spans="1:10">
      <c r="C32" t="s">
        <v>31</v>
      </c>
      <c r="H32" s="85">
        <v>3554167</v>
      </c>
      <c r="I32" s="83">
        <v>85000</v>
      </c>
      <c r="J32" s="83">
        <f t="shared" ref="J32:J38" si="4">SUM(H32:I32)</f>
        <v>3639167</v>
      </c>
    </row>
    <row r="33" spans="2:10">
      <c r="C33" t="s">
        <v>26</v>
      </c>
      <c r="H33" s="79">
        <v>5337</v>
      </c>
      <c r="I33" s="83"/>
      <c r="J33" s="83">
        <f t="shared" si="4"/>
        <v>5337</v>
      </c>
    </row>
    <row r="34" spans="2:10">
      <c r="C34" t="s">
        <v>645</v>
      </c>
      <c r="H34" s="79">
        <v>109951</v>
      </c>
      <c r="I34" s="83"/>
      <c r="J34" s="83">
        <f t="shared" si="4"/>
        <v>109951</v>
      </c>
    </row>
    <row r="35" spans="2:10">
      <c r="C35" t="s">
        <v>32</v>
      </c>
      <c r="H35" s="86">
        <v>104452</v>
      </c>
      <c r="I35" s="83">
        <v>7820</v>
      </c>
      <c r="J35" s="83">
        <f t="shared" si="4"/>
        <v>112272</v>
      </c>
    </row>
    <row r="36" spans="2:10">
      <c r="C36" t="s">
        <v>646</v>
      </c>
      <c r="H36" s="96">
        <v>106926</v>
      </c>
      <c r="I36" s="83"/>
      <c r="J36" s="83">
        <f t="shared" si="4"/>
        <v>106926</v>
      </c>
    </row>
    <row r="37" spans="2:10">
      <c r="C37" t="s">
        <v>185</v>
      </c>
      <c r="H37" s="96">
        <v>6389</v>
      </c>
      <c r="I37" s="83"/>
      <c r="J37" s="83">
        <f t="shared" si="4"/>
        <v>6389</v>
      </c>
    </row>
    <row r="38" spans="2:10">
      <c r="C38" t="s">
        <v>647</v>
      </c>
      <c r="H38" s="83"/>
      <c r="I38" s="83">
        <v>12272</v>
      </c>
      <c r="J38" s="83">
        <f t="shared" si="4"/>
        <v>12272</v>
      </c>
    </row>
    <row r="39" spans="2:10">
      <c r="H39" s="81"/>
      <c r="I39" s="81"/>
      <c r="J39" s="81"/>
    </row>
    <row r="40" spans="2:10">
      <c r="D40" s="102" t="s">
        <v>409</v>
      </c>
      <c r="E40" s="104"/>
      <c r="F40" s="104"/>
      <c r="G40" s="104"/>
      <c r="H40" s="103">
        <f>SUM(H29:H37)</f>
        <v>9520270</v>
      </c>
      <c r="I40" s="103">
        <f>SUM(I28:I38)</f>
        <v>309752</v>
      </c>
      <c r="J40" s="103">
        <f>SUM(J29:J38)</f>
        <v>9830022</v>
      </c>
    </row>
    <row r="41" spans="2:10">
      <c r="H41" s="83"/>
      <c r="I41" s="83"/>
      <c r="J41" s="83"/>
    </row>
    <row r="42" spans="2:10" s="5" customFormat="1">
      <c r="B42" s="5" t="s">
        <v>648</v>
      </c>
      <c r="H42" s="100"/>
      <c r="I42" s="100"/>
      <c r="J42" s="100"/>
    </row>
    <row r="43" spans="2:10">
      <c r="C43" t="s">
        <v>578</v>
      </c>
      <c r="H43" s="84">
        <v>171605</v>
      </c>
      <c r="I43" s="83"/>
      <c r="J43" s="83">
        <f>SUM(H43:I43)</f>
        <v>171605</v>
      </c>
    </row>
    <row r="44" spans="2:10">
      <c r="C44" t="s">
        <v>31</v>
      </c>
      <c r="H44" s="78">
        <v>55065500</v>
      </c>
      <c r="I44" s="83">
        <v>1005000</v>
      </c>
      <c r="J44" s="83">
        <f t="shared" ref="J44:J45" si="5">SUM(H44:I44)</f>
        <v>56070500</v>
      </c>
    </row>
    <row r="45" spans="2:10">
      <c r="C45" t="s">
        <v>645</v>
      </c>
      <c r="H45" s="79">
        <v>1319417</v>
      </c>
      <c r="I45" s="83"/>
      <c r="J45" s="83">
        <f t="shared" si="5"/>
        <v>1319417</v>
      </c>
    </row>
    <row r="46" spans="2:10">
      <c r="C46" t="s">
        <v>34</v>
      </c>
      <c r="H46" s="79">
        <v>187309</v>
      </c>
      <c r="I46" s="83"/>
      <c r="J46" s="83"/>
    </row>
    <row r="47" spans="2:10" s="5" customFormat="1">
      <c r="H47" s="166"/>
      <c r="I47" s="166"/>
      <c r="J47" s="166"/>
    </row>
    <row r="48" spans="2:10">
      <c r="D48" s="102" t="s">
        <v>412</v>
      </c>
      <c r="E48" s="104"/>
      <c r="F48" s="104"/>
      <c r="G48" s="104"/>
      <c r="H48" s="103">
        <f>SUM(H43:H46)</f>
        <v>56743831</v>
      </c>
      <c r="I48" s="103">
        <f t="shared" ref="I48:J48" si="6">SUM(I43:I46)</f>
        <v>1005000</v>
      </c>
      <c r="J48" s="103">
        <f t="shared" si="6"/>
        <v>57561522</v>
      </c>
    </row>
    <row r="49" spans="1:10">
      <c r="H49" s="83"/>
      <c r="I49" s="83"/>
      <c r="J49" s="83"/>
    </row>
    <row r="50" spans="1:10">
      <c r="D50" s="7" t="s">
        <v>36</v>
      </c>
      <c r="E50" s="8"/>
      <c r="F50" s="8"/>
      <c r="G50" s="8"/>
      <c r="H50" s="87">
        <f>SUM(H40+H48)</f>
        <v>66264101</v>
      </c>
      <c r="I50" s="87">
        <f>SUM(I40+I48)</f>
        <v>1314752</v>
      </c>
      <c r="J50" s="87">
        <f>SUM(H50:I50)</f>
        <v>67578853</v>
      </c>
    </row>
    <row r="51" spans="1:10">
      <c r="D51" s="5"/>
      <c r="H51" s="100"/>
      <c r="I51" s="100"/>
      <c r="J51" s="100"/>
    </row>
    <row r="52" spans="1:10" s="5" customFormat="1">
      <c r="A52" s="5" t="s">
        <v>37</v>
      </c>
      <c r="H52" s="100"/>
      <c r="I52" s="100"/>
      <c r="J52" s="100"/>
    </row>
    <row r="53" spans="1:10">
      <c r="B53" t="s">
        <v>133</v>
      </c>
      <c r="H53" s="122">
        <v>83266</v>
      </c>
      <c r="I53" s="122"/>
      <c r="J53" s="122">
        <f>SUM(H53:I53)</f>
        <v>83266</v>
      </c>
    </row>
    <row r="54" spans="1:10">
      <c r="D54" s="5"/>
      <c r="H54" s="100"/>
      <c r="I54" s="100"/>
      <c r="J54" s="83"/>
    </row>
    <row r="55" spans="1:10">
      <c r="A55" s="3" t="s">
        <v>39</v>
      </c>
      <c r="H55" s="83"/>
      <c r="I55" s="83"/>
      <c r="J55" s="83"/>
    </row>
    <row r="56" spans="1:10">
      <c r="B56" t="s">
        <v>40</v>
      </c>
      <c r="H56" s="150">
        <v>16184142</v>
      </c>
      <c r="I56" s="83">
        <v>1750184</v>
      </c>
      <c r="J56" s="83">
        <f>SUM(H56:I56)</f>
        <v>17934326</v>
      </c>
    </row>
    <row r="57" spans="1:10">
      <c r="B57" t="s">
        <v>317</v>
      </c>
      <c r="H57" s="89">
        <v>30704</v>
      </c>
      <c r="I57" s="83"/>
      <c r="J57" s="83">
        <f t="shared" ref="J57:J59" si="7">SUM(H57:I57)</f>
        <v>30704</v>
      </c>
    </row>
    <row r="58" spans="1:10">
      <c r="B58" t="s">
        <v>649</v>
      </c>
      <c r="H58" s="89">
        <v>2131196</v>
      </c>
      <c r="I58" s="83"/>
      <c r="J58" s="83">
        <f t="shared" si="7"/>
        <v>2131196</v>
      </c>
    </row>
    <row r="59" spans="1:10">
      <c r="B59" t="s">
        <v>650</v>
      </c>
      <c r="H59" s="89">
        <v>1071838</v>
      </c>
      <c r="I59" s="83"/>
      <c r="J59" s="83">
        <f t="shared" si="7"/>
        <v>1071838</v>
      </c>
    </row>
    <row r="60" spans="1:10">
      <c r="B60" t="s">
        <v>45</v>
      </c>
      <c r="H60" s="93">
        <v>2940458</v>
      </c>
      <c r="I60" s="83">
        <v>1697239</v>
      </c>
      <c r="J60" s="83">
        <f t="shared" ref="J60" si="8">SUM(H60:I60)</f>
        <v>4637697</v>
      </c>
    </row>
    <row r="61" spans="1:10">
      <c r="H61" s="81"/>
      <c r="I61" s="81"/>
      <c r="J61" s="81"/>
    </row>
    <row r="62" spans="1:10" s="3" customFormat="1">
      <c r="C62" s="9" t="s">
        <v>46</v>
      </c>
      <c r="D62" s="9"/>
      <c r="E62" s="9"/>
      <c r="F62" s="9"/>
      <c r="G62" s="9"/>
      <c r="H62" s="94">
        <f>SUM(H56:H60)</f>
        <v>22358338</v>
      </c>
      <c r="I62" s="94">
        <f>SUM(I56:I60)</f>
        <v>3447423</v>
      </c>
      <c r="J62" s="94">
        <f>SUM(J55:J60)</f>
        <v>25805761</v>
      </c>
    </row>
    <row r="63" spans="1:10">
      <c r="H63" s="83"/>
      <c r="I63" s="83"/>
      <c r="J63" s="83"/>
    </row>
    <row r="64" spans="1:10">
      <c r="C64" s="10" t="s">
        <v>47</v>
      </c>
      <c r="D64" s="10"/>
      <c r="E64" s="10"/>
      <c r="F64" s="216"/>
      <c r="G64" s="216"/>
      <c r="H64" s="216">
        <f>H62+H50+H53</f>
        <v>88705705</v>
      </c>
      <c r="I64" s="216">
        <f t="shared" ref="I64:J64" si="9">I62+I50+I53</f>
        <v>4762175</v>
      </c>
      <c r="J64" s="216">
        <f t="shared" si="9"/>
        <v>93467880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49"/>
  <sheetViews>
    <sheetView zoomScale="80" zoomScaleNormal="80" zoomScalePageLayoutView="80" workbookViewId="0">
      <selection activeCell="J36" sqref="J36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7.4257812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72" t="s">
        <v>651</v>
      </c>
      <c r="E1" s="272"/>
      <c r="F1" s="272"/>
      <c r="G1" s="272"/>
      <c r="H1" s="272"/>
      <c r="I1" s="97"/>
    </row>
    <row r="2" spans="1:11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</row>
    <row r="3" spans="1:11">
      <c r="H3" s="280" t="s">
        <v>2</v>
      </c>
      <c r="I3" s="280"/>
    </row>
    <row r="4" spans="1:11" ht="31.5" customHeight="1">
      <c r="H4" s="105" t="s">
        <v>3</v>
      </c>
      <c r="I4" s="105" t="s">
        <v>157</v>
      </c>
      <c r="J4" s="106" t="s">
        <v>74</v>
      </c>
      <c r="K4" s="5"/>
    </row>
    <row r="5" spans="1:11">
      <c r="A5" s="3" t="s">
        <v>5</v>
      </c>
      <c r="D5" s="3"/>
      <c r="G5" s="4"/>
      <c r="H5" s="4"/>
      <c r="I5" s="4"/>
    </row>
    <row r="6" spans="1:11">
      <c r="C6" t="s">
        <v>7</v>
      </c>
      <c r="H6" s="77">
        <v>29661318</v>
      </c>
      <c r="I6" s="83"/>
      <c r="J6" s="83">
        <f>SUM(H6:I6)</f>
        <v>29661318</v>
      </c>
    </row>
    <row r="7" spans="1:11">
      <c r="C7" t="s">
        <v>50</v>
      </c>
      <c r="H7" s="78">
        <v>12366264</v>
      </c>
      <c r="I7" s="83">
        <v>312799</v>
      </c>
      <c r="J7" s="83">
        <f>SUM(H7:I7)</f>
        <v>12679063</v>
      </c>
    </row>
    <row r="8" spans="1:11">
      <c r="C8" t="s">
        <v>76</v>
      </c>
      <c r="H8" s="79">
        <v>348346</v>
      </c>
      <c r="I8" s="83"/>
      <c r="J8" s="83">
        <f t="shared" ref="J8" si="0">SUM(H8:I8)</f>
        <v>348346</v>
      </c>
    </row>
    <row r="9" spans="1:11">
      <c r="C9" t="s">
        <v>51</v>
      </c>
      <c r="H9" s="90">
        <v>431052</v>
      </c>
      <c r="I9" s="83"/>
      <c r="J9" s="83">
        <f>SUM(H9:I9)</f>
        <v>431052</v>
      </c>
    </row>
    <row r="10" spans="1:11" s="5" customFormat="1">
      <c r="C10" t="s">
        <v>14</v>
      </c>
      <c r="H10" s="83"/>
      <c r="I10" s="83"/>
      <c r="J10" s="83"/>
    </row>
    <row r="11" spans="1:11">
      <c r="D11" t="s">
        <v>15</v>
      </c>
      <c r="H11" s="80">
        <v>4470956</v>
      </c>
      <c r="I11" s="83"/>
      <c r="J11" s="83">
        <f>SUM(H11:I11)</f>
        <v>4470956</v>
      </c>
    </row>
    <row r="12" spans="1:11">
      <c r="D12" t="s">
        <v>162</v>
      </c>
      <c r="H12" s="80">
        <v>66080508</v>
      </c>
      <c r="I12" s="83"/>
      <c r="J12" s="83">
        <f>SUM(H12:I12)</f>
        <v>66080508</v>
      </c>
    </row>
    <row r="13" spans="1:11">
      <c r="H13" s="81"/>
      <c r="I13" s="81"/>
      <c r="J13" s="81"/>
    </row>
    <row r="14" spans="1:11" s="5" customFormat="1">
      <c r="C14" s="6" t="s">
        <v>17</v>
      </c>
      <c r="D14" s="6"/>
      <c r="E14" s="6"/>
      <c r="F14" s="6"/>
      <c r="G14" s="6"/>
      <c r="H14" s="82">
        <f>SUM(H6:H12)</f>
        <v>113358444</v>
      </c>
      <c r="I14" s="82">
        <f t="shared" ref="I14:J14" si="1">SUM(I6:I12)</f>
        <v>312799</v>
      </c>
      <c r="J14" s="82">
        <f t="shared" si="1"/>
        <v>113671243</v>
      </c>
    </row>
    <row r="15" spans="1:11" s="5" customFormat="1">
      <c r="H15" s="100"/>
      <c r="I15" s="100"/>
      <c r="J15" s="100"/>
    </row>
    <row r="16" spans="1:11" s="5" customFormat="1">
      <c r="A16" s="5" t="s">
        <v>18</v>
      </c>
      <c r="H16" s="100"/>
      <c r="I16" s="100"/>
      <c r="J16" s="100"/>
    </row>
    <row r="17" spans="1:10">
      <c r="B17" t="s">
        <v>20</v>
      </c>
      <c r="H17" s="122">
        <v>773085</v>
      </c>
      <c r="I17" s="122"/>
      <c r="J17" s="122">
        <f>SUM(H17:I17)</f>
        <v>773085</v>
      </c>
    </row>
    <row r="18" spans="1:10">
      <c r="H18" s="83"/>
      <c r="I18" s="83"/>
      <c r="J18" s="83"/>
    </row>
    <row r="19" spans="1:10">
      <c r="A19" s="5" t="s">
        <v>22</v>
      </c>
      <c r="H19" s="83"/>
      <c r="I19" s="83"/>
      <c r="J19" s="83"/>
    </row>
    <row r="20" spans="1:10">
      <c r="C20" t="s">
        <v>23</v>
      </c>
      <c r="H20" s="84">
        <v>647745</v>
      </c>
      <c r="I20" s="83">
        <v>808</v>
      </c>
      <c r="J20" s="83">
        <f t="shared" ref="J20:J30" si="2">SUM(H20:I20)</f>
        <v>648553</v>
      </c>
    </row>
    <row r="21" spans="1:10">
      <c r="C21" t="s">
        <v>76</v>
      </c>
      <c r="H21" s="126"/>
      <c r="I21" s="83">
        <v>348346</v>
      </c>
      <c r="J21" s="83">
        <f t="shared" si="2"/>
        <v>348346</v>
      </c>
    </row>
    <row r="22" spans="1:10">
      <c r="C22" t="s">
        <v>27</v>
      </c>
      <c r="H22" s="149">
        <v>236215</v>
      </c>
      <c r="I22" s="83"/>
      <c r="J22" s="83">
        <f t="shared" si="2"/>
        <v>236215</v>
      </c>
    </row>
    <row r="23" spans="1:10">
      <c r="C23" t="s">
        <v>331</v>
      </c>
      <c r="H23" s="107">
        <v>28084</v>
      </c>
      <c r="I23" s="83"/>
      <c r="J23" s="83">
        <f t="shared" si="2"/>
        <v>28084</v>
      </c>
    </row>
    <row r="24" spans="1:10">
      <c r="C24" t="s">
        <v>87</v>
      </c>
      <c r="H24" s="114">
        <v>89704</v>
      </c>
      <c r="I24" s="83"/>
      <c r="J24" s="83">
        <f t="shared" si="2"/>
        <v>89704</v>
      </c>
    </row>
    <row r="25" spans="1:10">
      <c r="C25" t="s">
        <v>117</v>
      </c>
      <c r="H25" s="107">
        <v>262202</v>
      </c>
      <c r="I25" s="83">
        <v>1060</v>
      </c>
      <c r="J25" s="83">
        <f t="shared" si="2"/>
        <v>263262</v>
      </c>
    </row>
    <row r="26" spans="1:10">
      <c r="C26" t="s">
        <v>29</v>
      </c>
      <c r="H26" s="126"/>
      <c r="I26" s="83"/>
      <c r="J26" s="83"/>
    </row>
    <row r="27" spans="1:10">
      <c r="D27" t="s">
        <v>652</v>
      </c>
      <c r="H27" s="85">
        <v>1957000</v>
      </c>
      <c r="I27" s="83"/>
      <c r="J27" s="83">
        <f>SUM(H27:I27)</f>
        <v>1957000</v>
      </c>
    </row>
    <row r="28" spans="1:10">
      <c r="D28" t="s">
        <v>653</v>
      </c>
      <c r="H28" s="78">
        <v>19053000</v>
      </c>
      <c r="I28" s="83"/>
      <c r="J28" s="83">
        <f t="shared" si="2"/>
        <v>19053000</v>
      </c>
    </row>
    <row r="29" spans="1:10" s="5" customFormat="1">
      <c r="C29"/>
      <c r="D29" t="s">
        <v>654</v>
      </c>
      <c r="H29" s="92">
        <v>300849</v>
      </c>
      <c r="I29" s="100"/>
      <c r="J29" s="83">
        <f t="shared" si="2"/>
        <v>300849</v>
      </c>
    </row>
    <row r="30" spans="1:10" s="5" customFormat="1">
      <c r="C30"/>
      <c r="D30" t="s">
        <v>655</v>
      </c>
      <c r="H30" s="77">
        <v>871493</v>
      </c>
      <c r="I30" s="100"/>
      <c r="J30" s="83">
        <f t="shared" si="2"/>
        <v>871493</v>
      </c>
    </row>
    <row r="31" spans="1:10" s="5" customFormat="1">
      <c r="C31"/>
      <c r="D31" t="s">
        <v>34</v>
      </c>
      <c r="H31" s="79">
        <v>168897</v>
      </c>
      <c r="I31" s="100"/>
      <c r="J31" s="83"/>
    </row>
    <row r="32" spans="1:10">
      <c r="D32" t="s">
        <v>656</v>
      </c>
      <c r="H32" s="79">
        <v>7275263</v>
      </c>
      <c r="I32" s="83"/>
      <c r="J32" s="83">
        <f>SUM(H32:I32)</f>
        <v>7275263</v>
      </c>
    </row>
    <row r="33" spans="1:10">
      <c r="D33" t="s">
        <v>115</v>
      </c>
      <c r="H33" s="86">
        <v>416398</v>
      </c>
      <c r="I33" s="83"/>
      <c r="J33" s="83">
        <f>SUM(H33:I33)</f>
        <v>416398</v>
      </c>
    </row>
    <row r="34" spans="1:10">
      <c r="H34" s="81"/>
      <c r="I34" s="81"/>
      <c r="J34" s="81"/>
    </row>
    <row r="35" spans="1:10">
      <c r="D35" s="7" t="s">
        <v>36</v>
      </c>
      <c r="E35" s="8"/>
      <c r="F35" s="8"/>
      <c r="G35" s="8"/>
      <c r="H35" s="87">
        <f>SUM(H20:H33)</f>
        <v>31306850</v>
      </c>
      <c r="I35" s="87">
        <f>SUM(I20:I33)</f>
        <v>350214</v>
      </c>
      <c r="J35" s="87">
        <f>SUM(H35:I35)</f>
        <v>31657064</v>
      </c>
    </row>
    <row r="36" spans="1:10">
      <c r="D36" s="5"/>
      <c r="H36" s="100"/>
      <c r="I36" s="100"/>
      <c r="J36" s="100"/>
    </row>
    <row r="37" spans="1:10" s="5" customFormat="1">
      <c r="A37" s="5" t="s">
        <v>37</v>
      </c>
      <c r="H37" s="100"/>
      <c r="I37" s="100"/>
      <c r="J37" s="100"/>
    </row>
    <row r="38" spans="1:10">
      <c r="B38" t="s">
        <v>20</v>
      </c>
      <c r="H38" s="122">
        <v>81839</v>
      </c>
      <c r="I38" s="122"/>
      <c r="J38" s="122">
        <f>SUM(H38:I38)</f>
        <v>81839</v>
      </c>
    </row>
    <row r="39" spans="1:10">
      <c r="H39" s="83"/>
      <c r="I39" s="83"/>
      <c r="J39" s="83"/>
    </row>
    <row r="40" spans="1:10">
      <c r="A40" s="3" t="s">
        <v>39</v>
      </c>
      <c r="H40" s="83"/>
      <c r="I40" s="83"/>
      <c r="J40" s="83"/>
    </row>
    <row r="41" spans="1:10">
      <c r="B41" t="s">
        <v>40</v>
      </c>
      <c r="H41" s="88">
        <v>48132907</v>
      </c>
      <c r="I41" s="83"/>
      <c r="J41" s="83">
        <f>SUM(H41:I41)</f>
        <v>48132907</v>
      </c>
    </row>
    <row r="42" spans="1:10">
      <c r="B42" t="s">
        <v>41</v>
      </c>
      <c r="H42" s="83"/>
      <c r="I42" s="83"/>
      <c r="J42" s="83"/>
    </row>
    <row r="43" spans="1:10">
      <c r="C43" t="s">
        <v>42</v>
      </c>
      <c r="H43" s="89">
        <v>6603250</v>
      </c>
      <c r="I43" s="83"/>
      <c r="J43" s="83">
        <f t="shared" ref="J43" si="3">SUM(H43:I43)</f>
        <v>6603250</v>
      </c>
    </row>
    <row r="44" spans="1:10">
      <c r="C44" t="s">
        <v>44</v>
      </c>
      <c r="H44" s="89">
        <v>29337526</v>
      </c>
      <c r="I44" s="83">
        <v>49847</v>
      </c>
      <c r="J44" s="83">
        <f>SUM(H44:I44)</f>
        <v>29387373</v>
      </c>
    </row>
    <row r="45" spans="1:10">
      <c r="B45" t="s">
        <v>432</v>
      </c>
      <c r="H45" s="93">
        <v>-1330843</v>
      </c>
      <c r="I45" s="83">
        <v>-87262</v>
      </c>
      <c r="J45" s="83">
        <f t="shared" ref="J45" si="4">SUM(H45:I45)</f>
        <v>-1418105</v>
      </c>
    </row>
    <row r="46" spans="1:10">
      <c r="H46" s="81"/>
      <c r="I46" s="81"/>
      <c r="J46" s="81"/>
    </row>
    <row r="47" spans="1:10" s="3" customFormat="1">
      <c r="C47" s="9" t="s">
        <v>46</v>
      </c>
      <c r="D47" s="9"/>
      <c r="E47" s="9"/>
      <c r="F47" s="9"/>
      <c r="G47" s="9"/>
      <c r="H47" s="94">
        <f>SUM(H41:H45)</f>
        <v>82742840</v>
      </c>
      <c r="I47" s="94">
        <f>SUM(I41:I45)</f>
        <v>-37415</v>
      </c>
      <c r="J47" s="94">
        <f>SUM(J40:J45)</f>
        <v>82705425</v>
      </c>
    </row>
    <row r="48" spans="1:10">
      <c r="H48" s="83"/>
      <c r="I48" s="83"/>
      <c r="J48" s="83"/>
    </row>
    <row r="49" spans="3:10">
      <c r="C49" s="10" t="s">
        <v>47</v>
      </c>
      <c r="D49" s="10"/>
      <c r="E49" s="10"/>
      <c r="F49" s="216"/>
      <c r="G49" s="216"/>
      <c r="H49" s="216">
        <f>H47+H35+H38</f>
        <v>114131529</v>
      </c>
      <c r="I49" s="216">
        <f t="shared" ref="I49:J49" si="5">I47+I35+I38</f>
        <v>312799</v>
      </c>
      <c r="J49" s="216">
        <f t="shared" si="5"/>
        <v>114444328</v>
      </c>
    </row>
  </sheetData>
  <mergeCells count="3">
    <mergeCell ref="D1:H1"/>
    <mergeCell ref="D2:H2"/>
    <mergeCell ref="H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800000"/>
  </sheetPr>
  <dimension ref="A1:M89"/>
  <sheetViews>
    <sheetView workbookViewId="0">
      <selection activeCell="H18" sqref="H18"/>
    </sheetView>
  </sheetViews>
  <sheetFormatPr defaultColWidth="8.85546875" defaultRowHeight="14.45"/>
  <cols>
    <col min="1" max="1" width="3.28515625" customWidth="1"/>
    <col min="2" max="2" width="3" customWidth="1"/>
    <col min="3" max="3" width="2.42578125" customWidth="1"/>
    <col min="4" max="4" width="16.85546875" customWidth="1"/>
    <col min="5" max="5" width="17.42578125" customWidth="1"/>
    <col min="6" max="6" width="19.42578125" customWidth="1"/>
    <col min="7" max="7" width="18.28515625" customWidth="1"/>
    <col min="8" max="9" width="17.140625" customWidth="1"/>
    <col min="10" max="10" width="18.7109375" customWidth="1"/>
    <col min="11" max="11" width="17.28515625" customWidth="1"/>
    <col min="12" max="12" width="19.42578125" customWidth="1"/>
  </cols>
  <sheetData>
    <row r="1" spans="1:13" ht="18.75" customHeight="1">
      <c r="A1" s="1"/>
      <c r="B1" s="1"/>
      <c r="C1" s="1"/>
      <c r="D1" s="272" t="s">
        <v>657</v>
      </c>
      <c r="E1" s="272"/>
      <c r="F1" s="272"/>
      <c r="G1" s="272"/>
      <c r="H1" s="272"/>
      <c r="I1" s="97"/>
      <c r="J1" s="97"/>
    </row>
    <row r="2" spans="1:13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3" ht="14.25" customHeight="1">
      <c r="H4" s="273" t="s">
        <v>2</v>
      </c>
      <c r="I4" s="273"/>
      <c r="J4" s="273"/>
      <c r="K4" s="5"/>
      <c r="L4" s="5"/>
    </row>
    <row r="5" spans="1:13" ht="31.5" customHeight="1">
      <c r="H5" s="99" t="s">
        <v>3</v>
      </c>
      <c r="I5" s="99" t="s">
        <v>73</v>
      </c>
      <c r="J5" s="167" t="s">
        <v>74</v>
      </c>
      <c r="K5" s="167" t="s">
        <v>108</v>
      </c>
      <c r="L5" s="269" t="s">
        <v>74</v>
      </c>
      <c r="M5" s="83"/>
    </row>
    <row r="6" spans="1:13">
      <c r="A6" s="3" t="s">
        <v>5</v>
      </c>
      <c r="D6" s="3"/>
      <c r="G6" s="4"/>
      <c r="H6" s="76"/>
      <c r="I6" s="76"/>
      <c r="J6" s="76"/>
      <c r="K6" s="83"/>
      <c r="L6" s="83"/>
      <c r="M6" s="83"/>
    </row>
    <row r="7" spans="1:13">
      <c r="A7" s="3"/>
      <c r="B7" t="s">
        <v>658</v>
      </c>
      <c r="D7" s="3"/>
      <c r="G7" s="4"/>
      <c r="H7" s="76"/>
      <c r="I7" s="76"/>
      <c r="J7" s="76"/>
      <c r="K7" s="83"/>
      <c r="L7" s="83"/>
      <c r="M7" s="83"/>
    </row>
    <row r="8" spans="1:13">
      <c r="C8" t="s">
        <v>7</v>
      </c>
      <c r="H8" s="77">
        <v>1706560</v>
      </c>
      <c r="I8" s="83">
        <v>2108836</v>
      </c>
      <c r="J8" s="83">
        <f>SUM(H8:I8)</f>
        <v>3815396</v>
      </c>
      <c r="K8" s="83">
        <v>38926346</v>
      </c>
      <c r="L8" s="83">
        <f>SUM(J8:K8)</f>
        <v>42741742</v>
      </c>
      <c r="M8" s="83"/>
    </row>
    <row r="9" spans="1:13">
      <c r="C9" t="s">
        <v>8</v>
      </c>
      <c r="H9" s="84">
        <v>10599815</v>
      </c>
      <c r="I9" s="83">
        <v>1500025</v>
      </c>
      <c r="J9" s="83">
        <f t="shared" ref="J9:J18" si="0">SUM(H9:I9)</f>
        <v>12099840</v>
      </c>
      <c r="K9" s="83">
        <v>13837682</v>
      </c>
      <c r="L9" s="83">
        <f t="shared" ref="L9:L18" si="1">SUM(J9:K9)</f>
        <v>25937522</v>
      </c>
      <c r="M9" s="83"/>
    </row>
    <row r="10" spans="1:13">
      <c r="C10" t="s">
        <v>659</v>
      </c>
      <c r="H10" s="78">
        <v>895116</v>
      </c>
      <c r="I10" s="83">
        <v>645153</v>
      </c>
      <c r="J10" s="83">
        <f t="shared" si="0"/>
        <v>1540269</v>
      </c>
      <c r="K10" s="83">
        <v>2591869</v>
      </c>
      <c r="L10" s="83">
        <f t="shared" si="1"/>
        <v>4132138</v>
      </c>
      <c r="M10" s="83"/>
    </row>
    <row r="11" spans="1:13">
      <c r="C11" t="s">
        <v>660</v>
      </c>
      <c r="H11" s="83"/>
      <c r="I11" s="83"/>
      <c r="J11" s="83">
        <f t="shared" si="0"/>
        <v>0</v>
      </c>
      <c r="K11" s="83">
        <v>1447686</v>
      </c>
      <c r="L11" s="83">
        <f t="shared" si="1"/>
        <v>1447686</v>
      </c>
      <c r="M11" s="83"/>
    </row>
    <row r="12" spans="1:13">
      <c r="C12" t="s">
        <v>661</v>
      </c>
      <c r="H12" s="83"/>
      <c r="I12" s="83"/>
      <c r="J12" s="83">
        <f t="shared" si="0"/>
        <v>0</v>
      </c>
      <c r="K12" s="83">
        <v>169338</v>
      </c>
      <c r="L12" s="83">
        <f t="shared" si="1"/>
        <v>169338</v>
      </c>
      <c r="M12" s="83"/>
    </row>
    <row r="13" spans="1:13">
      <c r="C13" t="s">
        <v>13</v>
      </c>
      <c r="H13" s="220">
        <v>2283621</v>
      </c>
      <c r="I13" s="83"/>
      <c r="J13" s="83">
        <f t="shared" si="0"/>
        <v>2283621</v>
      </c>
      <c r="K13" s="83">
        <v>24392</v>
      </c>
      <c r="L13" s="83">
        <f t="shared" si="1"/>
        <v>2308013</v>
      </c>
      <c r="M13" s="83"/>
    </row>
    <row r="14" spans="1:13">
      <c r="C14" t="s">
        <v>51</v>
      </c>
      <c r="H14" s="220">
        <v>8087968</v>
      </c>
      <c r="I14" s="83">
        <v>101122</v>
      </c>
      <c r="J14" s="83">
        <f t="shared" si="0"/>
        <v>8189090</v>
      </c>
      <c r="K14" s="83">
        <v>6941099</v>
      </c>
      <c r="L14" s="83">
        <f t="shared" si="1"/>
        <v>15130189</v>
      </c>
      <c r="M14" s="83"/>
    </row>
    <row r="15" spans="1:13">
      <c r="C15" t="s">
        <v>125</v>
      </c>
      <c r="H15" s="83"/>
      <c r="I15" s="83"/>
      <c r="J15" s="83">
        <f t="shared" si="0"/>
        <v>0</v>
      </c>
      <c r="K15" s="83">
        <v>1035453</v>
      </c>
      <c r="L15" s="83">
        <f t="shared" si="1"/>
        <v>1035453</v>
      </c>
      <c r="M15" s="83"/>
    </row>
    <row r="16" spans="1:13">
      <c r="C16" t="s">
        <v>52</v>
      </c>
      <c r="H16" s="83"/>
      <c r="I16" s="83"/>
      <c r="J16" s="83">
        <f t="shared" si="0"/>
        <v>0</v>
      </c>
      <c r="K16" s="83">
        <v>1050873</v>
      </c>
      <c r="L16" s="83">
        <f t="shared" si="1"/>
        <v>1050873</v>
      </c>
      <c r="M16" s="83"/>
    </row>
    <row r="17" spans="2:13">
      <c r="C17" t="s">
        <v>109</v>
      </c>
      <c r="H17" s="79">
        <v>4220</v>
      </c>
      <c r="I17" s="83"/>
      <c r="J17" s="83">
        <f t="shared" si="0"/>
        <v>4220</v>
      </c>
      <c r="K17" s="83">
        <v>6227</v>
      </c>
      <c r="L17" s="83">
        <f t="shared" si="1"/>
        <v>10447</v>
      </c>
      <c r="M17" s="83"/>
    </row>
    <row r="18" spans="2:13">
      <c r="C18" t="s">
        <v>76</v>
      </c>
      <c r="H18" s="153">
        <v>-4924271</v>
      </c>
      <c r="I18">
        <v>4924271</v>
      </c>
      <c r="J18" s="83">
        <f t="shared" si="0"/>
        <v>0</v>
      </c>
      <c r="L18" s="83">
        <f t="shared" si="1"/>
        <v>0</v>
      </c>
      <c r="M18" s="83"/>
    </row>
    <row r="19" spans="2:13">
      <c r="H19" s="83"/>
      <c r="I19" s="81"/>
      <c r="J19" s="81"/>
      <c r="K19" s="81"/>
      <c r="L19" s="81"/>
      <c r="M19" s="83"/>
    </row>
    <row r="20" spans="2:13" s="5" customFormat="1">
      <c r="C20" t="s">
        <v>393</v>
      </c>
      <c r="H20" s="100">
        <f>SUM(H8:H18)</f>
        <v>18653029</v>
      </c>
      <c r="I20" s="100">
        <f>SUM(I8:I18)</f>
        <v>9279407</v>
      </c>
      <c r="J20" s="100">
        <f>SUM(J8:J18)</f>
        <v>27932436</v>
      </c>
      <c r="K20" s="100">
        <f>SUM(K8:K18)</f>
        <v>66030965</v>
      </c>
      <c r="L20" s="100">
        <f>SUM(L8:L18)</f>
        <v>93963401</v>
      </c>
      <c r="M20" s="100"/>
    </row>
    <row r="21" spans="2:13">
      <c r="H21" s="83"/>
      <c r="I21" s="83"/>
      <c r="J21" s="83"/>
      <c r="K21" s="83"/>
      <c r="L21" s="83"/>
      <c r="M21" s="83"/>
    </row>
    <row r="22" spans="2:13">
      <c r="B22" t="s">
        <v>662</v>
      </c>
      <c r="H22" s="83"/>
      <c r="I22" s="83"/>
      <c r="J22" s="83"/>
      <c r="K22" s="83"/>
      <c r="L22" s="83"/>
      <c r="M22" s="83"/>
    </row>
    <row r="23" spans="2:13">
      <c r="C23" t="s">
        <v>663</v>
      </c>
      <c r="H23" s="83"/>
      <c r="I23" s="83"/>
      <c r="J23" s="83"/>
      <c r="K23" s="83"/>
      <c r="L23" s="83"/>
      <c r="M23" s="83"/>
    </row>
    <row r="24" spans="2:13">
      <c r="D24" t="s">
        <v>232</v>
      </c>
      <c r="H24" s="83"/>
      <c r="I24" s="83">
        <v>3127201</v>
      </c>
      <c r="J24" s="83">
        <f>SUM(H24:I24)</f>
        <v>3127201</v>
      </c>
      <c r="K24" s="83">
        <v>8669039</v>
      </c>
      <c r="L24" s="83">
        <f>SUM(J24:K24)</f>
        <v>11796240</v>
      </c>
      <c r="M24" s="83"/>
    </row>
    <row r="25" spans="2:13">
      <c r="D25" t="s">
        <v>8</v>
      </c>
      <c r="H25" s="83"/>
      <c r="I25" s="83">
        <v>845307</v>
      </c>
      <c r="J25" s="83">
        <f t="shared" ref="J25:J34" si="2">SUM(H25:I25)</f>
        <v>845307</v>
      </c>
      <c r="K25" s="83">
        <v>3185919</v>
      </c>
      <c r="L25" s="83">
        <f t="shared" ref="L25:L34" si="3">SUM(J25:K25)</f>
        <v>4031226</v>
      </c>
      <c r="M25" s="83"/>
    </row>
    <row r="26" spans="2:13">
      <c r="D26" t="s">
        <v>234</v>
      </c>
      <c r="H26" s="83"/>
      <c r="I26" s="83"/>
      <c r="J26" s="83">
        <f t="shared" si="2"/>
        <v>0</v>
      </c>
      <c r="K26" s="83">
        <v>1903</v>
      </c>
      <c r="L26" s="83">
        <f t="shared" si="3"/>
        <v>1903</v>
      </c>
      <c r="M26" s="83"/>
    </row>
    <row r="27" spans="2:13">
      <c r="C27" t="s">
        <v>664</v>
      </c>
      <c r="H27" s="83"/>
      <c r="I27" s="83"/>
      <c r="J27" s="83">
        <f t="shared" si="2"/>
        <v>0</v>
      </c>
      <c r="K27" s="83">
        <v>739231</v>
      </c>
      <c r="L27" s="83">
        <f t="shared" si="3"/>
        <v>739231</v>
      </c>
      <c r="M27" s="83"/>
    </row>
    <row r="28" spans="2:13">
      <c r="B28" t="s">
        <v>254</v>
      </c>
      <c r="H28" s="83"/>
      <c r="I28" s="83"/>
      <c r="J28" s="83">
        <f t="shared" si="2"/>
        <v>0</v>
      </c>
      <c r="L28" s="83">
        <f t="shared" si="3"/>
        <v>0</v>
      </c>
      <c r="M28" s="83"/>
    </row>
    <row r="29" spans="2:13">
      <c r="C29" t="s">
        <v>665</v>
      </c>
      <c r="H29" s="80">
        <v>1870876</v>
      </c>
      <c r="I29" s="83">
        <v>3802599</v>
      </c>
      <c r="J29" s="83">
        <f t="shared" si="2"/>
        <v>5673475</v>
      </c>
      <c r="K29" s="83">
        <v>5330381</v>
      </c>
      <c r="L29" s="83">
        <f t="shared" si="3"/>
        <v>11003856</v>
      </c>
      <c r="M29" s="83"/>
    </row>
    <row r="30" spans="2:13">
      <c r="C30" t="s">
        <v>666</v>
      </c>
      <c r="H30" s="80">
        <v>9576008</v>
      </c>
      <c r="I30" s="83">
        <v>133950</v>
      </c>
      <c r="J30" s="83">
        <f t="shared" si="2"/>
        <v>9709958</v>
      </c>
      <c r="K30" s="83">
        <v>35513568</v>
      </c>
      <c r="L30" s="83">
        <f t="shared" si="3"/>
        <v>45223526</v>
      </c>
      <c r="M30" s="83"/>
    </row>
    <row r="31" spans="2:13">
      <c r="C31" t="s">
        <v>667</v>
      </c>
      <c r="H31" s="80">
        <v>14609772</v>
      </c>
      <c r="I31" s="83">
        <v>15998079</v>
      </c>
      <c r="J31" s="83">
        <f t="shared" si="2"/>
        <v>30607851</v>
      </c>
      <c r="K31" s="83">
        <v>30237734</v>
      </c>
      <c r="L31" s="83">
        <f t="shared" si="3"/>
        <v>60845585</v>
      </c>
      <c r="M31" s="83"/>
    </row>
    <row r="32" spans="2:13">
      <c r="C32" t="s">
        <v>668</v>
      </c>
      <c r="H32" s="80">
        <v>2435936</v>
      </c>
      <c r="I32" s="83">
        <v>1867113</v>
      </c>
      <c r="J32" s="83">
        <f t="shared" si="2"/>
        <v>4303049</v>
      </c>
      <c r="K32" s="83">
        <v>13012670</v>
      </c>
      <c r="L32" s="83">
        <f t="shared" si="3"/>
        <v>17315719</v>
      </c>
      <c r="M32" s="83"/>
    </row>
    <row r="33" spans="1:13">
      <c r="C33" t="s">
        <v>669</v>
      </c>
      <c r="H33" s="80">
        <v>76347538</v>
      </c>
      <c r="I33" s="83"/>
      <c r="J33" s="83">
        <f t="shared" si="2"/>
        <v>76347538</v>
      </c>
      <c r="K33" s="83">
        <v>8497050</v>
      </c>
      <c r="L33" s="83">
        <f t="shared" si="3"/>
        <v>84844588</v>
      </c>
      <c r="M33" s="83"/>
    </row>
    <row r="34" spans="1:13">
      <c r="C34" t="s">
        <v>142</v>
      </c>
      <c r="H34" s="91">
        <v>8736229</v>
      </c>
      <c r="I34" s="122">
        <v>154961</v>
      </c>
      <c r="J34" s="122">
        <f t="shared" si="2"/>
        <v>8891190</v>
      </c>
      <c r="K34" s="122">
        <v>3992972</v>
      </c>
      <c r="L34" s="122">
        <f t="shared" si="3"/>
        <v>12884162</v>
      </c>
      <c r="M34" s="83"/>
    </row>
    <row r="35" spans="1:13">
      <c r="H35" s="83"/>
      <c r="I35" s="83"/>
      <c r="J35" s="83"/>
      <c r="K35" s="83"/>
      <c r="L35" s="83"/>
      <c r="M35" s="83"/>
    </row>
    <row r="36" spans="1:13">
      <c r="C36" t="s">
        <v>670</v>
      </c>
      <c r="H36" s="197">
        <f>SUM(H23:H34)</f>
        <v>113576359</v>
      </c>
      <c r="I36" s="197">
        <f>SUM(I23:I34)</f>
        <v>25929210</v>
      </c>
      <c r="J36" s="197">
        <f t="shared" ref="J36:L36" si="4">SUM(J23:J34)</f>
        <v>139505569</v>
      </c>
      <c r="K36" s="197">
        <f t="shared" si="4"/>
        <v>109180467</v>
      </c>
      <c r="L36" s="197">
        <f t="shared" si="4"/>
        <v>248686036</v>
      </c>
      <c r="M36" s="83"/>
    </row>
    <row r="37" spans="1:13">
      <c r="H37" s="83"/>
      <c r="I37" s="83"/>
      <c r="J37" s="83"/>
      <c r="K37" s="83"/>
      <c r="L37" s="83"/>
      <c r="M37" s="83"/>
    </row>
    <row r="38" spans="1:13">
      <c r="C38" s="5" t="s">
        <v>671</v>
      </c>
      <c r="H38" s="198">
        <f>H20+H36</f>
        <v>132229388</v>
      </c>
      <c r="I38" s="198">
        <f t="shared" ref="I38:L38" si="5">I20+I36</f>
        <v>35208617</v>
      </c>
      <c r="J38" s="198">
        <f t="shared" si="5"/>
        <v>167438005</v>
      </c>
      <c r="K38" s="198">
        <f t="shared" si="5"/>
        <v>175211432</v>
      </c>
      <c r="L38" s="198">
        <f t="shared" si="5"/>
        <v>342649437</v>
      </c>
      <c r="M38" s="83"/>
    </row>
    <row r="39" spans="1:13">
      <c r="H39" s="83"/>
      <c r="I39" s="83"/>
      <c r="J39" s="83"/>
      <c r="K39" s="83"/>
      <c r="L39" s="83"/>
      <c r="M39" s="83"/>
    </row>
    <row r="40" spans="1:13" s="5" customFormat="1">
      <c r="A40" s="5" t="s">
        <v>18</v>
      </c>
      <c r="H40" s="100"/>
      <c r="I40" s="100"/>
      <c r="J40" s="100"/>
      <c r="K40" s="100"/>
      <c r="L40" s="100"/>
      <c r="M40" s="100"/>
    </row>
    <row r="41" spans="1:13">
      <c r="B41" t="s">
        <v>672</v>
      </c>
      <c r="H41" s="83">
        <v>4354773</v>
      </c>
      <c r="I41" s="83"/>
      <c r="J41" s="83">
        <f>SUM(H41:I41)</f>
        <v>4354773</v>
      </c>
      <c r="K41" s="83">
        <v>150613</v>
      </c>
      <c r="L41" s="83">
        <f>SUM(J41:K41)</f>
        <v>4505386</v>
      </c>
      <c r="M41" s="83"/>
    </row>
    <row r="42" spans="1:13">
      <c r="B42" t="s">
        <v>673</v>
      </c>
      <c r="H42" s="83">
        <v>5253107</v>
      </c>
      <c r="I42" s="83">
        <v>383334</v>
      </c>
      <c r="J42" s="83">
        <f>SUM(H42:I42)</f>
        <v>5636441</v>
      </c>
      <c r="K42" s="83">
        <v>15477120</v>
      </c>
      <c r="L42" s="83">
        <f>SUM(J42:K42)</f>
        <v>21113561</v>
      </c>
      <c r="M42" s="83"/>
    </row>
    <row r="43" spans="1:13" s="5" customFormat="1">
      <c r="C43" s="5" t="s">
        <v>111</v>
      </c>
      <c r="H43" s="166">
        <f>SUM(H41:H42)</f>
        <v>9607880</v>
      </c>
      <c r="I43" s="166">
        <f t="shared" ref="I43:L43" si="6">SUM(I41:I42)</f>
        <v>383334</v>
      </c>
      <c r="J43" s="166">
        <f t="shared" si="6"/>
        <v>9991214</v>
      </c>
      <c r="K43" s="166">
        <f t="shared" si="6"/>
        <v>15627733</v>
      </c>
      <c r="L43" s="166">
        <f t="shared" si="6"/>
        <v>25618947</v>
      </c>
      <c r="M43" s="100"/>
    </row>
    <row r="44" spans="1:13">
      <c r="H44" s="83"/>
      <c r="I44" s="83"/>
      <c r="J44" s="83"/>
      <c r="K44" s="83"/>
      <c r="L44" s="83"/>
      <c r="M44" s="83"/>
    </row>
    <row r="45" spans="1:13">
      <c r="A45" s="5" t="s">
        <v>22</v>
      </c>
      <c r="H45" s="83"/>
      <c r="I45" s="83"/>
      <c r="J45" s="83"/>
      <c r="K45" s="83"/>
      <c r="L45" s="83"/>
      <c r="M45" s="83"/>
    </row>
    <row r="46" spans="1:13">
      <c r="A46" s="5"/>
      <c r="B46" t="s">
        <v>674</v>
      </c>
      <c r="H46" s="83"/>
      <c r="I46" s="83"/>
      <c r="J46" s="83"/>
      <c r="K46" s="83"/>
      <c r="L46" s="83"/>
      <c r="M46" s="83"/>
    </row>
    <row r="47" spans="1:13">
      <c r="C47" t="s">
        <v>471</v>
      </c>
      <c r="H47" s="84">
        <v>951263</v>
      </c>
      <c r="I47" s="83">
        <v>377024</v>
      </c>
      <c r="J47" s="83">
        <f>SUM(H47:I47)</f>
        <v>1328287</v>
      </c>
      <c r="K47" s="83">
        <v>1994206</v>
      </c>
      <c r="L47" s="83">
        <f>SUM(J47:K47)</f>
        <v>3322493</v>
      </c>
      <c r="M47" s="83"/>
    </row>
    <row r="48" spans="1:13">
      <c r="C48" t="s">
        <v>86</v>
      </c>
      <c r="H48" s="84">
        <v>1389444</v>
      </c>
      <c r="I48" s="83"/>
      <c r="J48" s="83">
        <f t="shared" ref="J48:J57" si="7">SUM(H48:I48)</f>
        <v>1389444</v>
      </c>
      <c r="K48" s="83">
        <v>52517</v>
      </c>
      <c r="L48" s="83">
        <f t="shared" ref="L48:L57" si="8">SUM(J48:K48)</f>
        <v>1441961</v>
      </c>
      <c r="M48" s="83"/>
    </row>
    <row r="49" spans="2:13">
      <c r="C49" t="s">
        <v>24</v>
      </c>
      <c r="H49" s="84">
        <v>515624</v>
      </c>
      <c r="I49" s="83">
        <v>54509</v>
      </c>
      <c r="J49" s="83">
        <f t="shared" si="7"/>
        <v>570133</v>
      </c>
      <c r="K49" s="83">
        <v>8700</v>
      </c>
      <c r="L49" s="83">
        <f t="shared" si="8"/>
        <v>578833</v>
      </c>
      <c r="M49" s="83"/>
    </row>
    <row r="50" spans="2:13">
      <c r="C50" t="s">
        <v>183</v>
      </c>
      <c r="H50" s="79">
        <v>228194</v>
      </c>
      <c r="I50" s="83"/>
      <c r="J50" s="83">
        <f t="shared" si="7"/>
        <v>228194</v>
      </c>
      <c r="K50" s="83">
        <v>1390050</v>
      </c>
      <c r="L50" s="83">
        <f t="shared" si="8"/>
        <v>1618244</v>
      </c>
      <c r="M50" s="83"/>
    </row>
    <row r="51" spans="2:13">
      <c r="C51" t="s">
        <v>27</v>
      </c>
      <c r="H51" s="79">
        <v>221020</v>
      </c>
      <c r="I51" s="83"/>
      <c r="J51" s="83">
        <f t="shared" si="7"/>
        <v>221020</v>
      </c>
      <c r="K51" s="83">
        <v>36866</v>
      </c>
      <c r="L51" s="83">
        <f t="shared" si="8"/>
        <v>257886</v>
      </c>
      <c r="M51" s="83"/>
    </row>
    <row r="52" spans="2:13">
      <c r="C52" t="s">
        <v>243</v>
      </c>
      <c r="H52" s="79">
        <v>13000</v>
      </c>
      <c r="I52" s="83"/>
      <c r="J52" s="83">
        <f t="shared" si="7"/>
        <v>13000</v>
      </c>
      <c r="K52" s="83"/>
      <c r="L52" s="83">
        <f t="shared" si="8"/>
        <v>13000</v>
      </c>
      <c r="M52" s="83"/>
    </row>
    <row r="53" spans="2:13">
      <c r="C53" t="s">
        <v>675</v>
      </c>
      <c r="I53" s="83"/>
      <c r="J53" s="83">
        <f t="shared" si="7"/>
        <v>0</v>
      </c>
      <c r="K53" s="83">
        <v>363694</v>
      </c>
      <c r="L53" s="83">
        <f t="shared" si="8"/>
        <v>363694</v>
      </c>
      <c r="M53" s="83"/>
    </row>
    <row r="54" spans="2:13">
      <c r="C54" t="s">
        <v>185</v>
      </c>
      <c r="H54" s="96">
        <v>1369</v>
      </c>
      <c r="I54" s="83"/>
      <c r="J54" s="83">
        <f t="shared" si="7"/>
        <v>1369</v>
      </c>
      <c r="K54" s="83">
        <v>48040</v>
      </c>
      <c r="L54" s="83">
        <f t="shared" si="8"/>
        <v>49409</v>
      </c>
      <c r="M54" s="83"/>
    </row>
    <row r="55" spans="2:13">
      <c r="C55" t="s">
        <v>87</v>
      </c>
      <c r="H55" s="96">
        <v>456210</v>
      </c>
      <c r="I55" s="83"/>
      <c r="J55" s="83">
        <f t="shared" si="7"/>
        <v>456210</v>
      </c>
      <c r="K55" s="83">
        <v>467521</v>
      </c>
      <c r="L55" s="83">
        <f t="shared" si="8"/>
        <v>923731</v>
      </c>
      <c r="M55" s="83"/>
    </row>
    <row r="56" spans="2:13">
      <c r="C56" t="s">
        <v>676</v>
      </c>
      <c r="I56" s="83"/>
      <c r="J56" s="83">
        <f t="shared" si="7"/>
        <v>0</v>
      </c>
      <c r="K56" s="83">
        <v>677445</v>
      </c>
      <c r="L56" s="83">
        <f t="shared" si="8"/>
        <v>677445</v>
      </c>
      <c r="M56" s="83"/>
    </row>
    <row r="57" spans="2:13">
      <c r="C57" t="s">
        <v>405</v>
      </c>
      <c r="H57" s="240">
        <v>2309000</v>
      </c>
      <c r="I57" s="122">
        <v>745000</v>
      </c>
      <c r="J57" s="122">
        <f t="shared" si="7"/>
        <v>3054000</v>
      </c>
      <c r="K57" s="122">
        <v>3130360</v>
      </c>
      <c r="L57" s="122">
        <f t="shared" si="8"/>
        <v>6184360</v>
      </c>
      <c r="M57" s="83"/>
    </row>
    <row r="58" spans="2:13">
      <c r="H58" s="83"/>
      <c r="I58" s="83"/>
      <c r="J58" s="83"/>
      <c r="K58" s="83"/>
      <c r="L58" s="83"/>
      <c r="M58" s="83"/>
    </row>
    <row r="59" spans="2:13">
      <c r="D59" t="s">
        <v>677</v>
      </c>
      <c r="H59" s="241">
        <f>SUM(H47:H57)</f>
        <v>6085124</v>
      </c>
      <c r="I59" s="241">
        <f t="shared" ref="I59:L59" si="9">SUM(I47:I57)</f>
        <v>1176533</v>
      </c>
      <c r="J59" s="241">
        <f t="shared" si="9"/>
        <v>7261657</v>
      </c>
      <c r="K59" s="241">
        <f t="shared" si="9"/>
        <v>8169399</v>
      </c>
      <c r="L59" s="241">
        <f t="shared" si="9"/>
        <v>15431056</v>
      </c>
      <c r="M59" s="83"/>
    </row>
    <row r="60" spans="2:13">
      <c r="H60" s="83"/>
      <c r="I60" s="83"/>
      <c r="J60" s="83"/>
      <c r="K60" s="83"/>
      <c r="L60" s="83"/>
      <c r="M60" s="83"/>
    </row>
    <row r="61" spans="2:13">
      <c r="B61" t="s">
        <v>166</v>
      </c>
      <c r="H61" s="83"/>
      <c r="I61" s="83"/>
      <c r="J61" s="83"/>
      <c r="K61" s="83"/>
      <c r="L61" s="83"/>
      <c r="M61" s="83"/>
    </row>
    <row r="62" spans="2:13">
      <c r="C62" t="s">
        <v>96</v>
      </c>
      <c r="H62" s="153">
        <v>7643900</v>
      </c>
      <c r="I62" s="83">
        <v>1188600</v>
      </c>
      <c r="J62" s="83">
        <f>SUM(H62:I62)</f>
        <v>8832500</v>
      </c>
      <c r="K62" s="83">
        <v>1045214</v>
      </c>
      <c r="L62" s="83">
        <f>SUM(J62:K62)</f>
        <v>9877714</v>
      </c>
      <c r="M62" s="83"/>
    </row>
    <row r="63" spans="2:13">
      <c r="C63" t="s">
        <v>32</v>
      </c>
      <c r="H63" s="238">
        <v>212000</v>
      </c>
      <c r="I63" s="83"/>
      <c r="J63" s="83">
        <f t="shared" ref="J63:J66" si="10">SUM(H63:I63)</f>
        <v>212000</v>
      </c>
      <c r="K63" s="83">
        <v>130910</v>
      </c>
      <c r="L63" s="83">
        <f t="shared" ref="L63:L67" si="11">SUM(J63:K63)</f>
        <v>342910</v>
      </c>
      <c r="M63" s="83"/>
    </row>
    <row r="64" spans="2:13">
      <c r="C64" t="s">
        <v>678</v>
      </c>
      <c r="H64" s="152">
        <v>16054694</v>
      </c>
      <c r="I64" s="83">
        <v>11416980</v>
      </c>
      <c r="J64" s="83">
        <f t="shared" si="10"/>
        <v>27471674</v>
      </c>
      <c r="K64" s="83">
        <v>29999410</v>
      </c>
      <c r="L64" s="83">
        <f t="shared" si="11"/>
        <v>57471084</v>
      </c>
      <c r="M64" s="83"/>
    </row>
    <row r="65" spans="1:13">
      <c r="C65" t="s">
        <v>675</v>
      </c>
      <c r="H65" s="155"/>
      <c r="I65" s="83"/>
      <c r="J65" s="83">
        <f t="shared" si="10"/>
        <v>0</v>
      </c>
      <c r="K65" s="83">
        <v>1337900</v>
      </c>
      <c r="L65" s="83">
        <f t="shared" si="11"/>
        <v>1337900</v>
      </c>
      <c r="M65" s="83"/>
    </row>
    <row r="66" spans="1:13">
      <c r="C66" t="s">
        <v>679</v>
      </c>
      <c r="H66" s="153">
        <v>238013</v>
      </c>
      <c r="I66" s="83">
        <v>54231</v>
      </c>
      <c r="J66" s="83">
        <f t="shared" si="10"/>
        <v>292244</v>
      </c>
      <c r="K66" s="83"/>
      <c r="L66" s="83">
        <f t="shared" si="11"/>
        <v>292244</v>
      </c>
      <c r="M66" s="83"/>
    </row>
    <row r="67" spans="1:13">
      <c r="C67" t="s">
        <v>680</v>
      </c>
      <c r="H67" s="242"/>
      <c r="I67" s="122">
        <v>4246000</v>
      </c>
      <c r="J67" s="122">
        <f>SUM(H67:I67)</f>
        <v>4246000</v>
      </c>
      <c r="K67" s="122">
        <v>2729107</v>
      </c>
      <c r="L67" s="83">
        <f t="shared" si="11"/>
        <v>6975107</v>
      </c>
      <c r="M67" s="83"/>
    </row>
    <row r="68" spans="1:13">
      <c r="H68" s="83"/>
      <c r="I68" s="83"/>
      <c r="J68" s="83"/>
      <c r="K68" s="83"/>
      <c r="L68" s="83"/>
      <c r="M68" s="83"/>
    </row>
    <row r="69" spans="1:13">
      <c r="D69" t="s">
        <v>681</v>
      </c>
      <c r="H69" s="122">
        <f>SUM(H62:H67)</f>
        <v>24148607</v>
      </c>
      <c r="I69" s="122">
        <f t="shared" ref="I69:L69" si="12">SUM(I62:I67)</f>
        <v>16905811</v>
      </c>
      <c r="J69" s="122">
        <f t="shared" si="12"/>
        <v>41054418</v>
      </c>
      <c r="K69" s="122">
        <f t="shared" si="12"/>
        <v>35242541</v>
      </c>
      <c r="L69" s="122">
        <f t="shared" si="12"/>
        <v>76296959</v>
      </c>
      <c r="M69" s="83"/>
    </row>
    <row r="70" spans="1:13">
      <c r="H70" s="83"/>
      <c r="I70" s="83"/>
      <c r="J70" s="83"/>
      <c r="K70" s="83"/>
      <c r="L70" s="83"/>
      <c r="M70" s="83"/>
    </row>
    <row r="71" spans="1:13" s="5" customFormat="1">
      <c r="D71" s="7" t="s">
        <v>36</v>
      </c>
      <c r="E71" s="7"/>
      <c r="F71" s="7"/>
      <c r="G71" s="7"/>
      <c r="H71" s="87">
        <f>H69+H59</f>
        <v>30233731</v>
      </c>
      <c r="I71" s="87">
        <f t="shared" ref="I71:L71" si="13">I69+I59</f>
        <v>18082344</v>
      </c>
      <c r="J71" s="87">
        <f t="shared" si="13"/>
        <v>48316075</v>
      </c>
      <c r="K71" s="87">
        <f t="shared" si="13"/>
        <v>43411940</v>
      </c>
      <c r="L71" s="87">
        <f t="shared" si="13"/>
        <v>91728015</v>
      </c>
      <c r="M71" s="100"/>
    </row>
    <row r="72" spans="1:13" s="5" customFormat="1">
      <c r="H72" s="100"/>
      <c r="I72" s="100"/>
      <c r="J72" s="100"/>
      <c r="K72" s="100"/>
      <c r="L72" s="100"/>
      <c r="M72" s="100"/>
    </row>
    <row r="73" spans="1:13" s="5" customFormat="1">
      <c r="A73" s="5" t="s">
        <v>37</v>
      </c>
      <c r="H73" s="100"/>
      <c r="I73" s="100"/>
      <c r="J73" s="100"/>
      <c r="K73" s="100"/>
      <c r="L73" s="100"/>
      <c r="M73" s="100"/>
    </row>
    <row r="74" spans="1:13" s="5" customFormat="1">
      <c r="B74" t="s">
        <v>26</v>
      </c>
      <c r="H74" s="83"/>
      <c r="I74" s="83"/>
      <c r="J74" s="83"/>
      <c r="K74" s="83">
        <v>135497</v>
      </c>
      <c r="L74" s="83">
        <f>SUM(J74:K74)</f>
        <v>135497</v>
      </c>
      <c r="M74" s="100"/>
    </row>
    <row r="75" spans="1:13" s="5" customFormat="1">
      <c r="B75" t="s">
        <v>682</v>
      </c>
      <c r="H75" s="100">
        <v>107774</v>
      </c>
      <c r="I75" s="100">
        <v>24557</v>
      </c>
      <c r="J75" s="100">
        <v>132331</v>
      </c>
      <c r="K75" s="100">
        <v>748863</v>
      </c>
      <c r="L75" s="100">
        <v>881194</v>
      </c>
      <c r="M75" s="100"/>
    </row>
    <row r="76" spans="1:13" s="5" customFormat="1">
      <c r="D76" s="5" t="s">
        <v>83</v>
      </c>
      <c r="H76" s="166">
        <f>SUM(H74:H75)</f>
        <v>107774</v>
      </c>
      <c r="I76" s="166">
        <f t="shared" ref="I76:L76" si="14">SUM(I74:I75)</f>
        <v>24557</v>
      </c>
      <c r="J76" s="166">
        <f t="shared" si="14"/>
        <v>132331</v>
      </c>
      <c r="K76" s="166">
        <f t="shared" si="14"/>
        <v>884360</v>
      </c>
      <c r="L76" s="166">
        <f t="shared" si="14"/>
        <v>1016691</v>
      </c>
      <c r="M76" s="100"/>
    </row>
    <row r="77" spans="1:13">
      <c r="H77" s="83"/>
      <c r="I77" s="83"/>
      <c r="J77" s="83"/>
      <c r="K77" s="83"/>
      <c r="L77" s="83"/>
      <c r="M77" s="83"/>
    </row>
    <row r="78" spans="1:13">
      <c r="A78" s="3" t="s">
        <v>39</v>
      </c>
      <c r="H78" s="83"/>
      <c r="I78" s="83"/>
      <c r="J78" s="83"/>
      <c r="K78" s="83"/>
      <c r="L78" s="83"/>
      <c r="M78" s="83"/>
    </row>
    <row r="79" spans="1:13">
      <c r="A79" s="3"/>
      <c r="B79" t="s">
        <v>683</v>
      </c>
      <c r="H79" s="150">
        <v>94485041</v>
      </c>
      <c r="I79" s="83">
        <v>9794722</v>
      </c>
      <c r="J79" s="83">
        <f>SUM(H79:I79)</f>
        <v>104279763</v>
      </c>
      <c r="K79" s="83">
        <v>72931813</v>
      </c>
      <c r="L79" s="83">
        <f>SUM(J79:K79)</f>
        <v>177211576</v>
      </c>
      <c r="M79" s="83"/>
    </row>
    <row r="80" spans="1:13">
      <c r="B80" t="s">
        <v>41</v>
      </c>
      <c r="H80" s="83"/>
      <c r="I80" s="83"/>
      <c r="J80" s="83"/>
      <c r="K80" s="83"/>
      <c r="L80" s="83"/>
      <c r="M80" s="83"/>
    </row>
    <row r="81" spans="2:13">
      <c r="C81" t="s">
        <v>684</v>
      </c>
      <c r="H81" s="83"/>
      <c r="I81" s="83"/>
      <c r="J81" s="83"/>
      <c r="K81" s="83">
        <v>4569482</v>
      </c>
      <c r="L81" s="83">
        <f>SUM(J81:K81)</f>
        <v>4569482</v>
      </c>
      <c r="M81" s="83"/>
    </row>
    <row r="82" spans="2:13">
      <c r="C82" t="s">
        <v>42</v>
      </c>
      <c r="H82" s="89">
        <v>904960</v>
      </c>
      <c r="I82" s="83">
        <v>911930</v>
      </c>
      <c r="J82" s="83">
        <v>1816890</v>
      </c>
      <c r="K82" s="83">
        <v>3173517</v>
      </c>
      <c r="L82" s="83">
        <f t="shared" ref="L82:L84" si="15">SUM(J82:K82)</f>
        <v>4990407</v>
      </c>
      <c r="M82" s="83"/>
    </row>
    <row r="83" spans="2:13">
      <c r="C83" t="s">
        <v>44</v>
      </c>
      <c r="H83" s="89">
        <v>4329454</v>
      </c>
      <c r="I83" s="83">
        <v>-1294654</v>
      </c>
      <c r="J83" s="83">
        <v>3034800</v>
      </c>
      <c r="K83" s="83">
        <v>6756281</v>
      </c>
      <c r="L83" s="83">
        <f>SUM(J83:K83)</f>
        <v>9791081</v>
      </c>
      <c r="M83" s="83"/>
    </row>
    <row r="84" spans="2:13">
      <c r="B84" t="s">
        <v>45</v>
      </c>
      <c r="H84" s="93">
        <v>3520714</v>
      </c>
      <c r="I84" s="83">
        <v>8167099</v>
      </c>
      <c r="J84" s="83">
        <v>11687813</v>
      </c>
      <c r="K84" s="83">
        <v>45137297</v>
      </c>
      <c r="L84" s="83">
        <f t="shared" si="15"/>
        <v>56825110</v>
      </c>
      <c r="M84" s="83"/>
    </row>
    <row r="85" spans="2:13">
      <c r="H85" s="81"/>
      <c r="I85" s="81"/>
      <c r="J85" s="81"/>
      <c r="K85" s="81"/>
      <c r="L85" s="81">
        <f>'St. Tammany'!S1</f>
        <v>0</v>
      </c>
      <c r="M85" s="83"/>
    </row>
    <row r="86" spans="2:13" s="3" customFormat="1">
      <c r="C86" s="9" t="s">
        <v>46</v>
      </c>
      <c r="D86" s="9"/>
      <c r="E86" s="9"/>
      <c r="F86" s="9"/>
      <c r="G86" s="9"/>
      <c r="H86" s="94">
        <f>SUM(H79:H84)</f>
        <v>103240169</v>
      </c>
      <c r="I86" s="94">
        <f>SUM(I79:I84)</f>
        <v>17579097</v>
      </c>
      <c r="J86" s="94">
        <f>SUM(J79:J84)</f>
        <v>120819266</v>
      </c>
      <c r="K86" s="94">
        <f>SUM(K79:K84)</f>
        <v>132568390</v>
      </c>
      <c r="L86" s="94">
        <f>SUM(L79:L85)</f>
        <v>253387656</v>
      </c>
      <c r="M86" s="101"/>
    </row>
    <row r="87" spans="2:13">
      <c r="H87" s="83"/>
      <c r="I87" s="83"/>
      <c r="J87" s="83"/>
      <c r="K87" s="83"/>
      <c r="L87" s="83"/>
      <c r="M87" s="83"/>
    </row>
    <row r="88" spans="2:13">
      <c r="C88" s="10" t="s">
        <v>47</v>
      </c>
      <c r="D88" s="10"/>
      <c r="E88" s="10"/>
      <c r="F88" s="216"/>
      <c r="G88" s="216"/>
      <c r="H88" s="216">
        <f>SUM(H86+H71)</f>
        <v>133473900</v>
      </c>
      <c r="I88" s="216">
        <f t="shared" ref="I88:L88" si="16">SUM(I86+I71)</f>
        <v>35661441</v>
      </c>
      <c r="J88" s="216">
        <f t="shared" si="16"/>
        <v>169135341</v>
      </c>
      <c r="K88" s="216">
        <f t="shared" si="16"/>
        <v>175980330</v>
      </c>
      <c r="L88" s="216">
        <f t="shared" si="16"/>
        <v>345115671</v>
      </c>
      <c r="M88" s="83"/>
    </row>
    <row r="89" spans="2:13">
      <c r="H89" s="83"/>
      <c r="I89" s="83"/>
      <c r="J89" s="83"/>
      <c r="K89" s="83"/>
      <c r="L89" s="83"/>
      <c r="M89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61"/>
  <sheetViews>
    <sheetView zoomScale="70" zoomScaleNormal="70" zoomScalePageLayoutView="70" workbookViewId="0">
      <selection activeCell="H31" sqref="H31"/>
    </sheetView>
  </sheetViews>
  <sheetFormatPr defaultColWidth="8.85546875" defaultRowHeight="14.45"/>
  <cols>
    <col min="1" max="1" width="3.28515625" customWidth="1"/>
    <col min="2" max="2" width="3" customWidth="1"/>
    <col min="3" max="3" width="2.42578125" customWidth="1"/>
    <col min="4" max="4" width="16.85546875" customWidth="1"/>
    <col min="5" max="5" width="17.42578125" customWidth="1"/>
    <col min="6" max="6" width="19.42578125" customWidth="1"/>
    <col min="7" max="7" width="18.28515625" customWidth="1"/>
    <col min="8" max="9" width="17.140625" customWidth="1"/>
    <col min="10" max="10" width="18.7109375" customWidth="1"/>
    <col min="11" max="11" width="17.28515625" customWidth="1"/>
    <col min="12" max="12" width="19.42578125" customWidth="1"/>
  </cols>
  <sheetData>
    <row r="1" spans="1:13" ht="18.75" customHeight="1">
      <c r="A1" s="1"/>
      <c r="B1" s="1"/>
      <c r="C1" s="1"/>
      <c r="D1" s="272" t="s">
        <v>685</v>
      </c>
      <c r="E1" s="272"/>
      <c r="F1" s="272"/>
      <c r="G1" s="272"/>
      <c r="H1" s="272"/>
      <c r="I1" s="97"/>
      <c r="J1" s="97"/>
    </row>
    <row r="2" spans="1:13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4" spans="1:13" ht="14.25" customHeight="1">
      <c r="H4" s="273" t="s">
        <v>2</v>
      </c>
      <c r="I4" s="273"/>
      <c r="J4" s="273"/>
      <c r="K4" s="5"/>
      <c r="L4" s="5"/>
    </row>
    <row r="5" spans="1:13" ht="31.5" customHeight="1">
      <c r="H5" s="99" t="s">
        <v>3</v>
      </c>
      <c r="I5" s="99" t="s">
        <v>73</v>
      </c>
      <c r="J5" s="167" t="s">
        <v>74</v>
      </c>
      <c r="K5" s="167" t="s">
        <v>108</v>
      </c>
      <c r="L5" s="269" t="s">
        <v>74</v>
      </c>
      <c r="M5" s="83"/>
    </row>
    <row r="6" spans="1:13">
      <c r="A6" s="3" t="s">
        <v>5</v>
      </c>
      <c r="D6" s="3"/>
      <c r="G6" s="4"/>
      <c r="H6" s="76"/>
      <c r="I6" s="76"/>
      <c r="J6" s="76"/>
      <c r="K6" s="83"/>
      <c r="L6" s="83"/>
      <c r="M6" s="83"/>
    </row>
    <row r="7" spans="1:13">
      <c r="C7" t="s">
        <v>7</v>
      </c>
      <c r="H7" s="77">
        <v>46765205</v>
      </c>
      <c r="I7" s="83">
        <v>2960256</v>
      </c>
      <c r="J7" s="83">
        <f t="shared" ref="J7:J17" si="0">SUM(H7:I7)</f>
        <v>49725461</v>
      </c>
      <c r="K7" s="83">
        <v>52295363</v>
      </c>
      <c r="L7" s="83">
        <f t="shared" ref="L7:L17" si="1">SUM(J7:K7)</f>
        <v>102020824</v>
      </c>
      <c r="M7" s="83"/>
    </row>
    <row r="8" spans="1:13">
      <c r="C8" t="s">
        <v>8</v>
      </c>
      <c r="H8" s="84">
        <v>141077508</v>
      </c>
      <c r="I8" s="83">
        <v>11641597</v>
      </c>
      <c r="J8" s="83">
        <f t="shared" si="0"/>
        <v>152719105</v>
      </c>
      <c r="K8" s="83">
        <v>2891660</v>
      </c>
      <c r="L8" s="83">
        <f t="shared" si="1"/>
        <v>155610765</v>
      </c>
      <c r="M8" s="83"/>
    </row>
    <row r="9" spans="1:13">
      <c r="C9" t="s">
        <v>659</v>
      </c>
      <c r="H9" s="78">
        <v>55840630</v>
      </c>
      <c r="I9" s="83">
        <v>1003100</v>
      </c>
      <c r="J9" s="83">
        <f t="shared" si="0"/>
        <v>56843730</v>
      </c>
      <c r="K9" s="83">
        <v>66423594</v>
      </c>
      <c r="L9" s="83">
        <f t="shared" si="1"/>
        <v>123267324</v>
      </c>
      <c r="M9" s="83"/>
    </row>
    <row r="10" spans="1:13">
      <c r="C10" t="s">
        <v>686</v>
      </c>
      <c r="H10" s="90">
        <v>131407</v>
      </c>
      <c r="I10" s="83"/>
      <c r="J10" s="83">
        <f>SUM(H10:I10)</f>
        <v>131407</v>
      </c>
      <c r="K10" s="83">
        <v>9680596</v>
      </c>
      <c r="L10" s="83">
        <f>SUM(J10:K10)</f>
        <v>9812003</v>
      </c>
      <c r="M10" s="83"/>
    </row>
    <row r="11" spans="1:13">
      <c r="C11" t="s">
        <v>52</v>
      </c>
      <c r="H11" s="83"/>
      <c r="I11" s="83"/>
      <c r="J11" s="83">
        <f>SUM(H11:I11)</f>
        <v>0</v>
      </c>
      <c r="K11" s="83">
        <v>1888309</v>
      </c>
      <c r="L11" s="83">
        <f>SUM(J11:K11)</f>
        <v>1888309</v>
      </c>
      <c r="M11" s="83"/>
    </row>
    <row r="12" spans="1:13">
      <c r="C12" t="s">
        <v>125</v>
      </c>
      <c r="H12" s="79">
        <v>186111</v>
      </c>
      <c r="I12" s="83"/>
      <c r="J12" s="83">
        <f>SUM(H12:I12)</f>
        <v>186111</v>
      </c>
      <c r="K12" s="83">
        <v>817946</v>
      </c>
      <c r="L12" s="83">
        <f>SUM(J12:K12)</f>
        <v>1004057</v>
      </c>
      <c r="M12" s="83"/>
    </row>
    <row r="13" spans="1:13">
      <c r="C13" t="s">
        <v>78</v>
      </c>
      <c r="H13" s="79">
        <v>10194191</v>
      </c>
      <c r="I13" s="83">
        <v>4516298</v>
      </c>
      <c r="J13" s="83">
        <f t="shared" si="0"/>
        <v>14710489</v>
      </c>
      <c r="K13" s="83">
        <v>3490696</v>
      </c>
      <c r="L13" s="83">
        <f t="shared" si="1"/>
        <v>18201185</v>
      </c>
      <c r="M13" s="83"/>
    </row>
    <row r="14" spans="1:13">
      <c r="C14" t="s">
        <v>109</v>
      </c>
      <c r="H14" s="79">
        <v>16586</v>
      </c>
      <c r="I14" s="83">
        <v>13159</v>
      </c>
      <c r="J14" s="83">
        <f t="shared" si="0"/>
        <v>29745</v>
      </c>
      <c r="K14" s="83">
        <v>29283</v>
      </c>
      <c r="L14" s="83">
        <f t="shared" si="1"/>
        <v>59028</v>
      </c>
      <c r="M14" s="83"/>
    </row>
    <row r="15" spans="1:13">
      <c r="C15" t="s">
        <v>14</v>
      </c>
      <c r="J15" s="83"/>
      <c r="L15" s="83">
        <f t="shared" si="1"/>
        <v>0</v>
      </c>
      <c r="M15" s="83"/>
    </row>
    <row r="16" spans="1:13">
      <c r="D16" t="s">
        <v>687</v>
      </c>
      <c r="H16" s="238">
        <v>112993238</v>
      </c>
      <c r="I16" s="83">
        <v>1247397</v>
      </c>
      <c r="J16" s="83">
        <f t="shared" si="0"/>
        <v>114240635</v>
      </c>
      <c r="K16" s="83">
        <v>12528675</v>
      </c>
      <c r="L16" s="83">
        <f t="shared" si="1"/>
        <v>126769310</v>
      </c>
      <c r="M16" s="83"/>
    </row>
    <row r="17" spans="1:13">
      <c r="D17" t="s">
        <v>179</v>
      </c>
      <c r="H17" s="239">
        <v>352355855</v>
      </c>
      <c r="I17" s="83">
        <v>36149330</v>
      </c>
      <c r="J17" s="83">
        <f t="shared" si="0"/>
        <v>388505185</v>
      </c>
      <c r="K17" s="83">
        <v>75153666</v>
      </c>
      <c r="L17" s="83">
        <f t="shared" si="1"/>
        <v>463658851</v>
      </c>
      <c r="M17" s="83"/>
    </row>
    <row r="18" spans="1:13">
      <c r="H18" s="83"/>
      <c r="I18" s="81"/>
      <c r="J18" s="81"/>
      <c r="K18" s="81"/>
      <c r="L18" s="81"/>
      <c r="M18" s="83"/>
    </row>
    <row r="19" spans="1:13" s="5" customFormat="1">
      <c r="C19" s="6" t="s">
        <v>17</v>
      </c>
      <c r="D19" s="6"/>
      <c r="E19" s="6"/>
      <c r="F19" s="6"/>
      <c r="G19" s="6"/>
      <c r="H19" s="82">
        <f>SUM(H7:H17)</f>
        <v>719560731</v>
      </c>
      <c r="I19" s="82">
        <f t="shared" ref="I19:L19" si="2">SUM(I7:I17)</f>
        <v>57531137</v>
      </c>
      <c r="J19" s="82">
        <f t="shared" si="2"/>
        <v>777091868</v>
      </c>
      <c r="K19" s="82">
        <f t="shared" si="2"/>
        <v>225199788</v>
      </c>
      <c r="L19" s="82">
        <f t="shared" si="2"/>
        <v>1002291656</v>
      </c>
      <c r="M19" s="100"/>
    </row>
    <row r="20" spans="1:13">
      <c r="H20" s="83"/>
      <c r="I20" s="83"/>
      <c r="J20" s="83"/>
      <c r="K20" s="83"/>
      <c r="L20" s="83"/>
      <c r="M20" s="83"/>
    </row>
    <row r="21" spans="1:13" s="5" customFormat="1">
      <c r="A21" s="5" t="s">
        <v>18</v>
      </c>
      <c r="H21" s="100"/>
      <c r="I21" s="100"/>
      <c r="J21" s="100"/>
      <c r="K21" s="100"/>
      <c r="L21" s="100"/>
      <c r="M21" s="100"/>
    </row>
    <row r="22" spans="1:13">
      <c r="B22" t="s">
        <v>672</v>
      </c>
      <c r="H22" s="83">
        <v>4354773</v>
      </c>
      <c r="I22" s="83"/>
      <c r="J22" s="83">
        <f>SUM(H22:I22)</f>
        <v>4354773</v>
      </c>
      <c r="K22" s="83">
        <v>150613</v>
      </c>
      <c r="L22" s="83">
        <f>SUM(J22:K22)</f>
        <v>4505386</v>
      </c>
      <c r="M22" s="83"/>
    </row>
    <row r="23" spans="1:13">
      <c r="B23" t="s">
        <v>673</v>
      </c>
      <c r="H23" s="83">
        <v>5253107</v>
      </c>
      <c r="I23" s="83">
        <v>383334</v>
      </c>
      <c r="J23" s="83">
        <f>SUM(H23:I23)</f>
        <v>5636441</v>
      </c>
      <c r="K23" s="83">
        <v>15477120</v>
      </c>
      <c r="L23" s="83">
        <f>SUM(J23:K23)</f>
        <v>21113561</v>
      </c>
      <c r="M23" s="83"/>
    </row>
    <row r="24" spans="1:13" s="5" customFormat="1">
      <c r="C24" s="5" t="s">
        <v>111</v>
      </c>
      <c r="H24" s="166">
        <f>SUM(H22:H23)</f>
        <v>9607880</v>
      </c>
      <c r="I24" s="166">
        <f t="shared" ref="I24:L24" si="3">SUM(I22:I23)</f>
        <v>383334</v>
      </c>
      <c r="J24" s="166">
        <f t="shared" si="3"/>
        <v>9991214</v>
      </c>
      <c r="K24" s="166">
        <f t="shared" si="3"/>
        <v>15627733</v>
      </c>
      <c r="L24" s="166">
        <f t="shared" si="3"/>
        <v>25618947</v>
      </c>
      <c r="M24" s="100"/>
    </row>
    <row r="25" spans="1:13">
      <c r="H25" s="83"/>
      <c r="I25" s="83"/>
      <c r="J25" s="83"/>
      <c r="K25" s="83"/>
      <c r="L25" s="83"/>
      <c r="M25" s="83"/>
    </row>
    <row r="26" spans="1:13">
      <c r="A26" s="5" t="s">
        <v>22</v>
      </c>
      <c r="H26" s="83"/>
      <c r="I26" s="83"/>
      <c r="J26" s="83"/>
      <c r="K26" s="83"/>
      <c r="L26" s="83"/>
      <c r="M26" s="83"/>
    </row>
    <row r="27" spans="1:13">
      <c r="C27" t="s">
        <v>471</v>
      </c>
      <c r="H27" s="84">
        <v>19577482</v>
      </c>
      <c r="I27" s="83">
        <v>726832</v>
      </c>
      <c r="J27" s="83">
        <f t="shared" ref="J27:J35" si="4">SUM(H27:I27)</f>
        <v>20304314</v>
      </c>
      <c r="K27" s="83">
        <v>4318390</v>
      </c>
      <c r="L27" s="83">
        <f t="shared" ref="L27:L35" si="5">SUM(J27:K27)</f>
        <v>24622704</v>
      </c>
      <c r="M27" s="83"/>
    </row>
    <row r="28" spans="1:13">
      <c r="C28" t="s">
        <v>676</v>
      </c>
      <c r="H28" s="83"/>
      <c r="I28" s="83"/>
      <c r="J28" s="83">
        <f>SUM(H28:I28)</f>
        <v>0</v>
      </c>
      <c r="K28" s="83">
        <v>143511</v>
      </c>
      <c r="L28" s="83">
        <f>SUM(J28:K28)</f>
        <v>143511</v>
      </c>
      <c r="M28" s="83"/>
    </row>
    <row r="29" spans="1:13">
      <c r="C29" t="s">
        <v>688</v>
      </c>
      <c r="H29" s="84">
        <v>9598702</v>
      </c>
      <c r="I29" s="83"/>
      <c r="J29" s="83">
        <f t="shared" si="4"/>
        <v>9598702</v>
      </c>
      <c r="K29" s="83">
        <v>213301</v>
      </c>
      <c r="L29" s="83">
        <f t="shared" si="5"/>
        <v>9812003</v>
      </c>
      <c r="M29" s="83"/>
    </row>
    <row r="30" spans="1:13">
      <c r="C30" t="s">
        <v>331</v>
      </c>
      <c r="H30" s="79">
        <v>4342746</v>
      </c>
      <c r="I30" s="83"/>
      <c r="J30" s="83">
        <f t="shared" si="4"/>
        <v>4342746</v>
      </c>
      <c r="K30" s="83">
        <v>536050</v>
      </c>
      <c r="L30" s="83">
        <f t="shared" si="5"/>
        <v>4878796</v>
      </c>
      <c r="M30" s="83"/>
    </row>
    <row r="31" spans="1:13">
      <c r="C31" t="s">
        <v>117</v>
      </c>
      <c r="H31" s="79">
        <v>2397283</v>
      </c>
      <c r="I31" s="83">
        <v>1382383</v>
      </c>
      <c r="J31" s="83">
        <f t="shared" si="4"/>
        <v>3779666</v>
      </c>
      <c r="K31" s="83">
        <v>51423</v>
      </c>
      <c r="L31" s="83">
        <f t="shared" si="5"/>
        <v>3831089</v>
      </c>
      <c r="M31" s="83"/>
    </row>
    <row r="32" spans="1:13">
      <c r="C32" t="s">
        <v>145</v>
      </c>
      <c r="H32" s="84">
        <v>493442</v>
      </c>
      <c r="I32" s="83">
        <v>813809</v>
      </c>
      <c r="J32" s="83">
        <f t="shared" si="4"/>
        <v>1307251</v>
      </c>
      <c r="K32" s="83">
        <v>499313</v>
      </c>
      <c r="L32" s="83">
        <f t="shared" si="5"/>
        <v>1806564</v>
      </c>
      <c r="M32" s="83"/>
    </row>
    <row r="33" spans="1:13">
      <c r="B33" t="s">
        <v>166</v>
      </c>
      <c r="H33" s="83"/>
      <c r="I33" s="83"/>
      <c r="J33" s="83">
        <f t="shared" si="4"/>
        <v>0</v>
      </c>
      <c r="K33" s="83"/>
      <c r="L33" s="83">
        <f t="shared" si="5"/>
        <v>0</v>
      </c>
      <c r="M33" s="83"/>
    </row>
    <row r="34" spans="1:13">
      <c r="C34" t="s">
        <v>689</v>
      </c>
      <c r="H34" s="151">
        <v>8460000</v>
      </c>
      <c r="I34" s="83">
        <v>745000</v>
      </c>
      <c r="J34" s="83">
        <f t="shared" si="4"/>
        <v>9205000</v>
      </c>
      <c r="K34" s="83">
        <v>5124743</v>
      </c>
      <c r="L34" s="83">
        <f t="shared" si="5"/>
        <v>14329743</v>
      </c>
      <c r="M34" s="83"/>
    </row>
    <row r="35" spans="1:13">
      <c r="C35" t="s">
        <v>93</v>
      </c>
      <c r="H35" s="152">
        <v>85196482</v>
      </c>
      <c r="I35" s="83">
        <v>40034585</v>
      </c>
      <c r="J35" s="83">
        <f t="shared" si="4"/>
        <v>125231067</v>
      </c>
      <c r="K35" s="83">
        <v>92826870</v>
      </c>
      <c r="L35" s="83">
        <f t="shared" si="5"/>
        <v>218057937</v>
      </c>
      <c r="M35" s="83"/>
    </row>
    <row r="36" spans="1:13">
      <c r="H36" s="83"/>
      <c r="I36" s="83"/>
      <c r="J36" s="83"/>
      <c r="K36" s="83"/>
      <c r="L36" s="83"/>
      <c r="M36" s="83"/>
    </row>
    <row r="37" spans="1:13" s="5" customFormat="1">
      <c r="D37" s="7" t="s">
        <v>36</v>
      </c>
      <c r="E37" s="7"/>
      <c r="F37" s="7"/>
      <c r="G37" s="7"/>
      <c r="H37" s="87">
        <f>SUM(H27:H35)</f>
        <v>130066137</v>
      </c>
      <c r="I37" s="87">
        <f t="shared" ref="I37:L37" si="6">SUM(I27:I35)</f>
        <v>43702609</v>
      </c>
      <c r="J37" s="87">
        <f t="shared" si="6"/>
        <v>173768746</v>
      </c>
      <c r="K37" s="87">
        <f t="shared" si="6"/>
        <v>103713601</v>
      </c>
      <c r="L37" s="87">
        <f t="shared" si="6"/>
        <v>277482347</v>
      </c>
      <c r="M37" s="100"/>
    </row>
    <row r="38" spans="1:13" s="5" customFormat="1">
      <c r="H38" s="100"/>
      <c r="I38" s="100"/>
      <c r="J38" s="100"/>
      <c r="K38" s="100"/>
      <c r="L38" s="100"/>
      <c r="M38" s="100"/>
    </row>
    <row r="39" spans="1:13" s="5" customFormat="1">
      <c r="A39" s="5" t="s">
        <v>37</v>
      </c>
      <c r="H39" s="100"/>
      <c r="I39" s="100"/>
      <c r="J39" s="100"/>
      <c r="K39" s="100"/>
      <c r="L39" s="100"/>
      <c r="M39" s="100"/>
    </row>
    <row r="40" spans="1:13" s="5" customFormat="1">
      <c r="B40" t="s">
        <v>673</v>
      </c>
      <c r="H40" s="100">
        <v>442573</v>
      </c>
      <c r="I40" s="100">
        <v>32296</v>
      </c>
      <c r="J40" s="100">
        <f>SUM(H40:I40)</f>
        <v>474869</v>
      </c>
      <c r="K40" s="100">
        <v>5627501</v>
      </c>
      <c r="L40" s="100">
        <f>SUM(J40:K40)</f>
        <v>6102370</v>
      </c>
      <c r="M40" s="100"/>
    </row>
    <row r="41" spans="1:13" s="5" customFormat="1">
      <c r="D41" s="5" t="s">
        <v>98</v>
      </c>
      <c r="H41" s="166"/>
      <c r="I41" s="166"/>
      <c r="J41" s="166"/>
      <c r="K41" s="166"/>
      <c r="L41" s="166"/>
      <c r="M41" s="100"/>
    </row>
    <row r="42" spans="1:13">
      <c r="H42" s="83"/>
      <c r="I42" s="83"/>
      <c r="J42" s="83"/>
      <c r="K42" s="83"/>
      <c r="L42" s="83"/>
      <c r="M42" s="83"/>
    </row>
    <row r="43" spans="1:13">
      <c r="A43" s="3" t="s">
        <v>39</v>
      </c>
      <c r="H43" s="83"/>
      <c r="I43" s="83"/>
      <c r="J43" s="83"/>
      <c r="K43" s="83"/>
      <c r="L43" s="83"/>
      <c r="M43" s="83"/>
    </row>
    <row r="44" spans="1:13">
      <c r="A44" s="3"/>
      <c r="B44" t="s">
        <v>690</v>
      </c>
      <c r="H44" s="150">
        <v>391686503</v>
      </c>
      <c r="I44" s="83">
        <v>-3303860</v>
      </c>
      <c r="J44" s="83">
        <f>SUM(H44:I44)</f>
        <v>388382643</v>
      </c>
      <c r="K44" s="83">
        <v>52509148</v>
      </c>
      <c r="L44" s="83">
        <f>SUM(J44:K44)</f>
        <v>440891791</v>
      </c>
      <c r="M44" s="83"/>
    </row>
    <row r="45" spans="1:13">
      <c r="B45" t="s">
        <v>41</v>
      </c>
      <c r="H45" s="83"/>
      <c r="I45" s="83"/>
      <c r="J45" s="83">
        <f t="shared" ref="J45:J55" si="7">SUM(H45:I45)</f>
        <v>0</v>
      </c>
      <c r="K45" s="83"/>
      <c r="L45" s="83">
        <f t="shared" ref="L45:L55" si="8">SUM(J45:K45)</f>
        <v>0</v>
      </c>
      <c r="M45" s="83"/>
    </row>
    <row r="46" spans="1:13">
      <c r="C46" t="s">
        <v>684</v>
      </c>
      <c r="H46" s="89">
        <v>11574912</v>
      </c>
      <c r="I46" s="83">
        <v>774807</v>
      </c>
      <c r="J46" s="83">
        <f t="shared" si="7"/>
        <v>12349719</v>
      </c>
      <c r="K46" s="83"/>
      <c r="L46" s="83">
        <f t="shared" si="8"/>
        <v>12349719</v>
      </c>
      <c r="M46" s="83"/>
    </row>
    <row r="47" spans="1:13">
      <c r="C47" t="s">
        <v>147</v>
      </c>
      <c r="H47" s="89">
        <v>300716</v>
      </c>
      <c r="I47" s="83"/>
      <c r="J47" s="83">
        <f t="shared" si="7"/>
        <v>300716</v>
      </c>
      <c r="K47" s="83"/>
      <c r="L47" s="83">
        <f t="shared" si="8"/>
        <v>300716</v>
      </c>
      <c r="M47" s="83"/>
    </row>
    <row r="48" spans="1:13">
      <c r="C48" t="s">
        <v>42</v>
      </c>
      <c r="H48" s="89">
        <v>10462496</v>
      </c>
      <c r="I48" s="83">
        <v>3741460</v>
      </c>
      <c r="J48" s="83">
        <f t="shared" si="7"/>
        <v>14203956</v>
      </c>
      <c r="K48" s="83">
        <v>4334117</v>
      </c>
      <c r="L48" s="83">
        <f t="shared" si="8"/>
        <v>18538073</v>
      </c>
      <c r="M48" s="83"/>
    </row>
    <row r="49" spans="2:13">
      <c r="C49" t="s">
        <v>172</v>
      </c>
      <c r="H49" s="89">
        <v>543586</v>
      </c>
      <c r="I49" s="83"/>
      <c r="J49" s="83">
        <f t="shared" si="7"/>
        <v>543586</v>
      </c>
      <c r="K49" s="83"/>
      <c r="L49" s="83">
        <f t="shared" si="8"/>
        <v>543586</v>
      </c>
      <c r="M49" s="83"/>
    </row>
    <row r="50" spans="2:13">
      <c r="C50" t="s">
        <v>102</v>
      </c>
      <c r="H50" s="89">
        <v>7356828</v>
      </c>
      <c r="I50" s="83"/>
      <c r="J50" s="83">
        <f t="shared" si="7"/>
        <v>7356828</v>
      </c>
      <c r="K50" s="83"/>
      <c r="L50" s="83">
        <f t="shared" si="8"/>
        <v>7356828</v>
      </c>
      <c r="M50" s="83"/>
    </row>
    <row r="51" spans="2:13">
      <c r="C51" t="s">
        <v>691</v>
      </c>
      <c r="H51" s="89">
        <v>12864836</v>
      </c>
      <c r="I51" s="83"/>
      <c r="J51" s="83">
        <f t="shared" si="7"/>
        <v>12864836</v>
      </c>
      <c r="K51" s="83"/>
      <c r="L51" s="83">
        <f t="shared" si="8"/>
        <v>12864836</v>
      </c>
      <c r="M51" s="83"/>
    </row>
    <row r="52" spans="2:13">
      <c r="C52" t="s">
        <v>692</v>
      </c>
      <c r="H52" s="89">
        <v>4749320</v>
      </c>
      <c r="I52" s="83"/>
      <c r="J52" s="83">
        <f t="shared" si="7"/>
        <v>4749320</v>
      </c>
      <c r="K52" s="83"/>
      <c r="L52" s="83">
        <f t="shared" si="8"/>
        <v>4749320</v>
      </c>
      <c r="M52" s="83"/>
    </row>
    <row r="53" spans="2:13">
      <c r="C53" t="s">
        <v>101</v>
      </c>
      <c r="H53" s="89">
        <v>13840913</v>
      </c>
      <c r="I53" s="83"/>
      <c r="J53" s="83">
        <f t="shared" si="7"/>
        <v>13840913</v>
      </c>
      <c r="K53" s="83"/>
      <c r="L53" s="83">
        <f t="shared" si="8"/>
        <v>13840913</v>
      </c>
      <c r="M53" s="83"/>
    </row>
    <row r="54" spans="2:13">
      <c r="C54" t="s">
        <v>693</v>
      </c>
      <c r="H54" s="89">
        <v>90851013</v>
      </c>
      <c r="I54" s="83"/>
      <c r="J54" s="83">
        <f t="shared" si="7"/>
        <v>90851013</v>
      </c>
      <c r="K54" s="83"/>
      <c r="L54" s="83">
        <f t="shared" si="8"/>
        <v>90851013</v>
      </c>
      <c r="M54" s="83"/>
    </row>
    <row r="55" spans="2:13">
      <c r="C55" t="s">
        <v>415</v>
      </c>
      <c r="H55" s="89">
        <v>16245</v>
      </c>
      <c r="I55" s="83"/>
      <c r="J55" s="83">
        <f t="shared" si="7"/>
        <v>16245</v>
      </c>
      <c r="K55" s="83"/>
      <c r="L55" s="83">
        <f t="shared" si="8"/>
        <v>16245</v>
      </c>
      <c r="M55" s="83"/>
    </row>
    <row r="56" spans="2:13">
      <c r="B56" t="s">
        <v>45</v>
      </c>
      <c r="H56" s="93">
        <v>54412533</v>
      </c>
      <c r="I56" s="83">
        <v>12967159</v>
      </c>
      <c r="J56" s="83">
        <f t="shared" ref="J56" si="9">SUM(H56:I56)</f>
        <v>67379692</v>
      </c>
      <c r="K56" s="83">
        <v>74643154</v>
      </c>
      <c r="L56" s="83">
        <f t="shared" ref="L56" si="10">SUM(J56:K56)</f>
        <v>142022846</v>
      </c>
      <c r="M56" s="83"/>
    </row>
    <row r="57" spans="2:13">
      <c r="H57" s="81"/>
      <c r="I57" s="81"/>
      <c r="J57" s="81"/>
      <c r="K57" s="81"/>
      <c r="L57" s="81">
        <f>'St. Tammany'!S1</f>
        <v>0</v>
      </c>
      <c r="M57" s="83"/>
    </row>
    <row r="58" spans="2:13" s="3" customFormat="1">
      <c r="C58" s="9" t="s">
        <v>46</v>
      </c>
      <c r="D58" s="9"/>
      <c r="E58" s="9"/>
      <c r="F58" s="9"/>
      <c r="G58" s="9"/>
      <c r="H58" s="94">
        <f>SUM(H44:H56)</f>
        <v>598659901</v>
      </c>
      <c r="I58" s="94">
        <f t="shared" ref="I58:K58" si="11">SUM(I44:I56)</f>
        <v>14179566</v>
      </c>
      <c r="J58" s="94">
        <f t="shared" si="11"/>
        <v>612839467</v>
      </c>
      <c r="K58" s="94">
        <f t="shared" si="11"/>
        <v>131486419</v>
      </c>
      <c r="L58" s="94">
        <f>SUM(L44:L57)</f>
        <v>744325886</v>
      </c>
      <c r="M58" s="101"/>
    </row>
    <row r="59" spans="2:13">
      <c r="H59" s="83"/>
      <c r="I59" s="83"/>
      <c r="J59" s="83"/>
      <c r="K59" s="83"/>
      <c r="L59" s="83"/>
      <c r="M59" s="83"/>
    </row>
    <row r="60" spans="2:13">
      <c r="C60" s="10" t="s">
        <v>47</v>
      </c>
      <c r="D60" s="10"/>
      <c r="E60" s="10"/>
      <c r="F60" s="216"/>
      <c r="G60" s="216"/>
      <c r="H60" s="216">
        <f>H58+H37+H40</f>
        <v>729168611</v>
      </c>
      <c r="I60" s="216">
        <f t="shared" ref="I60:L60" si="12">I58+I37+I40</f>
        <v>57914471</v>
      </c>
      <c r="J60" s="216">
        <f t="shared" si="12"/>
        <v>787083082</v>
      </c>
      <c r="K60" s="216">
        <f t="shared" si="12"/>
        <v>240827521</v>
      </c>
      <c r="L60" s="216">
        <f t="shared" si="12"/>
        <v>1027910603</v>
      </c>
      <c r="M60" s="83"/>
    </row>
    <row r="61" spans="2:13">
      <c r="H61" s="83"/>
      <c r="I61" s="83"/>
      <c r="J61" s="83"/>
      <c r="K61" s="83"/>
      <c r="L61" s="83"/>
      <c r="M61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47"/>
  <sheetViews>
    <sheetView zoomScale="80" zoomScaleNormal="80" zoomScalePageLayoutView="80" workbookViewId="0">
      <selection activeCell="H31" sqref="H31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6.7109375" bestFit="1" customWidth="1"/>
  </cols>
  <sheetData>
    <row r="1" spans="1:9" ht="18.600000000000001">
      <c r="A1" s="1"/>
      <c r="B1" s="1"/>
      <c r="C1" s="1"/>
      <c r="D1" s="272" t="s">
        <v>694</v>
      </c>
      <c r="E1" s="272"/>
      <c r="F1" s="272"/>
      <c r="G1" s="272"/>
      <c r="H1" s="272"/>
    </row>
    <row r="2" spans="1:9" ht="18.600000000000001">
      <c r="A2" s="1"/>
      <c r="B2" s="1"/>
      <c r="C2" s="1"/>
      <c r="D2" s="271" t="s">
        <v>1</v>
      </c>
      <c r="E2" s="271"/>
      <c r="F2" s="271"/>
      <c r="G2" s="271"/>
      <c r="H2" s="271"/>
    </row>
    <row r="4" spans="1:9" ht="29.1">
      <c r="H4" s="267" t="s">
        <v>2</v>
      </c>
      <c r="I4" s="173" t="s">
        <v>108</v>
      </c>
    </row>
    <row r="5" spans="1:9" ht="29.1">
      <c r="H5" s="105" t="s">
        <v>3</v>
      </c>
      <c r="I5" s="105" t="s">
        <v>3</v>
      </c>
    </row>
    <row r="6" spans="1:9">
      <c r="A6" s="3" t="s">
        <v>5</v>
      </c>
      <c r="D6" s="3"/>
      <c r="G6" s="4"/>
      <c r="H6" s="4"/>
    </row>
    <row r="7" spans="1:9">
      <c r="C7" t="s">
        <v>7</v>
      </c>
      <c r="H7" s="77">
        <v>19337786</v>
      </c>
      <c r="I7">
        <v>6159362</v>
      </c>
    </row>
    <row r="8" spans="1:9">
      <c r="C8" t="s">
        <v>695</v>
      </c>
      <c r="H8" s="83"/>
      <c r="I8">
        <v>468057</v>
      </c>
    </row>
    <row r="9" spans="1:9">
      <c r="C9" t="s">
        <v>696</v>
      </c>
      <c r="H9" s="78">
        <v>10441900</v>
      </c>
      <c r="I9">
        <v>6298508</v>
      </c>
    </row>
    <row r="10" spans="1:9">
      <c r="C10" t="s">
        <v>51</v>
      </c>
      <c r="H10" s="90">
        <v>330751</v>
      </c>
    </row>
    <row r="11" spans="1:9">
      <c r="C11" t="s">
        <v>697</v>
      </c>
      <c r="H11" s="79">
        <v>1011547</v>
      </c>
    </row>
    <row r="12" spans="1:9">
      <c r="C12" t="s">
        <v>698</v>
      </c>
      <c r="H12" s="83"/>
      <c r="I12">
        <v>51144</v>
      </c>
    </row>
    <row r="13" spans="1:9">
      <c r="C13" t="s">
        <v>319</v>
      </c>
      <c r="H13" s="80">
        <v>181095010</v>
      </c>
      <c r="I13">
        <v>9382514</v>
      </c>
    </row>
    <row r="14" spans="1:9">
      <c r="H14" s="81"/>
      <c r="I14" s="125"/>
    </row>
    <row r="15" spans="1:9">
      <c r="C15" s="6" t="s">
        <v>17</v>
      </c>
      <c r="D15" s="168"/>
      <c r="E15" s="168"/>
      <c r="F15" s="168"/>
      <c r="G15" s="168"/>
      <c r="H15" s="82">
        <f>SUM(H7:H13)</f>
        <v>212216994</v>
      </c>
      <c r="I15" s="82">
        <f>SUM(I7:I13)</f>
        <v>22359585</v>
      </c>
    </row>
    <row r="16" spans="1:9">
      <c r="H16" s="83"/>
    </row>
    <row r="17" spans="1:9">
      <c r="A17" s="5" t="s">
        <v>699</v>
      </c>
      <c r="B17" s="5"/>
      <c r="C17" s="5"/>
      <c r="D17" s="5"/>
      <c r="E17" s="5"/>
      <c r="F17" s="5"/>
      <c r="H17" s="122">
        <v>2373098</v>
      </c>
      <c r="I17" s="159"/>
    </row>
    <row r="18" spans="1:9">
      <c r="H18" s="83"/>
    </row>
    <row r="19" spans="1:9">
      <c r="A19" s="5" t="s">
        <v>22</v>
      </c>
      <c r="H19" s="83"/>
    </row>
    <row r="20" spans="1:9">
      <c r="C20" t="s">
        <v>144</v>
      </c>
      <c r="H20" s="84">
        <v>2905922</v>
      </c>
      <c r="I20">
        <v>448624</v>
      </c>
    </row>
    <row r="21" spans="1:9">
      <c r="C21" t="s">
        <v>700</v>
      </c>
      <c r="H21" s="218"/>
      <c r="I21">
        <v>59615</v>
      </c>
    </row>
    <row r="22" spans="1:9">
      <c r="C22" t="s">
        <v>87</v>
      </c>
      <c r="H22" s="96">
        <v>439705</v>
      </c>
      <c r="I22">
        <v>9032</v>
      </c>
    </row>
    <row r="23" spans="1:9">
      <c r="C23" t="s">
        <v>701</v>
      </c>
      <c r="H23" s="83"/>
      <c r="I23">
        <v>1241398</v>
      </c>
    </row>
    <row r="24" spans="1:9">
      <c r="C24" t="s">
        <v>187</v>
      </c>
      <c r="H24" s="83"/>
    </row>
    <row r="25" spans="1:9">
      <c r="D25" t="s">
        <v>92</v>
      </c>
      <c r="H25" s="92">
        <v>105000</v>
      </c>
      <c r="I25">
        <v>243944</v>
      </c>
    </row>
    <row r="26" spans="1:9">
      <c r="D26" t="s">
        <v>93</v>
      </c>
      <c r="H26" s="77">
        <v>9146186</v>
      </c>
      <c r="I26">
        <v>66982</v>
      </c>
    </row>
    <row r="27" spans="1:9">
      <c r="D27" t="s">
        <v>702</v>
      </c>
      <c r="H27" s="79">
        <v>1877091</v>
      </c>
    </row>
    <row r="28" spans="1:9">
      <c r="D28" t="s">
        <v>703</v>
      </c>
      <c r="H28" s="79">
        <v>460676</v>
      </c>
    </row>
    <row r="29" spans="1:9">
      <c r="H29" s="81"/>
      <c r="I29" s="125"/>
    </row>
    <row r="30" spans="1:9">
      <c r="D30" s="7" t="s">
        <v>36</v>
      </c>
      <c r="E30" s="8"/>
      <c r="F30" s="8"/>
      <c r="G30" s="8"/>
      <c r="H30" s="87">
        <f>SUM(H20:H28)</f>
        <v>14934580</v>
      </c>
      <c r="I30" s="87">
        <f>SUM(I20:I28)</f>
        <v>2069595</v>
      </c>
    </row>
    <row r="31" spans="1:9">
      <c r="H31" s="83"/>
    </row>
    <row r="32" spans="1:9">
      <c r="A32" s="5" t="s">
        <v>704</v>
      </c>
      <c r="B32" s="5"/>
      <c r="C32" s="5"/>
      <c r="D32" s="5"/>
      <c r="E32" s="5"/>
      <c r="F32" s="5"/>
      <c r="H32" s="83"/>
    </row>
    <row r="33" spans="1:9">
      <c r="C33" t="s">
        <v>380</v>
      </c>
      <c r="H33" s="83">
        <v>7500</v>
      </c>
    </row>
    <row r="34" spans="1:9">
      <c r="C34" t="s">
        <v>705</v>
      </c>
      <c r="H34" s="83">
        <v>216788</v>
      </c>
    </row>
    <row r="35" spans="1:9">
      <c r="H35" s="81"/>
      <c r="I35" s="125"/>
    </row>
    <row r="36" spans="1:9" s="3" customFormat="1">
      <c r="C36" s="169" t="s">
        <v>706</v>
      </c>
      <c r="D36" s="169"/>
      <c r="E36" s="169"/>
      <c r="F36" s="169"/>
      <c r="G36" s="169"/>
      <c r="H36" s="170">
        <f>SUM(H33:H34)</f>
        <v>224288</v>
      </c>
      <c r="I36" s="170">
        <f>SUM(I33:I34)</f>
        <v>0</v>
      </c>
    </row>
    <row r="37" spans="1:9">
      <c r="H37" s="83"/>
    </row>
    <row r="38" spans="1:9">
      <c r="A38" s="3" t="s">
        <v>39</v>
      </c>
      <c r="H38" s="83"/>
    </row>
    <row r="39" spans="1:9">
      <c r="B39" t="s">
        <v>40</v>
      </c>
      <c r="H39" s="88">
        <v>178715010</v>
      </c>
      <c r="I39">
        <v>9071588</v>
      </c>
    </row>
    <row r="40" spans="1:9">
      <c r="B40" t="s">
        <v>41</v>
      </c>
      <c r="H40" s="83"/>
    </row>
    <row r="41" spans="1:9">
      <c r="C41" t="s">
        <v>707</v>
      </c>
      <c r="H41" s="89">
        <v>286243</v>
      </c>
    </row>
    <row r="42" spans="1:9">
      <c r="C42" t="s">
        <v>44</v>
      </c>
      <c r="H42" s="89">
        <v>981887</v>
      </c>
      <c r="I42">
        <v>11218402</v>
      </c>
    </row>
    <row r="43" spans="1:9">
      <c r="B43" t="s">
        <v>45</v>
      </c>
      <c r="H43" s="171">
        <v>19448084</v>
      </c>
    </row>
    <row r="44" spans="1:9">
      <c r="H44" s="83"/>
      <c r="I44" s="125"/>
    </row>
    <row r="45" spans="1:9" s="3" customFormat="1">
      <c r="C45" s="9" t="s">
        <v>46</v>
      </c>
      <c r="D45" s="9"/>
      <c r="E45" s="9"/>
      <c r="F45" s="9"/>
      <c r="G45" s="9"/>
      <c r="H45" s="172">
        <f>SUM(H39:H43)</f>
        <v>199431224</v>
      </c>
      <c r="I45" s="172">
        <f>SUM(I39:I43)</f>
        <v>20289990</v>
      </c>
    </row>
    <row r="46" spans="1:9">
      <c r="H46" s="83"/>
    </row>
    <row r="47" spans="1:9">
      <c r="C47" s="10" t="s">
        <v>47</v>
      </c>
      <c r="D47" s="10"/>
      <c r="E47" s="10"/>
      <c r="F47" s="216"/>
      <c r="G47" s="216"/>
      <c r="H47" s="216">
        <f>H45+H30+H36</f>
        <v>214590092</v>
      </c>
      <c r="I47" s="216">
        <f>I45+I30+I36</f>
        <v>22359585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38"/>
  <sheetViews>
    <sheetView workbookViewId="0">
      <selection activeCell="E19" sqref="E19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708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1759690</v>
      </c>
    </row>
    <row r="7" spans="1:7">
      <c r="B7" t="s">
        <v>50</v>
      </c>
      <c r="G7" s="78">
        <v>1094058</v>
      </c>
    </row>
    <row r="8" spans="1:7">
      <c r="B8" t="s">
        <v>709</v>
      </c>
      <c r="G8" s="83"/>
    </row>
    <row r="9" spans="1:7">
      <c r="C9" t="s">
        <v>710</v>
      </c>
      <c r="G9" s="79">
        <v>1024913</v>
      </c>
    </row>
    <row r="10" spans="1:7">
      <c r="B10" t="s">
        <v>78</v>
      </c>
      <c r="G10" s="79">
        <v>21703</v>
      </c>
    </row>
    <row r="11" spans="1:7">
      <c r="B11" t="s">
        <v>127</v>
      </c>
      <c r="G11" s="91">
        <v>8437537</v>
      </c>
    </row>
    <row r="12" spans="1:7">
      <c r="G12" s="83"/>
    </row>
    <row r="13" spans="1:7">
      <c r="A13" s="5"/>
      <c r="B13" s="6" t="s">
        <v>17</v>
      </c>
      <c r="C13" s="6"/>
      <c r="D13" s="6"/>
      <c r="E13" s="6"/>
      <c r="F13" s="6"/>
      <c r="G13" s="82">
        <f>SUM(G6:G11)</f>
        <v>12337901</v>
      </c>
    </row>
    <row r="14" spans="1:7">
      <c r="A14" s="5"/>
      <c r="B14" s="5"/>
      <c r="C14" s="5"/>
      <c r="D14" s="5"/>
      <c r="E14" s="5"/>
      <c r="F14" s="5"/>
      <c r="G14" s="100"/>
    </row>
    <row r="15" spans="1:7">
      <c r="A15" s="5" t="s">
        <v>311</v>
      </c>
      <c r="B15" s="5"/>
      <c r="C15" s="5"/>
      <c r="D15" s="5"/>
      <c r="E15" s="5"/>
      <c r="F15" s="5"/>
      <c r="G15" s="197">
        <v>227905</v>
      </c>
    </row>
    <row r="16" spans="1:7">
      <c r="G16" s="83"/>
    </row>
    <row r="17" spans="1:7">
      <c r="A17" s="5" t="s">
        <v>22</v>
      </c>
      <c r="G17" s="83"/>
    </row>
    <row r="18" spans="1:7">
      <c r="A18" s="5"/>
      <c r="B18" t="s">
        <v>144</v>
      </c>
      <c r="G18" s="84">
        <v>307444</v>
      </c>
    </row>
    <row r="19" spans="1:7">
      <c r="B19" t="s">
        <v>711</v>
      </c>
      <c r="G19" s="96">
        <v>47165</v>
      </c>
    </row>
    <row r="20" spans="1:7">
      <c r="B20" t="s">
        <v>29</v>
      </c>
      <c r="G20" s="83"/>
    </row>
    <row r="21" spans="1:7">
      <c r="C21" t="s">
        <v>92</v>
      </c>
      <c r="G21" s="92">
        <v>68712</v>
      </c>
    </row>
    <row r="22" spans="1:7">
      <c r="C22" t="s">
        <v>93</v>
      </c>
      <c r="G22" s="77">
        <v>1362849</v>
      </c>
    </row>
    <row r="23" spans="1:7">
      <c r="C23" t="s">
        <v>34</v>
      </c>
      <c r="G23" s="79">
        <v>75877</v>
      </c>
    </row>
    <row r="24" spans="1:7">
      <c r="G24" s="81"/>
    </row>
    <row r="25" spans="1:7">
      <c r="C25" s="7" t="s">
        <v>36</v>
      </c>
      <c r="D25" s="8"/>
      <c r="E25" s="8"/>
      <c r="F25" s="8"/>
      <c r="G25" s="87">
        <f>SUM(G18:G23)</f>
        <v>1862047</v>
      </c>
    </row>
    <row r="26" spans="1:7">
      <c r="C26" s="5"/>
      <c r="G26" s="100"/>
    </row>
    <row r="27" spans="1:7" s="5" customFormat="1">
      <c r="A27" s="5" t="s">
        <v>316</v>
      </c>
      <c r="G27" s="197">
        <v>29043</v>
      </c>
    </row>
    <row r="28" spans="1:7">
      <c r="G28" s="83"/>
    </row>
    <row r="29" spans="1:7">
      <c r="A29" s="3" t="s">
        <v>39</v>
      </c>
      <c r="G29" s="83"/>
    </row>
    <row r="30" spans="1:7">
      <c r="B30" t="s">
        <v>119</v>
      </c>
      <c r="G30" s="88">
        <v>7074688</v>
      </c>
    </row>
    <row r="31" spans="1:7">
      <c r="B31" t="s">
        <v>41</v>
      </c>
      <c r="G31" s="83"/>
    </row>
    <row r="32" spans="1:7">
      <c r="C32" t="s">
        <v>42</v>
      </c>
      <c r="G32" s="89">
        <v>21704</v>
      </c>
    </row>
    <row r="33" spans="1:7">
      <c r="C33" t="s">
        <v>378</v>
      </c>
      <c r="G33" s="89">
        <v>989796</v>
      </c>
    </row>
    <row r="34" spans="1:7">
      <c r="B34" t="s">
        <v>45</v>
      </c>
      <c r="G34" s="93">
        <v>2588528</v>
      </c>
    </row>
    <row r="35" spans="1:7">
      <c r="G35" s="81"/>
    </row>
    <row r="36" spans="1:7">
      <c r="A36" s="3"/>
      <c r="B36" s="9" t="s">
        <v>46</v>
      </c>
      <c r="C36" s="9"/>
      <c r="D36" s="9"/>
      <c r="E36" s="9"/>
      <c r="F36" s="9"/>
      <c r="G36" s="94">
        <f>SUM(G30:G34)</f>
        <v>10674716</v>
      </c>
    </row>
    <row r="37" spans="1:7">
      <c r="G37" s="83"/>
    </row>
    <row r="38" spans="1:7">
      <c r="B38" s="10" t="s">
        <v>47</v>
      </c>
      <c r="C38" s="10"/>
      <c r="D38" s="10"/>
      <c r="E38" s="216"/>
      <c r="F38" s="216"/>
      <c r="G38" s="216">
        <f>G36+G25+G27</f>
        <v>12565806</v>
      </c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61"/>
  <sheetViews>
    <sheetView zoomScale="70" zoomScaleNormal="70" zoomScalePageLayoutView="70" workbookViewId="0">
      <selection activeCell="L37" sqref="L3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22" customWidth="1"/>
    <col min="10" max="10" width="17.140625" customWidth="1"/>
    <col min="11" max="11" width="20.28515625" customWidth="1"/>
  </cols>
  <sheetData>
    <row r="1" spans="1:12" ht="18.75" customHeight="1">
      <c r="A1" s="1"/>
      <c r="B1" s="1"/>
      <c r="C1" s="1"/>
      <c r="D1" s="272" t="s">
        <v>712</v>
      </c>
      <c r="E1" s="272"/>
      <c r="F1" s="272"/>
      <c r="G1" s="272"/>
      <c r="H1" s="272"/>
      <c r="I1" s="97"/>
      <c r="J1" s="97"/>
    </row>
    <row r="2" spans="1:12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  <c r="J2" s="98"/>
    </row>
    <row r="3" spans="1:12" ht="11.25" customHeight="1"/>
    <row r="4" spans="1:12" ht="15" customHeight="1">
      <c r="H4" s="277" t="s">
        <v>2</v>
      </c>
      <c r="I4" s="277"/>
      <c r="J4" s="277"/>
      <c r="K4" s="163"/>
    </row>
    <row r="5" spans="1:12" ht="31.5" customHeight="1">
      <c r="H5" s="105" t="s">
        <v>3</v>
      </c>
      <c r="I5" s="105" t="s">
        <v>157</v>
      </c>
      <c r="J5" s="105" t="s">
        <v>74</v>
      </c>
      <c r="K5" s="163" t="s">
        <v>4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7</v>
      </c>
      <c r="H7" s="77">
        <v>93714529</v>
      </c>
      <c r="I7" s="83">
        <v>27575132</v>
      </c>
      <c r="J7" s="83">
        <f t="shared" ref="J7:J8" si="0">SUM(H7:I7)</f>
        <v>121289661</v>
      </c>
      <c r="K7" s="83">
        <v>147295252</v>
      </c>
    </row>
    <row r="8" spans="1:12">
      <c r="C8" t="s">
        <v>8</v>
      </c>
      <c r="H8" s="84">
        <v>56926773</v>
      </c>
      <c r="I8" s="83">
        <v>19547952</v>
      </c>
      <c r="J8" s="83">
        <f t="shared" si="0"/>
        <v>76474725</v>
      </c>
      <c r="K8" s="83">
        <v>199812055</v>
      </c>
    </row>
    <row r="9" spans="1:12">
      <c r="C9" t="s">
        <v>50</v>
      </c>
      <c r="H9" s="78">
        <v>15878382</v>
      </c>
      <c r="I9" s="83">
        <v>7412062</v>
      </c>
      <c r="J9" s="83">
        <f t="shared" ref="J9:J14" si="1">SUM(H9:I9)</f>
        <v>23290444</v>
      </c>
      <c r="K9" s="83">
        <v>43776065</v>
      </c>
    </row>
    <row r="10" spans="1:12">
      <c r="C10" t="s">
        <v>76</v>
      </c>
      <c r="H10" s="79">
        <v>-5944210</v>
      </c>
      <c r="I10" s="83">
        <v>5944210</v>
      </c>
      <c r="J10" s="83">
        <f t="shared" si="1"/>
        <v>0</v>
      </c>
      <c r="K10" s="83"/>
    </row>
    <row r="11" spans="1:12">
      <c r="C11" t="s">
        <v>51</v>
      </c>
      <c r="H11" s="90">
        <v>45719610</v>
      </c>
      <c r="I11" s="83">
        <v>10410466</v>
      </c>
      <c r="J11" s="83">
        <f t="shared" si="1"/>
        <v>56130076</v>
      </c>
      <c r="K11" s="83">
        <v>23896489</v>
      </c>
    </row>
    <row r="12" spans="1:12">
      <c r="C12" t="s">
        <v>13</v>
      </c>
      <c r="H12" s="90">
        <v>3316</v>
      </c>
      <c r="I12" s="83"/>
      <c r="J12" s="83">
        <f t="shared" si="1"/>
        <v>3316</v>
      </c>
      <c r="K12" s="83">
        <v>1500000</v>
      </c>
    </row>
    <row r="13" spans="1:12">
      <c r="C13" t="s">
        <v>177</v>
      </c>
      <c r="H13" s="79">
        <v>2070087</v>
      </c>
      <c r="I13" s="83">
        <v>18941</v>
      </c>
      <c r="J13" s="83">
        <f t="shared" si="1"/>
        <v>2089028</v>
      </c>
      <c r="K13" s="83">
        <v>5106157</v>
      </c>
    </row>
    <row r="14" spans="1:12">
      <c r="C14" t="s">
        <v>109</v>
      </c>
      <c r="H14" s="79">
        <v>735880</v>
      </c>
      <c r="I14" s="83">
        <v>2413422</v>
      </c>
      <c r="J14" s="83">
        <f t="shared" si="1"/>
        <v>3149302</v>
      </c>
      <c r="K14" s="83">
        <v>15151339</v>
      </c>
    </row>
    <row r="15" spans="1:12">
      <c r="C15" t="s">
        <v>201</v>
      </c>
      <c r="H15" s="83"/>
      <c r="I15" s="83"/>
      <c r="J15" s="83"/>
      <c r="K15" s="83"/>
    </row>
    <row r="16" spans="1:12">
      <c r="D16" t="s">
        <v>7</v>
      </c>
      <c r="H16" s="77">
        <v>252558</v>
      </c>
      <c r="I16" s="83">
        <v>1164158</v>
      </c>
      <c r="J16" s="83">
        <f>SUM(H16:I16)</f>
        <v>1416716</v>
      </c>
      <c r="K16" s="83">
        <v>21334329</v>
      </c>
    </row>
    <row r="17" spans="1:11">
      <c r="D17" t="s">
        <v>8</v>
      </c>
      <c r="H17" s="83"/>
      <c r="I17" s="83">
        <v>2531307</v>
      </c>
      <c r="J17" s="83">
        <f>SUM(I17)</f>
        <v>2531307</v>
      </c>
      <c r="K17" s="83"/>
    </row>
    <row r="18" spans="1:11">
      <c r="C18" t="s">
        <v>713</v>
      </c>
      <c r="H18" s="83"/>
      <c r="I18" s="83">
        <v>684161</v>
      </c>
      <c r="J18" s="83">
        <f>SUM(I18)</f>
        <v>684161</v>
      </c>
      <c r="K18" s="83"/>
    </row>
    <row r="19" spans="1:11">
      <c r="C19" t="s">
        <v>14</v>
      </c>
      <c r="H19" s="83"/>
      <c r="I19" s="83"/>
      <c r="J19" s="83">
        <f>SUM(H19:I19)</f>
        <v>0</v>
      </c>
      <c r="K19" s="83"/>
    </row>
    <row r="20" spans="1:11">
      <c r="D20" t="s">
        <v>15</v>
      </c>
      <c r="H20" s="80">
        <v>77386614</v>
      </c>
      <c r="I20" s="83">
        <v>10304581</v>
      </c>
      <c r="J20" s="83">
        <f>SUM(H20:I20)</f>
        <v>87691195</v>
      </c>
      <c r="K20" s="83">
        <v>51239032</v>
      </c>
    </row>
    <row r="21" spans="1:11">
      <c r="D21" t="s">
        <v>16</v>
      </c>
      <c r="H21" s="80">
        <v>269194382</v>
      </c>
      <c r="I21" s="83">
        <v>144426646</v>
      </c>
      <c r="J21" s="83">
        <f>SUM(H21:I21)</f>
        <v>413621028</v>
      </c>
      <c r="K21" s="83">
        <v>668866250</v>
      </c>
    </row>
    <row r="22" spans="1:11">
      <c r="H22" s="81"/>
      <c r="I22" s="81"/>
      <c r="J22" s="81"/>
      <c r="K22" s="81"/>
    </row>
    <row r="23" spans="1:11" s="5" customFormat="1">
      <c r="C23" s="6" t="s">
        <v>17</v>
      </c>
      <c r="D23" s="6"/>
      <c r="E23" s="6"/>
      <c r="F23" s="6"/>
      <c r="G23" s="6"/>
      <c r="H23" s="82">
        <f>SUM(H7:H21)</f>
        <v>555937921</v>
      </c>
      <c r="I23" s="82">
        <f>SUM(I7:I21)</f>
        <v>232433038</v>
      </c>
      <c r="J23" s="82">
        <f>SUM(J7:J21)</f>
        <v>788370959</v>
      </c>
      <c r="K23" s="82">
        <f>SUM(K7:K21)</f>
        <v>1177976968</v>
      </c>
    </row>
    <row r="24" spans="1:11">
      <c r="H24" s="83"/>
      <c r="I24" s="83"/>
      <c r="J24" s="83"/>
      <c r="K24" s="83"/>
    </row>
    <row r="25" spans="1:11" s="5" customFormat="1">
      <c r="A25" s="5" t="s">
        <v>80</v>
      </c>
      <c r="H25" s="100">
        <v>9401213</v>
      </c>
      <c r="I25" s="100">
        <v>634577</v>
      </c>
      <c r="J25" s="100">
        <f>SUM(H25:I25)</f>
        <v>10035790</v>
      </c>
      <c r="K25" s="100">
        <v>5348151</v>
      </c>
    </row>
    <row r="26" spans="1:11">
      <c r="H26" s="81"/>
      <c r="I26" s="81"/>
      <c r="J26" s="81"/>
      <c r="K26" s="81"/>
    </row>
    <row r="27" spans="1:11">
      <c r="A27" s="5" t="s">
        <v>22</v>
      </c>
      <c r="H27" s="83"/>
      <c r="I27" s="83"/>
      <c r="J27" s="83"/>
      <c r="K27" s="83"/>
    </row>
    <row r="28" spans="1:11">
      <c r="A28" s="5"/>
      <c r="C28" t="s">
        <v>280</v>
      </c>
      <c r="H28" s="84">
        <v>20807027</v>
      </c>
      <c r="I28" s="83">
        <v>4833422</v>
      </c>
      <c r="J28" s="83">
        <f t="shared" ref="J28:J34" si="2">SUM(H28:I28)</f>
        <v>25640449</v>
      </c>
      <c r="K28" s="83">
        <v>61813380</v>
      </c>
    </row>
    <row r="29" spans="1:11">
      <c r="C29" t="s">
        <v>27</v>
      </c>
      <c r="H29" s="84">
        <v>1301932</v>
      </c>
      <c r="I29" s="83"/>
      <c r="J29" s="83">
        <f t="shared" si="2"/>
        <v>1301932</v>
      </c>
      <c r="K29" s="83"/>
    </row>
    <row r="30" spans="1:11">
      <c r="C30" t="s">
        <v>87</v>
      </c>
      <c r="H30" s="96">
        <v>1244861</v>
      </c>
      <c r="I30" s="83">
        <v>151349</v>
      </c>
      <c r="J30" s="83">
        <f t="shared" si="2"/>
        <v>1396210</v>
      </c>
      <c r="K30" s="83">
        <v>639377</v>
      </c>
    </row>
    <row r="31" spans="1:11">
      <c r="C31" t="s">
        <v>185</v>
      </c>
      <c r="H31" s="96">
        <v>1500000</v>
      </c>
      <c r="I31" s="83"/>
      <c r="J31" s="83">
        <f t="shared" si="2"/>
        <v>1500000</v>
      </c>
      <c r="K31" s="83">
        <v>3316</v>
      </c>
    </row>
    <row r="32" spans="1:11">
      <c r="C32" t="s">
        <v>714</v>
      </c>
      <c r="H32" s="96">
        <v>93029</v>
      </c>
      <c r="I32" s="83">
        <v>1229929</v>
      </c>
      <c r="J32" s="83">
        <f t="shared" si="2"/>
        <v>1322958</v>
      </c>
      <c r="K32" s="83"/>
    </row>
    <row r="33" spans="1:11">
      <c r="C33" t="s">
        <v>209</v>
      </c>
      <c r="H33" s="83"/>
      <c r="I33" s="83"/>
      <c r="J33" s="83">
        <f t="shared" si="2"/>
        <v>0</v>
      </c>
      <c r="K33" s="83"/>
    </row>
    <row r="34" spans="1:11">
      <c r="C34" t="s">
        <v>187</v>
      </c>
      <c r="H34" s="83"/>
      <c r="I34" s="83"/>
      <c r="J34" s="83">
        <f t="shared" si="2"/>
        <v>0</v>
      </c>
      <c r="K34" s="83"/>
    </row>
    <row r="35" spans="1:11">
      <c r="D35" t="s">
        <v>92</v>
      </c>
      <c r="H35" s="92">
        <v>6565223</v>
      </c>
      <c r="I35" s="83">
        <v>1365685</v>
      </c>
      <c r="J35" s="83">
        <f>SUM(H35:I35)</f>
        <v>7930908</v>
      </c>
      <c r="K35" s="83">
        <v>7970686</v>
      </c>
    </row>
    <row r="36" spans="1:11">
      <c r="D36" t="s">
        <v>93</v>
      </c>
      <c r="H36" s="77">
        <v>138353865</v>
      </c>
      <c r="I36" s="83">
        <v>17058711</v>
      </c>
      <c r="J36" s="83">
        <f>SUM(H36:I36)</f>
        <v>155412576</v>
      </c>
      <c r="K36" s="83">
        <v>216460430</v>
      </c>
    </row>
    <row r="37" spans="1:11">
      <c r="H37" s="81"/>
      <c r="I37" s="81"/>
      <c r="J37" s="81"/>
      <c r="K37" s="81"/>
    </row>
    <row r="38" spans="1:11">
      <c r="D38" s="7" t="s">
        <v>36</v>
      </c>
      <c r="E38" s="8"/>
      <c r="F38" s="8"/>
      <c r="G38" s="8"/>
      <c r="H38" s="87">
        <f>SUM(H28:H36)</f>
        <v>169865937</v>
      </c>
      <c r="I38" s="87">
        <f>SUM(I28:I36)</f>
        <v>24639096</v>
      </c>
      <c r="J38" s="87">
        <f>SUM(J28:J36)</f>
        <v>194505033</v>
      </c>
      <c r="K38" s="87">
        <f>SUM(K28:K36)</f>
        <v>286887189</v>
      </c>
    </row>
    <row r="39" spans="1:11">
      <c r="H39" s="83"/>
      <c r="I39" s="83"/>
      <c r="J39" s="83"/>
      <c r="K39" s="83"/>
    </row>
    <row r="40" spans="1:11">
      <c r="A40" s="5" t="s">
        <v>97</v>
      </c>
      <c r="H40" s="100">
        <v>28281769</v>
      </c>
      <c r="I40" s="100">
        <v>10596811</v>
      </c>
      <c r="J40" s="100">
        <f>SUM(H40:I40)</f>
        <v>38878580</v>
      </c>
      <c r="K40" s="100">
        <v>25232227</v>
      </c>
    </row>
    <row r="41" spans="1:11">
      <c r="H41" s="81"/>
      <c r="I41" s="81"/>
      <c r="J41" s="81"/>
      <c r="K41" s="81"/>
    </row>
    <row r="42" spans="1:11">
      <c r="A42" s="3" t="s">
        <v>39</v>
      </c>
      <c r="H42" s="83"/>
      <c r="I42" s="83"/>
      <c r="J42" s="83"/>
      <c r="K42" s="83"/>
    </row>
    <row r="43" spans="1:11">
      <c r="B43" t="s">
        <v>119</v>
      </c>
      <c r="H43" s="88">
        <v>290332613</v>
      </c>
      <c r="I43" s="83">
        <v>141182208</v>
      </c>
      <c r="J43" s="83">
        <f>SUM(H43:I43)</f>
        <v>431514821</v>
      </c>
      <c r="K43" s="83">
        <v>585506253</v>
      </c>
    </row>
    <row r="44" spans="1:11">
      <c r="B44" t="s">
        <v>41</v>
      </c>
      <c r="H44" s="83"/>
      <c r="I44" s="83"/>
      <c r="J44" s="83">
        <f>SUM(H44:I44)</f>
        <v>0</v>
      </c>
      <c r="K44" s="83"/>
    </row>
    <row r="45" spans="1:11">
      <c r="C45" t="s">
        <v>715</v>
      </c>
      <c r="H45" s="89">
        <v>206754</v>
      </c>
      <c r="I45" s="83"/>
      <c r="J45" s="83">
        <f>SUM(H45:I45)</f>
        <v>206754</v>
      </c>
      <c r="K45" s="83"/>
    </row>
    <row r="46" spans="1:11">
      <c r="C46" t="s">
        <v>716</v>
      </c>
      <c r="H46" s="89">
        <v>9125176</v>
      </c>
      <c r="I46" s="83"/>
      <c r="J46" s="83">
        <f>SUM(H46)</f>
        <v>9125176</v>
      </c>
      <c r="K46" s="83"/>
    </row>
    <row r="47" spans="1:11">
      <c r="C47" t="s">
        <v>43</v>
      </c>
      <c r="H47" s="89">
        <v>19650969</v>
      </c>
      <c r="I47" s="83"/>
      <c r="J47" s="83">
        <f>SUM(H47)</f>
        <v>19650969</v>
      </c>
      <c r="K47" s="83">
        <v>11454970</v>
      </c>
    </row>
    <row r="48" spans="1:11">
      <c r="C48" t="s">
        <v>42</v>
      </c>
      <c r="H48" s="89">
        <v>14859733</v>
      </c>
      <c r="I48" s="83"/>
      <c r="J48" s="83">
        <f>SUM(H48:I48)</f>
        <v>14859733</v>
      </c>
      <c r="K48" s="83">
        <v>11499226</v>
      </c>
    </row>
    <row r="49" spans="2:11">
      <c r="C49" t="s">
        <v>102</v>
      </c>
      <c r="H49" s="89">
        <v>5673147</v>
      </c>
      <c r="I49" s="83"/>
      <c r="J49" s="83">
        <f>SUM(H49)</f>
        <v>5673147</v>
      </c>
      <c r="K49" s="83"/>
    </row>
    <row r="50" spans="2:11">
      <c r="C50" t="s">
        <v>717</v>
      </c>
      <c r="H50" s="89">
        <v>472232</v>
      </c>
      <c r="I50" s="83"/>
      <c r="J50" s="83">
        <f>SUM(H50)</f>
        <v>472232</v>
      </c>
      <c r="K50" s="83"/>
    </row>
    <row r="51" spans="2:11">
      <c r="C51" t="s">
        <v>718</v>
      </c>
      <c r="H51" s="89">
        <v>2830103</v>
      </c>
      <c r="I51" s="83"/>
      <c r="J51" s="83">
        <f>SUM(H51)</f>
        <v>2830103</v>
      </c>
      <c r="K51" s="83"/>
    </row>
    <row r="52" spans="2:11">
      <c r="C52" t="s">
        <v>147</v>
      </c>
      <c r="H52" s="89">
        <v>2684923</v>
      </c>
      <c r="I52" s="83"/>
      <c r="J52" s="83">
        <f>SUM(H52)</f>
        <v>2684923</v>
      </c>
      <c r="K52" s="83"/>
    </row>
    <row r="53" spans="2:11">
      <c r="C53" t="s">
        <v>719</v>
      </c>
      <c r="H53" s="83"/>
      <c r="I53" s="83">
        <v>35823051</v>
      </c>
      <c r="J53" s="83">
        <f>SUM(I53)</f>
        <v>35823051</v>
      </c>
      <c r="K53" s="83"/>
    </row>
    <row r="54" spans="2:11">
      <c r="C54" t="s">
        <v>720</v>
      </c>
      <c r="H54" s="83"/>
      <c r="I54" s="83">
        <v>8281536</v>
      </c>
      <c r="J54" s="83">
        <f>SUM(I54)</f>
        <v>8281536</v>
      </c>
      <c r="K54" s="83"/>
    </row>
    <row r="55" spans="2:11">
      <c r="C55" t="s">
        <v>70</v>
      </c>
      <c r="H55" s="83"/>
      <c r="I55" s="83">
        <v>12871672</v>
      </c>
      <c r="J55" s="83">
        <f>SUM(I55)</f>
        <v>12871672</v>
      </c>
      <c r="K55" s="83"/>
    </row>
    <row r="56" spans="2:11">
      <c r="C56" t="s">
        <v>44</v>
      </c>
      <c r="H56" s="83"/>
      <c r="I56" s="83"/>
      <c r="J56" s="83"/>
      <c r="K56" s="83">
        <v>6649340</v>
      </c>
    </row>
    <row r="57" spans="2:11">
      <c r="B57" t="s">
        <v>134</v>
      </c>
      <c r="H57" s="93">
        <v>11910655</v>
      </c>
      <c r="I57" s="83">
        <v>-317459</v>
      </c>
      <c r="J57" s="83">
        <f>SUM(H57:I57)</f>
        <v>11593196</v>
      </c>
      <c r="K57" s="83">
        <v>256095914</v>
      </c>
    </row>
    <row r="58" spans="2:11">
      <c r="H58" s="81"/>
      <c r="I58" s="81"/>
      <c r="J58" s="81"/>
      <c r="K58" s="81"/>
    </row>
    <row r="59" spans="2:11" s="3" customFormat="1">
      <c r="C59" s="9" t="s">
        <v>46</v>
      </c>
      <c r="D59" s="9"/>
      <c r="E59" s="9"/>
      <c r="F59" s="9"/>
      <c r="G59" s="9"/>
      <c r="H59" s="94">
        <f>SUM(H43:H57)</f>
        <v>357746305</v>
      </c>
      <c r="I59" s="94">
        <f>SUM(I43:I57)</f>
        <v>197841008</v>
      </c>
      <c r="J59" s="94">
        <f>SUM(J43:J57)</f>
        <v>555587313</v>
      </c>
      <c r="K59" s="94">
        <f>SUM(K42:K57)</f>
        <v>871205703</v>
      </c>
    </row>
    <row r="60" spans="2:11">
      <c r="H60" s="83"/>
      <c r="I60" s="83"/>
      <c r="J60" s="83"/>
      <c r="K60" s="83"/>
    </row>
    <row r="61" spans="2:11">
      <c r="C61" s="10" t="s">
        <v>47</v>
      </c>
      <c r="D61" s="10"/>
      <c r="E61" s="10"/>
      <c r="F61" s="216"/>
      <c r="G61" s="216"/>
      <c r="H61" s="216">
        <f>H59+H38+H40</f>
        <v>555894011</v>
      </c>
      <c r="I61" s="216">
        <f t="shared" ref="I61:K61" si="3">I59+I38+I40</f>
        <v>233076915</v>
      </c>
      <c r="J61" s="216">
        <f t="shared" si="3"/>
        <v>788970926</v>
      </c>
      <c r="K61" s="216">
        <f t="shared" si="3"/>
        <v>1183325119</v>
      </c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43"/>
  <sheetViews>
    <sheetView workbookViewId="0">
      <selection activeCell="G21" sqref="G21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6.42578125" customWidth="1"/>
    <col min="7" max="7" width="17.140625" customWidth="1"/>
  </cols>
  <sheetData>
    <row r="1" spans="1:7" ht="18.600000000000001">
      <c r="A1" s="1"/>
      <c r="B1" s="1"/>
      <c r="C1" s="272" t="s">
        <v>721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7">
        <v>7912131</v>
      </c>
    </row>
    <row r="7" spans="1:7">
      <c r="B7" t="s">
        <v>8</v>
      </c>
      <c r="G7" s="84">
        <v>7613142</v>
      </c>
    </row>
    <row r="8" spans="1:7">
      <c r="B8" t="s">
        <v>50</v>
      </c>
      <c r="G8" s="78">
        <v>4052420</v>
      </c>
    </row>
    <row r="9" spans="1:7">
      <c r="B9" t="s">
        <v>54</v>
      </c>
      <c r="G9" s="91">
        <v>11934675</v>
      </c>
    </row>
    <row r="10" spans="1:7">
      <c r="G10" s="83"/>
    </row>
    <row r="11" spans="1:7">
      <c r="A11" s="5"/>
      <c r="B11" s="6" t="s">
        <v>17</v>
      </c>
      <c r="C11" s="6"/>
      <c r="D11" s="6"/>
      <c r="E11" s="6"/>
      <c r="F11" s="6"/>
      <c r="G11" s="82">
        <f>SUM(G6:G9)</f>
        <v>31512368</v>
      </c>
    </row>
    <row r="12" spans="1:7">
      <c r="A12" s="5"/>
      <c r="B12" s="5"/>
      <c r="C12" s="5"/>
      <c r="D12" s="5"/>
      <c r="E12" s="5"/>
      <c r="F12" s="5"/>
      <c r="G12" s="100"/>
    </row>
    <row r="13" spans="1:7">
      <c r="A13" s="5" t="s">
        <v>215</v>
      </c>
      <c r="G13" s="83"/>
    </row>
    <row r="14" spans="1:7">
      <c r="B14" t="s">
        <v>224</v>
      </c>
      <c r="G14" s="122">
        <v>290544</v>
      </c>
    </row>
    <row r="15" spans="1:7">
      <c r="G15" s="83"/>
    </row>
    <row r="16" spans="1:7">
      <c r="A16" s="5" t="s">
        <v>22</v>
      </c>
      <c r="G16" s="83"/>
    </row>
    <row r="17" spans="1:7">
      <c r="A17" s="5"/>
      <c r="B17" t="s">
        <v>216</v>
      </c>
      <c r="G17" s="79">
        <v>947080</v>
      </c>
    </row>
    <row r="18" spans="1:7">
      <c r="A18" s="5"/>
      <c r="B18" t="s">
        <v>471</v>
      </c>
      <c r="G18" s="84">
        <v>669465</v>
      </c>
    </row>
    <row r="19" spans="1:7">
      <c r="B19" t="s">
        <v>330</v>
      </c>
      <c r="G19" s="96">
        <v>385020</v>
      </c>
    </row>
    <row r="20" spans="1:7">
      <c r="B20" t="s">
        <v>32</v>
      </c>
      <c r="G20" s="86">
        <v>226337</v>
      </c>
    </row>
    <row r="21" spans="1:7">
      <c r="B21" t="s">
        <v>722</v>
      </c>
      <c r="G21" s="85">
        <v>19000</v>
      </c>
    </row>
    <row r="22" spans="1:7">
      <c r="B22" t="s">
        <v>723</v>
      </c>
      <c r="G22" s="78">
        <v>198000</v>
      </c>
    </row>
    <row r="23" spans="1:7">
      <c r="B23" t="s">
        <v>724</v>
      </c>
      <c r="G23" s="84">
        <v>300000</v>
      </c>
    </row>
    <row r="24" spans="1:7">
      <c r="B24" t="s">
        <v>155</v>
      </c>
      <c r="G24" s="79">
        <v>1386006</v>
      </c>
    </row>
    <row r="25" spans="1:7">
      <c r="B25" t="s">
        <v>34</v>
      </c>
      <c r="G25" s="79">
        <v>162131</v>
      </c>
    </row>
    <row r="26" spans="1:7">
      <c r="B26" t="s">
        <v>725</v>
      </c>
      <c r="G26" s="79">
        <v>6346327</v>
      </c>
    </row>
    <row r="27" spans="1:7">
      <c r="G27" s="81"/>
    </row>
    <row r="28" spans="1:7">
      <c r="C28" s="7" t="s">
        <v>36</v>
      </c>
      <c r="D28" s="8"/>
      <c r="E28" s="8"/>
      <c r="F28" s="8"/>
      <c r="G28" s="87">
        <f>SUM(G17:G26)</f>
        <v>10639366</v>
      </c>
    </row>
    <row r="29" spans="1:7">
      <c r="G29" s="83"/>
    </row>
    <row r="30" spans="1:7">
      <c r="A30" s="5" t="s">
        <v>218</v>
      </c>
      <c r="G30" s="83"/>
    </row>
    <row r="31" spans="1:7">
      <c r="A31" s="5"/>
      <c r="B31" t="s">
        <v>227</v>
      </c>
      <c r="G31" s="83">
        <v>69433</v>
      </c>
    </row>
    <row r="32" spans="1:7">
      <c r="B32" t="s">
        <v>228</v>
      </c>
      <c r="G32" s="83">
        <v>14194</v>
      </c>
    </row>
    <row r="33" spans="1:7" s="5" customFormat="1">
      <c r="C33" s="5" t="s">
        <v>38</v>
      </c>
      <c r="G33" s="166">
        <f>SUM(G31:G32)</f>
        <v>83627</v>
      </c>
    </row>
    <row r="34" spans="1:7">
      <c r="G34" s="83"/>
    </row>
    <row r="35" spans="1:7">
      <c r="A35" s="3" t="s">
        <v>39</v>
      </c>
      <c r="G35" s="83"/>
    </row>
    <row r="36" spans="1:7">
      <c r="B36" t="s">
        <v>40</v>
      </c>
      <c r="G36" s="88">
        <v>11717675</v>
      </c>
    </row>
    <row r="37" spans="1:7">
      <c r="B37" t="s">
        <v>726</v>
      </c>
      <c r="G37" s="89">
        <v>5251456</v>
      </c>
    </row>
    <row r="38" spans="1:7">
      <c r="B38" t="s">
        <v>45</v>
      </c>
      <c r="G38" s="93">
        <v>4110788</v>
      </c>
    </row>
    <row r="39" spans="1:7">
      <c r="G39" s="81"/>
    </row>
    <row r="40" spans="1:7">
      <c r="A40" s="3"/>
      <c r="B40" s="9" t="s">
        <v>46</v>
      </c>
      <c r="C40" s="9"/>
      <c r="D40" s="9"/>
      <c r="E40" s="9"/>
      <c r="F40" s="9"/>
      <c r="G40" s="94">
        <f>SUM(G36:G38)</f>
        <v>21079919</v>
      </c>
    </row>
    <row r="41" spans="1:7">
      <c r="G41" s="83"/>
    </row>
    <row r="42" spans="1:7">
      <c r="A42" s="3"/>
      <c r="B42" s="10" t="s">
        <v>47</v>
      </c>
      <c r="C42" s="10"/>
      <c r="D42" s="10"/>
      <c r="E42" s="10"/>
      <c r="F42" s="10"/>
      <c r="G42" s="95">
        <f>G40+G28+G33</f>
        <v>31802912</v>
      </c>
    </row>
    <row r="43" spans="1:7">
      <c r="G43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47"/>
  <sheetViews>
    <sheetView zoomScale="80" zoomScaleNormal="80" zoomScalePageLayoutView="80" workbookViewId="0">
      <selection activeCell="K42" sqref="K42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72" t="s">
        <v>727</v>
      </c>
      <c r="E1" s="272"/>
      <c r="F1" s="272"/>
      <c r="G1" s="272"/>
      <c r="H1" s="272"/>
      <c r="I1" s="97"/>
    </row>
    <row r="2" spans="1:11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</row>
    <row r="3" spans="1:11" ht="15.75" customHeight="1">
      <c r="A3" s="1"/>
      <c r="B3" s="1"/>
      <c r="C3" s="1"/>
      <c r="D3" s="98"/>
      <c r="E3" s="98"/>
      <c r="F3" s="98"/>
      <c r="G3" s="98"/>
      <c r="H3" s="98"/>
      <c r="I3" s="98"/>
    </row>
    <row r="4" spans="1:11" ht="29.1">
      <c r="H4" s="174" t="s">
        <v>2</v>
      </c>
      <c r="I4" s="281" t="s">
        <v>108</v>
      </c>
      <c r="J4" s="281"/>
    </row>
    <row r="5" spans="1:11" ht="31.5" customHeight="1">
      <c r="H5" s="105" t="s">
        <v>3</v>
      </c>
      <c r="I5" s="105" t="s">
        <v>728</v>
      </c>
      <c r="J5" s="106" t="s">
        <v>729</v>
      </c>
      <c r="K5" s="5"/>
    </row>
    <row r="6" spans="1:11">
      <c r="A6" s="3" t="s">
        <v>5</v>
      </c>
      <c r="D6" s="3"/>
      <c r="G6" s="4"/>
      <c r="H6" s="4"/>
      <c r="I6" s="4"/>
    </row>
    <row r="7" spans="1:11">
      <c r="C7" t="s">
        <v>122</v>
      </c>
      <c r="H7" s="77">
        <v>57109921</v>
      </c>
      <c r="I7" s="83">
        <v>42923</v>
      </c>
      <c r="J7" s="83">
        <v>221254</v>
      </c>
    </row>
    <row r="8" spans="1:11">
      <c r="C8" t="s">
        <v>123</v>
      </c>
      <c r="H8" s="78">
        <v>676865</v>
      </c>
      <c r="I8" s="83"/>
      <c r="J8" s="83">
        <v>100</v>
      </c>
    </row>
    <row r="9" spans="1:11">
      <c r="C9" t="s">
        <v>460</v>
      </c>
      <c r="H9" s="90">
        <v>630</v>
      </c>
      <c r="I9" s="83"/>
      <c r="J9" s="83"/>
    </row>
    <row r="10" spans="1:11">
      <c r="C10" t="s">
        <v>124</v>
      </c>
      <c r="H10" s="90">
        <v>7336187</v>
      </c>
      <c r="I10" s="83">
        <v>142112</v>
      </c>
      <c r="J10" s="83">
        <v>6783</v>
      </c>
    </row>
    <row r="11" spans="1:11">
      <c r="C11" t="s">
        <v>136</v>
      </c>
      <c r="H11" s="79">
        <v>30558</v>
      </c>
      <c r="I11" s="83"/>
      <c r="J11" s="83"/>
    </row>
    <row r="12" spans="1:11">
      <c r="C12" t="s">
        <v>127</v>
      </c>
      <c r="H12" s="80">
        <v>83915954</v>
      </c>
      <c r="I12" s="83"/>
      <c r="J12" s="83"/>
    </row>
    <row r="13" spans="1:11">
      <c r="H13" s="81"/>
      <c r="I13" s="81"/>
      <c r="J13" s="81"/>
    </row>
    <row r="14" spans="1:11" s="5" customFormat="1">
      <c r="C14" s="6" t="s">
        <v>17</v>
      </c>
      <c r="D14" s="6"/>
      <c r="E14" s="6"/>
      <c r="F14" s="6"/>
      <c r="G14" s="6"/>
      <c r="H14" s="82">
        <f>SUM(H7:H12)</f>
        <v>149070115</v>
      </c>
      <c r="I14" s="82">
        <f>SUM(I7:I12)</f>
        <v>185035</v>
      </c>
      <c r="J14" s="82">
        <f>SUM(J7:J12)</f>
        <v>228137</v>
      </c>
    </row>
    <row r="15" spans="1:11" s="5" customFormat="1">
      <c r="H15" s="100"/>
      <c r="I15" s="100"/>
      <c r="J15" s="100"/>
    </row>
    <row r="16" spans="1:11">
      <c r="A16" s="5" t="s">
        <v>18</v>
      </c>
      <c r="H16" s="83"/>
      <c r="I16" s="83"/>
      <c r="J16" s="83"/>
    </row>
    <row r="17" spans="1:10">
      <c r="C17" t="s">
        <v>730</v>
      </c>
      <c r="H17" s="122">
        <v>1170795</v>
      </c>
      <c r="I17" s="122">
        <v>102430</v>
      </c>
      <c r="J17" s="122">
        <v>9580</v>
      </c>
    </row>
    <row r="18" spans="1:10">
      <c r="H18" s="83"/>
      <c r="I18" s="83"/>
      <c r="J18" s="83"/>
    </row>
    <row r="19" spans="1:10">
      <c r="A19" s="5" t="s">
        <v>22</v>
      </c>
      <c r="H19" s="83"/>
      <c r="I19" s="83"/>
      <c r="J19" s="83"/>
    </row>
    <row r="20" spans="1:10">
      <c r="C20" t="s">
        <v>312</v>
      </c>
      <c r="H20" s="84">
        <v>995077</v>
      </c>
      <c r="I20" s="83">
        <v>26515</v>
      </c>
      <c r="J20" s="83">
        <v>9194</v>
      </c>
    </row>
    <row r="21" spans="1:10">
      <c r="C21" t="s">
        <v>86</v>
      </c>
      <c r="H21" s="149">
        <v>241028</v>
      </c>
      <c r="I21" s="83"/>
      <c r="J21" s="83"/>
    </row>
    <row r="22" spans="1:10">
      <c r="C22" t="s">
        <v>24</v>
      </c>
      <c r="H22" s="149">
        <v>93660</v>
      </c>
      <c r="I22" s="83"/>
      <c r="J22" s="83"/>
    </row>
    <row r="23" spans="1:10">
      <c r="C23" t="s">
        <v>28</v>
      </c>
      <c r="H23" s="126"/>
      <c r="I23" s="83">
        <v>630</v>
      </c>
      <c r="J23" s="83"/>
    </row>
    <row r="24" spans="1:10">
      <c r="C24" t="s">
        <v>27</v>
      </c>
      <c r="H24" s="149">
        <v>21678</v>
      </c>
      <c r="I24" s="83"/>
      <c r="J24" s="83"/>
    </row>
    <row r="25" spans="1:10">
      <c r="C25" t="s">
        <v>29</v>
      </c>
      <c r="H25" s="83"/>
      <c r="I25" s="83"/>
      <c r="J25" s="83"/>
    </row>
    <row r="26" spans="1:10">
      <c r="D26" t="s">
        <v>349</v>
      </c>
      <c r="H26" s="79">
        <v>1909493</v>
      </c>
      <c r="I26" s="83"/>
      <c r="J26" s="83"/>
    </row>
    <row r="27" spans="1:10">
      <c r="D27" t="s">
        <v>34</v>
      </c>
      <c r="H27" s="79">
        <v>366077</v>
      </c>
      <c r="I27" s="83">
        <v>18951</v>
      </c>
      <c r="J27" s="83">
        <v>2050</v>
      </c>
    </row>
    <row r="28" spans="1:10" s="5" customFormat="1">
      <c r="C28"/>
      <c r="D28" t="s">
        <v>92</v>
      </c>
      <c r="H28" s="92">
        <v>390000</v>
      </c>
      <c r="I28" s="100"/>
      <c r="J28" s="83"/>
    </row>
    <row r="29" spans="1:10" s="5" customFormat="1">
      <c r="C29"/>
      <c r="D29" t="s">
        <v>93</v>
      </c>
      <c r="H29" s="77">
        <v>3235660</v>
      </c>
      <c r="I29" s="100"/>
      <c r="J29" s="83"/>
    </row>
    <row r="30" spans="1:10">
      <c r="H30" s="81"/>
      <c r="I30" s="81"/>
      <c r="J30" s="81"/>
    </row>
    <row r="31" spans="1:10">
      <c r="D31" s="7" t="s">
        <v>36</v>
      </c>
      <c r="E31" s="8"/>
      <c r="F31" s="8"/>
      <c r="G31" s="8"/>
      <c r="H31" s="87">
        <f>SUM(H20:H29)</f>
        <v>7252673</v>
      </c>
      <c r="I31" s="87">
        <f>SUM(I20:I29)</f>
        <v>46096</v>
      </c>
      <c r="J31" s="87">
        <f>SUM(J20:J29)</f>
        <v>11244</v>
      </c>
    </row>
    <row r="32" spans="1:10">
      <c r="H32" s="83"/>
      <c r="I32" s="83"/>
      <c r="J32" s="83"/>
    </row>
    <row r="33" spans="1:10">
      <c r="A33" s="5" t="s">
        <v>37</v>
      </c>
      <c r="H33" s="83"/>
      <c r="I33" s="83"/>
      <c r="J33" s="83"/>
    </row>
    <row r="34" spans="1:10">
      <c r="A34" s="5"/>
      <c r="C34" t="s">
        <v>731</v>
      </c>
      <c r="H34" s="83">
        <v>158514</v>
      </c>
      <c r="I34" s="83">
        <v>8653</v>
      </c>
      <c r="J34" s="83">
        <v>911</v>
      </c>
    </row>
    <row r="35" spans="1:10">
      <c r="C35" t="s">
        <v>153</v>
      </c>
      <c r="H35" s="122">
        <v>719245</v>
      </c>
      <c r="I35" s="122"/>
      <c r="J35" s="122"/>
    </row>
    <row r="36" spans="1:10" s="5" customFormat="1">
      <c r="D36" s="5" t="s">
        <v>98</v>
      </c>
      <c r="H36" s="100">
        <f>SUM(H34:H35)</f>
        <v>877759</v>
      </c>
      <c r="I36" s="100">
        <f t="shared" ref="I36:J36" si="0">SUM(I34:I35)</f>
        <v>8653</v>
      </c>
      <c r="J36" s="100">
        <f t="shared" si="0"/>
        <v>911</v>
      </c>
    </row>
    <row r="37" spans="1:10">
      <c r="H37" s="83"/>
      <c r="I37" s="83"/>
      <c r="J37" s="83"/>
    </row>
    <row r="38" spans="1:10">
      <c r="A38" s="3" t="s">
        <v>39</v>
      </c>
      <c r="H38" s="83"/>
      <c r="I38" s="83"/>
      <c r="J38" s="83"/>
    </row>
    <row r="39" spans="1:10">
      <c r="B39" t="s">
        <v>40</v>
      </c>
      <c r="H39" s="88">
        <v>82526629</v>
      </c>
      <c r="I39" s="83"/>
      <c r="J39" s="83"/>
    </row>
    <row r="40" spans="1:10">
      <c r="B40" t="s">
        <v>41</v>
      </c>
      <c r="H40" s="83"/>
      <c r="I40" s="83"/>
      <c r="J40" s="83"/>
    </row>
    <row r="41" spans="1:10">
      <c r="C41" t="s">
        <v>42</v>
      </c>
      <c r="H41" s="89">
        <v>1357954</v>
      </c>
      <c r="I41" s="83"/>
      <c r="J41" s="83"/>
    </row>
    <row r="42" spans="1:10">
      <c r="C42" t="s">
        <v>44</v>
      </c>
      <c r="H42" s="89">
        <v>38123804</v>
      </c>
    </row>
    <row r="43" spans="1:10">
      <c r="B43" t="s">
        <v>45</v>
      </c>
      <c r="H43" s="93">
        <v>20102091</v>
      </c>
      <c r="I43" s="83">
        <v>232716</v>
      </c>
      <c r="J43" s="83">
        <v>225562</v>
      </c>
    </row>
    <row r="44" spans="1:10">
      <c r="H44" s="81"/>
      <c r="I44" s="81"/>
      <c r="J44" s="81"/>
    </row>
    <row r="45" spans="1:10" s="3" customFormat="1">
      <c r="C45" s="9" t="s">
        <v>46</v>
      </c>
      <c r="D45" s="9"/>
      <c r="E45" s="9"/>
      <c r="F45" s="9"/>
      <c r="G45" s="9"/>
      <c r="H45" s="94">
        <f>SUM(H39:H43)</f>
        <v>142110478</v>
      </c>
      <c r="I45" s="94">
        <f>SUM(I39:I43)</f>
        <v>232716</v>
      </c>
      <c r="J45" s="94">
        <f>SUM(J38:J43)</f>
        <v>225562</v>
      </c>
    </row>
    <row r="46" spans="1:10">
      <c r="H46" s="83"/>
      <c r="I46" s="83"/>
      <c r="J46" s="83"/>
    </row>
    <row r="47" spans="1:10">
      <c r="C47" s="10" t="s">
        <v>47</v>
      </c>
      <c r="D47" s="10"/>
      <c r="E47" s="10"/>
      <c r="F47" s="216"/>
      <c r="G47" s="216"/>
      <c r="H47" s="216">
        <f>H45+H31+H36</f>
        <v>150240910</v>
      </c>
      <c r="I47" s="216">
        <f t="shared" ref="I47:J47" si="1">I45+I31+I36</f>
        <v>287465</v>
      </c>
      <c r="J47" s="216">
        <f t="shared" si="1"/>
        <v>237717</v>
      </c>
    </row>
  </sheetData>
  <mergeCells count="3">
    <mergeCell ref="D1:H1"/>
    <mergeCell ref="D2:H2"/>
    <mergeCell ref="I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43"/>
  <sheetViews>
    <sheetView topLeftCell="A3" zoomScale="80" zoomScaleNormal="80" zoomScalePageLayoutView="80" workbookViewId="0">
      <selection activeCell="L33" sqref="L33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6.7109375" bestFit="1" customWidth="1"/>
  </cols>
  <sheetData>
    <row r="1" spans="1:9" ht="18.75" customHeight="1">
      <c r="A1" s="1"/>
      <c r="B1" s="1"/>
      <c r="C1" s="1"/>
      <c r="D1" s="272" t="s">
        <v>732</v>
      </c>
      <c r="E1" s="272"/>
      <c r="F1" s="272"/>
      <c r="G1" s="272"/>
      <c r="H1" s="272"/>
    </row>
    <row r="2" spans="1:9" ht="18.600000000000001">
      <c r="A2" s="1"/>
      <c r="B2" s="1"/>
      <c r="C2" s="1"/>
      <c r="D2" s="271" t="s">
        <v>1</v>
      </c>
      <c r="E2" s="271"/>
      <c r="F2" s="271"/>
      <c r="G2" s="271"/>
      <c r="H2" s="271"/>
    </row>
    <row r="4" spans="1:9">
      <c r="H4" s="266"/>
      <c r="I4" s="5"/>
    </row>
    <row r="5" spans="1:9">
      <c r="H5" s="105">
        <v>2014</v>
      </c>
      <c r="I5" s="105">
        <v>2013</v>
      </c>
    </row>
    <row r="6" spans="1:9">
      <c r="A6" s="3" t="s">
        <v>5</v>
      </c>
      <c r="D6" s="3"/>
      <c r="G6" s="4"/>
      <c r="H6" s="4"/>
    </row>
    <row r="7" spans="1:9">
      <c r="C7" t="s">
        <v>7</v>
      </c>
      <c r="H7" s="77">
        <v>16525269</v>
      </c>
      <c r="I7">
        <v>17372780</v>
      </c>
    </row>
    <row r="8" spans="1:9">
      <c r="C8" t="s">
        <v>733</v>
      </c>
      <c r="H8" s="84">
        <v>1246278</v>
      </c>
      <c r="I8">
        <v>1246151</v>
      </c>
    </row>
    <row r="9" spans="1:9">
      <c r="C9" t="s">
        <v>734</v>
      </c>
      <c r="H9" s="78">
        <v>6418537</v>
      </c>
      <c r="I9">
        <v>6948566</v>
      </c>
    </row>
    <row r="10" spans="1:9">
      <c r="C10" t="s">
        <v>234</v>
      </c>
      <c r="H10" s="83"/>
      <c r="I10">
        <v>39589</v>
      </c>
    </row>
    <row r="11" spans="1:9">
      <c r="C11" t="s">
        <v>137</v>
      </c>
      <c r="H11" s="83"/>
    </row>
    <row r="12" spans="1:9">
      <c r="D12" t="s">
        <v>138</v>
      </c>
      <c r="H12" s="80">
        <v>1720977</v>
      </c>
      <c r="I12">
        <v>1695977</v>
      </c>
    </row>
    <row r="13" spans="1:9">
      <c r="D13" t="s">
        <v>142</v>
      </c>
      <c r="H13" s="80"/>
      <c r="I13">
        <v>7715076</v>
      </c>
    </row>
    <row r="14" spans="1:9">
      <c r="D14" t="s">
        <v>139</v>
      </c>
      <c r="H14" s="80">
        <v>14160585</v>
      </c>
      <c r="I14">
        <v>6171031</v>
      </c>
    </row>
    <row r="15" spans="1:9">
      <c r="D15" t="s">
        <v>140</v>
      </c>
      <c r="H15" s="80">
        <v>8373957</v>
      </c>
      <c r="I15">
        <v>6171031</v>
      </c>
    </row>
    <row r="16" spans="1:9">
      <c r="D16" t="s">
        <v>141</v>
      </c>
      <c r="H16" s="175">
        <v>33590432</v>
      </c>
      <c r="I16">
        <v>28172702</v>
      </c>
    </row>
    <row r="17" spans="1:9">
      <c r="D17" t="s">
        <v>735</v>
      </c>
      <c r="H17" s="80">
        <v>603368</v>
      </c>
      <c r="I17">
        <v>587324</v>
      </c>
    </row>
    <row r="18" spans="1:9">
      <c r="H18" s="83"/>
    </row>
    <row r="19" spans="1:9" s="5" customFormat="1">
      <c r="A19" s="5" t="s">
        <v>736</v>
      </c>
      <c r="H19" s="197">
        <v>20387</v>
      </c>
      <c r="I19" s="173"/>
    </row>
    <row r="20" spans="1:9">
      <c r="H20" s="83"/>
    </row>
    <row r="21" spans="1:9">
      <c r="C21" s="6" t="s">
        <v>17</v>
      </c>
      <c r="D21" s="168"/>
      <c r="E21" s="168"/>
      <c r="F21" s="168"/>
      <c r="G21" s="168"/>
      <c r="H21" s="82">
        <f>SUM(H7:H17)</f>
        <v>82639403</v>
      </c>
      <c r="I21" s="82">
        <f>SUM(I7:I17)</f>
        <v>76120227</v>
      </c>
    </row>
    <row r="22" spans="1:9">
      <c r="H22" s="83"/>
    </row>
    <row r="23" spans="1:9">
      <c r="A23" s="5" t="s">
        <v>22</v>
      </c>
      <c r="H23" s="83"/>
    </row>
    <row r="24" spans="1:9">
      <c r="C24" t="s">
        <v>144</v>
      </c>
      <c r="H24" s="84">
        <v>868778</v>
      </c>
      <c r="I24">
        <v>937890</v>
      </c>
    </row>
    <row r="25" spans="1:9">
      <c r="C25" t="s">
        <v>145</v>
      </c>
      <c r="H25" s="84">
        <v>386068</v>
      </c>
      <c r="I25">
        <v>386068</v>
      </c>
    </row>
    <row r="26" spans="1:9">
      <c r="C26" t="s">
        <v>29</v>
      </c>
      <c r="H26" s="83"/>
    </row>
    <row r="27" spans="1:9">
      <c r="D27" t="s">
        <v>92</v>
      </c>
      <c r="H27" s="92">
        <v>942892</v>
      </c>
      <c r="I27">
        <v>899766</v>
      </c>
    </row>
    <row r="28" spans="1:9">
      <c r="D28" t="s">
        <v>93</v>
      </c>
      <c r="H28" s="77">
        <v>26491506</v>
      </c>
      <c r="I28">
        <v>23684078</v>
      </c>
    </row>
    <row r="29" spans="1:9">
      <c r="H29" s="83"/>
    </row>
    <row r="30" spans="1:9" s="5" customFormat="1">
      <c r="A30" s="5" t="s">
        <v>736</v>
      </c>
      <c r="H30" s="197">
        <v>185372</v>
      </c>
      <c r="I30" s="173">
        <v>44879</v>
      </c>
    </row>
    <row r="31" spans="1:9">
      <c r="H31" s="83"/>
    </row>
    <row r="32" spans="1:9">
      <c r="D32" s="7" t="s">
        <v>36</v>
      </c>
      <c r="E32" s="8"/>
      <c r="F32" s="8"/>
      <c r="G32" s="8"/>
      <c r="H32" s="87">
        <f>SUM(H24:H28)</f>
        <v>28689244</v>
      </c>
      <c r="I32" s="87">
        <f>SUM(I24:I28)</f>
        <v>25907802</v>
      </c>
    </row>
    <row r="33" spans="1:9">
      <c r="H33" s="83"/>
    </row>
    <row r="34" spans="1:9">
      <c r="A34" s="3" t="s">
        <v>39</v>
      </c>
      <c r="H34" s="83"/>
    </row>
    <row r="35" spans="1:9">
      <c r="B35" t="s">
        <v>119</v>
      </c>
      <c r="H35" s="88">
        <v>48848704</v>
      </c>
      <c r="I35">
        <v>73245853</v>
      </c>
    </row>
    <row r="36" spans="1:9">
      <c r="B36" t="s">
        <v>41</v>
      </c>
      <c r="H36" s="83"/>
    </row>
    <row r="37" spans="1:9">
      <c r="C37" t="s">
        <v>707</v>
      </c>
      <c r="H37" s="89">
        <v>722702</v>
      </c>
      <c r="I37">
        <v>712202</v>
      </c>
    </row>
    <row r="38" spans="1:9">
      <c r="C38" t="s">
        <v>737</v>
      </c>
      <c r="H38" s="89">
        <v>2893672</v>
      </c>
      <c r="I38">
        <v>2427545</v>
      </c>
    </row>
    <row r="39" spans="1:9">
      <c r="B39" t="s">
        <v>45</v>
      </c>
      <c r="H39" s="171">
        <v>1320096</v>
      </c>
      <c r="I39">
        <v>6284988</v>
      </c>
    </row>
    <row r="40" spans="1:9">
      <c r="H40" s="83"/>
      <c r="I40" s="125"/>
    </row>
    <row r="41" spans="1:9" s="3" customFormat="1">
      <c r="C41" s="9" t="s">
        <v>46</v>
      </c>
      <c r="D41" s="9"/>
      <c r="E41" s="9"/>
      <c r="F41" s="9"/>
      <c r="G41" s="9"/>
      <c r="H41" s="94">
        <f>SUM(H35:H39)</f>
        <v>53785174</v>
      </c>
      <c r="I41" s="172">
        <f>SUM(I35:I39)</f>
        <v>82670588</v>
      </c>
    </row>
    <row r="42" spans="1:9">
      <c r="H42" s="83"/>
    </row>
    <row r="43" spans="1:9">
      <c r="C43" s="10" t="s">
        <v>47</v>
      </c>
      <c r="D43" s="10"/>
      <c r="E43" s="10"/>
      <c r="F43" s="216"/>
      <c r="G43" s="216"/>
      <c r="H43" s="216">
        <f>H41+H32+H30</f>
        <v>82659790</v>
      </c>
      <c r="I43" s="216">
        <f>I41+I32+I30</f>
        <v>108623269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61"/>
  <sheetViews>
    <sheetView zoomScale="80" zoomScaleNormal="80" zoomScalePageLayoutView="80" workbookViewId="0">
      <selection activeCell="I62" sqref="I62"/>
    </sheetView>
  </sheetViews>
  <sheetFormatPr defaultColWidth="8.85546875" defaultRowHeight="14.45"/>
  <cols>
    <col min="1" max="1" width="3.28515625" customWidth="1"/>
    <col min="2" max="2" width="3" customWidth="1"/>
    <col min="3" max="3" width="5.42578125" customWidth="1"/>
    <col min="4" max="4" width="2.14062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72" t="s">
        <v>738</v>
      </c>
      <c r="E1" s="272"/>
      <c r="F1" s="272"/>
      <c r="G1" s="272"/>
      <c r="H1" s="272"/>
      <c r="I1" s="97"/>
    </row>
    <row r="2" spans="1:11" ht="15.75" customHeight="1">
      <c r="A2" s="1"/>
      <c r="B2" s="1"/>
      <c r="C2" s="1"/>
      <c r="D2" s="271" t="s">
        <v>1</v>
      </c>
      <c r="E2" s="271"/>
      <c r="F2" s="271"/>
      <c r="G2" s="271"/>
      <c r="H2" s="271"/>
      <c r="I2" s="98"/>
    </row>
    <row r="4" spans="1:11" ht="14.25" customHeight="1">
      <c r="H4" s="273" t="s">
        <v>2</v>
      </c>
      <c r="I4" s="273"/>
    </row>
    <row r="5" spans="1:11" ht="31.5" customHeight="1">
      <c r="H5" s="105" t="s">
        <v>3</v>
      </c>
      <c r="I5" s="105" t="s">
        <v>157</v>
      </c>
      <c r="J5" s="106" t="s">
        <v>74</v>
      </c>
      <c r="K5" s="5"/>
    </row>
    <row r="6" spans="1:11">
      <c r="A6" s="3" t="s">
        <v>5</v>
      </c>
      <c r="D6" s="3"/>
      <c r="G6" s="4"/>
      <c r="H6" s="4"/>
      <c r="I6" s="4"/>
    </row>
    <row r="7" spans="1:11">
      <c r="C7" t="s">
        <v>49</v>
      </c>
      <c r="H7" s="77">
        <v>3975044</v>
      </c>
      <c r="I7" s="83">
        <v>220076</v>
      </c>
      <c r="J7" s="83">
        <f t="shared" ref="J7:J17" si="0">SUM(H7:I7)</f>
        <v>4195120</v>
      </c>
    </row>
    <row r="8" spans="1:11">
      <c r="C8" t="s">
        <v>8</v>
      </c>
      <c r="H8" s="84">
        <v>2969821</v>
      </c>
      <c r="I8" s="83"/>
      <c r="J8" s="83">
        <f t="shared" si="0"/>
        <v>2969821</v>
      </c>
    </row>
    <row r="9" spans="1:11">
      <c r="C9" t="s">
        <v>50</v>
      </c>
      <c r="H9" s="78">
        <v>5566583</v>
      </c>
      <c r="I9" s="83"/>
      <c r="J9" s="83">
        <f t="shared" si="0"/>
        <v>5566583</v>
      </c>
    </row>
    <row r="10" spans="1:11">
      <c r="C10" t="s">
        <v>739</v>
      </c>
      <c r="H10" s="78">
        <v>62812</v>
      </c>
      <c r="I10" s="83"/>
      <c r="J10" s="83">
        <f t="shared" si="0"/>
        <v>62812</v>
      </c>
    </row>
    <row r="11" spans="1:11">
      <c r="C11" t="s">
        <v>740</v>
      </c>
      <c r="H11" s="83"/>
      <c r="I11" s="83">
        <v>33985</v>
      </c>
      <c r="J11" s="83">
        <f t="shared" si="0"/>
        <v>33985</v>
      </c>
    </row>
    <row r="12" spans="1:11">
      <c r="C12" t="s">
        <v>51</v>
      </c>
      <c r="H12" s="90">
        <v>73510</v>
      </c>
      <c r="I12" s="83"/>
      <c r="J12" s="83">
        <f t="shared" si="0"/>
        <v>73510</v>
      </c>
    </row>
    <row r="13" spans="1:11">
      <c r="C13" t="s">
        <v>741</v>
      </c>
      <c r="H13" s="79">
        <v>1523456</v>
      </c>
      <c r="I13" s="83"/>
      <c r="J13" s="83">
        <f t="shared" si="0"/>
        <v>1523456</v>
      </c>
    </row>
    <row r="14" spans="1:11">
      <c r="C14" t="s">
        <v>742</v>
      </c>
      <c r="H14" s="79">
        <v>903533</v>
      </c>
      <c r="I14" s="83"/>
      <c r="J14" s="83">
        <f t="shared" si="0"/>
        <v>903533</v>
      </c>
    </row>
    <row r="15" spans="1:11">
      <c r="C15" t="s">
        <v>743</v>
      </c>
      <c r="H15" s="83"/>
      <c r="I15" s="83"/>
      <c r="J15" s="83">
        <f t="shared" si="0"/>
        <v>0</v>
      </c>
    </row>
    <row r="16" spans="1:11">
      <c r="D16" t="s">
        <v>138</v>
      </c>
      <c r="H16" s="80">
        <v>2513741</v>
      </c>
      <c r="I16" s="83"/>
      <c r="J16" s="83">
        <f t="shared" si="0"/>
        <v>2513741</v>
      </c>
    </row>
    <row r="17" spans="1:10">
      <c r="D17" t="s">
        <v>142</v>
      </c>
      <c r="H17" s="80">
        <v>434154</v>
      </c>
      <c r="I17" s="83"/>
      <c r="J17" s="83">
        <f t="shared" si="0"/>
        <v>434154</v>
      </c>
    </row>
    <row r="18" spans="1:10">
      <c r="D18" t="s">
        <v>179</v>
      </c>
      <c r="H18" s="80">
        <v>35342409</v>
      </c>
      <c r="I18" s="83">
        <v>1539</v>
      </c>
      <c r="J18" s="83">
        <f>SUM(H18:I18)</f>
        <v>35343948</v>
      </c>
    </row>
    <row r="19" spans="1:10">
      <c r="H19" s="81"/>
      <c r="I19" s="81"/>
      <c r="J19" s="81"/>
    </row>
    <row r="20" spans="1:10" s="5" customFormat="1">
      <c r="C20" s="6" t="s">
        <v>17</v>
      </c>
      <c r="D20" s="6"/>
      <c r="E20" s="6"/>
      <c r="F20" s="6"/>
      <c r="G20" s="6"/>
      <c r="H20" s="82">
        <f>SUM(H7:H18)</f>
        <v>53365063</v>
      </c>
      <c r="I20" s="82">
        <f>SUM(I7:I18)</f>
        <v>255600</v>
      </c>
      <c r="J20" s="82">
        <f>SUM(J7:J18)</f>
        <v>53620663</v>
      </c>
    </row>
    <row r="21" spans="1:10" s="5" customFormat="1">
      <c r="H21" s="100"/>
      <c r="I21" s="100"/>
      <c r="J21" s="100"/>
    </row>
    <row r="22" spans="1:10" s="5" customFormat="1">
      <c r="A22" s="5" t="s">
        <v>18</v>
      </c>
      <c r="H22" s="100"/>
      <c r="I22" s="100"/>
      <c r="J22" s="100"/>
    </row>
    <row r="23" spans="1:10">
      <c r="C23" t="s">
        <v>744</v>
      </c>
      <c r="H23" s="83"/>
      <c r="I23" s="83"/>
      <c r="J23" s="83">
        <f>SUM(H23:I23)</f>
        <v>0</v>
      </c>
    </row>
    <row r="24" spans="1:10">
      <c r="D24" t="s">
        <v>745</v>
      </c>
      <c r="H24" s="83">
        <v>291797</v>
      </c>
      <c r="I24" s="83"/>
      <c r="J24" s="83">
        <f t="shared" ref="J24:J25" si="1">SUM(H24:I24)</f>
        <v>291797</v>
      </c>
    </row>
    <row r="25" spans="1:10">
      <c r="C25" t="s">
        <v>746</v>
      </c>
      <c r="H25" s="83">
        <v>422972</v>
      </c>
      <c r="I25" s="83"/>
      <c r="J25" s="83">
        <f t="shared" si="1"/>
        <v>422972</v>
      </c>
    </row>
    <row r="26" spans="1:10" s="5" customFormat="1">
      <c r="C26" s="5" t="s">
        <v>111</v>
      </c>
      <c r="H26" s="166">
        <f>SUM(H23:H25)</f>
        <v>714769</v>
      </c>
      <c r="I26" s="166">
        <f t="shared" ref="I26:J26" si="2">SUM(I23:I25)</f>
        <v>0</v>
      </c>
      <c r="J26" s="166">
        <f t="shared" si="2"/>
        <v>714769</v>
      </c>
    </row>
    <row r="27" spans="1:10" s="5" customFormat="1">
      <c r="H27" s="100"/>
      <c r="I27" s="100"/>
      <c r="J27" s="100"/>
    </row>
    <row r="28" spans="1:10">
      <c r="H28" s="83"/>
      <c r="I28" s="83"/>
      <c r="J28" s="83"/>
    </row>
    <row r="29" spans="1:10">
      <c r="A29" s="5" t="s">
        <v>22</v>
      </c>
      <c r="H29" s="83"/>
      <c r="I29" s="83"/>
      <c r="J29" s="83"/>
    </row>
    <row r="30" spans="1:10">
      <c r="C30" t="s">
        <v>23</v>
      </c>
      <c r="H30" s="84">
        <v>684647</v>
      </c>
      <c r="I30" s="83">
        <v>67</v>
      </c>
      <c r="J30" s="83">
        <f>SUM(H30:I30)</f>
        <v>684714</v>
      </c>
    </row>
    <row r="31" spans="1:10">
      <c r="C31" t="s">
        <v>747</v>
      </c>
      <c r="H31" s="107">
        <v>853311</v>
      </c>
      <c r="I31" s="83"/>
      <c r="J31" s="83">
        <f t="shared" ref="J31:J38" si="3">SUM(H31:I31)</f>
        <v>853311</v>
      </c>
    </row>
    <row r="32" spans="1:10">
      <c r="C32" t="s">
        <v>748</v>
      </c>
      <c r="H32" s="107">
        <v>16418</v>
      </c>
      <c r="I32" s="83"/>
      <c r="J32" s="83">
        <f t="shared" si="3"/>
        <v>16418</v>
      </c>
    </row>
    <row r="33" spans="1:10">
      <c r="C33" t="s">
        <v>87</v>
      </c>
      <c r="H33" s="96">
        <v>735348</v>
      </c>
      <c r="I33" s="83">
        <v>29006</v>
      </c>
      <c r="J33" s="83">
        <f t="shared" si="3"/>
        <v>764354</v>
      </c>
    </row>
    <row r="34" spans="1:10">
      <c r="C34" t="s">
        <v>749</v>
      </c>
      <c r="H34" s="79">
        <v>819356</v>
      </c>
      <c r="I34" s="83"/>
      <c r="J34" s="83">
        <f t="shared" si="3"/>
        <v>819356</v>
      </c>
    </row>
    <row r="35" spans="1:10">
      <c r="C35" t="s">
        <v>34</v>
      </c>
      <c r="H35" s="79">
        <v>140536</v>
      </c>
      <c r="I35" s="83"/>
      <c r="J35" s="83">
        <f t="shared" si="3"/>
        <v>140536</v>
      </c>
    </row>
    <row r="36" spans="1:10" ht="18" customHeight="1">
      <c r="C36" t="s">
        <v>29</v>
      </c>
      <c r="H36" s="83"/>
      <c r="I36" s="83"/>
      <c r="J36" s="83">
        <f t="shared" si="3"/>
        <v>0</v>
      </c>
    </row>
    <row r="37" spans="1:10">
      <c r="D37" t="s">
        <v>131</v>
      </c>
      <c r="H37" s="92">
        <v>1589575</v>
      </c>
      <c r="I37" s="83"/>
      <c r="J37" s="83">
        <f t="shared" si="3"/>
        <v>1589575</v>
      </c>
    </row>
    <row r="38" spans="1:10">
      <c r="D38" t="s">
        <v>750</v>
      </c>
      <c r="H38" s="77">
        <v>1535000</v>
      </c>
      <c r="I38" s="83"/>
      <c r="J38" s="83">
        <f t="shared" si="3"/>
        <v>1535000</v>
      </c>
    </row>
    <row r="39" spans="1:10">
      <c r="H39" s="81"/>
      <c r="I39" s="81"/>
      <c r="J39" s="81"/>
    </row>
    <row r="40" spans="1:10">
      <c r="D40" s="7" t="s">
        <v>36</v>
      </c>
      <c r="E40" s="8"/>
      <c r="F40" s="8"/>
      <c r="G40" s="8"/>
      <c r="H40" s="87">
        <f>SUM(H30:H38)</f>
        <v>6374191</v>
      </c>
      <c r="I40" s="87">
        <f>SUM(I30:I38)</f>
        <v>29073</v>
      </c>
      <c r="J40" s="87">
        <f>SUM(J30:J38)</f>
        <v>6403264</v>
      </c>
    </row>
    <row r="41" spans="1:10">
      <c r="D41" s="5"/>
      <c r="H41" s="100"/>
      <c r="I41" s="100"/>
      <c r="J41" s="100"/>
    </row>
    <row r="42" spans="1:10" s="5" customFormat="1">
      <c r="A42" s="5" t="s">
        <v>37</v>
      </c>
      <c r="H42" s="100"/>
      <c r="I42" s="100"/>
      <c r="J42" s="100"/>
    </row>
    <row r="43" spans="1:10">
      <c r="C43" t="s">
        <v>744</v>
      </c>
      <c r="H43" s="83"/>
      <c r="I43" s="83"/>
      <c r="J43" s="83"/>
    </row>
    <row r="44" spans="1:10">
      <c r="D44" t="s">
        <v>745</v>
      </c>
      <c r="H44" s="83">
        <v>719</v>
      </c>
      <c r="I44" s="83"/>
      <c r="J44" s="83">
        <f>SUM(H44:I44)</f>
        <v>719</v>
      </c>
    </row>
    <row r="45" spans="1:10">
      <c r="C45" t="s">
        <v>746</v>
      </c>
      <c r="H45" s="83">
        <v>62474</v>
      </c>
      <c r="I45" s="83"/>
      <c r="J45" s="83">
        <f>SUM(H45:I45)</f>
        <v>62474</v>
      </c>
    </row>
    <row r="46" spans="1:10" s="5" customFormat="1">
      <c r="C46" s="5" t="s">
        <v>118</v>
      </c>
      <c r="H46" s="166">
        <f>SUM(H44:H45)</f>
        <v>63193</v>
      </c>
      <c r="I46" s="166">
        <f t="shared" ref="I46:J46" si="4">SUM(I44:I45)</f>
        <v>0</v>
      </c>
      <c r="J46" s="166">
        <f t="shared" si="4"/>
        <v>63193</v>
      </c>
    </row>
    <row r="47" spans="1:10">
      <c r="H47" s="83"/>
      <c r="I47" s="83"/>
      <c r="J47" s="83"/>
    </row>
    <row r="48" spans="1:10">
      <c r="A48" s="3" t="s">
        <v>39</v>
      </c>
      <c r="H48" s="83"/>
      <c r="I48" s="83"/>
      <c r="J48" s="83"/>
    </row>
    <row r="49" spans="2:10">
      <c r="B49" t="s">
        <v>443</v>
      </c>
      <c r="H49" s="88">
        <v>35259109</v>
      </c>
      <c r="I49" s="83"/>
      <c r="J49" s="83">
        <f>SUM(H49:I49)</f>
        <v>35259109</v>
      </c>
    </row>
    <row r="50" spans="2:10">
      <c r="B50" t="s">
        <v>41</v>
      </c>
      <c r="H50" s="83"/>
      <c r="I50" s="83"/>
      <c r="J50" s="83"/>
    </row>
    <row r="51" spans="2:10">
      <c r="C51" t="s">
        <v>43</v>
      </c>
      <c r="H51" s="89">
        <v>903667</v>
      </c>
      <c r="I51" s="83"/>
      <c r="J51" s="83">
        <f t="shared" ref="J51:J57" si="5">SUM(H51:I51)</f>
        <v>903667</v>
      </c>
    </row>
    <row r="52" spans="2:10">
      <c r="C52" t="s">
        <v>102</v>
      </c>
      <c r="H52" s="89">
        <v>947374</v>
      </c>
      <c r="I52" s="83">
        <v>12979</v>
      </c>
      <c r="J52" s="83">
        <f t="shared" si="5"/>
        <v>960353</v>
      </c>
    </row>
    <row r="53" spans="2:10">
      <c r="C53" t="s">
        <v>751</v>
      </c>
      <c r="H53" s="89">
        <v>1714073</v>
      </c>
      <c r="I53" s="83"/>
      <c r="J53" s="83">
        <f t="shared" si="5"/>
        <v>1714073</v>
      </c>
    </row>
    <row r="54" spans="2:10">
      <c r="C54" t="s">
        <v>42</v>
      </c>
      <c r="H54" s="89">
        <v>1557083</v>
      </c>
      <c r="I54" s="83"/>
      <c r="J54" s="83">
        <f t="shared" si="5"/>
        <v>1557083</v>
      </c>
    </row>
    <row r="55" spans="2:10">
      <c r="C55" t="s">
        <v>752</v>
      </c>
      <c r="H55" s="89">
        <v>3330668</v>
      </c>
      <c r="I55" s="83"/>
      <c r="J55" s="83">
        <f t="shared" si="5"/>
        <v>3330668</v>
      </c>
    </row>
    <row r="56" spans="2:10">
      <c r="C56" t="s">
        <v>44</v>
      </c>
      <c r="H56" s="89">
        <v>1862054</v>
      </c>
      <c r="I56" s="83"/>
      <c r="J56" s="83">
        <f t="shared" si="5"/>
        <v>1862054</v>
      </c>
    </row>
    <row r="57" spans="2:10">
      <c r="B57" t="s">
        <v>45</v>
      </c>
      <c r="H57" s="93">
        <v>2068420</v>
      </c>
      <c r="I57" s="83">
        <v>216548</v>
      </c>
      <c r="J57" s="83">
        <f t="shared" si="5"/>
        <v>2284968</v>
      </c>
    </row>
    <row r="58" spans="2:10">
      <c r="H58" s="81"/>
      <c r="I58" s="81"/>
      <c r="J58" s="81"/>
    </row>
    <row r="59" spans="2:10" s="3" customFormat="1">
      <c r="C59" s="9" t="s">
        <v>46</v>
      </c>
      <c r="D59" s="9"/>
      <c r="E59" s="9"/>
      <c r="F59" s="9"/>
      <c r="G59" s="9"/>
      <c r="H59" s="94">
        <f>SUM(H49:H57)</f>
        <v>47642448</v>
      </c>
      <c r="I59" s="94">
        <f>SUM(I49:I57)</f>
        <v>229527</v>
      </c>
      <c r="J59" s="94">
        <f>SUM(J48:J57)</f>
        <v>47871975</v>
      </c>
    </row>
    <row r="60" spans="2:10">
      <c r="H60" s="83"/>
      <c r="I60" s="83"/>
      <c r="J60" s="83"/>
    </row>
    <row r="61" spans="2:10">
      <c r="C61" s="10" t="s">
        <v>47</v>
      </c>
      <c r="D61" s="10"/>
      <c r="E61" s="10"/>
      <c r="F61" s="216"/>
      <c r="G61" s="216"/>
      <c r="H61" s="216">
        <f>H59+H40+H46</f>
        <v>54079832</v>
      </c>
      <c r="I61" s="216">
        <f>I59+I40+I46</f>
        <v>258600</v>
      </c>
      <c r="J61" s="216">
        <f t="shared" ref="J61" si="6">J59+J40+J46</f>
        <v>54338432</v>
      </c>
    </row>
  </sheetData>
  <mergeCells count="3">
    <mergeCell ref="D1:H1"/>
    <mergeCell ref="D2:H2"/>
    <mergeCell ref="H4:I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50"/>
  <sheetViews>
    <sheetView zoomScale="80" zoomScaleNormal="80" zoomScalePageLayoutView="80" workbookViewId="0">
      <selection activeCell="M30" sqref="M30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72" t="s">
        <v>753</v>
      </c>
      <c r="E1" s="272"/>
      <c r="F1" s="272"/>
      <c r="G1" s="272"/>
      <c r="H1" s="272"/>
    </row>
    <row r="2" spans="1:10" ht="15.75" customHeight="1">
      <c r="A2" s="1"/>
      <c r="B2" s="1"/>
      <c r="C2" s="1"/>
      <c r="D2" s="271" t="s">
        <v>1</v>
      </c>
      <c r="E2" s="271"/>
      <c r="F2" s="271"/>
      <c r="G2" s="271"/>
      <c r="H2" s="271"/>
    </row>
    <row r="3" spans="1:10" ht="11.25" customHeight="1"/>
    <row r="4" spans="1:10" ht="30.75" customHeight="1">
      <c r="H4" s="267" t="s">
        <v>2</v>
      </c>
      <c r="I4" s="163" t="s">
        <v>108</v>
      </c>
    </row>
    <row r="5" spans="1:10" ht="31.5" customHeight="1">
      <c r="H5" s="105" t="s">
        <v>3</v>
      </c>
      <c r="I5" s="265" t="s">
        <v>754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7</v>
      </c>
      <c r="H7" s="77">
        <v>4888461</v>
      </c>
      <c r="I7" s="83">
        <v>334414</v>
      </c>
    </row>
    <row r="8" spans="1:10">
      <c r="C8" t="s">
        <v>8</v>
      </c>
      <c r="H8" s="84">
        <v>6218447</v>
      </c>
      <c r="I8" s="83">
        <v>357922</v>
      </c>
    </row>
    <row r="9" spans="1:10">
      <c r="C9" t="s">
        <v>50</v>
      </c>
      <c r="H9" s="78">
        <v>6087509</v>
      </c>
      <c r="I9" s="83">
        <v>70837</v>
      </c>
    </row>
    <row r="10" spans="1:10">
      <c r="C10" t="s">
        <v>125</v>
      </c>
      <c r="H10" s="79">
        <v>301660</v>
      </c>
      <c r="I10" s="83">
        <v>25607</v>
      </c>
    </row>
    <row r="11" spans="1:10">
      <c r="C11" t="s">
        <v>291</v>
      </c>
      <c r="H11" s="80">
        <v>1719932</v>
      </c>
      <c r="I11" s="83">
        <v>5000</v>
      </c>
    </row>
    <row r="12" spans="1:10">
      <c r="C12" t="s">
        <v>54</v>
      </c>
      <c r="H12" s="80">
        <v>10791881</v>
      </c>
      <c r="I12" s="83">
        <v>239582</v>
      </c>
    </row>
    <row r="13" spans="1:10">
      <c r="H13" s="81"/>
      <c r="I13" s="81"/>
    </row>
    <row r="14" spans="1:10" s="5" customFormat="1">
      <c r="C14" s="6" t="s">
        <v>17</v>
      </c>
      <c r="D14" s="6"/>
      <c r="E14" s="6"/>
      <c r="F14" s="6"/>
      <c r="G14" s="6"/>
      <c r="H14" s="82">
        <f>SUM(H7:H12)</f>
        <v>30007890</v>
      </c>
      <c r="I14" s="82">
        <f>SUM(I7:I12)</f>
        <v>1033362</v>
      </c>
    </row>
    <row r="15" spans="1:10">
      <c r="H15" s="83"/>
      <c r="I15" s="83"/>
    </row>
    <row r="16" spans="1:10">
      <c r="A16" t="s">
        <v>311</v>
      </c>
      <c r="H16" s="83"/>
      <c r="I16" s="83"/>
    </row>
    <row r="17" spans="1:9">
      <c r="B17" t="s">
        <v>180</v>
      </c>
      <c r="H17" s="83">
        <v>732297</v>
      </c>
      <c r="I17" s="83"/>
    </row>
    <row r="18" spans="1:9" s="5" customFormat="1">
      <c r="C18" s="5" t="s">
        <v>83</v>
      </c>
      <c r="H18" s="166">
        <f>H17</f>
        <v>732297</v>
      </c>
      <c r="I18" s="166">
        <f>I17</f>
        <v>0</v>
      </c>
    </row>
    <row r="19" spans="1:9">
      <c r="H19" s="83"/>
      <c r="I19" s="83"/>
    </row>
    <row r="20" spans="1:9">
      <c r="A20" s="5" t="s">
        <v>22</v>
      </c>
      <c r="H20" s="83"/>
      <c r="I20" s="83"/>
    </row>
    <row r="21" spans="1:9">
      <c r="A21" s="5"/>
      <c r="C21" t="s">
        <v>755</v>
      </c>
      <c r="H21" s="84">
        <v>233295</v>
      </c>
      <c r="I21" s="83">
        <v>54751</v>
      </c>
    </row>
    <row r="22" spans="1:9">
      <c r="C22" t="s">
        <v>756</v>
      </c>
      <c r="H22" s="84">
        <v>204828</v>
      </c>
      <c r="I22" s="83">
        <v>165</v>
      </c>
    </row>
    <row r="23" spans="1:9">
      <c r="C23" t="s">
        <v>145</v>
      </c>
      <c r="H23" s="84">
        <v>15573</v>
      </c>
      <c r="I23" s="83"/>
    </row>
    <row r="24" spans="1:9">
      <c r="C24" t="s">
        <v>87</v>
      </c>
      <c r="H24" s="96">
        <v>159042</v>
      </c>
      <c r="I24" s="83"/>
    </row>
    <row r="25" spans="1:9">
      <c r="C25" t="s">
        <v>757</v>
      </c>
      <c r="H25" s="79">
        <v>45918</v>
      </c>
      <c r="I25" s="83"/>
    </row>
    <row r="26" spans="1:9">
      <c r="C26" t="s">
        <v>29</v>
      </c>
      <c r="H26" s="83"/>
      <c r="I26" s="83"/>
    </row>
    <row r="27" spans="1:9">
      <c r="D27" t="s">
        <v>92</v>
      </c>
      <c r="H27" s="92">
        <v>440773</v>
      </c>
      <c r="I27" s="83"/>
    </row>
    <row r="28" spans="1:9">
      <c r="D28" t="s">
        <v>93</v>
      </c>
      <c r="H28" s="77">
        <v>3699514</v>
      </c>
      <c r="I28" s="83"/>
    </row>
    <row r="29" spans="1:9">
      <c r="H29" s="81"/>
      <c r="I29" s="81"/>
    </row>
    <row r="30" spans="1:9">
      <c r="D30" s="7" t="s">
        <v>36</v>
      </c>
      <c r="E30" s="8"/>
      <c r="F30" s="8"/>
      <c r="G30" s="8"/>
      <c r="H30" s="87">
        <f>SUM(H21:H28)</f>
        <v>4798943</v>
      </c>
      <c r="I30" s="87">
        <f>SUM(I21:I28)</f>
        <v>54916</v>
      </c>
    </row>
    <row r="31" spans="1:9">
      <c r="D31" s="5"/>
      <c r="H31" s="100"/>
      <c r="I31" s="100"/>
    </row>
    <row r="32" spans="1:9">
      <c r="A32" t="s">
        <v>316</v>
      </c>
      <c r="H32" s="83"/>
      <c r="I32" s="83"/>
    </row>
    <row r="33" spans="1:9">
      <c r="B33" t="s">
        <v>192</v>
      </c>
      <c r="H33" s="83">
        <v>93626</v>
      </c>
      <c r="I33" s="83"/>
    </row>
    <row r="34" spans="1:9" s="5" customFormat="1">
      <c r="C34" s="5" t="s">
        <v>98</v>
      </c>
      <c r="H34" s="166">
        <f>H33</f>
        <v>93626</v>
      </c>
      <c r="I34" s="166">
        <f>I33</f>
        <v>0</v>
      </c>
    </row>
    <row r="35" spans="1:9">
      <c r="H35" s="83"/>
      <c r="I35" s="83"/>
    </row>
    <row r="36" spans="1:9">
      <c r="A36" s="3" t="s">
        <v>39</v>
      </c>
      <c r="H36" s="83"/>
      <c r="I36" s="83"/>
    </row>
    <row r="37" spans="1:9">
      <c r="B37" t="s">
        <v>40</v>
      </c>
      <c r="H37" s="88">
        <v>12291749</v>
      </c>
      <c r="I37" s="83">
        <v>244582</v>
      </c>
    </row>
    <row r="38" spans="1:9">
      <c r="B38" t="s">
        <v>41</v>
      </c>
      <c r="H38" s="83"/>
      <c r="I38" s="83"/>
    </row>
    <row r="39" spans="1:9">
      <c r="C39" t="s">
        <v>758</v>
      </c>
      <c r="H39" s="89">
        <v>749371</v>
      </c>
      <c r="I39" s="83"/>
    </row>
    <row r="40" spans="1:9">
      <c r="C40" t="s">
        <v>294</v>
      </c>
      <c r="H40" s="89">
        <v>2646112</v>
      </c>
      <c r="I40" s="83"/>
    </row>
    <row r="41" spans="1:9">
      <c r="C41" t="s">
        <v>759</v>
      </c>
      <c r="H41" s="89">
        <v>2161081</v>
      </c>
      <c r="I41" s="83"/>
    </row>
    <row r="42" spans="1:9">
      <c r="C42" t="s">
        <v>760</v>
      </c>
      <c r="H42" s="89">
        <v>1559516</v>
      </c>
      <c r="I42" s="83"/>
    </row>
    <row r="43" spans="1:9">
      <c r="C43" t="s">
        <v>761</v>
      </c>
      <c r="H43" s="89">
        <v>1760</v>
      </c>
      <c r="I43" s="83"/>
    </row>
    <row r="44" spans="1:9">
      <c r="C44" t="s">
        <v>762</v>
      </c>
      <c r="H44" s="89">
        <v>38711</v>
      </c>
      <c r="I44" s="83"/>
    </row>
    <row r="45" spans="1:9">
      <c r="C45" t="s">
        <v>763</v>
      </c>
      <c r="H45" s="89">
        <v>11724</v>
      </c>
      <c r="I45" s="83"/>
    </row>
    <row r="46" spans="1:9">
      <c r="B46" t="s">
        <v>45</v>
      </c>
      <c r="H46" s="93">
        <v>4386594</v>
      </c>
      <c r="I46" s="83">
        <v>733864</v>
      </c>
    </row>
    <row r="47" spans="1:9">
      <c r="H47" s="81"/>
      <c r="I47" s="81"/>
    </row>
    <row r="48" spans="1:9" s="3" customFormat="1">
      <c r="C48" s="9" t="s">
        <v>46</v>
      </c>
      <c r="D48" s="9"/>
      <c r="E48" s="9"/>
      <c r="F48" s="9"/>
      <c r="G48" s="9"/>
      <c r="H48" s="94">
        <f>SUM(H37:H46)</f>
        <v>23846618</v>
      </c>
      <c r="I48" s="94">
        <f>SUM(I36:I46)</f>
        <v>978446</v>
      </c>
    </row>
    <row r="49" spans="3:9">
      <c r="H49" s="83"/>
      <c r="I49" s="83"/>
    </row>
    <row r="50" spans="3:9">
      <c r="C50" s="10" t="s">
        <v>47</v>
      </c>
      <c r="D50" s="10"/>
      <c r="E50" s="10"/>
      <c r="F50" s="216"/>
      <c r="G50" s="216"/>
      <c r="H50" s="216">
        <f>H48+H30+H34</f>
        <v>28739187</v>
      </c>
      <c r="I50" s="216">
        <f>I48+I30+I34</f>
        <v>1033362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47"/>
  <sheetViews>
    <sheetView workbookViewId="0">
      <selection activeCell="G31" sqref="G31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72" t="s">
        <v>764</v>
      </c>
      <c r="D1" s="272"/>
      <c r="E1" s="272"/>
      <c r="F1" s="272"/>
      <c r="G1" s="272"/>
    </row>
    <row r="2" spans="1:7" ht="18.600000000000001">
      <c r="A2" s="1"/>
      <c r="B2" s="1"/>
      <c r="C2" s="271" t="s">
        <v>1</v>
      </c>
      <c r="D2" s="271"/>
      <c r="E2" s="271"/>
      <c r="F2" s="271"/>
      <c r="G2" s="271"/>
    </row>
    <row r="3" spans="1:7" ht="18.600000000000001">
      <c r="A3" s="1"/>
      <c r="B3" s="1"/>
      <c r="C3" s="98"/>
      <c r="D3" s="98"/>
      <c r="E3" s="98"/>
      <c r="F3" s="98"/>
      <c r="G3" s="98"/>
    </row>
    <row r="4" spans="1:7">
      <c r="G4" s="5" t="s">
        <v>2</v>
      </c>
    </row>
    <row r="5" spans="1:7" ht="29.1">
      <c r="G5" s="2" t="s">
        <v>3</v>
      </c>
    </row>
    <row r="6" spans="1:7">
      <c r="A6" s="3" t="s">
        <v>5</v>
      </c>
      <c r="C6" s="3"/>
      <c r="F6" s="4"/>
      <c r="G6" s="4"/>
    </row>
    <row r="7" spans="1:7">
      <c r="B7" t="s">
        <v>7</v>
      </c>
      <c r="G7" s="77">
        <v>10377791</v>
      </c>
    </row>
    <row r="8" spans="1:7">
      <c r="B8" t="s">
        <v>8</v>
      </c>
      <c r="G8" s="84">
        <v>21163469</v>
      </c>
    </row>
    <row r="9" spans="1:7">
      <c r="B9" t="s">
        <v>765</v>
      </c>
      <c r="G9" s="84">
        <v>108000</v>
      </c>
    </row>
    <row r="10" spans="1:7">
      <c r="B10" t="s">
        <v>9</v>
      </c>
      <c r="G10" s="78">
        <v>8355889</v>
      </c>
    </row>
    <row r="11" spans="1:7">
      <c r="B11" t="s">
        <v>158</v>
      </c>
      <c r="G11" s="77">
        <v>189063</v>
      </c>
    </row>
    <row r="12" spans="1:7">
      <c r="B12" t="s">
        <v>51</v>
      </c>
      <c r="G12" s="90">
        <v>1876766</v>
      </c>
    </row>
    <row r="13" spans="1:7">
      <c r="B13" t="s">
        <v>11</v>
      </c>
      <c r="G13" s="78">
        <v>32880</v>
      </c>
    </row>
    <row r="14" spans="1:7">
      <c r="B14" t="s">
        <v>14</v>
      </c>
      <c r="G14" s="83"/>
    </row>
    <row r="15" spans="1:7">
      <c r="C15" t="s">
        <v>766</v>
      </c>
      <c r="G15" s="80">
        <v>4185728</v>
      </c>
    </row>
    <row r="16" spans="1:7">
      <c r="C16" t="s">
        <v>436</v>
      </c>
      <c r="G16" s="91">
        <v>59896413</v>
      </c>
    </row>
    <row r="17" spans="1:7">
      <c r="G17" s="83"/>
    </row>
    <row r="18" spans="1:7">
      <c r="A18" s="5"/>
      <c r="B18" s="6" t="s">
        <v>17</v>
      </c>
      <c r="C18" s="6"/>
      <c r="D18" s="6"/>
      <c r="E18" s="6"/>
      <c r="F18" s="6"/>
      <c r="G18" s="82">
        <f>SUM(G7:G16)</f>
        <v>106185999</v>
      </c>
    </row>
    <row r="19" spans="1:7">
      <c r="A19" s="5"/>
      <c r="B19" s="5"/>
      <c r="C19" s="5"/>
      <c r="D19" s="5"/>
      <c r="E19" s="5"/>
      <c r="F19" s="5"/>
      <c r="G19" s="100"/>
    </row>
    <row r="20" spans="1:7">
      <c r="A20" s="5" t="s">
        <v>18</v>
      </c>
      <c r="B20" s="5"/>
      <c r="C20" s="5"/>
      <c r="D20" s="5"/>
      <c r="E20" s="5"/>
      <c r="F20" s="5"/>
      <c r="G20" s="100"/>
    </row>
    <row r="21" spans="1:7">
      <c r="A21" s="5"/>
      <c r="B21" t="s">
        <v>482</v>
      </c>
      <c r="C21" s="5"/>
      <c r="D21" s="5"/>
      <c r="E21" s="5"/>
      <c r="F21" s="5"/>
      <c r="G21" s="197">
        <v>1658855</v>
      </c>
    </row>
    <row r="22" spans="1:7">
      <c r="G22" s="83"/>
    </row>
    <row r="23" spans="1:7">
      <c r="A23" s="5" t="s">
        <v>22</v>
      </c>
      <c r="G23" s="83"/>
    </row>
    <row r="24" spans="1:7">
      <c r="A24" s="5"/>
      <c r="B24" t="s">
        <v>23</v>
      </c>
      <c r="G24" s="84">
        <v>817207</v>
      </c>
    </row>
    <row r="25" spans="1:7">
      <c r="A25" s="5"/>
      <c r="B25" t="s">
        <v>187</v>
      </c>
      <c r="G25" s="83"/>
    </row>
    <row r="26" spans="1:7">
      <c r="A26" s="5"/>
      <c r="C26" t="s">
        <v>364</v>
      </c>
      <c r="G26" s="92">
        <v>352000</v>
      </c>
    </row>
    <row r="27" spans="1:7">
      <c r="A27" s="5"/>
      <c r="C27" t="s">
        <v>93</v>
      </c>
      <c r="G27" s="77">
        <v>9116320</v>
      </c>
    </row>
    <row r="28" spans="1:7">
      <c r="A28" s="5"/>
      <c r="B28" t="s">
        <v>34</v>
      </c>
      <c r="G28" s="79">
        <v>581665</v>
      </c>
    </row>
    <row r="29" spans="1:7">
      <c r="G29" s="81"/>
    </row>
    <row r="30" spans="1:7">
      <c r="C30" s="7" t="s">
        <v>36</v>
      </c>
      <c r="D30" s="8"/>
      <c r="E30" s="8"/>
      <c r="F30" s="8"/>
      <c r="G30" s="87">
        <f>SUM(G24:G28)</f>
        <v>10867192</v>
      </c>
    </row>
    <row r="31" spans="1:7">
      <c r="G31" s="83"/>
    </row>
    <row r="32" spans="1:7">
      <c r="A32" s="5" t="s">
        <v>37</v>
      </c>
      <c r="G32" s="83"/>
    </row>
    <row r="33" spans="1:7">
      <c r="A33" s="5"/>
      <c r="B33" t="s">
        <v>482</v>
      </c>
      <c r="G33" s="83">
        <v>237883</v>
      </c>
    </row>
    <row r="34" spans="1:7">
      <c r="B34" t="s">
        <v>767</v>
      </c>
      <c r="G34" s="83">
        <v>366242</v>
      </c>
    </row>
    <row r="35" spans="1:7">
      <c r="B35" t="s">
        <v>768</v>
      </c>
      <c r="G35" s="122">
        <v>9081687</v>
      </c>
    </row>
    <row r="36" spans="1:7">
      <c r="C36" t="s">
        <v>98</v>
      </c>
      <c r="G36" s="83">
        <f>SUM(G33:G35)</f>
        <v>9685812</v>
      </c>
    </row>
    <row r="37" spans="1:7">
      <c r="G37" s="83"/>
    </row>
    <row r="38" spans="1:7">
      <c r="A38" s="3" t="s">
        <v>39</v>
      </c>
      <c r="G38" s="83"/>
    </row>
    <row r="39" spans="1:7">
      <c r="B39" t="s">
        <v>40</v>
      </c>
      <c r="G39" s="88">
        <v>60257141</v>
      </c>
    </row>
    <row r="40" spans="1:7">
      <c r="B40" t="s">
        <v>41</v>
      </c>
      <c r="G40" s="83"/>
    </row>
    <row r="41" spans="1:7">
      <c r="C41" t="s">
        <v>42</v>
      </c>
      <c r="G41" s="89">
        <v>323029</v>
      </c>
    </row>
    <row r="42" spans="1:7">
      <c r="C42" t="s">
        <v>769</v>
      </c>
      <c r="G42" s="89">
        <v>116203</v>
      </c>
    </row>
    <row r="43" spans="1:7">
      <c r="B43" t="s">
        <v>45</v>
      </c>
      <c r="G43" s="93">
        <v>26595477</v>
      </c>
    </row>
    <row r="44" spans="1:7">
      <c r="G44" s="81"/>
    </row>
    <row r="45" spans="1:7">
      <c r="A45" s="3"/>
      <c r="B45" s="9" t="s">
        <v>46</v>
      </c>
      <c r="C45" s="9"/>
      <c r="D45" s="9"/>
      <c r="E45" s="9"/>
      <c r="F45" s="9"/>
      <c r="G45" s="94">
        <f>SUM(G39:G43)</f>
        <v>87291850</v>
      </c>
    </row>
    <row r="46" spans="1:7">
      <c r="G46" s="83"/>
    </row>
    <row r="47" spans="1:7">
      <c r="B47" s="10" t="s">
        <v>47</v>
      </c>
      <c r="C47" s="10"/>
      <c r="D47" s="10"/>
      <c r="E47" s="216"/>
      <c r="F47" s="216"/>
      <c r="G47" s="216">
        <f>G45+G30</f>
        <v>98159042</v>
      </c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43"/>
  <sheetViews>
    <sheetView zoomScale="110" zoomScaleNormal="110" zoomScalePageLayoutView="110" workbookViewId="0">
      <selection activeCell="K38" sqref="K38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</cols>
  <sheetData>
    <row r="1" spans="1:9" ht="18.75" customHeight="1">
      <c r="A1" s="1"/>
      <c r="B1" s="1"/>
      <c r="C1" s="1"/>
      <c r="D1" s="272" t="s">
        <v>770</v>
      </c>
      <c r="E1" s="272"/>
      <c r="F1" s="272"/>
      <c r="G1" s="272"/>
      <c r="H1" s="272"/>
    </row>
    <row r="2" spans="1:9" ht="18.600000000000001">
      <c r="A2" s="1"/>
      <c r="B2" s="1"/>
      <c r="C2" s="1"/>
      <c r="D2" s="271" t="s">
        <v>1</v>
      </c>
      <c r="E2" s="271"/>
      <c r="F2" s="271"/>
      <c r="G2" s="271"/>
      <c r="H2" s="271"/>
    </row>
    <row r="4" spans="1:9" ht="29.1">
      <c r="H4" s="267" t="s">
        <v>2</v>
      </c>
    </row>
    <row r="5" spans="1:9" ht="29.1">
      <c r="H5" s="105" t="s">
        <v>3</v>
      </c>
      <c r="I5" s="5"/>
    </row>
    <row r="6" spans="1:9">
      <c r="A6" s="3" t="s">
        <v>5</v>
      </c>
      <c r="D6" s="3"/>
      <c r="G6" s="4"/>
      <c r="H6" s="4"/>
    </row>
    <row r="7" spans="1:9">
      <c r="C7" t="s">
        <v>7</v>
      </c>
      <c r="H7" s="77">
        <v>6646178</v>
      </c>
    </row>
    <row r="8" spans="1:9">
      <c r="C8" t="s">
        <v>50</v>
      </c>
      <c r="H8" s="78">
        <v>1224084</v>
      </c>
    </row>
    <row r="9" spans="1:9">
      <c r="C9" t="s">
        <v>771</v>
      </c>
      <c r="H9" s="79">
        <v>871963</v>
      </c>
    </row>
    <row r="10" spans="1:9">
      <c r="C10" t="s">
        <v>54</v>
      </c>
      <c r="H10" s="80">
        <v>13933687</v>
      </c>
    </row>
    <row r="11" spans="1:9">
      <c r="H11" s="81"/>
    </row>
    <row r="12" spans="1:9" s="5" customFormat="1">
      <c r="C12" s="6" t="s">
        <v>17</v>
      </c>
      <c r="D12" s="6"/>
      <c r="E12" s="6"/>
      <c r="F12" s="6"/>
      <c r="G12" s="6"/>
      <c r="H12" s="82">
        <f>SUM(H7:H10)</f>
        <v>22675912</v>
      </c>
    </row>
    <row r="13" spans="1:9" s="5" customFormat="1">
      <c r="H13" s="100"/>
    </row>
    <row r="14" spans="1:9" s="5" customFormat="1">
      <c r="A14" s="5" t="s">
        <v>215</v>
      </c>
      <c r="H14" s="100"/>
    </row>
    <row r="15" spans="1:9" s="5" customFormat="1">
      <c r="C15" t="s">
        <v>20</v>
      </c>
      <c r="H15" s="197">
        <v>102013</v>
      </c>
    </row>
    <row r="16" spans="1:9">
      <c r="H16" s="83"/>
    </row>
    <row r="17" spans="1:8">
      <c r="A17" s="5" t="s">
        <v>22</v>
      </c>
      <c r="H17" s="83"/>
    </row>
    <row r="18" spans="1:8">
      <c r="C18" t="s">
        <v>471</v>
      </c>
      <c r="H18" s="84">
        <v>201775</v>
      </c>
    </row>
    <row r="19" spans="1:8">
      <c r="C19" t="s">
        <v>32</v>
      </c>
      <c r="H19" s="86">
        <v>99400</v>
      </c>
    </row>
    <row r="20" spans="1:8">
      <c r="C20" t="s">
        <v>225</v>
      </c>
      <c r="H20" s="92">
        <v>14133</v>
      </c>
    </row>
    <row r="21" spans="1:8">
      <c r="C21" t="s">
        <v>226</v>
      </c>
      <c r="H21" s="77">
        <v>67339</v>
      </c>
    </row>
    <row r="22" spans="1:8">
      <c r="C22" t="s">
        <v>34</v>
      </c>
      <c r="H22" s="79">
        <v>102273</v>
      </c>
    </row>
    <row r="23" spans="1:8">
      <c r="C23" t="s">
        <v>772</v>
      </c>
      <c r="H23" s="79">
        <v>2604250</v>
      </c>
    </row>
    <row r="24" spans="1:8">
      <c r="H24" s="81"/>
    </row>
    <row r="25" spans="1:8">
      <c r="D25" s="7" t="s">
        <v>36</v>
      </c>
      <c r="E25" s="8"/>
      <c r="F25" s="8"/>
      <c r="G25" s="8"/>
      <c r="H25" s="87">
        <f>SUM(H18:H23)</f>
        <v>3089170</v>
      </c>
    </row>
    <row r="26" spans="1:8">
      <c r="H26" s="83"/>
    </row>
    <row r="27" spans="1:8">
      <c r="A27" s="5" t="s">
        <v>218</v>
      </c>
      <c r="H27" s="83"/>
    </row>
    <row r="28" spans="1:8">
      <c r="C28" t="s">
        <v>20</v>
      </c>
      <c r="H28" s="197">
        <v>24649</v>
      </c>
    </row>
    <row r="29" spans="1:8">
      <c r="H29" s="83"/>
    </row>
    <row r="30" spans="1:8">
      <c r="A30" s="3" t="s">
        <v>39</v>
      </c>
      <c r="H30" s="83"/>
    </row>
    <row r="31" spans="1:8">
      <c r="B31" t="s">
        <v>40</v>
      </c>
      <c r="H31" s="88">
        <v>13852215</v>
      </c>
    </row>
    <row r="32" spans="1:8">
      <c r="B32" t="s">
        <v>41</v>
      </c>
      <c r="H32" s="83"/>
    </row>
    <row r="33" spans="2:8">
      <c r="C33" t="s">
        <v>69</v>
      </c>
      <c r="H33" s="89">
        <v>5564983</v>
      </c>
    </row>
    <row r="34" spans="2:8">
      <c r="C34" t="s">
        <v>101</v>
      </c>
      <c r="H34" s="89">
        <v>398497</v>
      </c>
    </row>
    <row r="35" spans="2:8">
      <c r="C35" t="s">
        <v>102</v>
      </c>
      <c r="H35" s="89">
        <v>533945</v>
      </c>
    </row>
    <row r="36" spans="2:8">
      <c r="C36" t="s">
        <v>773</v>
      </c>
      <c r="H36" s="89">
        <v>46436</v>
      </c>
    </row>
    <row r="37" spans="2:8">
      <c r="C37" t="s">
        <v>774</v>
      </c>
      <c r="H37" s="89">
        <v>115108</v>
      </c>
    </row>
    <row r="38" spans="2:8">
      <c r="C38" t="s">
        <v>775</v>
      </c>
      <c r="H38" s="89">
        <v>871963</v>
      </c>
    </row>
    <row r="39" spans="2:8">
      <c r="B39" t="s">
        <v>45</v>
      </c>
      <c r="H39" s="93">
        <v>-1719041</v>
      </c>
    </row>
    <row r="40" spans="2:8">
      <c r="H40" s="81"/>
    </row>
    <row r="41" spans="2:8" s="3" customFormat="1">
      <c r="C41" s="9" t="s">
        <v>46</v>
      </c>
      <c r="D41" s="9"/>
      <c r="E41" s="9"/>
      <c r="F41" s="9"/>
      <c r="G41" s="9"/>
      <c r="H41" s="94">
        <f>SUM(H31:H39)</f>
        <v>19664106</v>
      </c>
    </row>
    <row r="42" spans="2:8">
      <c r="H42" s="83"/>
    </row>
    <row r="43" spans="2:8">
      <c r="C43" s="10" t="s">
        <v>47</v>
      </c>
      <c r="D43" s="10"/>
      <c r="E43" s="10"/>
      <c r="F43" s="216"/>
      <c r="G43" s="216"/>
      <c r="H43" s="216">
        <f>H41+H25</f>
        <v>22753276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52"/>
  <sheetViews>
    <sheetView topLeftCell="A9" workbookViewId="0">
      <selection activeCell="N33" sqref="N33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22" customWidth="1"/>
    <col min="10" max="10" width="17.140625" customWidth="1"/>
    <col min="11" max="11" width="20.28515625" customWidth="1"/>
  </cols>
  <sheetData>
    <row r="1" spans="1:12" ht="18.75" customHeight="1">
      <c r="A1" s="1"/>
      <c r="B1" s="1"/>
      <c r="C1" s="1"/>
      <c r="D1" s="272" t="s">
        <v>776</v>
      </c>
      <c r="E1" s="272"/>
      <c r="F1" s="272"/>
      <c r="G1" s="272"/>
      <c r="H1" s="272"/>
      <c r="I1" s="97"/>
      <c r="J1" s="97"/>
    </row>
    <row r="2" spans="1:12" ht="15.75" customHeight="1">
      <c r="A2" s="1"/>
      <c r="B2" s="1"/>
      <c r="C2" s="1"/>
      <c r="D2" s="271" t="s">
        <v>777</v>
      </c>
      <c r="E2" s="271"/>
      <c r="F2" s="271"/>
      <c r="G2" s="271"/>
      <c r="H2" s="271"/>
      <c r="I2" s="98"/>
      <c r="J2" s="98"/>
    </row>
    <row r="3" spans="1:12" ht="11.25" customHeight="1"/>
    <row r="4" spans="1:12" ht="15" customHeight="1">
      <c r="H4" s="277" t="s">
        <v>2</v>
      </c>
      <c r="I4" s="277"/>
      <c r="J4" s="277"/>
      <c r="K4" s="163" t="s">
        <v>4</v>
      </c>
    </row>
    <row r="5" spans="1:12" ht="31.5" customHeight="1">
      <c r="H5" s="105" t="s">
        <v>3</v>
      </c>
      <c r="I5" s="105" t="s">
        <v>157</v>
      </c>
      <c r="J5" s="105" t="s">
        <v>74</v>
      </c>
      <c r="K5" s="163" t="s">
        <v>73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7</v>
      </c>
      <c r="H7" s="77">
        <v>110339</v>
      </c>
      <c r="I7" s="83">
        <v>465156</v>
      </c>
      <c r="J7" s="83">
        <f>SUM(H7:I7)</f>
        <v>575495</v>
      </c>
      <c r="K7" s="83">
        <v>4686062</v>
      </c>
    </row>
    <row r="8" spans="1:12">
      <c r="C8" t="s">
        <v>778</v>
      </c>
      <c r="I8" s="83"/>
      <c r="J8" s="83">
        <f t="shared" ref="J8:J21" si="0">SUM(H8:I8)</f>
        <v>0</v>
      </c>
      <c r="K8" s="83">
        <v>2997251</v>
      </c>
    </row>
    <row r="9" spans="1:12">
      <c r="C9" t="s">
        <v>8</v>
      </c>
      <c r="H9" s="84">
        <v>10899604</v>
      </c>
      <c r="I9" s="83">
        <v>278861</v>
      </c>
      <c r="J9" s="83">
        <f t="shared" si="0"/>
        <v>11178465</v>
      </c>
      <c r="K9" s="83"/>
    </row>
    <row r="10" spans="1:12">
      <c r="C10" t="s">
        <v>9</v>
      </c>
      <c r="H10" s="78">
        <v>302613</v>
      </c>
      <c r="I10" s="83"/>
      <c r="J10" s="83">
        <v>302613</v>
      </c>
      <c r="K10" s="83">
        <v>700725</v>
      </c>
    </row>
    <row r="11" spans="1:12">
      <c r="C11" t="s">
        <v>51</v>
      </c>
      <c r="H11" s="90">
        <v>138401</v>
      </c>
      <c r="I11" s="83"/>
      <c r="J11" s="83">
        <f t="shared" si="0"/>
        <v>138401</v>
      </c>
      <c r="K11" s="83"/>
    </row>
    <row r="12" spans="1:12">
      <c r="C12" t="s">
        <v>779</v>
      </c>
      <c r="H12" s="78">
        <v>107324</v>
      </c>
      <c r="I12" s="83">
        <v>101572</v>
      </c>
      <c r="J12" s="83">
        <f t="shared" si="0"/>
        <v>208896</v>
      </c>
      <c r="K12" s="83">
        <v>3215993</v>
      </c>
    </row>
    <row r="13" spans="1:12">
      <c r="C13" t="s">
        <v>52</v>
      </c>
      <c r="I13" s="83"/>
      <c r="J13" s="83">
        <f t="shared" si="0"/>
        <v>0</v>
      </c>
      <c r="K13" s="83">
        <v>107277</v>
      </c>
    </row>
    <row r="14" spans="1:12">
      <c r="C14" t="s">
        <v>780</v>
      </c>
      <c r="I14" s="83"/>
      <c r="J14" s="83"/>
      <c r="K14" s="83">
        <v>502229</v>
      </c>
    </row>
    <row r="15" spans="1:12">
      <c r="C15" t="s">
        <v>136</v>
      </c>
      <c r="H15" s="79">
        <v>178716</v>
      </c>
      <c r="I15" s="83">
        <v>28502</v>
      </c>
      <c r="J15" s="83">
        <f t="shared" si="0"/>
        <v>207218</v>
      </c>
      <c r="K15" s="83">
        <v>262525</v>
      </c>
    </row>
    <row r="16" spans="1:12">
      <c r="C16" t="s">
        <v>201</v>
      </c>
      <c r="H16" s="83"/>
      <c r="I16" s="83"/>
      <c r="J16" s="83">
        <f t="shared" si="0"/>
        <v>0</v>
      </c>
      <c r="K16" s="83"/>
    </row>
    <row r="17" spans="1:11">
      <c r="D17" t="s">
        <v>7</v>
      </c>
      <c r="H17" s="77">
        <v>454</v>
      </c>
      <c r="I17" s="83">
        <v>150579</v>
      </c>
      <c r="J17" s="83">
        <f t="shared" si="0"/>
        <v>151033</v>
      </c>
      <c r="K17" s="83">
        <v>5238252</v>
      </c>
    </row>
    <row r="18" spans="1:11">
      <c r="D18" t="s">
        <v>778</v>
      </c>
      <c r="H18" s="83"/>
      <c r="I18" s="83"/>
      <c r="J18" s="83">
        <f t="shared" si="0"/>
        <v>0</v>
      </c>
      <c r="K18" s="83">
        <v>1038904</v>
      </c>
    </row>
    <row r="19" spans="1:11">
      <c r="D19" t="s">
        <v>8</v>
      </c>
      <c r="H19" s="84">
        <v>402650</v>
      </c>
      <c r="I19" s="83">
        <v>205353</v>
      </c>
      <c r="J19" s="83">
        <f t="shared" si="0"/>
        <v>608003</v>
      </c>
      <c r="K19" s="83">
        <v>4812156</v>
      </c>
    </row>
    <row r="20" spans="1:11">
      <c r="C20" t="s">
        <v>14</v>
      </c>
      <c r="H20" s="83"/>
      <c r="I20" s="83"/>
      <c r="J20" s="83">
        <f t="shared" si="0"/>
        <v>0</v>
      </c>
      <c r="K20" s="83"/>
    </row>
    <row r="21" spans="1:11">
      <c r="D21" t="s">
        <v>178</v>
      </c>
      <c r="H21" s="80">
        <v>1388267</v>
      </c>
      <c r="I21" s="83">
        <v>222849</v>
      </c>
      <c r="J21" s="83">
        <f t="shared" si="0"/>
        <v>1611116</v>
      </c>
      <c r="K21" s="83">
        <v>3117632</v>
      </c>
    </row>
    <row r="22" spans="1:11">
      <c r="D22" t="s">
        <v>16</v>
      </c>
      <c r="H22" s="80">
        <v>18060953</v>
      </c>
      <c r="I22" s="83">
        <v>9456996</v>
      </c>
      <c r="J22" s="83">
        <f>SUM(H22:I22)</f>
        <v>27517949</v>
      </c>
      <c r="K22" s="83">
        <v>4707616</v>
      </c>
    </row>
    <row r="23" spans="1:11">
      <c r="H23" s="81"/>
      <c r="I23" s="81"/>
      <c r="J23" s="81"/>
      <c r="K23" s="81"/>
    </row>
    <row r="24" spans="1:11" s="5" customFormat="1">
      <c r="C24" s="6" t="s">
        <v>17</v>
      </c>
      <c r="D24" s="6"/>
      <c r="E24" s="6"/>
      <c r="F24" s="6"/>
      <c r="G24" s="6"/>
      <c r="H24" s="82">
        <f>SUM(H7:H22)</f>
        <v>31589321</v>
      </c>
      <c r="I24" s="82">
        <f>SUM(I7:I22)</f>
        <v>10909868</v>
      </c>
      <c r="J24" s="82">
        <f>SUM(J7:J22)</f>
        <v>42499189</v>
      </c>
      <c r="K24" s="82">
        <f>SUM(K7:K22)</f>
        <v>31386622</v>
      </c>
    </row>
    <row r="25" spans="1:11">
      <c r="H25" s="83"/>
      <c r="I25" s="83"/>
      <c r="J25" s="83"/>
      <c r="K25" s="83"/>
    </row>
    <row r="26" spans="1:11">
      <c r="H26" s="83"/>
      <c r="I26" s="83"/>
      <c r="J26" s="83"/>
      <c r="K26" s="83"/>
    </row>
    <row r="27" spans="1:11">
      <c r="A27" s="5" t="s">
        <v>22</v>
      </c>
      <c r="H27" s="83"/>
      <c r="I27" s="83"/>
      <c r="J27" s="83"/>
      <c r="K27" s="83"/>
    </row>
    <row r="28" spans="1:11">
      <c r="A28" s="5"/>
      <c r="C28" t="s">
        <v>57</v>
      </c>
      <c r="H28" s="84">
        <v>457756</v>
      </c>
      <c r="I28" s="83">
        <v>47471</v>
      </c>
      <c r="J28" s="83">
        <f t="shared" ref="J28:J34" si="1">SUM(H28:I28)</f>
        <v>505227</v>
      </c>
      <c r="K28" s="83">
        <v>515409</v>
      </c>
    </row>
    <row r="29" spans="1:11">
      <c r="C29" t="s">
        <v>781</v>
      </c>
      <c r="H29" s="79">
        <v>140421</v>
      </c>
      <c r="I29" s="83">
        <v>19858</v>
      </c>
      <c r="J29" s="83">
        <f t="shared" si="1"/>
        <v>160279</v>
      </c>
      <c r="K29" s="83">
        <v>1057189</v>
      </c>
    </row>
    <row r="30" spans="1:11">
      <c r="C30" t="s">
        <v>89</v>
      </c>
      <c r="I30" s="83">
        <v>150579</v>
      </c>
      <c r="J30" s="83">
        <f t="shared" si="1"/>
        <v>150579</v>
      </c>
      <c r="K30" s="83"/>
    </row>
    <row r="31" spans="1:11">
      <c r="C31" t="s">
        <v>76</v>
      </c>
      <c r="H31" s="79">
        <v>33061</v>
      </c>
      <c r="I31" s="83">
        <v>-33061</v>
      </c>
      <c r="J31" s="83">
        <f t="shared" si="1"/>
        <v>0</v>
      </c>
      <c r="K31" s="83"/>
    </row>
    <row r="32" spans="1:11">
      <c r="C32" t="s">
        <v>29</v>
      </c>
      <c r="H32" s="83"/>
      <c r="I32" s="83"/>
      <c r="J32" s="83"/>
      <c r="K32" s="83"/>
    </row>
    <row r="33" spans="1:11">
      <c r="D33" t="s">
        <v>92</v>
      </c>
      <c r="H33" s="92">
        <v>202787</v>
      </c>
      <c r="I33" s="83">
        <v>132418</v>
      </c>
      <c r="J33" s="83">
        <f t="shared" si="1"/>
        <v>335205</v>
      </c>
      <c r="K33" s="83"/>
    </row>
    <row r="34" spans="1:11">
      <c r="D34" t="s">
        <v>782</v>
      </c>
      <c r="H34" s="77">
        <v>3573051</v>
      </c>
      <c r="I34" s="83">
        <v>3046345</v>
      </c>
      <c r="J34" s="83">
        <f t="shared" si="1"/>
        <v>6619396</v>
      </c>
      <c r="K34" s="83"/>
    </row>
    <row r="35" spans="1:11">
      <c r="D35" t="s">
        <v>34</v>
      </c>
      <c r="H35" s="8">
        <v>52408</v>
      </c>
      <c r="I35" s="83">
        <v>1627</v>
      </c>
      <c r="J35" s="83">
        <v>54035</v>
      </c>
      <c r="K35" s="83"/>
    </row>
    <row r="36" spans="1:11">
      <c r="H36" s="81"/>
      <c r="I36" s="81"/>
      <c r="J36" s="81"/>
      <c r="K36" s="81"/>
    </row>
    <row r="37" spans="1:11">
      <c r="D37" s="7" t="s">
        <v>36</v>
      </c>
      <c r="E37" s="8"/>
      <c r="F37" s="8"/>
      <c r="G37" s="8"/>
      <c r="H37" s="87">
        <f>SUM(H28:H35)</f>
        <v>4459484</v>
      </c>
      <c r="I37" s="87">
        <f>SUM(I28:I35)</f>
        <v>3365237</v>
      </c>
      <c r="J37" s="87">
        <f>SUM(J28:J35)</f>
        <v>7824721</v>
      </c>
      <c r="K37" s="87">
        <f>SUM(K28:K35)</f>
        <v>1572598</v>
      </c>
    </row>
    <row r="38" spans="1:11">
      <c r="H38" s="83"/>
      <c r="I38" s="83"/>
      <c r="J38" s="83"/>
      <c r="K38" s="83"/>
    </row>
    <row r="39" spans="1:11">
      <c r="H39" s="83"/>
      <c r="I39" s="83"/>
      <c r="J39" s="83"/>
      <c r="K39" s="83"/>
    </row>
    <row r="40" spans="1:11">
      <c r="A40" s="3" t="s">
        <v>39</v>
      </c>
      <c r="H40" s="83"/>
      <c r="I40" s="83"/>
      <c r="J40" s="83"/>
      <c r="K40" s="83"/>
    </row>
    <row r="41" spans="1:11">
      <c r="B41" t="s">
        <v>40</v>
      </c>
      <c r="H41" s="88">
        <v>16144220</v>
      </c>
      <c r="I41" s="83">
        <v>6577030</v>
      </c>
      <c r="J41" s="83">
        <v>22721250</v>
      </c>
      <c r="K41" s="83">
        <v>7825248</v>
      </c>
    </row>
    <row r="42" spans="1:11">
      <c r="B42" t="s">
        <v>41</v>
      </c>
      <c r="H42" s="83"/>
      <c r="I42" s="83"/>
      <c r="J42" s="83"/>
      <c r="K42" s="83"/>
    </row>
    <row r="43" spans="1:11">
      <c r="C43" t="s">
        <v>42</v>
      </c>
      <c r="H43" s="89">
        <v>429308</v>
      </c>
      <c r="I43" s="83">
        <v>205353</v>
      </c>
      <c r="J43" s="83">
        <f>SUM(H43:I43)</f>
        <v>634661</v>
      </c>
      <c r="K43" s="83"/>
    </row>
    <row r="44" spans="1:11">
      <c r="C44" t="s">
        <v>520</v>
      </c>
      <c r="H44" s="89">
        <v>2033238</v>
      </c>
      <c r="I44" s="83"/>
      <c r="J44" s="83">
        <f>SUM(H44)</f>
        <v>2033238</v>
      </c>
      <c r="K44" s="83">
        <v>11089312</v>
      </c>
    </row>
    <row r="45" spans="1:11">
      <c r="C45" t="s">
        <v>296</v>
      </c>
      <c r="H45" s="89">
        <v>1201206</v>
      </c>
      <c r="I45" s="83"/>
      <c r="J45" s="83">
        <f>SUM(H45)</f>
        <v>1201206</v>
      </c>
      <c r="K45" s="83"/>
    </row>
    <row r="46" spans="1:11">
      <c r="C46" t="s">
        <v>294</v>
      </c>
      <c r="H46" s="89">
        <v>752069</v>
      </c>
      <c r="I46" s="83"/>
      <c r="J46" s="83">
        <f>SUM(H46)</f>
        <v>752069</v>
      </c>
      <c r="K46" s="83"/>
    </row>
    <row r="47" spans="1:11">
      <c r="C47" t="s">
        <v>234</v>
      </c>
      <c r="H47" s="89">
        <v>592908</v>
      </c>
      <c r="I47" s="83"/>
      <c r="J47" s="83">
        <f>SUM(H47)</f>
        <v>592908</v>
      </c>
      <c r="K47" s="83"/>
    </row>
    <row r="48" spans="1:11">
      <c r="B48" t="s">
        <v>134</v>
      </c>
      <c r="H48" s="93">
        <v>6075121</v>
      </c>
      <c r="I48" s="83">
        <v>796954</v>
      </c>
      <c r="J48" s="83">
        <f>SUM(H48:I48)</f>
        <v>6872075</v>
      </c>
      <c r="K48" s="83">
        <v>10899464</v>
      </c>
    </row>
    <row r="49" spans="3:11">
      <c r="H49" s="81"/>
      <c r="I49" s="81"/>
      <c r="J49" s="81"/>
      <c r="K49" s="81"/>
    </row>
    <row r="50" spans="3:11" s="3" customFormat="1">
      <c r="C50" s="9" t="s">
        <v>46</v>
      </c>
      <c r="D50" s="9"/>
      <c r="E50" s="9"/>
      <c r="F50" s="9"/>
      <c r="G50" s="9"/>
      <c r="H50" s="94">
        <f>SUM(H41:H48)</f>
        <v>27228070</v>
      </c>
      <c r="I50" s="94">
        <f>SUM(I41:I48)</f>
        <v>7579337</v>
      </c>
      <c r="J50" s="94">
        <f>SUM(J41:J48)</f>
        <v>34807407</v>
      </c>
      <c r="K50" s="94">
        <f>SUM(K40:K48)</f>
        <v>29814024</v>
      </c>
    </row>
    <row r="51" spans="3:11">
      <c r="H51" s="83"/>
      <c r="I51" s="83"/>
      <c r="J51" s="83"/>
      <c r="K51" s="83"/>
    </row>
    <row r="52" spans="3:11">
      <c r="C52" s="10" t="s">
        <v>47</v>
      </c>
      <c r="D52" s="10"/>
      <c r="E52" s="10"/>
      <c r="F52" s="216"/>
      <c r="G52" s="216"/>
      <c r="H52" s="216">
        <f>H50+H37</f>
        <v>31687554</v>
      </c>
      <c r="I52" s="216">
        <f>I50+I37</f>
        <v>10944574</v>
      </c>
      <c r="J52" s="216">
        <f>J50+J37</f>
        <v>42632128</v>
      </c>
      <c r="K52" s="216">
        <f>K50+K37</f>
        <v>31386622</v>
      </c>
    </row>
  </sheetData>
  <mergeCells count="3">
    <mergeCell ref="D1:H1"/>
    <mergeCell ref="D2:H2"/>
    <mergeCell ref="H4:J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38"/>
  <sheetViews>
    <sheetView workbookViewId="0">
      <selection activeCell="N20" sqref="N20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6" customWidth="1"/>
    <col min="8" max="8" width="17.140625" customWidth="1"/>
    <col min="9" max="9" width="16.7109375" bestFit="1" customWidth="1"/>
  </cols>
  <sheetData>
    <row r="1" spans="1:9" ht="18.75" customHeight="1">
      <c r="A1" s="1"/>
      <c r="B1" s="1"/>
      <c r="C1" s="1"/>
      <c r="D1" s="272" t="s">
        <v>783</v>
      </c>
      <c r="E1" s="272"/>
      <c r="F1" s="272"/>
      <c r="G1" s="272"/>
      <c r="H1" s="272"/>
    </row>
    <row r="2" spans="1:9" ht="18.600000000000001">
      <c r="A2" s="1"/>
      <c r="B2" s="1"/>
      <c r="C2" s="1"/>
      <c r="D2" s="271" t="s">
        <v>1</v>
      </c>
      <c r="E2" s="271"/>
      <c r="F2" s="271"/>
      <c r="G2" s="271"/>
      <c r="H2" s="271"/>
    </row>
    <row r="4" spans="1:9">
      <c r="H4" s="266"/>
      <c r="I4" s="5"/>
    </row>
    <row r="5" spans="1:9">
      <c r="H5" s="105">
        <v>2014</v>
      </c>
      <c r="I5" s="105">
        <v>2013</v>
      </c>
    </row>
    <row r="6" spans="1:9">
      <c r="A6" s="3" t="s">
        <v>5</v>
      </c>
      <c r="D6" s="3"/>
      <c r="G6" s="4"/>
      <c r="H6" s="4"/>
    </row>
    <row r="7" spans="1:9">
      <c r="C7" t="s">
        <v>7</v>
      </c>
      <c r="H7" s="77">
        <v>2488883</v>
      </c>
      <c r="I7">
        <v>1954725</v>
      </c>
    </row>
    <row r="8" spans="1:9">
      <c r="C8" t="s">
        <v>734</v>
      </c>
      <c r="H8" s="78">
        <v>2915973</v>
      </c>
      <c r="I8">
        <v>2232420</v>
      </c>
    </row>
    <row r="9" spans="1:9">
      <c r="C9" t="s">
        <v>137</v>
      </c>
      <c r="H9" s="83"/>
    </row>
    <row r="10" spans="1:9">
      <c r="D10" t="s">
        <v>547</v>
      </c>
      <c r="H10" s="83"/>
    </row>
    <row r="11" spans="1:9">
      <c r="E11" t="s">
        <v>138</v>
      </c>
      <c r="H11" s="80">
        <v>223675</v>
      </c>
      <c r="I11">
        <v>223675</v>
      </c>
    </row>
    <row r="12" spans="1:9">
      <c r="E12" t="s">
        <v>142</v>
      </c>
      <c r="H12" s="235">
        <v>1140707</v>
      </c>
    </row>
    <row r="13" spans="1:9">
      <c r="D13" t="s">
        <v>548</v>
      </c>
      <c r="H13" s="83"/>
    </row>
    <row r="14" spans="1:9">
      <c r="E14" t="s">
        <v>139</v>
      </c>
      <c r="H14" s="80">
        <v>3393870</v>
      </c>
      <c r="I14">
        <v>3516302</v>
      </c>
    </row>
    <row r="15" spans="1:9">
      <c r="E15" t="s">
        <v>549</v>
      </c>
      <c r="H15" s="80">
        <v>699638</v>
      </c>
      <c r="I15">
        <v>624965</v>
      </c>
    </row>
    <row r="16" spans="1:9">
      <c r="E16" t="s">
        <v>784</v>
      </c>
      <c r="H16" s="80">
        <v>1977000</v>
      </c>
      <c r="I16">
        <v>1529469</v>
      </c>
    </row>
    <row r="17" spans="1:9">
      <c r="C17" t="s">
        <v>785</v>
      </c>
      <c r="H17" s="83">
        <v>297779</v>
      </c>
    </row>
    <row r="18" spans="1:9">
      <c r="H18" s="81"/>
      <c r="I18" s="125"/>
    </row>
    <row r="19" spans="1:9">
      <c r="C19" s="6" t="s">
        <v>17</v>
      </c>
      <c r="D19" s="168"/>
      <c r="E19" s="168"/>
      <c r="F19" s="168"/>
      <c r="G19" s="168"/>
      <c r="H19" s="82">
        <f>SUM(H7:H16)</f>
        <v>12839746</v>
      </c>
      <c r="I19" s="82">
        <f>SUM(I7:I16)</f>
        <v>10081556</v>
      </c>
    </row>
    <row r="20" spans="1:9">
      <c r="H20" s="83"/>
    </row>
    <row r="21" spans="1:9">
      <c r="A21" s="5" t="s">
        <v>22</v>
      </c>
      <c r="H21" s="83"/>
    </row>
    <row r="22" spans="1:9">
      <c r="C22" t="s">
        <v>144</v>
      </c>
      <c r="H22" s="84">
        <v>1235643</v>
      </c>
      <c r="I22">
        <v>232973</v>
      </c>
    </row>
    <row r="23" spans="1:9">
      <c r="C23" t="s">
        <v>145</v>
      </c>
      <c r="H23" s="84">
        <v>33839</v>
      </c>
      <c r="I23">
        <v>38485</v>
      </c>
    </row>
    <row r="24" spans="1:9">
      <c r="C24" t="s">
        <v>786</v>
      </c>
    </row>
    <row r="25" spans="1:9">
      <c r="C25" t="s">
        <v>29</v>
      </c>
      <c r="H25" s="83"/>
    </row>
    <row r="26" spans="1:9">
      <c r="D26" t="s">
        <v>92</v>
      </c>
      <c r="H26" s="92">
        <v>235000</v>
      </c>
      <c r="I26">
        <v>225000</v>
      </c>
    </row>
    <row r="27" spans="1:9">
      <c r="D27" t="s">
        <v>93</v>
      </c>
      <c r="H27" s="77">
        <v>1639848</v>
      </c>
      <c r="I27">
        <v>1836600</v>
      </c>
    </row>
    <row r="28" spans="1:9">
      <c r="H28" s="81"/>
      <c r="I28" s="125"/>
    </row>
    <row r="29" spans="1:9">
      <c r="D29" s="7" t="s">
        <v>36</v>
      </c>
      <c r="E29" s="8"/>
      <c r="F29" s="8"/>
      <c r="G29" s="8"/>
      <c r="H29" s="87">
        <f>SUM(H22:H27)</f>
        <v>3144330</v>
      </c>
      <c r="I29" s="87">
        <f>SUM(I22:I27)</f>
        <v>2333058</v>
      </c>
    </row>
    <row r="30" spans="1:9">
      <c r="C30" t="s">
        <v>787</v>
      </c>
      <c r="H30" s="83"/>
    </row>
    <row r="31" spans="1:9">
      <c r="H31" s="83"/>
    </row>
    <row r="32" spans="1:9">
      <c r="A32" s="3" t="s">
        <v>39</v>
      </c>
      <c r="H32" s="83"/>
    </row>
    <row r="33" spans="2:9">
      <c r="B33" t="s">
        <v>40</v>
      </c>
      <c r="H33" s="88">
        <v>5649891</v>
      </c>
      <c r="I33">
        <v>3884412</v>
      </c>
    </row>
    <row r="34" spans="2:9">
      <c r="B34" t="s">
        <v>45</v>
      </c>
      <c r="H34" s="171">
        <v>4268692</v>
      </c>
      <c r="I34">
        <v>3850944</v>
      </c>
    </row>
    <row r="35" spans="2:9">
      <c r="H35" s="83"/>
      <c r="I35" s="125"/>
    </row>
    <row r="36" spans="2:9" s="3" customFormat="1">
      <c r="C36" s="9" t="s">
        <v>46</v>
      </c>
      <c r="D36" s="9"/>
      <c r="E36" s="9"/>
      <c r="F36" s="9"/>
      <c r="G36" s="9"/>
      <c r="H36" s="172">
        <f>SUM(H33:H34)</f>
        <v>9918583</v>
      </c>
      <c r="I36" s="172">
        <f>SUM(I33:I34)</f>
        <v>7735356</v>
      </c>
    </row>
    <row r="37" spans="2:9">
      <c r="H37" s="83"/>
    </row>
    <row r="38" spans="2:9">
      <c r="C38" s="10" t="s">
        <v>47</v>
      </c>
      <c r="D38" s="10"/>
      <c r="E38" s="10"/>
      <c r="F38" s="216"/>
      <c r="G38" s="216"/>
      <c r="H38" s="216">
        <f>H36+H29</f>
        <v>13062913</v>
      </c>
      <c r="I38" s="216">
        <f>I36+I29</f>
        <v>10068414</v>
      </c>
    </row>
  </sheetData>
  <mergeCells count="2">
    <mergeCell ref="D1:H1"/>
    <mergeCell ref="D2:H2"/>
  </mergeCells>
  <pageMargins left="0.7" right="0.7" top="0.75" bottom="0.75" header="0.3" footer="0.3"/>
  <pageSetup orientation="portrait"/>
  <ignoredErrors>
    <ignoredError sqref="H19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800000"/>
  </sheetPr>
  <dimension ref="A1:AV315"/>
  <sheetViews>
    <sheetView zoomScale="80" zoomScaleNormal="80" zoomScalePageLayoutView="80" workbookViewId="0">
      <pane ySplit="3" topLeftCell="A22" activePane="bottomLeft" state="frozen"/>
      <selection pane="bottomLeft" activeCell="AE31" sqref="AE31:AE34"/>
      <selection activeCell="K50" sqref="K50"/>
    </sheetView>
  </sheetViews>
  <sheetFormatPr defaultColWidth="8.85546875" defaultRowHeight="14.45"/>
  <cols>
    <col min="1" max="1" width="12.7109375" bestFit="1" customWidth="1"/>
    <col min="2" max="2" width="25.42578125" customWidth="1"/>
    <col min="3" max="3" width="13.85546875" bestFit="1" customWidth="1"/>
    <col min="4" max="5" width="15.140625" bestFit="1" customWidth="1"/>
    <col min="6" max="6" width="16.28515625" bestFit="1" customWidth="1"/>
    <col min="7" max="7" width="13.85546875" bestFit="1" customWidth="1"/>
    <col min="8" max="8" width="14.7109375" bestFit="1" customWidth="1"/>
    <col min="9" max="9" width="21" bestFit="1" customWidth="1"/>
    <col min="10" max="10" width="11.7109375" style="70" customWidth="1"/>
    <col min="11" max="11" width="16.28515625" bestFit="1" customWidth="1"/>
    <col min="12" max="12" width="18.140625" bestFit="1" customWidth="1"/>
    <col min="13" max="13" width="18.85546875" bestFit="1" customWidth="1"/>
    <col min="14" max="14" width="37.28515625" bestFit="1" customWidth="1"/>
    <col min="15" max="15" width="36.85546875" bestFit="1" customWidth="1"/>
    <col min="16" max="16" width="35.7109375" bestFit="1" customWidth="1"/>
    <col min="17" max="17" width="24.42578125" bestFit="1" customWidth="1"/>
    <col min="18" max="18" width="24.28515625" bestFit="1" customWidth="1"/>
    <col min="19" max="19" width="37.28515625" bestFit="1" customWidth="1"/>
    <col min="20" max="20" width="17" bestFit="1" customWidth="1"/>
    <col min="21" max="21" width="23.7109375" bestFit="1" customWidth="1"/>
    <col min="22" max="22" width="11.7109375" bestFit="1" customWidth="1"/>
    <col min="23" max="23" width="14.42578125" bestFit="1" customWidth="1"/>
    <col min="24" max="24" width="17.28515625" hidden="1" customWidth="1"/>
    <col min="25" max="25" width="18.140625" bestFit="1" customWidth="1"/>
    <col min="26" max="26" width="48" bestFit="1" customWidth="1"/>
    <col min="27" max="27" width="19.42578125" bestFit="1" customWidth="1"/>
    <col min="28" max="28" width="21.42578125" bestFit="1" customWidth="1"/>
    <col min="29" max="29" width="25.140625" bestFit="1" customWidth="1"/>
    <col min="30" max="30" width="39.42578125" bestFit="1" customWidth="1"/>
    <col min="31" max="31" width="11.7109375" bestFit="1" customWidth="1"/>
    <col min="32" max="32" width="17.42578125" customWidth="1"/>
    <col min="33" max="33" width="19.7109375" hidden="1" customWidth="1"/>
  </cols>
  <sheetData>
    <row r="1" spans="1:48" ht="15.95" thickBot="1">
      <c r="A1" s="11" t="s">
        <v>788</v>
      </c>
      <c r="B1" s="11"/>
      <c r="C1" s="12"/>
      <c r="D1" s="12"/>
      <c r="E1" s="12"/>
      <c r="F1" s="12"/>
      <c r="G1" s="12"/>
      <c r="H1" s="12"/>
      <c r="I1" s="12"/>
      <c r="J1" s="71"/>
      <c r="K1" s="14"/>
      <c r="L1" s="14"/>
      <c r="M1" s="15"/>
      <c r="N1" s="15"/>
      <c r="O1" s="15"/>
      <c r="P1" s="15"/>
      <c r="Q1" s="15"/>
      <c r="R1" s="15"/>
      <c r="S1" s="15"/>
      <c r="T1" s="15"/>
      <c r="U1" s="15"/>
      <c r="V1" s="15"/>
      <c r="W1" s="13"/>
      <c r="X1" s="14"/>
      <c r="Y1" s="14"/>
      <c r="Z1" s="16"/>
      <c r="AA1" s="17"/>
      <c r="AB1" s="17"/>
      <c r="AC1" s="17"/>
      <c r="AD1" s="17"/>
      <c r="AE1" s="17"/>
      <c r="AF1" s="18"/>
      <c r="AG1" s="19"/>
    </row>
    <row r="2" spans="1:48" ht="17.45" thickBot="1">
      <c r="B2" s="20"/>
      <c r="C2" s="21" t="s">
        <v>789</v>
      </c>
      <c r="D2" s="22"/>
      <c r="E2" s="22"/>
      <c r="F2" s="22"/>
      <c r="G2" s="22"/>
      <c r="H2" s="22"/>
      <c r="I2" s="22"/>
      <c r="J2" s="72"/>
      <c r="K2" s="24"/>
      <c r="L2" s="24"/>
      <c r="M2" s="25"/>
      <c r="N2" s="26" t="s">
        <v>790</v>
      </c>
      <c r="O2" s="25"/>
      <c r="P2" s="25"/>
      <c r="Q2" s="25"/>
      <c r="R2" s="25"/>
      <c r="S2" s="27" t="s">
        <v>791</v>
      </c>
      <c r="T2" s="28"/>
      <c r="U2" s="25"/>
      <c r="V2" s="25"/>
      <c r="W2" s="23"/>
      <c r="X2" s="24"/>
      <c r="Y2" s="24"/>
      <c r="Z2" s="29"/>
      <c r="AA2" s="30" t="s">
        <v>792</v>
      </c>
      <c r="AB2" s="16"/>
      <c r="AC2" s="16"/>
      <c r="AD2" s="16"/>
      <c r="AE2" s="16"/>
      <c r="AF2" s="31"/>
      <c r="AG2" s="32"/>
    </row>
    <row r="3" spans="1:48" ht="15.95" thickBot="1">
      <c r="A3" s="282" t="s">
        <v>793</v>
      </c>
      <c r="B3" s="283"/>
      <c r="C3" s="33" t="s">
        <v>232</v>
      </c>
      <c r="D3" s="34" t="s">
        <v>8</v>
      </c>
      <c r="E3" s="35" t="s">
        <v>50</v>
      </c>
      <c r="F3" s="36" t="s">
        <v>254</v>
      </c>
      <c r="G3" s="69" t="s">
        <v>794</v>
      </c>
      <c r="H3" s="37" t="s">
        <v>795</v>
      </c>
      <c r="I3" s="38" t="s">
        <v>796</v>
      </c>
      <c r="J3" s="73" t="s">
        <v>797</v>
      </c>
      <c r="K3" s="40" t="s">
        <v>797</v>
      </c>
      <c r="L3" s="24"/>
      <c r="M3" s="41" t="s">
        <v>798</v>
      </c>
      <c r="N3" s="42" t="s">
        <v>799</v>
      </c>
      <c r="O3" s="43" t="s">
        <v>800</v>
      </c>
      <c r="P3" s="35" t="s">
        <v>801</v>
      </c>
      <c r="Q3" s="68" t="s">
        <v>802</v>
      </c>
      <c r="R3" s="44" t="s">
        <v>803</v>
      </c>
      <c r="S3" s="45" t="s">
        <v>804</v>
      </c>
      <c r="T3" s="37" t="s">
        <v>805</v>
      </c>
      <c r="U3" s="46" t="s">
        <v>806</v>
      </c>
      <c r="V3" s="39" t="s">
        <v>797</v>
      </c>
      <c r="W3" s="40" t="s">
        <v>797</v>
      </c>
      <c r="X3" s="47"/>
      <c r="Y3" s="24"/>
      <c r="Z3" s="48" t="s">
        <v>807</v>
      </c>
      <c r="AA3" s="49" t="s">
        <v>663</v>
      </c>
      <c r="AB3" s="50" t="s">
        <v>808</v>
      </c>
      <c r="AC3" s="51" t="s">
        <v>809</v>
      </c>
      <c r="AD3" s="52" t="s">
        <v>810</v>
      </c>
      <c r="AE3" s="39" t="s">
        <v>797</v>
      </c>
      <c r="AF3" s="40" t="s">
        <v>797</v>
      </c>
    </row>
    <row r="4" spans="1:48" ht="31.5" thickBot="1">
      <c r="A4" s="284" t="s">
        <v>811</v>
      </c>
      <c r="B4" s="285"/>
      <c r="J4" s="53"/>
      <c r="K4" s="54"/>
      <c r="L4" s="176" t="s">
        <v>80</v>
      </c>
      <c r="V4" s="53"/>
      <c r="W4" s="54"/>
      <c r="X4" s="55" t="s">
        <v>812</v>
      </c>
      <c r="Y4" s="176" t="s">
        <v>97</v>
      </c>
      <c r="AE4" s="53"/>
      <c r="AF4" s="54"/>
    </row>
    <row r="5" spans="1:48" ht="15.6">
      <c r="A5" s="56"/>
      <c r="B5" s="57" t="s">
        <v>813</v>
      </c>
      <c r="J5" s="53"/>
      <c r="K5" s="54"/>
      <c r="L5" s="55" t="s">
        <v>812</v>
      </c>
      <c r="V5" s="53"/>
      <c r="W5" s="54"/>
      <c r="X5" s="55"/>
      <c r="Y5" s="55" t="s">
        <v>812</v>
      </c>
      <c r="AE5" s="53"/>
      <c r="AF5" s="54"/>
    </row>
    <row r="6" spans="1:48" s="104" customFormat="1" ht="15.6">
      <c r="A6" s="108"/>
      <c r="B6" s="109" t="s">
        <v>814</v>
      </c>
      <c r="C6" s="110">
        <f>Acadia!H8</f>
        <v>9195544</v>
      </c>
      <c r="D6" s="110">
        <f>Acadia!H9</f>
        <v>7939036</v>
      </c>
      <c r="E6" s="110">
        <f>Acadia!H10+Acadia!H11+Acadia!H12</f>
        <v>6569586</v>
      </c>
      <c r="F6" s="110">
        <f>Acadia!H16+Acadia!H17</f>
        <v>51958817</v>
      </c>
      <c r="G6" s="110">
        <f>Acadia!H13+Acadia!H14</f>
        <v>570637</v>
      </c>
      <c r="H6" s="110"/>
      <c r="I6" s="110">
        <f t="shared" ref="I6:I7" si="0">SUM(C6:H6)</f>
        <v>76233620</v>
      </c>
      <c r="J6" s="113" t="str">
        <f t="shared" ref="J6:J69" si="1">IF(I6=K6, "ok", "check")</f>
        <v>ok</v>
      </c>
      <c r="K6" s="111">
        <f>Acadia!H19</f>
        <v>76233620</v>
      </c>
      <c r="L6" s="226">
        <f>Acadia!H24</f>
        <v>665400</v>
      </c>
      <c r="M6" s="110">
        <f>Acadia!H28+Acadia!H30+Acadia!H32</f>
        <v>2003627</v>
      </c>
      <c r="N6" s="110">
        <f>Acadia!H37+Acadia!H40</f>
        <v>335044</v>
      </c>
      <c r="O6" s="110">
        <f>Acadia!H36</f>
        <v>1587435</v>
      </c>
      <c r="P6" s="110">
        <f>Acadia!H39</f>
        <v>9865913</v>
      </c>
      <c r="Q6" s="110"/>
      <c r="R6" s="110"/>
      <c r="S6" s="110"/>
      <c r="T6" s="110">
        <f>Acadia!H41+Acadia!H42+Acadia!H31</f>
        <v>5528330</v>
      </c>
      <c r="U6" s="110">
        <f t="shared" ref="U6:U7" si="2">SUM(M6:T6)</f>
        <v>19320349</v>
      </c>
      <c r="V6" s="113" t="str">
        <f t="shared" ref="V6:V69" si="3">IF(U6=W6, "ok", "check")</f>
        <v>ok</v>
      </c>
      <c r="W6" s="111">
        <f>Acadia!H44</f>
        <v>19320349</v>
      </c>
      <c r="X6" s="112"/>
      <c r="Y6" s="226">
        <f>Acadia!H48</f>
        <v>178983</v>
      </c>
      <c r="Z6" s="110">
        <f>Acadia!H51</f>
        <v>40505469</v>
      </c>
      <c r="AA6" s="110">
        <f>Acadia!H53+Acadia!H54+Acadia!H55</f>
        <v>17402203</v>
      </c>
      <c r="AB6" s="110">
        <f>Acadia!H56</f>
        <v>-507984</v>
      </c>
      <c r="AC6" s="110">
        <f t="shared" ref="AC6:AC7" si="4">SUM(Z6:AB6)</f>
        <v>57399688</v>
      </c>
      <c r="AD6" s="110">
        <f>SUM(AC6,U6,Y6)</f>
        <v>76899020</v>
      </c>
      <c r="AE6" s="113" t="str">
        <f t="shared" ref="AE6:AE69" si="5">IF(AD6=AF6, "ok", "check")</f>
        <v>ok</v>
      </c>
      <c r="AF6" s="111">
        <f>Acadia!H60</f>
        <v>76899020</v>
      </c>
    </row>
    <row r="7" spans="1:48" ht="15.6">
      <c r="A7" s="56"/>
      <c r="B7" s="3" t="s">
        <v>815</v>
      </c>
      <c r="C7" s="59">
        <f>Allen!G6</f>
        <v>4069562</v>
      </c>
      <c r="D7" s="59"/>
      <c r="E7" s="59">
        <f>Allen!G7</f>
        <v>2833111</v>
      </c>
      <c r="F7" s="59">
        <f>Allen!G10+Allen!G11</f>
        <v>23784501</v>
      </c>
      <c r="G7" s="59"/>
      <c r="H7" s="59">
        <f>Allen!G8+Allen!G9</f>
        <v>807574</v>
      </c>
      <c r="I7" s="59">
        <f t="shared" si="0"/>
        <v>31494748</v>
      </c>
      <c r="J7" s="113" t="str">
        <f t="shared" si="1"/>
        <v>ok</v>
      </c>
      <c r="K7" s="58">
        <f>Allen!G13</f>
        <v>31494748</v>
      </c>
      <c r="L7" s="177">
        <f>Allen!G16</f>
        <v>31771531</v>
      </c>
      <c r="M7" s="59">
        <f>Allen!G19+Allen!G20</f>
        <v>830187</v>
      </c>
      <c r="N7" s="59"/>
      <c r="O7" s="59">
        <f>Allen!G22+Allen!G24</f>
        <v>283759</v>
      </c>
      <c r="P7" s="59">
        <f>Allen!G27+Allen!G28</f>
        <v>1448246</v>
      </c>
      <c r="Q7" s="59"/>
      <c r="R7" s="59"/>
      <c r="S7" s="59"/>
      <c r="T7" s="59">
        <f>Allen!G26+Allen!G21</f>
        <v>1359985</v>
      </c>
      <c r="U7" s="59">
        <f t="shared" si="2"/>
        <v>3922177</v>
      </c>
      <c r="V7" s="113" t="str">
        <f t="shared" si="3"/>
        <v>ok</v>
      </c>
      <c r="W7" s="58">
        <f>Allen!G30</f>
        <v>3922177</v>
      </c>
      <c r="X7" s="60"/>
      <c r="Y7" s="177">
        <f>Allen!G32</f>
        <v>24855</v>
      </c>
      <c r="Z7" s="59">
        <f>Allen!G35</f>
        <v>22129069</v>
      </c>
      <c r="AA7" s="59">
        <f>Allen!G37+Allen!G38+Allen!G39+Allen!G40+Allen!G41+Allen!G42+Allen!G43</f>
        <v>5716350</v>
      </c>
      <c r="AB7" s="59">
        <f>Allen!G44</f>
        <v>-20920</v>
      </c>
      <c r="AC7" s="59">
        <f t="shared" si="4"/>
        <v>27824499</v>
      </c>
      <c r="AD7" s="59">
        <f>SUM(AC7,U7,Y7)</f>
        <v>31771531</v>
      </c>
      <c r="AE7" s="113" t="str">
        <f t="shared" si="5"/>
        <v>ok</v>
      </c>
      <c r="AF7" s="58">
        <f>Allen!G48</f>
        <v>31771531</v>
      </c>
    </row>
    <row r="8" spans="1:48" s="104" customFormat="1" ht="15.6">
      <c r="A8" s="108"/>
      <c r="B8" s="109" t="s">
        <v>816</v>
      </c>
      <c r="C8" s="110">
        <f>Ascension!I8</f>
        <v>32250738</v>
      </c>
      <c r="D8" s="110">
        <f>Ascension!I9</f>
        <v>135507608</v>
      </c>
      <c r="E8" s="110">
        <f>Ascension!I10</f>
        <v>35732327</v>
      </c>
      <c r="F8" s="110">
        <f>Ascension!I17+Ascension!I18</f>
        <v>227315163</v>
      </c>
      <c r="G8" s="110">
        <f>Ascension!I11</f>
        <v>5417238</v>
      </c>
      <c r="H8" s="110">
        <f>Ascension!I12+Ascension!I13</f>
        <v>251838</v>
      </c>
      <c r="I8" s="110">
        <f t="shared" ref="I8:I15" si="6">SUM(C8:H8)</f>
        <v>436474912</v>
      </c>
      <c r="J8" s="113" t="str">
        <f t="shared" si="1"/>
        <v>ok</v>
      </c>
      <c r="K8" s="111">
        <f>Ascension!I20</f>
        <v>436474912</v>
      </c>
      <c r="L8" s="178">
        <f>Ascension!I24</f>
        <v>6506451</v>
      </c>
      <c r="M8" s="110">
        <f>Ascension!I31+Ascension!I32</f>
        <v>8246829</v>
      </c>
      <c r="N8" s="110"/>
      <c r="O8" s="110">
        <f>Ascension!I39</f>
        <v>354297</v>
      </c>
      <c r="P8" s="110">
        <f>Ascension!I40</f>
        <v>904237</v>
      </c>
      <c r="Q8" s="110">
        <f>Ascension!I33</f>
        <v>472207</v>
      </c>
      <c r="R8" s="110">
        <f>Ascension!I42</f>
        <v>5546774</v>
      </c>
      <c r="S8" s="110">
        <f>Ascension!I43+Ascension!I44+Ascension!I45</f>
        <v>81229155</v>
      </c>
      <c r="T8" s="110">
        <f>Ascension!I34+Ascension!I36+Ascension!I37</f>
        <v>5910689</v>
      </c>
      <c r="U8" s="110">
        <f t="shared" ref="U8:U15" si="7">SUM(M8:T8)</f>
        <v>102664188</v>
      </c>
      <c r="V8" s="113" t="str">
        <f t="shared" si="3"/>
        <v>ok</v>
      </c>
      <c r="W8" s="111">
        <f>Ascension!I47</f>
        <v>102664188</v>
      </c>
      <c r="X8" s="112"/>
      <c r="Y8" s="178">
        <f>Ascension!I52</f>
        <v>864558</v>
      </c>
      <c r="Z8" s="110">
        <f>Ascension!I55</f>
        <v>129059066</v>
      </c>
      <c r="AA8" s="110">
        <f>Ascension!I57+Ascension!I58+Ascension!I59+Ascension!I60+Ascension!I61+Ascension!I62+Ascension!I63</f>
        <v>132695918</v>
      </c>
      <c r="AB8" s="110">
        <f>Ascension!I64</f>
        <v>81533262</v>
      </c>
      <c r="AC8" s="110">
        <f>SUM(Z8:AB8)</f>
        <v>343288246</v>
      </c>
      <c r="AD8" s="110">
        <f>SUM(AC8,U8,Y8)</f>
        <v>446816992</v>
      </c>
      <c r="AE8" s="113" t="str">
        <f t="shared" si="5"/>
        <v>ok</v>
      </c>
      <c r="AF8" s="111">
        <f>Ascension!I68</f>
        <v>446816992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ht="15.6">
      <c r="A9" s="56"/>
      <c r="B9" s="3" t="s">
        <v>817</v>
      </c>
      <c r="C9" s="59">
        <f>Assumption!H7</f>
        <v>5055668</v>
      </c>
      <c r="D9" s="59">
        <f>Assumption!H8+Assumption!H12</f>
        <v>59397814</v>
      </c>
      <c r="E9" s="59">
        <f>Assumption!H9</f>
        <v>5990950</v>
      </c>
      <c r="F9" s="59"/>
      <c r="G9" s="59"/>
      <c r="H9" s="59">
        <f>Assumption!H10</f>
        <v>139035</v>
      </c>
      <c r="I9" s="59">
        <f t="shared" si="6"/>
        <v>70583467</v>
      </c>
      <c r="J9" s="113" t="str">
        <f t="shared" si="1"/>
        <v>ok</v>
      </c>
      <c r="K9" s="58">
        <f>Assumption!H14</f>
        <v>70583467</v>
      </c>
      <c r="L9" s="177">
        <f>Assumption!H18</f>
        <v>546760</v>
      </c>
      <c r="M9" s="59">
        <f>Assumption!H22+Assumption!H23+Assumption!H25</f>
        <v>2794508</v>
      </c>
      <c r="N9" s="59"/>
      <c r="O9" s="59"/>
      <c r="P9" s="59"/>
      <c r="Q9" s="59"/>
      <c r="R9" s="59"/>
      <c r="S9" s="59"/>
      <c r="T9" s="59">
        <f>Assumption!H30+Assumption!H26+Assumption!H24</f>
        <v>1011241</v>
      </c>
      <c r="U9" s="59">
        <f t="shared" si="7"/>
        <v>3805749</v>
      </c>
      <c r="V9" s="113" t="str">
        <f t="shared" si="3"/>
        <v>ok</v>
      </c>
      <c r="W9" s="58">
        <f>Assumption!H32</f>
        <v>3805749</v>
      </c>
      <c r="X9" s="60"/>
      <c r="Y9" s="177">
        <f>Assumption!H36</f>
        <v>70848</v>
      </c>
      <c r="Z9" s="59">
        <f>Assumption!H39</f>
        <v>44674146</v>
      </c>
      <c r="AA9" s="59"/>
      <c r="AB9" s="59">
        <f>Assumption!H41</f>
        <v>22579484</v>
      </c>
      <c r="AC9" s="59">
        <f t="shared" ref="AC9:AC15" si="8">SUM(Z9:AB9)</f>
        <v>67253630</v>
      </c>
      <c r="AD9" s="59">
        <f>SUM(AC9,U9,Y9)</f>
        <v>71130227</v>
      </c>
      <c r="AE9" s="113" t="str">
        <f t="shared" si="5"/>
        <v>ok</v>
      </c>
      <c r="AF9" s="58">
        <f>Assumption!H45</f>
        <v>71130227</v>
      </c>
    </row>
    <row r="10" spans="1:48" s="104" customFormat="1" ht="15.6">
      <c r="A10" s="108"/>
      <c r="B10" s="109" t="s">
        <v>818</v>
      </c>
      <c r="C10" s="110">
        <f>Avoyelles!H7</f>
        <v>10522207</v>
      </c>
      <c r="D10" s="110"/>
      <c r="E10" s="110">
        <f>Avoyelles!H8</f>
        <v>33789</v>
      </c>
      <c r="F10" s="110">
        <f>Avoyelles!H12</f>
        <v>4318512</v>
      </c>
      <c r="G10" s="110">
        <f>Avoyelles!H9</f>
        <v>2575929</v>
      </c>
      <c r="H10" s="110">
        <f>Avoyelles!H10+Avoyelles!H11</f>
        <v>1884776</v>
      </c>
      <c r="I10" s="110">
        <f t="shared" si="6"/>
        <v>19335213</v>
      </c>
      <c r="J10" s="113" t="str">
        <f t="shared" si="1"/>
        <v>ok</v>
      </c>
      <c r="K10" s="111">
        <f>Avoyelles!H14</f>
        <v>19335213</v>
      </c>
      <c r="L10" s="178"/>
      <c r="M10" s="110">
        <f>Avoyelles!H19</f>
        <v>689137</v>
      </c>
      <c r="N10" s="110"/>
      <c r="O10" s="110"/>
      <c r="P10" s="110"/>
      <c r="Q10" s="110"/>
      <c r="R10" s="110">
        <f>Avoyelles!H23</f>
        <v>30149</v>
      </c>
      <c r="S10" s="110">
        <f>Avoyelles!H24</f>
        <v>64772</v>
      </c>
      <c r="T10" s="110">
        <f>Avoyelles!H20+Avoyelles!H21+Avoyelles!H25</f>
        <v>181332</v>
      </c>
      <c r="U10" s="110">
        <f t="shared" si="7"/>
        <v>965390</v>
      </c>
      <c r="V10" s="113" t="str">
        <f t="shared" si="3"/>
        <v>ok</v>
      </c>
      <c r="W10" s="111">
        <f>Avoyelles!H27</f>
        <v>965390</v>
      </c>
      <c r="X10" s="112"/>
      <c r="Y10" s="178"/>
      <c r="Z10" s="110">
        <f>Avoyelles!H32</f>
        <v>6094458</v>
      </c>
      <c r="AA10" s="110"/>
      <c r="AB10" s="110">
        <f>Avoyelles!H33</f>
        <v>12415547</v>
      </c>
      <c r="AC10" s="110">
        <f t="shared" si="8"/>
        <v>18510005</v>
      </c>
      <c r="AD10" s="110">
        <f t="shared" ref="AD10:AD69" si="9">SUM(AC10,U10,Y10)</f>
        <v>19475395</v>
      </c>
      <c r="AE10" s="113" t="str">
        <f t="shared" si="5"/>
        <v>ok</v>
      </c>
      <c r="AF10" s="111">
        <f>Avoyelles!H37</f>
        <v>19475395</v>
      </c>
    </row>
    <row r="11" spans="1:48" ht="15.6">
      <c r="A11" s="56"/>
      <c r="B11" s="3" t="s">
        <v>819</v>
      </c>
      <c r="C11" s="59">
        <f>Beauregard!G6</f>
        <v>25520552</v>
      </c>
      <c r="D11" s="59"/>
      <c r="E11" s="59">
        <f>Beauregard!G7</f>
        <v>6425452</v>
      </c>
      <c r="F11" s="59">
        <f>Beauregard!G11+Beauregard!G12+Beauregard!G13+Beauregard!G14+Beauregard!G15</f>
        <v>35981007</v>
      </c>
      <c r="G11" s="59"/>
      <c r="H11" s="59">
        <f>Beauregard!G8+Beauregard!G9</f>
        <v>561035</v>
      </c>
      <c r="I11" s="59">
        <f t="shared" si="6"/>
        <v>68488046</v>
      </c>
      <c r="J11" s="113" t="str">
        <f t="shared" si="1"/>
        <v>ok</v>
      </c>
      <c r="K11" s="58">
        <f>Beauregard!G17</f>
        <v>68488046</v>
      </c>
      <c r="L11" s="177">
        <f>Beauregard!G20</f>
        <v>587818</v>
      </c>
      <c r="M11" s="59">
        <f>Beauregard!G23+Beauregard!G24</f>
        <v>1565028</v>
      </c>
      <c r="N11" s="59"/>
      <c r="O11" s="59"/>
      <c r="P11" s="59"/>
      <c r="Q11" s="59"/>
      <c r="R11" s="59">
        <f>Beauregard!G27</f>
        <v>1256668</v>
      </c>
      <c r="S11" s="59">
        <f>Beauregard!G28</f>
        <v>13691999</v>
      </c>
      <c r="T11" s="59">
        <f>Beauregard!G25</f>
        <v>148204</v>
      </c>
      <c r="U11" s="59">
        <f t="shared" si="7"/>
        <v>16661899</v>
      </c>
      <c r="V11" s="113" t="str">
        <f t="shared" si="3"/>
        <v>ok</v>
      </c>
      <c r="W11" s="58">
        <f>Beauregard!G30</f>
        <v>16661899</v>
      </c>
      <c r="X11" s="60"/>
      <c r="Y11" s="177">
        <f>Beauregard!G33</f>
        <v>99372</v>
      </c>
      <c r="Z11" s="59">
        <f>Beauregard!G36</f>
        <v>21141007</v>
      </c>
      <c r="AA11" s="59">
        <f>Beauregard!G38+Beauregard!G39+Beauregard!G40+Beauregard!G41+Beauregard!G42+Beauregard!G43+Beauregard!G44+Beauregard!G45+Beauregard!G46+Beauregard!G47</f>
        <v>29436387</v>
      </c>
      <c r="AB11" s="59">
        <f>Beauregard!G48</f>
        <v>1737199</v>
      </c>
      <c r="AC11" s="59">
        <f t="shared" si="8"/>
        <v>52314593</v>
      </c>
      <c r="AD11" s="59">
        <f>SUM(AC11,U11)</f>
        <v>68976492</v>
      </c>
      <c r="AE11" s="113" t="str">
        <f t="shared" si="5"/>
        <v>ok</v>
      </c>
      <c r="AF11" s="58">
        <f>Beauregard!G52</f>
        <v>68976492</v>
      </c>
    </row>
    <row r="12" spans="1:48" s="104" customFormat="1" ht="15.6">
      <c r="A12" s="108"/>
      <c r="B12" s="109" t="s">
        <v>820</v>
      </c>
      <c r="C12" s="110">
        <f>Bienville!G6</f>
        <v>16858491</v>
      </c>
      <c r="D12" s="110"/>
      <c r="E12" s="110">
        <f>Bienville!G7</f>
        <v>4654602</v>
      </c>
      <c r="F12" s="110">
        <f>Bienville!G8</f>
        <v>22261869</v>
      </c>
      <c r="G12" s="110"/>
      <c r="H12" s="110"/>
      <c r="I12" s="110">
        <f t="shared" si="6"/>
        <v>43774962</v>
      </c>
      <c r="J12" s="113" t="str">
        <f t="shared" si="1"/>
        <v>ok</v>
      </c>
      <c r="K12" s="111">
        <f>Bienville!G10</f>
        <v>43774962</v>
      </c>
      <c r="L12" s="178">
        <f>Bienville!G14</f>
        <v>134448</v>
      </c>
      <c r="M12" s="110">
        <f>Bienville!G17+Bienville!G18+Bienville!G19</f>
        <v>380370</v>
      </c>
      <c r="N12" s="110">
        <f>Bienville!G23</f>
        <v>87473</v>
      </c>
      <c r="O12" s="110">
        <f>Bienville!G20</f>
        <v>9895000</v>
      </c>
      <c r="P12" s="110"/>
      <c r="Q12" s="110"/>
      <c r="R12" s="110"/>
      <c r="S12" s="110"/>
      <c r="T12" s="110">
        <f>Bienville!G21+Bienville!G22+Bienville!G24+Bienville!G25</f>
        <v>2272690</v>
      </c>
      <c r="U12" s="110">
        <f t="shared" si="7"/>
        <v>12635533</v>
      </c>
      <c r="V12" s="113" t="str">
        <f t="shared" si="3"/>
        <v>ok</v>
      </c>
      <c r="W12" s="111">
        <f>Bienville!G27</f>
        <v>12635533</v>
      </c>
      <c r="X12" s="112"/>
      <c r="Y12" s="178">
        <f>Bienville!G30</f>
        <v>46967</v>
      </c>
      <c r="Z12" s="110">
        <f>Bienville!G33</f>
        <v>12366869</v>
      </c>
      <c r="AA12" s="110"/>
      <c r="AB12" s="110">
        <f>Bienville!G34</f>
        <v>18860041</v>
      </c>
      <c r="AC12" s="110">
        <f t="shared" si="8"/>
        <v>31226910</v>
      </c>
      <c r="AD12" s="110">
        <f t="shared" si="9"/>
        <v>43909410</v>
      </c>
      <c r="AE12" s="113" t="str">
        <f t="shared" si="5"/>
        <v>ok</v>
      </c>
      <c r="AF12" s="111">
        <f>Bienville!G38</f>
        <v>43909410</v>
      </c>
    </row>
    <row r="13" spans="1:48" ht="15.6">
      <c r="A13" s="56"/>
      <c r="B13" s="3" t="s">
        <v>821</v>
      </c>
      <c r="C13" s="59">
        <f>Bossier!H7+Bossier!H8</f>
        <v>46120367</v>
      </c>
      <c r="D13" s="59">
        <f>Bossier!H9+Bossier!H10</f>
        <v>13617426</v>
      </c>
      <c r="E13" s="59">
        <f>Bossier!H11</f>
        <v>18410937</v>
      </c>
      <c r="F13" s="59">
        <f>Bossier!H14+Bossier!H15</f>
        <v>287462625</v>
      </c>
      <c r="G13" s="59"/>
      <c r="H13" s="59">
        <f>Bossier!H12+Bossier!H16</f>
        <v>9099384</v>
      </c>
      <c r="I13" s="59">
        <f t="shared" si="6"/>
        <v>374710739</v>
      </c>
      <c r="J13" s="113" t="str">
        <f t="shared" si="1"/>
        <v>ok</v>
      </c>
      <c r="K13" s="58">
        <f>Bossier!H18</f>
        <v>374710739</v>
      </c>
      <c r="L13" s="177">
        <f>Bossier!H21</f>
        <v>2017962</v>
      </c>
      <c r="M13" s="59">
        <f>Bossier!H25</f>
        <v>3040969</v>
      </c>
      <c r="N13" s="59"/>
      <c r="O13" s="59"/>
      <c r="P13" s="59"/>
      <c r="Q13" s="59"/>
      <c r="R13" s="59">
        <f>Bossier!H29</f>
        <v>4779068</v>
      </c>
      <c r="S13" s="59">
        <f>Bossier!H30</f>
        <v>65724929</v>
      </c>
      <c r="T13" s="59"/>
      <c r="U13" s="59">
        <f t="shared" si="7"/>
        <v>73544966</v>
      </c>
      <c r="V13" s="113" t="str">
        <f t="shared" si="3"/>
        <v>ok</v>
      </c>
      <c r="W13" s="58">
        <f>Bossier!H32</f>
        <v>73544966</v>
      </c>
      <c r="X13" s="60"/>
      <c r="Y13" s="177">
        <f>Bossier!H38</f>
        <v>15229888</v>
      </c>
      <c r="Z13" s="59">
        <f>Bossier!H41</f>
        <v>241133940</v>
      </c>
      <c r="AA13" s="59">
        <f>Bossier!H43+Bossier!H44+Bossier!H45+Bossier!H46+Bossier!H47+Bossier!H48+Bossier!H49+Bossier!H50</f>
        <v>23609034</v>
      </c>
      <c r="AB13" s="59">
        <f>Bossier!H51</f>
        <v>23210873</v>
      </c>
      <c r="AC13" s="59">
        <f t="shared" si="8"/>
        <v>287953847</v>
      </c>
      <c r="AD13" s="59">
        <f t="shared" si="9"/>
        <v>376728701</v>
      </c>
      <c r="AE13" s="113" t="str">
        <f t="shared" si="5"/>
        <v>ok</v>
      </c>
      <c r="AF13" s="58">
        <f>Bossier!H55</f>
        <v>376728701</v>
      </c>
    </row>
    <row r="14" spans="1:48" s="104" customFormat="1">
      <c r="B14" s="109" t="s">
        <v>822</v>
      </c>
      <c r="C14" s="110">
        <f>Caddo!H7</f>
        <v>5950999</v>
      </c>
      <c r="D14" s="110">
        <f>Caddo!H8</f>
        <v>124633857</v>
      </c>
      <c r="E14" s="110">
        <f>Caddo!H9</f>
        <v>44347039</v>
      </c>
      <c r="F14" s="110">
        <f>Caddo!H15+Caddo!H16</f>
        <v>161621740</v>
      </c>
      <c r="G14" s="110">
        <f>Caddo!H10</f>
        <v>2274558</v>
      </c>
      <c r="H14" s="110">
        <f>Caddo!H12+Caddo!H13</f>
        <v>134881</v>
      </c>
      <c r="I14" s="110">
        <f t="shared" si="6"/>
        <v>338963074</v>
      </c>
      <c r="J14" s="113" t="str">
        <f t="shared" si="1"/>
        <v>ok</v>
      </c>
      <c r="K14" s="111">
        <f>Caddo!H18</f>
        <v>338963074</v>
      </c>
      <c r="L14" s="178">
        <f>Caddo!H24</f>
        <v>342242285</v>
      </c>
      <c r="M14" s="110">
        <f>Caddo!H27+Caddo!H28+Caddo!H29+Caddo!H30+Caddo!H31</f>
        <v>5295787</v>
      </c>
      <c r="N14" s="110"/>
      <c r="O14" s="110"/>
      <c r="P14" s="110"/>
      <c r="Q14" s="110">
        <f>Caddo!H32+Caddo!H33</f>
        <v>1176460</v>
      </c>
      <c r="R14" s="110">
        <f>Caddo!H36</f>
        <v>3181419</v>
      </c>
      <c r="S14" s="110">
        <f>Caddo!H37+Caddo!H38+Caddo!H39</f>
        <v>39998835</v>
      </c>
      <c r="T14" s="110">
        <f>Caddo!H34</f>
        <v>34466</v>
      </c>
      <c r="U14" s="110">
        <f t="shared" si="7"/>
        <v>49686967</v>
      </c>
      <c r="V14" s="113" t="str">
        <f t="shared" si="3"/>
        <v>ok</v>
      </c>
      <c r="W14" s="111">
        <f>Caddo!H41</f>
        <v>49686967</v>
      </c>
      <c r="X14" s="112"/>
      <c r="Y14" s="178">
        <f>Caddo!H48</f>
        <v>490293</v>
      </c>
      <c r="Z14" s="110">
        <f>Caddo!H51</f>
        <v>135822820</v>
      </c>
      <c r="AA14" s="110">
        <f>Caddo!H53+Caddo!H54+Caddo!H55+Caddo!H56+Caddo!H57+Caddo!H58+Caddo!H59+Caddo!H60</f>
        <v>92558691</v>
      </c>
      <c r="AB14" s="110">
        <f>Caddo!H62</f>
        <v>63756848</v>
      </c>
      <c r="AC14" s="110">
        <f t="shared" si="8"/>
        <v>292138359</v>
      </c>
      <c r="AD14" s="110">
        <f t="shared" si="9"/>
        <v>342315619</v>
      </c>
      <c r="AE14" s="113" t="str">
        <f t="shared" si="5"/>
        <v>ok</v>
      </c>
      <c r="AF14" s="111">
        <f>Caddo!H66</f>
        <v>342315619</v>
      </c>
    </row>
    <row r="15" spans="1:48" ht="15.6">
      <c r="A15" s="56"/>
      <c r="B15" s="3" t="s">
        <v>823</v>
      </c>
      <c r="C15" s="59">
        <f>Calcasieu!H7</f>
        <v>47833925</v>
      </c>
      <c r="D15" s="59">
        <f>Calcasieu!H8</f>
        <v>254012189</v>
      </c>
      <c r="E15" s="59">
        <f>Calcasieu!H9+Calcasieu!H10+Calcasieu!H13</f>
        <v>64851295</v>
      </c>
      <c r="F15" s="59">
        <f>Calcasieu!H22+Calcasieu!H23</f>
        <v>530837466</v>
      </c>
      <c r="G15" s="59">
        <f>Calcasieu!H11</f>
        <v>4408</v>
      </c>
      <c r="H15" s="59">
        <f>Calcasieu!H14+Calcasieu!H15</f>
        <v>1486747</v>
      </c>
      <c r="I15" s="59">
        <f t="shared" si="6"/>
        <v>899026030</v>
      </c>
      <c r="J15" s="113" t="str">
        <f t="shared" si="1"/>
        <v>ok</v>
      </c>
      <c r="K15" s="58">
        <f>Calcasieu!H25</f>
        <v>899026030</v>
      </c>
      <c r="L15" s="177">
        <f>Calcasieu!H28</f>
        <v>0</v>
      </c>
      <c r="M15" s="59">
        <f>Calcasieu!H34+Calcasieu!H35</f>
        <v>12251202</v>
      </c>
      <c r="N15" s="59"/>
      <c r="O15" s="59"/>
      <c r="P15" s="59"/>
      <c r="Q15" s="59">
        <f>Calcasieu!H36</f>
        <v>60846</v>
      </c>
      <c r="R15" s="59">
        <f>Calcasieu!H41</f>
        <v>2926865</v>
      </c>
      <c r="S15" s="59">
        <f>Calcasieu!H42</f>
        <v>9767208</v>
      </c>
      <c r="T15" s="59">
        <f>Calcasieu!H37+Calcasieu!H38</f>
        <v>3554634</v>
      </c>
      <c r="U15" s="59">
        <f t="shared" si="7"/>
        <v>28560755</v>
      </c>
      <c r="V15" s="113" t="str">
        <f t="shared" si="3"/>
        <v>ok</v>
      </c>
      <c r="W15" s="58">
        <f>Calcasieu!H44</f>
        <v>28560755</v>
      </c>
      <c r="X15" s="60"/>
      <c r="Y15" s="177">
        <f>Calcasieu!H50</f>
        <v>50608056</v>
      </c>
      <c r="Z15" s="59">
        <f>Calcasieu!H54</f>
        <v>530837466</v>
      </c>
      <c r="AA15" s="59">
        <f>Calcasieu!H57+Calcasieu!H58</f>
        <v>208831216</v>
      </c>
      <c r="AB15" s="59">
        <f>Calcasieu!H59</f>
        <v>86151868</v>
      </c>
      <c r="AC15" s="59">
        <f t="shared" si="8"/>
        <v>825820550</v>
      </c>
      <c r="AD15" s="59">
        <f t="shared" si="9"/>
        <v>904989361</v>
      </c>
      <c r="AE15" s="113" t="str">
        <f t="shared" si="5"/>
        <v>ok</v>
      </c>
      <c r="AF15" s="58">
        <f>Calcasieu!H63</f>
        <v>904989361</v>
      </c>
    </row>
    <row r="16" spans="1:48" s="104" customFormat="1">
      <c r="B16" s="109" t="s">
        <v>824</v>
      </c>
      <c r="C16" s="110">
        <f>Caldwell!G6</f>
        <v>7400441</v>
      </c>
      <c r="D16" s="110"/>
      <c r="E16" s="110">
        <f>Caldwell!G7</f>
        <v>1902779</v>
      </c>
      <c r="F16" s="110">
        <f>Caldwell!G8</f>
        <v>16886347</v>
      </c>
      <c r="G16" s="110"/>
      <c r="H16" s="110"/>
      <c r="I16" s="110">
        <f t="shared" ref="I16:I21" si="10">SUM(C16:H16)</f>
        <v>26189567</v>
      </c>
      <c r="J16" s="113" t="str">
        <f t="shared" si="1"/>
        <v>ok</v>
      </c>
      <c r="K16" s="111">
        <f>Caldwell!G10</f>
        <v>26189567</v>
      </c>
      <c r="L16" s="178"/>
      <c r="M16" s="110">
        <f>Caldwell!G17</f>
        <v>436806</v>
      </c>
      <c r="N16" s="110">
        <f>Caldwell!G19</f>
        <v>102079</v>
      </c>
      <c r="O16" s="110"/>
      <c r="P16" s="110"/>
      <c r="Q16" s="110">
        <f>Caldwell!G18</f>
        <v>57698</v>
      </c>
      <c r="R16" s="110"/>
      <c r="S16" s="110"/>
      <c r="T16" s="110">
        <f>Caldwell!G20</f>
        <v>86662</v>
      </c>
      <c r="U16" s="110">
        <f t="shared" ref="U16:U21" si="11">SUM(M16:T16)</f>
        <v>683245</v>
      </c>
      <c r="V16" s="113" t="str">
        <f t="shared" si="3"/>
        <v>ok</v>
      </c>
      <c r="W16" s="111">
        <f>Caldwell!G22</f>
        <v>683245</v>
      </c>
      <c r="X16" s="112"/>
      <c r="Y16" s="178">
        <f>Caldwell!G25</f>
        <v>35166</v>
      </c>
      <c r="Z16" s="110">
        <f>Caldwell!G28</f>
        <v>16886347</v>
      </c>
      <c r="AA16" s="110">
        <f>Caldwell!G29</f>
        <v>8172641</v>
      </c>
      <c r="AB16" s="110">
        <f>Caldwell!G30</f>
        <v>497998</v>
      </c>
      <c r="AC16" s="110">
        <f t="shared" ref="AC16:AC21" si="12">SUM(Z16:AB16)</f>
        <v>25556986</v>
      </c>
      <c r="AD16" s="110">
        <f>SUM(AC16,U16,Y16)</f>
        <v>26275397</v>
      </c>
      <c r="AE16" s="113" t="str">
        <f t="shared" si="5"/>
        <v>ok</v>
      </c>
      <c r="AF16" s="111">
        <f>Caldwell!G34</f>
        <v>26275397</v>
      </c>
    </row>
    <row r="17" spans="1:32" ht="15.6">
      <c r="A17" s="56"/>
      <c r="B17" s="3" t="s">
        <v>825</v>
      </c>
      <c r="C17" s="59">
        <f>Cameron!G6</f>
        <v>16575500</v>
      </c>
      <c r="D17" s="59">
        <f>Cameron!G7</f>
        <v>11477630</v>
      </c>
      <c r="E17" s="59">
        <f>Cameron!G8</f>
        <v>13918620</v>
      </c>
      <c r="F17" s="59">
        <f>Cameron!G11</f>
        <v>123784927</v>
      </c>
      <c r="G17" s="59"/>
      <c r="H17" s="59">
        <f>Cameron!G9+Cameron!G10</f>
        <v>2055319</v>
      </c>
      <c r="I17" s="59">
        <f t="shared" si="10"/>
        <v>167811996</v>
      </c>
      <c r="J17" s="113" t="str">
        <f t="shared" si="1"/>
        <v>ok</v>
      </c>
      <c r="K17" s="58">
        <f>Cameron!G13</f>
        <v>167811996</v>
      </c>
      <c r="L17" s="177"/>
      <c r="M17" s="59">
        <f>Cameron!G18+Cameron!G21</f>
        <v>2021750</v>
      </c>
      <c r="N17" s="59"/>
      <c r="O17" s="59"/>
      <c r="P17" s="59"/>
      <c r="Q17" s="59">
        <f>Cameron!G19</f>
        <v>2551196</v>
      </c>
      <c r="R17" s="59">
        <f>Cameron!G23</f>
        <v>1183863</v>
      </c>
      <c r="S17" s="59">
        <f>Cameron!G24</f>
        <v>3075083</v>
      </c>
      <c r="T17" s="59">
        <f>Cameron!G20</f>
        <v>17231</v>
      </c>
      <c r="U17" s="59">
        <f t="shared" si="11"/>
        <v>8849123</v>
      </c>
      <c r="V17" s="113" t="str">
        <f t="shared" si="3"/>
        <v>ok</v>
      </c>
      <c r="W17" s="58">
        <f>Cameron!G26</f>
        <v>8849123</v>
      </c>
      <c r="X17" s="60"/>
      <c r="Y17" s="177">
        <f>Cameron!G28</f>
        <v>1986478</v>
      </c>
      <c r="Z17" s="59">
        <f>Cameron!G31</f>
        <v>121538091</v>
      </c>
      <c r="AA17" s="59">
        <f>Cameron!G33+Cameron!G34+Cameron!G35+Cameron!G36+Cameron!G37</f>
        <v>2795451</v>
      </c>
      <c r="AB17" s="59">
        <f>Cameron!G38</f>
        <v>33659569</v>
      </c>
      <c r="AC17" s="59">
        <f t="shared" si="12"/>
        <v>157993111</v>
      </c>
      <c r="AD17" s="59">
        <f t="shared" si="9"/>
        <v>168828712</v>
      </c>
      <c r="AE17" s="113" t="str">
        <f t="shared" si="5"/>
        <v>ok</v>
      </c>
      <c r="AF17" s="58">
        <f>Cameron!G42</f>
        <v>168828712</v>
      </c>
    </row>
    <row r="18" spans="1:32" s="104" customFormat="1" ht="15.6">
      <c r="A18" s="108"/>
      <c r="B18" s="109" t="s">
        <v>826</v>
      </c>
      <c r="C18" s="110">
        <f>Catahoula!H9+Catahoula!H8+Catahoula!H7</f>
        <v>2211892</v>
      </c>
      <c r="D18" s="110"/>
      <c r="E18" s="110">
        <f>Catahoula!H10</f>
        <v>1487134</v>
      </c>
      <c r="F18" s="110">
        <f>Catahoula!H12</f>
        <v>6900530</v>
      </c>
      <c r="G18" s="110"/>
      <c r="H18" s="110">
        <f>Catahoula!H11</f>
        <v>83326</v>
      </c>
      <c r="I18" s="110">
        <f t="shared" si="10"/>
        <v>10682882</v>
      </c>
      <c r="J18" s="113" t="str">
        <f t="shared" si="1"/>
        <v>ok</v>
      </c>
      <c r="K18" s="111">
        <f>Catahoula!H14</f>
        <v>10682882</v>
      </c>
      <c r="L18" s="178">
        <f>Catahoula!H17</f>
        <v>54981</v>
      </c>
      <c r="M18" s="110">
        <f>Catahoula!H20</f>
        <v>656405</v>
      </c>
      <c r="N18" s="110">
        <f>Catahoula!H21</f>
        <v>36269</v>
      </c>
      <c r="O18" s="110"/>
      <c r="P18" s="110"/>
      <c r="Q18" s="110"/>
      <c r="R18" s="110">
        <f>Catahoula!H22</f>
        <v>107000</v>
      </c>
      <c r="S18" s="110">
        <f>Catahoula!H23+Catahoula!H24</f>
        <v>191562</v>
      </c>
      <c r="T18" s="110"/>
      <c r="U18" s="110">
        <f t="shared" si="11"/>
        <v>991236</v>
      </c>
      <c r="V18" s="113" t="str">
        <f t="shared" si="3"/>
        <v>ok</v>
      </c>
      <c r="W18" s="111">
        <f>Catahoula!H26</f>
        <v>991236</v>
      </c>
      <c r="X18" s="112"/>
      <c r="Y18" s="178">
        <f>Catahoula!H31</f>
        <v>26882</v>
      </c>
      <c r="Z18" s="110">
        <f>Catahoula!H34</f>
        <v>6900530</v>
      </c>
      <c r="AA18" s="110">
        <f>Catahoula!H35</f>
        <v>2035217</v>
      </c>
      <c r="AB18" s="110">
        <f>Catahoula!H36</f>
        <v>783998</v>
      </c>
      <c r="AC18" s="110">
        <f t="shared" si="12"/>
        <v>9719745</v>
      </c>
      <c r="AD18" s="110">
        <f>SUM(AC18,U18,Y18)</f>
        <v>10737863</v>
      </c>
      <c r="AE18" s="113" t="str">
        <f t="shared" si="5"/>
        <v>ok</v>
      </c>
      <c r="AF18" s="111">
        <f>Catahoula!H40</f>
        <v>10737863</v>
      </c>
    </row>
    <row r="19" spans="1:32" ht="15.6">
      <c r="A19" s="56"/>
      <c r="B19" s="3" t="s">
        <v>827</v>
      </c>
      <c r="C19" s="59">
        <f>Claiborne!G6</f>
        <v>6780670</v>
      </c>
      <c r="D19" s="59">
        <f>Claiborne!G7</f>
        <v>793544</v>
      </c>
      <c r="E19" s="59">
        <f>Claiborne!G8</f>
        <v>3238498</v>
      </c>
      <c r="F19" s="59">
        <f>Claiborne!G11</f>
        <v>8351695</v>
      </c>
      <c r="G19" s="59"/>
      <c r="H19" s="59">
        <f>Claiborne!G9+Claiborne!G10</f>
        <v>132197</v>
      </c>
      <c r="I19" s="59">
        <f t="shared" si="10"/>
        <v>19296604</v>
      </c>
      <c r="J19" s="113" t="str">
        <f t="shared" si="1"/>
        <v>ok</v>
      </c>
      <c r="K19" s="58">
        <f>Claiborne!G13</f>
        <v>19296604</v>
      </c>
      <c r="L19" s="177">
        <f>Claiborne!G16</f>
        <v>129494</v>
      </c>
      <c r="M19" s="59">
        <f>Claiborne!G19</f>
        <v>547636</v>
      </c>
      <c r="N19" s="59">
        <f>Claiborne!G22</f>
        <v>70564</v>
      </c>
      <c r="O19" s="59"/>
      <c r="P19" s="59"/>
      <c r="Q19" s="59">
        <f>Claiborne!G20</f>
        <v>14025</v>
      </c>
      <c r="R19" s="59">
        <f>Claiborne!G23</f>
        <v>155000</v>
      </c>
      <c r="S19" s="59">
        <f>Claiborne!G24</f>
        <v>1390000</v>
      </c>
      <c r="T19" s="59">
        <f>Claiborne!G25+Claiborne!G21</f>
        <v>102866</v>
      </c>
      <c r="U19" s="59">
        <f t="shared" si="11"/>
        <v>2280091</v>
      </c>
      <c r="V19" s="113" t="str">
        <f t="shared" si="3"/>
        <v>ok</v>
      </c>
      <c r="W19" s="58">
        <f>Claiborne!G27</f>
        <v>2280091</v>
      </c>
      <c r="X19" s="60"/>
      <c r="Y19" s="177">
        <f>Claiborne!G30</f>
        <v>33504</v>
      </c>
      <c r="Z19" s="59">
        <f>Claiborne!G33</f>
        <v>6806695</v>
      </c>
      <c r="AA19" s="59">
        <f>Claiborne!G35+Claiborne!G36+Claiborne!G37+Claiborne!G38+Claiborne!G39+Claiborne!G40</f>
        <v>5527961</v>
      </c>
      <c r="AB19" s="59">
        <f>Claiborne!G41</f>
        <v>4777847</v>
      </c>
      <c r="AC19" s="59">
        <f t="shared" si="12"/>
        <v>17112503</v>
      </c>
      <c r="AD19" s="59">
        <f t="shared" si="9"/>
        <v>19426098</v>
      </c>
      <c r="AE19" s="113" t="str">
        <f t="shared" si="5"/>
        <v>ok</v>
      </c>
      <c r="AF19" s="58">
        <f>Claiborne!G45</f>
        <v>19426098</v>
      </c>
    </row>
    <row r="20" spans="1:32" s="104" customFormat="1" ht="15.6">
      <c r="A20" s="108"/>
      <c r="B20" s="109" t="s">
        <v>828</v>
      </c>
      <c r="C20" s="110">
        <f>Concodria!G7+Concodria!G8</f>
        <v>10550680</v>
      </c>
      <c r="D20" s="110"/>
      <c r="E20" s="110">
        <f>Concodria!G9+Concodria!G10+Concodria!G11+Concodria!G12</f>
        <v>2051861</v>
      </c>
      <c r="F20" s="110"/>
      <c r="G20" s="110"/>
      <c r="H20" s="110"/>
      <c r="I20" s="110">
        <f t="shared" si="10"/>
        <v>12602541</v>
      </c>
      <c r="J20" s="113" t="str">
        <f t="shared" si="1"/>
        <v>ok</v>
      </c>
      <c r="K20" s="111">
        <f>Concodria!G14</f>
        <v>12602541</v>
      </c>
      <c r="L20" s="178">
        <f>Concodria!G22</f>
        <v>22917340</v>
      </c>
      <c r="M20" s="110">
        <f>Concodria!G26+Concodria!G28</f>
        <v>434484</v>
      </c>
      <c r="N20" s="110"/>
      <c r="O20" s="110"/>
      <c r="P20" s="110"/>
      <c r="Q20" s="110"/>
      <c r="R20" s="110">
        <f>Concodria!G29</f>
        <v>413369</v>
      </c>
      <c r="S20" s="110">
        <f>Concodria!G34</f>
        <v>76459</v>
      </c>
      <c r="T20" s="110">
        <f>Concodria!G33+Concodria!G27</f>
        <v>8511844</v>
      </c>
      <c r="U20" s="110">
        <f t="shared" si="11"/>
        <v>9436156</v>
      </c>
      <c r="V20" s="113" t="str">
        <f t="shared" si="3"/>
        <v>ok</v>
      </c>
      <c r="W20" s="111">
        <f>Concodria!G37</f>
        <v>9436156</v>
      </c>
      <c r="X20" s="112"/>
      <c r="Y20" s="178">
        <f>Concodria!G40</f>
        <v>34846</v>
      </c>
      <c r="Z20" s="110">
        <f>Concodria!G43</f>
        <v>1247208</v>
      </c>
      <c r="AA20" s="110">
        <f>Concodria!G45+Concodria!G46</f>
        <v>8247768</v>
      </c>
      <c r="AB20" s="110">
        <f>Concodria!G47</f>
        <v>3951362</v>
      </c>
      <c r="AC20" s="110">
        <f t="shared" si="12"/>
        <v>13446338</v>
      </c>
      <c r="AD20" s="110">
        <f t="shared" si="9"/>
        <v>22917340</v>
      </c>
      <c r="AE20" s="113" t="str">
        <f t="shared" si="5"/>
        <v>ok</v>
      </c>
      <c r="AF20" s="111">
        <f>Concodria!G51</f>
        <v>22917340</v>
      </c>
    </row>
    <row r="21" spans="1:32" ht="15.6">
      <c r="A21" s="56"/>
      <c r="B21" s="3" t="s">
        <v>829</v>
      </c>
      <c r="C21" s="59">
        <f>DeSoto!H7</f>
        <v>8494984</v>
      </c>
      <c r="D21" s="59">
        <f>DeSoto!H8</f>
        <v>20852796</v>
      </c>
      <c r="E21" s="59">
        <f>DeSoto!H9</f>
        <v>13253156</v>
      </c>
      <c r="F21" s="59">
        <f>DeSoto!H11</f>
        <v>76265772</v>
      </c>
      <c r="G21" s="59"/>
      <c r="H21" s="59">
        <f>DeSoto!H10</f>
        <v>26264</v>
      </c>
      <c r="I21" s="59">
        <f t="shared" si="10"/>
        <v>118892972</v>
      </c>
      <c r="J21" s="113" t="str">
        <f t="shared" si="1"/>
        <v>ok</v>
      </c>
      <c r="K21" s="58">
        <f>DeSoto!H13</f>
        <v>118892972</v>
      </c>
      <c r="L21" s="177"/>
      <c r="M21" s="59">
        <f>DeSoto!H19</f>
        <v>1358547</v>
      </c>
      <c r="N21" s="59">
        <f>DeSoto!H25</f>
        <v>323506</v>
      </c>
      <c r="O21" s="59"/>
      <c r="P21" s="59"/>
      <c r="Q21" s="59">
        <f>DeSoto!H23</f>
        <v>154306</v>
      </c>
      <c r="R21" s="59">
        <f>DeSoto!H29</f>
        <v>449</v>
      </c>
      <c r="S21" s="59"/>
      <c r="T21" s="59">
        <f>DeSoto!H27+DeSoto!H26+DeSoto!H24+DeSoto!H22+DeSoto!H21+DeSoto!H20</f>
        <v>5940756</v>
      </c>
      <c r="U21" s="59">
        <f t="shared" si="11"/>
        <v>7777564</v>
      </c>
      <c r="V21" s="113" t="str">
        <f t="shared" si="3"/>
        <v>ok</v>
      </c>
      <c r="W21" s="58">
        <f>DeSoto!H31</f>
        <v>7777564</v>
      </c>
      <c r="X21" s="60"/>
      <c r="Y21" s="177"/>
      <c r="Z21" s="59">
        <f>DeSoto!H36</f>
        <v>76265323</v>
      </c>
      <c r="AA21" s="59">
        <f>DeSoto!H37</f>
        <v>449</v>
      </c>
      <c r="AB21" s="59">
        <f>DeSoto!H38</f>
        <v>35278671</v>
      </c>
      <c r="AC21" s="59">
        <f t="shared" si="12"/>
        <v>111544443</v>
      </c>
      <c r="AD21" s="59">
        <f t="shared" si="9"/>
        <v>119322007</v>
      </c>
      <c r="AE21" s="113" t="str">
        <f t="shared" si="5"/>
        <v>ok</v>
      </c>
      <c r="AF21" s="58">
        <f>DeSoto!H42</f>
        <v>119322007</v>
      </c>
    </row>
    <row r="22" spans="1:32" s="209" customFormat="1" ht="15.6">
      <c r="A22" s="203"/>
      <c r="B22" s="204" t="s">
        <v>830</v>
      </c>
      <c r="C22" s="205">
        <f>'East Baton Rouge'!H8</f>
        <v>166127175</v>
      </c>
      <c r="D22" s="205">
        <f>'East Baton Rouge'!H9</f>
        <v>211759186</v>
      </c>
      <c r="E22" s="205">
        <f>'East Baton Rouge'!H10+'East Baton Rouge'!H13</f>
        <v>56651587</v>
      </c>
      <c r="F22" s="205">
        <f>'East Baton Rouge'!H22+'East Baton Rouge'!H23</f>
        <v>891275868</v>
      </c>
      <c r="G22" s="205">
        <f>'East Baton Rouge'!H11</f>
        <v>84333564</v>
      </c>
      <c r="H22" s="205">
        <f>'East Baton Rouge'!H12+'East Baton Rouge'!H14</f>
        <v>1279414</v>
      </c>
      <c r="I22" s="205">
        <f t="shared" ref="I22:I26" si="13">SUM(C22:H22)</f>
        <v>1411426794</v>
      </c>
      <c r="J22" s="113" t="str">
        <f t="shared" si="1"/>
        <v>ok</v>
      </c>
      <c r="K22" s="206">
        <f>'East Baton Rouge'!H25</f>
        <v>1411426794</v>
      </c>
      <c r="L22" s="207">
        <f>'East Baton Rouge'!H32</f>
        <v>96236116</v>
      </c>
      <c r="M22" s="205">
        <f>'East Baton Rouge'!H35</f>
        <v>27771571</v>
      </c>
      <c r="N22" s="205"/>
      <c r="O22" s="205"/>
      <c r="P22" s="205"/>
      <c r="Q22" s="205">
        <f>'East Baton Rouge'!H37</f>
        <v>490429</v>
      </c>
      <c r="R22" s="205">
        <f>'East Baton Rouge'!H43</f>
        <v>35509330</v>
      </c>
      <c r="S22" s="205">
        <f>'East Baton Rouge'!H44</f>
        <v>1236678992</v>
      </c>
      <c r="T22" s="205">
        <f>'East Baton Rouge'!H36+'East Baton Rouge'!H38+'East Baton Rouge'!H39+'East Baton Rouge'!H40+'East Baton Rouge'!H41</f>
        <v>21932705</v>
      </c>
      <c r="U22" s="205">
        <f t="shared" ref="U22:U25" si="14">SUM(M22:T22)</f>
        <v>1322383027</v>
      </c>
      <c r="V22" s="113" t="str">
        <f t="shared" si="3"/>
        <v>ok</v>
      </c>
      <c r="W22" s="206">
        <f>'East Baton Rouge'!H46</f>
        <v>1322383027</v>
      </c>
      <c r="X22" s="208"/>
      <c r="Y22" s="207">
        <f>'East Baton Rouge'!H51</f>
        <v>8127460</v>
      </c>
      <c r="Z22" s="205">
        <f>'East Baton Rouge'!H54</f>
        <v>665194789</v>
      </c>
      <c r="AA22" s="205">
        <f>'East Baton Rouge'!H56+'East Baton Rouge'!H57+'East Baton Rouge'!H59</f>
        <v>166068834</v>
      </c>
      <c r="AB22" s="205">
        <f>'East Baton Rouge'!H60</f>
        <v>-650015599</v>
      </c>
      <c r="AC22" s="205">
        <f t="shared" ref="AC22:AC25" si="15">SUM(Z22:AB22)</f>
        <v>181248024</v>
      </c>
      <c r="AD22" s="110">
        <f t="shared" si="9"/>
        <v>1511758511</v>
      </c>
      <c r="AE22" s="113" t="str">
        <f t="shared" si="5"/>
        <v>ok</v>
      </c>
      <c r="AF22" s="206">
        <f>'East Baton Rouge'!H64</f>
        <v>1511758511</v>
      </c>
    </row>
    <row r="23" spans="1:32">
      <c r="B23" s="3" t="s">
        <v>831</v>
      </c>
      <c r="C23" s="59">
        <f>'East Carroll'!H7</f>
        <v>1995746</v>
      </c>
      <c r="D23" s="59">
        <f>'East Carroll'!H8</f>
        <v>719027</v>
      </c>
      <c r="E23" s="59">
        <f>'East Carroll'!H9</f>
        <v>2907365</v>
      </c>
      <c r="F23" s="59">
        <f>'East Carroll'!H12+'East Carroll'!H13</f>
        <v>6158446</v>
      </c>
      <c r="G23" s="59"/>
      <c r="H23" s="59"/>
      <c r="I23" s="59">
        <f t="shared" si="13"/>
        <v>11780584</v>
      </c>
      <c r="J23" s="113" t="str">
        <f t="shared" si="1"/>
        <v>ok</v>
      </c>
      <c r="K23" s="58">
        <f>'East Carroll'!H15</f>
        <v>11780584</v>
      </c>
      <c r="L23" s="177"/>
      <c r="M23" s="59">
        <f>'East Carroll'!H22+'East Carroll'!H23</f>
        <v>117666</v>
      </c>
      <c r="N23" s="59"/>
      <c r="O23" s="59"/>
      <c r="P23" s="59"/>
      <c r="Q23" s="59"/>
      <c r="R23" s="59">
        <f>'East Carroll'!H25</f>
        <v>213975</v>
      </c>
      <c r="S23" s="59">
        <f>'East Carroll'!H26</f>
        <v>310647</v>
      </c>
      <c r="T23" s="59"/>
      <c r="U23" s="59">
        <f t="shared" si="14"/>
        <v>642288</v>
      </c>
      <c r="V23" s="113" t="str">
        <f t="shared" si="3"/>
        <v>ok</v>
      </c>
      <c r="W23" s="58">
        <f>'East Carroll'!H28</f>
        <v>642288</v>
      </c>
      <c r="X23" s="60"/>
      <c r="Y23" s="177">
        <f>'East Carroll'!H32</f>
        <v>39401</v>
      </c>
      <c r="Z23" s="59">
        <f>'East Carroll'!H35</f>
        <v>5701437</v>
      </c>
      <c r="AA23" s="59">
        <f>'East Carroll'!H37+'East Carroll'!H38+'East Carroll'!H39+'East Carroll'!H40+'East Carroll'!H41+'East Carroll'!H42+'East Carroll'!H43+'East Carroll'!H44+'East Carroll'!H45</f>
        <v>4775557</v>
      </c>
      <c r="AB23" s="59">
        <f>'East Carroll'!H47</f>
        <v>909109</v>
      </c>
      <c r="AC23" s="59">
        <f t="shared" si="15"/>
        <v>11386103</v>
      </c>
      <c r="AD23" s="59">
        <f t="shared" si="9"/>
        <v>12067792</v>
      </c>
      <c r="AE23" s="113" t="str">
        <f t="shared" si="5"/>
        <v>ok</v>
      </c>
      <c r="AF23" s="58">
        <f>'East Carroll'!H51</f>
        <v>12067792</v>
      </c>
    </row>
    <row r="24" spans="1:32" s="104" customFormat="1" ht="15.6">
      <c r="A24" s="108"/>
      <c r="B24" s="109" t="s">
        <v>832</v>
      </c>
      <c r="C24" s="110">
        <f>'East Feliciana'!G6</f>
        <v>4577606</v>
      </c>
      <c r="D24" s="110"/>
      <c r="E24" s="110">
        <f>'East Feliciana'!G7</f>
        <v>1201051</v>
      </c>
      <c r="F24" s="110">
        <f>'East Feliciana'!G10</f>
        <v>14087861</v>
      </c>
      <c r="G24" s="110">
        <f>'East Feliciana'!G8+'East Feliciana'!G9</f>
        <v>1959767</v>
      </c>
      <c r="H24" s="110"/>
      <c r="I24" s="110">
        <f t="shared" si="13"/>
        <v>21826285</v>
      </c>
      <c r="J24" s="113" t="str">
        <f t="shared" si="1"/>
        <v>ok</v>
      </c>
      <c r="K24" s="111">
        <f>'East Feliciana'!G12</f>
        <v>21826285</v>
      </c>
      <c r="L24" s="178">
        <f>'East Feliciana'!G15</f>
        <v>132270</v>
      </c>
      <c r="M24" s="110">
        <f>'East Feliciana'!G19</f>
        <v>98217</v>
      </c>
      <c r="N24" s="110">
        <f>'East Feliciana'!G23</f>
        <v>8736</v>
      </c>
      <c r="O24" s="110"/>
      <c r="P24" s="110"/>
      <c r="Q24" s="110">
        <f>'East Feliciana'!G20+'East Feliciana'!G21</f>
        <v>1417178</v>
      </c>
      <c r="R24" s="110"/>
      <c r="S24" s="110"/>
      <c r="T24" s="110">
        <f>'East Feliciana'!G22</f>
        <v>66241</v>
      </c>
      <c r="U24" s="110">
        <f t="shared" ref="U24" si="16">SUM(M24:T24)</f>
        <v>1590372</v>
      </c>
      <c r="V24" s="113" t="str">
        <f t="shared" si="3"/>
        <v>ok</v>
      </c>
      <c r="W24" s="111">
        <f>'East Feliciana'!G25</f>
        <v>1590372</v>
      </c>
      <c r="X24" s="112"/>
      <c r="Y24" s="178">
        <f>'East Feliciana'!G29</f>
        <v>23363</v>
      </c>
      <c r="Z24" s="110">
        <f>'East Feliciana'!G32</f>
        <v>14087861</v>
      </c>
      <c r="AA24" s="110">
        <f>'East Feliciana'!G34+'East Feliciana'!G35+'East Feliciana'!G36</f>
        <v>4934203</v>
      </c>
      <c r="AB24" s="110">
        <f>'East Feliciana'!G37</f>
        <v>1322756</v>
      </c>
      <c r="AC24" s="110">
        <f t="shared" ref="AC24" si="17">SUM(Z24:AB24)</f>
        <v>20344820</v>
      </c>
      <c r="AD24" s="110">
        <f t="shared" si="9"/>
        <v>21958555</v>
      </c>
      <c r="AE24" s="113" t="str">
        <f t="shared" si="5"/>
        <v>ok</v>
      </c>
      <c r="AF24" s="111">
        <f>'East Feliciana'!G41</f>
        <v>21958555</v>
      </c>
    </row>
    <row r="25" spans="1:32" ht="15.6">
      <c r="A25" s="56"/>
      <c r="B25" s="3" t="s">
        <v>833</v>
      </c>
      <c r="C25" s="59">
        <f>Evangeline!H7</f>
        <v>9976548</v>
      </c>
      <c r="D25" s="59">
        <f>Evangeline!H13</f>
        <v>7198420</v>
      </c>
      <c r="E25" s="59">
        <f>Evangeline!H8</f>
        <v>7163</v>
      </c>
      <c r="F25" s="59">
        <f>Evangeline!H14</f>
        <v>47031804</v>
      </c>
      <c r="G25" s="59">
        <f>Evangeline!H9</f>
        <v>6075704</v>
      </c>
      <c r="H25" s="59">
        <f>Evangeline!H10</f>
        <v>46456</v>
      </c>
      <c r="I25" s="59">
        <f t="shared" si="13"/>
        <v>70336095</v>
      </c>
      <c r="J25" s="113" t="str">
        <f t="shared" si="1"/>
        <v>ok</v>
      </c>
      <c r="K25" s="58">
        <f>Evangeline!H16</f>
        <v>70336095</v>
      </c>
      <c r="L25" s="177">
        <f>Evangeline!H18</f>
        <v>560010</v>
      </c>
      <c r="M25" s="59">
        <f>Evangeline!H22+Evangeline!H23+Evangeline!H25</f>
        <v>3168413</v>
      </c>
      <c r="N25" s="59"/>
      <c r="O25" s="59"/>
      <c r="P25" s="59"/>
      <c r="Q25" s="59"/>
      <c r="R25" s="59">
        <f>Evangeline!H29</f>
        <v>1889000</v>
      </c>
      <c r="S25" s="59">
        <f>Evangeline!H30+Evangeline!H31</f>
        <v>28329881</v>
      </c>
      <c r="T25" s="59">
        <f>Evangeline!H24+Evangeline!H26</f>
        <v>312615</v>
      </c>
      <c r="U25" s="59">
        <f t="shared" si="14"/>
        <v>33699909</v>
      </c>
      <c r="V25" s="113" t="str">
        <f t="shared" si="3"/>
        <v>ok</v>
      </c>
      <c r="W25" s="58">
        <f>Evangeline!H33</f>
        <v>33699909</v>
      </c>
      <c r="X25" s="60"/>
      <c r="Y25" s="177"/>
      <c r="Z25" s="59">
        <f>Evangeline!H38</f>
        <v>24827361</v>
      </c>
      <c r="AA25" s="59">
        <f>Evangeline!H39</f>
        <v>144210</v>
      </c>
      <c r="AB25" s="59">
        <f>Evangeline!H40</f>
        <v>12141928</v>
      </c>
      <c r="AC25" s="59">
        <f t="shared" si="15"/>
        <v>37113499</v>
      </c>
      <c r="AD25" s="59">
        <f t="shared" si="9"/>
        <v>70813408</v>
      </c>
      <c r="AE25" s="113" t="str">
        <f t="shared" si="5"/>
        <v>ok</v>
      </c>
      <c r="AF25" s="58">
        <f>Evangeline!H44</f>
        <v>70813408</v>
      </c>
    </row>
    <row r="26" spans="1:32" s="104" customFormat="1" ht="15.6">
      <c r="A26" s="108"/>
      <c r="B26" s="109" t="s">
        <v>834</v>
      </c>
      <c r="C26" s="110">
        <f>Franklin!G6</f>
        <v>9845125</v>
      </c>
      <c r="D26" s="110"/>
      <c r="E26" s="110">
        <f>Franklin!G7</f>
        <v>3565030</v>
      </c>
      <c r="F26" s="110">
        <f>Franklin!G8</f>
        <v>19315782</v>
      </c>
      <c r="G26" s="110"/>
      <c r="H26" s="110"/>
      <c r="I26" s="110">
        <f t="shared" si="13"/>
        <v>32725937</v>
      </c>
      <c r="J26" s="113" t="str">
        <f t="shared" si="1"/>
        <v>ok</v>
      </c>
      <c r="K26" s="111">
        <f>Franklin!G10</f>
        <v>32725937</v>
      </c>
      <c r="L26" s="178"/>
      <c r="M26" s="110">
        <f>Franklin!G17+Franklin!G18+Franklin!G20</f>
        <v>527170</v>
      </c>
      <c r="N26" s="110">
        <f>Franklin!G19</f>
        <v>97918</v>
      </c>
      <c r="O26" s="110"/>
      <c r="P26" s="110"/>
      <c r="Q26" s="110">
        <f>Franklin!G24</f>
        <v>72472</v>
      </c>
      <c r="R26" s="110">
        <f>Franklin!G22</f>
        <v>31000</v>
      </c>
      <c r="S26" s="110">
        <f>Franklin!G23</f>
        <v>72000</v>
      </c>
      <c r="T26" s="110">
        <f>Franklin!G25</f>
        <v>1566426</v>
      </c>
      <c r="U26" s="110">
        <f t="shared" ref="U26" si="18">SUM(M26:T26)</f>
        <v>2366986</v>
      </c>
      <c r="V26" s="113" t="str">
        <f t="shared" si="3"/>
        <v>ok</v>
      </c>
      <c r="W26" s="111">
        <f>Franklin!G27</f>
        <v>2366986</v>
      </c>
      <c r="X26" s="112"/>
      <c r="Y26" s="178">
        <f>Franklin!G30</f>
        <v>28927</v>
      </c>
      <c r="Z26" s="110">
        <f>Franklin!G33</f>
        <v>19170120</v>
      </c>
      <c r="AA26" s="110"/>
      <c r="AB26" s="110">
        <f>Franklin!G34</f>
        <v>11271104</v>
      </c>
      <c r="AC26" s="110">
        <f t="shared" ref="AC26" si="19">SUM(Z26:AB26)</f>
        <v>30441224</v>
      </c>
      <c r="AD26" s="110">
        <f t="shared" si="9"/>
        <v>32837137</v>
      </c>
      <c r="AE26" s="113" t="str">
        <f t="shared" si="5"/>
        <v>ok</v>
      </c>
      <c r="AF26" s="111">
        <f>Franklin!G38</f>
        <v>32837137</v>
      </c>
    </row>
    <row r="27" spans="1:32" s="155" customFormat="1" ht="15.6">
      <c r="A27" s="210"/>
      <c r="B27" s="211" t="s">
        <v>469</v>
      </c>
      <c r="C27" s="212">
        <f>Grant!H7</f>
        <v>1607559</v>
      </c>
      <c r="D27" s="212"/>
      <c r="E27" s="212">
        <f>Grant!H8</f>
        <v>1476524</v>
      </c>
      <c r="F27" s="212">
        <f>Grant!H11+Grant!H12+Grant!H13</f>
        <v>6116377</v>
      </c>
      <c r="G27" s="212"/>
      <c r="H27" s="212"/>
      <c r="I27" s="212">
        <f t="shared" ref="I27:I28" si="20">SUM(C27:H27)</f>
        <v>9200460</v>
      </c>
      <c r="J27" s="113" t="str">
        <f t="shared" si="1"/>
        <v>ok</v>
      </c>
      <c r="K27" s="213">
        <f>Grant!H15</f>
        <v>9200460</v>
      </c>
      <c r="L27" s="214">
        <f>Grant!H17</f>
        <v>327152</v>
      </c>
      <c r="M27" s="212">
        <f>Grant!H20+Grant!H21</f>
        <v>514131</v>
      </c>
      <c r="N27" s="212">
        <f>Grant!H25</f>
        <v>48059</v>
      </c>
      <c r="O27" s="212"/>
      <c r="P27" s="212"/>
      <c r="Q27" s="212"/>
      <c r="R27" s="212">
        <f>Grant!H27</f>
        <v>97605</v>
      </c>
      <c r="S27" s="212">
        <f>Grant!H28</f>
        <v>149857</v>
      </c>
      <c r="T27" s="212">
        <f>Grant!H29</f>
        <v>95921</v>
      </c>
      <c r="U27" s="212">
        <f t="shared" ref="U27:U28" si="21">SUM(M27:T27)</f>
        <v>905573</v>
      </c>
      <c r="V27" s="113" t="str">
        <f t="shared" si="3"/>
        <v>ok</v>
      </c>
      <c r="W27" s="213">
        <f>Grant!H31</f>
        <v>905573</v>
      </c>
      <c r="X27" s="215"/>
      <c r="Y27" s="214">
        <f>Grant!H33</f>
        <v>101227</v>
      </c>
      <c r="Z27" s="212">
        <f>Grant!H36</f>
        <v>5836045</v>
      </c>
      <c r="AA27" s="212">
        <f>Grant!H38+Grant!H39+Grant!H40</f>
        <v>1815365</v>
      </c>
      <c r="AB27" s="212">
        <f>Grant!H41</f>
        <v>869402</v>
      </c>
      <c r="AC27" s="212">
        <f t="shared" ref="AC27:AC28" si="22">SUM(Z27:AB27)</f>
        <v>8520812</v>
      </c>
      <c r="AD27" s="59">
        <f t="shared" si="9"/>
        <v>9527612</v>
      </c>
      <c r="AE27" s="113" t="str">
        <f t="shared" si="5"/>
        <v>ok</v>
      </c>
      <c r="AF27" s="213">
        <f>Grant!H45</f>
        <v>9527612</v>
      </c>
    </row>
    <row r="28" spans="1:32" s="104" customFormat="1">
      <c r="B28" s="109" t="s">
        <v>835</v>
      </c>
      <c r="C28" s="110">
        <f>Iberia!H7</f>
        <v>46860646</v>
      </c>
      <c r="D28" s="110">
        <f>Iberia!H8</f>
        <v>63081</v>
      </c>
      <c r="E28" s="110">
        <f>Iberia!H9</f>
        <v>7717579</v>
      </c>
      <c r="F28" s="110">
        <f>Iberia!H19+Iberia!H20</f>
        <v>94128935</v>
      </c>
      <c r="G28" s="110">
        <f>Iberia!H11</f>
        <v>3219065</v>
      </c>
      <c r="H28" s="110">
        <f>Iberia!H10</f>
        <v>1989685</v>
      </c>
      <c r="I28" s="110">
        <f t="shared" si="20"/>
        <v>153978991</v>
      </c>
      <c r="J28" s="113" t="str">
        <f t="shared" si="1"/>
        <v>ok</v>
      </c>
      <c r="K28" s="111">
        <f>Iberia!H22:H22</f>
        <v>153978991</v>
      </c>
      <c r="L28" s="178">
        <f>Iberia!H27</f>
        <v>1266943</v>
      </c>
      <c r="M28" s="110">
        <f>Iberia!H30+Iberia!H31+Iberia!H32+Iberia!H38</f>
        <v>2421887</v>
      </c>
      <c r="N28" s="110"/>
      <c r="O28" s="110"/>
      <c r="P28" s="110"/>
      <c r="Q28" s="110">
        <f>Iberia!H33+Iberia!H34</f>
        <v>978926</v>
      </c>
      <c r="R28" s="110">
        <f>Iberia!H43</f>
        <v>1825318</v>
      </c>
      <c r="S28" s="110">
        <f>Iberia!H44</f>
        <v>13093322</v>
      </c>
      <c r="T28" s="110">
        <f>Iberia!H36+Iberia!H41+Iberia!H42</f>
        <v>5907636</v>
      </c>
      <c r="U28" s="110">
        <f t="shared" si="21"/>
        <v>24227089</v>
      </c>
      <c r="V28" s="113" t="str">
        <f t="shared" si="3"/>
        <v>ok</v>
      </c>
      <c r="W28" s="111">
        <f>Iberia!H46</f>
        <v>24227089</v>
      </c>
      <c r="X28" s="112"/>
      <c r="Y28" s="178">
        <f>Iberia!H49</f>
        <v>109223</v>
      </c>
      <c r="Z28" s="110">
        <f>Iberia!H52</f>
        <v>80033586</v>
      </c>
      <c r="AA28" s="110">
        <f>Iberia!H54+Iberia!H55+Iberia!H56+Iberia!H57+Iberia!H58</f>
        <v>30104905</v>
      </c>
      <c r="AB28" s="110">
        <f>Iberia!H59</f>
        <v>20771131</v>
      </c>
      <c r="AC28" s="110">
        <f t="shared" si="22"/>
        <v>130909622</v>
      </c>
      <c r="AD28" s="110">
        <f t="shared" si="9"/>
        <v>155245934</v>
      </c>
      <c r="AE28" s="113" t="str">
        <f t="shared" si="5"/>
        <v>ok</v>
      </c>
      <c r="AF28" s="111">
        <f>Iberia!H63</f>
        <v>155245934</v>
      </c>
    </row>
    <row r="29" spans="1:32" ht="15.6">
      <c r="A29" s="56"/>
      <c r="B29" s="3" t="s">
        <v>836</v>
      </c>
      <c r="C29" s="59">
        <f>Iberville!H8+Iberville!H15</f>
        <v>30413280</v>
      </c>
      <c r="D29" s="59"/>
      <c r="E29" s="59">
        <f>Iberville!H10</f>
        <v>9106856</v>
      </c>
      <c r="F29" s="59">
        <f>Iberville!H17+Iberville!H18+Iberville!H19+Iberville!H20+Iberville!H21</f>
        <v>117701950</v>
      </c>
      <c r="G29" s="59"/>
      <c r="H29" s="59">
        <f>Iberville!H12+Iberville!H13</f>
        <v>1223108</v>
      </c>
      <c r="I29" s="59">
        <f t="shared" ref="I29:I30" si="23">SUM(C29:H29)</f>
        <v>158445194</v>
      </c>
      <c r="J29" s="113" t="str">
        <f t="shared" si="1"/>
        <v>ok</v>
      </c>
      <c r="K29" s="58">
        <f>Iberville!H23</f>
        <v>158445194</v>
      </c>
      <c r="L29" s="177">
        <f>Iberville!H26</f>
        <v>1111407</v>
      </c>
      <c r="M29" s="59">
        <f>Iberville!H29+Iberville!H33</f>
        <v>4312803</v>
      </c>
      <c r="N29" s="59"/>
      <c r="O29" s="59"/>
      <c r="P29" s="59"/>
      <c r="Q29" s="59"/>
      <c r="R29" s="59">
        <f>Iberville!H38</f>
        <v>1415089</v>
      </c>
      <c r="S29" s="59">
        <f>Iberville!H39</f>
        <v>18163086</v>
      </c>
      <c r="T29" s="59">
        <f>Iberville!H36+Iberville!H37</f>
        <v>790277</v>
      </c>
      <c r="U29" s="59">
        <f t="shared" ref="U29:U30" si="24">SUM(M29:T29)</f>
        <v>24681255</v>
      </c>
      <c r="V29" s="113" t="str">
        <f t="shared" si="3"/>
        <v>ok</v>
      </c>
      <c r="W29" s="58">
        <f>Iberville!H41</f>
        <v>24681255</v>
      </c>
      <c r="X29" s="60"/>
      <c r="Y29" s="177">
        <f>Iberville!H44</f>
        <v>97127</v>
      </c>
      <c r="Z29" s="59">
        <f>Iberville!H47</f>
        <v>99077563</v>
      </c>
      <c r="AA29" s="59">
        <f>Iberville!H49+Iberville!H50+Iberville!H51+Iberville!H52+Iberville!H53+Iberville!H54+Iberville!H55+Iberville!H56</f>
        <v>23751758</v>
      </c>
      <c r="AB29" s="59">
        <f>Iberville!H57</f>
        <v>11948898</v>
      </c>
      <c r="AC29" s="59">
        <f t="shared" ref="AC29:AC30" si="25">SUM(Z29:AB29)</f>
        <v>134778219</v>
      </c>
      <c r="AD29" s="59">
        <f t="shared" si="9"/>
        <v>159556601</v>
      </c>
      <c r="AE29" s="113" t="str">
        <f t="shared" si="5"/>
        <v>ok</v>
      </c>
      <c r="AF29" s="58">
        <f>Iberville!H61</f>
        <v>159556601</v>
      </c>
    </row>
    <row r="30" spans="1:32" s="104" customFormat="1">
      <c r="B30" s="109" t="s">
        <v>837</v>
      </c>
      <c r="C30" s="110">
        <f>'Jackson '!G6</f>
        <v>10715548</v>
      </c>
      <c r="D30" s="110"/>
      <c r="E30" s="110">
        <f>'Jackson '!G7</f>
        <v>5708768</v>
      </c>
      <c r="F30" s="110">
        <f>'Jackson '!G10+'Jackson '!G11</f>
        <v>17232753</v>
      </c>
      <c r="G30" s="110"/>
      <c r="H30" s="110">
        <f>'Jackson '!G8</f>
        <v>43519</v>
      </c>
      <c r="I30" s="110">
        <f t="shared" si="23"/>
        <v>33700588</v>
      </c>
      <c r="J30" s="113" t="str">
        <f t="shared" si="1"/>
        <v>ok</v>
      </c>
      <c r="K30" s="111">
        <f>'Jackson '!G13</f>
        <v>33700588</v>
      </c>
      <c r="L30" s="178">
        <f>'Jackson '!G17</f>
        <v>425617</v>
      </c>
      <c r="M30" s="110">
        <f>'Jackson '!G20</f>
        <v>491701</v>
      </c>
      <c r="N30" s="110"/>
      <c r="O30" s="110"/>
      <c r="P30" s="110"/>
      <c r="Q30" s="110"/>
      <c r="R30" s="110">
        <f>'Jackson '!G23</f>
        <v>372241</v>
      </c>
      <c r="S30" s="110">
        <f>'Jackson '!G24</f>
        <v>3340963</v>
      </c>
      <c r="T30" s="110">
        <f>'Jackson '!G21</f>
        <v>25321</v>
      </c>
      <c r="U30" s="110">
        <f t="shared" si="24"/>
        <v>4230226</v>
      </c>
      <c r="V30" s="113" t="str">
        <f t="shared" si="3"/>
        <v>ok</v>
      </c>
      <c r="W30" s="111">
        <f>'Jackson '!G26</f>
        <v>4230226</v>
      </c>
      <c r="X30" s="112"/>
      <c r="Y30" s="178">
        <f>'Jackson '!G30</f>
        <v>64691</v>
      </c>
      <c r="Z30" s="110">
        <f>'Jackson '!G33</f>
        <v>14791909</v>
      </c>
      <c r="AA30" s="110">
        <f>'Jackson '!G35+'Jackson '!G36+'Jackson '!G37+'Jackson '!G38+'Jackson '!G39+'Jackson '!G40+'Jackson '!G41+'Jackson '!G42+'Jackson '!G43+'Jackson '!G44</f>
        <v>11746525</v>
      </c>
      <c r="AB30" s="110">
        <f>'Jackson '!G45</f>
        <v>3292854</v>
      </c>
      <c r="AC30" s="110">
        <f t="shared" si="25"/>
        <v>29831288</v>
      </c>
      <c r="AD30" s="110">
        <f t="shared" si="9"/>
        <v>34126205</v>
      </c>
      <c r="AE30" s="113" t="str">
        <f t="shared" si="5"/>
        <v>ok</v>
      </c>
      <c r="AF30" s="111">
        <f>'Jackson '!G49</f>
        <v>34126205</v>
      </c>
    </row>
    <row r="31" spans="1:32" s="145" customFormat="1" ht="15.6">
      <c r="A31" s="288"/>
      <c r="B31" s="289" t="s">
        <v>838</v>
      </c>
      <c r="C31" s="290">
        <f>Jefferson!H9</f>
        <v>5540</v>
      </c>
      <c r="D31" s="290">
        <f>Jefferson!H10</f>
        <v>73132</v>
      </c>
      <c r="E31" s="290">
        <f>Jefferson!H14+Jefferson!H15+Jefferson!H16+Jefferson!H19</f>
        <v>268489</v>
      </c>
      <c r="F31" s="290">
        <f>Jefferson!H35+Jefferson!H36</f>
        <v>1315842</v>
      </c>
      <c r="G31" s="290"/>
      <c r="H31" s="290">
        <f>Jefferson!H11+Jefferson!H21+Jefferson!H33</f>
        <v>570151</v>
      </c>
      <c r="I31" s="290">
        <f t="shared" ref="I31" si="26">SUM(C31:H31)</f>
        <v>2233154</v>
      </c>
      <c r="J31" s="113" t="str">
        <f t="shared" si="1"/>
        <v>ok</v>
      </c>
      <c r="K31" s="291">
        <f>Jefferson!H40</f>
        <v>2233154</v>
      </c>
      <c r="L31" s="292">
        <f>Jefferson!H47</f>
        <v>44672</v>
      </c>
      <c r="M31" s="290">
        <f>Jefferson!H51+Jefferson!H52+Jefferson!H53+Jefferson!H56+Jefferson!H57+Jefferson!H58</f>
        <v>49708</v>
      </c>
      <c r="N31" s="290"/>
      <c r="O31" s="290"/>
      <c r="P31" s="290"/>
      <c r="Q31" s="290"/>
      <c r="R31" s="290">
        <f>Jefferson!H54</f>
        <v>34211</v>
      </c>
      <c r="S31" s="290">
        <f>Jefferson!H75</f>
        <v>413686</v>
      </c>
      <c r="T31" s="290">
        <f>Jefferson!H71+Jefferson!H59+Jefferson!H55</f>
        <v>254441</v>
      </c>
      <c r="U31" s="290">
        <f>SUM(M31:T31)</f>
        <v>752046</v>
      </c>
      <c r="V31" s="113" t="str">
        <f t="shared" si="3"/>
        <v>ok</v>
      </c>
      <c r="W31" s="291">
        <f>Jefferson!H79</f>
        <v>752046</v>
      </c>
      <c r="X31" s="293"/>
      <c r="Y31" s="292">
        <f>Jefferson!H82</f>
        <v>4096</v>
      </c>
      <c r="Z31" s="290">
        <f>Jefferson!H85</f>
        <v>991422</v>
      </c>
      <c r="AA31" s="290">
        <f>Jefferson!H87+Jefferson!H88+Jefferson!H89+Jefferson!H90+Jefferson!H91+Jefferson!H92+Jefferson!H93+Jefferson!H94+Jefferson!H95+Jefferson!H96+Jefferson!H98</f>
        <v>443291</v>
      </c>
      <c r="AB31" s="290">
        <f>Jefferson!H99</f>
        <v>86971</v>
      </c>
      <c r="AC31" s="290">
        <f>SUM(Z31:AB31)</f>
        <v>1521684</v>
      </c>
      <c r="AD31" s="290">
        <f t="shared" si="9"/>
        <v>2277826</v>
      </c>
      <c r="AE31" s="113" t="str">
        <f t="shared" si="5"/>
        <v>ok</v>
      </c>
      <c r="AF31" s="291">
        <f>Jefferson!H103</f>
        <v>2277826</v>
      </c>
    </row>
    <row r="32" spans="1:32" s="104" customFormat="1" ht="15.6">
      <c r="A32" s="108"/>
      <c r="B32" s="109" t="s">
        <v>839</v>
      </c>
      <c r="C32" s="110">
        <f>'Jefferson Davis'!G6+'Jefferson Davis'!G10</f>
        <v>24973699</v>
      </c>
      <c r="D32" s="110">
        <f>'Jefferson Davis'!G7</f>
        <v>2118764</v>
      </c>
      <c r="E32" s="110">
        <f>'Jefferson Davis'!G8</f>
        <v>2190018</v>
      </c>
      <c r="F32" s="110">
        <f>'Jefferson Davis'!G11</f>
        <v>34263814</v>
      </c>
      <c r="G32" s="110"/>
      <c r="H32" s="110">
        <f>'Jefferson Davis'!G9</f>
        <v>79428</v>
      </c>
      <c r="I32" s="110">
        <f>SUM(C32:H32)</f>
        <v>63625723</v>
      </c>
      <c r="J32" s="113" t="str">
        <f>IF(I32=K32, "ok", "check")</f>
        <v>ok</v>
      </c>
      <c r="K32" s="111">
        <f>'Jefferson Davis'!G13</f>
        <v>63625723</v>
      </c>
      <c r="L32" s="178">
        <f>'Jefferson Davis'!G18</f>
        <v>384208</v>
      </c>
      <c r="M32" s="110">
        <f>'Jefferson Davis'!G21+'Jefferson Davis'!G22+'Jefferson Davis'!G24+'Jefferson Davis'!G27+'Jefferson Davis'!G28</f>
        <v>1917937</v>
      </c>
      <c r="N32" s="110"/>
      <c r="O32" s="110">
        <f>'Jefferson Davis'!G26</f>
        <v>984000</v>
      </c>
      <c r="P32" s="110">
        <f>'Jefferson Davis'!G29</f>
        <v>13730000</v>
      </c>
      <c r="Q32" s="110">
        <f>'Jefferson Davis'!G23</f>
        <v>567800</v>
      </c>
      <c r="R32" s="110"/>
      <c r="S32" s="110"/>
      <c r="T32" s="110">
        <f>'Jefferson Davis'!G25+'Jefferson Davis'!G30</f>
        <v>2726383</v>
      </c>
      <c r="U32" s="110">
        <f>SUM(M32:T32)</f>
        <v>19926120</v>
      </c>
      <c r="V32" s="113" t="str">
        <f>IF(U32=W32, "ok", "check")</f>
        <v>ok</v>
      </c>
      <c r="W32" s="111">
        <f>'Jefferson Davis'!G32</f>
        <v>19926120</v>
      </c>
      <c r="X32" s="112"/>
      <c r="Y32" s="178">
        <f>'Jefferson Davis'!G37</f>
        <v>255992</v>
      </c>
      <c r="Z32" s="110">
        <f>'Jefferson Davis'!G40</f>
        <v>18503193</v>
      </c>
      <c r="AA32" s="110">
        <f>'Jefferson Davis'!G42+'Jefferson Davis'!G43+'Jefferson Davis'!G44+'Jefferson Davis'!G45+'Jefferson Davis'!G46</f>
        <v>20716059</v>
      </c>
      <c r="AB32" s="110">
        <f>'Jefferson Davis'!G47</f>
        <v>4608567</v>
      </c>
      <c r="AC32" s="110">
        <f>SUM(Z32:AB32)</f>
        <v>43827819</v>
      </c>
      <c r="AD32" s="110">
        <f>SUM(AC32,U32,Y32)</f>
        <v>64009931</v>
      </c>
      <c r="AE32" s="113" t="str">
        <f>IF(AD32=AF32, "ok", "check")</f>
        <v>ok</v>
      </c>
      <c r="AF32" s="111">
        <f>'Jefferson Davis'!G51</f>
        <v>64009931</v>
      </c>
    </row>
    <row r="33" spans="1:32" s="145" customFormat="1" ht="15.6">
      <c r="A33" s="288"/>
      <c r="B33" s="289" t="s">
        <v>840</v>
      </c>
      <c r="C33" s="290">
        <f>Lafayette!H7</f>
        <v>16641210</v>
      </c>
      <c r="D33" s="290">
        <f>Lafayette!H8</f>
        <v>271226470</v>
      </c>
      <c r="E33" s="290">
        <f>Lafayette!H9</f>
        <v>5368379</v>
      </c>
      <c r="F33" s="290">
        <f>Lafayette!H22+Lafayette!H23</f>
        <v>599501009</v>
      </c>
      <c r="G33" s="290">
        <f>Lafayette!H12</f>
        <v>19498802</v>
      </c>
      <c r="H33" s="290">
        <f>Lafayette!H10+Lafayette!H13+Lafayette!H14+Lafayette!H15</f>
        <v>3110771</v>
      </c>
      <c r="I33" s="290">
        <f t="shared" ref="I33" si="27">SUM(C33:H33)</f>
        <v>915346641</v>
      </c>
      <c r="J33" s="113" t="str">
        <f t="shared" si="1"/>
        <v>ok</v>
      </c>
      <c r="K33" s="291">
        <f>Lafayette!H25</f>
        <v>915346641</v>
      </c>
      <c r="L33" s="292">
        <f>Lafayette!H30</f>
        <v>37601778</v>
      </c>
      <c r="M33" s="290">
        <f>Lafayette!H34</f>
        <v>11527783</v>
      </c>
      <c r="N33" s="290"/>
      <c r="O33" s="290"/>
      <c r="P33" s="290"/>
      <c r="Q33" s="290">
        <f>Lafayette!H35+Lafayette!H36</f>
        <v>354662</v>
      </c>
      <c r="R33" s="290">
        <f>Lafayette!H40</f>
        <v>33728815</v>
      </c>
      <c r="S33" s="290">
        <f>Lafayette!H41</f>
        <v>368165568</v>
      </c>
      <c r="T33" s="290">
        <f>Lafayette!H37+Lafayette!H42+Lafayette!H43</f>
        <v>109442749</v>
      </c>
      <c r="U33" s="290">
        <f>SUM(M33:T33)</f>
        <v>523219577</v>
      </c>
      <c r="V33" s="113" t="str">
        <f t="shared" si="3"/>
        <v>ok</v>
      </c>
      <c r="W33" s="291">
        <f>Lafayette!H45</f>
        <v>523219577</v>
      </c>
      <c r="X33" s="293"/>
      <c r="Y33" s="292">
        <f>Lafayette!H50</f>
        <v>5264024</v>
      </c>
      <c r="Z33" s="290">
        <f>Lafayette!H54</f>
        <v>323368785</v>
      </c>
      <c r="AA33" s="290">
        <f>Lafayette!H56+Lafayette!H57+Lafayette!H58</f>
        <v>182029016</v>
      </c>
      <c r="AB33" s="290">
        <f>Lafayette!H59</f>
        <v>-80932983</v>
      </c>
      <c r="AC33" s="290">
        <f t="shared" ref="AC33" si="28">SUM(Z33:AB33)</f>
        <v>424464818</v>
      </c>
      <c r="AD33" s="290">
        <f t="shared" si="9"/>
        <v>952948419</v>
      </c>
      <c r="AE33" s="113" t="str">
        <f t="shared" si="5"/>
        <v>ok</v>
      </c>
      <c r="AF33" s="291">
        <f>Lafayette!H63</f>
        <v>952948419</v>
      </c>
    </row>
    <row r="34" spans="1:32" s="104" customFormat="1" ht="15.6">
      <c r="A34" s="108"/>
      <c r="B34" s="109" t="s">
        <v>841</v>
      </c>
      <c r="C34" s="110">
        <f>Lafourche!H7</f>
        <v>17684263</v>
      </c>
      <c r="D34" s="110">
        <f>Lafourche!H8</f>
        <v>27443994</v>
      </c>
      <c r="E34" s="110">
        <f>Lafourche!H9</f>
        <v>1414026</v>
      </c>
      <c r="F34" s="110">
        <f>Lafourche!H13+Lafourche!H14</f>
        <v>101787329</v>
      </c>
      <c r="G34" s="110">
        <f>Lafourche!H10</f>
        <v>33698714</v>
      </c>
      <c r="H34" s="110">
        <f>Lafourche!H11</f>
        <v>2261412</v>
      </c>
      <c r="I34" s="110">
        <f t="shared" ref="I34:I36" si="29">SUM(C34:H34)</f>
        <v>184289738</v>
      </c>
      <c r="J34" s="113" t="str">
        <f t="shared" si="1"/>
        <v>ok</v>
      </c>
      <c r="K34" s="111">
        <f>Lafourche!H16</f>
        <v>184289738</v>
      </c>
      <c r="L34" s="178">
        <f>Lafourche!H23</f>
        <v>939465</v>
      </c>
      <c r="M34" s="110">
        <f>Lafourche!H26+Lafourche!H28</f>
        <v>7193459</v>
      </c>
      <c r="N34" s="110"/>
      <c r="O34" s="110"/>
      <c r="P34" s="110"/>
      <c r="Q34" s="110">
        <f>Lafourche!H29</f>
        <v>1027057</v>
      </c>
      <c r="R34" s="110">
        <f>Lafourche!H31</f>
        <v>3981003</v>
      </c>
      <c r="S34" s="110">
        <f>Lafourche!H32</f>
        <v>42264212</v>
      </c>
      <c r="T34" s="110">
        <f>Lafourche!H27</f>
        <v>639621</v>
      </c>
      <c r="U34" s="110">
        <f t="shared" ref="U34:U36" si="30">SUM(M34:T34)</f>
        <v>55105352</v>
      </c>
      <c r="V34" s="113" t="str">
        <f t="shared" si="3"/>
        <v>ok</v>
      </c>
      <c r="W34" s="111">
        <f>Lafourche!H34</f>
        <v>55105352</v>
      </c>
      <c r="X34" s="112"/>
      <c r="Y34" s="178">
        <f>Lafourche!H37</f>
        <v>17130</v>
      </c>
      <c r="Z34" s="110">
        <f>Lafourche!H40</f>
        <v>65174839</v>
      </c>
      <c r="AA34" s="110">
        <f>Lafourche!H42+Lafourche!H43</f>
        <v>25523795</v>
      </c>
      <c r="AB34" s="110">
        <f>Lafourche!H44</f>
        <v>39408087</v>
      </c>
      <c r="AC34" s="110">
        <f t="shared" ref="AC34:AC36" si="31">SUM(Z34:AB34)</f>
        <v>130106721</v>
      </c>
      <c r="AD34" s="110">
        <f t="shared" si="9"/>
        <v>185229203</v>
      </c>
      <c r="AE34" s="113" t="str">
        <f t="shared" si="5"/>
        <v>ok</v>
      </c>
      <c r="AF34" s="111">
        <f>Lafourche!H48</f>
        <v>185229203</v>
      </c>
    </row>
    <row r="35" spans="1:32" ht="15.6">
      <c r="A35" s="56"/>
      <c r="B35" s="3" t="s">
        <v>842</v>
      </c>
      <c r="C35" s="59">
        <f>LaSalle!G6</f>
        <v>2710652</v>
      </c>
      <c r="D35" s="59"/>
      <c r="E35" s="59">
        <f>LaSalle!G7</f>
        <v>3081390</v>
      </c>
      <c r="F35" s="59">
        <f>LaSalle!G9</f>
        <v>8452909</v>
      </c>
      <c r="G35" s="59"/>
      <c r="H35" s="59">
        <f>LaSalle!G8</f>
        <v>9851</v>
      </c>
      <c r="I35" s="59">
        <f>SUM(C35:H35)</f>
        <v>14254802</v>
      </c>
      <c r="J35" s="113" t="str">
        <f>IF(I35=K35, "ok", "check")</f>
        <v>ok</v>
      </c>
      <c r="K35" s="58">
        <f>LaSalle!G11</f>
        <v>14254802</v>
      </c>
      <c r="L35" s="177">
        <f>LaSalle!G15</f>
        <v>121997</v>
      </c>
      <c r="M35" s="59">
        <f>LaSalle!G20+LaSalle!G21+LaSalle!G22</f>
        <v>625499</v>
      </c>
      <c r="N35" s="59"/>
      <c r="O35" s="59"/>
      <c r="P35" s="59"/>
      <c r="Q35" s="59"/>
      <c r="R35" s="59">
        <f>LaSalle!G25</f>
        <v>231322</v>
      </c>
      <c r="S35" s="59">
        <f>LaSalle!G26</f>
        <v>69377</v>
      </c>
      <c r="T35" s="59">
        <f>LaSalle!G19+LaSalle!G23</f>
        <v>273700</v>
      </c>
      <c r="U35" s="59">
        <f>SUM(M35:T35)</f>
        <v>1199898</v>
      </c>
      <c r="V35" s="113" t="str">
        <f>IF(U35=W35, "ok", "check")</f>
        <v>ok</v>
      </c>
      <c r="W35" s="58">
        <f>LaSalle!G28</f>
        <v>1199898</v>
      </c>
      <c r="X35" s="60"/>
      <c r="Y35" s="177">
        <f>LaSalle!G31</f>
        <v>34818</v>
      </c>
      <c r="Z35" s="59">
        <f>LaSalle!G34</f>
        <v>8152210</v>
      </c>
      <c r="AA35" s="59"/>
      <c r="AB35" s="59">
        <f>LaSalle!G35</f>
        <v>4989473</v>
      </c>
      <c r="AC35" s="59">
        <f t="shared" ref="AC35" si="32">SUM(Z35:AB35)</f>
        <v>13141683</v>
      </c>
      <c r="AD35" s="59">
        <f>SUM(AC35,U35,Y35)</f>
        <v>14376399</v>
      </c>
      <c r="AE35" s="113" t="str">
        <f>IF(AD35=AF35, "ok", "check")</f>
        <v>ok</v>
      </c>
      <c r="AF35" s="58">
        <f>LaSalle!G39</f>
        <v>14376399</v>
      </c>
    </row>
    <row r="36" spans="1:32" s="104" customFormat="1" ht="15.6">
      <c r="A36" s="108"/>
      <c r="B36" s="109" t="s">
        <v>843</v>
      </c>
      <c r="C36" s="110">
        <f>Lincoln!G6</f>
        <v>12183072</v>
      </c>
      <c r="D36" s="110">
        <f>Lincoln!G7</f>
        <v>22135974</v>
      </c>
      <c r="E36" s="110">
        <f>Lincoln!G8</f>
        <v>8644696</v>
      </c>
      <c r="F36" s="110">
        <f>Lincoln!G11</f>
        <v>22658045</v>
      </c>
      <c r="G36" s="110">
        <f>Lincoln!G9</f>
        <v>333786</v>
      </c>
      <c r="H36" s="110">
        <f>Lincoln!G10</f>
        <v>11582</v>
      </c>
      <c r="I36" s="110">
        <f t="shared" si="29"/>
        <v>65967155</v>
      </c>
      <c r="J36" s="113" t="str">
        <f t="shared" si="1"/>
        <v>ok</v>
      </c>
      <c r="K36" s="111">
        <f>Lincoln!G13</f>
        <v>65967155</v>
      </c>
      <c r="L36" s="178">
        <f>Lincoln!G16</f>
        <v>333795</v>
      </c>
      <c r="M36" s="110">
        <f>Lincoln!G19</f>
        <v>1687700</v>
      </c>
      <c r="N36" s="110">
        <f>Lincoln!G25</f>
        <v>1738938</v>
      </c>
      <c r="O36" s="110">
        <f>Lincoln!G22+Lincoln!G23</f>
        <v>636050</v>
      </c>
      <c r="P36" s="110">
        <f>Lincoln!G24+Lincoln!G26</f>
        <v>2642049</v>
      </c>
      <c r="Q36" s="110">
        <f>Lincoln!G20</f>
        <v>134316</v>
      </c>
      <c r="R36" s="110"/>
      <c r="S36" s="110"/>
      <c r="T36" s="110">
        <f>Lincoln!G21</f>
        <v>803497</v>
      </c>
      <c r="U36" s="110">
        <f t="shared" si="30"/>
        <v>7642550</v>
      </c>
      <c r="V36" s="113" t="str">
        <f t="shared" si="3"/>
        <v>ok</v>
      </c>
      <c r="W36" s="111">
        <f>Lincoln!G28</f>
        <v>7642550</v>
      </c>
      <c r="X36" s="112"/>
      <c r="Y36" s="178">
        <f>Lincoln!G31</f>
        <v>72700</v>
      </c>
      <c r="Z36" s="110">
        <f>Lincoln!G34</f>
        <v>19669045</v>
      </c>
      <c r="AA36" s="110">
        <f>Lincoln!G35</f>
        <v>3648216</v>
      </c>
      <c r="AB36" s="110">
        <f>Lincoln!G36</f>
        <v>35268439</v>
      </c>
      <c r="AC36" s="110">
        <f t="shared" si="31"/>
        <v>58585700</v>
      </c>
      <c r="AD36" s="110">
        <f t="shared" si="9"/>
        <v>66300950</v>
      </c>
      <c r="AE36" s="113" t="str">
        <f t="shared" si="5"/>
        <v>ok</v>
      </c>
      <c r="AF36" s="111">
        <f>Lincoln!G40</f>
        <v>66300950</v>
      </c>
    </row>
    <row r="37" spans="1:32">
      <c r="B37" s="3" t="s">
        <v>844</v>
      </c>
      <c r="C37" s="59">
        <f>Livingston!H6+Livingston!H16</f>
        <v>17762283</v>
      </c>
      <c r="D37" s="59">
        <f>Livingston!H7</f>
        <v>3410079</v>
      </c>
      <c r="E37" s="59">
        <f>Livingston!H8</f>
        <v>1015336</v>
      </c>
      <c r="F37" s="59">
        <f>Livingston!H18+Livingston!H19</f>
        <v>135489572</v>
      </c>
      <c r="G37" s="59">
        <f>Livingston!H11+Livingston!H12</f>
        <v>12925742</v>
      </c>
      <c r="H37" s="59">
        <f>Livingston!H9+Livingston!H10+Livingston!H13+Livingston!H14</f>
        <v>897127</v>
      </c>
      <c r="I37" s="59">
        <f t="shared" ref="I37:I40" si="33">SUM(C37:H37)</f>
        <v>171500139</v>
      </c>
      <c r="J37" s="113" t="str">
        <f t="shared" si="1"/>
        <v>ok</v>
      </c>
      <c r="K37" s="58">
        <f>Livingston!H21</f>
        <v>171500139</v>
      </c>
      <c r="L37" s="177">
        <f>Livingston!H27</f>
        <v>4863936</v>
      </c>
      <c r="M37" s="59">
        <f>Livingston!H30+Livingston!H34</f>
        <v>3731732</v>
      </c>
      <c r="N37" s="59"/>
      <c r="O37" s="59"/>
      <c r="P37" s="59"/>
      <c r="Q37" s="59">
        <f>Livingston!H31+Livingston!H32</f>
        <v>1252842</v>
      </c>
      <c r="R37" s="59">
        <f>Livingston!H36</f>
        <v>7473612</v>
      </c>
      <c r="S37" s="59">
        <f>Livingston!H37</f>
        <v>71567604</v>
      </c>
      <c r="T37" s="59">
        <f>Livingston!H33</f>
        <v>19700</v>
      </c>
      <c r="U37" s="59">
        <f t="shared" ref="U37:U40" si="34">SUM(M37:T37)</f>
        <v>84045490</v>
      </c>
      <c r="V37" s="113" t="str">
        <f t="shared" si="3"/>
        <v>ok</v>
      </c>
      <c r="W37" s="58">
        <f>Livingston!H39</f>
        <v>84045490</v>
      </c>
      <c r="X37" s="60"/>
      <c r="Y37" s="177">
        <f>Livingston!H43</f>
        <v>117051</v>
      </c>
      <c r="Z37" s="59">
        <f>Livingston!H46</f>
        <v>56844478</v>
      </c>
      <c r="AA37" s="59">
        <f>Livingston!H48+Livingston!H49+Livingston!H50+Livingston!H51</f>
        <v>8820651</v>
      </c>
      <c r="AB37" s="59">
        <f>Livingston!H52</f>
        <v>26536405</v>
      </c>
      <c r="AC37" s="59">
        <f t="shared" ref="AC37:AC40" si="35">SUM(Z37:AB37)</f>
        <v>92201534</v>
      </c>
      <c r="AD37" s="59">
        <f t="shared" si="9"/>
        <v>176364075</v>
      </c>
      <c r="AE37" s="113" t="str">
        <f t="shared" si="5"/>
        <v>ok</v>
      </c>
      <c r="AF37" s="58">
        <f>Livingston!H56</f>
        <v>176364075</v>
      </c>
    </row>
    <row r="38" spans="1:32" s="104" customFormat="1" ht="15.6">
      <c r="A38" s="108"/>
      <c r="B38" s="109" t="s">
        <v>845</v>
      </c>
      <c r="C38" s="110">
        <f>Madison!G6</f>
        <v>6196038</v>
      </c>
      <c r="D38" s="110">
        <f>Madison!G7</f>
        <v>3053632</v>
      </c>
      <c r="E38" s="110">
        <f>Madison!G8</f>
        <v>5831186</v>
      </c>
      <c r="F38" s="110">
        <f>Madison!G9</f>
        <v>7751890</v>
      </c>
      <c r="G38" s="110"/>
      <c r="H38" s="110"/>
      <c r="I38" s="110">
        <f t="shared" ref="I38" si="36">SUM(C38:H38)</f>
        <v>22832746</v>
      </c>
      <c r="J38" s="113" t="str">
        <f t="shared" si="1"/>
        <v>ok</v>
      </c>
      <c r="K38" s="111">
        <f>Madison!G11</f>
        <v>22832746</v>
      </c>
      <c r="L38" s="178"/>
      <c r="M38" s="110">
        <f>Madison!G16</f>
        <v>406136</v>
      </c>
      <c r="N38" s="110"/>
      <c r="O38" s="110"/>
      <c r="P38" s="110"/>
      <c r="Q38" s="110"/>
      <c r="R38" s="110">
        <f>Madison!G18</f>
        <v>45871</v>
      </c>
      <c r="S38" s="110">
        <f>Madison!G19</f>
        <v>665717</v>
      </c>
      <c r="T38" s="110">
        <f>Madison!G1</f>
        <v>0</v>
      </c>
      <c r="U38" s="110">
        <f t="shared" ref="U38" si="37">SUM(M38:T38)</f>
        <v>1117724</v>
      </c>
      <c r="V38" s="113" t="str">
        <f t="shared" si="3"/>
        <v>ok</v>
      </c>
      <c r="W38" s="111">
        <f>Madison!G21</f>
        <v>1117724</v>
      </c>
      <c r="X38" s="112"/>
      <c r="Y38" s="178">
        <f>Madison!G23</f>
        <v>41890</v>
      </c>
      <c r="Z38" s="110">
        <f>Madison!G26</f>
        <v>7706019</v>
      </c>
      <c r="AA38" s="110">
        <f>Madison!G28+Madison!G29+Madison!G30+Madison!G31+Madison!G32+Madison!G33+Madison!G34</f>
        <v>14684731</v>
      </c>
      <c r="AB38" s="110">
        <f>Madison!G35</f>
        <v>-78235</v>
      </c>
      <c r="AC38" s="110">
        <f>SUM(Z38:AB38)</f>
        <v>22312515</v>
      </c>
      <c r="AD38" s="110">
        <f>SUM(AC38,U38,Y38)</f>
        <v>23472129</v>
      </c>
      <c r="AE38" s="113" t="str">
        <f t="shared" si="5"/>
        <v>ok</v>
      </c>
      <c r="AF38" s="111">
        <f>Madison!G39</f>
        <v>23472129</v>
      </c>
    </row>
    <row r="39" spans="1:32" ht="15.6">
      <c r="A39" s="56"/>
      <c r="B39" s="3" t="s">
        <v>846</v>
      </c>
      <c r="C39" s="59">
        <f>Morehouse!G6</f>
        <v>4679320</v>
      </c>
      <c r="D39" s="59">
        <f>Morehouse!G7</f>
        <v>540000</v>
      </c>
      <c r="E39" s="59">
        <f>Morehouse!G8</f>
        <v>2222961</v>
      </c>
      <c r="F39" s="59">
        <f>Morehouse!G10+Morehouse!G11</f>
        <v>12974902</v>
      </c>
      <c r="G39" s="59"/>
      <c r="H39" s="59"/>
      <c r="I39" s="59">
        <f t="shared" si="33"/>
        <v>20417183</v>
      </c>
      <c r="J39" s="113" t="str">
        <f t="shared" si="1"/>
        <v>ok</v>
      </c>
      <c r="K39" s="58">
        <f>Morehouse!G13</f>
        <v>20417183</v>
      </c>
      <c r="L39" s="177"/>
      <c r="M39" s="59">
        <f>Morehouse!G20+Morehouse!G21</f>
        <v>229815</v>
      </c>
      <c r="N39" s="59"/>
      <c r="O39" s="59"/>
      <c r="P39" s="59"/>
      <c r="Q39" s="59"/>
      <c r="R39" s="59">
        <f>Morehouse!G23</f>
        <v>38154</v>
      </c>
      <c r="S39" s="59"/>
      <c r="T39" s="59">
        <f>Morehouse!G19+Morehouse!G24</f>
        <v>2234818</v>
      </c>
      <c r="U39" s="59">
        <f t="shared" si="34"/>
        <v>2502787</v>
      </c>
      <c r="V39" s="113" t="str">
        <f t="shared" si="3"/>
        <v>ok</v>
      </c>
      <c r="W39" s="58">
        <f>Morehouse!G26</f>
        <v>2502787</v>
      </c>
      <c r="X39" s="60"/>
      <c r="Y39" s="177">
        <f>Morehouse!G31</f>
        <v>2113425</v>
      </c>
      <c r="Z39" s="59">
        <f>Morehouse!G34</f>
        <v>12974902</v>
      </c>
      <c r="AA39" s="59">
        <f>Morehouse!G35</f>
        <v>5216951</v>
      </c>
      <c r="AB39" s="59">
        <f>Morehouse!G36</f>
        <v>-2158846</v>
      </c>
      <c r="AC39" s="59">
        <f t="shared" si="35"/>
        <v>16033007</v>
      </c>
      <c r="AD39" s="59">
        <f>SUM(AC39,U39,Y39)</f>
        <v>20649219</v>
      </c>
      <c r="AE39" s="113" t="str">
        <f t="shared" si="5"/>
        <v>ok</v>
      </c>
      <c r="AF39" s="58">
        <f>Morehouse!G40</f>
        <v>20649219</v>
      </c>
    </row>
    <row r="40" spans="1:32" s="209" customFormat="1" ht="15.6">
      <c r="A40" s="203"/>
      <c r="B40" s="204" t="s">
        <v>847</v>
      </c>
      <c r="C40" s="205">
        <f>Natchitoches!H7</f>
        <v>8323481</v>
      </c>
      <c r="D40" s="205"/>
      <c r="E40" s="205">
        <f>Natchitoches!H8</f>
        <v>6015839</v>
      </c>
      <c r="F40" s="205">
        <f>Natchitoches!H11</f>
        <v>10781636</v>
      </c>
      <c r="G40" s="205"/>
      <c r="H40" s="205"/>
      <c r="I40" s="205">
        <f t="shared" si="33"/>
        <v>25120956</v>
      </c>
      <c r="J40" s="113" t="str">
        <f t="shared" si="1"/>
        <v>ok</v>
      </c>
      <c r="K40" s="206">
        <f>Natchitoches!H13</f>
        <v>25120956</v>
      </c>
      <c r="L40" s="207">
        <f>Natchitoches!H15</f>
        <v>961781</v>
      </c>
      <c r="M40" s="205">
        <f>Natchitoches!H20+Natchitoches!H21</f>
        <v>765641</v>
      </c>
      <c r="N40" s="205"/>
      <c r="O40" s="205"/>
      <c r="P40" s="205"/>
      <c r="Q40" s="205"/>
      <c r="R40" s="205">
        <f>Natchitoches!H25</f>
        <v>143222</v>
      </c>
      <c r="S40" s="205">
        <f>Natchitoches!H26</f>
        <v>1311775</v>
      </c>
      <c r="T40" s="205">
        <f>Natchitoches!H22+Natchitoches!H19+Natchitoches!H27</f>
        <v>1031979</v>
      </c>
      <c r="U40" s="205">
        <f t="shared" si="34"/>
        <v>3252617</v>
      </c>
      <c r="V40" s="113" t="str">
        <f t="shared" si="3"/>
        <v>ok</v>
      </c>
      <c r="W40" s="206">
        <f>Natchitoches!H31</f>
        <v>3252617</v>
      </c>
      <c r="X40" s="208"/>
      <c r="Y40" s="207">
        <f>Natchitoches!H33</f>
        <v>162622</v>
      </c>
      <c r="Z40" s="205">
        <f>Natchitoches!H36</f>
        <v>10781636</v>
      </c>
      <c r="AA40" s="205"/>
      <c r="AB40" s="205">
        <f>Natchitoches!H37</f>
        <v>11885862</v>
      </c>
      <c r="AC40" s="110">
        <f t="shared" si="35"/>
        <v>22667498</v>
      </c>
      <c r="AD40" s="110">
        <f t="shared" si="9"/>
        <v>26082737</v>
      </c>
      <c r="AE40" s="113" t="str">
        <f t="shared" si="5"/>
        <v>ok</v>
      </c>
      <c r="AF40" s="206">
        <f>Natchitoches!H41</f>
        <v>26082737</v>
      </c>
    </row>
    <row r="41" spans="1:32" ht="15.6">
      <c r="A41" s="56"/>
      <c r="B41" s="3" t="s">
        <v>848</v>
      </c>
      <c r="C41" s="59">
        <f>Orleans!H7</f>
        <v>131482</v>
      </c>
      <c r="D41" s="59">
        <f>Orleans!H8</f>
        <v>227108</v>
      </c>
      <c r="E41" s="59">
        <f>Orleans!H10+Orleans!H11+Orleans!H13</f>
        <v>44441</v>
      </c>
      <c r="F41" s="59">
        <f>Orleans!H19</f>
        <v>1611132</v>
      </c>
      <c r="G41" s="59">
        <f>Orleans!H15+Orleans!H16</f>
        <v>51054</v>
      </c>
      <c r="H41" s="59">
        <f>Orleans!H17</f>
        <v>257</v>
      </c>
      <c r="I41" s="59">
        <f t="shared" ref="I41:I42" si="38">SUM(C41:H41)</f>
        <v>2065474</v>
      </c>
      <c r="J41" s="113" t="str">
        <f t="shared" si="1"/>
        <v>ok</v>
      </c>
      <c r="K41" s="58">
        <f>Orleans!H21</f>
        <v>2065474</v>
      </c>
      <c r="L41" s="177">
        <f>Orleans!H27</f>
        <v>218928</v>
      </c>
      <c r="M41" s="59">
        <f>Orleans!H30+Orleans!H31+Orleans!H33+Orleans!H34</f>
        <v>115356</v>
      </c>
      <c r="N41" s="59"/>
      <c r="O41" s="59"/>
      <c r="P41" s="59"/>
      <c r="Q41" s="59">
        <f>Orleans!H35+Orleans!H36</f>
        <v>2106</v>
      </c>
      <c r="R41" s="59">
        <f>Orleans!H38</f>
        <v>109620</v>
      </c>
      <c r="S41" s="59">
        <f>Orleans!H39</f>
        <v>2304860</v>
      </c>
      <c r="T41" s="59">
        <f>Orleans!H32</f>
        <v>793</v>
      </c>
      <c r="U41" s="59">
        <f t="shared" ref="U41:U42" si="39">SUM(M41:T41)</f>
        <v>2532735</v>
      </c>
      <c r="V41" s="113" t="str">
        <f t="shared" si="3"/>
        <v>ok</v>
      </c>
      <c r="W41" s="58">
        <f>Orleans!H41</f>
        <v>2532735</v>
      </c>
      <c r="X41" s="60"/>
      <c r="Y41" s="177">
        <f>Orleans!H48</f>
        <v>45852</v>
      </c>
      <c r="Z41" s="59">
        <f>Orleans!H51</f>
        <v>933606</v>
      </c>
      <c r="AA41" s="59">
        <f>Orleans!H52+Orleans!H53</f>
        <v>113437</v>
      </c>
      <c r="AB41" s="59">
        <f>Orleans!H55</f>
        <v>-1341228</v>
      </c>
      <c r="AC41" s="59">
        <f t="shared" ref="AC41:AC42" si="40">SUM(Z41:AB41)</f>
        <v>-294185</v>
      </c>
      <c r="AD41" s="59">
        <f t="shared" si="9"/>
        <v>2284402</v>
      </c>
      <c r="AE41" s="113" t="str">
        <f t="shared" si="5"/>
        <v>ok</v>
      </c>
      <c r="AF41" s="58">
        <f>Orleans!H59</f>
        <v>2284402</v>
      </c>
    </row>
    <row r="42" spans="1:32" s="104" customFormat="1">
      <c r="B42" s="109" t="s">
        <v>849</v>
      </c>
      <c r="C42" s="110">
        <f>'Ouachita '!F7</f>
        <v>48840225</v>
      </c>
      <c r="D42" s="110">
        <f>'Ouachita '!F8</f>
        <v>18766100</v>
      </c>
      <c r="E42" s="110">
        <f>'Ouachita '!F10+'Ouachita '!F11+'Ouachita '!F12+'Ouachita '!F13</f>
        <v>35942684</v>
      </c>
      <c r="F42" s="110">
        <f>'Ouachita '!F20</f>
        <v>183839139</v>
      </c>
      <c r="G42" s="110">
        <f>'Ouachita '!F15</f>
        <v>5436679</v>
      </c>
      <c r="H42" s="110">
        <f>'Ouachita '!F16+'Ouachita '!F17+'Ouachita '!F18</f>
        <v>1174136</v>
      </c>
      <c r="I42" s="110">
        <f t="shared" si="38"/>
        <v>293998963</v>
      </c>
      <c r="J42" s="113" t="str">
        <f t="shared" si="1"/>
        <v>ok</v>
      </c>
      <c r="K42" s="111">
        <f>'Ouachita '!F22</f>
        <v>293998963</v>
      </c>
      <c r="L42" s="178"/>
      <c r="M42" s="110">
        <f>'Ouachita '!F30</f>
        <v>6805903</v>
      </c>
      <c r="N42" s="110"/>
      <c r="O42" s="110"/>
      <c r="P42" s="110"/>
      <c r="Q42" s="110"/>
      <c r="R42" s="110">
        <f>'Ouachita '!F34</f>
        <v>1749976</v>
      </c>
      <c r="S42" s="110">
        <f>'Ouachita '!F35</f>
        <v>29887275</v>
      </c>
      <c r="T42" s="110">
        <f>'Ouachita '!F31+'Ouachita '!F32</f>
        <v>682365</v>
      </c>
      <c r="U42" s="110">
        <f t="shared" si="39"/>
        <v>39125519</v>
      </c>
      <c r="V42" s="113" t="str">
        <f t="shared" si="3"/>
        <v>ok</v>
      </c>
      <c r="W42" s="111">
        <f>'Ouachita '!F38</f>
        <v>39125519</v>
      </c>
      <c r="X42" s="112"/>
      <c r="Y42" s="178"/>
      <c r="Z42" s="110">
        <f>'Ouachita '!F46</f>
        <v>183839139</v>
      </c>
      <c r="AA42" s="110">
        <f>'Ouachita '!F48+'Ouachita '!F49+'Ouachita '!F50+'Ouachita '!F51+'Ouachita '!F52+'Ouachita '!F53+'Ouachita '!F54+'Ouachita '!F55+'Ouachita '!F56</f>
        <v>79059468</v>
      </c>
      <c r="AB42" s="110">
        <f>'Ouachita '!F57</f>
        <v>-1760362</v>
      </c>
      <c r="AC42" s="110">
        <f t="shared" si="40"/>
        <v>261138245</v>
      </c>
      <c r="AD42" s="110">
        <f t="shared" si="9"/>
        <v>300263764</v>
      </c>
      <c r="AE42" s="113" t="str">
        <f t="shared" si="5"/>
        <v>ok</v>
      </c>
      <c r="AF42" s="111">
        <f>'Ouachita '!F61</f>
        <v>300263764</v>
      </c>
    </row>
    <row r="43" spans="1:32" ht="15.6">
      <c r="A43" s="56"/>
      <c r="B43" s="3" t="s">
        <v>850</v>
      </c>
      <c r="C43" s="59">
        <f>Plaquemines!H7</f>
        <v>106567890</v>
      </c>
      <c r="D43" s="59">
        <f>Plaquemines!H8</f>
        <v>3103</v>
      </c>
      <c r="E43" s="59">
        <f>Plaquemines!H9</f>
        <v>65493974</v>
      </c>
      <c r="F43" s="59">
        <f>Plaquemines!H16+Plaquemines!H17</f>
        <v>464158085</v>
      </c>
      <c r="G43" s="59"/>
      <c r="H43" s="59">
        <f>Plaquemines!H10+Plaquemines!H15</f>
        <v>3273671</v>
      </c>
      <c r="I43" s="59">
        <f t="shared" ref="I43" si="41">SUM(C43:H43)</f>
        <v>639496723</v>
      </c>
      <c r="J43" s="113" t="str">
        <f t="shared" si="1"/>
        <v>ok</v>
      </c>
      <c r="K43" s="58">
        <f>Plaquemines!H21</f>
        <v>639496723</v>
      </c>
      <c r="L43" s="177">
        <f>Plaquemines!H25</f>
        <v>646813723</v>
      </c>
      <c r="M43" s="59">
        <f>Plaquemines!H47+Plaquemines!H46+Plaquemines!H43+Plaquemines!H34+Plaquemines!H32+Plaquemines!H30</f>
        <v>49203102</v>
      </c>
      <c r="N43" s="59">
        <f>Plaquemines!H35</f>
        <v>1085692</v>
      </c>
      <c r="O43" s="59">
        <f>Plaquemines!H31</f>
        <v>3895000</v>
      </c>
      <c r="P43" s="59">
        <f>Plaquemines!H44+Plaquemines!H45</f>
        <v>117891568</v>
      </c>
      <c r="Q43" s="59">
        <f>Plaquemines!H36</f>
        <v>35330</v>
      </c>
      <c r="R43" s="59"/>
      <c r="S43" s="59"/>
      <c r="T43" s="59">
        <f>Plaquemines!H42+Plaquemines!H37+Plaquemines!H33</f>
        <v>16873404</v>
      </c>
      <c r="U43" s="59">
        <f t="shared" ref="U43" si="42">SUM(M43:T43)</f>
        <v>188984096</v>
      </c>
      <c r="V43" s="113" t="str">
        <f t="shared" si="3"/>
        <v>ok</v>
      </c>
      <c r="W43" s="58">
        <f>Plaquemines!H51</f>
        <v>188984096</v>
      </c>
      <c r="X43" s="60"/>
      <c r="Y43" s="177">
        <f>Plaquemines!H55</f>
        <v>1009468</v>
      </c>
      <c r="Z43" s="59">
        <f>Plaquemines!H58</f>
        <v>345913086</v>
      </c>
      <c r="AA43" s="59">
        <f>Plaquemines!H59</f>
        <v>83817891</v>
      </c>
      <c r="AB43" s="59">
        <f>Plaquemines!H60</f>
        <v>27089182</v>
      </c>
      <c r="AC43" s="59">
        <f t="shared" ref="AC43" si="43">SUM(Z43:AB43)</f>
        <v>456820159</v>
      </c>
      <c r="AD43" s="59">
        <f t="shared" si="9"/>
        <v>646813723</v>
      </c>
      <c r="AE43" s="113" t="str">
        <f t="shared" si="5"/>
        <v>ok</v>
      </c>
      <c r="AF43" s="58">
        <f>Plaquemines!H64</f>
        <v>646813723</v>
      </c>
    </row>
    <row r="44" spans="1:32" s="104" customFormat="1" ht="15.6">
      <c r="A44" s="108"/>
      <c r="B44" s="109" t="s">
        <v>851</v>
      </c>
      <c r="C44" s="110">
        <f>'Pointe Couppe'!F7</f>
        <v>3316480</v>
      </c>
      <c r="D44" s="110">
        <f>'Pointe Couppe'!F8</f>
        <v>141853</v>
      </c>
      <c r="E44" s="110">
        <f>'Pointe Couppe'!F9</f>
        <v>3467205</v>
      </c>
      <c r="F44" s="110">
        <f>'Pointe Couppe'!F16+'Pointe Couppe'!F17</f>
        <v>19235064</v>
      </c>
      <c r="G44" s="110">
        <f>'Pointe Couppe'!F10+'Pointe Couppe'!F11</f>
        <v>724147</v>
      </c>
      <c r="H44" s="110">
        <f>'Pointe Couppe'!F12+'Pointe Couppe'!F13+'Pointe Couppe'!F14</f>
        <v>944062</v>
      </c>
      <c r="I44" s="110">
        <f t="shared" ref="I44" si="44">SUM(C44:H44)</f>
        <v>27828811</v>
      </c>
      <c r="J44" s="113" t="str">
        <f t="shared" si="1"/>
        <v>ok</v>
      </c>
      <c r="K44" s="111">
        <f>'Pointe Couppe'!F19</f>
        <v>27828811</v>
      </c>
      <c r="L44" s="178"/>
      <c r="M44" s="110">
        <f>'Pointe Couppe'!F22</f>
        <v>1805749</v>
      </c>
      <c r="N44" s="110"/>
      <c r="O44" s="110"/>
      <c r="P44" s="110"/>
      <c r="Q44" s="110">
        <f>'Pointe Couppe'!F23</f>
        <v>519937</v>
      </c>
      <c r="R44" s="110">
        <f>'Pointe Couppe'!F26</f>
        <v>495471</v>
      </c>
      <c r="S44" s="110">
        <f>'Pointe Couppe'!F27</f>
        <v>5664157</v>
      </c>
      <c r="T44" s="110">
        <f>'Pointe Couppe'!F28+'Pointe Couppe'!F29</f>
        <v>2157201</v>
      </c>
      <c r="U44" s="110">
        <f t="shared" ref="U44" si="45">SUM(M44:T44)</f>
        <v>10642515</v>
      </c>
      <c r="V44" s="113" t="str">
        <f t="shared" si="3"/>
        <v>ok</v>
      </c>
      <c r="W44" s="111">
        <f>'Pointe Couppe'!F31:F31</f>
        <v>10642515</v>
      </c>
      <c r="X44" s="112"/>
      <c r="Y44" s="178">
        <f>'Pointe Couppe'!F35</f>
        <v>61852</v>
      </c>
      <c r="Z44" s="110">
        <f>'Pointe Couppe'!F40</f>
        <v>13322085</v>
      </c>
      <c r="AA44" s="110">
        <f>'Pointe Couppe'!F42+'Pointe Couppe'!F43+'Pointe Couppe'!F44</f>
        <v>6577583</v>
      </c>
      <c r="AB44" s="110">
        <f>'Pointe Couppe'!F45</f>
        <v>-2231273</v>
      </c>
      <c r="AC44" s="110">
        <f t="shared" ref="AC44" si="46">SUM(Z44:AB44)</f>
        <v>17668395</v>
      </c>
      <c r="AD44" s="110">
        <f t="shared" si="9"/>
        <v>28372762</v>
      </c>
      <c r="AE44" s="113" t="str">
        <f t="shared" si="5"/>
        <v>ok</v>
      </c>
      <c r="AF44" s="111">
        <f>'Pointe Couppe'!F49</f>
        <v>28372762</v>
      </c>
    </row>
    <row r="45" spans="1:32" ht="15.6">
      <c r="A45" s="56"/>
      <c r="B45" s="3" t="s">
        <v>852</v>
      </c>
      <c r="C45" s="59">
        <f>Rapides!H7</f>
        <v>43047450</v>
      </c>
      <c r="D45" s="59"/>
      <c r="E45" s="59">
        <f>Rapides!H8</f>
        <v>22738987</v>
      </c>
      <c r="F45" s="59">
        <f>Rapides!H12+Rapides!H13+Rapides!H15+Rapides!H16+Rapides!H17</f>
        <v>64118248</v>
      </c>
      <c r="G45" s="59"/>
      <c r="H45" s="59">
        <f>Rapides!H18</f>
        <v>4009397</v>
      </c>
      <c r="I45" s="59">
        <f>SUM(C45:H45)</f>
        <v>133914082</v>
      </c>
      <c r="J45" s="113" t="str">
        <f t="shared" si="1"/>
        <v>ok</v>
      </c>
      <c r="K45" s="58">
        <f>Rapides!H20</f>
        <v>133914082</v>
      </c>
      <c r="L45" s="177"/>
      <c r="M45" s="59">
        <f>Rapides!H23+Rapides!H25</f>
        <v>1509474</v>
      </c>
      <c r="N45" s="59"/>
      <c r="O45" s="59"/>
      <c r="P45" s="59"/>
      <c r="Q45" s="59"/>
      <c r="R45" s="59">
        <f>Rapides!H27</f>
        <v>1701962</v>
      </c>
      <c r="S45" s="59">
        <f>Rapides!H28</f>
        <v>62946023</v>
      </c>
      <c r="T45" s="59">
        <f>Rapides!H24+Rapides!H29</f>
        <v>1819058</v>
      </c>
      <c r="U45" s="59">
        <f t="shared" ref="U45:U47" si="47">SUM(M45:T45)</f>
        <v>67976517</v>
      </c>
      <c r="V45" s="113" t="str">
        <f t="shared" si="3"/>
        <v>ok</v>
      </c>
      <c r="W45" s="58">
        <f>Rapides!H31</f>
        <v>67976517</v>
      </c>
      <c r="X45" s="60"/>
      <c r="Y45" s="177"/>
      <c r="Z45" s="59">
        <f>Rapides!H34</f>
        <v>38384558</v>
      </c>
      <c r="AA45" s="59">
        <f>Rapides!H35</f>
        <v>3526607</v>
      </c>
      <c r="AB45" s="59">
        <f>Rapides!H36</f>
        <v>24026401</v>
      </c>
      <c r="AC45" s="59">
        <f t="shared" ref="AC45:AC46" si="48">SUM(Z45:AB45)</f>
        <v>65937566</v>
      </c>
      <c r="AD45" s="59">
        <f t="shared" si="9"/>
        <v>133914083</v>
      </c>
      <c r="AE45" s="113" t="str">
        <f t="shared" si="5"/>
        <v>ok</v>
      </c>
      <c r="AF45" s="58">
        <f>Rapides!H40</f>
        <v>133914083</v>
      </c>
    </row>
    <row r="46" spans="1:32" s="104" customFormat="1" ht="15.6">
      <c r="A46" s="108"/>
      <c r="B46" s="109" t="s">
        <v>853</v>
      </c>
      <c r="C46" s="110">
        <f>'Red River'!H7</f>
        <v>17711401</v>
      </c>
      <c r="D46" s="110">
        <f>'Red River'!H8</f>
        <v>15684226</v>
      </c>
      <c r="E46" s="110">
        <f>'Red River'!H9</f>
        <v>4685543</v>
      </c>
      <c r="F46" s="110">
        <f>'Red River'!H15</f>
        <v>16044475</v>
      </c>
      <c r="G46" s="110"/>
      <c r="H46" s="110">
        <f>'Red River'!H10</f>
        <v>20239</v>
      </c>
      <c r="I46" s="110">
        <f t="shared" ref="I46:I47" si="49">SUM(C46:H46)</f>
        <v>54145884</v>
      </c>
      <c r="J46" s="113" t="str">
        <f t="shared" si="1"/>
        <v>ok</v>
      </c>
      <c r="K46" s="111">
        <f>'Red River'!H17</f>
        <v>54145884</v>
      </c>
      <c r="L46" s="178" t="e">
        <f>'[1]St. Bernard'!C32</f>
        <v>#REF!</v>
      </c>
      <c r="M46" s="110">
        <f>'Red River'!H23+'Red River'!H31</f>
        <v>959837</v>
      </c>
      <c r="N46" s="110">
        <f>'Red River'!H24+'Red River'!H29</f>
        <v>64855</v>
      </c>
      <c r="O46" s="110"/>
      <c r="P46" s="110"/>
      <c r="Q46" s="110"/>
      <c r="R46" s="110"/>
      <c r="S46" s="110"/>
      <c r="T46" s="110">
        <f>'Red River'!H30</f>
        <v>115212</v>
      </c>
      <c r="U46" s="110">
        <f t="shared" si="47"/>
        <v>1139904</v>
      </c>
      <c r="V46" s="113" t="str">
        <f t="shared" si="3"/>
        <v>ok</v>
      </c>
      <c r="W46" s="111">
        <f>'Red River'!H35</f>
        <v>1139904</v>
      </c>
      <c r="X46" s="112"/>
      <c r="Y46" s="178">
        <f>'Red River'!H37</f>
        <v>64801</v>
      </c>
      <c r="Z46" s="110">
        <f>'Red River'!H40</f>
        <v>16044475</v>
      </c>
      <c r="AA46" s="110">
        <f>'Red River'!H43+'Red River'!H44+'Red River'!H45+'Red River'!H46+'Red River'!H47</f>
        <v>13567384</v>
      </c>
      <c r="AB46" s="110">
        <f>'Red River'!H48</f>
        <v>23713680</v>
      </c>
      <c r="AC46" s="110">
        <f t="shared" si="48"/>
        <v>53325539</v>
      </c>
      <c r="AD46" s="110">
        <f t="shared" si="9"/>
        <v>54530244</v>
      </c>
      <c r="AE46" s="113" t="str">
        <f t="shared" si="5"/>
        <v>ok</v>
      </c>
      <c r="AF46" s="111">
        <f>'Red River'!H52</f>
        <v>54530244</v>
      </c>
    </row>
    <row r="47" spans="1:32" ht="15.6">
      <c r="A47" s="56"/>
      <c r="B47" s="3" t="s">
        <v>854</v>
      </c>
      <c r="C47" s="59">
        <f>Richland!G6</f>
        <v>8166634</v>
      </c>
      <c r="D47" s="59"/>
      <c r="E47" s="59">
        <f>Richland!G7</f>
        <v>2798324</v>
      </c>
      <c r="F47" s="59">
        <f>Richland!G9+Richland!G10</f>
        <v>2570572</v>
      </c>
      <c r="G47" s="59"/>
      <c r="H47" s="59"/>
      <c r="I47" s="59">
        <f t="shared" si="49"/>
        <v>13535530</v>
      </c>
      <c r="J47" s="113" t="str">
        <f t="shared" si="1"/>
        <v>ok</v>
      </c>
      <c r="K47" s="58">
        <f>Richland!G12</f>
        <v>13535530</v>
      </c>
      <c r="L47" s="177" t="e">
        <f>'[1]St. Charles'!C33</f>
        <v>#REF!</v>
      </c>
      <c r="M47" s="59">
        <f>Richland!G18+Richland!G19</f>
        <v>311689</v>
      </c>
      <c r="N47" s="59"/>
      <c r="O47" s="59"/>
      <c r="P47" s="59"/>
      <c r="Q47" s="59"/>
      <c r="R47" s="59"/>
      <c r="S47" s="59"/>
      <c r="T47" s="59">
        <f>Richland!G20</f>
        <v>84471</v>
      </c>
      <c r="U47" s="59">
        <f t="shared" si="47"/>
        <v>396160</v>
      </c>
      <c r="V47" s="113" t="str">
        <f t="shared" si="3"/>
        <v>ok</v>
      </c>
      <c r="W47" s="58">
        <f>Richland!G22</f>
        <v>396160</v>
      </c>
      <c r="X47" s="60"/>
      <c r="Y47" s="177">
        <f>Richland!G27</f>
        <v>2738135</v>
      </c>
      <c r="Z47" s="59">
        <f>Richland!G30</f>
        <v>2570572</v>
      </c>
      <c r="AA47" s="59">
        <f>Richland!G31</f>
        <v>6385675</v>
      </c>
      <c r="AB47" s="59">
        <f>Richland!G32</f>
        <v>1908307</v>
      </c>
      <c r="AC47" s="59">
        <f t="shared" ref="AC47" si="50">SUM(Z47:AB47)</f>
        <v>10864554</v>
      </c>
      <c r="AD47" s="59">
        <f t="shared" si="9"/>
        <v>13998849</v>
      </c>
      <c r="AE47" s="113" t="str">
        <f t="shared" si="5"/>
        <v>ok</v>
      </c>
      <c r="AF47" s="58">
        <f>Richland!G36</f>
        <v>13998849</v>
      </c>
    </row>
    <row r="48" spans="1:32" s="104" customFormat="1" ht="15.6">
      <c r="A48" s="108"/>
      <c r="B48" s="109" t="s">
        <v>855</v>
      </c>
      <c r="C48" s="110">
        <f>Sabine!H7</f>
        <v>10266086</v>
      </c>
      <c r="D48" s="110"/>
      <c r="E48" s="110">
        <f>Sabine!H8</f>
        <v>3646800</v>
      </c>
      <c r="F48" s="110">
        <f>Sabine!H10+Sabine!H11+Sabine!H12+Sabine!H13+Sabine!H14+Sabine!H16+Sabine!H17+Sabine!H18</f>
        <v>13735206</v>
      </c>
      <c r="G48" s="110"/>
      <c r="H48" s="110">
        <f>Sabine!H19</f>
        <v>356746</v>
      </c>
      <c r="I48" s="110">
        <f t="shared" ref="I48" si="51">SUM(C48:H48)</f>
        <v>28004838</v>
      </c>
      <c r="J48" s="113" t="str">
        <f t="shared" si="1"/>
        <v>ok</v>
      </c>
      <c r="K48" s="111">
        <f>Sabine!H21</f>
        <v>28004838</v>
      </c>
      <c r="L48" s="178"/>
      <c r="M48" s="110">
        <f>Sabine!H24+Sabine!H25</f>
        <v>389996</v>
      </c>
      <c r="N48" s="110"/>
      <c r="O48" s="110"/>
      <c r="P48" s="110"/>
      <c r="Q48" s="110"/>
      <c r="R48" s="110">
        <f>Sabine!H27</f>
        <v>122083</v>
      </c>
      <c r="S48" s="110">
        <f>Sabine!H28</f>
        <v>1275594</v>
      </c>
      <c r="T48" s="110">
        <f>Sabine!H29</f>
        <v>48002</v>
      </c>
      <c r="U48" s="110">
        <f t="shared" ref="U48" si="52">SUM(M48:T48)</f>
        <v>1835675</v>
      </c>
      <c r="V48" s="113" t="str">
        <f t="shared" si="3"/>
        <v>ok</v>
      </c>
      <c r="W48" s="111">
        <f>Sabine!H31</f>
        <v>1835675</v>
      </c>
      <c r="X48" s="112"/>
      <c r="Y48" s="178"/>
      <c r="Z48" s="110">
        <f>Sabine!H34</f>
        <v>13686433</v>
      </c>
      <c r="AA48" s="110"/>
      <c r="AB48" s="110">
        <f>Sabine!H35</f>
        <v>12482731</v>
      </c>
      <c r="AC48" s="110">
        <f t="shared" ref="AC48" si="53">SUM(Z48:AB48)</f>
        <v>26169164</v>
      </c>
      <c r="AD48" s="110">
        <f t="shared" si="9"/>
        <v>28004839</v>
      </c>
      <c r="AE48" s="113" t="str">
        <f t="shared" si="5"/>
        <v>ok</v>
      </c>
      <c r="AF48" s="111">
        <f>Sabine!H39</f>
        <v>28004839</v>
      </c>
    </row>
    <row r="49" spans="1:32" ht="15.6">
      <c r="A49" s="56"/>
      <c r="B49" s="3" t="s">
        <v>856</v>
      </c>
      <c r="C49" s="59">
        <f>'St. Bernard'!F7</f>
        <v>36775410</v>
      </c>
      <c r="D49" s="59">
        <f>'St. Bernard'!F8+'St. Bernard'!F9</f>
        <v>4719313</v>
      </c>
      <c r="E49" s="59">
        <f>'St. Bernard'!F11+'St. Bernard'!F12+'St. Bernard'!F13+'St. Bernard'!F15+'St. Bernard'!F16</f>
        <v>37044473</v>
      </c>
      <c r="F49" s="59">
        <f>'St. Bernard'!F24+'St. Bernard'!F25</f>
        <v>391125797</v>
      </c>
      <c r="G49" s="59"/>
      <c r="H49" s="59">
        <f>'St. Bernard'!F18+'St. Bernard'!F19</f>
        <v>-4216370</v>
      </c>
      <c r="I49" s="59">
        <f>SUM(C49:H49)</f>
        <v>465448623</v>
      </c>
      <c r="J49" s="113" t="str">
        <f t="shared" si="1"/>
        <v>ok</v>
      </c>
      <c r="K49" s="58">
        <f>'St. Bernard'!F27</f>
        <v>465448623</v>
      </c>
      <c r="L49" s="177"/>
      <c r="M49" s="59">
        <f>'St. Bernard'!F34+'St. Bernard'!F35+'St. Bernard'!F36+'St. Bernard'!F37+'St. Bernard'!F39</f>
        <v>24413920</v>
      </c>
      <c r="N49" s="59"/>
      <c r="O49" s="59"/>
      <c r="P49" s="59"/>
      <c r="Q49" s="59"/>
      <c r="R49" s="59">
        <f>'St. Bernard'!F43</f>
        <v>4044111</v>
      </c>
      <c r="S49" s="59">
        <f>'St. Bernard'!F44</f>
        <v>48685849</v>
      </c>
      <c r="T49" s="59">
        <f>'St. Bernard'!F40+'St. Bernard'!F41</f>
        <v>2284850</v>
      </c>
      <c r="U49" s="59">
        <f t="shared" ref="U49:U51" si="54">SUM(M49:T49)</f>
        <v>79428730</v>
      </c>
      <c r="V49" s="113" t="str">
        <f t="shared" si="3"/>
        <v>ok</v>
      </c>
      <c r="W49" s="58">
        <f>'St. Bernard'!F46</f>
        <v>79428730</v>
      </c>
      <c r="X49" s="60"/>
      <c r="Y49" s="177">
        <f>'St. Bernard'!F50</f>
        <v>1282878</v>
      </c>
      <c r="Z49" s="59">
        <f>'St. Bernard'!F53</f>
        <v>357038864</v>
      </c>
      <c r="AA49" s="59">
        <f>'St. Bernard'!F55+'St. Bernard'!F56+'St. Bernard'!F57+'St. Bernard'!F58+'St. Bernard'!F59</f>
        <v>15236622</v>
      </c>
      <c r="AB49" s="59">
        <f>'St. Bernard'!F60</f>
        <v>21004500</v>
      </c>
      <c r="AC49" s="59">
        <f t="shared" ref="AC49:AC51" si="55">SUM(Z49:AB49)</f>
        <v>393279986</v>
      </c>
      <c r="AD49" s="59">
        <f t="shared" si="9"/>
        <v>473991594</v>
      </c>
      <c r="AE49" s="113" t="str">
        <f t="shared" si="5"/>
        <v>ok</v>
      </c>
      <c r="AF49" s="58">
        <f>'St. Bernard'!F64</f>
        <v>473991594</v>
      </c>
    </row>
    <row r="50" spans="1:32" s="104" customFormat="1" ht="15.6">
      <c r="A50" s="108"/>
      <c r="B50" s="109" t="s">
        <v>857</v>
      </c>
      <c r="C50" s="110">
        <f>'St. Charles'!H7</f>
        <v>1666632</v>
      </c>
      <c r="D50" s="110">
        <f>'St. Charles'!H8</f>
        <v>83769353</v>
      </c>
      <c r="E50" s="110">
        <f>'St. Charles'!H9</f>
        <v>29459890</v>
      </c>
      <c r="F50" s="110">
        <f>'St. Charles'!H19+'St. Charles'!H20+'St. Charles'!H21+'St. Charles'!H22</f>
        <v>216182734</v>
      </c>
      <c r="G50" s="110">
        <f>'St. Charles'!H10</f>
        <v>5113293</v>
      </c>
      <c r="H50" s="110">
        <f>'St. Charles'!H13+'St. Charles'!H14</f>
        <v>479217</v>
      </c>
      <c r="I50" s="110">
        <f>SUM(C50:H50)</f>
        <v>336671119</v>
      </c>
      <c r="J50" s="113" t="str">
        <f t="shared" si="1"/>
        <v>ok</v>
      </c>
      <c r="K50" s="111">
        <f>'St. Charles'!H24</f>
        <v>336671119</v>
      </c>
      <c r="L50" s="110">
        <f>'St. Charles'!H27</f>
        <v>6025080</v>
      </c>
      <c r="M50" s="110">
        <f>'St. Charles'!H32+'St. Charles'!H35</f>
        <v>5850809</v>
      </c>
      <c r="N50" s="110"/>
      <c r="O50" s="110"/>
      <c r="P50" s="110"/>
      <c r="Q50" s="110">
        <f>'St. Charles'!H33+'St. Charles'!H34</f>
        <v>488780</v>
      </c>
      <c r="R50" s="110">
        <f>'St. Charles'!H39</f>
        <v>4004000</v>
      </c>
      <c r="S50" s="110">
        <f>'St. Charles'!H40+'St. Charles'!H41</f>
        <v>24577829</v>
      </c>
      <c r="T50" s="110">
        <f>'St. Charles'!H36</f>
        <v>1144190</v>
      </c>
      <c r="U50" s="110">
        <f t="shared" si="54"/>
        <v>36065608</v>
      </c>
      <c r="V50" s="113" t="str">
        <f t="shared" si="3"/>
        <v>ok</v>
      </c>
      <c r="W50" s="111">
        <f>'St. Charles'!H45</f>
        <v>36065608</v>
      </c>
      <c r="X50" s="112"/>
      <c r="Y50" s="110">
        <f>'St. Charles'!H52</f>
        <v>27997602</v>
      </c>
      <c r="Z50" s="110">
        <f>'St. Charles'!H55</f>
        <v>203387734</v>
      </c>
      <c r="AA50" s="110">
        <f>'St. Charles'!H57+'St. Charles'!H58+'St. Charles'!H59+'St. Charles'!H61</f>
        <v>42342298</v>
      </c>
      <c r="AB50" s="110">
        <f>'St. Charles'!H62</f>
        <v>33232957</v>
      </c>
      <c r="AC50" s="110">
        <f t="shared" si="55"/>
        <v>278962989</v>
      </c>
      <c r="AD50" s="110">
        <f t="shared" si="9"/>
        <v>343026199</v>
      </c>
      <c r="AE50" s="113" t="str">
        <f t="shared" si="5"/>
        <v>ok</v>
      </c>
      <c r="AF50" s="111">
        <f>'St. Charles'!H66</f>
        <v>343026199</v>
      </c>
    </row>
    <row r="51" spans="1:32" ht="15.6">
      <c r="A51" s="56"/>
      <c r="B51" s="3" t="s">
        <v>858</v>
      </c>
      <c r="C51" s="59">
        <f>'St. Helena '!H7+'St. Helena '!H16</f>
        <v>6117884</v>
      </c>
      <c r="D51" s="59">
        <f>'St. Helena '!H8</f>
        <v>561779</v>
      </c>
      <c r="E51" s="59">
        <f>'St. Helena '!H9</f>
        <v>2510451</v>
      </c>
      <c r="F51" s="59">
        <f>'St. Helena '!H24+'St. Helena '!H25</f>
        <v>17796145</v>
      </c>
      <c r="G51" s="59"/>
      <c r="H51" s="59">
        <f>'St. Helena '!H12</f>
        <v>107473</v>
      </c>
      <c r="I51" s="59">
        <f>SUM(C51:H51)</f>
        <v>27093732</v>
      </c>
      <c r="J51" s="113" t="str">
        <f t="shared" si="1"/>
        <v>ok</v>
      </c>
      <c r="K51" s="58">
        <f>'St. Helena '!H29</f>
        <v>27093732</v>
      </c>
      <c r="L51" s="177"/>
      <c r="M51" s="59">
        <f>'St. Helena '!H37+'St. Helena '!H38+'St. Helena '!H49</f>
        <v>754090</v>
      </c>
      <c r="N51" s="59">
        <f>'St. Helena '!H50</f>
        <v>290570</v>
      </c>
      <c r="O51" s="59">
        <f>'St. Helena '!H43</f>
        <v>346000</v>
      </c>
      <c r="P51" s="59">
        <f>'St. Helena '!H48</f>
        <v>1519000</v>
      </c>
      <c r="Q51" s="59"/>
      <c r="R51" s="59"/>
      <c r="S51" s="59"/>
      <c r="T51" s="59">
        <f>'St. Helena '!H51+'St. Helena '!H52+'St. Helena '!H44+'St. Helena '!H40</f>
        <v>1714650</v>
      </c>
      <c r="U51" s="59">
        <f t="shared" si="54"/>
        <v>4624310</v>
      </c>
      <c r="V51" s="113" t="str">
        <f t="shared" si="3"/>
        <v>ok</v>
      </c>
      <c r="W51" s="58">
        <f>'St. Helena '!H55</f>
        <v>4624310</v>
      </c>
      <c r="X51" s="60"/>
      <c r="Y51" s="177">
        <f>'St. Helena '!H59</f>
        <v>54780</v>
      </c>
      <c r="Z51" s="59">
        <f>'St. Helena '!H62</f>
        <v>15501833</v>
      </c>
      <c r="AA51" s="59">
        <f>'St. Helena '!H64+'St. Helena '!H65+'St. Helena '!H66</f>
        <v>8161600</v>
      </c>
      <c r="AB51" s="59">
        <f>'St. Helena '!H67</f>
        <v>-959079</v>
      </c>
      <c r="AC51" s="59">
        <f t="shared" si="55"/>
        <v>22704354</v>
      </c>
      <c r="AD51" s="59">
        <f t="shared" si="9"/>
        <v>27383444</v>
      </c>
      <c r="AE51" s="113" t="str">
        <f t="shared" si="5"/>
        <v>ok</v>
      </c>
      <c r="AF51" s="58">
        <f>'St. Helena '!H71</f>
        <v>27383444</v>
      </c>
    </row>
    <row r="52" spans="1:32" s="104" customFormat="1" ht="15.6">
      <c r="A52" s="108"/>
      <c r="B52" s="109" t="s">
        <v>859</v>
      </c>
      <c r="C52" s="110">
        <f>'St. James'!G7</f>
        <v>19112401</v>
      </c>
      <c r="D52" s="110">
        <f>'St. James'!G8</f>
        <v>18887294</v>
      </c>
      <c r="E52" s="110">
        <f>'St. James'!G9</f>
        <v>22260635</v>
      </c>
      <c r="F52" s="110">
        <f>'St. James'!G21</f>
        <v>66294696</v>
      </c>
      <c r="G52" s="110">
        <f>'St. James'!G11+'St. James'!G12</f>
        <v>1080000</v>
      </c>
      <c r="H52" s="110">
        <f>'St. James'!G14+'St. James'!G15+'St. James'!G16</f>
        <v>176918</v>
      </c>
      <c r="I52" s="110">
        <f t="shared" ref="I52:I54" si="56">SUM(C52:H52)</f>
        <v>127811944</v>
      </c>
      <c r="J52" s="113" t="str">
        <f t="shared" si="1"/>
        <v>ok</v>
      </c>
      <c r="K52" s="111">
        <f>'St. James'!G24</f>
        <v>127811944</v>
      </c>
      <c r="L52" s="178">
        <f>'St. James'!G28</f>
        <v>147272</v>
      </c>
      <c r="M52" s="110">
        <f>'St. James'!G32</f>
        <v>3219582</v>
      </c>
      <c r="N52" s="110"/>
      <c r="O52" s="110"/>
      <c r="P52" s="110"/>
      <c r="Q52" s="110"/>
      <c r="R52" s="110">
        <f>'St. James'!G39</f>
        <v>1587532</v>
      </c>
      <c r="S52" s="110">
        <f>'St. James'!G40</f>
        <v>5763974</v>
      </c>
      <c r="T52" s="110">
        <f>'St. James'!G34+'St. James'!G33+'St. James'!G37+'St. James'!G38</f>
        <v>3797679</v>
      </c>
      <c r="U52" s="110">
        <f t="shared" ref="U52" si="57">SUM(M52:T52)</f>
        <v>14368767</v>
      </c>
      <c r="V52" s="113" t="str">
        <f t="shared" si="3"/>
        <v>ok</v>
      </c>
      <c r="W52" s="111">
        <f>'St. James'!G42</f>
        <v>14368767</v>
      </c>
      <c r="X52" s="112"/>
      <c r="Y52" s="178">
        <f>'St. James'!G45</f>
        <v>187300</v>
      </c>
      <c r="Z52" s="110">
        <f>'St. James'!G48</f>
        <v>60873245</v>
      </c>
      <c r="AA52" s="110">
        <f>'St. James'!G50+'St. James'!G51+'St. James'!G52+'St. James'!G53+'St. James'!G54+'St. James'!G55+'St. James'!G56+'St. James'!G57+'St. James'!G58+'St. James'!G59</f>
        <v>49214805</v>
      </c>
      <c r="AB52" s="110">
        <f>'St. James'!G60</f>
        <v>5064110</v>
      </c>
      <c r="AC52" s="110">
        <f t="shared" ref="AC52:AC54" si="58">SUM(Z52:AB52)</f>
        <v>115152160</v>
      </c>
      <c r="AD52" s="110">
        <f t="shared" si="9"/>
        <v>129708227</v>
      </c>
      <c r="AE52" s="113" t="str">
        <f t="shared" si="5"/>
        <v>ok</v>
      </c>
      <c r="AF52" s="111">
        <f>'St. James'!G64</f>
        <v>129708227</v>
      </c>
    </row>
    <row r="53" spans="1:32" ht="15.6">
      <c r="A53" s="56"/>
      <c r="B53" s="3" t="s">
        <v>860</v>
      </c>
      <c r="C53" s="59">
        <f>'St. John the Baptist'!G7</f>
        <v>73371436</v>
      </c>
      <c r="D53" s="59"/>
      <c r="E53" s="59">
        <f>'St. John the Baptist'!G10+'St. John the Baptist'!G11+'St. John the Baptist'!G12+'St. John the Baptist'!G13</f>
        <v>16724804</v>
      </c>
      <c r="F53" s="59">
        <f>'St. John the Baptist'!G18+'St. John the Baptist'!G20</f>
        <v>97168805</v>
      </c>
      <c r="G53" s="59">
        <f>'St. John the Baptist'!G14</f>
        <v>3982244</v>
      </c>
      <c r="H53" s="59">
        <f>'St. John the Baptist'!G15+'St. John the Baptist'!G17</f>
        <v>3289259</v>
      </c>
      <c r="I53" s="59">
        <f t="shared" ref="I53" si="59">SUM(C53:H53)</f>
        <v>194536548</v>
      </c>
      <c r="J53" s="113" t="str">
        <f t="shared" si="1"/>
        <v>ok</v>
      </c>
      <c r="K53" s="58">
        <f>'St. John the Baptist'!G22</f>
        <v>194536548</v>
      </c>
      <c r="L53" s="177"/>
      <c r="M53" s="59">
        <f>'St. John the Baptist'!G29+'St. John the Baptist'!G33</f>
        <v>4912145</v>
      </c>
      <c r="N53" s="59"/>
      <c r="O53" s="59"/>
      <c r="P53" s="59"/>
      <c r="Q53" s="59"/>
      <c r="R53" s="59">
        <f>'St. John the Baptist'!G35</f>
        <v>6968614</v>
      </c>
      <c r="S53" s="59">
        <f>'St. John the Baptist'!G36</f>
        <v>98191044</v>
      </c>
      <c r="T53" s="59">
        <f>'St. John the Baptist'!G30+'St. John the Baptist'!G32</f>
        <v>2068762</v>
      </c>
      <c r="U53" s="59">
        <f>SUM(M53:T53)</f>
        <v>112140565</v>
      </c>
      <c r="V53" s="113" t="str">
        <f t="shared" si="3"/>
        <v>ok</v>
      </c>
      <c r="W53" s="58">
        <f>'St. John the Baptist'!G38</f>
        <v>112140565</v>
      </c>
      <c r="X53" s="60"/>
      <c r="Y53" s="177">
        <f>'St. John the Baptist'!G42</f>
        <v>958119</v>
      </c>
      <c r="Z53" s="59">
        <f>'St. John the Baptist'!G45</f>
        <v>30387143</v>
      </c>
      <c r="AA53" s="59">
        <f>'St. John the Baptist'!G47+'St. John the Baptist'!G48</f>
        <v>37778546</v>
      </c>
      <c r="AB53" s="59">
        <f>'St. John the Baptist'!G52</f>
        <v>15873316</v>
      </c>
      <c r="AC53" s="59">
        <f t="shared" ref="AC53" si="60">SUM(Z53:AB53)</f>
        <v>84039005</v>
      </c>
      <c r="AD53" s="59">
        <f t="shared" si="9"/>
        <v>197137689</v>
      </c>
      <c r="AE53" s="113" t="str">
        <f t="shared" si="5"/>
        <v>ok</v>
      </c>
      <c r="AF53" s="58">
        <f>'St. John the Baptist'!G56</f>
        <v>197137689</v>
      </c>
    </row>
    <row r="54" spans="1:32" s="209" customFormat="1" ht="15.6">
      <c r="A54" s="203"/>
      <c r="B54" s="204" t="s">
        <v>861</v>
      </c>
      <c r="C54" s="205">
        <f>'St. Landry'!H7</f>
        <v>939373</v>
      </c>
      <c r="D54" s="205"/>
      <c r="E54" s="205">
        <f>'St. Landry'!H8</f>
        <v>6386342</v>
      </c>
      <c r="F54" s="205">
        <f>'St. Landry'!H18+'St. Landry'!H20+'St. Landry'!H19</f>
        <v>79790458</v>
      </c>
      <c r="G54" s="205">
        <f>'St. Landry'!H11+'St. Landry'!H10+'St. Landry'!H12</f>
        <v>443085</v>
      </c>
      <c r="H54" s="205">
        <f>'St. Landry'!H9</f>
        <v>259868</v>
      </c>
      <c r="I54" s="205">
        <f t="shared" si="56"/>
        <v>87819126</v>
      </c>
      <c r="J54" s="113" t="str">
        <f t="shared" si="1"/>
        <v>ok</v>
      </c>
      <c r="K54" s="206">
        <f>'St. Landry'!H22</f>
        <v>87819126</v>
      </c>
      <c r="L54" s="207">
        <f>'St. Landry'!H25</f>
        <v>886670</v>
      </c>
      <c r="M54" s="205">
        <f>'St. Landry'!H43+'St. Landry'!H29</f>
        <v>5281855</v>
      </c>
      <c r="N54" s="205">
        <f>'St. Landry'!H35</f>
        <v>104452</v>
      </c>
      <c r="O54" s="205">
        <f>'St. Landry'!H32</f>
        <v>3554167</v>
      </c>
      <c r="P54" s="205">
        <f>'St. Landry'!H44</f>
        <v>55065500</v>
      </c>
      <c r="Q54" s="205">
        <f>'St. Landry'!H36+'St. Landry'!H37</f>
        <v>113315</v>
      </c>
      <c r="R54" s="205"/>
      <c r="S54" s="205"/>
      <c r="T54" s="205">
        <f>'St. Landry'!H46+'St. Landry'!H45+'St. Landry'!H34+'St. Landry'!H33+'St. Landry'!H31+'St. Landry'!H30</f>
        <v>2144812</v>
      </c>
      <c r="U54" s="110">
        <f>SUM(M54:T54)</f>
        <v>66264101</v>
      </c>
      <c r="V54" s="113" t="str">
        <f t="shared" si="3"/>
        <v>ok</v>
      </c>
      <c r="W54" s="206">
        <f>'St. Landry'!H50</f>
        <v>66264101</v>
      </c>
      <c r="X54" s="208"/>
      <c r="Y54" s="207">
        <f>'St. Landry'!H53</f>
        <v>83266</v>
      </c>
      <c r="Z54" s="205">
        <f>'St. Landry'!H56</f>
        <v>16184142</v>
      </c>
      <c r="AA54" s="205">
        <f>'St. Landry'!H57+'St. Landry'!H58+'St. Landry'!H59</f>
        <v>3233738</v>
      </c>
      <c r="AB54" s="205">
        <f>'St. Landry'!H60</f>
        <v>2940458</v>
      </c>
      <c r="AC54" s="205">
        <f t="shared" si="58"/>
        <v>22358338</v>
      </c>
      <c r="AD54" s="110">
        <f t="shared" si="9"/>
        <v>88705705</v>
      </c>
      <c r="AE54" s="113" t="str">
        <f t="shared" si="5"/>
        <v>ok</v>
      </c>
      <c r="AF54" s="206">
        <f>'St. Landry'!H64</f>
        <v>88705705</v>
      </c>
    </row>
    <row r="55" spans="1:32" ht="15.6">
      <c r="A55" s="56"/>
      <c r="B55" s="3" t="s">
        <v>862</v>
      </c>
      <c r="C55" s="59">
        <f>'St. Martin'!H6</f>
        <v>29661318</v>
      </c>
      <c r="D55" s="59"/>
      <c r="E55" s="59">
        <f>'St. Martin'!H7</f>
        <v>12366264</v>
      </c>
      <c r="F55" s="59">
        <f>'St. Martin'!H11+'St. Martin'!H12</f>
        <v>70551464</v>
      </c>
      <c r="G55" s="59">
        <f>'St. Martin'!H9</f>
        <v>431052</v>
      </c>
      <c r="H55" s="59">
        <f>'St. Martin'!H8</f>
        <v>348346</v>
      </c>
      <c r="I55" s="59">
        <f t="shared" ref="I55" si="61">SUM(C55:H55)</f>
        <v>113358444</v>
      </c>
      <c r="J55" s="113" t="str">
        <f t="shared" si="1"/>
        <v>ok</v>
      </c>
      <c r="K55" s="58">
        <f>'St. Martin'!H14</f>
        <v>113358444</v>
      </c>
      <c r="L55" s="177"/>
      <c r="M55" s="59">
        <f>'St. Martin'!H20+'St. Martin'!H22</f>
        <v>883960</v>
      </c>
      <c r="N55" s="59">
        <f>'St. Martin'!H33</f>
        <v>416398</v>
      </c>
      <c r="O55" s="59">
        <f>'St. Martin'!H27</f>
        <v>1957000</v>
      </c>
      <c r="P55" s="59">
        <f>'St. Martin'!H28</f>
        <v>19053000</v>
      </c>
      <c r="Q55" s="59">
        <f>'St. Martin'!H24</f>
        <v>89704</v>
      </c>
      <c r="R55" s="59">
        <f>'St. Martin'!H29</f>
        <v>300849</v>
      </c>
      <c r="S55" s="59">
        <f>'St. Martin'!H30</f>
        <v>871493</v>
      </c>
      <c r="T55" s="59">
        <f>'St. Martin'!H31+'St. Martin'!H32+'St. Martin'!H25+'St. Martin'!H23</f>
        <v>7734446</v>
      </c>
      <c r="U55" s="59">
        <f t="shared" ref="U55" si="62">SUM(M55:T55)</f>
        <v>31306850</v>
      </c>
      <c r="V55" s="113" t="str">
        <f t="shared" si="3"/>
        <v>ok</v>
      </c>
      <c r="W55" s="58">
        <f>'St. Martin'!H35</f>
        <v>31306850</v>
      </c>
      <c r="X55" s="60"/>
      <c r="Y55" s="177">
        <f>'St. Martin'!H38</f>
        <v>81839</v>
      </c>
      <c r="Z55" s="59">
        <f>'St. Martin'!H41</f>
        <v>48132907</v>
      </c>
      <c r="AA55" s="59">
        <f>'St. Martin'!H43+'St. Martin'!H44</f>
        <v>35940776</v>
      </c>
      <c r="AB55" s="59">
        <f>'St. Martin'!H45</f>
        <v>-1330843</v>
      </c>
      <c r="AC55" s="59">
        <f t="shared" ref="AC55" si="63">SUM(Z55:AB55)</f>
        <v>82742840</v>
      </c>
      <c r="AD55" s="59">
        <f t="shared" si="9"/>
        <v>114131529</v>
      </c>
      <c r="AE55" s="113" t="str">
        <f t="shared" si="5"/>
        <v>ok</v>
      </c>
      <c r="AF55" s="58">
        <f>'St. Martin'!H49</f>
        <v>114131529</v>
      </c>
    </row>
    <row r="56" spans="1:32" s="104" customFormat="1" ht="15.6">
      <c r="A56" s="108"/>
      <c r="B56" s="109" t="s">
        <v>863</v>
      </c>
      <c r="C56" s="110">
        <f>'St. Mary'!H8</f>
        <v>1706560</v>
      </c>
      <c r="D56" s="110">
        <f>'St. Mary'!H9</f>
        <v>10599815</v>
      </c>
      <c r="E56" s="110">
        <f>'St. Mary'!H10</f>
        <v>895116</v>
      </c>
      <c r="F56" s="110">
        <f>'St. Mary'!H29+'St. Mary'!H30+'St. Mary'!H31+'St. Mary'!H32+'St. Mary'!H33+'St. Mary'!H34</f>
        <v>113576359</v>
      </c>
      <c r="G56" s="110">
        <f>'St. Mary'!H13+'St. Mary'!H14</f>
        <v>10371589</v>
      </c>
      <c r="H56" s="110">
        <f>'St. Mary'!H17+'St. Mary'!H18</f>
        <v>-4920051</v>
      </c>
      <c r="I56" s="110">
        <f t="shared" ref="I56" si="64">SUM(C56:H56)</f>
        <v>132229388</v>
      </c>
      <c r="J56" s="113" t="str">
        <f t="shared" si="1"/>
        <v>ok</v>
      </c>
      <c r="K56" s="111">
        <f>'St. Mary'!H38</f>
        <v>132229388</v>
      </c>
      <c r="L56" s="178"/>
      <c r="M56" s="110">
        <f>'St. Mary'!H47+'St. Mary'!H48+'St. Mary'!H49</f>
        <v>2856331</v>
      </c>
      <c r="N56" s="110">
        <f>'St. Mary'!H63</f>
        <v>212000</v>
      </c>
      <c r="O56" s="110"/>
      <c r="P56" s="110"/>
      <c r="Q56" s="110">
        <f>'St. Mary'!H54+'St. Mary'!H55</f>
        <v>457579</v>
      </c>
      <c r="R56" s="110">
        <f>'St. Mary'!H57</f>
        <v>2309000</v>
      </c>
      <c r="S56" s="110">
        <f>'St. Mary'!H64</f>
        <v>16054694</v>
      </c>
      <c r="T56" s="110">
        <f>'St. Mary'!H62+'St. Mary'!H50+'St. Mary'!H51+'St. Mary'!H52+'St. Mary'!H66</f>
        <v>8344127</v>
      </c>
      <c r="U56" s="110">
        <f t="shared" ref="U56:U57" si="65">SUM(M56:T56)</f>
        <v>30233731</v>
      </c>
      <c r="V56" s="113" t="str">
        <f t="shared" si="3"/>
        <v>ok</v>
      </c>
      <c r="W56" s="111">
        <f>'St. Mary'!H71</f>
        <v>30233731</v>
      </c>
      <c r="X56" s="112"/>
      <c r="Y56" s="178"/>
      <c r="Z56" s="110">
        <f>'St. Mary'!H79</f>
        <v>94485041</v>
      </c>
      <c r="AA56" s="110">
        <f>'St. Mary'!H82+'St. Mary'!H83</f>
        <v>5234414</v>
      </c>
      <c r="AB56" s="110">
        <f>'St. Mary'!H84</f>
        <v>3520714</v>
      </c>
      <c r="AC56" s="110">
        <f t="shared" ref="AC56:AC57" si="66">SUM(Z56:AB56)</f>
        <v>103240169</v>
      </c>
      <c r="AD56" s="110">
        <f t="shared" si="9"/>
        <v>133473900</v>
      </c>
      <c r="AE56" s="113" t="str">
        <f t="shared" si="5"/>
        <v>ok</v>
      </c>
      <c r="AF56" s="111">
        <f>'St. Mary'!H88</f>
        <v>133473900</v>
      </c>
    </row>
    <row r="57" spans="1:32" ht="15.6">
      <c r="A57" s="56"/>
      <c r="B57" s="3" t="s">
        <v>864</v>
      </c>
      <c r="C57" s="59">
        <f>'St. Tammany'!H7</f>
        <v>46765205</v>
      </c>
      <c r="D57" s="59">
        <f>'St. Tammany'!H8</f>
        <v>141077508</v>
      </c>
      <c r="E57" s="59">
        <f>'St. Tammany'!H9</f>
        <v>55840630</v>
      </c>
      <c r="F57" s="59">
        <f>'St. Tammany'!H16+'St. Tammany'!H17</f>
        <v>465349093</v>
      </c>
      <c r="G57" s="59">
        <f>'St. Tammany'!H10</f>
        <v>131407</v>
      </c>
      <c r="H57" s="59">
        <f>'St. Tammany'!H12+'St. Tammany'!H13+'St. Tammany'!H14</f>
        <v>10396888</v>
      </c>
      <c r="I57" s="59">
        <f>SUM(C57:H57)</f>
        <v>719560731</v>
      </c>
      <c r="J57" s="113" t="str">
        <f t="shared" si="1"/>
        <v>ok</v>
      </c>
      <c r="K57" s="58">
        <f>'St. Tammany'!H19</f>
        <v>719560731</v>
      </c>
      <c r="L57" s="177">
        <f>'St. Tammany'!H24</f>
        <v>9607880</v>
      </c>
      <c r="M57" s="59">
        <f>'St. Tammany'!H27+'St. Tammany'!H29+'St. Tammany'!H32</f>
        <v>29669626</v>
      </c>
      <c r="N57" s="59"/>
      <c r="O57" s="59"/>
      <c r="P57" s="59"/>
      <c r="Q57" s="59"/>
      <c r="R57" s="59">
        <f>'St. Tammany'!H34</f>
        <v>8460000</v>
      </c>
      <c r="S57" s="59">
        <f>'St. Tammany'!H35</f>
        <v>85196482</v>
      </c>
      <c r="T57" s="59">
        <f>'St. Tammany'!H30+'St. Tammany'!H31</f>
        <v>6740029</v>
      </c>
      <c r="U57" s="59">
        <f t="shared" si="65"/>
        <v>130066137</v>
      </c>
      <c r="V57" s="113" t="str">
        <f t="shared" si="3"/>
        <v>ok</v>
      </c>
      <c r="W57" s="58">
        <f>'St. Tammany'!H37</f>
        <v>130066137</v>
      </c>
      <c r="X57" s="60"/>
      <c r="Y57" s="177">
        <f>'St. Tammany'!H40</f>
        <v>442573</v>
      </c>
      <c r="Z57" s="59">
        <f>'St. Tammany'!H44</f>
        <v>391686503</v>
      </c>
      <c r="AA57" s="59">
        <f>'St. Tammany'!H46+'St. Tammany'!H47+'St. Tammany'!H48+'St. Tammany'!H49+'St. Tammany'!H50+'St. Tammany'!H51+'St. Tammany'!H52+'St. Tammany'!H53+'St. Tammany'!H54+'St. Tammany'!H55</f>
        <v>152560865</v>
      </c>
      <c r="AB57" s="59">
        <f>'St. Tammany'!H56</f>
        <v>54412533</v>
      </c>
      <c r="AC57" s="59">
        <f t="shared" si="66"/>
        <v>598659901</v>
      </c>
      <c r="AD57" s="59">
        <f t="shared" si="9"/>
        <v>729168611</v>
      </c>
      <c r="AE57" s="113" t="str">
        <f t="shared" si="5"/>
        <v>ok</v>
      </c>
      <c r="AF57" s="58">
        <f>'St. Tammany'!H60</f>
        <v>729168611</v>
      </c>
    </row>
    <row r="58" spans="1:32" s="104" customFormat="1" ht="15.6">
      <c r="A58" s="108"/>
      <c r="B58" s="109" t="s">
        <v>865</v>
      </c>
      <c r="C58" s="110">
        <f>Tangipahoa!H7</f>
        <v>19337786</v>
      </c>
      <c r="D58" s="110"/>
      <c r="E58" s="110">
        <f>Tangipahoa!H9</f>
        <v>10441900</v>
      </c>
      <c r="F58" s="110">
        <f>Tangipahoa!H13</f>
        <v>181095010</v>
      </c>
      <c r="G58" s="110">
        <f>Tangipahoa!H10</f>
        <v>330751</v>
      </c>
      <c r="H58" s="110">
        <f>Tangipahoa!H11</f>
        <v>1011547</v>
      </c>
      <c r="I58" s="110">
        <f>SUM(C58:H58)</f>
        <v>212216994</v>
      </c>
      <c r="J58" s="113" t="str">
        <f t="shared" si="1"/>
        <v>ok</v>
      </c>
      <c r="K58" s="111">
        <f>Tangipahoa!H15</f>
        <v>212216994</v>
      </c>
      <c r="L58" s="178">
        <f>Tangipahoa!H17</f>
        <v>2373098</v>
      </c>
      <c r="M58" s="110">
        <f>Tangipahoa!H20</f>
        <v>2905922</v>
      </c>
      <c r="N58" s="110"/>
      <c r="O58" s="110"/>
      <c r="P58" s="110"/>
      <c r="Q58" s="110">
        <f>Tangipahoa!H22</f>
        <v>439705</v>
      </c>
      <c r="R58" s="110">
        <f>Tangipahoa!H25</f>
        <v>105000</v>
      </c>
      <c r="S58" s="110">
        <f>Tangipahoa!H26</f>
        <v>9146186</v>
      </c>
      <c r="T58" s="110">
        <f>Tangipahoa!H27+Tangipahoa!H28</f>
        <v>2337767</v>
      </c>
      <c r="U58" s="110">
        <f t="shared" ref="U58:U60" si="67">SUM(M58:T58)</f>
        <v>14934580</v>
      </c>
      <c r="V58" s="113" t="str">
        <f t="shared" si="3"/>
        <v>ok</v>
      </c>
      <c r="W58" s="111">
        <f>Tangipahoa!H30</f>
        <v>14934580</v>
      </c>
      <c r="X58" s="112"/>
      <c r="Y58" s="178">
        <f>Tangipahoa!H36</f>
        <v>224288</v>
      </c>
      <c r="Z58" s="110">
        <f>Tangipahoa!H39</f>
        <v>178715010</v>
      </c>
      <c r="AA58" s="110">
        <f>Tangipahoa!H41+Tangipahoa!H42</f>
        <v>1268130</v>
      </c>
      <c r="AB58" s="110">
        <f>Tangipahoa!H43</f>
        <v>19448084</v>
      </c>
      <c r="AC58" s="110">
        <f t="shared" ref="AC58:AC61" si="68">SUM(Z58:AB58)</f>
        <v>199431224</v>
      </c>
      <c r="AD58" s="110">
        <f t="shared" si="9"/>
        <v>214590092</v>
      </c>
      <c r="AE58" s="113" t="str">
        <f t="shared" si="5"/>
        <v>ok</v>
      </c>
      <c r="AF58" s="111">
        <f>Tangipahoa!H47</f>
        <v>214590092</v>
      </c>
    </row>
    <row r="59" spans="1:32" ht="15.6">
      <c r="A59" s="56"/>
      <c r="B59" s="3" t="s">
        <v>866</v>
      </c>
      <c r="C59" s="59">
        <f>Tensas!G6</f>
        <v>1759690</v>
      </c>
      <c r="D59" s="59"/>
      <c r="E59" s="59">
        <f>Tensas!G7</f>
        <v>1094058</v>
      </c>
      <c r="F59" s="59"/>
      <c r="G59" s="59">
        <f>Tensas!G11</f>
        <v>8437537</v>
      </c>
      <c r="H59" s="59">
        <f>Tensas!G9+Tensas!G10</f>
        <v>1046616</v>
      </c>
      <c r="I59" s="59">
        <f t="shared" ref="I59" si="69">SUM(C59:H59)</f>
        <v>12337901</v>
      </c>
      <c r="J59" s="113" t="str">
        <f t="shared" si="1"/>
        <v>ok</v>
      </c>
      <c r="K59" s="58">
        <f>Tensas!G13</f>
        <v>12337901</v>
      </c>
      <c r="L59" s="177">
        <f>Tensas!G15</f>
        <v>227905</v>
      </c>
      <c r="M59" s="59">
        <f>Tensas!G18</f>
        <v>307444</v>
      </c>
      <c r="N59" s="59"/>
      <c r="O59" s="59"/>
      <c r="P59" s="59"/>
      <c r="Q59" s="59">
        <f>Tensas!G19</f>
        <v>47165</v>
      </c>
      <c r="R59" s="59">
        <f>Tensas!G21</f>
        <v>68712</v>
      </c>
      <c r="S59" s="59">
        <f>Tensas!G22</f>
        <v>1362849</v>
      </c>
      <c r="T59" s="59">
        <f>Tensas!G23</f>
        <v>75877</v>
      </c>
      <c r="U59" s="59">
        <f t="shared" si="67"/>
        <v>1862047</v>
      </c>
      <c r="V59" s="113" t="str">
        <f t="shared" si="3"/>
        <v>ok</v>
      </c>
      <c r="W59" s="58">
        <f>Tensas!G25</f>
        <v>1862047</v>
      </c>
      <c r="X59" s="60"/>
      <c r="Y59" s="177">
        <f>Tensas!G27</f>
        <v>29043</v>
      </c>
      <c r="Z59" s="59">
        <f>Tensas!G30</f>
        <v>7074688</v>
      </c>
      <c r="AA59" s="59">
        <f>Tensas!G32+Tensas!G33</f>
        <v>1011500</v>
      </c>
      <c r="AB59" s="59">
        <f>Tensas!G34</f>
        <v>2588528</v>
      </c>
      <c r="AC59" s="59">
        <f t="shared" si="68"/>
        <v>10674716</v>
      </c>
      <c r="AD59" s="59">
        <f t="shared" si="9"/>
        <v>12565806</v>
      </c>
      <c r="AE59" s="113" t="str">
        <f t="shared" si="5"/>
        <v>ok</v>
      </c>
      <c r="AF59" s="58">
        <f>Tensas!G38</f>
        <v>12565806</v>
      </c>
    </row>
    <row r="60" spans="1:32" s="104" customFormat="1" ht="15.6">
      <c r="A60" s="108"/>
      <c r="B60" s="109" t="s">
        <v>867</v>
      </c>
      <c r="C60" s="110">
        <f>Terrebonne!H7+Terrebonne!H16</f>
        <v>93967087</v>
      </c>
      <c r="D60" s="110">
        <f>Terrebonne!H8</f>
        <v>56926773</v>
      </c>
      <c r="E60" s="110">
        <f>Terrebonne!H9</f>
        <v>15878382</v>
      </c>
      <c r="F60" s="110">
        <f>Terrebonne!H20+Terrebonne!H21</f>
        <v>346580996</v>
      </c>
      <c r="G60" s="110">
        <f>Terrebonne!H11+Terrebonne!H12</f>
        <v>45722926</v>
      </c>
      <c r="H60" s="110">
        <f>Terrebonne!H10+Terrebonne!H13+Terrebonne!H14</f>
        <v>-3138243</v>
      </c>
      <c r="I60" s="110">
        <f t="shared" ref="I60:I61" si="70">SUM(C60:H60)</f>
        <v>555937921</v>
      </c>
      <c r="J60" s="113" t="str">
        <f t="shared" si="1"/>
        <v>ok</v>
      </c>
      <c r="K60" s="111">
        <f>Terrebonne!H23</f>
        <v>555937921</v>
      </c>
      <c r="L60" s="178"/>
      <c r="M60" s="110">
        <f>Terrebonne!H28+Terrebonne!H29+Terrebonne!H33</f>
        <v>22108959</v>
      </c>
      <c r="N60" s="110"/>
      <c r="O60" s="110"/>
      <c r="P60" s="110"/>
      <c r="Q60" s="110">
        <f>Terrebonne!H30+Terrebonne!H31+Terrebonne!H32</f>
        <v>2837890</v>
      </c>
      <c r="R60" s="110">
        <f>Terrebonne!H35</f>
        <v>6565223</v>
      </c>
      <c r="S60" s="110">
        <f>Terrebonne!H36</f>
        <v>138353865</v>
      </c>
      <c r="T60" s="110"/>
      <c r="U60" s="110">
        <f t="shared" si="67"/>
        <v>169865937</v>
      </c>
      <c r="V60" s="113" t="str">
        <f t="shared" si="3"/>
        <v>ok</v>
      </c>
      <c r="W60" s="111">
        <f>Terrebonne!H38</f>
        <v>169865937</v>
      </c>
      <c r="X60" s="112"/>
      <c r="Y60" s="178">
        <f>Terrebonne!H40</f>
        <v>28281769</v>
      </c>
      <c r="Z60" s="110">
        <f>Terrebonne!H43</f>
        <v>290332613</v>
      </c>
      <c r="AA60" s="110">
        <f>Terrebonne!H45+Terrebonne!H46+Terrebonne!H47+Terrebonne!H48+Terrebonne!H49+Terrebonne!H50+Terrebonne!H51+Terrebonne!H52</f>
        <v>55503037</v>
      </c>
      <c r="AB60" s="110">
        <f>Terrebonne!H57</f>
        <v>11910655</v>
      </c>
      <c r="AC60" s="110">
        <f t="shared" si="68"/>
        <v>357746305</v>
      </c>
      <c r="AD60" s="110">
        <f t="shared" si="9"/>
        <v>555894011</v>
      </c>
      <c r="AE60" s="113" t="str">
        <f t="shared" si="5"/>
        <v>ok</v>
      </c>
      <c r="AF60" s="111">
        <f>Terrebonne!H61</f>
        <v>555894011</v>
      </c>
    </row>
    <row r="61" spans="1:32" ht="15.6">
      <c r="A61" s="56"/>
      <c r="B61" s="3" t="s">
        <v>868</v>
      </c>
      <c r="C61" s="59">
        <f>Union!G6</f>
        <v>7912131</v>
      </c>
      <c r="D61" s="59">
        <f>Union!G7</f>
        <v>7613142</v>
      </c>
      <c r="E61" s="59">
        <f>Union!G8</f>
        <v>4052420</v>
      </c>
      <c r="F61" s="59">
        <f>Union!G9</f>
        <v>11934675</v>
      </c>
      <c r="G61" s="59"/>
      <c r="H61" s="59"/>
      <c r="I61" s="59">
        <f t="shared" si="70"/>
        <v>31512368</v>
      </c>
      <c r="J61" s="113" t="str">
        <f t="shared" si="1"/>
        <v>ok</v>
      </c>
      <c r="K61" s="58">
        <f>Union!G11</f>
        <v>31512368</v>
      </c>
      <c r="L61" s="177">
        <f>Union!G14</f>
        <v>290544</v>
      </c>
      <c r="M61" s="59">
        <f>Union!G23+Union!G18</f>
        <v>969465</v>
      </c>
      <c r="N61" s="59">
        <f>Union!G20</f>
        <v>226337</v>
      </c>
      <c r="O61" s="59">
        <f>Union!G21</f>
        <v>19000</v>
      </c>
      <c r="P61" s="59">
        <f>Union!G22</f>
        <v>198000</v>
      </c>
      <c r="Q61" s="59">
        <f>Union!G19</f>
        <v>385020</v>
      </c>
      <c r="R61" s="59"/>
      <c r="S61" s="59"/>
      <c r="T61" s="59">
        <f>Union!G26+Union!G25+Union!G24+Union!G17</f>
        <v>8841544</v>
      </c>
      <c r="U61" s="59">
        <f>SUM(M61:T61)</f>
        <v>10639366</v>
      </c>
      <c r="V61" s="113" t="str">
        <f t="shared" si="3"/>
        <v>ok</v>
      </c>
      <c r="W61" s="58">
        <f>Union!G28</f>
        <v>10639366</v>
      </c>
      <c r="X61" s="60"/>
      <c r="Y61" s="177">
        <f>Union!G33</f>
        <v>83627</v>
      </c>
      <c r="Z61" s="59">
        <f>Union!G36</f>
        <v>11717675</v>
      </c>
      <c r="AA61" s="59">
        <f>Union!G37</f>
        <v>5251456</v>
      </c>
      <c r="AB61" s="59">
        <f>Union!G38</f>
        <v>4110788</v>
      </c>
      <c r="AC61" s="59">
        <f t="shared" si="68"/>
        <v>21079919</v>
      </c>
      <c r="AD61" s="59">
        <f>SUM(AC61,U61,Y61)</f>
        <v>31802912</v>
      </c>
      <c r="AE61" s="113" t="str">
        <f t="shared" si="5"/>
        <v>ok</v>
      </c>
      <c r="AF61" s="58">
        <f>Union!G42</f>
        <v>31802912</v>
      </c>
    </row>
    <row r="62" spans="1:32" s="104" customFormat="1" ht="15.6">
      <c r="A62" s="108"/>
      <c r="B62" s="109" t="s">
        <v>869</v>
      </c>
      <c r="C62" s="110">
        <f>Vermilion!H7</f>
        <v>57109921</v>
      </c>
      <c r="D62" s="110"/>
      <c r="E62" s="110">
        <f>Vermilion!H8</f>
        <v>676865</v>
      </c>
      <c r="F62" s="110">
        <f>Vermilion!H12</f>
        <v>83915954</v>
      </c>
      <c r="G62" s="110">
        <f>Vermilion!H9+Vermilion!H10</f>
        <v>7336817</v>
      </c>
      <c r="H62" s="110">
        <f>Vermilion!H11</f>
        <v>30558</v>
      </c>
      <c r="I62" s="110">
        <f>SUM(C62:H62)</f>
        <v>149070115</v>
      </c>
      <c r="J62" s="113" t="str">
        <f t="shared" si="1"/>
        <v>ok</v>
      </c>
      <c r="K62" s="111">
        <f>Vermilion!H14</f>
        <v>149070115</v>
      </c>
      <c r="L62" s="178">
        <f>Vermilion!H17</f>
        <v>1170795</v>
      </c>
      <c r="M62" s="110">
        <f>Vermilion!H20+Vermilion!H21+Vermilion!H22+Vermilion!H24</f>
        <v>1351443</v>
      </c>
      <c r="N62" s="110"/>
      <c r="O62" s="110"/>
      <c r="P62" s="110"/>
      <c r="Q62" s="110"/>
      <c r="R62" s="110">
        <f>Vermilion!H28</f>
        <v>390000</v>
      </c>
      <c r="S62" s="110">
        <f>Vermilion!H29</f>
        <v>3235660</v>
      </c>
      <c r="T62" s="110">
        <f>Vermilion!H26+Vermilion!H27</f>
        <v>2275570</v>
      </c>
      <c r="U62" s="110">
        <f t="shared" ref="U62:U63" si="71">SUM(M62:T62)</f>
        <v>7252673</v>
      </c>
      <c r="V62" s="113" t="str">
        <f t="shared" si="3"/>
        <v>ok</v>
      </c>
      <c r="W62" s="111">
        <f>Vermilion!H31</f>
        <v>7252673</v>
      </c>
      <c r="X62" s="112"/>
      <c r="Y62" s="178">
        <f>Vermilion!H36</f>
        <v>877759</v>
      </c>
      <c r="Z62" s="110">
        <f>Vermilion!H39</f>
        <v>82526629</v>
      </c>
      <c r="AA62" s="110">
        <f>Vermilion!H41+Vermilion!H42</f>
        <v>39481758</v>
      </c>
      <c r="AB62" s="110">
        <f>Vermilion!H43</f>
        <v>20102091</v>
      </c>
      <c r="AC62" s="110">
        <f t="shared" ref="AC62:AC63" si="72">SUM(Z62:AB62)</f>
        <v>142110478</v>
      </c>
      <c r="AD62" s="110">
        <f t="shared" si="9"/>
        <v>150240910</v>
      </c>
      <c r="AE62" s="113" t="str">
        <f t="shared" si="5"/>
        <v>ok</v>
      </c>
      <c r="AF62" s="111">
        <f>Vermilion!H47</f>
        <v>150240910</v>
      </c>
    </row>
    <row r="63" spans="1:32" ht="15.6">
      <c r="A63" s="56"/>
      <c r="B63" s="3" t="s">
        <v>870</v>
      </c>
      <c r="C63" s="59">
        <f>Vernon!H7</f>
        <v>16525269</v>
      </c>
      <c r="D63" s="59">
        <f>Vernon!H8</f>
        <v>1246278</v>
      </c>
      <c r="E63" s="59">
        <f>Vernon!H9</f>
        <v>6418537</v>
      </c>
      <c r="F63" s="59">
        <f>Vernon!H12+Vernon!H14+Vernon!H15+Vernon!H16+Vernon!H17</f>
        <v>58449319</v>
      </c>
      <c r="G63" s="59"/>
      <c r="H63" s="59">
        <f>Vernon!P4</f>
        <v>0</v>
      </c>
      <c r="I63" s="59">
        <f t="shared" ref="I63" si="73">SUM(C63:H63)</f>
        <v>82639403</v>
      </c>
      <c r="J63" s="113" t="str">
        <f t="shared" si="1"/>
        <v>ok</v>
      </c>
      <c r="K63" s="58">
        <f>Vernon!H21</f>
        <v>82639403</v>
      </c>
      <c r="L63" s="177">
        <f>Vernon!H19</f>
        <v>20387</v>
      </c>
      <c r="M63" s="59">
        <f>Vernon!H24+Vernon!H25</f>
        <v>1254846</v>
      </c>
      <c r="N63" s="59"/>
      <c r="O63" s="59"/>
      <c r="P63" s="59"/>
      <c r="Q63" s="59"/>
      <c r="R63" s="59">
        <f>Vernon!H27</f>
        <v>942892</v>
      </c>
      <c r="S63" s="59">
        <f>Vernon!H28</f>
        <v>26491506</v>
      </c>
      <c r="T63" s="59"/>
      <c r="U63" s="59">
        <f t="shared" si="71"/>
        <v>28689244</v>
      </c>
      <c r="V63" s="113" t="str">
        <f t="shared" si="3"/>
        <v>ok</v>
      </c>
      <c r="W63" s="58">
        <f>Vernon!H32</f>
        <v>28689244</v>
      </c>
      <c r="X63" s="60"/>
      <c r="Y63" s="177">
        <f>Vernon!H30</f>
        <v>185372</v>
      </c>
      <c r="Z63" s="59">
        <f>Vernon!H35</f>
        <v>48848704</v>
      </c>
      <c r="AA63" s="59">
        <f>Vernon!H38+Vernon!H37</f>
        <v>3616374</v>
      </c>
      <c r="AB63" s="59">
        <f>Vernon!H39</f>
        <v>1320096</v>
      </c>
      <c r="AC63" s="59">
        <f t="shared" si="72"/>
        <v>53785174</v>
      </c>
      <c r="AD63" s="59">
        <f t="shared" si="9"/>
        <v>82659790</v>
      </c>
      <c r="AE63" s="113" t="str">
        <f t="shared" si="5"/>
        <v>ok</v>
      </c>
      <c r="AF63" s="58">
        <f>Vernon!H43</f>
        <v>82659790</v>
      </c>
    </row>
    <row r="64" spans="1:32" s="104" customFormat="1" ht="15.6">
      <c r="A64" s="108"/>
      <c r="B64" s="109" t="s">
        <v>871</v>
      </c>
      <c r="C64" s="110">
        <f>Washington!H7</f>
        <v>3975044</v>
      </c>
      <c r="D64" s="110">
        <f>Washington!H8</f>
        <v>2969821</v>
      </c>
      <c r="E64" s="110">
        <f>Washington!H9+Washington!H10</f>
        <v>5629395</v>
      </c>
      <c r="F64" s="110">
        <f>Washington!H16+Washington!H17+Washington!H18</f>
        <v>38290304</v>
      </c>
      <c r="G64" s="110">
        <f>Washington!H12</f>
        <v>73510</v>
      </c>
      <c r="H64" s="110">
        <f>Washington!H13+Washington!H14</f>
        <v>2426989</v>
      </c>
      <c r="I64" s="110">
        <f t="shared" ref="I64:I65" si="74">SUM(C64:H64)</f>
        <v>53365063</v>
      </c>
      <c r="J64" s="113" t="str">
        <f t="shared" si="1"/>
        <v>ok</v>
      </c>
      <c r="K64" s="111">
        <f>Washington!H20</f>
        <v>53365063</v>
      </c>
      <c r="L64" s="178">
        <f>Washington!H26</f>
        <v>714769</v>
      </c>
      <c r="M64" s="110">
        <f>Washington!H30</f>
        <v>684647</v>
      </c>
      <c r="N64" s="110"/>
      <c r="O64" s="110"/>
      <c r="P64" s="110"/>
      <c r="Q64" s="110">
        <f>Washington!H33</f>
        <v>735348</v>
      </c>
      <c r="R64" s="110">
        <f>Washington!H37</f>
        <v>1589575</v>
      </c>
      <c r="S64" s="110">
        <f>Washington!H38</f>
        <v>1535000</v>
      </c>
      <c r="T64" s="110">
        <f>Washington!H31+Washington!H32+Washington!H34+Washington!H35</f>
        <v>1829621</v>
      </c>
      <c r="U64" s="110">
        <f t="shared" ref="U64:U68" si="75">SUM(M64:T64)</f>
        <v>6374191</v>
      </c>
      <c r="V64" s="113" t="str">
        <f t="shared" si="3"/>
        <v>ok</v>
      </c>
      <c r="W64" s="111">
        <f>Washington!H40</f>
        <v>6374191</v>
      </c>
      <c r="X64" s="112"/>
      <c r="Y64" s="178">
        <f>Washington!H46</f>
        <v>63193</v>
      </c>
      <c r="Z64" s="110">
        <f>Washington!H49</f>
        <v>35259109</v>
      </c>
      <c r="AA64" s="110">
        <f>Washington!H51+Washington!H52+Washington!H53+Washington!H54+Washington!H55+Washington!H56</f>
        <v>10314919</v>
      </c>
      <c r="AB64" s="110">
        <f>Washington!H57</f>
        <v>2068420</v>
      </c>
      <c r="AC64" s="110">
        <f t="shared" ref="AC64:AC68" si="76">SUM(Z64:AB64)</f>
        <v>47642448</v>
      </c>
      <c r="AD64" s="110">
        <f t="shared" si="9"/>
        <v>54079832</v>
      </c>
      <c r="AE64" s="113" t="str">
        <f t="shared" si="5"/>
        <v>ok</v>
      </c>
      <c r="AF64" s="111">
        <f>Washington!H61</f>
        <v>54079832</v>
      </c>
    </row>
    <row r="65" spans="1:33" ht="15.6">
      <c r="A65" s="56"/>
      <c r="B65" s="3" t="s">
        <v>872</v>
      </c>
      <c r="C65" s="59">
        <f>Webster!H7</f>
        <v>4888461</v>
      </c>
      <c r="D65" s="59">
        <f>Webster!H8</f>
        <v>6218447</v>
      </c>
      <c r="E65" s="59">
        <f>Webster!H9</f>
        <v>6087509</v>
      </c>
      <c r="F65" s="59">
        <f>Webster!H11+Webster!H12</f>
        <v>12511813</v>
      </c>
      <c r="G65" s="59"/>
      <c r="H65" s="59">
        <f>Webster!H10</f>
        <v>301660</v>
      </c>
      <c r="I65" s="59">
        <f t="shared" si="74"/>
        <v>30007890</v>
      </c>
      <c r="J65" s="113" t="str">
        <f t="shared" si="1"/>
        <v>ok</v>
      </c>
      <c r="K65" s="58">
        <f>Webster!H14</f>
        <v>30007890</v>
      </c>
      <c r="L65" s="177">
        <f>Webster!H18</f>
        <v>732297</v>
      </c>
      <c r="M65" s="59">
        <f>Webster!H21+Webster!H22+Webster!H23</f>
        <v>453696</v>
      </c>
      <c r="N65" s="59"/>
      <c r="O65" s="59"/>
      <c r="P65" s="59"/>
      <c r="Q65" s="59">
        <f>Webster!H24</f>
        <v>159042</v>
      </c>
      <c r="R65" s="59">
        <f>Webster!H27</f>
        <v>440773</v>
      </c>
      <c r="S65" s="59">
        <f>Webster!H28</f>
        <v>3699514</v>
      </c>
      <c r="T65" s="59">
        <f>Webster!H25</f>
        <v>45918</v>
      </c>
      <c r="U65" s="59">
        <f t="shared" si="75"/>
        <v>4798943</v>
      </c>
      <c r="V65" s="113" t="str">
        <f t="shared" si="3"/>
        <v>ok</v>
      </c>
      <c r="W65" s="58">
        <f>Webster!H30</f>
        <v>4798943</v>
      </c>
      <c r="X65" s="60"/>
      <c r="Y65" s="177">
        <f>Webster!H34</f>
        <v>93626</v>
      </c>
      <c r="Z65" s="59">
        <f>Webster!H37</f>
        <v>12291749</v>
      </c>
      <c r="AA65" s="59">
        <f>Webster!H39+Webster!H40+Webster!H41+Webster!H42+Webster!H43+Webster!H44+Webster!H45</f>
        <v>7168275</v>
      </c>
      <c r="AB65" s="59">
        <f>Webster!H46</f>
        <v>4386594</v>
      </c>
      <c r="AC65" s="59">
        <f t="shared" si="76"/>
        <v>23846618</v>
      </c>
      <c r="AD65" s="59">
        <f t="shared" si="9"/>
        <v>28739187</v>
      </c>
      <c r="AE65" s="113" t="str">
        <f t="shared" si="5"/>
        <v>ok</v>
      </c>
      <c r="AF65" s="58">
        <f>Webster!H50</f>
        <v>28739187</v>
      </c>
    </row>
    <row r="66" spans="1:33" s="104" customFormat="1" ht="15.6">
      <c r="A66" s="108"/>
      <c r="B66" s="109" t="s">
        <v>873</v>
      </c>
      <c r="C66" s="110">
        <f>'West Baton Rouge'!G7+'West Baton Rouge'!G11</f>
        <v>10566854</v>
      </c>
      <c r="D66" s="110">
        <f>'West Baton Rouge'!G8+'West Baton Rouge'!G9</f>
        <v>21271469</v>
      </c>
      <c r="E66" s="110">
        <f>'West Baton Rouge'!G10+'West Baton Rouge'!G13</f>
        <v>8388769</v>
      </c>
      <c r="F66" s="110">
        <f>'West Baton Rouge'!G15+'West Baton Rouge'!G16</f>
        <v>64082141</v>
      </c>
      <c r="G66" s="110">
        <f>'West Baton Rouge'!G12</f>
        <v>1876766</v>
      </c>
      <c r="H66" s="110"/>
      <c r="I66" s="110">
        <f>SUM(C66:H66)</f>
        <v>106185999</v>
      </c>
      <c r="J66" s="113" t="str">
        <f t="shared" si="1"/>
        <v>ok</v>
      </c>
      <c r="K66" s="111">
        <f>'West Baton Rouge'!G18</f>
        <v>106185999</v>
      </c>
      <c r="L66" s="178">
        <f>'West Baton Rouge'!G21</f>
        <v>1658855</v>
      </c>
      <c r="M66" s="110">
        <f>'West Baton Rouge'!G24</f>
        <v>817207</v>
      </c>
      <c r="N66" s="110"/>
      <c r="O66" s="110"/>
      <c r="P66" s="110"/>
      <c r="Q66" s="110"/>
      <c r="R66" s="110">
        <f>'West Baton Rouge'!G26</f>
        <v>352000</v>
      </c>
      <c r="S66" s="110">
        <f>'West Baton Rouge'!G27</f>
        <v>9116320</v>
      </c>
      <c r="T66" s="110">
        <f>'West Baton Rouge'!G28</f>
        <v>581665</v>
      </c>
      <c r="U66" s="110">
        <f t="shared" si="75"/>
        <v>10867192</v>
      </c>
      <c r="V66" s="113" t="str">
        <f t="shared" si="3"/>
        <v>ok</v>
      </c>
      <c r="W66" s="111">
        <f>'West Baton Rouge'!G30</f>
        <v>10867192</v>
      </c>
      <c r="X66" s="112"/>
      <c r="Y66" s="178">
        <f>'West Baton Rouge'!G36</f>
        <v>9685812</v>
      </c>
      <c r="Z66" s="110">
        <f>'West Baton Rouge'!G39</f>
        <v>60257141</v>
      </c>
      <c r="AA66" s="110">
        <f>'West Baton Rouge'!G41+'West Baton Rouge'!G42</f>
        <v>439232</v>
      </c>
      <c r="AB66" s="110">
        <f>'West Baton Rouge'!G43</f>
        <v>26595477</v>
      </c>
      <c r="AC66" s="110">
        <f t="shared" si="76"/>
        <v>87291850</v>
      </c>
      <c r="AD66" s="110">
        <f>SUM(U66+AC66)</f>
        <v>98159042</v>
      </c>
      <c r="AE66" s="113" t="str">
        <f t="shared" si="5"/>
        <v>ok</v>
      </c>
      <c r="AF66" s="111">
        <f>'West Baton Rouge'!G47</f>
        <v>98159042</v>
      </c>
    </row>
    <row r="67" spans="1:33" ht="15.6">
      <c r="A67" s="56"/>
      <c r="B67" s="3" t="s">
        <v>874</v>
      </c>
      <c r="C67" s="59">
        <f>'West Carroll'!H7</f>
        <v>6646178</v>
      </c>
      <c r="D67" s="59"/>
      <c r="E67" s="59">
        <f>'West Carroll'!H8</f>
        <v>1224084</v>
      </c>
      <c r="F67" s="59">
        <f>'West Carroll'!H10</f>
        <v>13933687</v>
      </c>
      <c r="G67" s="59"/>
      <c r="H67" s="59">
        <f>'West Carroll'!H9</f>
        <v>871963</v>
      </c>
      <c r="I67" s="59">
        <f t="shared" ref="I67" si="77">SUM(C67:H67)</f>
        <v>22675912</v>
      </c>
      <c r="J67" s="113" t="str">
        <f t="shared" si="1"/>
        <v>ok</v>
      </c>
      <c r="K67" s="58">
        <f>'West Carroll'!H12</f>
        <v>22675912</v>
      </c>
      <c r="L67" s="83">
        <f>'West Carroll'!H28</f>
        <v>24649</v>
      </c>
      <c r="M67" s="59">
        <f>'West Carroll'!H18</f>
        <v>201775</v>
      </c>
      <c r="N67" s="59">
        <f>'West Carroll'!H19</f>
        <v>99400</v>
      </c>
      <c r="O67" s="59"/>
      <c r="P67" s="59"/>
      <c r="Q67" s="59"/>
      <c r="R67" s="59">
        <f>'West Carroll'!H20</f>
        <v>14133</v>
      </c>
      <c r="S67" s="59">
        <f>'West Carroll'!H21</f>
        <v>67339</v>
      </c>
      <c r="T67" s="59">
        <f>'West Carroll'!H22+'West Carroll'!H23</f>
        <v>2706523</v>
      </c>
      <c r="U67" s="59">
        <f t="shared" si="75"/>
        <v>3089170</v>
      </c>
      <c r="V67" s="113" t="str">
        <f t="shared" si="3"/>
        <v>ok</v>
      </c>
      <c r="W67" s="58">
        <f>'West Carroll'!H25</f>
        <v>3089170</v>
      </c>
      <c r="X67" s="60"/>
      <c r="Z67" s="59">
        <f>'West Carroll'!H31</f>
        <v>13852215</v>
      </c>
      <c r="AA67" s="59">
        <f>'West Carroll'!H33+'West Carroll'!H34+'West Carroll'!H35+'West Carroll'!H36+'West Carroll'!H37+'West Carroll'!H38</f>
        <v>7530932</v>
      </c>
      <c r="AB67" s="59">
        <f>'West Carroll'!H39</f>
        <v>-1719041</v>
      </c>
      <c r="AC67" s="59">
        <f t="shared" si="76"/>
        <v>19664106</v>
      </c>
      <c r="AD67" s="59">
        <f t="shared" si="9"/>
        <v>22753276</v>
      </c>
      <c r="AE67" s="113" t="str">
        <f t="shared" si="5"/>
        <v>ok</v>
      </c>
      <c r="AF67" s="58">
        <f>'West Carroll'!H43</f>
        <v>22753276</v>
      </c>
    </row>
    <row r="68" spans="1:33" s="104" customFormat="1" ht="15.6">
      <c r="A68" s="108"/>
      <c r="B68" s="109" t="s">
        <v>875</v>
      </c>
      <c r="C68" s="110">
        <f>'West Feliciana'!H7+'West Feliciana'!H17</f>
        <v>110793</v>
      </c>
      <c r="D68" s="110">
        <f>'West Feliciana'!H19+'West Feliciana'!H9</f>
        <v>11302254</v>
      </c>
      <c r="E68" s="110">
        <f>'West Feliciana'!H12+'West Feliciana'!H10</f>
        <v>409937</v>
      </c>
      <c r="F68" s="110">
        <f>'West Feliciana'!H21+'West Feliciana'!H22</f>
        <v>19449220</v>
      </c>
      <c r="G68" s="110">
        <f>'West Feliciana'!H11</f>
        <v>138401</v>
      </c>
      <c r="H68" s="110">
        <f>'West Feliciana'!H15</f>
        <v>178716</v>
      </c>
      <c r="I68" s="110">
        <f>SUM(C68:H68)</f>
        <v>31589321</v>
      </c>
      <c r="J68" s="113" t="str">
        <f t="shared" si="1"/>
        <v>ok</v>
      </c>
      <c r="K68" s="111">
        <f>'West Feliciana'!H24</f>
        <v>31589321</v>
      </c>
      <c r="L68" s="224"/>
      <c r="M68" s="110">
        <f>'West Feliciana'!H28</f>
        <v>457756</v>
      </c>
      <c r="N68" s="110"/>
      <c r="O68" s="110"/>
      <c r="P68" s="110"/>
      <c r="Q68" s="110"/>
      <c r="R68" s="110">
        <f>'West Feliciana'!H33</f>
        <v>202787</v>
      </c>
      <c r="S68" s="110">
        <f>'West Feliciana'!H34</f>
        <v>3573051</v>
      </c>
      <c r="T68" s="110">
        <f>'West Feliciana'!H29+'West Feliciana'!H31+'West Feliciana'!H35</f>
        <v>225890</v>
      </c>
      <c r="U68" s="110">
        <f t="shared" si="75"/>
        <v>4459484</v>
      </c>
      <c r="V68" s="113" t="str">
        <f t="shared" si="3"/>
        <v>ok</v>
      </c>
      <c r="W68" s="111">
        <f>'West Feliciana'!H37</f>
        <v>4459484</v>
      </c>
      <c r="X68" s="112"/>
      <c r="Y68" s="224"/>
      <c r="Z68" s="110">
        <f>'West Feliciana'!H41</f>
        <v>16144220</v>
      </c>
      <c r="AA68" s="110">
        <f>'West Feliciana'!H43+'West Feliciana'!H44+'West Feliciana'!H45+'West Feliciana'!H46+'West Feliciana'!H47</f>
        <v>5008729</v>
      </c>
      <c r="AB68" s="110">
        <f>'West Feliciana'!H48</f>
        <v>6075121</v>
      </c>
      <c r="AC68" s="110">
        <f t="shared" si="76"/>
        <v>27228070</v>
      </c>
      <c r="AD68" s="110">
        <f t="shared" si="9"/>
        <v>31687554</v>
      </c>
      <c r="AE68" s="113" t="str">
        <f t="shared" si="5"/>
        <v>ok</v>
      </c>
      <c r="AF68" s="111">
        <f>'West Feliciana'!H52</f>
        <v>31687554</v>
      </c>
    </row>
    <row r="69" spans="1:33" s="155" customFormat="1" ht="15.6">
      <c r="A69" s="210"/>
      <c r="B69" s="211" t="s">
        <v>876</v>
      </c>
      <c r="C69" s="212">
        <f>Winn!H7</f>
        <v>2488883</v>
      </c>
      <c r="D69" s="212"/>
      <c r="E69" s="212">
        <f>Winn!H8</f>
        <v>2915973</v>
      </c>
      <c r="F69" s="212">
        <f>Winn!H11+Winn!H12+Winn!H14+Winn!H15+Winn!H16</f>
        <v>7434890</v>
      </c>
      <c r="G69" s="212"/>
      <c r="H69" s="212"/>
      <c r="I69" s="212">
        <f>SUM(C69:H69)</f>
        <v>12839746</v>
      </c>
      <c r="J69" s="113" t="str">
        <f t="shared" si="1"/>
        <v>ok</v>
      </c>
      <c r="K69" s="213">
        <f>Winn!H19</f>
        <v>12839746</v>
      </c>
      <c r="L69" s="218">
        <f>Winn!H17</f>
        <v>297779</v>
      </c>
      <c r="M69" s="212">
        <f>Winn!H22+Winn!H23</f>
        <v>1269482</v>
      </c>
      <c r="N69" s="212"/>
      <c r="O69" s="212"/>
      <c r="P69" s="212"/>
      <c r="Q69" s="212"/>
      <c r="R69" s="212">
        <f>Winn!H26</f>
        <v>235000</v>
      </c>
      <c r="S69" s="212">
        <f>Winn!H27</f>
        <v>1639848</v>
      </c>
      <c r="T69" s="212"/>
      <c r="U69" s="212">
        <f t="shared" ref="U69" si="78">SUM(M69:T69)</f>
        <v>3144330</v>
      </c>
      <c r="V69" s="113" t="str">
        <f t="shared" si="3"/>
        <v>ok</v>
      </c>
      <c r="W69" s="213">
        <f>Winn!H29</f>
        <v>3144330</v>
      </c>
      <c r="X69" s="215"/>
      <c r="Y69" s="218">
        <f>Winn!H30</f>
        <v>0</v>
      </c>
      <c r="Z69" s="212">
        <f>Winn!H33</f>
        <v>5649891</v>
      </c>
      <c r="AA69" s="212"/>
      <c r="AB69" s="212">
        <f>Winn!H34</f>
        <v>4268692</v>
      </c>
      <c r="AC69" s="212">
        <f t="shared" ref="AC69" si="79">SUM(Z69:AB69)</f>
        <v>9918583</v>
      </c>
      <c r="AD69" s="59">
        <f t="shared" si="9"/>
        <v>13062913</v>
      </c>
      <c r="AE69" s="113" t="str">
        <f t="shared" si="5"/>
        <v>ok</v>
      </c>
      <c r="AF69" s="213">
        <f>Winn!H38</f>
        <v>13062913</v>
      </c>
    </row>
    <row r="70" spans="1:33" ht="15.6">
      <c r="A70" s="56"/>
      <c r="J70" s="113" t="str">
        <f t="shared" ref="J70" si="80">IF(I70=K70, "ok", "check")</f>
        <v>ok</v>
      </c>
      <c r="AG70" s="61"/>
    </row>
    <row r="71" spans="1:33" s="3" customFormat="1" ht="15.6">
      <c r="A71" s="62"/>
      <c r="B71" s="63" t="s">
        <v>877</v>
      </c>
      <c r="C71" s="64">
        <f t="shared" ref="C71:H71" si="81">SUM(C8:C8)</f>
        <v>32250738</v>
      </c>
      <c r="D71" s="64">
        <f t="shared" si="81"/>
        <v>135507608</v>
      </c>
      <c r="E71" s="64">
        <f t="shared" si="81"/>
        <v>35732327</v>
      </c>
      <c r="F71" s="64">
        <f t="shared" si="81"/>
        <v>227315163</v>
      </c>
      <c r="G71" s="64">
        <f t="shared" si="81"/>
        <v>5417238</v>
      </c>
      <c r="H71" s="64">
        <f t="shared" si="81"/>
        <v>251838</v>
      </c>
      <c r="I71" s="74">
        <f>SUM(I6:I69)</f>
        <v>10801469131</v>
      </c>
      <c r="J71" s="75" t="str">
        <f t="shared" ref="J71" si="82">IF(I71=K71, "ok", "check")</f>
        <v>ok</v>
      </c>
      <c r="K71" s="66">
        <f>SUM(K6:K70)</f>
        <v>10801469131</v>
      </c>
      <c r="L71" s="66" t="e">
        <f>SUM(L6:L70)</f>
        <v>#REF!</v>
      </c>
      <c r="M71" s="66">
        <f t="shared" ref="M71:T71" si="83">SUM(M8:M8)</f>
        <v>8246829</v>
      </c>
      <c r="N71" s="67">
        <f t="shared" si="83"/>
        <v>0</v>
      </c>
      <c r="O71" s="66">
        <f t="shared" si="83"/>
        <v>354297</v>
      </c>
      <c r="P71" s="66">
        <f t="shared" si="83"/>
        <v>904237</v>
      </c>
      <c r="Q71" s="66">
        <f t="shared" si="83"/>
        <v>472207</v>
      </c>
      <c r="R71" s="66">
        <f t="shared" si="83"/>
        <v>5546774</v>
      </c>
      <c r="S71" s="66">
        <f t="shared" si="83"/>
        <v>81229155</v>
      </c>
      <c r="T71" s="66">
        <f t="shared" si="83"/>
        <v>5910689</v>
      </c>
      <c r="U71" s="66">
        <f>SUM(U6:U69)</f>
        <v>3538385351</v>
      </c>
      <c r="V71" s="65" t="str">
        <f>IF(U71=W71, "ok", "check")</f>
        <v>ok</v>
      </c>
      <c r="W71" s="66">
        <f>SUM(W6:W70)</f>
        <v>3538385351</v>
      </c>
      <c r="X71" s="66" t="e">
        <f>SUM(#REF!)</f>
        <v>#REF!</v>
      </c>
      <c r="Y71" s="66">
        <f>SUM(Y6:Y70)</f>
        <v>160938817</v>
      </c>
      <c r="Z71" s="124">
        <f>SUM(Z8:Z70)</f>
        <v>5398702176</v>
      </c>
      <c r="AA71" s="66">
        <f>SUM(AA8:AA70)</f>
        <v>1697680851</v>
      </c>
      <c r="AB71" s="66">
        <f>SUM(AB8:AB70)</f>
        <v>160121499</v>
      </c>
      <c r="AC71" s="66">
        <f>SUM(AC8:AC70)</f>
        <v>7256504526</v>
      </c>
      <c r="AD71" s="66">
        <f>SUM(AD6:AD70)</f>
        <v>11031267697</v>
      </c>
      <c r="AE71" s="65" t="str">
        <f>IF(AD71=AF71, "ok", "check")</f>
        <v>ok</v>
      </c>
      <c r="AF71" s="66">
        <f>SUM(AF6:AF70)</f>
        <v>11031267697</v>
      </c>
    </row>
    <row r="72" spans="1:33">
      <c r="J72"/>
    </row>
    <row r="73" spans="1:33">
      <c r="B73" t="s">
        <v>878</v>
      </c>
      <c r="J73"/>
    </row>
    <row r="74" spans="1:33">
      <c r="J74"/>
    </row>
    <row r="75" spans="1:33">
      <c r="J75"/>
    </row>
    <row r="76" spans="1:33">
      <c r="J76"/>
    </row>
    <row r="77" spans="1:33">
      <c r="J77"/>
    </row>
    <row r="78" spans="1:33">
      <c r="J78"/>
    </row>
    <row r="79" spans="1:33">
      <c r="J79"/>
    </row>
    <row r="80" spans="1:33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 ht="15"/>
    <row r="315" spans="10:10" ht="15"/>
  </sheetData>
  <mergeCells count="2">
    <mergeCell ref="A3:B3"/>
    <mergeCell ref="A4:B4"/>
  </mergeCells>
  <pageMargins left="0.7" right="0.7" top="0.75" bottom="0.75" header="0.3" footer="0.3"/>
  <pageSetup orientation="portrait"/>
  <ignoredErrors>
    <ignoredError sqref="AD66 AD11 I48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800000"/>
  </sheetPr>
  <dimension ref="A1:NN315"/>
  <sheetViews>
    <sheetView topLeftCell="Y21" zoomScale="70" zoomScaleNormal="70" zoomScalePageLayoutView="50" workbookViewId="0">
      <selection activeCell="AD31" sqref="AD31:AD34"/>
    </sheetView>
  </sheetViews>
  <sheetFormatPr defaultColWidth="8.85546875" defaultRowHeight="14.45"/>
  <cols>
    <col min="1" max="1" width="12.7109375" bestFit="1" customWidth="1"/>
    <col min="2" max="2" width="25.28515625" customWidth="1"/>
    <col min="3" max="3" width="13.85546875" bestFit="1" customWidth="1"/>
    <col min="4" max="5" width="15.140625" bestFit="1" customWidth="1"/>
    <col min="6" max="6" width="16.28515625" bestFit="1" customWidth="1"/>
    <col min="7" max="7" width="13.85546875" bestFit="1" customWidth="1"/>
    <col min="8" max="8" width="14.7109375" bestFit="1" customWidth="1"/>
    <col min="9" max="9" width="21" bestFit="1" customWidth="1"/>
    <col min="10" max="10" width="11.7109375" style="70" customWidth="1"/>
    <col min="11" max="11" width="19.42578125" customWidth="1"/>
    <col min="12" max="12" width="18.85546875" bestFit="1" customWidth="1"/>
    <col min="13" max="13" width="37.28515625" bestFit="1" customWidth="1"/>
    <col min="14" max="14" width="36.85546875" bestFit="1" customWidth="1"/>
    <col min="15" max="15" width="35.7109375" bestFit="1" customWidth="1"/>
    <col min="16" max="16" width="24.42578125" bestFit="1" customWidth="1"/>
    <col min="17" max="17" width="24.28515625" bestFit="1" customWidth="1"/>
    <col min="18" max="18" width="37.28515625" bestFit="1" customWidth="1"/>
    <col min="19" max="19" width="17" bestFit="1" customWidth="1"/>
    <col min="20" max="20" width="23.7109375" bestFit="1" customWidth="1"/>
    <col min="21" max="21" width="11.7109375" bestFit="1" customWidth="1"/>
    <col min="22" max="22" width="16.42578125" customWidth="1"/>
    <col min="23" max="23" width="17.28515625" hidden="1" customWidth="1"/>
    <col min="24" max="24" width="17.28515625" customWidth="1"/>
    <col min="25" max="25" width="48" bestFit="1" customWidth="1"/>
    <col min="26" max="26" width="19.42578125" bestFit="1" customWidth="1"/>
    <col min="27" max="27" width="21.42578125" bestFit="1" customWidth="1"/>
    <col min="28" max="28" width="25.140625" bestFit="1" customWidth="1"/>
    <col min="29" max="29" width="39.42578125" bestFit="1" customWidth="1"/>
    <col min="30" max="30" width="11.7109375" bestFit="1" customWidth="1"/>
    <col min="31" max="31" width="17.42578125" customWidth="1"/>
    <col min="32" max="32" width="19.7109375" hidden="1" customWidth="1"/>
  </cols>
  <sheetData>
    <row r="1" spans="1:378" ht="15.95" thickBot="1">
      <c r="A1" s="11" t="s">
        <v>788</v>
      </c>
      <c r="B1" s="11"/>
      <c r="C1" s="12"/>
      <c r="D1" s="12"/>
      <c r="E1" s="12"/>
      <c r="F1" s="12"/>
      <c r="G1" s="12"/>
      <c r="H1" s="12"/>
      <c r="I1" s="12"/>
      <c r="J1" s="71"/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3"/>
      <c r="W1" s="14"/>
      <c r="Y1" s="16"/>
      <c r="Z1" s="17"/>
      <c r="AA1" s="17"/>
      <c r="AB1" s="17"/>
      <c r="AC1" s="17"/>
      <c r="AD1" s="17"/>
      <c r="AE1" s="18"/>
      <c r="AF1" s="19"/>
    </row>
    <row r="2" spans="1:378" ht="17.45" thickBot="1">
      <c r="B2" s="20"/>
      <c r="C2" s="21" t="s">
        <v>789</v>
      </c>
      <c r="D2" s="22"/>
      <c r="E2" s="22"/>
      <c r="F2" s="22"/>
      <c r="G2" s="22"/>
      <c r="H2" s="22"/>
      <c r="I2" s="22"/>
      <c r="J2" s="72"/>
      <c r="K2" s="24"/>
      <c r="L2" s="25"/>
      <c r="M2" s="26" t="s">
        <v>790</v>
      </c>
      <c r="N2" s="25"/>
      <c r="O2" s="25"/>
      <c r="P2" s="25"/>
      <c r="Q2" s="25"/>
      <c r="R2" s="27" t="s">
        <v>791</v>
      </c>
      <c r="S2" s="28"/>
      <c r="T2" s="25"/>
      <c r="U2" s="25"/>
      <c r="V2" s="23"/>
      <c r="W2" s="24"/>
      <c r="X2" s="61"/>
      <c r="Y2" s="29"/>
      <c r="Z2" s="30" t="s">
        <v>792</v>
      </c>
      <c r="AA2" s="16"/>
      <c r="AB2" s="16"/>
      <c r="AC2" s="16"/>
      <c r="AD2" s="16"/>
      <c r="AE2" s="31"/>
      <c r="AF2" s="32"/>
    </row>
    <row r="3" spans="1:378" ht="29.45" thickBot="1">
      <c r="A3" s="282" t="s">
        <v>793</v>
      </c>
      <c r="B3" s="283"/>
      <c r="C3" s="33" t="s">
        <v>232</v>
      </c>
      <c r="D3" s="34" t="s">
        <v>8</v>
      </c>
      <c r="E3" s="35" t="s">
        <v>50</v>
      </c>
      <c r="F3" s="36" t="s">
        <v>254</v>
      </c>
      <c r="G3" s="69" t="s">
        <v>794</v>
      </c>
      <c r="H3" s="37" t="s">
        <v>795</v>
      </c>
      <c r="I3" s="38" t="s">
        <v>796</v>
      </c>
      <c r="J3" s="73" t="s">
        <v>797</v>
      </c>
      <c r="K3" s="40" t="s">
        <v>797</v>
      </c>
      <c r="L3" s="41" t="s">
        <v>798</v>
      </c>
      <c r="M3" s="42" t="s">
        <v>799</v>
      </c>
      <c r="N3" s="43" t="s">
        <v>800</v>
      </c>
      <c r="O3" s="35" t="s">
        <v>801</v>
      </c>
      <c r="P3" s="68" t="s">
        <v>802</v>
      </c>
      <c r="Q3" s="44" t="s">
        <v>803</v>
      </c>
      <c r="R3" s="45" t="s">
        <v>804</v>
      </c>
      <c r="S3" s="37" t="s">
        <v>805</v>
      </c>
      <c r="T3" s="46" t="s">
        <v>806</v>
      </c>
      <c r="U3" s="39" t="s">
        <v>797</v>
      </c>
      <c r="V3" s="40" t="s">
        <v>797</v>
      </c>
      <c r="W3" s="47"/>
      <c r="X3" s="219" t="s">
        <v>879</v>
      </c>
      <c r="Y3" s="48" t="s">
        <v>807</v>
      </c>
      <c r="Z3" s="49" t="s">
        <v>663</v>
      </c>
      <c r="AA3" s="50" t="s">
        <v>808</v>
      </c>
      <c r="AB3" s="51" t="s">
        <v>809</v>
      </c>
      <c r="AC3" s="52" t="s">
        <v>810</v>
      </c>
      <c r="AD3" s="39" t="s">
        <v>797</v>
      </c>
      <c r="AE3" s="40" t="s">
        <v>797</v>
      </c>
    </row>
    <row r="4" spans="1:378" ht="15.95" thickBot="1">
      <c r="A4" s="284" t="s">
        <v>811</v>
      </c>
      <c r="B4" s="285"/>
      <c r="J4" s="53"/>
      <c r="K4" s="54"/>
      <c r="U4" s="53"/>
      <c r="V4" s="54"/>
      <c r="W4" s="55" t="s">
        <v>812</v>
      </c>
      <c r="X4" s="55"/>
      <c r="AD4" s="53"/>
      <c r="AE4" s="54"/>
    </row>
    <row r="5" spans="1:378" ht="15.6">
      <c r="A5" s="56"/>
      <c r="B5" s="57" t="s">
        <v>813</v>
      </c>
      <c r="J5" s="53"/>
      <c r="K5" s="54"/>
      <c r="U5" s="53"/>
      <c r="V5" s="54"/>
      <c r="W5" s="55"/>
      <c r="X5" s="55"/>
      <c r="AD5" s="53"/>
      <c r="AE5" s="54"/>
    </row>
    <row r="6" spans="1:378" s="104" customFormat="1" ht="15.6">
      <c r="A6" s="108"/>
      <c r="B6" s="109" t="s">
        <v>814</v>
      </c>
      <c r="C6" s="110">
        <v>0</v>
      </c>
      <c r="D6" s="110">
        <v>0</v>
      </c>
      <c r="E6" s="110">
        <v>0</v>
      </c>
      <c r="F6" s="110">
        <v>0</v>
      </c>
      <c r="G6" s="110">
        <v>0</v>
      </c>
      <c r="H6" s="110">
        <v>0</v>
      </c>
      <c r="I6" s="110">
        <f t="shared" ref="I6:I7" si="0">SUM(C6:H6)</f>
        <v>0</v>
      </c>
      <c r="J6" s="113" t="str">
        <f t="shared" ref="J6:J37" si="1">IF(I6=K6, "ok", "check")</f>
        <v>ok</v>
      </c>
      <c r="K6" s="111">
        <v>0</v>
      </c>
      <c r="L6" s="110">
        <v>0</v>
      </c>
      <c r="M6" s="110">
        <v>0</v>
      </c>
      <c r="N6" s="110">
        <v>0</v>
      </c>
      <c r="O6" s="110">
        <v>0</v>
      </c>
      <c r="P6" s="110">
        <v>0</v>
      </c>
      <c r="Q6" s="110">
        <v>0</v>
      </c>
      <c r="R6" s="110">
        <v>0</v>
      </c>
      <c r="S6" s="110">
        <v>0</v>
      </c>
      <c r="T6" s="110">
        <f t="shared" ref="T6:T7" si="2">SUM(L6:S6)</f>
        <v>0</v>
      </c>
      <c r="U6" s="113" t="str">
        <f t="shared" ref="U6:U23" si="3">IF(T6=V6, "ok", "check")</f>
        <v>ok</v>
      </c>
      <c r="V6" s="111">
        <v>0</v>
      </c>
      <c r="W6" s="112"/>
      <c r="X6" s="178"/>
      <c r="Y6" s="110">
        <v>0</v>
      </c>
      <c r="Z6" s="110">
        <v>0</v>
      </c>
      <c r="AA6" s="110">
        <v>0</v>
      </c>
      <c r="AB6" s="110">
        <f t="shared" ref="AB6:AB7" si="4">SUM(Y6:AA6)</f>
        <v>0</v>
      </c>
      <c r="AC6" s="110">
        <f t="shared" ref="AC6:AC37" si="5">SUM(AB6,T6+X6)</f>
        <v>0</v>
      </c>
      <c r="AD6" s="113" t="str">
        <f t="shared" ref="AD6:AD31" si="6">IF(AC6=AE6, "ok", "check")</f>
        <v>ok</v>
      </c>
      <c r="AE6" s="111">
        <v>0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</row>
    <row r="7" spans="1:378" ht="15.6">
      <c r="A7" s="56"/>
      <c r="B7" s="3" t="s">
        <v>815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59">
        <f t="shared" si="0"/>
        <v>0</v>
      </c>
      <c r="J7" s="113" t="str">
        <f t="shared" si="1"/>
        <v>ok</v>
      </c>
      <c r="K7" s="58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f t="shared" si="2"/>
        <v>0</v>
      </c>
      <c r="U7" s="113" t="str">
        <f t="shared" si="3"/>
        <v>ok</v>
      </c>
      <c r="V7" s="58">
        <v>0</v>
      </c>
      <c r="W7" s="60"/>
      <c r="X7" s="177"/>
      <c r="Y7" s="59">
        <v>0</v>
      </c>
      <c r="Z7" s="59">
        <v>0</v>
      </c>
      <c r="AA7" s="59">
        <v>0</v>
      </c>
      <c r="AB7" s="59">
        <f t="shared" si="4"/>
        <v>0</v>
      </c>
      <c r="AC7" s="59">
        <f t="shared" si="5"/>
        <v>0</v>
      </c>
      <c r="AD7" s="113" t="str">
        <f t="shared" si="6"/>
        <v>ok</v>
      </c>
      <c r="AE7" s="58">
        <v>0</v>
      </c>
    </row>
    <row r="8" spans="1:378" s="104" customFormat="1" ht="15.6">
      <c r="A8" s="108"/>
      <c r="B8" s="109" t="s">
        <v>816</v>
      </c>
      <c r="C8" s="110">
        <f>Ascension!J8</f>
        <v>3967892</v>
      </c>
      <c r="D8" s="110">
        <f>Ascension!J9</f>
        <v>10561966</v>
      </c>
      <c r="E8" s="110">
        <f>Ascension!J10</f>
        <v>257762</v>
      </c>
      <c r="F8" s="110">
        <f>Ascension!J17+Ascension!J18</f>
        <v>11290023</v>
      </c>
      <c r="G8" s="110">
        <f>Ascension!J11</f>
        <v>51244</v>
      </c>
      <c r="H8" s="110">
        <f>Ascension!J12+Ascension!J13+Ascension!J14+Ascension!J15</f>
        <v>313230</v>
      </c>
      <c r="I8" s="110">
        <f t="shared" ref="I8:I15" si="7">SUM(C8:H8)</f>
        <v>26442117</v>
      </c>
      <c r="J8" s="113" t="str">
        <f t="shared" si="1"/>
        <v>ok</v>
      </c>
      <c r="K8" s="111">
        <f>Ascension!J20</f>
        <v>26442117</v>
      </c>
      <c r="L8" s="110">
        <f>Ascension!J31</f>
        <v>733139</v>
      </c>
      <c r="M8" s="110">
        <v>0</v>
      </c>
      <c r="N8" s="110"/>
      <c r="O8" s="110"/>
      <c r="P8" s="110"/>
      <c r="Q8" s="110"/>
      <c r="R8" s="110">
        <f>Ascension!J45</f>
        <v>1607</v>
      </c>
      <c r="S8" s="110">
        <f>Ascension!J34+Ascension!J35+Ascension!J37</f>
        <v>110997</v>
      </c>
      <c r="T8" s="110">
        <f t="shared" ref="T8:T15" si="8">SUM(L8:S8)</f>
        <v>845743</v>
      </c>
      <c r="U8" s="113" t="str">
        <f t="shared" si="3"/>
        <v>ok</v>
      </c>
      <c r="V8" s="111">
        <f>Ascension!J47</f>
        <v>845743</v>
      </c>
      <c r="W8" s="112"/>
      <c r="X8" s="178">
        <f>Ascension!J50</f>
        <v>15572</v>
      </c>
      <c r="Y8" s="110">
        <f>Ascension!J55</f>
        <v>11290023</v>
      </c>
      <c r="Z8" s="110"/>
      <c r="AA8" s="110">
        <f>Ascension!J64</f>
        <v>14365889</v>
      </c>
      <c r="AB8" s="110">
        <f t="shared" ref="AB8:AB15" si="9">SUM(Y8:AA8)</f>
        <v>25655912</v>
      </c>
      <c r="AC8" s="110">
        <f t="shared" si="5"/>
        <v>26517227</v>
      </c>
      <c r="AD8" s="113" t="str">
        <f t="shared" si="6"/>
        <v>ok</v>
      </c>
      <c r="AE8" s="111">
        <f>Ascension!J68</f>
        <v>26517227</v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</row>
    <row r="9" spans="1:378" ht="15.6">
      <c r="A9" s="56"/>
      <c r="B9" s="3" t="s">
        <v>817</v>
      </c>
      <c r="C9" s="59"/>
      <c r="D9" s="59"/>
      <c r="E9" s="59"/>
      <c r="F9" s="59"/>
      <c r="G9" s="59"/>
      <c r="H9" s="59"/>
      <c r="I9" s="59">
        <f t="shared" si="7"/>
        <v>0</v>
      </c>
      <c r="J9" s="113" t="str">
        <f t="shared" si="1"/>
        <v>ok</v>
      </c>
      <c r="K9" s="58"/>
      <c r="L9" s="59"/>
      <c r="M9" s="59"/>
      <c r="N9" s="59"/>
      <c r="O9" s="59"/>
      <c r="P9" s="59"/>
      <c r="Q9" s="59"/>
      <c r="R9" s="59"/>
      <c r="S9" s="59"/>
      <c r="T9" s="59">
        <f t="shared" si="8"/>
        <v>0</v>
      </c>
      <c r="U9" s="113" t="str">
        <f t="shared" si="3"/>
        <v>ok</v>
      </c>
      <c r="V9" s="58"/>
      <c r="W9" s="60"/>
      <c r="X9" s="177"/>
      <c r="Y9" s="59"/>
      <c r="Z9" s="59"/>
      <c r="AA9" s="59"/>
      <c r="AB9" s="59"/>
      <c r="AC9" s="59">
        <f t="shared" si="5"/>
        <v>0</v>
      </c>
      <c r="AD9" s="113" t="str">
        <f t="shared" si="6"/>
        <v>check</v>
      </c>
      <c r="AE9" s="58">
        <f>Assumption!H45</f>
        <v>71130227</v>
      </c>
    </row>
    <row r="10" spans="1:378" s="104" customFormat="1" ht="15.6">
      <c r="A10" s="108"/>
      <c r="B10" s="109" t="s">
        <v>818</v>
      </c>
      <c r="C10" s="110"/>
      <c r="D10" s="110"/>
      <c r="E10" s="110"/>
      <c r="F10" s="110"/>
      <c r="G10" s="110"/>
      <c r="H10" s="110"/>
      <c r="I10" s="110">
        <f t="shared" si="7"/>
        <v>0</v>
      </c>
      <c r="J10" s="113" t="str">
        <f t="shared" si="1"/>
        <v>ok</v>
      </c>
      <c r="K10" s="111"/>
      <c r="L10" s="110"/>
      <c r="M10" s="110"/>
      <c r="N10" s="110"/>
      <c r="O10" s="110"/>
      <c r="P10" s="110"/>
      <c r="Q10" s="110"/>
      <c r="R10" s="110"/>
      <c r="S10" s="110"/>
      <c r="T10" s="110">
        <f t="shared" si="8"/>
        <v>0</v>
      </c>
      <c r="U10" s="113" t="str">
        <f t="shared" si="3"/>
        <v>ok</v>
      </c>
      <c r="V10" s="111"/>
      <c r="W10" s="112"/>
      <c r="X10" s="178"/>
      <c r="Y10" s="110"/>
      <c r="Z10" s="110">
        <v>0</v>
      </c>
      <c r="AA10" s="110"/>
      <c r="AB10" s="110"/>
      <c r="AC10" s="110">
        <f t="shared" si="5"/>
        <v>0</v>
      </c>
      <c r="AD10" s="113" t="str">
        <f t="shared" si="6"/>
        <v>ok</v>
      </c>
      <c r="AE10" s="111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</row>
    <row r="11" spans="1:378" ht="15.6">
      <c r="A11" s="56"/>
      <c r="B11" s="3" t="s">
        <v>819</v>
      </c>
      <c r="C11" s="59">
        <v>0</v>
      </c>
      <c r="D11" s="59">
        <v>0</v>
      </c>
      <c r="E11" s="59"/>
      <c r="F11" s="59"/>
      <c r="G11" s="59"/>
      <c r="H11" s="59"/>
      <c r="I11" s="59">
        <f t="shared" si="7"/>
        <v>0</v>
      </c>
      <c r="J11" s="113" t="str">
        <f t="shared" si="1"/>
        <v>ok</v>
      </c>
      <c r="K11" s="58">
        <v>0</v>
      </c>
      <c r="L11" s="59"/>
      <c r="M11" s="59"/>
      <c r="N11" s="59"/>
      <c r="O11" s="59"/>
      <c r="P11" s="59"/>
      <c r="Q11" s="59"/>
      <c r="R11" s="59"/>
      <c r="S11" s="59"/>
      <c r="T11" s="59">
        <f t="shared" si="8"/>
        <v>0</v>
      </c>
      <c r="U11" s="113" t="str">
        <f t="shared" si="3"/>
        <v>ok</v>
      </c>
      <c r="V11" s="58">
        <v>0</v>
      </c>
      <c r="W11" s="60"/>
      <c r="X11" s="177"/>
      <c r="Y11" s="59">
        <v>0</v>
      </c>
      <c r="Z11" s="59">
        <v>0</v>
      </c>
      <c r="AA11" s="59">
        <v>0</v>
      </c>
      <c r="AB11" s="59">
        <f t="shared" si="9"/>
        <v>0</v>
      </c>
      <c r="AC11" s="59">
        <f t="shared" si="5"/>
        <v>0</v>
      </c>
      <c r="AD11" s="113" t="str">
        <f t="shared" si="6"/>
        <v>ok</v>
      </c>
      <c r="AE11" s="58">
        <v>0</v>
      </c>
    </row>
    <row r="12" spans="1:378" s="104" customFormat="1" ht="15.6">
      <c r="A12" s="108"/>
      <c r="B12" s="109" t="s">
        <v>820</v>
      </c>
      <c r="C12" s="110">
        <v>0</v>
      </c>
      <c r="D12" s="110">
        <v>0</v>
      </c>
      <c r="E12" s="110"/>
      <c r="F12" s="110"/>
      <c r="G12" s="110"/>
      <c r="H12" s="110"/>
      <c r="I12" s="110">
        <f t="shared" si="7"/>
        <v>0</v>
      </c>
      <c r="J12" s="113" t="str">
        <f t="shared" si="1"/>
        <v>ok</v>
      </c>
      <c r="K12" s="111"/>
      <c r="L12" s="110"/>
      <c r="M12" s="110"/>
      <c r="N12" s="110"/>
      <c r="O12" s="110"/>
      <c r="P12" s="110"/>
      <c r="Q12" s="110"/>
      <c r="R12" s="110"/>
      <c r="S12" s="110"/>
      <c r="T12" s="110">
        <f t="shared" si="8"/>
        <v>0</v>
      </c>
      <c r="U12" s="113" t="str">
        <f t="shared" si="3"/>
        <v>ok</v>
      </c>
      <c r="V12" s="111">
        <v>0</v>
      </c>
      <c r="W12" s="112"/>
      <c r="X12" s="178"/>
      <c r="Y12" s="110">
        <v>0</v>
      </c>
      <c r="Z12" s="110">
        <v>0</v>
      </c>
      <c r="AA12" s="110">
        <v>0</v>
      </c>
      <c r="AB12" s="110">
        <f t="shared" si="9"/>
        <v>0</v>
      </c>
      <c r="AC12" s="110">
        <f t="shared" si="5"/>
        <v>0</v>
      </c>
      <c r="AD12" s="113" t="str">
        <f t="shared" si="6"/>
        <v>ok</v>
      </c>
      <c r="AE12" s="111">
        <v>0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</row>
    <row r="13" spans="1:378" ht="15.6">
      <c r="A13" s="56"/>
      <c r="B13" s="3" t="s">
        <v>821</v>
      </c>
      <c r="C13" s="59">
        <f>Bossier!I7+Bossier!I8</f>
        <v>1257137</v>
      </c>
      <c r="D13" s="59">
        <f>Bossier!I9</f>
        <v>0</v>
      </c>
      <c r="E13" s="59">
        <f>Bossier!I11</f>
        <v>308664</v>
      </c>
      <c r="F13" s="59">
        <f>Bossier!I14+Bossier!I15</f>
        <v>40636055</v>
      </c>
      <c r="G13" s="59"/>
      <c r="H13" s="59">
        <f>Bossier!I12+Bossier!I16</f>
        <v>-8059856</v>
      </c>
      <c r="I13" s="59">
        <f t="shared" si="7"/>
        <v>34142000</v>
      </c>
      <c r="J13" s="113" t="str">
        <f t="shared" si="1"/>
        <v>ok</v>
      </c>
      <c r="K13" s="58">
        <f>Bossier!I18</f>
        <v>34142000</v>
      </c>
      <c r="L13" s="59">
        <f>Bossier!I25</f>
        <v>1147352</v>
      </c>
      <c r="M13" s="59"/>
      <c r="N13" s="59"/>
      <c r="O13" s="59"/>
      <c r="P13" s="59"/>
      <c r="Q13" s="59">
        <f>Bossier!I29</f>
        <v>492000</v>
      </c>
      <c r="R13" s="59">
        <f>Bossier!I30:I30</f>
        <v>17765150</v>
      </c>
      <c r="S13" s="59">
        <f>Bossier!I27</f>
        <v>125647</v>
      </c>
      <c r="T13" s="59">
        <f t="shared" si="8"/>
        <v>19530149</v>
      </c>
      <c r="U13" s="113" t="str">
        <f t="shared" si="3"/>
        <v>ok</v>
      </c>
      <c r="V13" s="58">
        <f>Bossier!I32</f>
        <v>19530149</v>
      </c>
      <c r="W13" s="60"/>
      <c r="X13" s="177">
        <f>Bossier!I38</f>
        <v>5369</v>
      </c>
      <c r="Y13" s="59">
        <f>Bossier!I41</f>
        <v>14213969</v>
      </c>
      <c r="Z13" s="59"/>
      <c r="AA13" s="59">
        <f>Bossier!I51</f>
        <v>454924</v>
      </c>
      <c r="AB13" s="59">
        <f t="shared" si="9"/>
        <v>14668893</v>
      </c>
      <c r="AC13" s="59">
        <f t="shared" si="5"/>
        <v>34204411</v>
      </c>
      <c r="AD13" s="113" t="str">
        <f t="shared" si="6"/>
        <v>ok</v>
      </c>
      <c r="AE13" s="58">
        <f>Bossier!I55</f>
        <v>34204411</v>
      </c>
    </row>
    <row r="14" spans="1:378" s="104" customFormat="1">
      <c r="B14" s="109" t="s">
        <v>822</v>
      </c>
      <c r="C14" s="110"/>
      <c r="D14" s="110"/>
      <c r="E14" s="110"/>
      <c r="F14" s="110"/>
      <c r="G14" s="110"/>
      <c r="H14" s="110"/>
      <c r="I14" s="110">
        <f t="shared" si="7"/>
        <v>0</v>
      </c>
      <c r="J14" s="113" t="str">
        <f t="shared" si="1"/>
        <v>ok</v>
      </c>
      <c r="K14" s="111"/>
      <c r="L14" s="110"/>
      <c r="M14" s="110"/>
      <c r="N14" s="110"/>
      <c r="O14" s="110"/>
      <c r="P14" s="110"/>
      <c r="Q14" s="110"/>
      <c r="R14" s="110"/>
      <c r="S14" s="110"/>
      <c r="T14" s="110">
        <f t="shared" si="8"/>
        <v>0</v>
      </c>
      <c r="U14" s="113" t="str">
        <f t="shared" si="3"/>
        <v>ok</v>
      </c>
      <c r="V14" s="111"/>
      <c r="W14" s="112"/>
      <c r="X14" s="178"/>
      <c r="Y14" s="110"/>
      <c r="Z14" s="110"/>
      <c r="AA14" s="110"/>
      <c r="AB14" s="110">
        <f t="shared" si="9"/>
        <v>0</v>
      </c>
      <c r="AC14" s="110">
        <f t="shared" si="5"/>
        <v>0</v>
      </c>
      <c r="AD14" s="113" t="str">
        <f t="shared" si="6"/>
        <v>ok</v>
      </c>
      <c r="AE14" s="111">
        <v>0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</row>
    <row r="15" spans="1:378" ht="15.6">
      <c r="A15" s="56"/>
      <c r="B15" s="3" t="s">
        <v>823</v>
      </c>
      <c r="C15" s="59">
        <f>Calcasieu!I7+Calcasieu!I18+Calcasieu!I19+Calcasieu!I20</f>
        <v>776166</v>
      </c>
      <c r="D15" s="59">
        <f>Calcasieu!I8</f>
        <v>1534237</v>
      </c>
      <c r="E15" s="59">
        <f>Calcasieu!I9+Calcasieu!I10+Calcasieu!I13</f>
        <v>584395</v>
      </c>
      <c r="F15" s="59">
        <f>Calcasieu!I22+Calcasieu!I23</f>
        <v>9908015</v>
      </c>
      <c r="G15" s="59">
        <f>Calcasieu!I11</f>
        <v>-4408</v>
      </c>
      <c r="H15" s="59">
        <f>Calcasieu!I14+Calcasieu!I15+Calcasieu!I16</f>
        <v>27061</v>
      </c>
      <c r="I15" s="59">
        <f t="shared" si="7"/>
        <v>12825466</v>
      </c>
      <c r="J15" s="113" t="str">
        <f t="shared" si="1"/>
        <v>ok</v>
      </c>
      <c r="K15" s="58">
        <f>Calcasieu!I25</f>
        <v>12825466</v>
      </c>
      <c r="L15" s="59">
        <f>Calcasieu!I34+Calcasieu!I35</f>
        <v>188157</v>
      </c>
      <c r="M15" s="59"/>
      <c r="N15" s="59"/>
      <c r="O15" s="59"/>
      <c r="P15" s="59">
        <f>Calcasieu!I36</f>
        <v>0</v>
      </c>
      <c r="Q15" s="59">
        <f>Calcasieu!I41</f>
        <v>42456</v>
      </c>
      <c r="R15" s="59">
        <f>Calcasieu!I42</f>
        <v>232004</v>
      </c>
      <c r="S15" s="59">
        <f>Calcasieu!I39</f>
        <v>169443</v>
      </c>
      <c r="T15" s="59">
        <f t="shared" si="8"/>
        <v>632060</v>
      </c>
      <c r="U15" s="113" t="str">
        <f t="shared" si="3"/>
        <v>ok</v>
      </c>
      <c r="V15" s="58">
        <f>Calcasieu!I44</f>
        <v>632060</v>
      </c>
      <c r="W15" s="60"/>
      <c r="X15" s="177"/>
      <c r="Y15" s="59">
        <f>Calcasieu!I54</f>
        <v>9633555</v>
      </c>
      <c r="Z15" s="59">
        <f>Calcasieu!I57+Calcasieu!I58+Calcasieu!I56</f>
        <v>287228</v>
      </c>
      <c r="AA15" s="59">
        <f>Calcasieu!I59</f>
        <v>2272623</v>
      </c>
      <c r="AB15" s="59">
        <f t="shared" si="9"/>
        <v>12193406</v>
      </c>
      <c r="AC15" s="59">
        <f t="shared" si="5"/>
        <v>12825466</v>
      </c>
      <c r="AD15" s="113" t="str">
        <f t="shared" si="6"/>
        <v>ok</v>
      </c>
      <c r="AE15" s="58">
        <f>Calcasieu!I63</f>
        <v>12825466</v>
      </c>
    </row>
    <row r="16" spans="1:378" s="104" customFormat="1">
      <c r="B16" s="109" t="s">
        <v>824</v>
      </c>
      <c r="C16" s="110">
        <v>0</v>
      </c>
      <c r="D16" s="110">
        <v>0</v>
      </c>
      <c r="E16" s="110"/>
      <c r="F16" s="110"/>
      <c r="G16" s="110"/>
      <c r="H16" s="110"/>
      <c r="I16" s="110">
        <f t="shared" ref="I16:I43" si="10">SUM(C16:H16)</f>
        <v>0</v>
      </c>
      <c r="J16" s="113" t="str">
        <f t="shared" si="1"/>
        <v>ok</v>
      </c>
      <c r="K16" s="111"/>
      <c r="L16" s="110"/>
      <c r="M16" s="110"/>
      <c r="N16" s="110"/>
      <c r="O16" s="110"/>
      <c r="P16" s="110"/>
      <c r="Q16" s="110"/>
      <c r="R16" s="110"/>
      <c r="S16" s="110"/>
      <c r="T16" s="110">
        <f t="shared" ref="T16:T21" si="11">SUM(L16:S16)</f>
        <v>0</v>
      </c>
      <c r="U16" s="113" t="str">
        <f t="shared" si="3"/>
        <v>ok</v>
      </c>
      <c r="V16" s="111"/>
      <c r="W16" s="112"/>
      <c r="X16" s="178"/>
      <c r="Y16" s="110"/>
      <c r="Z16" s="110"/>
      <c r="AA16" s="110"/>
      <c r="AB16" s="110">
        <f t="shared" ref="AB16:AB21" si="12">SUM(Y16:AA16)</f>
        <v>0</v>
      </c>
      <c r="AC16" s="110">
        <f t="shared" si="5"/>
        <v>0</v>
      </c>
      <c r="AD16" s="113" t="str">
        <f t="shared" si="6"/>
        <v>ok</v>
      </c>
      <c r="AE16" s="111">
        <v>0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</row>
    <row r="17" spans="1:378" ht="15.6">
      <c r="A17" s="56"/>
      <c r="B17" s="3" t="s">
        <v>825</v>
      </c>
      <c r="C17" s="59">
        <v>0</v>
      </c>
      <c r="D17" s="59"/>
      <c r="E17" s="59"/>
      <c r="F17" s="59"/>
      <c r="G17" s="59"/>
      <c r="H17" s="59"/>
      <c r="I17" s="59">
        <f t="shared" si="10"/>
        <v>0</v>
      </c>
      <c r="J17" s="113" t="str">
        <f t="shared" si="1"/>
        <v>ok</v>
      </c>
      <c r="K17" s="58"/>
      <c r="L17" s="59"/>
      <c r="M17" s="59"/>
      <c r="N17" s="59"/>
      <c r="O17" s="59"/>
      <c r="P17" s="59"/>
      <c r="Q17" s="59"/>
      <c r="R17" s="59"/>
      <c r="S17" s="59"/>
      <c r="T17" s="59">
        <f t="shared" si="11"/>
        <v>0</v>
      </c>
      <c r="U17" s="113" t="str">
        <f t="shared" si="3"/>
        <v>ok</v>
      </c>
      <c r="V17" s="58"/>
      <c r="W17" s="60"/>
      <c r="X17" s="177"/>
      <c r="Y17" s="59"/>
      <c r="Z17" s="59"/>
      <c r="AA17" s="59"/>
      <c r="AB17" s="59">
        <f t="shared" si="12"/>
        <v>0</v>
      </c>
      <c r="AC17" s="59">
        <f t="shared" si="5"/>
        <v>0</v>
      </c>
      <c r="AD17" s="113" t="str">
        <f t="shared" si="6"/>
        <v>ok</v>
      </c>
      <c r="AE17" s="58">
        <v>0</v>
      </c>
    </row>
    <row r="18" spans="1:378" s="104" customFormat="1" ht="15.6">
      <c r="A18" s="108"/>
      <c r="B18" s="109" t="s">
        <v>826</v>
      </c>
      <c r="C18" s="110">
        <v>0</v>
      </c>
      <c r="D18" s="110"/>
      <c r="E18" s="110"/>
      <c r="F18" s="110"/>
      <c r="G18" s="110"/>
      <c r="H18" s="110"/>
      <c r="I18" s="110">
        <f t="shared" si="10"/>
        <v>0</v>
      </c>
      <c r="J18" s="113" t="str">
        <f t="shared" si="1"/>
        <v>ok</v>
      </c>
      <c r="K18" s="111"/>
      <c r="L18" s="110"/>
      <c r="M18" s="110"/>
      <c r="N18" s="110"/>
      <c r="O18" s="110"/>
      <c r="P18" s="110"/>
      <c r="Q18" s="110"/>
      <c r="R18" s="110"/>
      <c r="S18" s="110"/>
      <c r="T18" s="110">
        <f t="shared" si="11"/>
        <v>0</v>
      </c>
      <c r="U18" s="113" t="str">
        <f t="shared" si="3"/>
        <v>ok</v>
      </c>
      <c r="V18" s="111"/>
      <c r="W18" s="112"/>
      <c r="X18" s="178"/>
      <c r="Y18" s="110"/>
      <c r="Z18" s="110"/>
      <c r="AA18" s="110"/>
      <c r="AB18" s="110">
        <f t="shared" si="12"/>
        <v>0</v>
      </c>
      <c r="AC18" s="110">
        <f t="shared" si="5"/>
        <v>0</v>
      </c>
      <c r="AD18" s="113" t="str">
        <f t="shared" si="6"/>
        <v>ok</v>
      </c>
      <c r="AE18" s="111">
        <v>0</v>
      </c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</row>
    <row r="19" spans="1:378" ht="15.6">
      <c r="A19" s="56"/>
      <c r="B19" s="3" t="s">
        <v>827</v>
      </c>
      <c r="C19" s="59">
        <v>0</v>
      </c>
      <c r="D19" s="59">
        <v>0</v>
      </c>
      <c r="E19" s="59"/>
      <c r="F19" s="59"/>
      <c r="G19" s="59"/>
      <c r="H19" s="59"/>
      <c r="I19" s="59">
        <f t="shared" si="10"/>
        <v>0</v>
      </c>
      <c r="J19" s="113" t="str">
        <f t="shared" si="1"/>
        <v>ok</v>
      </c>
      <c r="K19" s="58"/>
      <c r="L19" s="59"/>
      <c r="M19" s="59"/>
      <c r="N19" s="59"/>
      <c r="O19" s="59"/>
      <c r="P19" s="59"/>
      <c r="Q19" s="59"/>
      <c r="R19" s="59"/>
      <c r="S19" s="59"/>
      <c r="T19" s="59">
        <f t="shared" si="11"/>
        <v>0</v>
      </c>
      <c r="U19" s="113" t="str">
        <f t="shared" si="3"/>
        <v>ok</v>
      </c>
      <c r="V19" s="58"/>
      <c r="W19" s="60"/>
      <c r="X19" s="177"/>
      <c r="Y19" s="59"/>
      <c r="Z19" s="59"/>
      <c r="AA19" s="59"/>
      <c r="AB19" s="59">
        <f t="shared" si="12"/>
        <v>0</v>
      </c>
      <c r="AC19" s="59">
        <f t="shared" si="5"/>
        <v>0</v>
      </c>
      <c r="AD19" s="113" t="str">
        <f t="shared" si="6"/>
        <v>ok</v>
      </c>
      <c r="AE19" s="58">
        <v>0</v>
      </c>
    </row>
    <row r="20" spans="1:378" s="104" customFormat="1" ht="15.6">
      <c r="A20" s="108"/>
      <c r="B20" s="109" t="s">
        <v>828</v>
      </c>
      <c r="C20" s="110">
        <v>0</v>
      </c>
      <c r="D20" s="110">
        <v>0</v>
      </c>
      <c r="E20" s="110"/>
      <c r="F20" s="110"/>
      <c r="G20" s="110"/>
      <c r="H20" s="110"/>
      <c r="I20" s="110">
        <f t="shared" si="10"/>
        <v>0</v>
      </c>
      <c r="J20" s="113" t="str">
        <f t="shared" si="1"/>
        <v>ok</v>
      </c>
      <c r="K20" s="111"/>
      <c r="L20" s="110"/>
      <c r="M20" s="110"/>
      <c r="N20" s="110"/>
      <c r="O20" s="110"/>
      <c r="P20" s="110"/>
      <c r="Q20" s="110"/>
      <c r="R20" s="110"/>
      <c r="S20" s="110"/>
      <c r="T20" s="110">
        <f t="shared" si="11"/>
        <v>0</v>
      </c>
      <c r="U20" s="113" t="str">
        <f t="shared" si="3"/>
        <v>ok</v>
      </c>
      <c r="V20" s="111"/>
      <c r="W20" s="112"/>
      <c r="X20" s="178"/>
      <c r="Y20" s="110"/>
      <c r="Z20" s="110"/>
      <c r="AA20" s="110"/>
      <c r="AB20" s="110">
        <f t="shared" si="12"/>
        <v>0</v>
      </c>
      <c r="AC20" s="110">
        <f t="shared" si="5"/>
        <v>0</v>
      </c>
      <c r="AD20" s="113" t="str">
        <f t="shared" si="6"/>
        <v>ok</v>
      </c>
      <c r="AE20" s="111">
        <v>0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</row>
    <row r="21" spans="1:378" ht="15.6">
      <c r="A21" s="56"/>
      <c r="B21" s="3" t="s">
        <v>829</v>
      </c>
      <c r="C21" s="59">
        <f>DeSoto!I7</f>
        <v>36131</v>
      </c>
      <c r="D21" s="59">
        <v>0</v>
      </c>
      <c r="E21" s="59">
        <f>DeSoto!I9</f>
        <v>2154</v>
      </c>
      <c r="F21" s="59">
        <f>DeSoto!I11</f>
        <v>21965</v>
      </c>
      <c r="G21" s="59"/>
      <c r="H21" s="59">
        <f>DeSoto!I10</f>
        <v>0</v>
      </c>
      <c r="I21" s="59">
        <f t="shared" si="10"/>
        <v>60250</v>
      </c>
      <c r="J21" s="113" t="str">
        <f t="shared" si="1"/>
        <v>ok</v>
      </c>
      <c r="K21" s="58">
        <f>DeSoto!I13</f>
        <v>60250</v>
      </c>
      <c r="L21" s="59">
        <f>DeSoto!I19</f>
        <v>1538</v>
      </c>
      <c r="M21" s="59"/>
      <c r="N21" s="59"/>
      <c r="O21" s="59"/>
      <c r="P21" s="59"/>
      <c r="Q21" s="59"/>
      <c r="R21" s="59"/>
      <c r="S21" s="59">
        <f>DeSoto!I20+DeSoto!I21+DeSoto!I22+DeSoto!I24+DeSoto!I26</f>
        <v>270</v>
      </c>
      <c r="T21" s="59">
        <f t="shared" si="11"/>
        <v>1808</v>
      </c>
      <c r="U21" s="113" t="str">
        <f t="shared" si="3"/>
        <v>ok</v>
      </c>
      <c r="V21" s="58">
        <f>DeSoto!I31</f>
        <v>1808</v>
      </c>
      <c r="W21" s="60"/>
      <c r="X21" s="177"/>
      <c r="Y21" s="59">
        <f>DeSoto!I36</f>
        <v>21965</v>
      </c>
      <c r="Z21" s="59"/>
      <c r="AA21" s="59">
        <f>DeSoto!I38</f>
        <v>36477</v>
      </c>
      <c r="AB21" s="59">
        <f t="shared" si="12"/>
        <v>58442</v>
      </c>
      <c r="AC21" s="59">
        <f t="shared" si="5"/>
        <v>60250</v>
      </c>
      <c r="AD21" s="113" t="str">
        <f t="shared" si="6"/>
        <v>ok</v>
      </c>
      <c r="AE21" s="58">
        <f>DeSoto!I42</f>
        <v>60250</v>
      </c>
    </row>
    <row r="22" spans="1:378" s="104" customFormat="1" ht="15.6">
      <c r="A22" s="108"/>
      <c r="B22" s="109" t="s">
        <v>830</v>
      </c>
      <c r="C22" s="110">
        <f>'East Baton Rouge'!I8</f>
        <v>79289820</v>
      </c>
      <c r="D22" s="110">
        <f>'East Baton Rouge'!I9</f>
        <v>118482692</v>
      </c>
      <c r="E22" s="110">
        <f>'East Baton Rouge'!I10+'East Baton Rouge'!I13</f>
        <v>16288427</v>
      </c>
      <c r="F22" s="110">
        <f>'East Baton Rouge'!I22+'East Baton Rouge'!I23</f>
        <v>1880580957</v>
      </c>
      <c r="G22" s="110">
        <f>'East Baton Rouge'!I11</f>
        <v>2817878</v>
      </c>
      <c r="H22" s="110">
        <f>'East Baton Rouge'!I12+'East Baton Rouge'!I14+'East Baton Rouge'!I17+'East Baton Rouge'!I18+'East Baton Rouge'!I19+'East Baton Rouge'!I20</f>
        <v>368552892</v>
      </c>
      <c r="I22" s="110">
        <f t="shared" si="10"/>
        <v>2466012666</v>
      </c>
      <c r="J22" s="113" t="str">
        <f t="shared" si="1"/>
        <v>ok</v>
      </c>
      <c r="K22" s="111">
        <f>'East Baton Rouge'!I25</f>
        <v>2466012666</v>
      </c>
      <c r="L22" s="110">
        <f>'East Baton Rouge'!I35</f>
        <v>50174496</v>
      </c>
      <c r="M22" s="110"/>
      <c r="N22" s="110"/>
      <c r="O22" s="110"/>
      <c r="P22" s="110"/>
      <c r="Q22" s="110">
        <f>'East Baton Rouge'!I43</f>
        <v>14070175</v>
      </c>
      <c r="R22" s="110">
        <f>'East Baton Rouge'!I44</f>
        <v>1683809809</v>
      </c>
      <c r="S22" s="110">
        <f>'East Baton Rouge'!I36+'East Baton Rouge'!I38+'East Baton Rouge'!I39+'East Baton Rouge'!I40</f>
        <v>33355039</v>
      </c>
      <c r="T22" s="110">
        <f t="shared" ref="T22:T26" si="13">SUM(L22:S22)</f>
        <v>1781409519</v>
      </c>
      <c r="U22" s="113" t="str">
        <f t="shared" si="3"/>
        <v>ok</v>
      </c>
      <c r="V22" s="111">
        <f>'East Baton Rouge'!I46</f>
        <v>1781409519</v>
      </c>
      <c r="W22" s="112"/>
      <c r="X22" s="178">
        <f>'East Baton Rouge'!I51</f>
        <v>566897</v>
      </c>
      <c r="Y22" s="110">
        <f>'East Baton Rouge'!I54</f>
        <v>652390880</v>
      </c>
      <c r="Z22" s="110">
        <f>'East Baton Rouge'!I56+'East Baton Rouge'!I57+'East Baton Rouge'!I58+'East Baton Rouge'!I59</f>
        <v>136123013</v>
      </c>
      <c r="AA22" s="110">
        <f>'East Baton Rouge'!I60</f>
        <v>35333291</v>
      </c>
      <c r="AB22" s="110">
        <f t="shared" ref="AB22:AB25" si="14">SUM(Y22:AA22)</f>
        <v>823847184</v>
      </c>
      <c r="AC22" s="110">
        <f t="shared" si="5"/>
        <v>2605823600</v>
      </c>
      <c r="AD22" s="113" t="str">
        <f t="shared" si="6"/>
        <v>ok</v>
      </c>
      <c r="AE22" s="111">
        <f>'East Baton Rouge'!I64</f>
        <v>2605823600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</row>
    <row r="23" spans="1:378">
      <c r="B23" s="3" t="s">
        <v>831</v>
      </c>
      <c r="C23" s="59">
        <f>'East Carroll'!I7+'East Carroll'!I11</f>
        <v>45361</v>
      </c>
      <c r="D23" s="59"/>
      <c r="E23" s="59">
        <f>'East Carroll'!I9</f>
        <v>2197</v>
      </c>
      <c r="F23" s="59"/>
      <c r="G23" s="59"/>
      <c r="H23" s="59">
        <f>'East Carroll'!I10</f>
        <v>1189</v>
      </c>
      <c r="I23" s="59">
        <f t="shared" si="10"/>
        <v>48747</v>
      </c>
      <c r="J23" s="113" t="str">
        <f t="shared" si="1"/>
        <v>ok</v>
      </c>
      <c r="K23" s="58">
        <f>'East Carroll'!I15</f>
        <v>48747</v>
      </c>
      <c r="L23" s="59">
        <f>'East Carroll'!I22+'East Carroll'!I23</f>
        <v>339</v>
      </c>
      <c r="M23" s="59"/>
      <c r="N23" s="59"/>
      <c r="O23" s="59"/>
      <c r="P23" s="59"/>
      <c r="Q23" s="59">
        <f>'East Carroll'!I25</f>
        <v>489</v>
      </c>
      <c r="R23" s="59">
        <f>'East Carroll'!I26</f>
        <v>1431</v>
      </c>
      <c r="S23" s="59"/>
      <c r="T23" s="59">
        <f t="shared" si="13"/>
        <v>2259</v>
      </c>
      <c r="U23" s="113" t="str">
        <f t="shared" si="3"/>
        <v>ok</v>
      </c>
      <c r="V23" s="58">
        <f>'East Carroll'!I28</f>
        <v>2259</v>
      </c>
      <c r="W23" s="60"/>
      <c r="X23" s="177">
        <f>'East Carroll'!I32</f>
        <v>952</v>
      </c>
      <c r="Y23" s="59"/>
      <c r="Z23" s="59">
        <f>'East Carroll'!I46</f>
        <v>10050</v>
      </c>
      <c r="AA23" s="59">
        <f>'East Carroll'!I47</f>
        <v>42423</v>
      </c>
      <c r="AB23" s="59">
        <f t="shared" si="14"/>
        <v>52473</v>
      </c>
      <c r="AC23" s="59">
        <f t="shared" si="5"/>
        <v>55684</v>
      </c>
      <c r="AD23" s="113" t="str">
        <f t="shared" si="6"/>
        <v>ok</v>
      </c>
      <c r="AE23" s="58">
        <f>'East Carroll'!I51</f>
        <v>55684</v>
      </c>
    </row>
    <row r="24" spans="1:378" s="120" customFormat="1" ht="15.6">
      <c r="A24" s="115"/>
      <c r="B24" s="116" t="s">
        <v>832</v>
      </c>
      <c r="C24" s="117">
        <v>0</v>
      </c>
      <c r="D24" s="117"/>
      <c r="E24" s="117"/>
      <c r="F24" s="117"/>
      <c r="G24" s="117"/>
      <c r="H24" s="117"/>
      <c r="I24" s="117">
        <f t="shared" ref="I24" si="15">SUM(C24:H24)</f>
        <v>0</v>
      </c>
      <c r="J24" s="113" t="str">
        <f t="shared" si="1"/>
        <v>ok</v>
      </c>
      <c r="K24" s="118"/>
      <c r="L24" s="117"/>
      <c r="M24" s="117"/>
      <c r="N24" s="117"/>
      <c r="O24" s="117"/>
      <c r="P24" s="117"/>
      <c r="Q24" s="117"/>
      <c r="R24" s="117"/>
      <c r="S24" s="117"/>
      <c r="T24" s="117">
        <f t="shared" ref="T24" si="16">SUM(L24:S24)</f>
        <v>0</v>
      </c>
      <c r="U24" s="113" t="str">
        <f t="shared" ref="U24" si="17">IF(T24=V24, "ok", "check")</f>
        <v>ok</v>
      </c>
      <c r="V24" s="118"/>
      <c r="W24" s="119"/>
      <c r="X24" s="233"/>
      <c r="Y24" s="117"/>
      <c r="Z24" s="117"/>
      <c r="AA24" s="117"/>
      <c r="AB24" s="117">
        <f t="shared" ref="AB24" si="18">SUM(Y24:AA24)</f>
        <v>0</v>
      </c>
      <c r="AC24" s="110">
        <f t="shared" si="5"/>
        <v>0</v>
      </c>
      <c r="AD24" s="113" t="str">
        <f t="shared" si="6"/>
        <v>ok</v>
      </c>
      <c r="AE24" s="118">
        <v>0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</row>
    <row r="25" spans="1:378" ht="15.6">
      <c r="A25" s="56"/>
      <c r="B25" s="3" t="s">
        <v>833</v>
      </c>
      <c r="C25" s="59">
        <f>Evangeline!I7+Evangeline!I12</f>
        <v>141621</v>
      </c>
      <c r="D25" s="59">
        <f>Evangeline!I13</f>
        <v>0</v>
      </c>
      <c r="E25" s="59">
        <f>Evangeline!I8</f>
        <v>13593</v>
      </c>
      <c r="F25" s="59">
        <f>Evangeline!I14</f>
        <v>233558</v>
      </c>
      <c r="G25" s="59"/>
      <c r="H25" s="59"/>
      <c r="I25" s="59">
        <f t="shared" si="10"/>
        <v>388772</v>
      </c>
      <c r="J25" s="113" t="str">
        <f t="shared" si="1"/>
        <v>ok</v>
      </c>
      <c r="K25" s="58">
        <f>Evangeline!I16</f>
        <v>388772</v>
      </c>
      <c r="L25" s="59">
        <f>Evangeline!I22+Evangeline!I25</f>
        <v>1860</v>
      </c>
      <c r="M25" s="59"/>
      <c r="N25" s="59"/>
      <c r="O25" s="59"/>
      <c r="P25" s="59"/>
      <c r="Q25" s="59">
        <f>Evangeline!I29</f>
        <v>1926</v>
      </c>
      <c r="R25" s="59">
        <f>Evangeline!I30+Evangeline!I31</f>
        <v>56433</v>
      </c>
      <c r="S25" s="59">
        <f>Evangeline!I26</f>
        <v>12349</v>
      </c>
      <c r="T25" s="59">
        <f t="shared" si="13"/>
        <v>72568</v>
      </c>
      <c r="U25" s="113" t="str">
        <f t="shared" ref="U25:U67" si="19">IF(T25=V25, "ok", "check")</f>
        <v>ok</v>
      </c>
      <c r="V25" s="58">
        <f>Evangeline!I33</f>
        <v>72568</v>
      </c>
      <c r="W25" s="60"/>
      <c r="X25" s="177"/>
      <c r="Y25" s="59">
        <f>Evangeline!I38</f>
        <v>177688</v>
      </c>
      <c r="Z25" s="59">
        <f>Evangeline!I39</f>
        <v>6583</v>
      </c>
      <c r="AA25" s="59">
        <f>Evangeline!I40</f>
        <v>134655</v>
      </c>
      <c r="AB25" s="59">
        <f t="shared" si="14"/>
        <v>318926</v>
      </c>
      <c r="AC25" s="59">
        <f t="shared" si="5"/>
        <v>391494</v>
      </c>
      <c r="AD25" s="113" t="str">
        <f t="shared" si="6"/>
        <v>ok</v>
      </c>
      <c r="AE25" s="58">
        <f>Evangeline!I44</f>
        <v>391494</v>
      </c>
    </row>
    <row r="26" spans="1:378" s="120" customFormat="1" ht="15.6">
      <c r="A26" s="115"/>
      <c r="B26" s="116" t="s">
        <v>834</v>
      </c>
      <c r="C26" s="117"/>
      <c r="D26" s="117"/>
      <c r="E26" s="117"/>
      <c r="F26" s="117"/>
      <c r="G26" s="117"/>
      <c r="H26" s="117"/>
      <c r="I26" s="117">
        <f t="shared" si="10"/>
        <v>0</v>
      </c>
      <c r="J26" s="113" t="str">
        <f t="shared" si="1"/>
        <v>ok</v>
      </c>
      <c r="K26" s="118"/>
      <c r="L26" s="117"/>
      <c r="M26" s="117"/>
      <c r="N26" s="117"/>
      <c r="O26" s="117"/>
      <c r="P26" s="117"/>
      <c r="Q26" s="117"/>
      <c r="R26" s="117"/>
      <c r="S26" s="117"/>
      <c r="T26" s="117">
        <f t="shared" si="13"/>
        <v>0</v>
      </c>
      <c r="U26" s="113" t="str">
        <f t="shared" si="19"/>
        <v>ok</v>
      </c>
      <c r="V26" s="118"/>
      <c r="W26" s="119"/>
      <c r="X26" s="233"/>
      <c r="Y26" s="117"/>
      <c r="Z26" s="117"/>
      <c r="AA26" s="117"/>
      <c r="AB26" s="117">
        <f t="shared" ref="AB26" si="20">SUM(Y26:AA26)</f>
        <v>0</v>
      </c>
      <c r="AC26" s="110">
        <f t="shared" si="5"/>
        <v>0</v>
      </c>
      <c r="AD26" s="113" t="str">
        <f t="shared" si="6"/>
        <v>ok</v>
      </c>
      <c r="AE26" s="118">
        <v>0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</row>
    <row r="27" spans="1:378" ht="15.6">
      <c r="A27" s="56"/>
      <c r="B27" s="3" t="s">
        <v>469</v>
      </c>
      <c r="C27" s="59">
        <f>Grant!I7</f>
        <v>448494</v>
      </c>
      <c r="D27" s="59"/>
      <c r="E27" s="59">
        <f>Grant!I8</f>
        <v>52934</v>
      </c>
      <c r="F27" s="59">
        <f>Grant!I11+Grant!I13</f>
        <v>332597</v>
      </c>
      <c r="G27" s="59"/>
      <c r="H27" s="59"/>
      <c r="I27" s="59">
        <f t="shared" si="10"/>
        <v>834025</v>
      </c>
      <c r="J27" s="113" t="str">
        <f t="shared" si="1"/>
        <v>ok</v>
      </c>
      <c r="K27" s="58">
        <f>Grant!I15</f>
        <v>834025</v>
      </c>
      <c r="L27" s="59">
        <f>Grant!I20</f>
        <v>22337</v>
      </c>
      <c r="M27" s="59">
        <f>Grant!I25</f>
        <v>12224</v>
      </c>
      <c r="N27" s="59"/>
      <c r="O27" s="59"/>
      <c r="P27" s="59"/>
      <c r="Q27" s="59"/>
      <c r="R27" s="59"/>
      <c r="S27" s="59">
        <f>Grant!I29+Grant!I22</f>
        <v>87000</v>
      </c>
      <c r="T27" s="59">
        <f t="shared" ref="T27" si="21">SUM(L27:S27)</f>
        <v>121561</v>
      </c>
      <c r="U27" s="113" t="str">
        <f t="shared" si="19"/>
        <v>ok</v>
      </c>
      <c r="V27" s="58">
        <f>Grant!I31</f>
        <v>121561</v>
      </c>
      <c r="W27" s="60"/>
      <c r="X27" s="177">
        <f>Grant!I33</f>
        <v>3497</v>
      </c>
      <c r="Y27" s="59">
        <f>Grant!I36</f>
        <v>332597</v>
      </c>
      <c r="Z27" s="59"/>
      <c r="AA27" s="59">
        <f>Grant!I41</f>
        <v>416140</v>
      </c>
      <c r="AB27" s="59">
        <f t="shared" ref="AB27:AB42" si="22">SUM(Y27:AA27)</f>
        <v>748737</v>
      </c>
      <c r="AC27" s="59">
        <f t="shared" si="5"/>
        <v>873795</v>
      </c>
      <c r="AD27" s="113" t="str">
        <f t="shared" si="6"/>
        <v>ok</v>
      </c>
      <c r="AE27" s="58">
        <f>Grant!I45</f>
        <v>873795</v>
      </c>
    </row>
    <row r="28" spans="1:378" s="104" customFormat="1">
      <c r="B28" s="109" t="s">
        <v>835</v>
      </c>
      <c r="C28" s="110">
        <v>0</v>
      </c>
      <c r="D28" s="110">
        <v>0</v>
      </c>
      <c r="E28" s="110">
        <v>0</v>
      </c>
      <c r="F28" s="110">
        <v>0</v>
      </c>
      <c r="G28" s="110">
        <v>0</v>
      </c>
      <c r="H28" s="110">
        <v>0</v>
      </c>
      <c r="I28" s="110">
        <f>SUM(C28:H28)</f>
        <v>0</v>
      </c>
      <c r="J28" s="113" t="str">
        <f t="shared" si="1"/>
        <v>ok</v>
      </c>
      <c r="K28" s="111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f>SUM(L28:S28)</f>
        <v>0</v>
      </c>
      <c r="U28" s="113" t="str">
        <f t="shared" si="19"/>
        <v>ok</v>
      </c>
      <c r="V28" s="111">
        <v>0</v>
      </c>
      <c r="W28" s="112"/>
      <c r="X28" s="178">
        <f>Iberia!I49</f>
        <v>734436</v>
      </c>
      <c r="Y28" s="110">
        <f>Iberia!I52</f>
        <v>56080744</v>
      </c>
      <c r="Z28" s="110">
        <f>Iberia!I57+Iberia!I58</f>
        <v>11833182</v>
      </c>
      <c r="AA28" s="110">
        <f>Iberia!I59</f>
        <v>18866422</v>
      </c>
      <c r="AB28" s="110">
        <f t="shared" si="22"/>
        <v>86780348</v>
      </c>
      <c r="AC28" s="110">
        <f t="shared" si="5"/>
        <v>87514784</v>
      </c>
      <c r="AD28" s="113" t="str">
        <f t="shared" si="6"/>
        <v>check</v>
      </c>
      <c r="AE28" s="111">
        <f>Iberia!I63</f>
        <v>147862343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</row>
    <row r="29" spans="1:378" ht="15.6">
      <c r="A29" s="56"/>
      <c r="B29" s="3" t="s">
        <v>836</v>
      </c>
      <c r="C29" s="59">
        <f>Iberville!I8+Iberville!I15</f>
        <v>3800964</v>
      </c>
      <c r="D29" s="59"/>
      <c r="E29" s="59">
        <f>Iberville!I10</f>
        <v>705101</v>
      </c>
      <c r="F29" s="59">
        <f>Iberville!I17+Iberville!I18+Iberville!I19+Iberville!I20+Iberville!I21</f>
        <v>11202647</v>
      </c>
      <c r="G29" s="59"/>
      <c r="H29" s="59">
        <f>Iberville!I11+Iberville!I12+Iberville!I13</f>
        <v>239494</v>
      </c>
      <c r="I29" s="59">
        <f t="shared" si="10"/>
        <v>15948206</v>
      </c>
      <c r="J29" s="113" t="str">
        <f t="shared" si="1"/>
        <v>ok</v>
      </c>
      <c r="K29" s="58">
        <f>Iberville!I23</f>
        <v>15948206</v>
      </c>
      <c r="L29" s="59">
        <f>Iberville!I29+Iberville!I33</f>
        <v>520678</v>
      </c>
      <c r="M29" s="59"/>
      <c r="N29" s="59"/>
      <c r="O29" s="59"/>
      <c r="P29" s="59"/>
      <c r="Q29" s="59">
        <f>Iberville!I38</f>
        <v>55000</v>
      </c>
      <c r="R29" s="59">
        <f>Iberville!I39</f>
        <v>435000</v>
      </c>
      <c r="S29" s="59">
        <f>Iberville!I36+Iberville!I34</f>
        <v>338923</v>
      </c>
      <c r="T29" s="59">
        <f t="shared" ref="T29:T43" si="23">SUM(L29:S29)</f>
        <v>1349601</v>
      </c>
      <c r="U29" s="113" t="str">
        <f t="shared" si="19"/>
        <v>ok</v>
      </c>
      <c r="V29" s="58">
        <f>Iberville!I41</f>
        <v>1349601</v>
      </c>
      <c r="W29" s="60"/>
      <c r="X29" s="177">
        <f>Iberville!I44</f>
        <v>18318</v>
      </c>
      <c r="Y29" s="59">
        <f>Iberville!I47</f>
        <v>10712647</v>
      </c>
      <c r="Z29" s="59">
        <f>Iberville!I56</f>
        <v>0</v>
      </c>
      <c r="AA29" s="59">
        <f>Iberville!I57</f>
        <v>4077254</v>
      </c>
      <c r="AB29" s="59">
        <f t="shared" si="22"/>
        <v>14789901</v>
      </c>
      <c r="AC29" s="59">
        <f t="shared" si="5"/>
        <v>16157820</v>
      </c>
      <c r="AD29" s="113" t="str">
        <f t="shared" si="6"/>
        <v>ok</v>
      </c>
      <c r="AE29" s="58">
        <f>Iberville!I61</f>
        <v>16157820</v>
      </c>
    </row>
    <row r="30" spans="1:378" s="104" customFormat="1">
      <c r="B30" s="109" t="s">
        <v>837</v>
      </c>
      <c r="C30" s="110">
        <v>0</v>
      </c>
      <c r="D30" s="110"/>
      <c r="E30" s="110"/>
      <c r="F30" s="110"/>
      <c r="G30" s="110"/>
      <c r="H30" s="110"/>
      <c r="I30" s="110">
        <f t="shared" si="10"/>
        <v>0</v>
      </c>
      <c r="J30" s="113" t="str">
        <f t="shared" si="1"/>
        <v>ok</v>
      </c>
      <c r="K30" s="111"/>
      <c r="L30" s="110"/>
      <c r="M30" s="110"/>
      <c r="N30" s="110"/>
      <c r="O30" s="110"/>
      <c r="P30" s="110"/>
      <c r="Q30" s="110"/>
      <c r="R30" s="110"/>
      <c r="S30" s="110"/>
      <c r="T30" s="110">
        <f t="shared" si="23"/>
        <v>0</v>
      </c>
      <c r="U30" s="113" t="str">
        <f t="shared" si="19"/>
        <v>ok</v>
      </c>
      <c r="V30" s="111"/>
      <c r="W30" s="112"/>
      <c r="X30" s="112"/>
      <c r="Y30" s="110"/>
      <c r="Z30" s="110"/>
      <c r="AA30" s="110"/>
      <c r="AB30" s="110">
        <f t="shared" si="22"/>
        <v>0</v>
      </c>
      <c r="AC30" s="110">
        <f t="shared" si="5"/>
        <v>0</v>
      </c>
      <c r="AD30" s="113" t="str">
        <f t="shared" si="6"/>
        <v>ok</v>
      </c>
      <c r="AE30" s="111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</row>
    <row r="31" spans="1:378" s="145" customFormat="1" ht="15.6">
      <c r="A31" s="288"/>
      <c r="B31" s="289" t="s">
        <v>838</v>
      </c>
      <c r="C31" s="290">
        <f>Jefferson!I9</f>
        <v>4796</v>
      </c>
      <c r="D31" s="290">
        <f>Jefferson!I10</f>
        <v>0</v>
      </c>
      <c r="E31" s="290">
        <f>Jefferson!I15+Jefferson!I16+Jefferson!I19</f>
        <v>14671</v>
      </c>
      <c r="F31" s="290">
        <f>Jefferson!I35+Jefferson!I36</f>
        <v>689726</v>
      </c>
      <c r="G31" s="290"/>
      <c r="H31" s="290">
        <f>Jefferson!I11+Jefferson!I21+Jefferson!I22+Jefferson!I24+Jefferson!I25+Jefferson!I26+Jefferson!I27</f>
        <v>228271</v>
      </c>
      <c r="I31" s="290">
        <f t="shared" si="10"/>
        <v>937464</v>
      </c>
      <c r="J31" s="113" t="str">
        <f t="shared" si="1"/>
        <v>ok</v>
      </c>
      <c r="K31" s="291">
        <f>Jefferson!I40</f>
        <v>937464</v>
      </c>
      <c r="L31" s="290">
        <f>Jefferson!I51+Jefferson!I53+Jefferson!I56+Jefferson!I58</f>
        <v>8298</v>
      </c>
      <c r="M31" s="290"/>
      <c r="N31" s="290"/>
      <c r="O31" s="290"/>
      <c r="P31" s="290"/>
      <c r="Q31" s="290">
        <f>Jefferson!I54</f>
        <v>2251</v>
      </c>
      <c r="R31" s="290">
        <f>Jefferson!I75</f>
        <v>14700</v>
      </c>
      <c r="S31" s="290">
        <f>Jefferson!I55+Jefferson!I59+Jefferson!I60+Jefferson!I71+Jefferson!I72+Jefferson!I73+Jefferson!I74+Jefferson!I62+Jefferson!I63+Jefferson!I66</f>
        <v>298400</v>
      </c>
      <c r="T31" s="290">
        <f>SUM(L31:S31)</f>
        <v>323649</v>
      </c>
      <c r="U31" s="113" t="str">
        <f t="shared" si="19"/>
        <v>ok</v>
      </c>
      <c r="V31" s="291">
        <f>Jefferson!I79</f>
        <v>323649</v>
      </c>
      <c r="W31" s="293"/>
      <c r="X31" s="292">
        <f>Jefferson!I82</f>
        <v>399</v>
      </c>
      <c r="Y31" s="290">
        <f>Jefferson!I85</f>
        <v>674982</v>
      </c>
      <c r="Z31" s="290">
        <f>Jefferson!I92+Jefferson!I96+Jefferson!I97</f>
        <v>79079</v>
      </c>
      <c r="AA31" s="290">
        <f>Jefferson!I99</f>
        <v>-129086</v>
      </c>
      <c r="AB31" s="290">
        <f t="shared" si="22"/>
        <v>624975</v>
      </c>
      <c r="AC31" s="290">
        <f t="shared" si="5"/>
        <v>949023</v>
      </c>
      <c r="AD31" s="113" t="str">
        <f t="shared" si="6"/>
        <v>ok</v>
      </c>
      <c r="AE31" s="291">
        <f>Jefferson!I103</f>
        <v>949023</v>
      </c>
    </row>
    <row r="32" spans="1:378" s="104" customFormat="1" ht="15.6">
      <c r="A32" s="108"/>
      <c r="B32" s="109" t="s">
        <v>839</v>
      </c>
      <c r="C32" s="110">
        <v>0</v>
      </c>
      <c r="D32" s="110"/>
      <c r="E32" s="110"/>
      <c r="F32" s="110"/>
      <c r="G32" s="110">
        <v>0</v>
      </c>
      <c r="H32" s="110"/>
      <c r="I32" s="110">
        <f>SUM(C32:H32)</f>
        <v>0</v>
      </c>
      <c r="J32" s="113" t="str">
        <f>IF(I32=K32, "ok", "check")</f>
        <v>ok</v>
      </c>
      <c r="K32" s="111"/>
      <c r="L32" s="110"/>
      <c r="M32" s="110"/>
      <c r="N32" s="110"/>
      <c r="O32" s="110"/>
      <c r="P32" s="110"/>
      <c r="Q32" s="110"/>
      <c r="R32" s="110"/>
      <c r="S32" s="110"/>
      <c r="T32" s="110">
        <f>SUM(L32:S32)</f>
        <v>0</v>
      </c>
      <c r="U32" s="113" t="str">
        <f>IF(T32=V32, "ok", "check")</f>
        <v>ok</v>
      </c>
      <c r="V32" s="111"/>
      <c r="W32" s="112"/>
      <c r="X32" s="112"/>
      <c r="Y32" s="110"/>
      <c r="Z32" s="110"/>
      <c r="AA32" s="110"/>
      <c r="AB32" s="110">
        <f>SUM(Y32:AA32)</f>
        <v>0</v>
      </c>
      <c r="AC32" s="110">
        <f>SUM(AB32,T32+X32)</f>
        <v>0</v>
      </c>
      <c r="AD32" s="113" t="str">
        <f>IF(AC32=AE32, "ok", "check")</f>
        <v>ok</v>
      </c>
      <c r="AE32" s="111">
        <v>0</v>
      </c>
    </row>
    <row r="33" spans="1:378" s="145" customFormat="1" ht="15.6">
      <c r="A33" s="288"/>
      <c r="B33" s="289" t="s">
        <v>840</v>
      </c>
      <c r="C33" s="290">
        <f>Lafayette!I7</f>
        <v>5283189</v>
      </c>
      <c r="D33" s="290">
        <f>Lafayette!I8</f>
        <v>28061815</v>
      </c>
      <c r="E33" s="290">
        <f>Lafayette!I9</f>
        <v>23844975</v>
      </c>
      <c r="F33" s="290">
        <f>Lafayette!I22+Lafayette!I23</f>
        <v>771771829</v>
      </c>
      <c r="G33" s="290">
        <f>Lafayette!I12</f>
        <v>2460768</v>
      </c>
      <c r="H33" s="290">
        <f>Lafayette!I17+Lafayette!I18+Lafayette!I19+Lafayette!I20+Lafayette!I14+Lafayette!I13+Lafayette!I10</f>
        <v>183840028</v>
      </c>
      <c r="I33" s="290">
        <f t="shared" si="10"/>
        <v>1015262604</v>
      </c>
      <c r="J33" s="113" t="str">
        <f t="shared" si="1"/>
        <v>ok</v>
      </c>
      <c r="K33" s="291">
        <f>Lafayette!I25</f>
        <v>1015262604</v>
      </c>
      <c r="L33" s="290">
        <f>Lafayette!I34</f>
        <v>9718935</v>
      </c>
      <c r="M33" s="290"/>
      <c r="N33" s="290"/>
      <c r="O33" s="290"/>
      <c r="P33" s="290">
        <f>Lafayette!I35+Lafayette!I36</f>
        <v>0</v>
      </c>
      <c r="Q33" s="290">
        <f>Lafayette!I40</f>
        <v>2363943</v>
      </c>
      <c r="R33" s="290">
        <f>Lafayette!I41</f>
        <v>472682900</v>
      </c>
      <c r="S33" s="290">
        <f>Lafayette!I43+Lafayette!I37+Lafayette!I38</f>
        <v>36931187</v>
      </c>
      <c r="T33" s="290">
        <f t="shared" si="23"/>
        <v>521696965</v>
      </c>
      <c r="U33" s="113" t="str">
        <f t="shared" si="19"/>
        <v>ok</v>
      </c>
      <c r="V33" s="291">
        <f>Lafayette!I45</f>
        <v>521696965</v>
      </c>
      <c r="W33" s="293"/>
      <c r="X33" s="292">
        <f>Lafayette!I50</f>
        <v>1444333</v>
      </c>
      <c r="Y33" s="290">
        <f>Lafayette!I54</f>
        <v>318155755</v>
      </c>
      <c r="Z33" s="290">
        <f>Lafayette!I56+Lafayette!I57+Lafayette!I58</f>
        <v>143872510</v>
      </c>
      <c r="AA33" s="290">
        <f>Lafayette!I59</f>
        <v>57048934</v>
      </c>
      <c r="AB33" s="290">
        <f t="shared" si="22"/>
        <v>519077199</v>
      </c>
      <c r="AC33" s="290">
        <f t="shared" si="5"/>
        <v>1042218497</v>
      </c>
      <c r="AD33" s="113" t="str">
        <f t="shared" ref="AD33:AD67" si="24">IF(AC33=AE33, "ok", "check")</f>
        <v>ok</v>
      </c>
      <c r="AE33" s="291">
        <f>Lafayette!I63</f>
        <v>1042218497</v>
      </c>
    </row>
    <row r="34" spans="1:378" s="104" customFormat="1" ht="15.6">
      <c r="A34" s="108"/>
      <c r="B34" s="109" t="s">
        <v>841</v>
      </c>
      <c r="C34" s="110">
        <f>Lafourche!I7</f>
        <v>0</v>
      </c>
      <c r="D34" s="110">
        <f>Lafourche!I8</f>
        <v>0</v>
      </c>
      <c r="E34" s="110">
        <f>Lafourche!I9</f>
        <v>15905</v>
      </c>
      <c r="F34" s="110">
        <f>Lafourche!I14+Lafourche!I13</f>
        <v>2477397</v>
      </c>
      <c r="G34" s="110">
        <f>Lafourche!I10</f>
        <v>0</v>
      </c>
      <c r="H34" s="110"/>
      <c r="I34" s="110">
        <f t="shared" si="10"/>
        <v>2493302</v>
      </c>
      <c r="J34" s="113" t="str">
        <f t="shared" si="1"/>
        <v>ok</v>
      </c>
      <c r="K34" s="111">
        <f>Lafourche!I16</f>
        <v>2493302</v>
      </c>
      <c r="L34" s="110">
        <f>Lafourche!I26+Lafourche!I28</f>
        <v>14914</v>
      </c>
      <c r="M34" s="110"/>
      <c r="N34" s="110"/>
      <c r="O34" s="110"/>
      <c r="P34" s="110">
        <f>Lafourche!I29</f>
        <v>231793</v>
      </c>
      <c r="Q34" s="110"/>
      <c r="R34" s="110"/>
      <c r="S34" s="110"/>
      <c r="T34" s="110">
        <f t="shared" si="23"/>
        <v>246707</v>
      </c>
      <c r="U34" s="113" t="str">
        <f t="shared" si="19"/>
        <v>ok</v>
      </c>
      <c r="V34" s="111">
        <f>Lafourche!I34</f>
        <v>246707</v>
      </c>
      <c r="W34" s="112"/>
      <c r="X34" s="178"/>
      <c r="Y34" s="110">
        <f>Lafourche!I40</f>
        <v>2477397</v>
      </c>
      <c r="Z34" s="110"/>
      <c r="AA34" s="110">
        <f>Lafourche!I44</f>
        <v>-230802</v>
      </c>
      <c r="AB34" s="110">
        <f t="shared" si="22"/>
        <v>2246595</v>
      </c>
      <c r="AC34" s="110">
        <f t="shared" si="5"/>
        <v>2493302</v>
      </c>
      <c r="AD34" s="113" t="str">
        <f t="shared" si="24"/>
        <v>ok</v>
      </c>
      <c r="AE34" s="111">
        <f>Lafourche!I48</f>
        <v>2493302</v>
      </c>
    </row>
    <row r="35" spans="1:378" ht="15.6">
      <c r="A35" s="56"/>
      <c r="B35" s="3" t="s">
        <v>842</v>
      </c>
      <c r="C35" s="59"/>
      <c r="D35" s="59"/>
      <c r="E35" s="59"/>
      <c r="F35" s="59"/>
      <c r="G35" s="59"/>
      <c r="H35" s="59"/>
      <c r="I35" s="59">
        <f>SUM(C35:H35)</f>
        <v>0</v>
      </c>
      <c r="J35" s="113" t="str">
        <f>IF(I35=K35, "ok", "check")</f>
        <v>ok</v>
      </c>
      <c r="K35" s="58"/>
      <c r="L35" s="59"/>
      <c r="M35" s="59"/>
      <c r="N35" s="59"/>
      <c r="O35" s="59"/>
      <c r="P35" s="59"/>
      <c r="Q35" s="59"/>
      <c r="R35" s="59"/>
      <c r="S35" s="59"/>
      <c r="T35" s="59">
        <f>SUM(L35:S35)</f>
        <v>0</v>
      </c>
      <c r="U35" s="113" t="str">
        <f>IF(T35=V35, "ok", "check")</f>
        <v>ok</v>
      </c>
      <c r="V35" s="58"/>
      <c r="W35" s="60"/>
      <c r="X35" s="177"/>
      <c r="Y35" s="59"/>
      <c r="Z35" s="59"/>
      <c r="AA35" s="59"/>
      <c r="AB35" s="59">
        <f>SUM(Y35:AA35)</f>
        <v>0</v>
      </c>
      <c r="AC35" s="59">
        <f>SUM(AB35,T35+X35)</f>
        <v>0</v>
      </c>
      <c r="AD35" s="113" t="str">
        <f>IF(AC35=AE35, "ok", "check")</f>
        <v>ok</v>
      </c>
      <c r="AE35" s="58">
        <v>0</v>
      </c>
    </row>
    <row r="36" spans="1:378" s="120" customFormat="1" ht="15.6">
      <c r="A36" s="115"/>
      <c r="B36" s="116" t="s">
        <v>843</v>
      </c>
      <c r="C36" s="117"/>
      <c r="D36" s="117"/>
      <c r="E36" s="117"/>
      <c r="F36" s="117"/>
      <c r="G36" s="117"/>
      <c r="H36" s="117"/>
      <c r="I36" s="117">
        <f t="shared" si="10"/>
        <v>0</v>
      </c>
      <c r="J36" s="113" t="str">
        <f t="shared" si="1"/>
        <v>ok</v>
      </c>
      <c r="K36" s="118"/>
      <c r="L36" s="117"/>
      <c r="M36" s="117"/>
      <c r="N36" s="117"/>
      <c r="O36" s="117"/>
      <c r="P36" s="117"/>
      <c r="Q36" s="117"/>
      <c r="R36" s="117"/>
      <c r="S36" s="117"/>
      <c r="T36" s="117">
        <f t="shared" si="23"/>
        <v>0</v>
      </c>
      <c r="U36" s="113" t="str">
        <f t="shared" si="19"/>
        <v>ok</v>
      </c>
      <c r="V36" s="118"/>
      <c r="W36" s="119"/>
      <c r="X36" s="233"/>
      <c r="Y36" s="117"/>
      <c r="Z36" s="117"/>
      <c r="AA36" s="117"/>
      <c r="AB36" s="117">
        <f t="shared" si="22"/>
        <v>0</v>
      </c>
      <c r="AC36" s="110">
        <f t="shared" si="5"/>
        <v>0</v>
      </c>
      <c r="AD36" s="113" t="str">
        <f t="shared" si="24"/>
        <v>ok</v>
      </c>
      <c r="AE36" s="118">
        <v>0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</row>
    <row r="37" spans="1:378">
      <c r="B37" s="3" t="s">
        <v>844</v>
      </c>
      <c r="C37" s="59">
        <f>Livingston!I6+Livingston!I16</f>
        <v>530455</v>
      </c>
      <c r="D37" s="59">
        <f>Livingston!I7</f>
        <v>0</v>
      </c>
      <c r="E37" s="59">
        <f>Livingston!I8</f>
        <v>12935</v>
      </c>
      <c r="F37" s="59">
        <f>Livingston!I18+Livingston!I19</f>
        <v>7050996</v>
      </c>
      <c r="G37" s="59">
        <f>Livingston!I11+Livingston!I12</f>
        <v>2231</v>
      </c>
      <c r="H37" s="59">
        <f>Livingston!I9+Livingston!I10+Livingston!I13+Livingston!I14</f>
        <v>-21713</v>
      </c>
      <c r="I37" s="59">
        <f t="shared" si="10"/>
        <v>7574904</v>
      </c>
      <c r="J37" s="113" t="str">
        <f t="shared" si="1"/>
        <v>ok</v>
      </c>
      <c r="K37" s="58">
        <f>Livingston!I21</f>
        <v>7574904</v>
      </c>
      <c r="L37" s="59">
        <f>Livingston!I30+Livingston!I34</f>
        <v>30186</v>
      </c>
      <c r="M37" s="59"/>
      <c r="N37" s="59"/>
      <c r="O37" s="59"/>
      <c r="P37" s="59"/>
      <c r="Q37" s="59">
        <f>Livingston!I36</f>
        <v>94408</v>
      </c>
      <c r="R37" s="59">
        <f>Livingston!I37</f>
        <v>2306910</v>
      </c>
      <c r="S37" s="59"/>
      <c r="T37" s="59">
        <f>SUM(L37:S37)</f>
        <v>2431504</v>
      </c>
      <c r="U37" s="113" t="str">
        <f t="shared" si="19"/>
        <v>ok</v>
      </c>
      <c r="V37" s="58">
        <f>Livingston!I39</f>
        <v>2431504</v>
      </c>
      <c r="W37" s="60"/>
      <c r="X37" s="177"/>
      <c r="Y37" s="59">
        <f>Livingston!I46</f>
        <v>4650923</v>
      </c>
      <c r="Z37" s="59"/>
      <c r="AA37" s="59">
        <f>Livingston!I52</f>
        <v>492477</v>
      </c>
      <c r="AB37" s="59">
        <f t="shared" si="22"/>
        <v>5143400</v>
      </c>
      <c r="AC37" s="59">
        <f t="shared" si="5"/>
        <v>7574904</v>
      </c>
      <c r="AD37" s="113" t="str">
        <f t="shared" si="24"/>
        <v>ok</v>
      </c>
      <c r="AE37" s="58">
        <f>Livingston!I56</f>
        <v>7574904</v>
      </c>
    </row>
    <row r="38" spans="1:378" s="120" customFormat="1" ht="15.6">
      <c r="A38" s="115"/>
      <c r="B38" s="116" t="s">
        <v>845</v>
      </c>
      <c r="C38" s="117"/>
      <c r="D38" s="117"/>
      <c r="E38" s="117"/>
      <c r="F38" s="117"/>
      <c r="G38" s="117"/>
      <c r="H38" s="117"/>
      <c r="I38" s="117">
        <f t="shared" ref="I38" si="25">SUM(C38:H38)</f>
        <v>0</v>
      </c>
      <c r="J38" s="113" t="str">
        <f t="shared" ref="J38:J69" si="26">IF(I38=K38, "ok", "check")</f>
        <v>ok</v>
      </c>
      <c r="K38" s="118"/>
      <c r="L38" s="117"/>
      <c r="M38" s="117"/>
      <c r="N38" s="117"/>
      <c r="O38" s="117"/>
      <c r="P38" s="117"/>
      <c r="Q38" s="117"/>
      <c r="R38" s="117"/>
      <c r="S38" s="117"/>
      <c r="T38" s="117">
        <f t="shared" ref="T38" si="27">SUM(L38:S38)</f>
        <v>0</v>
      </c>
      <c r="U38" s="113" t="str">
        <f t="shared" si="19"/>
        <v>ok</v>
      </c>
      <c r="V38" s="118"/>
      <c r="W38" s="119"/>
      <c r="X38" s="233"/>
      <c r="Y38" s="117"/>
      <c r="Z38" s="117"/>
      <c r="AA38" s="117"/>
      <c r="AB38" s="117">
        <f t="shared" ref="AB38" si="28">SUM(Y38:AA38)</f>
        <v>0</v>
      </c>
      <c r="AC38" s="110">
        <f t="shared" ref="AC38:AC69" si="29">SUM(AB38,T38+X38)</f>
        <v>0</v>
      </c>
      <c r="AD38" s="113" t="str">
        <f t="shared" si="24"/>
        <v>ok</v>
      </c>
      <c r="AE38" s="118">
        <v>0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</row>
    <row r="39" spans="1:378" ht="15.6">
      <c r="A39" s="56"/>
      <c r="B39" s="3" t="s">
        <v>846</v>
      </c>
      <c r="C39" s="59"/>
      <c r="D39" s="59"/>
      <c r="E39" s="59"/>
      <c r="F39" s="59"/>
      <c r="G39" s="59"/>
      <c r="H39" s="59"/>
      <c r="I39" s="59">
        <f t="shared" si="10"/>
        <v>0</v>
      </c>
      <c r="J39" s="113" t="str">
        <f t="shared" si="26"/>
        <v>ok</v>
      </c>
      <c r="K39" s="58"/>
      <c r="L39" s="59"/>
      <c r="M39" s="59"/>
      <c r="N39" s="59"/>
      <c r="O39" s="59"/>
      <c r="P39" s="59"/>
      <c r="Q39" s="59"/>
      <c r="R39" s="59"/>
      <c r="S39" s="59"/>
      <c r="T39" s="59">
        <f t="shared" si="23"/>
        <v>0</v>
      </c>
      <c r="U39" s="113" t="str">
        <f t="shared" si="19"/>
        <v>ok</v>
      </c>
      <c r="V39" s="58"/>
      <c r="W39" s="60"/>
      <c r="X39" s="177"/>
      <c r="Y39" s="59"/>
      <c r="Z39" s="59"/>
      <c r="AA39" s="59"/>
      <c r="AB39" s="59">
        <v>0</v>
      </c>
      <c r="AC39" s="59">
        <f t="shared" si="29"/>
        <v>0</v>
      </c>
      <c r="AD39" s="113" t="str">
        <f t="shared" si="24"/>
        <v>ok</v>
      </c>
      <c r="AE39" s="58">
        <v>0</v>
      </c>
    </row>
    <row r="40" spans="1:378" s="104" customFormat="1" ht="15.6">
      <c r="A40" s="108"/>
      <c r="B40" s="109" t="s">
        <v>847</v>
      </c>
      <c r="C40" s="110"/>
      <c r="D40" s="110"/>
      <c r="E40" s="110"/>
      <c r="F40" s="110"/>
      <c r="G40" s="110"/>
      <c r="H40" s="110"/>
      <c r="I40" s="110">
        <f t="shared" si="10"/>
        <v>0</v>
      </c>
      <c r="J40" s="113" t="str">
        <f t="shared" si="26"/>
        <v>ok</v>
      </c>
      <c r="K40" s="111"/>
      <c r="L40" s="110"/>
      <c r="M40" s="110"/>
      <c r="N40" s="110"/>
      <c r="O40" s="110"/>
      <c r="P40" s="110"/>
      <c r="Q40" s="110"/>
      <c r="R40" s="110"/>
      <c r="S40" s="110"/>
      <c r="T40" s="110">
        <f t="shared" si="23"/>
        <v>0</v>
      </c>
      <c r="U40" s="113" t="str">
        <f t="shared" si="19"/>
        <v>ok</v>
      </c>
      <c r="V40" s="111"/>
      <c r="W40" s="112"/>
      <c r="X40" s="178"/>
      <c r="Y40" s="110"/>
      <c r="Z40" s="110"/>
      <c r="AA40" s="110"/>
      <c r="AB40" s="110">
        <f t="shared" si="22"/>
        <v>0</v>
      </c>
      <c r="AC40" s="110">
        <f t="shared" si="29"/>
        <v>0</v>
      </c>
      <c r="AD40" s="113" t="str">
        <f t="shared" si="24"/>
        <v>ok</v>
      </c>
      <c r="AE40" s="111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</row>
    <row r="41" spans="1:378" ht="15.6">
      <c r="A41" s="56"/>
      <c r="B41" s="3" t="s">
        <v>848</v>
      </c>
      <c r="C41" s="59">
        <v>0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59">
        <f t="shared" si="10"/>
        <v>0</v>
      </c>
      <c r="J41" s="113" t="str">
        <f t="shared" si="26"/>
        <v>ok</v>
      </c>
      <c r="K41" s="58">
        <v>0</v>
      </c>
      <c r="L41" s="59">
        <v>0</v>
      </c>
      <c r="M41" s="59"/>
      <c r="N41" s="59"/>
      <c r="O41" s="59"/>
      <c r="P41" s="59">
        <v>0</v>
      </c>
      <c r="Q41" s="59">
        <v>0</v>
      </c>
      <c r="R41" s="59">
        <v>0</v>
      </c>
      <c r="S41" s="59">
        <v>0</v>
      </c>
      <c r="T41" s="59">
        <f t="shared" si="23"/>
        <v>0</v>
      </c>
      <c r="U41" s="113" t="str">
        <f t="shared" si="19"/>
        <v>ok</v>
      </c>
      <c r="V41" s="58">
        <v>0</v>
      </c>
      <c r="W41" s="60"/>
      <c r="X41" s="177">
        <f>Orleans!I48</f>
        <v>30838</v>
      </c>
      <c r="Y41" s="59">
        <f>Orleans!I51</f>
        <v>2342335</v>
      </c>
      <c r="Z41" s="59">
        <f>Orleans!I52+Orleans!I53+Orleans!I54</f>
        <v>513696</v>
      </c>
      <c r="AA41" s="59">
        <f>Orleans!I55</f>
        <v>-115134</v>
      </c>
      <c r="AB41" s="59">
        <f t="shared" si="22"/>
        <v>2740897</v>
      </c>
      <c r="AC41" s="59">
        <f t="shared" si="29"/>
        <v>2771735</v>
      </c>
      <c r="AD41" s="113" t="str">
        <f t="shared" si="24"/>
        <v>check</v>
      </c>
      <c r="AE41" s="58">
        <f>Orleans!I59</f>
        <v>4919560</v>
      </c>
    </row>
    <row r="42" spans="1:378" s="104" customFormat="1">
      <c r="B42" s="109" t="s">
        <v>849</v>
      </c>
      <c r="C42" s="110">
        <f>'Ouachita '!G7+'Ouachita '!G19</f>
        <v>187523</v>
      </c>
      <c r="D42" s="110"/>
      <c r="E42" s="110">
        <f>'Ouachita '!G13</f>
        <v>2372</v>
      </c>
      <c r="F42" s="110">
        <f>'Ouachita '!G20</f>
        <v>2399612</v>
      </c>
      <c r="G42" s="110">
        <f>'Ouachita '!G15</f>
        <v>1890</v>
      </c>
      <c r="H42" s="110">
        <f>'Ouachita '!G14+'Ouachita '!G16</f>
        <v>-25937</v>
      </c>
      <c r="I42" s="110">
        <f t="shared" si="10"/>
        <v>2565460</v>
      </c>
      <c r="J42" s="113" t="str">
        <f t="shared" si="26"/>
        <v>ok</v>
      </c>
      <c r="K42" s="111">
        <f>'Ouachita '!G22</f>
        <v>2565460</v>
      </c>
      <c r="L42" s="110">
        <f>'Ouachita '!G30</f>
        <v>7802</v>
      </c>
      <c r="M42" s="110"/>
      <c r="N42" s="110"/>
      <c r="O42" s="110"/>
      <c r="P42" s="110"/>
      <c r="Q42" s="110">
        <f>'Ouachita '!G34</f>
        <v>25000</v>
      </c>
      <c r="R42" s="110">
        <f>'Ouachita '!G35</f>
        <v>351000</v>
      </c>
      <c r="S42" s="110">
        <f>'Ouachita '!G36</f>
        <v>2400</v>
      </c>
      <c r="T42" s="110">
        <f t="shared" si="23"/>
        <v>386202</v>
      </c>
      <c r="U42" s="113" t="str">
        <f t="shared" si="19"/>
        <v>ok</v>
      </c>
      <c r="V42" s="111">
        <f>'Ouachita '!G38</f>
        <v>386202</v>
      </c>
      <c r="W42" s="112"/>
      <c r="X42" s="178"/>
      <c r="Y42" s="110">
        <f>'Ouachita '!G46</f>
        <v>2023612</v>
      </c>
      <c r="Z42" s="110">
        <f>'Ouachita '!G54</f>
        <v>58502</v>
      </c>
      <c r="AA42" s="110">
        <f>'Ouachita '!G57</f>
        <v>97144</v>
      </c>
      <c r="AB42" s="110">
        <f t="shared" si="22"/>
        <v>2179258</v>
      </c>
      <c r="AC42" s="110">
        <f t="shared" si="29"/>
        <v>2565460</v>
      </c>
      <c r="AD42" s="113" t="str">
        <f t="shared" si="24"/>
        <v>ok</v>
      </c>
      <c r="AE42" s="111">
        <f>'Ouachita '!G61</f>
        <v>2565460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</row>
    <row r="43" spans="1:378" ht="15.6">
      <c r="A43" s="56"/>
      <c r="B43" s="3" t="s">
        <v>850</v>
      </c>
      <c r="C43" s="59">
        <f>Plaquemines!I7</f>
        <v>330318</v>
      </c>
      <c r="D43" s="59">
        <f>Plaquemines!I8</f>
        <v>0</v>
      </c>
      <c r="E43" s="59">
        <f>Plaquemines!I9</f>
        <v>4920337</v>
      </c>
      <c r="F43" s="59">
        <f>Plaquemines!I16+Plaquemines!I17</f>
        <v>105189437</v>
      </c>
      <c r="G43" s="59"/>
      <c r="H43" s="59">
        <f>Plaquemines!I10+Plaquemines!I15</f>
        <v>-2067165</v>
      </c>
      <c r="I43" s="59">
        <f t="shared" si="10"/>
        <v>108372927</v>
      </c>
      <c r="J43" s="113" t="str">
        <f t="shared" si="26"/>
        <v>ok</v>
      </c>
      <c r="K43" s="58">
        <f>Plaquemines!I21</f>
        <v>108372927</v>
      </c>
      <c r="L43" s="59">
        <f>Plaquemines!I46+Plaquemines!I47+Plaquemines!I30</f>
        <v>1625931</v>
      </c>
      <c r="M43" s="59">
        <f>Plaquemines!I35</f>
        <v>40681</v>
      </c>
      <c r="N43" s="59"/>
      <c r="O43" s="59"/>
      <c r="P43" s="59">
        <f>Plaquemines!I36</f>
        <v>429470</v>
      </c>
      <c r="Q43" s="59"/>
      <c r="R43" s="59"/>
      <c r="S43" s="59">
        <f>Plaquemines!I37+Plaquemines!I29</f>
        <v>5063325</v>
      </c>
      <c r="T43" s="59">
        <f t="shared" si="23"/>
        <v>7159407</v>
      </c>
      <c r="U43" s="113" t="str">
        <f t="shared" si="19"/>
        <v>ok</v>
      </c>
      <c r="V43" s="58">
        <f>Plaquemines!I51</f>
        <v>7159407</v>
      </c>
      <c r="W43" s="60"/>
      <c r="X43" s="177">
        <f>Plaquemines!I55</f>
        <v>14817</v>
      </c>
      <c r="Y43" s="59">
        <f>Plaquemines!I58</f>
        <v>105189437</v>
      </c>
      <c r="Z43" s="59"/>
      <c r="AA43" s="59">
        <f>Plaquemines!I60</f>
        <v>-3827041</v>
      </c>
      <c r="AB43" s="59">
        <f t="shared" ref="AB43" si="30">SUM(Y43:AA43)</f>
        <v>101362396</v>
      </c>
      <c r="AC43" s="59">
        <f t="shared" si="29"/>
        <v>108536620</v>
      </c>
      <c r="AD43" s="113" t="str">
        <f t="shared" si="24"/>
        <v>ok</v>
      </c>
      <c r="AE43" s="58">
        <f>Plaquemines!I64</f>
        <v>108536620</v>
      </c>
    </row>
    <row r="44" spans="1:378" s="104" customFormat="1" ht="15.6">
      <c r="A44" s="108"/>
      <c r="B44" s="109" t="s">
        <v>851</v>
      </c>
      <c r="C44" s="110">
        <f>'Pointe Couppe'!G7</f>
        <v>1183805</v>
      </c>
      <c r="D44" s="110"/>
      <c r="E44" s="110">
        <f>'Pointe Couppe'!G9</f>
        <v>510331</v>
      </c>
      <c r="F44" s="110">
        <f>'Pointe Couppe'!G16+'Pointe Couppe'!G17</f>
        <v>2320746</v>
      </c>
      <c r="G44" s="110">
        <f>'Pointe Couppe'!G10</f>
        <v>26465</v>
      </c>
      <c r="H44" s="110">
        <f>'Pointe Couppe'!G12+'Pointe Couppe'!G13+'Pointe Couppe'!G14</f>
        <v>-791943</v>
      </c>
      <c r="I44" s="110">
        <f t="shared" ref="I44" si="31">SUM(C44:H44)</f>
        <v>3249404</v>
      </c>
      <c r="J44" s="113" t="str">
        <f t="shared" si="26"/>
        <v>ok</v>
      </c>
      <c r="K44" s="111">
        <f>'Pointe Couppe'!G19</f>
        <v>3249404</v>
      </c>
      <c r="L44" s="110">
        <f>'Pointe Couppe'!G22</f>
        <v>200793</v>
      </c>
      <c r="M44" s="110"/>
      <c r="N44" s="110"/>
      <c r="O44" s="110"/>
      <c r="P44" s="110"/>
      <c r="Q44" s="110">
        <f>'Pointe Couppe'!G26</f>
        <v>98061</v>
      </c>
      <c r="R44" s="110">
        <f>'Pointe Couppe'!G27</f>
        <v>358880</v>
      </c>
      <c r="S44" s="110">
        <f>'Pointe Couppe'!G29+'Pointe Couppe'!G24</f>
        <v>824872</v>
      </c>
      <c r="T44" s="110">
        <f t="shared" ref="T44" si="32">SUM(L44:S44)</f>
        <v>1482606</v>
      </c>
      <c r="U44" s="113" t="str">
        <f t="shared" si="19"/>
        <v>ok</v>
      </c>
      <c r="V44" s="111">
        <f>'Pointe Couppe'!G31</f>
        <v>1482606</v>
      </c>
      <c r="W44" s="112"/>
      <c r="X44" s="178">
        <f>'Pointe Couppe'!G35</f>
        <v>9639</v>
      </c>
      <c r="Y44" s="110">
        <f>'Pointe Couppe'!G40</f>
        <v>1863805</v>
      </c>
      <c r="Z44" s="110">
        <f>'Pointe Couppe'!G44</f>
        <v>35563</v>
      </c>
      <c r="AA44" s="110">
        <f>'Pointe Couppe'!G45</f>
        <v>-33436</v>
      </c>
      <c r="AB44" s="110">
        <f t="shared" ref="AB44" si="33">SUM(Y44:AA44)</f>
        <v>1865932</v>
      </c>
      <c r="AC44" s="110">
        <f t="shared" si="29"/>
        <v>3358177</v>
      </c>
      <c r="AD44" s="113" t="str">
        <f t="shared" si="24"/>
        <v>ok</v>
      </c>
      <c r="AE44" s="111">
        <f>'Pointe Couppe'!G49</f>
        <v>3358177</v>
      </c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</row>
    <row r="45" spans="1:378" ht="15.6">
      <c r="A45" s="56"/>
      <c r="B45" s="3" t="s">
        <v>852</v>
      </c>
      <c r="C45" s="59"/>
      <c r="D45" s="59"/>
      <c r="E45" s="59"/>
      <c r="F45" s="59"/>
      <c r="G45" s="59"/>
      <c r="H45" s="59"/>
      <c r="I45" s="59">
        <f t="shared" ref="I45:I48" si="34">SUM(C45:H45)</f>
        <v>0</v>
      </c>
      <c r="J45" s="113" t="str">
        <f t="shared" si="26"/>
        <v>ok</v>
      </c>
      <c r="K45" s="58"/>
      <c r="L45" s="59"/>
      <c r="M45" s="59"/>
      <c r="N45" s="59"/>
      <c r="O45" s="59"/>
      <c r="P45" s="59"/>
      <c r="Q45" s="59"/>
      <c r="R45" s="59"/>
      <c r="S45" s="59"/>
      <c r="T45" s="59">
        <f t="shared" ref="T45" si="35">SUM(L45:S45)</f>
        <v>0</v>
      </c>
      <c r="U45" s="113" t="str">
        <f t="shared" si="19"/>
        <v>ok</v>
      </c>
      <c r="V45" s="58"/>
      <c r="W45" s="60"/>
      <c r="X45" s="177"/>
      <c r="Y45" s="59"/>
      <c r="Z45" s="59"/>
      <c r="AA45" s="59"/>
      <c r="AB45" s="59">
        <f t="shared" ref="AB45:AB46" si="36">SUM(Y45:AA45)</f>
        <v>0</v>
      </c>
      <c r="AC45" s="59">
        <f t="shared" si="29"/>
        <v>0</v>
      </c>
      <c r="AD45" s="113" t="str">
        <f t="shared" si="24"/>
        <v>ok</v>
      </c>
      <c r="AE45" s="58"/>
    </row>
    <row r="46" spans="1:378" s="104" customFormat="1" ht="15.6">
      <c r="A46" s="108"/>
      <c r="B46" s="109" t="s">
        <v>853</v>
      </c>
      <c r="C46" s="110">
        <f>'Red River'!I7</f>
        <v>93641</v>
      </c>
      <c r="D46" s="110"/>
      <c r="E46" s="110">
        <f>'Red River'!I9</f>
        <v>807</v>
      </c>
      <c r="F46" s="110">
        <f>'Red River'!I15</f>
        <v>205220</v>
      </c>
      <c r="G46" s="110"/>
      <c r="H46" s="110">
        <f>'Red River'!I10</f>
        <v>0</v>
      </c>
      <c r="I46" s="110">
        <f t="shared" si="34"/>
        <v>299668</v>
      </c>
      <c r="J46" s="113" t="str">
        <f t="shared" si="26"/>
        <v>ok</v>
      </c>
      <c r="K46" s="111">
        <f>'Red River'!I17</f>
        <v>299668</v>
      </c>
      <c r="L46" s="110">
        <f>'Red River'!I23</f>
        <v>3934</v>
      </c>
      <c r="M46" s="110"/>
      <c r="N46" s="110"/>
      <c r="O46" s="110"/>
      <c r="P46" s="110"/>
      <c r="Q46" s="110"/>
      <c r="R46" s="110"/>
      <c r="S46" s="110"/>
      <c r="T46" s="110">
        <f t="shared" ref="T46:T52" si="37">SUM(L46:S46)</f>
        <v>3934</v>
      </c>
      <c r="U46" s="113" t="str">
        <f t="shared" si="19"/>
        <v>ok</v>
      </c>
      <c r="V46" s="111">
        <f>'Red River'!I35</f>
        <v>3934</v>
      </c>
      <c r="W46" s="112"/>
      <c r="X46" s="178"/>
      <c r="Y46" s="110">
        <f>'Red River'!I40</f>
        <v>205220</v>
      </c>
      <c r="Z46" s="110"/>
      <c r="AA46" s="110">
        <f>'Red River'!I48</f>
        <v>90514</v>
      </c>
      <c r="AB46" s="110">
        <f t="shared" si="36"/>
        <v>295734</v>
      </c>
      <c r="AC46" s="110">
        <f t="shared" si="29"/>
        <v>299668</v>
      </c>
      <c r="AD46" s="113" t="str">
        <f t="shared" si="24"/>
        <v>ok</v>
      </c>
      <c r="AE46" s="111">
        <f>'Red River'!I52</f>
        <v>299668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</row>
    <row r="47" spans="1:378" ht="15.6">
      <c r="A47" s="56"/>
      <c r="B47" s="3" t="s">
        <v>854</v>
      </c>
      <c r="C47" s="59"/>
      <c r="D47" s="59"/>
      <c r="E47" s="59"/>
      <c r="F47" s="59"/>
      <c r="G47" s="59"/>
      <c r="H47" s="59"/>
      <c r="I47" s="59">
        <f t="shared" si="34"/>
        <v>0</v>
      </c>
      <c r="J47" s="113" t="str">
        <f t="shared" si="26"/>
        <v>ok</v>
      </c>
      <c r="K47" s="58"/>
      <c r="L47" s="59"/>
      <c r="M47" s="59"/>
      <c r="N47" s="59"/>
      <c r="O47" s="59"/>
      <c r="P47" s="59"/>
      <c r="Q47" s="59"/>
      <c r="R47" s="59"/>
      <c r="S47" s="59"/>
      <c r="T47" s="59">
        <f t="shared" si="37"/>
        <v>0</v>
      </c>
      <c r="U47" s="113" t="str">
        <f t="shared" si="19"/>
        <v>ok</v>
      </c>
      <c r="V47" s="58"/>
      <c r="W47" s="60"/>
      <c r="X47" s="177"/>
      <c r="Y47" s="59"/>
      <c r="Z47" s="59"/>
      <c r="AA47" s="59"/>
      <c r="AB47" s="59">
        <f t="shared" ref="AB47" si="38">SUM(Y47:AA47)</f>
        <v>0</v>
      </c>
      <c r="AC47" s="59">
        <f t="shared" si="29"/>
        <v>0</v>
      </c>
      <c r="AD47" s="113" t="str">
        <f t="shared" si="24"/>
        <v>ok</v>
      </c>
      <c r="AE47" s="58">
        <v>0</v>
      </c>
    </row>
    <row r="48" spans="1:378" s="104" customFormat="1" ht="15.6">
      <c r="A48" s="108"/>
      <c r="B48" s="109" t="s">
        <v>855</v>
      </c>
      <c r="C48" s="110"/>
      <c r="D48" s="110"/>
      <c r="E48" s="110"/>
      <c r="F48" s="110"/>
      <c r="G48" s="110"/>
      <c r="H48" s="110"/>
      <c r="I48" s="110">
        <f t="shared" si="34"/>
        <v>0</v>
      </c>
      <c r="J48" s="113" t="str">
        <f t="shared" si="26"/>
        <v>ok</v>
      </c>
      <c r="K48" s="111"/>
      <c r="L48" s="110"/>
      <c r="M48" s="110"/>
      <c r="N48" s="110"/>
      <c r="O48" s="110"/>
      <c r="P48" s="110"/>
      <c r="Q48" s="110"/>
      <c r="R48" s="110"/>
      <c r="S48" s="110"/>
      <c r="T48" s="110">
        <f t="shared" si="37"/>
        <v>0</v>
      </c>
      <c r="U48" s="113" t="str">
        <f t="shared" si="19"/>
        <v>ok</v>
      </c>
      <c r="V48" s="111"/>
      <c r="W48" s="112"/>
      <c r="X48" s="178"/>
      <c r="Y48" s="110"/>
      <c r="Z48" s="110"/>
      <c r="AA48" s="110"/>
      <c r="AB48" s="110">
        <f t="shared" ref="AB48" si="39">SUM(Y48:AA48)</f>
        <v>0</v>
      </c>
      <c r="AC48" s="110">
        <f t="shared" si="29"/>
        <v>0</v>
      </c>
      <c r="AD48" s="113" t="str">
        <f t="shared" si="24"/>
        <v>ok</v>
      </c>
      <c r="AE48" s="111">
        <v>0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</row>
    <row r="49" spans="1:378" ht="15.6">
      <c r="A49" s="56"/>
      <c r="B49" s="3" t="s">
        <v>856</v>
      </c>
      <c r="C49" s="59">
        <f>'St. Bernard'!G7+'St. Bernard'!G21</f>
        <v>66099058</v>
      </c>
      <c r="D49" s="59">
        <f>'St. Bernard'!G8+'St. Bernard'!G9</f>
        <v>0</v>
      </c>
      <c r="E49" s="59">
        <f>'St. Bernard'!G11+'St. Bernard'!G12+'St. Bernard'!G13+'St. Bernard'!G14+'St. Bernard'!G15+'St. Bernard'!G16</f>
        <v>1571335</v>
      </c>
      <c r="F49" s="59">
        <f>'St. Bernard'!G24+'St. Bernard'!G25</f>
        <v>207008127</v>
      </c>
      <c r="G49" s="59"/>
      <c r="H49" s="59">
        <f>'St. Bernard'!G17+'St. Bernard'!G18+'St. Bernard'!G19+'St. Bernard'!G20+'St. Bernard'!G22</f>
        <v>6421197</v>
      </c>
      <c r="I49" s="59">
        <f>SUM(C49:H49)</f>
        <v>281099717</v>
      </c>
      <c r="J49" s="113" t="str">
        <f t="shared" si="26"/>
        <v>ok</v>
      </c>
      <c r="K49" s="58">
        <f>'St. Bernard'!G27</f>
        <v>281099717</v>
      </c>
      <c r="L49" s="59">
        <f>'St. Bernard'!G34+'St. Bernard'!G35+'St. Bernard'!G37+'St. Bernard'!G38+'St. Bernard'!G39</f>
        <v>3661294</v>
      </c>
      <c r="M49" s="59"/>
      <c r="N49" s="59"/>
      <c r="O49" s="59"/>
      <c r="P49" s="59"/>
      <c r="Q49" s="59">
        <f>'St. Bernard'!G43</f>
        <v>1132511</v>
      </c>
      <c r="R49" s="59">
        <f>'St. Bernard'!G44</f>
        <v>3449383</v>
      </c>
      <c r="S49" s="59">
        <f>'St. Bernard'!G40</f>
        <v>151913</v>
      </c>
      <c r="T49" s="59">
        <f t="shared" si="37"/>
        <v>8395101</v>
      </c>
      <c r="U49" s="113" t="str">
        <f t="shared" si="19"/>
        <v>ok</v>
      </c>
      <c r="V49" s="58">
        <f>'St. Bernard'!G46</f>
        <v>8395101</v>
      </c>
      <c r="W49" s="60"/>
      <c r="X49" s="177">
        <f>'St. Bernard'!G50</f>
        <v>100945</v>
      </c>
      <c r="Y49" s="59">
        <f>'St. Bernard'!G53</f>
        <v>196619074</v>
      </c>
      <c r="Z49" s="59">
        <f>'St. Bernard'!G55+'St. Bernard'!G56+'St. Bernard'!G59</f>
        <v>5351524</v>
      </c>
      <c r="AA49" s="59">
        <f>'St. Bernard'!G60</f>
        <v>17827434</v>
      </c>
      <c r="AB49" s="59">
        <f>SUM(Y49:AA49)</f>
        <v>219798032</v>
      </c>
      <c r="AC49" s="59">
        <f t="shared" si="29"/>
        <v>228294078</v>
      </c>
      <c r="AD49" s="113" t="str">
        <f t="shared" si="24"/>
        <v>ok</v>
      </c>
      <c r="AE49" s="58">
        <f>'St. Bernard'!G64</f>
        <v>228294078</v>
      </c>
    </row>
    <row r="50" spans="1:378" s="104" customFormat="1" ht="15.6">
      <c r="A50" s="108"/>
      <c r="B50" s="109" t="s">
        <v>857</v>
      </c>
      <c r="C50" s="110">
        <f>'St. Charles'!I7+'St. Charles'!I16+'St. Charles'!I17</f>
        <v>7221848</v>
      </c>
      <c r="D50" s="110">
        <f>'St. Charles'!I8</f>
        <v>684440</v>
      </c>
      <c r="E50" s="110">
        <f>'St. Charles'!I9</f>
        <v>3506013</v>
      </c>
      <c r="F50" s="110">
        <f>'St. Charles'!I19+'St. Charles'!I21+'St. Charles'!I22</f>
        <v>129138470</v>
      </c>
      <c r="G50" s="110">
        <f>'St. Charles'!I10</f>
        <v>116328</v>
      </c>
      <c r="H50" s="110">
        <f>'St. Charles'!I13+'St. Charles'!I14+'St. Charles'!I12</f>
        <v>529631</v>
      </c>
      <c r="I50" s="110">
        <f>SUM(C50:H50)</f>
        <v>141196730</v>
      </c>
      <c r="J50" s="113" t="str">
        <f t="shared" si="26"/>
        <v>ok</v>
      </c>
      <c r="K50" s="217">
        <f>'St. Charles'!I24</f>
        <v>141196730</v>
      </c>
      <c r="L50" s="217">
        <f>'St. Charles'!I37+'St. Charles'!I32</f>
        <v>2498855</v>
      </c>
      <c r="Q50" s="217">
        <f>'St. Charles'!I39</f>
        <v>1248000</v>
      </c>
      <c r="R50" s="217">
        <f>'St. Charles'!I40+'St. Charles'!I41</f>
        <v>26119481</v>
      </c>
      <c r="S50" s="217">
        <f>'St. Charles'!I36</f>
        <v>305331</v>
      </c>
      <c r="T50" s="110">
        <f t="shared" si="37"/>
        <v>30171667</v>
      </c>
      <c r="U50" s="113" t="str">
        <f t="shared" si="19"/>
        <v>ok</v>
      </c>
      <c r="V50" s="217">
        <f>'St. Charles'!I45</f>
        <v>30171667</v>
      </c>
      <c r="X50" s="217">
        <f>'St. Charles'!I49+'St. Charles'!I50</f>
        <v>4566329</v>
      </c>
      <c r="Y50" s="217">
        <f>'St. Charles'!I55</f>
        <v>102069628</v>
      </c>
      <c r="Z50" s="217">
        <f>'St. Charles'!I58+'St. Charles'!I59</f>
        <v>9889907</v>
      </c>
      <c r="AA50" s="217">
        <f>'St. Charles'!I62</f>
        <v>-2959002</v>
      </c>
      <c r="AB50" s="110">
        <f>SUM(Y50:AA50)</f>
        <v>109000533</v>
      </c>
      <c r="AC50" s="110">
        <f t="shared" si="29"/>
        <v>143738529</v>
      </c>
      <c r="AD50" s="113" t="str">
        <f t="shared" si="24"/>
        <v>ok</v>
      </c>
      <c r="AE50" s="111">
        <f>'St. Charles'!I66</f>
        <v>143738529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</row>
    <row r="51" spans="1:378" ht="15.6">
      <c r="A51" s="56"/>
      <c r="B51" s="3" t="s">
        <v>858</v>
      </c>
      <c r="I51" s="59"/>
      <c r="J51" s="113" t="str">
        <f t="shared" si="26"/>
        <v>ok</v>
      </c>
      <c r="K51" s="58"/>
      <c r="L51" s="59"/>
      <c r="M51" s="59"/>
      <c r="N51" s="59"/>
      <c r="O51" s="59"/>
      <c r="P51" s="59"/>
      <c r="Q51" s="59"/>
      <c r="R51" s="59"/>
      <c r="S51" s="59"/>
      <c r="T51" s="59">
        <f t="shared" si="37"/>
        <v>0</v>
      </c>
      <c r="U51" s="113" t="str">
        <f t="shared" si="19"/>
        <v>ok</v>
      </c>
      <c r="V51" s="58"/>
      <c r="W51" s="60"/>
      <c r="X51" s="60"/>
      <c r="Y51" s="59"/>
      <c r="Z51" s="59"/>
      <c r="AA51" s="59"/>
      <c r="AB51" s="59">
        <f>SUM(Y51:AA51)</f>
        <v>0</v>
      </c>
      <c r="AC51" s="59">
        <f t="shared" si="29"/>
        <v>0</v>
      </c>
      <c r="AD51" s="113" t="str">
        <f t="shared" si="24"/>
        <v>ok</v>
      </c>
      <c r="AE51" s="58">
        <v>0</v>
      </c>
    </row>
    <row r="52" spans="1:378" s="104" customFormat="1" ht="15.6">
      <c r="A52" s="108"/>
      <c r="B52" s="109" t="s">
        <v>859</v>
      </c>
      <c r="C52" s="110">
        <f>'St. James'!H7+'St. James'!H18</f>
        <v>6518417</v>
      </c>
      <c r="D52" s="110">
        <f>'St. James'!H8</f>
        <v>4016013</v>
      </c>
      <c r="E52" s="110">
        <f>'St. James'!H9</f>
        <v>1210201</v>
      </c>
      <c r="F52" s="110">
        <f>'St. James'!H21</f>
        <v>13027858</v>
      </c>
      <c r="G52" s="110"/>
      <c r="H52" s="110">
        <f>'St. James'!H14+'St. James'!H15+'St. James'!H16+'St. James'!H22</f>
        <v>232945</v>
      </c>
      <c r="I52" s="110">
        <f t="shared" ref="I52:I54" si="40">SUM(C52:H52)</f>
        <v>25005434</v>
      </c>
      <c r="J52" s="113" t="str">
        <f t="shared" si="26"/>
        <v>ok</v>
      </c>
      <c r="K52" s="111">
        <f>'St. James'!H24</f>
        <v>25005434</v>
      </c>
      <c r="L52" s="110">
        <f>'St. James'!H32</f>
        <v>279772</v>
      </c>
      <c r="M52" s="110"/>
      <c r="N52" s="110"/>
      <c r="O52" s="110"/>
      <c r="P52" s="110"/>
      <c r="Q52" s="110">
        <f>'St. James'!H39</f>
        <v>65124</v>
      </c>
      <c r="R52" s="110">
        <f>'St. James'!H40</f>
        <v>79397</v>
      </c>
      <c r="S52" s="110">
        <f>'St. James'!H33+'St. James'!H34+'St. James'!H35+'St. James'!H37+'St. James'!H38</f>
        <v>954613</v>
      </c>
      <c r="T52" s="110">
        <f t="shared" si="37"/>
        <v>1378906</v>
      </c>
      <c r="U52" s="113" t="str">
        <f t="shared" si="19"/>
        <v>ok</v>
      </c>
      <c r="V52" s="111">
        <f>'St. James'!H42</f>
        <v>1378906</v>
      </c>
      <c r="W52" s="112"/>
      <c r="X52" s="178">
        <f>'St. James'!H45</f>
        <v>21527</v>
      </c>
      <c r="Y52" s="110">
        <f>'St. James'!H48</f>
        <v>13027858</v>
      </c>
      <c r="Z52" s="110"/>
      <c r="AA52" s="110">
        <f>'St. James'!H60</f>
        <v>10815683</v>
      </c>
      <c r="AB52" s="110">
        <f t="shared" ref="AB52:AB54" si="41">SUM(Y52:AA52)</f>
        <v>23843541</v>
      </c>
      <c r="AC52" s="110">
        <f t="shared" si="29"/>
        <v>25243974</v>
      </c>
      <c r="AD52" s="113" t="str">
        <f t="shared" si="24"/>
        <v>ok</v>
      </c>
      <c r="AE52" s="111">
        <f>'St. James'!H64</f>
        <v>25243974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</row>
    <row r="53" spans="1:378" ht="15.6">
      <c r="A53" s="56"/>
      <c r="B53" s="3" t="s">
        <v>860</v>
      </c>
      <c r="C53" s="59">
        <f>'St. John the Baptist'!H7+'St. John the Baptist'!H8</f>
        <v>1934276</v>
      </c>
      <c r="D53" s="59"/>
      <c r="E53" s="59">
        <f>'St. John the Baptist'!H10</f>
        <v>2999215</v>
      </c>
      <c r="F53" s="59">
        <f>'St. John the Baptist'!H18+'St. John the Baptist'!H20</f>
        <v>126857006</v>
      </c>
      <c r="G53" s="59">
        <f>'St. John the Baptist'!H14</f>
        <v>768448</v>
      </c>
      <c r="H53" s="59">
        <f>'St. John the Baptist'!H15+'St. John the Baptist'!H16+'St. John the Baptist'!H17</f>
        <v>-1296087</v>
      </c>
      <c r="I53" s="59">
        <f t="shared" si="40"/>
        <v>131262858</v>
      </c>
      <c r="J53" s="113" t="str">
        <f t="shared" si="26"/>
        <v>ok</v>
      </c>
      <c r="K53" s="58">
        <f>'St. John the Baptist'!H22</f>
        <v>131262858</v>
      </c>
      <c r="L53" s="59">
        <f>'St. John the Baptist'!H29+'St. John the Baptist'!H33</f>
        <v>2445747</v>
      </c>
      <c r="M53" s="59"/>
      <c r="N53" s="59"/>
      <c r="O53" s="59"/>
      <c r="P53" s="59"/>
      <c r="Q53" s="59">
        <f>'St. John the Baptist'!H35</f>
        <v>335000</v>
      </c>
      <c r="R53" s="59">
        <f>'St. John the Baptist'!H36</f>
        <v>5513233</v>
      </c>
      <c r="S53" s="59">
        <f>'St. John the Baptist'!H30+'St. John the Baptist'!H31+'St. John the Baptist'!H32</f>
        <v>1280511</v>
      </c>
      <c r="T53" s="59">
        <f t="shared" ref="T53:T54" si="42">SUM(L53:S53)</f>
        <v>9574491</v>
      </c>
      <c r="U53" s="113" t="str">
        <f t="shared" si="19"/>
        <v>ok</v>
      </c>
      <c r="V53" s="58">
        <f>'St. John the Baptist'!H38</f>
        <v>9574491</v>
      </c>
      <c r="W53" s="60"/>
      <c r="X53" s="177">
        <f>'St. John the Baptist'!H42</f>
        <v>97444</v>
      </c>
      <c r="Y53" s="59">
        <f>'St. John the Baptist'!H45</f>
        <v>121008773</v>
      </c>
      <c r="Z53" s="59">
        <f>'St. John the Baptist'!H47+'St. John the Baptist'!H48+'St. John the Baptist'!H50</f>
        <v>610541</v>
      </c>
      <c r="AA53" s="59">
        <f>'St. John the Baptist'!H52</f>
        <v>824280</v>
      </c>
      <c r="AB53" s="59">
        <f t="shared" si="41"/>
        <v>122443594</v>
      </c>
      <c r="AC53" s="59">
        <f t="shared" si="29"/>
        <v>132115529</v>
      </c>
      <c r="AD53" s="113" t="str">
        <f t="shared" si="24"/>
        <v>ok</v>
      </c>
      <c r="AE53" s="58">
        <f>'St. John the Baptist'!H56</f>
        <v>132115529</v>
      </c>
    </row>
    <row r="54" spans="1:378" s="104" customFormat="1" ht="15.6">
      <c r="A54" s="108"/>
      <c r="B54" s="109" t="s">
        <v>861</v>
      </c>
      <c r="C54" s="110">
        <f>'St. Landry'!I7</f>
        <v>1280142</v>
      </c>
      <c r="D54" s="110"/>
      <c r="E54" s="110">
        <f>'St. Landry'!I8</f>
        <v>635460</v>
      </c>
      <c r="F54" s="110">
        <f>'St. Landry'!I20</f>
        <v>2840184</v>
      </c>
      <c r="G54" s="110"/>
      <c r="H54" s="110">
        <f>'St. Landry'!I13</f>
        <v>6389</v>
      </c>
      <c r="I54" s="110">
        <f t="shared" si="40"/>
        <v>4762175</v>
      </c>
      <c r="J54" s="113" t="str">
        <f t="shared" si="26"/>
        <v>ok</v>
      </c>
      <c r="K54" s="111">
        <f>'St. Landry'!I22</f>
        <v>4762175</v>
      </c>
      <c r="L54" s="110">
        <f>'St. Landry'!I29+'St. Landry'!I43</f>
        <v>185254</v>
      </c>
      <c r="M54" s="110">
        <f>'St. Landry'!I35</f>
        <v>7820</v>
      </c>
      <c r="N54" s="110">
        <f>'St. Landry'!I32</f>
        <v>85000</v>
      </c>
      <c r="O54" s="110">
        <f>'St. Landry'!I44</f>
        <v>1005000</v>
      </c>
      <c r="P54" s="110"/>
      <c r="Q54" s="110"/>
      <c r="R54" s="110"/>
      <c r="S54" s="110">
        <f>'St. Landry'!I30+'St. Landry'!I31+'St. Landry'!I38</f>
        <v>31678</v>
      </c>
      <c r="T54" s="110">
        <f t="shared" si="42"/>
        <v>1314752</v>
      </c>
      <c r="U54" s="113" t="str">
        <f t="shared" si="19"/>
        <v>ok</v>
      </c>
      <c r="V54" s="111">
        <f>'St. Landry'!I50</f>
        <v>1314752</v>
      </c>
      <c r="W54" s="112"/>
      <c r="X54" s="112"/>
      <c r="Y54" s="110">
        <f>'St. Landry'!I56</f>
        <v>1750184</v>
      </c>
      <c r="Z54" s="110"/>
      <c r="AA54" s="110">
        <f>'St. Landry'!I60</f>
        <v>1697239</v>
      </c>
      <c r="AB54" s="110">
        <f t="shared" si="41"/>
        <v>3447423</v>
      </c>
      <c r="AC54" s="110">
        <f t="shared" si="29"/>
        <v>4762175</v>
      </c>
      <c r="AD54" s="113" t="str">
        <f t="shared" si="24"/>
        <v>ok</v>
      </c>
      <c r="AE54" s="111">
        <f>'St. Landry'!I64</f>
        <v>4762175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</row>
    <row r="55" spans="1:378" ht="15.6">
      <c r="A55" s="56"/>
      <c r="B55" s="3" t="s">
        <v>862</v>
      </c>
      <c r="C55" s="59"/>
      <c r="D55" s="59"/>
      <c r="E55" s="59">
        <f>'St. Martin'!I7</f>
        <v>312799</v>
      </c>
      <c r="F55" s="59"/>
      <c r="G55" s="59"/>
      <c r="H55" s="59"/>
      <c r="I55" s="59">
        <f>SUM(C55:H55)</f>
        <v>312799</v>
      </c>
      <c r="J55" s="113" t="str">
        <f t="shared" si="26"/>
        <v>ok</v>
      </c>
      <c r="K55" s="58">
        <f>'St. Martin'!I14</f>
        <v>312799</v>
      </c>
      <c r="L55" s="59">
        <f>'St. Martin'!I20</f>
        <v>808</v>
      </c>
      <c r="M55" s="59"/>
      <c r="N55" s="59"/>
      <c r="O55" s="59"/>
      <c r="P55" s="59"/>
      <c r="Q55" s="59"/>
      <c r="R55" s="59"/>
      <c r="S55" s="59">
        <f>'St. Martin'!I21+'St. Martin'!I25</f>
        <v>349406</v>
      </c>
      <c r="T55" s="59">
        <f t="shared" ref="T55:T69" si="43">SUM(L55:S55)</f>
        <v>350214</v>
      </c>
      <c r="U55" s="113" t="str">
        <f t="shared" si="19"/>
        <v>ok</v>
      </c>
      <c r="V55" s="58">
        <f>'St. Martin'!I35</f>
        <v>350214</v>
      </c>
      <c r="W55" s="60"/>
      <c r="X55" s="177"/>
      <c r="Y55" s="59"/>
      <c r="Z55" s="59">
        <f>'St. Martin'!I44</f>
        <v>49847</v>
      </c>
      <c r="AA55" s="59">
        <f>'St. Martin'!I45</f>
        <v>-87262</v>
      </c>
      <c r="AB55" s="59">
        <f t="shared" ref="AB55:AB67" si="44">SUM(Y55:AA55)</f>
        <v>-37415</v>
      </c>
      <c r="AC55" s="59">
        <f t="shared" si="29"/>
        <v>312799</v>
      </c>
      <c r="AD55" s="113" t="str">
        <f t="shared" si="24"/>
        <v>ok</v>
      </c>
      <c r="AE55" s="58">
        <f>'St. Martin'!I49</f>
        <v>312799</v>
      </c>
    </row>
    <row r="56" spans="1:378" s="120" customFormat="1" ht="15.6">
      <c r="A56" s="115"/>
      <c r="B56" s="116" t="s">
        <v>863</v>
      </c>
      <c r="C56" s="117"/>
      <c r="D56" s="117"/>
      <c r="E56" s="117"/>
      <c r="F56" s="117"/>
      <c r="G56" s="117"/>
      <c r="H56" s="117"/>
      <c r="I56" s="117">
        <f t="shared" ref="I56:I57" si="45">SUM(C56:H56)</f>
        <v>0</v>
      </c>
      <c r="J56" s="113" t="str">
        <f t="shared" si="26"/>
        <v>ok</v>
      </c>
      <c r="K56" s="118"/>
      <c r="L56" s="117"/>
      <c r="M56" s="117"/>
      <c r="N56" s="117"/>
      <c r="O56" s="117"/>
      <c r="P56" s="117"/>
      <c r="Q56" s="117"/>
      <c r="R56" s="117"/>
      <c r="S56" s="117"/>
      <c r="T56" s="117">
        <f t="shared" si="43"/>
        <v>0</v>
      </c>
      <c r="U56" s="113" t="str">
        <f t="shared" si="19"/>
        <v>ok</v>
      </c>
      <c r="V56" s="118"/>
      <c r="W56" s="119"/>
      <c r="X56" s="233"/>
      <c r="Y56" s="117"/>
      <c r="Z56" s="117"/>
      <c r="AA56" s="117"/>
      <c r="AB56" s="117">
        <f t="shared" si="44"/>
        <v>0</v>
      </c>
      <c r="AC56" s="110">
        <f t="shared" si="29"/>
        <v>0</v>
      </c>
      <c r="AD56" s="113" t="str">
        <f t="shared" si="24"/>
        <v>ok</v>
      </c>
      <c r="AE56" s="118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</row>
    <row r="57" spans="1:378" ht="15.6">
      <c r="A57" s="56"/>
      <c r="B57" s="3" t="s">
        <v>864</v>
      </c>
      <c r="C57" s="59">
        <f>'St. Tammany'!I7</f>
        <v>2960256</v>
      </c>
      <c r="D57" s="59">
        <f>'St. Tammany'!I8</f>
        <v>11641597</v>
      </c>
      <c r="E57" s="59">
        <f>'St. Tammany'!I9</f>
        <v>1003100</v>
      </c>
      <c r="F57" s="59">
        <f>'St. Tammany'!I16+'St. Tammany'!I17</f>
        <v>37396727</v>
      </c>
      <c r="G57" s="59"/>
      <c r="H57" s="59">
        <f>'St. Tammany'!I13+'St. Tammany'!I14</f>
        <v>4529457</v>
      </c>
      <c r="I57" s="59">
        <f t="shared" si="45"/>
        <v>57531137</v>
      </c>
      <c r="J57" s="113" t="str">
        <f t="shared" si="26"/>
        <v>ok</v>
      </c>
      <c r="K57" s="58">
        <f>'St. Tammany'!I19</f>
        <v>57531137</v>
      </c>
      <c r="L57" s="59">
        <f>'St. Tammany'!I27+'St. Tammany'!I32</f>
        <v>1540641</v>
      </c>
      <c r="M57" s="59"/>
      <c r="N57" s="59"/>
      <c r="O57" s="59"/>
      <c r="P57" s="59"/>
      <c r="Q57" s="59">
        <f>'St. Tammany'!I34</f>
        <v>745000</v>
      </c>
      <c r="R57" s="59">
        <f>'St. Tammany'!I35</f>
        <v>40034585</v>
      </c>
      <c r="S57" s="59">
        <f>'St. Tammany'!I31</f>
        <v>1382383</v>
      </c>
      <c r="T57" s="59">
        <f t="shared" si="43"/>
        <v>43702609</v>
      </c>
      <c r="U57" s="113" t="str">
        <f t="shared" si="19"/>
        <v>ok</v>
      </c>
      <c r="V57" s="58">
        <f>'St. Tammany'!I37</f>
        <v>43702609</v>
      </c>
      <c r="W57" s="60"/>
      <c r="X57" s="177">
        <f>'St. Tammany'!I40</f>
        <v>32296</v>
      </c>
      <c r="Y57" s="59">
        <f>'St. Tammany'!I44</f>
        <v>-3303860</v>
      </c>
      <c r="Z57" s="59">
        <f>'St. Tammany'!I46+'St. Tammany'!I48</f>
        <v>4516267</v>
      </c>
      <c r="AA57" s="59">
        <f>'St. Tammany'!I56</f>
        <v>12967159</v>
      </c>
      <c r="AB57" s="59">
        <f t="shared" si="44"/>
        <v>14179566</v>
      </c>
      <c r="AC57" s="59">
        <f t="shared" si="29"/>
        <v>57914471</v>
      </c>
      <c r="AD57" s="113" t="str">
        <f t="shared" si="24"/>
        <v>ok</v>
      </c>
      <c r="AE57" s="58">
        <f>'St. Tammany'!I60</f>
        <v>57914471</v>
      </c>
    </row>
    <row r="58" spans="1:378" s="104" customFormat="1" ht="15.6">
      <c r="A58" s="108"/>
      <c r="B58" s="109" t="s">
        <v>865</v>
      </c>
      <c r="C58" s="110"/>
      <c r="D58" s="110"/>
      <c r="E58" s="110"/>
      <c r="F58" s="110"/>
      <c r="G58" s="110"/>
      <c r="H58" s="110"/>
      <c r="I58" s="110">
        <f>SUM(C58:H58)</f>
        <v>0</v>
      </c>
      <c r="J58" s="113" t="str">
        <f t="shared" si="26"/>
        <v>ok</v>
      </c>
      <c r="K58" s="111"/>
      <c r="L58" s="110"/>
      <c r="M58" s="110"/>
      <c r="N58" s="110"/>
      <c r="O58" s="110"/>
      <c r="P58" s="110"/>
      <c r="Q58" s="110"/>
      <c r="R58" s="110"/>
      <c r="S58" s="110"/>
      <c r="T58" s="110">
        <f t="shared" si="43"/>
        <v>0</v>
      </c>
      <c r="U58" s="113" t="str">
        <f t="shared" si="19"/>
        <v>ok</v>
      </c>
      <c r="V58" s="111"/>
      <c r="W58" s="112"/>
      <c r="X58" s="178"/>
      <c r="Y58" s="110"/>
      <c r="Z58" s="110"/>
      <c r="AA58" s="110"/>
      <c r="AB58" s="110">
        <f t="shared" si="44"/>
        <v>0</v>
      </c>
      <c r="AC58" s="110">
        <f t="shared" si="29"/>
        <v>0</v>
      </c>
      <c r="AD58" s="113" t="str">
        <f t="shared" si="24"/>
        <v>ok</v>
      </c>
      <c r="AE58" s="111">
        <v>0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</row>
    <row r="59" spans="1:378" ht="15.6">
      <c r="A59" s="56"/>
      <c r="B59" s="3" t="s">
        <v>866</v>
      </c>
      <c r="C59" s="59"/>
      <c r="D59" s="59"/>
      <c r="E59" s="59"/>
      <c r="F59" s="59"/>
      <c r="G59" s="59"/>
      <c r="H59" s="59"/>
      <c r="I59" s="59">
        <f t="shared" ref="I59" si="46">SUM(C59:H59)</f>
        <v>0</v>
      </c>
      <c r="J59" s="113" t="str">
        <f t="shared" si="26"/>
        <v>ok</v>
      </c>
      <c r="K59" s="58"/>
      <c r="L59" s="59"/>
      <c r="M59" s="59"/>
      <c r="N59" s="59"/>
      <c r="O59" s="59"/>
      <c r="P59" s="59"/>
      <c r="Q59" s="59"/>
      <c r="R59" s="59"/>
      <c r="S59" s="59"/>
      <c r="T59" s="59">
        <f t="shared" si="43"/>
        <v>0</v>
      </c>
      <c r="U59" s="113" t="str">
        <f t="shared" si="19"/>
        <v>ok</v>
      </c>
      <c r="V59" s="58"/>
      <c r="W59" s="60"/>
      <c r="X59" s="177"/>
      <c r="Y59" s="59"/>
      <c r="Z59" s="59"/>
      <c r="AA59" s="59"/>
      <c r="AB59" s="59">
        <f t="shared" si="44"/>
        <v>0</v>
      </c>
      <c r="AC59" s="59">
        <f t="shared" si="29"/>
        <v>0</v>
      </c>
      <c r="AD59" s="113" t="str">
        <f t="shared" si="24"/>
        <v>ok</v>
      </c>
      <c r="AE59" s="58">
        <v>0</v>
      </c>
    </row>
    <row r="60" spans="1:378" s="104" customFormat="1" ht="15.6">
      <c r="A60" s="108"/>
      <c r="B60" s="109" t="s">
        <v>867</v>
      </c>
      <c r="C60" s="110">
        <f>Terrebonne!I7+Terrebonne!I16</f>
        <v>28739290</v>
      </c>
      <c r="D60" s="110">
        <f>Terrebonne!I8</f>
        <v>19547952</v>
      </c>
      <c r="E60" s="110">
        <f>Terrebonne!I9</f>
        <v>7412062</v>
      </c>
      <c r="F60" s="110">
        <f>Terrebonne!I20+Terrebonne!I21</f>
        <v>154731227</v>
      </c>
      <c r="G60" s="110">
        <f>Terrebonne!I11+Terrebonne!I12</f>
        <v>10410466</v>
      </c>
      <c r="H60" s="110">
        <f>Terrebonne!I10+Terrebonne!I13+Terrebonne!I14+Terrebonne!I17+Terrebonne!I18</f>
        <v>11592041</v>
      </c>
      <c r="I60" s="110">
        <f t="shared" ref="I60:I61" si="47">SUM(C60:H60)</f>
        <v>232433038</v>
      </c>
      <c r="J60" s="113" t="str">
        <f t="shared" si="26"/>
        <v>ok</v>
      </c>
      <c r="K60" s="111">
        <f>Terrebonne!I23</f>
        <v>232433038</v>
      </c>
      <c r="L60" s="110">
        <f>Terrebonne!I28+Terrebonne!I33</f>
        <v>4833422</v>
      </c>
      <c r="M60" s="110"/>
      <c r="N60" s="110"/>
      <c r="O60" s="110"/>
      <c r="P60" s="110">
        <f>Terrebonne!I30+Terrebonne!I32</f>
        <v>1381278</v>
      </c>
      <c r="Q60" s="110">
        <f>Terrebonne!I35</f>
        <v>1365685</v>
      </c>
      <c r="R60" s="110">
        <f>Terrebonne!I36</f>
        <v>17058711</v>
      </c>
      <c r="S60" s="110"/>
      <c r="T60" s="110">
        <f t="shared" si="43"/>
        <v>24639096</v>
      </c>
      <c r="U60" s="113" t="str">
        <f t="shared" si="19"/>
        <v>ok</v>
      </c>
      <c r="V60" s="111">
        <f>Terrebonne!I38</f>
        <v>24639096</v>
      </c>
      <c r="W60" s="112"/>
      <c r="X60" s="178">
        <f>Terrebonne!I40</f>
        <v>10596811</v>
      </c>
      <c r="Y60" s="110">
        <f>Terrebonne!I43</f>
        <v>141182208</v>
      </c>
      <c r="Z60" s="110">
        <f>Terrebonne!I53+Terrebonne!I54+Terrebonne!I55</f>
        <v>56976259</v>
      </c>
      <c r="AA60" s="110">
        <f>Terrebonne!I57</f>
        <v>-317459</v>
      </c>
      <c r="AB60" s="110">
        <f t="shared" si="44"/>
        <v>197841008</v>
      </c>
      <c r="AC60" s="110">
        <f t="shared" si="29"/>
        <v>233076915</v>
      </c>
      <c r="AD60" s="113" t="str">
        <f t="shared" si="24"/>
        <v>ok</v>
      </c>
      <c r="AE60" s="111">
        <f>Terrebonne!I61</f>
        <v>233076915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</row>
    <row r="61" spans="1:378" ht="15.6">
      <c r="A61" s="56"/>
      <c r="B61" s="3" t="s">
        <v>868</v>
      </c>
      <c r="C61" s="59"/>
      <c r="D61" s="59"/>
      <c r="E61" s="59"/>
      <c r="F61" s="59"/>
      <c r="G61" s="59"/>
      <c r="H61" s="59"/>
      <c r="I61" s="59">
        <f t="shared" si="47"/>
        <v>0</v>
      </c>
      <c r="J61" s="113" t="str">
        <f t="shared" si="26"/>
        <v>ok</v>
      </c>
      <c r="K61" s="58"/>
      <c r="L61" s="59"/>
      <c r="M61" s="59"/>
      <c r="N61" s="59"/>
      <c r="O61" s="59"/>
      <c r="P61" s="59"/>
      <c r="Q61" s="59"/>
      <c r="R61" s="59"/>
      <c r="S61" s="59"/>
      <c r="T61" s="59">
        <f t="shared" si="43"/>
        <v>0</v>
      </c>
      <c r="U61" s="113" t="str">
        <f t="shared" si="19"/>
        <v>ok</v>
      </c>
      <c r="V61" s="58"/>
      <c r="W61" s="60"/>
      <c r="X61" s="60"/>
      <c r="Y61" s="59"/>
      <c r="Z61" s="59"/>
      <c r="AA61" s="59"/>
      <c r="AB61" s="59">
        <v>0</v>
      </c>
      <c r="AC61" s="59">
        <f t="shared" si="29"/>
        <v>0</v>
      </c>
      <c r="AD61" s="113" t="str">
        <f t="shared" si="24"/>
        <v>ok</v>
      </c>
      <c r="AE61" s="58">
        <v>0</v>
      </c>
    </row>
    <row r="62" spans="1:378" s="120" customFormat="1" ht="15.6">
      <c r="A62" s="115"/>
      <c r="B62" s="116" t="s">
        <v>869</v>
      </c>
      <c r="C62" s="117"/>
      <c r="D62" s="117"/>
      <c r="E62" s="117"/>
      <c r="F62" s="117"/>
      <c r="G62" s="117"/>
      <c r="H62" s="117"/>
      <c r="I62" s="117">
        <f>SUM(C62:H62)</f>
        <v>0</v>
      </c>
      <c r="J62" s="113" t="str">
        <f t="shared" si="26"/>
        <v>ok</v>
      </c>
      <c r="K62" s="118"/>
      <c r="L62" s="117"/>
      <c r="M62" s="117"/>
      <c r="N62" s="117"/>
      <c r="O62" s="117"/>
      <c r="P62" s="117"/>
      <c r="Q62" s="117"/>
      <c r="R62" s="117"/>
      <c r="S62" s="117"/>
      <c r="T62" s="117">
        <f t="shared" si="43"/>
        <v>0</v>
      </c>
      <c r="U62" s="113" t="str">
        <f t="shared" si="19"/>
        <v>ok</v>
      </c>
      <c r="V62" s="118"/>
      <c r="W62" s="119"/>
      <c r="X62" s="119"/>
      <c r="Y62" s="117"/>
      <c r="Z62" s="117"/>
      <c r="AA62" s="117"/>
      <c r="AB62" s="117">
        <f t="shared" si="44"/>
        <v>0</v>
      </c>
      <c r="AC62" s="110">
        <f t="shared" si="29"/>
        <v>0</v>
      </c>
      <c r="AD62" s="113" t="str">
        <f t="shared" si="24"/>
        <v>ok</v>
      </c>
      <c r="AE62" s="118">
        <v>0</v>
      </c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</row>
    <row r="63" spans="1:378" ht="15.6">
      <c r="A63" s="56"/>
      <c r="B63" s="3" t="s">
        <v>870</v>
      </c>
      <c r="C63" s="59"/>
      <c r="D63" s="59"/>
      <c r="E63" s="59"/>
      <c r="F63" s="59"/>
      <c r="G63" s="59"/>
      <c r="H63" s="59"/>
      <c r="I63" s="59">
        <f t="shared" ref="I63:I65" si="48">SUM(C63:H63)</f>
        <v>0</v>
      </c>
      <c r="J63" s="113" t="str">
        <f t="shared" si="26"/>
        <v>ok</v>
      </c>
      <c r="K63" s="58"/>
      <c r="L63" s="59"/>
      <c r="M63" s="59"/>
      <c r="N63" s="59"/>
      <c r="O63" s="59"/>
      <c r="P63" s="59"/>
      <c r="Q63" s="59"/>
      <c r="R63" s="59"/>
      <c r="S63" s="59"/>
      <c r="T63" s="59">
        <f t="shared" si="43"/>
        <v>0</v>
      </c>
      <c r="U63" s="113" t="str">
        <f t="shared" si="19"/>
        <v>ok</v>
      </c>
      <c r="V63" s="58"/>
      <c r="W63" s="60"/>
      <c r="X63" s="60"/>
      <c r="Y63" s="59"/>
      <c r="Z63" s="59"/>
      <c r="AA63" s="59"/>
      <c r="AB63" s="59">
        <f t="shared" si="44"/>
        <v>0</v>
      </c>
      <c r="AC63" s="59">
        <f t="shared" si="29"/>
        <v>0</v>
      </c>
      <c r="AD63" s="113" t="str">
        <f t="shared" si="24"/>
        <v>ok</v>
      </c>
      <c r="AE63" s="58">
        <v>0</v>
      </c>
    </row>
    <row r="64" spans="1:378" s="104" customFormat="1" ht="15.6">
      <c r="A64" s="108"/>
      <c r="B64" s="109" t="s">
        <v>871</v>
      </c>
      <c r="C64" s="110">
        <f>Washington!I7</f>
        <v>220076</v>
      </c>
      <c r="D64" s="110"/>
      <c r="E64" s="110">
        <f>Washington!I11</f>
        <v>33985</v>
      </c>
      <c r="F64" s="110">
        <f>Washington!I18</f>
        <v>1539</v>
      </c>
      <c r="G64" s="110"/>
      <c r="H64" s="110"/>
      <c r="I64" s="110">
        <f t="shared" si="48"/>
        <v>255600</v>
      </c>
      <c r="J64" s="113" t="str">
        <f t="shared" si="26"/>
        <v>ok</v>
      </c>
      <c r="K64" s="111">
        <f>Washington!I20</f>
        <v>255600</v>
      </c>
      <c r="L64" s="110">
        <f>Washington!I30</f>
        <v>67</v>
      </c>
      <c r="M64" s="110"/>
      <c r="N64" s="110"/>
      <c r="O64" s="110"/>
      <c r="P64" s="110">
        <f>Washington!I33</f>
        <v>29006</v>
      </c>
      <c r="Q64" s="110"/>
      <c r="R64" s="110"/>
      <c r="S64" s="110"/>
      <c r="T64" s="110">
        <f t="shared" si="43"/>
        <v>29073</v>
      </c>
      <c r="U64" s="113" t="str">
        <f t="shared" si="19"/>
        <v>ok</v>
      </c>
      <c r="V64" s="111">
        <f>Washington!I40</f>
        <v>29073</v>
      </c>
      <c r="W64" s="112"/>
      <c r="X64" s="178">
        <f>Washington!I46</f>
        <v>0</v>
      </c>
      <c r="Y64" s="110"/>
      <c r="Z64" s="110">
        <f>Washington!I52</f>
        <v>12979</v>
      </c>
      <c r="AA64" s="110">
        <f>Washington!I57</f>
        <v>216548</v>
      </c>
      <c r="AB64" s="110">
        <f t="shared" si="44"/>
        <v>229527</v>
      </c>
      <c r="AC64" s="110">
        <f t="shared" si="29"/>
        <v>258600</v>
      </c>
      <c r="AD64" s="113" t="str">
        <f t="shared" si="24"/>
        <v>ok</v>
      </c>
      <c r="AE64" s="111">
        <f>Washington!I61</f>
        <v>258600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</row>
    <row r="65" spans="1:378" ht="15.6">
      <c r="A65" s="56"/>
      <c r="B65" s="3" t="s">
        <v>872</v>
      </c>
      <c r="C65" s="59"/>
      <c r="D65" s="59"/>
      <c r="E65" s="59"/>
      <c r="F65" s="59"/>
      <c r="G65" s="59"/>
      <c r="H65" s="59"/>
      <c r="I65" s="59">
        <f t="shared" si="48"/>
        <v>0</v>
      </c>
      <c r="J65" s="113" t="str">
        <f t="shared" si="26"/>
        <v>ok</v>
      </c>
      <c r="K65" s="58"/>
      <c r="L65" s="59"/>
      <c r="M65" s="59"/>
      <c r="N65" s="59"/>
      <c r="O65" s="59"/>
      <c r="P65" s="59"/>
      <c r="Q65" s="59"/>
      <c r="R65" s="59"/>
      <c r="S65" s="59"/>
      <c r="T65" s="59">
        <f t="shared" si="43"/>
        <v>0</v>
      </c>
      <c r="U65" s="113" t="str">
        <f t="shared" si="19"/>
        <v>ok</v>
      </c>
      <c r="V65" s="58"/>
      <c r="W65" s="60"/>
      <c r="X65" s="60"/>
      <c r="Y65" s="59"/>
      <c r="Z65" s="59"/>
      <c r="AA65" s="59"/>
      <c r="AB65" s="59">
        <v>0</v>
      </c>
      <c r="AC65" s="59">
        <f t="shared" si="29"/>
        <v>0</v>
      </c>
      <c r="AD65" s="113" t="str">
        <f t="shared" si="24"/>
        <v>ok</v>
      </c>
      <c r="AE65" s="58">
        <v>0</v>
      </c>
    </row>
    <row r="66" spans="1:378" s="120" customFormat="1" ht="15.6">
      <c r="A66" s="115"/>
      <c r="B66" s="116" t="s">
        <v>873</v>
      </c>
      <c r="C66" s="117"/>
      <c r="D66" s="117"/>
      <c r="E66" s="117"/>
      <c r="F66" s="117"/>
      <c r="G66" s="117"/>
      <c r="H66" s="117"/>
      <c r="I66" s="117">
        <f>SUM(C66:H66)</f>
        <v>0</v>
      </c>
      <c r="J66" s="113" t="str">
        <f t="shared" si="26"/>
        <v>ok</v>
      </c>
      <c r="K66" s="118"/>
      <c r="L66" s="117"/>
      <c r="M66" s="117"/>
      <c r="N66" s="117"/>
      <c r="O66" s="117"/>
      <c r="P66" s="117"/>
      <c r="Q66" s="117"/>
      <c r="R66" s="117"/>
      <c r="S66" s="117"/>
      <c r="T66" s="117">
        <f t="shared" si="43"/>
        <v>0</v>
      </c>
      <c r="U66" s="113" t="str">
        <f t="shared" si="19"/>
        <v>ok</v>
      </c>
      <c r="V66" s="118"/>
      <c r="W66" s="119"/>
      <c r="X66" s="119"/>
      <c r="Y66" s="117"/>
      <c r="Z66" s="117"/>
      <c r="AA66" s="117"/>
      <c r="AB66" s="117">
        <f t="shared" si="44"/>
        <v>0</v>
      </c>
      <c r="AC66" s="110">
        <f t="shared" si="29"/>
        <v>0</v>
      </c>
      <c r="AD66" s="113" t="str">
        <f t="shared" si="24"/>
        <v>ok</v>
      </c>
      <c r="AE66" s="118">
        <v>0</v>
      </c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</row>
    <row r="67" spans="1:378" ht="15.6">
      <c r="A67" s="56"/>
      <c r="B67" s="3" t="s">
        <v>874</v>
      </c>
      <c r="C67" s="59"/>
      <c r="D67" s="59"/>
      <c r="E67" s="59"/>
      <c r="F67" s="59"/>
      <c r="G67" s="59"/>
      <c r="H67" s="59"/>
      <c r="I67" s="59">
        <f t="shared" ref="I67" si="49">SUM(C67:H67)</f>
        <v>0</v>
      </c>
      <c r="J67" s="113" t="str">
        <f t="shared" si="26"/>
        <v>ok</v>
      </c>
      <c r="K67" s="58"/>
      <c r="L67" s="59"/>
      <c r="M67" s="59"/>
      <c r="N67" s="59"/>
      <c r="O67" s="59"/>
      <c r="P67" s="59"/>
      <c r="Q67" s="59"/>
      <c r="R67" s="59"/>
      <c r="S67" s="59"/>
      <c r="T67" s="59">
        <f t="shared" si="43"/>
        <v>0</v>
      </c>
      <c r="U67" s="113" t="str">
        <f t="shared" si="19"/>
        <v>ok</v>
      </c>
      <c r="V67" s="58"/>
      <c r="W67" s="60"/>
      <c r="X67" s="60"/>
      <c r="Y67" s="59"/>
      <c r="Z67" s="59"/>
      <c r="AA67" s="59"/>
      <c r="AB67" s="59">
        <f t="shared" si="44"/>
        <v>0</v>
      </c>
      <c r="AC67" s="59">
        <f t="shared" si="29"/>
        <v>0</v>
      </c>
      <c r="AD67" s="113" t="str">
        <f t="shared" si="24"/>
        <v>ok</v>
      </c>
      <c r="AE67" s="58">
        <v>0</v>
      </c>
    </row>
    <row r="68" spans="1:378" s="120" customFormat="1" ht="15.6">
      <c r="A68" s="115"/>
      <c r="B68" s="116" t="s">
        <v>875</v>
      </c>
      <c r="C68" s="117">
        <f>'West Feliciana'!I7+'West Feliciana'!I17</f>
        <v>615735</v>
      </c>
      <c r="D68" s="117">
        <f>'West Feliciana'!I9+'West Feliciana'!I19</f>
        <v>484214</v>
      </c>
      <c r="E68" s="117">
        <f>'West Feliciana'!I12</f>
        <v>101572</v>
      </c>
      <c r="F68" s="117">
        <f>'West Feliciana'!I21+'West Feliciana'!I22</f>
        <v>9679845</v>
      </c>
      <c r="G68" s="117"/>
      <c r="H68" s="117">
        <f>'West Feliciana'!I15</f>
        <v>28502</v>
      </c>
      <c r="I68" s="117">
        <f>SUM(C68:H68)</f>
        <v>10909868</v>
      </c>
      <c r="J68" s="113" t="str">
        <f t="shared" si="26"/>
        <v>ok</v>
      </c>
      <c r="K68" s="118">
        <f>'West Feliciana'!I24</f>
        <v>10909868</v>
      </c>
      <c r="L68" s="117">
        <f>'West Feliciana'!I28</f>
        <v>47471</v>
      </c>
      <c r="M68" s="117"/>
      <c r="N68" s="117"/>
      <c r="O68" s="117"/>
      <c r="P68" s="117"/>
      <c r="Q68" s="117">
        <f>'West Feliciana'!I33</f>
        <v>132418</v>
      </c>
      <c r="R68" s="117">
        <f>'West Feliciana'!I34</f>
        <v>3046345</v>
      </c>
      <c r="S68" s="117">
        <f>'West Feliciana'!I29+'West Feliciana'!I30+'West Feliciana'!I31+'West Feliciana'!I35</f>
        <v>139003</v>
      </c>
      <c r="T68" s="117">
        <f t="shared" ref="T68" si="50">SUM(L68:S68)</f>
        <v>3365237</v>
      </c>
      <c r="U68" s="113" t="str">
        <f t="shared" ref="U68" si="51">IF(T68=V68, "ok", "check")</f>
        <v>ok</v>
      </c>
      <c r="V68" s="118">
        <f>'West Feliciana'!I37</f>
        <v>3365237</v>
      </c>
      <c r="W68" s="119"/>
      <c r="X68" s="119"/>
      <c r="Y68" s="117">
        <f>'West Feliciana'!I41</f>
        <v>6577030</v>
      </c>
      <c r="Z68" s="117">
        <f>'West Feliciana'!I43</f>
        <v>205353</v>
      </c>
      <c r="AA68" s="117">
        <f>'West Feliciana'!I48</f>
        <v>796954</v>
      </c>
      <c r="AB68" s="117">
        <f t="shared" ref="AB68" si="52">SUM(Y68:AA68)</f>
        <v>7579337</v>
      </c>
      <c r="AC68" s="110">
        <f t="shared" si="29"/>
        <v>10944574</v>
      </c>
      <c r="AD68" s="113" t="str">
        <f t="shared" ref="AD68" si="53">IF(AC68=AE68, "ok", "check")</f>
        <v>ok</v>
      </c>
      <c r="AE68" s="118">
        <f>'West Feliciana'!I52</f>
        <v>10944574</v>
      </c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</row>
    <row r="69" spans="1:378" ht="15.6">
      <c r="A69" s="56"/>
      <c r="B69" s="3" t="s">
        <v>876</v>
      </c>
      <c r="C69" s="59"/>
      <c r="D69" s="59">
        <v>0</v>
      </c>
      <c r="E69" s="59">
        <v>0</v>
      </c>
      <c r="F69" s="59">
        <v>0</v>
      </c>
      <c r="G69" s="59"/>
      <c r="H69" s="59">
        <v>0</v>
      </c>
      <c r="I69" s="59">
        <f>SUM(C69:H69)</f>
        <v>0</v>
      </c>
      <c r="J69" s="113" t="str">
        <f t="shared" si="26"/>
        <v>ok</v>
      </c>
      <c r="K69" s="58">
        <v>0</v>
      </c>
      <c r="L69" s="59"/>
      <c r="M69" s="59"/>
      <c r="N69" s="59"/>
      <c r="O69" s="59"/>
      <c r="P69" s="59"/>
      <c r="Q69" s="59"/>
      <c r="R69" s="59"/>
      <c r="S69" s="59"/>
      <c r="T69" s="59">
        <f t="shared" si="43"/>
        <v>0</v>
      </c>
      <c r="U69" s="113" t="str">
        <f>IF(T69=V69, "ok", "check")</f>
        <v>ok</v>
      </c>
      <c r="V69" s="58">
        <v>0</v>
      </c>
      <c r="W69" s="60"/>
      <c r="X69" s="60"/>
      <c r="Y69" s="59">
        <v>0</v>
      </c>
      <c r="Z69" s="59">
        <v>0</v>
      </c>
      <c r="AA69" s="59">
        <v>0</v>
      </c>
      <c r="AB69" s="59">
        <v>0</v>
      </c>
      <c r="AC69" s="59">
        <f t="shared" si="29"/>
        <v>0</v>
      </c>
      <c r="AD69" s="113" t="str">
        <f>IF(AC69=AE69, "ok", "check")</f>
        <v>ok</v>
      </c>
      <c r="AE69" s="58">
        <v>0</v>
      </c>
    </row>
    <row r="70" spans="1:378" ht="15.6">
      <c r="A70" s="56"/>
      <c r="J70"/>
      <c r="AF70" s="61"/>
    </row>
    <row r="71" spans="1:378" s="3" customFormat="1" ht="15.6">
      <c r="A71" s="62"/>
      <c r="B71" s="63" t="s">
        <v>877</v>
      </c>
      <c r="C71" s="64">
        <f t="shared" ref="C71:H71" si="54">SUM(C8:C8)</f>
        <v>3967892</v>
      </c>
      <c r="D71" s="64">
        <f t="shared" si="54"/>
        <v>10561966</v>
      </c>
      <c r="E71" s="64">
        <f t="shared" si="54"/>
        <v>257762</v>
      </c>
      <c r="F71" s="64">
        <f t="shared" si="54"/>
        <v>11290023</v>
      </c>
      <c r="G71" s="64">
        <f t="shared" si="54"/>
        <v>51244</v>
      </c>
      <c r="H71" s="64">
        <f t="shared" si="54"/>
        <v>313230</v>
      </c>
      <c r="I71" s="74">
        <f>SUM(I6:I69)</f>
        <v>4582227338</v>
      </c>
      <c r="J71" s="75" t="str">
        <f t="shared" ref="J71" si="55">IF(I71=K71, "ok", "check")</f>
        <v>ok</v>
      </c>
      <c r="K71" s="66">
        <f>SUM(K6:K70)</f>
        <v>4582227338</v>
      </c>
      <c r="L71" s="66">
        <f t="shared" ref="L71:S71" si="56">SUM(L8:L8)</f>
        <v>733139</v>
      </c>
      <c r="M71" s="67">
        <f t="shared" si="56"/>
        <v>0</v>
      </c>
      <c r="N71" s="66">
        <f t="shared" si="56"/>
        <v>0</v>
      </c>
      <c r="O71" s="66">
        <f t="shared" si="56"/>
        <v>0</v>
      </c>
      <c r="P71" s="66">
        <f t="shared" si="56"/>
        <v>0</v>
      </c>
      <c r="Q71" s="66">
        <f t="shared" si="56"/>
        <v>0</v>
      </c>
      <c r="R71" s="66">
        <f t="shared" si="56"/>
        <v>1607</v>
      </c>
      <c r="S71" s="66">
        <f t="shared" si="56"/>
        <v>110997</v>
      </c>
      <c r="T71" s="66">
        <f>SUM(T6:T69)</f>
        <v>2460617388</v>
      </c>
      <c r="U71" s="65" t="str">
        <f>IF(T71=V71, "ok", "check")</f>
        <v>ok</v>
      </c>
      <c r="V71" s="66">
        <f>SUM(V6:V69)</f>
        <v>2460617388</v>
      </c>
      <c r="W71" s="66" t="e">
        <f>SUM(#REF!)</f>
        <v>#REF!</v>
      </c>
      <c r="X71" s="66"/>
      <c r="Y71" s="66">
        <f>SUM(Y8:Y70)</f>
        <v>1771368429</v>
      </c>
      <c r="Z71" s="66">
        <f>SUM(Z8:Z70)</f>
        <v>370432083</v>
      </c>
      <c r="AA71" s="66">
        <f>SUM(AA8:AA70)</f>
        <v>171175242</v>
      </c>
      <c r="AB71" s="66">
        <f>SUM(AB8:AB70)</f>
        <v>2312975754</v>
      </c>
      <c r="AC71" s="66">
        <f>SUM(AC6:AC70)</f>
        <v>4791853561</v>
      </c>
      <c r="AD71" s="65" t="str">
        <f>IF(AC71=AE71, "ok", "check")</f>
        <v>check</v>
      </c>
      <c r="AE71" s="66">
        <f>SUM(AE6:AE69)</f>
        <v>4925479172</v>
      </c>
    </row>
    <row r="72" spans="1:378">
      <c r="J72"/>
    </row>
    <row r="73" spans="1:378">
      <c r="J73"/>
    </row>
    <row r="74" spans="1:378">
      <c r="J74"/>
    </row>
    <row r="75" spans="1:378">
      <c r="J75"/>
    </row>
    <row r="76" spans="1:378">
      <c r="J76"/>
    </row>
    <row r="77" spans="1:378">
      <c r="J77"/>
    </row>
    <row r="78" spans="1:378">
      <c r="J78"/>
    </row>
    <row r="79" spans="1:378">
      <c r="J79"/>
    </row>
    <row r="80" spans="1:378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 ht="15"/>
    <row r="315" spans="10:10" ht="15"/>
  </sheetData>
  <mergeCells count="2">
    <mergeCell ref="A3:B3"/>
    <mergeCell ref="A4:B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F70"/>
  <sheetViews>
    <sheetView topLeftCell="A16" workbookViewId="0">
      <selection activeCell="D8" sqref="D8"/>
    </sheetView>
  </sheetViews>
  <sheetFormatPr defaultColWidth="9.140625" defaultRowHeight="14.45"/>
  <cols>
    <col min="1" max="1" width="12.140625" customWidth="1"/>
    <col min="2" max="2" width="19.140625" customWidth="1"/>
    <col min="3" max="3" width="14" customWidth="1"/>
    <col min="4" max="4" width="24.42578125" bestFit="1" customWidth="1"/>
    <col min="5" max="5" width="17.28515625" customWidth="1"/>
    <col min="6" max="6" width="20.28515625" customWidth="1"/>
    <col min="7" max="7" width="11.7109375" customWidth="1"/>
    <col min="8" max="8" width="14.85546875" customWidth="1"/>
    <col min="9" max="9" width="17.85546875" customWidth="1"/>
    <col min="10" max="10" width="32.7109375" customWidth="1"/>
    <col min="11" max="11" width="23.28515625" customWidth="1"/>
    <col min="12" max="12" width="11.7109375" customWidth="1"/>
    <col min="13" max="13" width="17.28515625" customWidth="1"/>
    <col min="14" max="14" width="45.140625" customWidth="1"/>
    <col min="15" max="15" width="24.7109375" customWidth="1"/>
    <col min="16" max="16" width="39.140625" customWidth="1"/>
    <col min="17" max="17" width="11.7109375" style="245" customWidth="1"/>
    <col min="18" max="18" width="25" style="54" customWidth="1"/>
    <col min="19" max="318" width="9.140625" style="155"/>
  </cols>
  <sheetData>
    <row r="1" spans="1:318" ht="15.95" thickBot="1">
      <c r="A1" s="243" t="s">
        <v>880</v>
      </c>
      <c r="B1" s="243"/>
      <c r="C1" s="125"/>
      <c r="D1" s="125"/>
      <c r="E1" s="125"/>
      <c r="F1" s="125"/>
      <c r="I1" s="125"/>
      <c r="J1" s="125"/>
      <c r="K1" s="125"/>
      <c r="N1" s="125"/>
      <c r="O1" s="125"/>
      <c r="P1" s="244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</row>
    <row r="2" spans="1:318" ht="17.45" thickBot="1">
      <c r="B2" s="20"/>
      <c r="C2" s="246" t="s">
        <v>789</v>
      </c>
      <c r="D2" s="248"/>
      <c r="G2" s="247"/>
      <c r="H2" s="19"/>
      <c r="I2" s="248" t="s">
        <v>790</v>
      </c>
      <c r="L2" s="247"/>
      <c r="M2" s="19"/>
      <c r="N2" s="249" t="s">
        <v>792</v>
      </c>
      <c r="Q2" s="250"/>
      <c r="R2" s="19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</row>
    <row r="3" spans="1:318" ht="15.95" thickBot="1">
      <c r="A3" s="286" t="s">
        <v>793</v>
      </c>
      <c r="B3" s="287"/>
      <c r="C3" s="251" t="s">
        <v>6</v>
      </c>
      <c r="D3" s="251" t="s">
        <v>881</v>
      </c>
      <c r="E3" s="252" t="s">
        <v>394</v>
      </c>
      <c r="F3" s="253" t="s">
        <v>796</v>
      </c>
      <c r="G3" s="254" t="s">
        <v>797</v>
      </c>
      <c r="H3" s="255" t="s">
        <v>797</v>
      </c>
      <c r="I3" s="251" t="s">
        <v>644</v>
      </c>
      <c r="J3" s="252" t="s">
        <v>882</v>
      </c>
      <c r="K3" s="253" t="s">
        <v>806</v>
      </c>
      <c r="L3" s="254" t="s">
        <v>797</v>
      </c>
      <c r="M3" s="255" t="s">
        <v>797</v>
      </c>
      <c r="N3" s="252"/>
      <c r="O3" s="256" t="s">
        <v>809</v>
      </c>
      <c r="P3" s="257" t="s">
        <v>810</v>
      </c>
      <c r="Q3" s="254" t="s">
        <v>797</v>
      </c>
      <c r="R3" s="255" t="s">
        <v>797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</row>
    <row r="4" spans="1:318" ht="15.6">
      <c r="A4" s="258"/>
      <c r="B4" s="57" t="s">
        <v>812</v>
      </c>
      <c r="G4" s="245"/>
      <c r="H4" s="54"/>
      <c r="L4" s="245"/>
      <c r="M4" s="5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</row>
    <row r="5" spans="1:318" ht="15.6">
      <c r="A5" s="259"/>
      <c r="B5" s="5" t="s">
        <v>814</v>
      </c>
      <c r="C5" s="59">
        <f>Acadia!H8+Acadia!H9+Acadia!H10+Acadia!H11+Acadia!H12+Acadia!H13+Acadia!H14</f>
        <v>24274803</v>
      </c>
      <c r="D5" s="59">
        <f>C5</f>
        <v>24274803</v>
      </c>
      <c r="E5" s="59">
        <f>Acadia!H16+Acadia!H17</f>
        <v>51958817</v>
      </c>
      <c r="F5" s="59">
        <f>C5+E5</f>
        <v>76233620</v>
      </c>
      <c r="G5" s="260" t="str">
        <f t="shared" ref="G5:G68" si="0">IF(F5=H5, "ok", "check")</f>
        <v>ok</v>
      </c>
      <c r="H5" s="58">
        <f>Acadia!H19</f>
        <v>76233620</v>
      </c>
      <c r="I5" s="59">
        <f>Acadia!H28+Acadia!H30+Acadia!H31+Acadia!H32+Acadia!H36+Acadia!H37</f>
        <v>3830204</v>
      </c>
      <c r="J5" s="59">
        <f>Acadia!H39+Acadia!H40+Acadia!H41+Acadia!H42</f>
        <v>15490145</v>
      </c>
      <c r="K5" s="59">
        <f t="shared" ref="K5:K68" si="1">SUM(I5:J5)</f>
        <v>19320349</v>
      </c>
      <c r="L5" s="260" t="str">
        <f t="shared" ref="L5:L68" si="2">IF(K5=M5, "ok", "check")</f>
        <v>ok</v>
      </c>
      <c r="M5" s="58">
        <f>Acadia!H44</f>
        <v>19320349</v>
      </c>
      <c r="N5" s="59">
        <f>Acadia!H51+Acadia!H53+Acadia!H54+Acadia!H55+Acadia!H56</f>
        <v>57399688</v>
      </c>
      <c r="O5" s="59">
        <f>SUM(N5)</f>
        <v>57399688</v>
      </c>
      <c r="P5" s="59">
        <f t="shared" ref="P5:P68" si="3">SUM(O5,K5)</f>
        <v>76720037</v>
      </c>
      <c r="Q5" s="260" t="str">
        <f t="shared" ref="Q5:Q70" si="4">IF(P5=R5, "ok", "check")</f>
        <v>ok</v>
      </c>
      <c r="R5" s="58">
        <f>Acadia!H60-Acadia!H48</f>
        <v>76720037</v>
      </c>
      <c r="S5" s="212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</row>
    <row r="6" spans="1:318" ht="15.6">
      <c r="A6" s="258"/>
      <c r="B6" s="5" t="s">
        <v>815</v>
      </c>
      <c r="C6" s="59">
        <f>Allen!G6+Allen!G7+Allen!G8+Allen!G9+Allen!G10</f>
        <v>7717679</v>
      </c>
      <c r="D6" s="59">
        <f>C6-Allen!G9</f>
        <v>7672500</v>
      </c>
      <c r="E6" s="59">
        <f>Allen!G11</f>
        <v>23777069</v>
      </c>
      <c r="F6" s="59">
        <f t="shared" ref="F6:F68" si="5">C6+E6</f>
        <v>31494748</v>
      </c>
      <c r="G6" s="260" t="str">
        <f t="shared" si="0"/>
        <v>ok</v>
      </c>
      <c r="H6" s="58">
        <f>Allen!G13</f>
        <v>31494748</v>
      </c>
      <c r="I6" s="59">
        <f>Allen!G19+Allen!G20+Allen!G21+Allen!G22+Allen!G24</f>
        <v>1162649</v>
      </c>
      <c r="J6" s="59">
        <f>Allen!G26+Allen!G27+Allen!G28</f>
        <v>2759528</v>
      </c>
      <c r="K6" s="59">
        <f t="shared" si="1"/>
        <v>3922177</v>
      </c>
      <c r="L6" s="260" t="str">
        <f t="shared" si="2"/>
        <v>ok</v>
      </c>
      <c r="M6" s="58">
        <f>Allen!G30</f>
        <v>3922177</v>
      </c>
      <c r="N6" s="59">
        <f>Allen!G35+Allen!G37+Allen!G38+Allen!G39+Allen!G40+Allen!G41+Allen!G42+Allen!G43+Allen!G44</f>
        <v>27824499</v>
      </c>
      <c r="O6" s="59">
        <f t="shared" ref="O6:O68" si="6">SUM(N6)</f>
        <v>27824499</v>
      </c>
      <c r="P6" s="59">
        <f t="shared" si="3"/>
        <v>31746676</v>
      </c>
      <c r="Q6" s="260" t="str">
        <f t="shared" si="4"/>
        <v>ok</v>
      </c>
      <c r="R6" s="58">
        <f>Allen!G48-Allen!G32</f>
        <v>31746676</v>
      </c>
      <c r="S6" s="212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</row>
    <row r="7" spans="1:318" ht="15.6">
      <c r="A7" s="258"/>
      <c r="B7" s="5" t="s">
        <v>816</v>
      </c>
      <c r="C7" s="59">
        <f>Ascension!K8+Ascension!K9+Ascension!K10+Ascension!K11+Ascension!K13+Ascension!K14</f>
        <v>224274824</v>
      </c>
      <c r="D7" s="59">
        <f>C7-Ascension!K14</f>
        <v>224248889</v>
      </c>
      <c r="E7" s="59">
        <f>Ascension!K15+Ascension!K17+Ascension!K18</f>
        <v>238642205</v>
      </c>
      <c r="F7" s="59">
        <f t="shared" si="5"/>
        <v>462917029</v>
      </c>
      <c r="G7" s="260" t="str">
        <f t="shared" si="0"/>
        <v>ok</v>
      </c>
      <c r="H7" s="58">
        <f>Ascension!K20</f>
        <v>462917029</v>
      </c>
      <c r="I7" s="59">
        <f>Ascension!K31+Ascension!K32+Ascension!K33+Ascension!K34+Ascension!K35+Ascension!K36+Ascension!K37+Ascension!K39+Ascension!K42</f>
        <v>21374932</v>
      </c>
      <c r="J7" s="59">
        <f>Ascension!K40+Ascension!K43+Ascension!K44+Ascension!K45</f>
        <v>82134999</v>
      </c>
      <c r="K7" s="59">
        <f t="shared" si="1"/>
        <v>103509931</v>
      </c>
      <c r="L7" s="260" t="str">
        <f t="shared" si="2"/>
        <v>ok</v>
      </c>
      <c r="M7" s="58">
        <f>Ascension!K47</f>
        <v>103509931</v>
      </c>
      <c r="N7" s="59">
        <f>Ascension!K55+Ascension!K57+Ascension!K58+Ascension!K59+Ascension!K60+Ascension!K61+Ascension!K62+Ascension!K63+Ascension!K64</f>
        <v>368944158</v>
      </c>
      <c r="O7" s="59">
        <f t="shared" si="6"/>
        <v>368944158</v>
      </c>
      <c r="P7" s="59">
        <f t="shared" si="3"/>
        <v>472454089</v>
      </c>
      <c r="Q7" s="260" t="str">
        <f t="shared" si="4"/>
        <v>ok</v>
      </c>
      <c r="R7" s="58">
        <f>Ascension!K68-Ascension!K52</f>
        <v>472454089</v>
      </c>
      <c r="S7" s="212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</row>
    <row r="8" spans="1:318" ht="15.6">
      <c r="A8" s="258"/>
      <c r="B8" s="5" t="s">
        <v>817</v>
      </c>
      <c r="C8" s="59">
        <f>Assumption!H7+Assumption!H8+Assumption!H9+Assumption!H10</f>
        <v>25909321</v>
      </c>
      <c r="D8" s="59">
        <f>C8</f>
        <v>25909321</v>
      </c>
      <c r="E8" s="59">
        <f>Assumption!H12</f>
        <v>44674146</v>
      </c>
      <c r="F8" s="59">
        <f t="shared" si="5"/>
        <v>70583467</v>
      </c>
      <c r="G8" s="260" t="str">
        <f t="shared" si="0"/>
        <v>ok</v>
      </c>
      <c r="H8" s="58">
        <f>Assumption!H14</f>
        <v>70583467</v>
      </c>
      <c r="I8" s="59">
        <f>Assumption!H22+Assumption!H23+Assumption!H24+Assumption!H25+Assumption!H26</f>
        <v>3668204</v>
      </c>
      <c r="J8" s="59">
        <f>Assumption!H30</f>
        <v>137545</v>
      </c>
      <c r="K8" s="59">
        <f>SUM(I8:J8)</f>
        <v>3805749</v>
      </c>
      <c r="L8" s="260" t="str">
        <f t="shared" si="2"/>
        <v>ok</v>
      </c>
      <c r="M8" s="58">
        <f>Assumption!H32</f>
        <v>3805749</v>
      </c>
      <c r="N8" s="59">
        <f>Assumption!H39+Assumption!H41</f>
        <v>67253630</v>
      </c>
      <c r="O8" s="59">
        <f t="shared" si="6"/>
        <v>67253630</v>
      </c>
      <c r="P8" s="59">
        <f t="shared" si="3"/>
        <v>71059379</v>
      </c>
      <c r="Q8" s="260" t="str">
        <f t="shared" si="4"/>
        <v>ok</v>
      </c>
      <c r="R8" s="58">
        <f>Assumption!H45-Assumption!H36</f>
        <v>71059379</v>
      </c>
      <c r="S8" s="212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</row>
    <row r="9" spans="1:318" ht="15.6">
      <c r="A9" s="258"/>
      <c r="B9" s="5" t="s">
        <v>818</v>
      </c>
      <c r="C9" s="59">
        <f>Avoyelles!H7+Avoyelles!H8+Avoyelles!H9+Avoyelles!H10+Avoyelles!H11</f>
        <v>15016701</v>
      </c>
      <c r="D9" s="59">
        <f>C9</f>
        <v>15016701</v>
      </c>
      <c r="E9" s="59">
        <f>Avoyelles!H12</f>
        <v>4318512</v>
      </c>
      <c r="F9" s="59">
        <f t="shared" si="5"/>
        <v>19335213</v>
      </c>
      <c r="G9" s="260" t="str">
        <f t="shared" si="0"/>
        <v>ok</v>
      </c>
      <c r="H9" s="58">
        <f>Avoyelles!H14</f>
        <v>19335213</v>
      </c>
      <c r="I9" s="59">
        <f>Avoyelles!H19+Avoyelles!H20+Avoyelles!H21+Avoyelles!H23</f>
        <v>821550</v>
      </c>
      <c r="J9" s="59">
        <f>Avoyelles!H24+Avoyelles!H25</f>
        <v>143840</v>
      </c>
      <c r="K9" s="59">
        <f t="shared" si="1"/>
        <v>965390</v>
      </c>
      <c r="L9" s="260" t="str">
        <f t="shared" si="2"/>
        <v>ok</v>
      </c>
      <c r="M9" s="58">
        <f>Avoyelles!H27</f>
        <v>965390</v>
      </c>
      <c r="N9" s="59">
        <f>Avoyelles!H32+Avoyelles!H33</f>
        <v>18510005</v>
      </c>
      <c r="O9" s="59">
        <f t="shared" si="6"/>
        <v>18510005</v>
      </c>
      <c r="P9" s="59">
        <f t="shared" si="3"/>
        <v>19475395</v>
      </c>
      <c r="Q9" s="260" t="str">
        <f t="shared" si="4"/>
        <v>ok</v>
      </c>
      <c r="R9" s="58">
        <f>Avoyelles!H37</f>
        <v>19475395</v>
      </c>
      <c r="S9" s="212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</row>
    <row r="10" spans="1:318" ht="15.6">
      <c r="A10" s="258"/>
      <c r="B10" s="5" t="s">
        <v>819</v>
      </c>
      <c r="C10" s="59">
        <f>Beauregard!G6+Beauregard!G7+Beauregard!G8+Beauregard!G9</f>
        <v>32507039</v>
      </c>
      <c r="D10" s="59">
        <f>C10-Beauregard!G8</f>
        <v>32172357</v>
      </c>
      <c r="E10" s="59">
        <f>Beauregard!G11+Beauregard!G12+Beauregard!G13+Beauregard!G14+Beauregard!G15</f>
        <v>35981007</v>
      </c>
      <c r="F10" s="59">
        <f t="shared" si="5"/>
        <v>68488046</v>
      </c>
      <c r="G10" s="260" t="str">
        <f t="shared" si="0"/>
        <v>ok</v>
      </c>
      <c r="H10" s="58">
        <f>Beauregard!G17</f>
        <v>68488046</v>
      </c>
      <c r="I10" s="59">
        <f>Beauregard!G23+Beauregard!G24+Beauregard!G25+Beauregard!G27</f>
        <v>2969900</v>
      </c>
      <c r="J10" s="59">
        <f>Beauregard!G28</f>
        <v>13691999</v>
      </c>
      <c r="K10" s="59">
        <f t="shared" si="1"/>
        <v>16661899</v>
      </c>
      <c r="L10" s="260" t="str">
        <f t="shared" si="2"/>
        <v>ok</v>
      </c>
      <c r="M10" s="58">
        <f>Beauregard!G30</f>
        <v>16661899</v>
      </c>
      <c r="N10" s="59">
        <f>Beauregard!G36+Beauregard!G38+Beauregard!G39+Beauregard!G40+Beauregard!G41+Beauregard!G42+Beauregard!G43+Beauregard!G44+Beauregard!G45+Beauregard!G46+Beauregard!G47+Beauregard!G48</f>
        <v>52314593</v>
      </c>
      <c r="O10" s="59">
        <f t="shared" si="6"/>
        <v>52314593</v>
      </c>
      <c r="P10" s="59">
        <f t="shared" si="3"/>
        <v>68976492</v>
      </c>
      <c r="Q10" s="260" t="str">
        <f t="shared" si="4"/>
        <v>ok</v>
      </c>
      <c r="R10" s="58">
        <f>Beauregard!G52</f>
        <v>68976492</v>
      </c>
      <c r="S10" s="212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</row>
    <row r="11" spans="1:318" ht="15.6">
      <c r="A11" s="258"/>
      <c r="B11" s="5" t="s">
        <v>820</v>
      </c>
      <c r="C11" s="59">
        <f>Bienville!G6+Bienville!G7</f>
        <v>21513093</v>
      </c>
      <c r="D11" s="59">
        <f>C11</f>
        <v>21513093</v>
      </c>
      <c r="E11" s="59">
        <f>Bienville!G8</f>
        <v>22261869</v>
      </c>
      <c r="F11" s="59">
        <f t="shared" si="5"/>
        <v>43774962</v>
      </c>
      <c r="G11" s="260" t="str">
        <f t="shared" si="0"/>
        <v>ok</v>
      </c>
      <c r="H11" s="58">
        <f>Bienville!G10</f>
        <v>43774962</v>
      </c>
      <c r="I11" s="59">
        <f>Bienville!G17+Bienville!G18+Bienville!G19+Bienville!G20+Bienville!G21+Bienville!G22+Bienville!G23+Bienville!G24+Bienville!G25</f>
        <v>12635533</v>
      </c>
      <c r="J11" s="59">
        <f>0</f>
        <v>0</v>
      </c>
      <c r="K11" s="59">
        <f t="shared" si="1"/>
        <v>12635533</v>
      </c>
      <c r="L11" s="260" t="str">
        <f t="shared" si="2"/>
        <v>ok</v>
      </c>
      <c r="M11" s="58">
        <f>Bienville!G27</f>
        <v>12635533</v>
      </c>
      <c r="N11" s="59">
        <f>Bienville!G33+Bienville!G34</f>
        <v>31226910</v>
      </c>
      <c r="O11" s="59">
        <f t="shared" si="6"/>
        <v>31226910</v>
      </c>
      <c r="P11" s="59">
        <f t="shared" si="3"/>
        <v>43862443</v>
      </c>
      <c r="Q11" s="260" t="str">
        <f t="shared" si="4"/>
        <v>ok</v>
      </c>
      <c r="R11" s="58">
        <f>Bienville!G38-Bienville!G30</f>
        <v>43862443</v>
      </c>
      <c r="S11" s="212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</row>
    <row r="12" spans="1:318" ht="15.6">
      <c r="A12" s="258"/>
      <c r="B12" s="5" t="s">
        <v>821</v>
      </c>
      <c r="C12" s="59">
        <f>Bossier!J7+Bossier!J8+Bossier!J9+Bossier!J10+Bossier!J11+Bossier!J12</f>
        <v>80754059</v>
      </c>
      <c r="D12" s="59">
        <f>C12</f>
        <v>80754059</v>
      </c>
      <c r="E12" s="59">
        <f>Bossier!J14+Bossier!J15</f>
        <v>328098680</v>
      </c>
      <c r="F12" s="59">
        <f t="shared" si="5"/>
        <v>408852739</v>
      </c>
      <c r="G12" s="260" t="str">
        <f t="shared" si="0"/>
        <v>ok</v>
      </c>
      <c r="H12" s="58">
        <f>Bossier!J18</f>
        <v>408852739</v>
      </c>
      <c r="I12" s="59">
        <f>Bossier!J25+Bossier!J27+Bossier!J29</f>
        <v>9585036</v>
      </c>
      <c r="J12" s="59">
        <f>Bossier!J30</f>
        <v>83490079</v>
      </c>
      <c r="K12" s="59">
        <f t="shared" si="1"/>
        <v>93075115</v>
      </c>
      <c r="L12" s="260" t="str">
        <f t="shared" si="2"/>
        <v>ok</v>
      </c>
      <c r="M12" s="58">
        <f>Bossier!J32</f>
        <v>93075115</v>
      </c>
      <c r="N12" s="59">
        <f>Bossier!J41+Bossier!J43+Bossier!J44+Bossier!J45+Bossier!J46+Bossier!J47+Bossier!J48+Bossier!J49+Bossier!J50+Bossier!J51</f>
        <v>302622740</v>
      </c>
      <c r="O12" s="59">
        <f t="shared" si="6"/>
        <v>302622740</v>
      </c>
      <c r="P12" s="59">
        <f t="shared" si="3"/>
        <v>395697855</v>
      </c>
      <c r="Q12" s="260" t="str">
        <f t="shared" si="4"/>
        <v>ok</v>
      </c>
      <c r="R12" s="58">
        <f>Bossier!J55-Bossier!J38</f>
        <v>395697855</v>
      </c>
      <c r="S12" s="2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</row>
    <row r="13" spans="1:318" ht="15.6">
      <c r="A13" s="258"/>
      <c r="B13" s="5" t="s">
        <v>822</v>
      </c>
      <c r="C13" s="59">
        <f>Caddo!H7+Caddo!H8+Caddo!H9+Caddo!H10+Caddo!H12+Caddo!H13</f>
        <v>177341334</v>
      </c>
      <c r="D13" s="59">
        <f>C13-Caddo!H12</f>
        <v>177225965</v>
      </c>
      <c r="E13" s="59">
        <f>Caddo!H15+Caddo!H16</f>
        <v>161621740</v>
      </c>
      <c r="F13" s="59">
        <f t="shared" si="5"/>
        <v>338963074</v>
      </c>
      <c r="G13" s="260" t="str">
        <f t="shared" si="0"/>
        <v>ok</v>
      </c>
      <c r="H13" s="58">
        <f>Caddo!H18</f>
        <v>338963074</v>
      </c>
      <c r="I13" s="59">
        <f>Caddo!H27+Caddo!H28+Caddo!H29+Caddo!H30+Caddo!H31+Caddo!H32+Caddo!H33+Caddo!H34+Caddo!H36</f>
        <v>9688132</v>
      </c>
      <c r="J13" s="59">
        <f>Caddo!H37+Caddo!H38+Caddo!H39</f>
        <v>39998835</v>
      </c>
      <c r="K13" s="59">
        <f t="shared" si="1"/>
        <v>49686967</v>
      </c>
      <c r="L13" s="260" t="str">
        <f t="shared" si="2"/>
        <v>ok</v>
      </c>
      <c r="M13" s="58">
        <f>Caddo!H41</f>
        <v>49686967</v>
      </c>
      <c r="N13" s="59">
        <f>Caddo!H51+Caddo!H53+Caddo!H54+Caddo!H55+Caddo!H56+Caddo!H57+Caddo!H58+Caddo!H59+Caddo!H60+Caddo!H62</f>
        <v>292138359</v>
      </c>
      <c r="O13" s="59">
        <f t="shared" si="6"/>
        <v>292138359</v>
      </c>
      <c r="P13" s="59">
        <f t="shared" si="3"/>
        <v>341825326</v>
      </c>
      <c r="Q13" s="260" t="str">
        <f t="shared" si="4"/>
        <v>ok</v>
      </c>
      <c r="R13" s="58">
        <f>Caddo!H66-Caddo!H48</f>
        <v>341825326</v>
      </c>
      <c r="S13" s="212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</row>
    <row r="14" spans="1:318" ht="15.6">
      <c r="A14" s="258"/>
      <c r="B14" s="5" t="s">
        <v>823</v>
      </c>
      <c r="C14" s="59">
        <f>Calcasieu!J7+Calcasieu!J8+Calcasieu!J9+Calcasieu!J10+Calcasieu!J13+Calcasieu!J14+Calcasieu!J15+Calcasieu!J16</f>
        <v>370652909</v>
      </c>
      <c r="D14" s="59">
        <f>C14-Calcasieu!J15</f>
        <v>369654862</v>
      </c>
      <c r="E14" s="59">
        <f>Calcasieu!J18+Calcasieu!J19+Calcasieu!J20+Calcasieu!J22+Calcasieu!J23</f>
        <v>541198587</v>
      </c>
      <c r="F14" s="59">
        <f t="shared" si="5"/>
        <v>911851496</v>
      </c>
      <c r="G14" s="260" t="str">
        <f t="shared" si="0"/>
        <v>ok</v>
      </c>
      <c r="H14" s="58">
        <f>Calcasieu!J25</f>
        <v>911851496</v>
      </c>
      <c r="I14" s="59">
        <f>Calcasieu!J34+Calcasieu!J35+Calcasieu!J36+Calcasieu!J37+Calcasieu!J38+Calcasieu!J39+Calcasieu!J41</f>
        <v>19193603</v>
      </c>
      <c r="J14" s="59">
        <f>Calcasieu!J42</f>
        <v>9999212</v>
      </c>
      <c r="K14" s="59">
        <f t="shared" si="1"/>
        <v>29192815</v>
      </c>
      <c r="L14" s="260" t="str">
        <f t="shared" si="2"/>
        <v>ok</v>
      </c>
      <c r="M14" s="58">
        <f>Calcasieu!J44</f>
        <v>29192815</v>
      </c>
      <c r="N14" s="59">
        <f>Calcasieu!J54+Calcasieu!J56+Calcasieu!J57+Calcasieu!J58+Calcasieu!J59</f>
        <v>838013956</v>
      </c>
      <c r="O14" s="59">
        <f t="shared" si="6"/>
        <v>838013956</v>
      </c>
      <c r="P14" s="59">
        <f t="shared" si="3"/>
        <v>867206771</v>
      </c>
      <c r="Q14" s="260" t="str">
        <f t="shared" si="4"/>
        <v>ok</v>
      </c>
      <c r="R14" s="58">
        <f>Calcasieu!J63-Calcasieu!J50</f>
        <v>867206771</v>
      </c>
      <c r="S14" s="212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</row>
    <row r="15" spans="1:318" ht="15.6">
      <c r="A15" s="258"/>
      <c r="B15" s="5" t="s">
        <v>824</v>
      </c>
      <c r="C15" s="59">
        <f>Caldwell!G6+Caldwell!G7</f>
        <v>9303220</v>
      </c>
      <c r="D15" s="59">
        <f>C15</f>
        <v>9303220</v>
      </c>
      <c r="E15" s="59">
        <f>Caldwell!G8</f>
        <v>16886347</v>
      </c>
      <c r="F15" s="59">
        <f t="shared" si="5"/>
        <v>26189567</v>
      </c>
      <c r="G15" s="260" t="str">
        <f t="shared" si="0"/>
        <v>ok</v>
      </c>
      <c r="H15" s="58">
        <f>Caldwell!G10</f>
        <v>26189567</v>
      </c>
      <c r="I15" s="59">
        <f>Caldwell!G17+Caldwell!G18+Caldwell!G19+Caldwell!G20</f>
        <v>683245</v>
      </c>
      <c r="J15" s="59">
        <f>0</f>
        <v>0</v>
      </c>
      <c r="K15" s="59">
        <f t="shared" si="1"/>
        <v>683245</v>
      </c>
      <c r="L15" s="260" t="str">
        <f t="shared" si="2"/>
        <v>ok</v>
      </c>
      <c r="M15" s="58">
        <f>Caldwell!G22</f>
        <v>683245</v>
      </c>
      <c r="N15" s="59">
        <f>Caldwell!G28+Caldwell!G29+Caldwell!G30</f>
        <v>25556986</v>
      </c>
      <c r="O15" s="59">
        <f t="shared" si="6"/>
        <v>25556986</v>
      </c>
      <c r="P15" s="59">
        <f t="shared" si="3"/>
        <v>26240231</v>
      </c>
      <c r="Q15" s="260" t="str">
        <f t="shared" si="4"/>
        <v>ok</v>
      </c>
      <c r="R15" s="58">
        <f>Caldwell!G34-Caldwell!G25</f>
        <v>26240231</v>
      </c>
      <c r="S15" s="212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</row>
    <row r="16" spans="1:318" ht="15.6">
      <c r="A16" s="258"/>
      <c r="B16" s="5" t="s">
        <v>825</v>
      </c>
      <c r="C16" s="59">
        <f>Cameron!G6+Cameron!G7+Cameron!G8+Cameron!G9+Cameron!G10</f>
        <v>44027069</v>
      </c>
      <c r="D16" s="59">
        <f>C16-Cameron!G9</f>
        <v>42169019</v>
      </c>
      <c r="E16" s="59">
        <f>Cameron!G11</f>
        <v>123784927</v>
      </c>
      <c r="F16" s="59">
        <f t="shared" si="5"/>
        <v>167811996</v>
      </c>
      <c r="G16" s="260" t="str">
        <f t="shared" si="0"/>
        <v>ok</v>
      </c>
      <c r="H16" s="58">
        <f>Cameron!G13</f>
        <v>167811996</v>
      </c>
      <c r="I16" s="59">
        <f>Cameron!G18+Cameron!G19+Cameron!G20+Cameron!G21+Cameron!G23</f>
        <v>5774040</v>
      </c>
      <c r="J16" s="59">
        <f>Cameron!G24</f>
        <v>3075083</v>
      </c>
      <c r="K16" s="59">
        <f t="shared" si="1"/>
        <v>8849123</v>
      </c>
      <c r="L16" s="260" t="str">
        <f t="shared" si="2"/>
        <v>ok</v>
      </c>
      <c r="M16" s="58">
        <f>Cameron!G26</f>
        <v>8849123</v>
      </c>
      <c r="N16" s="59">
        <f>Cameron!G31+Cameron!G33+Cameron!G34+Cameron!G35+Cameron!G36+Cameron!G37+Cameron!G38</f>
        <v>157993111</v>
      </c>
      <c r="O16" s="59">
        <f t="shared" si="6"/>
        <v>157993111</v>
      </c>
      <c r="P16" s="59">
        <f t="shared" si="3"/>
        <v>166842234</v>
      </c>
      <c r="Q16" s="260" t="str">
        <f t="shared" si="4"/>
        <v>ok</v>
      </c>
      <c r="R16" s="58">
        <f>Cameron!G42-Cameron!G28</f>
        <v>166842234</v>
      </c>
      <c r="S16" s="212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</row>
    <row r="17" spans="1:318" ht="15.6">
      <c r="A17" s="258"/>
      <c r="B17" s="5" t="s">
        <v>826</v>
      </c>
      <c r="C17" s="59">
        <f>Catahoula!H7+Catahoula!H8+Catahoula!H9+Catahoula!H10+Catahoula!H11</f>
        <v>3782352</v>
      </c>
      <c r="D17" s="59">
        <f>C17</f>
        <v>3782352</v>
      </c>
      <c r="E17" s="59">
        <f>Catahoula!H12</f>
        <v>6900530</v>
      </c>
      <c r="F17" s="59">
        <f t="shared" si="5"/>
        <v>10682882</v>
      </c>
      <c r="G17" s="260" t="str">
        <f t="shared" si="0"/>
        <v>ok</v>
      </c>
      <c r="H17" s="58">
        <f>Catahoula!H14</f>
        <v>10682882</v>
      </c>
      <c r="I17" s="59">
        <f>Catahoula!H20+Catahoula!H21+Catahoula!H22</f>
        <v>799674</v>
      </c>
      <c r="J17" s="59">
        <f>Catahoula!H23+Catahoula!H24</f>
        <v>191562</v>
      </c>
      <c r="K17" s="59">
        <f t="shared" si="1"/>
        <v>991236</v>
      </c>
      <c r="L17" s="260" t="str">
        <f t="shared" si="2"/>
        <v>ok</v>
      </c>
      <c r="M17" s="58">
        <f>Catahoula!H26</f>
        <v>991236</v>
      </c>
      <c r="N17" s="59">
        <f>Catahoula!H34+Catahoula!H35+Catahoula!H36</f>
        <v>9719745</v>
      </c>
      <c r="O17" s="59">
        <f t="shared" si="6"/>
        <v>9719745</v>
      </c>
      <c r="P17" s="59">
        <f t="shared" si="3"/>
        <v>10710981</v>
      </c>
      <c r="Q17" s="260" t="str">
        <f t="shared" si="4"/>
        <v>ok</v>
      </c>
      <c r="R17" s="58">
        <f>Catahoula!H40-Catahoula!H31</f>
        <v>10710981</v>
      </c>
      <c r="S17" s="212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</row>
    <row r="18" spans="1:318" ht="15.6">
      <c r="A18" s="258"/>
      <c r="B18" s="5" t="s">
        <v>827</v>
      </c>
      <c r="C18" s="59">
        <f>Claiborne!G6+Claiborne!G7+Claiborne!G8+Claiborne!G9+Claiborne!G10</f>
        <v>10944909</v>
      </c>
      <c r="D18" s="59">
        <f>C18</f>
        <v>10944909</v>
      </c>
      <c r="E18" s="59">
        <f>Claiborne!G11</f>
        <v>8351695</v>
      </c>
      <c r="F18" s="59">
        <f t="shared" si="5"/>
        <v>19296604</v>
      </c>
      <c r="G18" s="260" t="str">
        <f t="shared" si="0"/>
        <v>ok</v>
      </c>
      <c r="H18" s="58">
        <f>Claiborne!G13</f>
        <v>19296604</v>
      </c>
      <c r="I18" s="59">
        <f>Claiborne!G19+Claiborne!G20+Claiborne!G21+Claiborne!G22+Claiborne!G23</f>
        <v>802851</v>
      </c>
      <c r="J18" s="59">
        <f>Claiborne!G24+Claiborne!G25</f>
        <v>1477240</v>
      </c>
      <c r="K18" s="59">
        <f t="shared" si="1"/>
        <v>2280091</v>
      </c>
      <c r="L18" s="260" t="str">
        <f t="shared" si="2"/>
        <v>ok</v>
      </c>
      <c r="M18" s="58">
        <f>Claiborne!G27</f>
        <v>2280091</v>
      </c>
      <c r="N18" s="59">
        <f>Claiborne!G33+Claiborne!G35+Claiborne!G36+Claiborne!G37+Claiborne!G38+Claiborne!G39+Claiborne!G40+Claiborne!G41</f>
        <v>17112503</v>
      </c>
      <c r="O18" s="59">
        <f t="shared" si="6"/>
        <v>17112503</v>
      </c>
      <c r="P18" s="59">
        <f t="shared" si="3"/>
        <v>19392594</v>
      </c>
      <c r="Q18" s="260" t="str">
        <f t="shared" si="4"/>
        <v>ok</v>
      </c>
      <c r="R18" s="58">
        <f>Claiborne!G45-Claiborne!G30</f>
        <v>19392594</v>
      </c>
      <c r="S18" s="212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</row>
    <row r="19" spans="1:318" ht="15.6">
      <c r="A19" s="258"/>
      <c r="B19" s="5" t="s">
        <v>828</v>
      </c>
      <c r="C19" s="59">
        <f>Concodria!G7+Concodria!G8+Concodria!G9+Concodria!G10+Concodria!G11+Concodria!G12</f>
        <v>12602541</v>
      </c>
      <c r="D19" s="59">
        <f>C19</f>
        <v>12602541</v>
      </c>
      <c r="E19" s="59">
        <f>Concodria!G17</f>
        <v>10080096</v>
      </c>
      <c r="F19" s="59">
        <f t="shared" si="5"/>
        <v>22682637</v>
      </c>
      <c r="G19" s="260" t="str">
        <f t="shared" si="0"/>
        <v>ok</v>
      </c>
      <c r="H19" s="58">
        <f>Concodria!G18</f>
        <v>22682637</v>
      </c>
      <c r="I19" s="59">
        <f>Concodria!G26+Concodria!G27+Concodria!G28+Concodria!G29</f>
        <v>940178</v>
      </c>
      <c r="J19" s="59">
        <f>Concodria!G34+Concodria!G33</f>
        <v>8495978</v>
      </c>
      <c r="K19" s="59">
        <f t="shared" si="1"/>
        <v>9436156</v>
      </c>
      <c r="L19" s="260" t="str">
        <f t="shared" si="2"/>
        <v>ok</v>
      </c>
      <c r="M19" s="58">
        <f>Concodria!G37</f>
        <v>9436156</v>
      </c>
      <c r="N19" s="59">
        <f>Concodria!G43+Concodria!G45+Concodria!G46+Concodria!G47</f>
        <v>13446338</v>
      </c>
      <c r="O19" s="59">
        <f t="shared" si="6"/>
        <v>13446338</v>
      </c>
      <c r="P19" s="59">
        <f t="shared" si="3"/>
        <v>22882494</v>
      </c>
      <c r="Q19" s="260" t="str">
        <f t="shared" si="4"/>
        <v>ok</v>
      </c>
      <c r="R19" s="58">
        <f>Concodria!G51-Concodria!G40</f>
        <v>22882494</v>
      </c>
      <c r="S19" s="212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</row>
    <row r="20" spans="1:318" ht="15.6">
      <c r="A20" s="258"/>
      <c r="B20" s="5" t="s">
        <v>829</v>
      </c>
      <c r="C20" s="59">
        <f>DeSoto!J7+DeSoto!J8+DeSoto!J9+DeSoto!J10</f>
        <v>42665485</v>
      </c>
      <c r="D20" s="59">
        <f>C20-DeSoto!J10</f>
        <v>42639221</v>
      </c>
      <c r="E20" s="59">
        <f>DeSoto!J11</f>
        <v>76287737</v>
      </c>
      <c r="F20" s="59">
        <f t="shared" si="5"/>
        <v>118953222</v>
      </c>
      <c r="G20" s="260" t="str">
        <f t="shared" si="0"/>
        <v>ok</v>
      </c>
      <c r="H20" s="58">
        <f>DeSoto!J13</f>
        <v>118953222</v>
      </c>
      <c r="I20" s="59">
        <f>DeSoto!J19+DeSoto!J20+DeSoto!J21+DeSoto!J22+DeSoto!J23+DeSoto!J24+DeSoto!J25+DeSoto!J26+DeSoto!J27</f>
        <v>7778923</v>
      </c>
      <c r="J20" s="59">
        <f>DeSoto!J29</f>
        <v>449</v>
      </c>
      <c r="K20" s="59">
        <f t="shared" si="1"/>
        <v>7779372</v>
      </c>
      <c r="L20" s="260" t="str">
        <f t="shared" si="2"/>
        <v>ok</v>
      </c>
      <c r="M20" s="58">
        <f>DeSoto!J31</f>
        <v>7779372</v>
      </c>
      <c r="N20" s="59">
        <f>DeSoto!J36+DeSoto!J37+DeSoto!J38</f>
        <v>111602885</v>
      </c>
      <c r="O20" s="59">
        <f t="shared" si="6"/>
        <v>111602885</v>
      </c>
      <c r="P20" s="59">
        <f t="shared" si="3"/>
        <v>119382257</v>
      </c>
      <c r="Q20" s="260" t="str">
        <f t="shared" si="4"/>
        <v>ok</v>
      </c>
      <c r="R20" s="58">
        <f>DeSoto!J42</f>
        <v>119382257</v>
      </c>
      <c r="S20" s="212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</row>
    <row r="21" spans="1:318" ht="15.6">
      <c r="A21" s="258"/>
      <c r="B21" s="5" t="s">
        <v>830</v>
      </c>
      <c r="C21" s="59">
        <f>'East Baton Rouge'!J8+'East Baton Rouge'!J9+'East Baton Rouge'!J10+'East Baton Rouge'!J11+'East Baton Rouge'!J12+'East Baton Rouge'!J13+'East Baton Rouge'!J14</f>
        <v>737330561</v>
      </c>
      <c r="D21" s="59">
        <f>C21-'East Baton Rouge'!J14</f>
        <v>736341165</v>
      </c>
      <c r="E21" s="59">
        <f>'East Baton Rouge'!J17+'East Baton Rouge'!J18+'East Baton Rouge'!J19+'East Baton Rouge'!J20+'East Baton Rouge'!J22+'East Baton Rouge'!J23</f>
        <v>3140108899</v>
      </c>
      <c r="F21" s="59">
        <f t="shared" si="5"/>
        <v>3877439460</v>
      </c>
      <c r="G21" s="260" t="str">
        <f t="shared" si="0"/>
        <v>ok</v>
      </c>
      <c r="H21" s="58">
        <f>'East Baton Rouge'!J25</f>
        <v>3877439460</v>
      </c>
      <c r="I21" s="59">
        <f>'East Baton Rouge'!J35+'East Baton Rouge'!J37+'East Baton Rouge'!J38+'East Baton Rouge'!J39+'East Baton Rouge'!J40+'East Baton Rouge'!J43</f>
        <v>180440574</v>
      </c>
      <c r="J21" s="59">
        <f>'East Baton Rouge'!J44</f>
        <v>2920488801</v>
      </c>
      <c r="K21" s="59">
        <f t="shared" si="1"/>
        <v>3100929375</v>
      </c>
      <c r="L21" s="260" t="str">
        <f t="shared" si="2"/>
        <v>check</v>
      </c>
      <c r="M21" s="58">
        <f>'East Baton Rouge'!J46</f>
        <v>3103792546</v>
      </c>
      <c r="N21" s="59">
        <f>'East Baton Rouge'!J54+'East Baton Rouge'!J56+'East Baton Rouge'!J57+'East Baton Rouge'!J58+'East Baton Rouge'!J59+'East Baton Rouge'!J60</f>
        <v>1005095208</v>
      </c>
      <c r="O21" s="59">
        <f t="shared" si="6"/>
        <v>1005095208</v>
      </c>
      <c r="P21" s="59">
        <f t="shared" si="3"/>
        <v>4106024583</v>
      </c>
      <c r="Q21" s="260" t="str">
        <f t="shared" si="4"/>
        <v>check</v>
      </c>
      <c r="R21" s="58">
        <f>'East Baton Rouge'!J64-'East Baton Rouge'!J51</f>
        <v>4108887754</v>
      </c>
      <c r="S21" s="212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</row>
    <row r="22" spans="1:318" ht="15.6">
      <c r="A22" s="258"/>
      <c r="B22" s="5" t="s">
        <v>831</v>
      </c>
      <c r="C22" s="59">
        <f>'East Carroll'!J7+'East Carroll'!J8+'East Carroll'!J9+'East Carroll'!J10</f>
        <v>5660835</v>
      </c>
      <c r="D22" s="59">
        <f t="shared" ref="D22:D27" si="7">C22</f>
        <v>5660835</v>
      </c>
      <c r="E22" s="59">
        <f>'East Carroll'!J11+'East Carroll'!J12+'East Carroll'!J13</f>
        <v>6168496</v>
      </c>
      <c r="F22" s="59">
        <f t="shared" si="5"/>
        <v>11829331</v>
      </c>
      <c r="G22" s="260" t="str">
        <f t="shared" si="0"/>
        <v>ok</v>
      </c>
      <c r="H22" s="58">
        <f>'East Carroll'!J15</f>
        <v>11829331</v>
      </c>
      <c r="I22" s="59">
        <f>'East Carroll'!J22+'East Carroll'!J23+'East Carroll'!J25</f>
        <v>332469</v>
      </c>
      <c r="J22" s="59">
        <f>'East Carroll'!J26</f>
        <v>312078</v>
      </c>
      <c r="K22" s="59">
        <f t="shared" si="1"/>
        <v>644547</v>
      </c>
      <c r="L22" s="260" t="str">
        <f t="shared" si="2"/>
        <v>ok</v>
      </c>
      <c r="M22" s="58">
        <f>'East Carroll'!J28</f>
        <v>644547</v>
      </c>
      <c r="N22" s="59">
        <f>'East Carroll'!J35+'East Carroll'!J37+'East Carroll'!J38+'East Carroll'!J39+'East Carroll'!J40+'East Carroll'!J41+'East Carroll'!J42+'East Carroll'!J43+'East Carroll'!J44+'East Carroll'!J45+'East Carroll'!J46+'East Carroll'!J47</f>
        <v>11438576</v>
      </c>
      <c r="O22" s="59">
        <f t="shared" si="6"/>
        <v>11438576</v>
      </c>
      <c r="P22" s="59">
        <f t="shared" si="3"/>
        <v>12083123</v>
      </c>
      <c r="Q22" s="260" t="str">
        <f t="shared" si="4"/>
        <v>ok</v>
      </c>
      <c r="R22" s="58">
        <f>'East Carroll'!J51-'East Carroll'!J32:J32</f>
        <v>12083123</v>
      </c>
      <c r="S22" s="21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</row>
    <row r="23" spans="1:318" ht="15.6">
      <c r="A23" s="258"/>
      <c r="B23" s="5" t="s">
        <v>832</v>
      </c>
      <c r="C23" s="59">
        <f>'East Feliciana'!G6+'East Feliciana'!G7+'East Feliciana'!G8+'East Feliciana'!G9</f>
        <v>7738424</v>
      </c>
      <c r="D23" s="59">
        <f t="shared" si="7"/>
        <v>7738424</v>
      </c>
      <c r="E23" s="59">
        <f>'East Feliciana'!G10</f>
        <v>14087861</v>
      </c>
      <c r="F23" s="59">
        <f t="shared" si="5"/>
        <v>21826285</v>
      </c>
      <c r="G23" s="260" t="str">
        <f t="shared" si="0"/>
        <v>ok</v>
      </c>
      <c r="H23" s="58">
        <f>'East Feliciana'!G12</f>
        <v>21826285</v>
      </c>
      <c r="I23" s="59">
        <f>'East Feliciana'!G19+'East Feliciana'!G20+'East Feliciana'!G22+'East Feliciana'!G23</f>
        <v>1590372</v>
      </c>
      <c r="J23" s="59">
        <f>0</f>
        <v>0</v>
      </c>
      <c r="K23" s="59">
        <f t="shared" si="1"/>
        <v>1590372</v>
      </c>
      <c r="L23" s="260" t="str">
        <f t="shared" si="2"/>
        <v>ok</v>
      </c>
      <c r="M23" s="58">
        <f>'East Feliciana'!G25</f>
        <v>1590372</v>
      </c>
      <c r="N23" s="59">
        <f>'East Feliciana'!G32+'East Feliciana'!G34+'East Feliciana'!G35+'East Feliciana'!G36+'East Feliciana'!G37:G37</f>
        <v>20344820</v>
      </c>
      <c r="O23" s="59">
        <f t="shared" si="6"/>
        <v>20344820</v>
      </c>
      <c r="P23" s="59">
        <f t="shared" si="3"/>
        <v>21935192</v>
      </c>
      <c r="Q23" s="260" t="str">
        <f t="shared" si="4"/>
        <v>ok</v>
      </c>
      <c r="R23" s="58">
        <f>'East Feliciana'!G41-'East Feliciana'!G29</f>
        <v>21935192</v>
      </c>
      <c r="S23" s="212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</row>
    <row r="24" spans="1:318" ht="15.6">
      <c r="A24" s="258"/>
      <c r="B24" s="5" t="s">
        <v>833</v>
      </c>
      <c r="C24" s="59">
        <f>Evangeline!J7+Evangeline!J8+Evangeline!J9+Evangeline!J10</f>
        <v>16240227</v>
      </c>
      <c r="D24" s="59">
        <f t="shared" si="7"/>
        <v>16240227</v>
      </c>
      <c r="E24" s="59">
        <f>Evangeline!J12+Evangeline!J13+Evangeline!J14</f>
        <v>54484640</v>
      </c>
      <c r="F24" s="59">
        <f t="shared" si="5"/>
        <v>70724867</v>
      </c>
      <c r="G24" s="260" t="str">
        <f t="shared" si="0"/>
        <v>ok</v>
      </c>
      <c r="H24" s="58">
        <f>Evangeline!J16</f>
        <v>70724867</v>
      </c>
      <c r="I24" s="59">
        <f>Evangeline!J22+Evangeline!J23+Evangeline!J24+Evangeline!J25+Evangeline!J26+Evangeline!J29</f>
        <v>5386163</v>
      </c>
      <c r="J24" s="59">
        <f>Evangeline!J30+Evangeline!J31</f>
        <v>28386314</v>
      </c>
      <c r="K24" s="59">
        <f t="shared" si="1"/>
        <v>33772477</v>
      </c>
      <c r="L24" s="260" t="str">
        <f t="shared" si="2"/>
        <v>ok</v>
      </c>
      <c r="M24" s="58">
        <f>Evangeline!J33</f>
        <v>33772477</v>
      </c>
      <c r="N24" s="59">
        <f>Evangeline!J38+Evangeline!J40+Evangeline!J39</f>
        <v>37432425</v>
      </c>
      <c r="O24" s="59">
        <f t="shared" si="6"/>
        <v>37432425</v>
      </c>
      <c r="P24" s="59">
        <f t="shared" si="3"/>
        <v>71204902</v>
      </c>
      <c r="Q24" s="260" t="str">
        <f t="shared" si="4"/>
        <v>ok</v>
      </c>
      <c r="R24" s="58">
        <f>Evangeline!J44</f>
        <v>71204902</v>
      </c>
      <c r="S24" s="212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</row>
    <row r="25" spans="1:318" ht="15.6">
      <c r="A25" s="258"/>
      <c r="B25" s="5" t="s">
        <v>834</v>
      </c>
      <c r="C25" s="59">
        <f>Franklin!G6+Franklin!G7</f>
        <v>13410155</v>
      </c>
      <c r="D25" s="59">
        <f t="shared" si="7"/>
        <v>13410155</v>
      </c>
      <c r="E25" s="59">
        <f>Franklin!G8</f>
        <v>19315782</v>
      </c>
      <c r="F25" s="59">
        <f t="shared" si="5"/>
        <v>32725937</v>
      </c>
      <c r="G25" s="260" t="str">
        <f t="shared" si="0"/>
        <v>ok</v>
      </c>
      <c r="H25" s="58">
        <f>Franklin!G10</f>
        <v>32725937</v>
      </c>
      <c r="I25" s="59">
        <f>Franklin!G17+Franklin!G18+Franklin!G19+Franklin!G20+Franklin!G22</f>
        <v>656088</v>
      </c>
      <c r="J25" s="59">
        <f>Franklin!G23+Franklin!G24+Franklin!G25</f>
        <v>1710898</v>
      </c>
      <c r="K25" s="59">
        <f t="shared" si="1"/>
        <v>2366986</v>
      </c>
      <c r="L25" s="260" t="str">
        <f t="shared" si="2"/>
        <v>ok</v>
      </c>
      <c r="M25" s="58">
        <f>Franklin!G27</f>
        <v>2366986</v>
      </c>
      <c r="N25" s="59">
        <f>Franklin!G33+Franklin!G34</f>
        <v>30441224</v>
      </c>
      <c r="O25" s="59">
        <f t="shared" si="6"/>
        <v>30441224</v>
      </c>
      <c r="P25" s="59">
        <f t="shared" si="3"/>
        <v>32808210</v>
      </c>
      <c r="Q25" s="260" t="str">
        <f t="shared" si="4"/>
        <v>ok</v>
      </c>
      <c r="R25" s="58">
        <f>Franklin!G38-Franklin!G30</f>
        <v>32808210</v>
      </c>
      <c r="S25" s="212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</row>
    <row r="26" spans="1:318" ht="15.6">
      <c r="A26" s="258"/>
      <c r="B26" s="5" t="s">
        <v>469</v>
      </c>
      <c r="C26" s="59">
        <f>Grant!J7+Grant!J8</f>
        <v>3585511</v>
      </c>
      <c r="D26" s="59">
        <f t="shared" si="7"/>
        <v>3585511</v>
      </c>
      <c r="E26" s="59">
        <f>Grant!J11+Grant!J12+Grant!J13</f>
        <v>6448974</v>
      </c>
      <c r="F26" s="59">
        <f t="shared" si="5"/>
        <v>10034485</v>
      </c>
      <c r="G26" s="260" t="str">
        <f t="shared" si="0"/>
        <v>ok</v>
      </c>
      <c r="H26" s="58">
        <f>Grant!J15</f>
        <v>10034485</v>
      </c>
      <c r="I26" s="59">
        <f>Grant!J20+Grant!J21+Grant!J22+Grant!J27</f>
        <v>713219</v>
      </c>
      <c r="J26" s="59">
        <f>Grant!J25+Grant!J28+Grant!J29</f>
        <v>313915</v>
      </c>
      <c r="K26" s="59">
        <f t="shared" si="1"/>
        <v>1027134</v>
      </c>
      <c r="L26" s="260" t="str">
        <f t="shared" si="2"/>
        <v>ok</v>
      </c>
      <c r="M26" s="58">
        <f>Grant!J31</f>
        <v>1027134</v>
      </c>
      <c r="N26" s="59">
        <f>Grant!J36+Grant!J38+Grant!J39+Grant!J40+Grant!J41</f>
        <v>9269549</v>
      </c>
      <c r="O26" s="59">
        <f t="shared" si="6"/>
        <v>9269549</v>
      </c>
      <c r="P26" s="59">
        <f t="shared" si="3"/>
        <v>10296683</v>
      </c>
      <c r="Q26" s="260" t="str">
        <f t="shared" si="4"/>
        <v>ok</v>
      </c>
      <c r="R26" s="58">
        <f>Grant!J45-Grant!J33</f>
        <v>10296683</v>
      </c>
      <c r="S26" s="212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</row>
    <row r="27" spans="1:318" ht="15.6">
      <c r="A27" s="258"/>
      <c r="B27" s="5" t="s">
        <v>835</v>
      </c>
      <c r="C27" s="59">
        <f>Iberia!H7+Iberia!H8+Iberia!H9+Iberia!H10+Iberia!H11</f>
        <v>59850056</v>
      </c>
      <c r="D27" s="59">
        <f t="shared" si="7"/>
        <v>59850056</v>
      </c>
      <c r="E27" s="59">
        <f>Iberia!H19+Iberia!H20</f>
        <v>94128935</v>
      </c>
      <c r="F27" s="59">
        <f t="shared" si="5"/>
        <v>153978991</v>
      </c>
      <c r="G27" s="260" t="str">
        <f t="shared" si="0"/>
        <v>ok</v>
      </c>
      <c r="H27" s="58">
        <f>Iberia!H22</f>
        <v>153978991</v>
      </c>
      <c r="I27" s="59">
        <f>Iberia!H30+Iberia!H31+Iberia!H32+Iberia!H33+Iberia!H34+Iberia!H36+Iberia!H38+Iberia!H43</f>
        <v>5316081</v>
      </c>
      <c r="J27" s="59">
        <f>Iberia!H41+Iberia!H42+Iberia!H44</f>
        <v>18911008</v>
      </c>
      <c r="K27" s="59">
        <f t="shared" si="1"/>
        <v>24227089</v>
      </c>
      <c r="L27" s="260" t="str">
        <f t="shared" si="2"/>
        <v>ok</v>
      </c>
      <c r="M27" s="58">
        <f>Iberia!H46</f>
        <v>24227089</v>
      </c>
      <c r="N27" s="59">
        <f>Iberia!H52+Iberia!H54+Iberia!H55+Iberia!H56+Iberia!H57+Iberia!H58+Iberia!H59</f>
        <v>130909622</v>
      </c>
      <c r="O27" s="59">
        <f t="shared" si="6"/>
        <v>130909622</v>
      </c>
      <c r="P27" s="59">
        <f t="shared" si="3"/>
        <v>155136711</v>
      </c>
      <c r="Q27" s="260" t="str">
        <f t="shared" si="4"/>
        <v>ok</v>
      </c>
      <c r="R27" s="58">
        <f>Iberia!H63-Iberia!H49</f>
        <v>155136711</v>
      </c>
      <c r="S27" s="212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</row>
    <row r="28" spans="1:318" ht="15.6">
      <c r="A28" s="258"/>
      <c r="B28" s="5" t="s">
        <v>836</v>
      </c>
      <c r="C28" s="59">
        <f>Iberville!J8+Iberville!J10+Iberville!J11+Iberville!J12+Iberville!J13</f>
        <v>45085230</v>
      </c>
      <c r="D28" s="59">
        <f>C28-Iberville!J11</f>
        <v>44908010</v>
      </c>
      <c r="E28" s="59">
        <f>Iberville!J15+Iberville!J17+Iberville!J18+Iberville!J19+Iberville!J20+Iberville!J21</f>
        <v>129308170</v>
      </c>
      <c r="F28" s="59">
        <f t="shared" si="5"/>
        <v>174393400</v>
      </c>
      <c r="G28" s="260" t="str">
        <f t="shared" si="0"/>
        <v>ok</v>
      </c>
      <c r="H28" s="58">
        <f>Iberville!J23</f>
        <v>174393400</v>
      </c>
      <c r="I28" s="59">
        <f>Iberville!J29+Iberville!J33+Iberville!J34+Iberville!J38</f>
        <v>6603868</v>
      </c>
      <c r="J28" s="59">
        <f>Iberville!J36+Iberville!J37+Iberville!J39</f>
        <v>19426988</v>
      </c>
      <c r="K28" s="59">
        <f t="shared" si="1"/>
        <v>26030856</v>
      </c>
      <c r="L28" s="260" t="str">
        <f t="shared" si="2"/>
        <v>ok</v>
      </c>
      <c r="M28" s="58">
        <f>Iberville!J41</f>
        <v>26030856</v>
      </c>
      <c r="N28" s="59">
        <f>Iberville!J47+Iberville!J49+Iberville!J50+Iberville!J51+Iberville!J52+Iberville!J53+Iberville!J54+Iberville!J55+Iberville!J56+Iberville!J57</f>
        <v>149568120</v>
      </c>
      <c r="O28" s="59">
        <f t="shared" si="6"/>
        <v>149568120</v>
      </c>
      <c r="P28" s="59">
        <f t="shared" si="3"/>
        <v>175598976</v>
      </c>
      <c r="Q28" s="260" t="str">
        <f t="shared" si="4"/>
        <v>ok</v>
      </c>
      <c r="R28" s="58">
        <f>Iberville!J61-Iberville!J44</f>
        <v>175598976</v>
      </c>
      <c r="S28" s="212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</row>
    <row r="29" spans="1:318" ht="15.6">
      <c r="A29" s="258"/>
      <c r="B29" s="5" t="s">
        <v>837</v>
      </c>
      <c r="C29" s="59">
        <f>'Jackson '!G6+'Jackson '!G7+'Jackson '!G8</f>
        <v>16467835</v>
      </c>
      <c r="D29" s="59">
        <f>C29</f>
        <v>16467835</v>
      </c>
      <c r="E29" s="59">
        <f>'Jackson '!G10+'Jackson '!G11</f>
        <v>17232753</v>
      </c>
      <c r="F29" s="59">
        <f t="shared" si="5"/>
        <v>33700588</v>
      </c>
      <c r="G29" s="260" t="str">
        <f t="shared" si="0"/>
        <v>ok</v>
      </c>
      <c r="H29" s="58">
        <f>'Jackson '!G13</f>
        <v>33700588</v>
      </c>
      <c r="I29" s="59">
        <f>'Jackson '!G20+'Jackson '!G21+'Jackson '!G23</f>
        <v>889263</v>
      </c>
      <c r="J29" s="59">
        <f>'Jackson '!G24</f>
        <v>3340963</v>
      </c>
      <c r="K29" s="59">
        <f t="shared" si="1"/>
        <v>4230226</v>
      </c>
      <c r="L29" s="260" t="str">
        <f t="shared" si="2"/>
        <v>ok</v>
      </c>
      <c r="M29" s="58">
        <f>'Jackson '!G26</f>
        <v>4230226</v>
      </c>
      <c r="N29" s="59">
        <f>'Jackson '!G33+'Jackson '!G35+'Jackson '!G36+'Jackson '!G37+'Jackson '!G38+'Jackson '!G39+'Jackson '!G40+'Jackson '!G41+'Jackson '!G42+'Jackson '!G43+'Jackson '!G44+'Jackson '!G45</f>
        <v>29831288</v>
      </c>
      <c r="O29" s="59">
        <f t="shared" si="6"/>
        <v>29831288</v>
      </c>
      <c r="P29" s="59">
        <f t="shared" si="3"/>
        <v>34061514</v>
      </c>
      <c r="Q29" s="260" t="str">
        <f t="shared" si="4"/>
        <v>ok</v>
      </c>
      <c r="R29" s="58">
        <f>'Jackson '!G49-'Jackson '!G30</f>
        <v>34061514</v>
      </c>
      <c r="S29" s="212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</row>
    <row r="30" spans="1:318" ht="15.6">
      <c r="A30" s="258"/>
      <c r="B30" s="5" t="s">
        <v>838</v>
      </c>
      <c r="C30" s="59">
        <f>Jefferson!J9+Jefferson!J10+Jefferson!J11+Jefferson!J14+Jefferson!J15+Jefferson!J16+Jefferson!J19+Jefferson!J21+Jefferson!J22+Jefferson!J24+Jefferson!J25+Jefferson!J26+Jefferson!J27</f>
        <v>1157233</v>
      </c>
      <c r="D30" s="59">
        <f>C30-Jefferson!J21</f>
        <v>1146033</v>
      </c>
      <c r="E30" s="59">
        <f>Jefferson!J33+Jefferson!J35+Jefferson!J36</f>
        <v>2013385</v>
      </c>
      <c r="F30" s="59">
        <f t="shared" si="5"/>
        <v>3170618</v>
      </c>
      <c r="G30" s="260" t="str">
        <f t="shared" si="0"/>
        <v>ok</v>
      </c>
      <c r="H30" s="58">
        <f>Jefferson!J40</f>
        <v>3170618</v>
      </c>
      <c r="I30" s="59">
        <f>Jefferson!J51+Jefferson!J52+Jefferson!J53+Jefferson!J54+Jefferson!J55+Jefferson!J56+Jefferson!J57+Jefferson!J58+Jefferson!J59+Jefferson!J60+Jefferson!J62+Jefferson!J63+Jefferson!J66</f>
        <v>324006</v>
      </c>
      <c r="J30" s="83">
        <f>Jefferson!J71+Jefferson!J72+Jefferson!J73+Jefferson!J74+Jefferson!J75</f>
        <v>751689</v>
      </c>
      <c r="K30" s="59">
        <f t="shared" si="1"/>
        <v>1075695</v>
      </c>
      <c r="L30" s="260" t="str">
        <f t="shared" si="2"/>
        <v>ok</v>
      </c>
      <c r="M30" s="58">
        <f>Jefferson!J79</f>
        <v>1075695</v>
      </c>
      <c r="N30" s="59">
        <f>Jefferson!J85+Jefferson!J87+Jefferson!J88+Jefferson!J89+Jefferson!J90+Jefferson!J91+Jefferson!J92+Jefferson!J93+Jefferson!J94+Jefferson!J95+Jefferson!J96+Jefferson!J97+Jefferson!J98+Jefferson!J99</f>
        <v>2146659</v>
      </c>
      <c r="O30" s="59">
        <f t="shared" si="6"/>
        <v>2146659</v>
      </c>
      <c r="P30" s="59">
        <f>SUM(O30,K30)</f>
        <v>3222354</v>
      </c>
      <c r="Q30" s="260" t="str">
        <f t="shared" si="4"/>
        <v>ok</v>
      </c>
      <c r="R30" s="58">
        <f>Jefferson!J103-Jefferson!J82</f>
        <v>3222354</v>
      </c>
      <c r="S30" s="212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</row>
    <row r="31" spans="1:318" ht="15.6">
      <c r="A31" s="258"/>
      <c r="B31" s="5" t="s">
        <v>839</v>
      </c>
      <c r="C31" s="59">
        <f>'Jefferson Davis'!G6+'Jefferson Davis'!G7+'Jefferson Davis'!G8+'Jefferson Davis'!G9</f>
        <v>26683456</v>
      </c>
      <c r="D31" s="59">
        <f>C31</f>
        <v>26683456</v>
      </c>
      <c r="E31" s="59">
        <f>'Jefferson Davis'!G10+'Jefferson Davis'!G11</f>
        <v>36942267</v>
      </c>
      <c r="F31" s="59">
        <f t="shared" si="5"/>
        <v>63625723</v>
      </c>
      <c r="G31" s="260" t="str">
        <f t="shared" si="0"/>
        <v>ok</v>
      </c>
      <c r="H31" s="58">
        <f>'Jefferson Davis'!G13</f>
        <v>63625723</v>
      </c>
      <c r="I31" s="59">
        <f>'Jefferson Davis'!G21+'Jefferson Davis'!G22+'Jefferson Davis'!G23+'Jefferson Davis'!G24+'Jefferson Davis'!G25+'Jefferson Davis'!G26+'Jefferson Davis'!G27</f>
        <v>5283495</v>
      </c>
      <c r="J31" s="59">
        <f>'Jefferson Davis'!G28+'Jefferson Davis'!G29+'Jefferson Davis'!G30</f>
        <v>14642625</v>
      </c>
      <c r="K31" s="59">
        <f t="shared" si="1"/>
        <v>19926120</v>
      </c>
      <c r="L31" s="260" t="str">
        <f t="shared" si="2"/>
        <v>ok</v>
      </c>
      <c r="M31" s="58">
        <f>'Jefferson Davis'!G32</f>
        <v>19926120</v>
      </c>
      <c r="N31" s="59">
        <f>'Jefferson Davis'!G40+'Jefferson Davis'!G42+'Jefferson Davis'!G43+'Jefferson Davis'!G44+'Jefferson Davis'!G45+'Jefferson Davis'!G46+'Jefferson Davis'!G47</f>
        <v>43827819</v>
      </c>
      <c r="O31" s="59">
        <f t="shared" si="6"/>
        <v>43827819</v>
      </c>
      <c r="P31" s="59">
        <f t="shared" si="3"/>
        <v>63753939</v>
      </c>
      <c r="Q31" s="260" t="str">
        <f t="shared" si="4"/>
        <v>ok</v>
      </c>
      <c r="R31" s="58">
        <f>'Jefferson Davis'!G51-'Jefferson Davis'!G37</f>
        <v>63753939</v>
      </c>
      <c r="S31" s="212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</row>
    <row r="32" spans="1:318" ht="15.6">
      <c r="A32" s="258"/>
      <c r="B32" s="5" t="s">
        <v>840</v>
      </c>
      <c r="C32" s="59">
        <f>Lafayette!J7+Lafayette!J8+Lafayette!J9+Lafayette!J12+Lafayette!J13+Lafayette!J14+Lafayette!J15</f>
        <v>394534129</v>
      </c>
      <c r="D32" s="59">
        <f>C32-Lafayette!J13</f>
        <v>374075904</v>
      </c>
      <c r="E32" s="59">
        <f>Lafayette!J17+Lafayette!J18+Lafayette!J19+Lafayette!J20+Lafayette!J22+Lafayette!J23</f>
        <v>1536075116</v>
      </c>
      <c r="F32" s="59">
        <f t="shared" si="5"/>
        <v>1930609245</v>
      </c>
      <c r="G32" s="260" t="str">
        <f t="shared" si="0"/>
        <v>ok</v>
      </c>
      <c r="H32" s="58">
        <f>Lafayette!J25</f>
        <v>1930609245</v>
      </c>
      <c r="I32" s="59">
        <f>Lafayette!J34+Lafayette!J35+Lafayette!J36+Lafayette!J37+Lafayette!J38+Lafayette!J40</f>
        <v>66615388</v>
      </c>
      <c r="J32" s="59">
        <f>Lafayette!J41+Lafayette!J42+Lafayette!J43</f>
        <v>978301154</v>
      </c>
      <c r="K32" s="59">
        <f t="shared" si="1"/>
        <v>1044916542</v>
      </c>
      <c r="L32" s="260" t="str">
        <f t="shared" si="2"/>
        <v>ok</v>
      </c>
      <c r="M32" s="58">
        <f>Lafayette!J45</f>
        <v>1044916542</v>
      </c>
      <c r="N32" s="59">
        <f>Lafayette!J54+Lafayette!J56+Lafayette!J57+Lafayette!J58+Lafayette!J59</f>
        <v>943542017</v>
      </c>
      <c r="O32" s="59">
        <f t="shared" si="6"/>
        <v>943542017</v>
      </c>
      <c r="P32" s="59">
        <f t="shared" si="3"/>
        <v>1988458559</v>
      </c>
      <c r="Q32" s="260" t="str">
        <f t="shared" si="4"/>
        <v>ok</v>
      </c>
      <c r="R32" s="58">
        <f>Lafayette!J63-Lafayette!J50</f>
        <v>1988458559</v>
      </c>
      <c r="S32" s="21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</row>
    <row r="33" spans="1:318" ht="15.6">
      <c r="A33" s="258"/>
      <c r="B33" s="5" t="s">
        <v>841</v>
      </c>
      <c r="C33" s="59">
        <f>Lafourche!J7+Lafourche!J8+Lafourche!J9+Lafourche!J10+Lafourche!J11</f>
        <v>82518314</v>
      </c>
      <c r="D33" s="59">
        <f>C33</f>
        <v>82518314</v>
      </c>
      <c r="E33" s="59">
        <f>Lafourche!J13+Lafourche!J14</f>
        <v>104264726</v>
      </c>
      <c r="F33" s="59">
        <f t="shared" si="5"/>
        <v>186783040</v>
      </c>
      <c r="G33" s="260" t="str">
        <f t="shared" si="0"/>
        <v>ok</v>
      </c>
      <c r="H33" s="58">
        <f>Lafourche!J16</f>
        <v>186783040</v>
      </c>
      <c r="I33" s="59">
        <f>Lafourche!J26+Lafourche!J27+Lafourche!J28+Lafourche!J29+Lafourche!J31</f>
        <v>13087847</v>
      </c>
      <c r="J33" s="59">
        <f>Lafourche!J32</f>
        <v>42264212</v>
      </c>
      <c r="K33" s="59">
        <f t="shared" si="1"/>
        <v>55352059</v>
      </c>
      <c r="L33" s="260" t="str">
        <f t="shared" si="2"/>
        <v>ok</v>
      </c>
      <c r="M33" s="58">
        <f>Lafourche!J34</f>
        <v>55352059</v>
      </c>
      <c r="N33" s="59">
        <f>Lafourche!J40+Lafourche!J42+Lafourche!J43+Lafourche!J44</f>
        <v>132353316</v>
      </c>
      <c r="O33" s="59">
        <f t="shared" si="6"/>
        <v>132353316</v>
      </c>
      <c r="P33" s="59">
        <f t="shared" si="3"/>
        <v>187705375</v>
      </c>
      <c r="Q33" s="260" t="str">
        <f t="shared" si="4"/>
        <v>ok</v>
      </c>
      <c r="R33" s="58">
        <f>Lafourche!J48-Lafourche!J37</f>
        <v>187705375</v>
      </c>
      <c r="S33" s="212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</row>
    <row r="34" spans="1:318" ht="15.6">
      <c r="A34" s="258"/>
      <c r="B34" s="5" t="s">
        <v>842</v>
      </c>
      <c r="C34" s="59">
        <f>LaSalle!G6+LaSalle!G7+LaSalle!G8</f>
        <v>5801893</v>
      </c>
      <c r="D34" s="59">
        <f>C34</f>
        <v>5801893</v>
      </c>
      <c r="E34" s="59">
        <f>LaSalle!G9</f>
        <v>8452909</v>
      </c>
      <c r="F34" s="59">
        <f t="shared" si="5"/>
        <v>14254802</v>
      </c>
      <c r="G34" s="260" t="str">
        <f t="shared" si="0"/>
        <v>ok</v>
      </c>
      <c r="H34" s="58">
        <f>LaSalle!G11</f>
        <v>14254802</v>
      </c>
      <c r="I34" s="59">
        <f>LaSalle!G19+LaSalle!G20+LaSalle!G21+LaSalle!G22+LaSalle!G23+LaSalle!G25</f>
        <v>1130521</v>
      </c>
      <c r="J34" s="59">
        <f>LaSalle!G26</f>
        <v>69377</v>
      </c>
      <c r="K34" s="59">
        <f t="shared" si="1"/>
        <v>1199898</v>
      </c>
      <c r="L34" s="260" t="str">
        <f t="shared" si="2"/>
        <v>ok</v>
      </c>
      <c r="M34" s="58">
        <f>LaSalle!G28</f>
        <v>1199898</v>
      </c>
      <c r="N34" s="59">
        <f>LaSalle!G34+LaSalle!G35</f>
        <v>13141683</v>
      </c>
      <c r="O34" s="59">
        <f t="shared" si="6"/>
        <v>13141683</v>
      </c>
      <c r="P34" s="59">
        <f t="shared" si="3"/>
        <v>14341581</v>
      </c>
      <c r="Q34" s="260" t="str">
        <f t="shared" si="4"/>
        <v>ok</v>
      </c>
      <c r="R34" s="58">
        <f>LaSalle!G39-LaSalle!G31</f>
        <v>14341581</v>
      </c>
      <c r="S34" s="212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</row>
    <row r="35" spans="1:318" ht="15.6">
      <c r="A35" s="258"/>
      <c r="B35" s="5" t="s">
        <v>843</v>
      </c>
      <c r="C35" s="59">
        <f>Lincoln!G6+Lincoln!G7+Lincoln!G8+Lincoln!G9+Lincoln!G10</f>
        <v>43309110</v>
      </c>
      <c r="D35" s="59">
        <f>C35-Lincoln!G10</f>
        <v>43297528</v>
      </c>
      <c r="E35" s="59">
        <f>Lincoln!G11</f>
        <v>22658045</v>
      </c>
      <c r="F35" s="59">
        <f t="shared" si="5"/>
        <v>65967155</v>
      </c>
      <c r="G35" s="260" t="str">
        <f t="shared" si="0"/>
        <v>ok</v>
      </c>
      <c r="H35" s="58">
        <f>Lincoln!G13</f>
        <v>65967155</v>
      </c>
      <c r="I35" s="59">
        <f>Lincoln!G19+Lincoln!G20+Lincoln!G21+Lincoln!G22+Lincoln!G23</f>
        <v>3261563</v>
      </c>
      <c r="J35" s="59">
        <f>Lincoln!G24+Lincoln!G25+Lincoln!G26</f>
        <v>4380987</v>
      </c>
      <c r="K35" s="59">
        <f t="shared" si="1"/>
        <v>7642550</v>
      </c>
      <c r="L35" s="260" t="str">
        <f t="shared" si="2"/>
        <v>ok</v>
      </c>
      <c r="M35" s="58">
        <f>Lincoln!G28</f>
        <v>7642550</v>
      </c>
      <c r="N35" s="59">
        <f>Lincoln!G34+Lincoln!G35+Lincoln!G36</f>
        <v>58585700</v>
      </c>
      <c r="O35" s="59">
        <f t="shared" si="6"/>
        <v>58585700</v>
      </c>
      <c r="P35" s="59">
        <f t="shared" si="3"/>
        <v>66228250</v>
      </c>
      <c r="Q35" s="260" t="str">
        <f t="shared" si="4"/>
        <v>ok</v>
      </c>
      <c r="R35" s="58">
        <f>Lincoln!G40-Lincoln!G31</f>
        <v>66228250</v>
      </c>
      <c r="S35" s="212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</row>
    <row r="36" spans="1:318" ht="15.6">
      <c r="A36" s="258"/>
      <c r="B36" s="5" t="s">
        <v>883</v>
      </c>
      <c r="C36" s="59">
        <f>Livingston!J6+Livingston!J7+Livingston!J8+Livingston!J9+Livingston!J11+Livingston!J12+Livingston!J13+Livingston!J14</f>
        <v>29617405</v>
      </c>
      <c r="D36" s="59">
        <f>C36-Livingston!J9</f>
        <v>29385646</v>
      </c>
      <c r="E36" s="59">
        <f>Livingston!J16+Livingston!J18+Livingston!J19</f>
        <v>149457638</v>
      </c>
      <c r="F36" s="59">
        <f t="shared" si="5"/>
        <v>179075043</v>
      </c>
      <c r="G36" s="260" t="str">
        <f t="shared" si="0"/>
        <v>ok</v>
      </c>
      <c r="H36" s="58">
        <f>Livingston!J21</f>
        <v>179075043</v>
      </c>
      <c r="I36" s="59">
        <f>Livingston!J30+Livingston!J31+Livingston!J32+Livingston!J33+Livingston!J34+Livingston!J36</f>
        <v>12602480</v>
      </c>
      <c r="J36" s="59">
        <f>Livingston!J37</f>
        <v>73874514</v>
      </c>
      <c r="K36" s="59">
        <f t="shared" si="1"/>
        <v>86476994</v>
      </c>
      <c r="L36" s="260" t="str">
        <f t="shared" si="2"/>
        <v>ok</v>
      </c>
      <c r="M36" s="58">
        <f>Livingston!J39</f>
        <v>86476994</v>
      </c>
      <c r="N36" s="59">
        <f>Livingston!J46+Livingston!J48+Livingston!J49+Livingston!J50+Livingston!J51+Livingston!J52</f>
        <v>97344934</v>
      </c>
      <c r="O36" s="59">
        <f t="shared" si="6"/>
        <v>97344934</v>
      </c>
      <c r="P36" s="59">
        <f t="shared" si="3"/>
        <v>183821928</v>
      </c>
      <c r="Q36" s="260" t="str">
        <f t="shared" si="4"/>
        <v>ok</v>
      </c>
      <c r="R36" s="58">
        <f>Livingston!J56-Livingston!J43</f>
        <v>183821928</v>
      </c>
      <c r="S36" s="212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</row>
    <row r="37" spans="1:318" ht="15.6">
      <c r="A37" s="259"/>
      <c r="B37" s="5" t="s">
        <v>845</v>
      </c>
      <c r="C37" s="59">
        <f>Madison!G6+Madison!G7+Madison!G8</f>
        <v>15080856</v>
      </c>
      <c r="D37" s="59">
        <f>C37</f>
        <v>15080856</v>
      </c>
      <c r="E37" s="59">
        <f>Madison!G9</f>
        <v>7751890</v>
      </c>
      <c r="F37" s="59">
        <f t="shared" si="5"/>
        <v>22832746</v>
      </c>
      <c r="G37" s="260" t="str">
        <f t="shared" si="0"/>
        <v>ok</v>
      </c>
      <c r="H37" s="58">
        <f>Madison!G11</f>
        <v>22832746</v>
      </c>
      <c r="I37" s="59">
        <f>Madison!G16+Madison!G18</f>
        <v>452007</v>
      </c>
      <c r="J37" s="59">
        <f>Madison!G19</f>
        <v>665717</v>
      </c>
      <c r="K37" s="59">
        <f t="shared" si="1"/>
        <v>1117724</v>
      </c>
      <c r="L37" s="260" t="str">
        <f t="shared" si="2"/>
        <v>ok</v>
      </c>
      <c r="M37" s="58">
        <f>Madison!G21</f>
        <v>1117724</v>
      </c>
      <c r="N37" s="59">
        <f>Madison!G26+Madison!G28+Madison!G29+Madison!G30+Madison!G31+Madison!G32+Madison!G33+Madison!G34+Madison!G35</f>
        <v>22312515</v>
      </c>
      <c r="O37" s="59">
        <f t="shared" si="6"/>
        <v>22312515</v>
      </c>
      <c r="P37" s="59">
        <f t="shared" si="3"/>
        <v>23430239</v>
      </c>
      <c r="Q37" s="260" t="str">
        <f t="shared" si="4"/>
        <v>ok</v>
      </c>
      <c r="R37" s="58">
        <f>Madison!G39-Madison!G23</f>
        <v>23430239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</row>
    <row r="38" spans="1:318" ht="15.6">
      <c r="A38" s="258"/>
      <c r="B38" s="5" t="s">
        <v>846</v>
      </c>
      <c r="C38" s="59">
        <f>Morehouse!G6+Morehouse!G7+Morehouse!G8</f>
        <v>7442281</v>
      </c>
      <c r="D38" s="59">
        <f>C38</f>
        <v>7442281</v>
      </c>
      <c r="E38" s="59">
        <f>Morehouse!G10+Morehouse!G11</f>
        <v>12974902</v>
      </c>
      <c r="F38" s="59">
        <f t="shared" si="5"/>
        <v>20417183</v>
      </c>
      <c r="G38" s="260" t="str">
        <f t="shared" si="0"/>
        <v>ok</v>
      </c>
      <c r="H38" s="58">
        <f>Morehouse!G13</f>
        <v>20417183</v>
      </c>
      <c r="I38" s="59">
        <f>Morehouse!G19+Morehouse!G20+Morehouse!G21+Morehouse!G23</f>
        <v>2457843</v>
      </c>
      <c r="J38" s="59">
        <f>Morehouse!G24</f>
        <v>44944</v>
      </c>
      <c r="K38" s="59">
        <f t="shared" si="1"/>
        <v>2502787</v>
      </c>
      <c r="L38" s="260" t="str">
        <f t="shared" si="2"/>
        <v>ok</v>
      </c>
      <c r="M38" s="58">
        <f>Morehouse!G26</f>
        <v>2502787</v>
      </c>
      <c r="N38" s="59">
        <f>Morehouse!G34+Morehouse!G35+Morehouse!G36</f>
        <v>16033007</v>
      </c>
      <c r="O38" s="59">
        <f t="shared" si="6"/>
        <v>16033007</v>
      </c>
      <c r="P38" s="59">
        <f t="shared" si="3"/>
        <v>18535794</v>
      </c>
      <c r="Q38" s="260" t="str">
        <f t="shared" si="4"/>
        <v>ok</v>
      </c>
      <c r="R38" s="58">
        <f>Morehouse!G40-Morehouse!G31</f>
        <v>18535794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</row>
    <row r="39" spans="1:318" ht="15.6">
      <c r="A39" s="258"/>
      <c r="B39" s="5" t="s">
        <v>847</v>
      </c>
      <c r="C39" s="59">
        <f>Natchitoches!H7+Natchitoches!H8</f>
        <v>14339320</v>
      </c>
      <c r="D39" s="59">
        <f>C39</f>
        <v>14339320</v>
      </c>
      <c r="E39" s="59">
        <f>Natchitoches!H11</f>
        <v>10781636</v>
      </c>
      <c r="F39" s="59">
        <f t="shared" si="5"/>
        <v>25120956</v>
      </c>
      <c r="G39" s="260" t="str">
        <f t="shared" si="0"/>
        <v>ok</v>
      </c>
      <c r="H39" s="58">
        <f>Natchitoches!H13</f>
        <v>25120956</v>
      </c>
      <c r="I39" s="59">
        <f>Natchitoches!H19+Natchitoches!H20+Natchitoches!H21+Natchitoches!H22</f>
        <v>1545710</v>
      </c>
      <c r="J39" s="59">
        <f>Natchitoches!H25+Natchitoches!H26+Natchitoches!H27</f>
        <v>1706907</v>
      </c>
      <c r="K39" s="59">
        <f t="shared" si="1"/>
        <v>3252617</v>
      </c>
      <c r="L39" s="260" t="str">
        <f t="shared" si="2"/>
        <v>ok</v>
      </c>
      <c r="M39" s="58">
        <f>Natchitoches!H31</f>
        <v>3252617</v>
      </c>
      <c r="N39" s="59">
        <f>Natchitoches!H36+Natchitoches!H37</f>
        <v>22667498</v>
      </c>
      <c r="O39" s="59">
        <f t="shared" si="6"/>
        <v>22667498</v>
      </c>
      <c r="P39" s="59">
        <f t="shared" si="3"/>
        <v>25920115</v>
      </c>
      <c r="Q39" s="260" t="str">
        <f t="shared" si="4"/>
        <v>ok</v>
      </c>
      <c r="R39" s="58">
        <f>Natchitoches!H41-Natchitoches!H33</f>
        <v>25920115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</row>
    <row r="40" spans="1:318" ht="15.6">
      <c r="A40" s="258"/>
      <c r="B40" s="5" t="s">
        <v>848</v>
      </c>
      <c r="C40" s="59">
        <f>Orleans!H7+Orleans!H8+Orleans!H10+Orleans!H11+Orleans!H13+Orleans!H15+Orleans!H16+Orleans!H17</f>
        <v>454342</v>
      </c>
      <c r="D40" s="59">
        <f>C40</f>
        <v>454342</v>
      </c>
      <c r="E40" s="59">
        <f>Orleans!H19</f>
        <v>1611132</v>
      </c>
      <c r="F40" s="59">
        <f t="shared" si="5"/>
        <v>2065474</v>
      </c>
      <c r="G40" s="260" t="str">
        <f t="shared" si="0"/>
        <v>ok</v>
      </c>
      <c r="H40" s="58">
        <f>Orleans!H21</f>
        <v>2065474</v>
      </c>
      <c r="I40" s="59">
        <f>Orleans!H30+Orleans!H31+Orleans!H32+Orleans!H33+Orleans!H34+Orleans!H35+Orleans!H36+Orleans!H38</f>
        <v>227875</v>
      </c>
      <c r="J40" s="59">
        <f>Orleans!H39</f>
        <v>2304860</v>
      </c>
      <c r="K40" s="59">
        <f t="shared" si="1"/>
        <v>2532735</v>
      </c>
      <c r="L40" s="260" t="str">
        <f t="shared" si="2"/>
        <v>ok</v>
      </c>
      <c r="M40" s="58">
        <f>Orleans!H41</f>
        <v>2532735</v>
      </c>
      <c r="N40" s="59">
        <f>Orleans!H51+Orleans!H52+Orleans!H53+Orleans!H55</f>
        <v>-294185</v>
      </c>
      <c r="O40" s="59">
        <f t="shared" si="6"/>
        <v>-294185</v>
      </c>
      <c r="P40" s="59">
        <f t="shared" si="3"/>
        <v>2238550</v>
      </c>
      <c r="Q40" s="260" t="str">
        <f t="shared" si="4"/>
        <v>ok</v>
      </c>
      <c r="R40" s="58">
        <f>Orleans!H59-Orleans!H48</f>
        <v>2238550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</row>
    <row r="41" spans="1:318" ht="15.6">
      <c r="A41" s="258"/>
      <c r="B41" s="5" t="s">
        <v>849</v>
      </c>
      <c r="C41" s="59">
        <f>'Ouachita '!H7+'Ouachita '!H8+'Ouachita '!H10+'Ouachita '!H11+'Ouachita '!H12+'Ouachita '!H13+'Ouachita '!H14+'Ouachita '!H15+'Ouachita '!H16+'Ouachita '!H17+'Ouachita '!H18</f>
        <v>110267170</v>
      </c>
      <c r="D41" s="59">
        <f>C41-'Ouachita '!H18</f>
        <v>109698625</v>
      </c>
      <c r="E41" s="59">
        <f>'Ouachita '!H19+'Ouachita '!H20</f>
        <v>186297253</v>
      </c>
      <c r="F41" s="59">
        <f t="shared" si="5"/>
        <v>296564423</v>
      </c>
      <c r="G41" s="260" t="str">
        <f t="shared" si="0"/>
        <v>ok</v>
      </c>
      <c r="H41" s="58">
        <f>'Ouachita '!H22</f>
        <v>296564423</v>
      </c>
      <c r="I41" s="59">
        <f>'Ouachita '!H30+'Ouachita '!H31+'Ouachita '!H32+'Ouachita '!H34</f>
        <v>9271046</v>
      </c>
      <c r="J41" s="59">
        <f>'Ouachita '!H35+'Ouachita '!H36</f>
        <v>30240675</v>
      </c>
      <c r="K41" s="59">
        <f t="shared" si="1"/>
        <v>39511721</v>
      </c>
      <c r="L41" s="260" t="str">
        <f t="shared" si="2"/>
        <v>ok</v>
      </c>
      <c r="M41" s="58">
        <f>'Ouachita '!H38</f>
        <v>39511721</v>
      </c>
      <c r="N41" s="59">
        <f>'Ouachita '!H46+'Ouachita '!H48+'Ouachita '!H49+'Ouachita '!H50+'Ouachita '!H51+'Ouachita '!H52+'Ouachita '!H53+'Ouachita '!H54+'Ouachita '!H55+'Ouachita '!H56+'Ouachita '!H57</f>
        <v>263317503</v>
      </c>
      <c r="O41" s="59">
        <f t="shared" si="6"/>
        <v>263317503</v>
      </c>
      <c r="P41" s="59">
        <f t="shared" si="3"/>
        <v>302829224</v>
      </c>
      <c r="Q41" s="260" t="str">
        <f t="shared" si="4"/>
        <v>ok</v>
      </c>
      <c r="R41" s="58">
        <f>'Ouachita '!H61</f>
        <v>302829224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</row>
    <row r="42" spans="1:318" ht="15.6">
      <c r="A42" s="258"/>
      <c r="B42" s="5" t="s">
        <v>850</v>
      </c>
      <c r="C42" s="59">
        <f>Plaquemines!J7+Plaquemines!J8+Plaquemines!J9+Plaquemines!J10</f>
        <v>178522128</v>
      </c>
      <c r="D42" s="59">
        <f t="shared" ref="D42:D47" si="8">C42</f>
        <v>178522128</v>
      </c>
      <c r="E42" s="59">
        <f>Plaquemines!J16+Plaquemines!J17</f>
        <v>569347522</v>
      </c>
      <c r="F42" s="59">
        <f t="shared" si="5"/>
        <v>747869650</v>
      </c>
      <c r="G42" s="260" t="str">
        <f t="shared" si="0"/>
        <v>ok</v>
      </c>
      <c r="H42" s="58">
        <f>Plaquemines!J21</f>
        <v>747869650</v>
      </c>
      <c r="I42" s="59">
        <f>Plaquemines!J29+Plaquemines!J30+Plaquemines!J31+Plaquemines!J32+Plaquemines!J33+Plaquemines!J34+Plaquemines!J35+Plaquemines!J36+Plaquemines!J37</f>
        <v>38802294</v>
      </c>
      <c r="J42" s="59">
        <f>Plaquemines!J42+Plaquemines!J43+Plaquemines!J44+Plaquemines!J45+Plaquemines!J46+Plaquemines!J47</f>
        <v>157341209</v>
      </c>
      <c r="K42" s="59">
        <f t="shared" si="1"/>
        <v>196143503</v>
      </c>
      <c r="L42" s="260" t="str">
        <f t="shared" si="2"/>
        <v>ok</v>
      </c>
      <c r="M42" s="58">
        <f>Plaquemines!J51</f>
        <v>196143503</v>
      </c>
      <c r="N42" s="59">
        <f>Plaquemines!J58+Plaquemines!J59+Plaquemines!J60</f>
        <v>558182555</v>
      </c>
      <c r="O42" s="59">
        <f t="shared" si="6"/>
        <v>558182555</v>
      </c>
      <c r="P42" s="59">
        <f t="shared" si="3"/>
        <v>754326058</v>
      </c>
      <c r="Q42" s="260" t="str">
        <f t="shared" si="4"/>
        <v>ok</v>
      </c>
      <c r="R42" s="58">
        <f>Plaquemines!J64-Plaquemines!J55</f>
        <v>754326058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</row>
    <row r="43" spans="1:318" ht="15.6">
      <c r="A43" s="258"/>
      <c r="B43" s="5" t="s">
        <v>884</v>
      </c>
      <c r="C43" s="59">
        <f>'Pointe Couppe'!H7+'Pointe Couppe'!H8+'Pointe Couppe'!H9+'Pointe Couppe'!H10+'Pointe Couppe'!H11+'Pointe Couppe'!H13+'Pointe Couppe'!H14</f>
        <v>9522405</v>
      </c>
      <c r="D43" s="59">
        <f t="shared" si="8"/>
        <v>9522405</v>
      </c>
      <c r="E43" s="59">
        <f>'Pointe Couppe'!H16+'Pointe Couppe'!H17</f>
        <v>21555810</v>
      </c>
      <c r="F43" s="59">
        <f t="shared" si="5"/>
        <v>31078215</v>
      </c>
      <c r="G43" s="260" t="str">
        <f t="shared" si="0"/>
        <v>ok</v>
      </c>
      <c r="H43" s="58">
        <f>'Pointe Couppe'!H19</f>
        <v>31078215</v>
      </c>
      <c r="I43" s="59">
        <f>'Pointe Couppe'!H22+'Pointe Couppe'!H23+'Pointe Couppe'!H24+'Pointe Couppe'!H26</f>
        <v>3923576</v>
      </c>
      <c r="J43" s="59">
        <f>'Pointe Couppe'!H27+'Pointe Couppe'!H28+'Pointe Couppe'!H29</f>
        <v>8201545</v>
      </c>
      <c r="K43" s="59">
        <f t="shared" si="1"/>
        <v>12125121</v>
      </c>
      <c r="L43" s="260" t="str">
        <f t="shared" si="2"/>
        <v>ok</v>
      </c>
      <c r="M43" s="58">
        <f>'Pointe Couppe'!H31</f>
        <v>12125121</v>
      </c>
      <c r="N43" s="59">
        <f>'Pointe Couppe'!H40+'Pointe Couppe'!H42+'Pointe Couppe'!H43+'Pointe Couppe'!H44+'Pointe Couppe'!H45</f>
        <v>19534327</v>
      </c>
      <c r="O43" s="59">
        <f t="shared" si="6"/>
        <v>19534327</v>
      </c>
      <c r="P43" s="59">
        <f t="shared" si="3"/>
        <v>31659448</v>
      </c>
      <c r="Q43" s="260" t="str">
        <f t="shared" si="4"/>
        <v>ok</v>
      </c>
      <c r="R43" s="58">
        <f>'Pointe Couppe'!H49-'Pointe Couppe'!H35:H35</f>
        <v>31659448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</row>
    <row r="44" spans="1:318" ht="15.6">
      <c r="A44" s="258"/>
      <c r="B44" s="5" t="s">
        <v>852</v>
      </c>
      <c r="C44" s="59">
        <f>Rapides!H7+Rapides!H8</f>
        <v>65786437</v>
      </c>
      <c r="D44" s="59">
        <f t="shared" si="8"/>
        <v>65786437</v>
      </c>
      <c r="E44" s="59">
        <f>Rapides!H12+Rapides!H13+Rapides!H15+Rapides!H16+Rapides!H17+Rapides!H18</f>
        <v>68127645</v>
      </c>
      <c r="F44" s="59">
        <f t="shared" si="5"/>
        <v>133914082</v>
      </c>
      <c r="G44" s="260" t="str">
        <f t="shared" si="0"/>
        <v>ok</v>
      </c>
      <c r="H44" s="58">
        <f>Rapides!H20</f>
        <v>133914082</v>
      </c>
      <c r="I44" s="59">
        <f>Rapides!H23+Rapides!H24+Rapides!H25+Rapides!H27</f>
        <v>3926897</v>
      </c>
      <c r="J44" s="59">
        <f>Rapides!H28+Rapides!H29</f>
        <v>64049620</v>
      </c>
      <c r="K44" s="59">
        <f t="shared" si="1"/>
        <v>67976517</v>
      </c>
      <c r="L44" s="260" t="str">
        <f t="shared" si="2"/>
        <v>ok</v>
      </c>
      <c r="M44" s="58">
        <f>Rapides!H31</f>
        <v>67976517</v>
      </c>
      <c r="N44" s="59">
        <f>Rapides!H34+Rapides!H35+Rapides!H36</f>
        <v>65937566</v>
      </c>
      <c r="O44" s="59">
        <f t="shared" si="6"/>
        <v>65937566</v>
      </c>
      <c r="P44" s="59">
        <f t="shared" si="3"/>
        <v>133914083</v>
      </c>
      <c r="Q44" s="260" t="str">
        <f t="shared" si="4"/>
        <v>ok</v>
      </c>
      <c r="R44" s="58">
        <f>Rapides!H40</f>
        <v>133914083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</row>
    <row r="45" spans="1:318" ht="15.6">
      <c r="A45" s="258"/>
      <c r="B45" s="5" t="s">
        <v>853</v>
      </c>
      <c r="C45" s="59">
        <f>'Red River'!J7+'Red River'!J8+'Red River'!J9+'Red River'!J10</f>
        <v>38195857</v>
      </c>
      <c r="D45" s="59">
        <f t="shared" si="8"/>
        <v>38195857</v>
      </c>
      <c r="E45" s="59">
        <f>'Red River'!J15</f>
        <v>16249695</v>
      </c>
      <c r="F45" s="59">
        <f t="shared" si="5"/>
        <v>54445552</v>
      </c>
      <c r="G45" s="260" t="str">
        <f t="shared" si="0"/>
        <v>ok</v>
      </c>
      <c r="H45" s="58">
        <f>'Red River'!J17</f>
        <v>54445552</v>
      </c>
      <c r="I45" s="59">
        <f>'Red River'!J23+'Red River'!J24</f>
        <v>833780</v>
      </c>
      <c r="J45" s="59">
        <f>'Red River'!J29+'Red River'!J30+'Red River'!J31</f>
        <v>310058</v>
      </c>
      <c r="K45" s="59">
        <f t="shared" si="1"/>
        <v>1143838</v>
      </c>
      <c r="L45" s="260" t="str">
        <f t="shared" si="2"/>
        <v>ok</v>
      </c>
      <c r="M45" s="58">
        <f>'Red River'!J35</f>
        <v>1143838</v>
      </c>
      <c r="N45" s="59">
        <f>'Red River'!J40+'Red River'!J44+'Red River'!J45+'Red River'!J46+'Red River'!J47+'Red River'!J48</f>
        <v>47876873</v>
      </c>
      <c r="O45" s="59">
        <f t="shared" si="6"/>
        <v>47876873</v>
      </c>
      <c r="P45" s="59">
        <f t="shared" si="3"/>
        <v>49020711</v>
      </c>
      <c r="Q45" s="260" t="str">
        <f t="shared" si="4"/>
        <v>ok</v>
      </c>
      <c r="R45" s="58">
        <f>'Red River'!J52-'Red River'!J37</f>
        <v>49020711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</row>
    <row r="46" spans="1:318" ht="15.6">
      <c r="A46" s="258"/>
      <c r="B46" s="5" t="s">
        <v>854</v>
      </c>
      <c r="C46" s="59">
        <f>Richland!G6+Richland!G7</f>
        <v>10964958</v>
      </c>
      <c r="D46" s="59">
        <f t="shared" si="8"/>
        <v>10964958</v>
      </c>
      <c r="E46" s="59">
        <f>Richland!G9+Richland!G10</f>
        <v>2570572</v>
      </c>
      <c r="F46" s="59">
        <f t="shared" si="5"/>
        <v>13535530</v>
      </c>
      <c r="G46" s="260" t="str">
        <f t="shared" si="0"/>
        <v>ok</v>
      </c>
      <c r="H46" s="58">
        <f>Richland!G12</f>
        <v>13535530</v>
      </c>
      <c r="I46" s="59">
        <f>Richland!G18+Richland!G19+Richland!G20</f>
        <v>396160</v>
      </c>
      <c r="J46" s="59">
        <f>0</f>
        <v>0</v>
      </c>
      <c r="K46" s="59">
        <f t="shared" si="1"/>
        <v>396160</v>
      </c>
      <c r="L46" s="260" t="str">
        <f t="shared" si="2"/>
        <v>ok</v>
      </c>
      <c r="M46" s="58">
        <f>Richland!G22</f>
        <v>396160</v>
      </c>
      <c r="N46" s="59">
        <f>Richland!G30+Richland!G31+Richland!G32</f>
        <v>10864554</v>
      </c>
      <c r="O46" s="59">
        <f t="shared" si="6"/>
        <v>10864554</v>
      </c>
      <c r="P46" s="59">
        <f t="shared" si="3"/>
        <v>11260714</v>
      </c>
      <c r="Q46" s="260" t="str">
        <f t="shared" si="4"/>
        <v>ok</v>
      </c>
      <c r="R46" s="58">
        <f>Richland!G36-Richland!G27</f>
        <v>11260714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</row>
    <row r="47" spans="1:318" ht="15.6">
      <c r="A47" s="258"/>
      <c r="B47" s="5" t="s">
        <v>855</v>
      </c>
      <c r="C47" s="59">
        <f>Sabine!H7+Sabine!H8</f>
        <v>13912886</v>
      </c>
      <c r="D47" s="59">
        <f t="shared" si="8"/>
        <v>13912886</v>
      </c>
      <c r="E47" s="59">
        <f>Sabine!H10+Sabine!H12+Sabine!H13+Sabine!H14+Sabine!H16+Sabine!H17+Sabine!H18+Sabine!H19</f>
        <v>14091952</v>
      </c>
      <c r="F47" s="59">
        <f t="shared" si="5"/>
        <v>28004838</v>
      </c>
      <c r="G47" s="260" t="str">
        <f t="shared" si="0"/>
        <v>ok</v>
      </c>
      <c r="H47" s="58">
        <f>Sabine!H21</f>
        <v>28004838</v>
      </c>
      <c r="I47" s="59">
        <f>Sabine!H24+Sabine!H25+Sabine!H27</f>
        <v>512079</v>
      </c>
      <c r="J47" s="59">
        <f>Sabine!H28+Sabine!H29</f>
        <v>1323596</v>
      </c>
      <c r="K47" s="59">
        <f t="shared" si="1"/>
        <v>1835675</v>
      </c>
      <c r="L47" s="260" t="str">
        <f t="shared" si="2"/>
        <v>ok</v>
      </c>
      <c r="M47" s="58">
        <f>Sabine!H31</f>
        <v>1835675</v>
      </c>
      <c r="N47" s="59">
        <f>Sabine!H34+Sabine!H35</f>
        <v>26169164</v>
      </c>
      <c r="O47" s="59">
        <f t="shared" si="6"/>
        <v>26169164</v>
      </c>
      <c r="P47" s="59">
        <f t="shared" si="3"/>
        <v>28004839</v>
      </c>
      <c r="Q47" s="260" t="str">
        <f t="shared" si="4"/>
        <v>ok</v>
      </c>
      <c r="R47" s="58">
        <f>Sabine!H39</f>
        <v>28004839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</row>
    <row r="48" spans="1:318" ht="15.6">
      <c r="A48" s="258"/>
      <c r="B48" s="5" t="s">
        <v>885</v>
      </c>
      <c r="C48" s="59">
        <f>'St. Bernard'!H7+'St. Bernard'!H8+'St. Bernard'!H9+'St. Bernard'!H11+'St. Bernard'!H12+'St. Bernard'!H13+'St. Bernard'!H14+'St. Bernard'!H15+'St. Bernard'!H16+'St. Bernard'!H17+'St. Bernard'!H19+'St. Bernard'!H20</f>
        <v>88382839</v>
      </c>
      <c r="D48" s="59">
        <f>C48-'St. Bernard'!H20</f>
        <v>88046162</v>
      </c>
      <c r="E48" s="59">
        <f>'St. Bernard'!H21+'St. Bernard'!H22+'St. Bernard'!H24+'St. Bernard'!H25</f>
        <v>658165501</v>
      </c>
      <c r="F48" s="59">
        <f t="shared" si="5"/>
        <v>746548340</v>
      </c>
      <c r="G48" s="260" t="str">
        <f t="shared" si="0"/>
        <v>ok</v>
      </c>
      <c r="H48" s="58">
        <f>'St. Bernard'!H27</f>
        <v>746548340</v>
      </c>
      <c r="I48" s="59">
        <f>'St. Bernard'!H34+'St. Bernard'!H35+'St. Bernard'!H36+'St. Bernard'!H37+'St. Bernard'!H38+'St. Bernard'!H39+'St. Bernard'!H40+'St. Bernard'!H41+'St. Bernard'!H43</f>
        <v>35688599</v>
      </c>
      <c r="J48" s="59">
        <f>'St. Bernard'!H44</f>
        <v>52135232</v>
      </c>
      <c r="K48" s="59">
        <f t="shared" si="1"/>
        <v>87823831</v>
      </c>
      <c r="L48" s="260" t="str">
        <f t="shared" si="2"/>
        <v>ok</v>
      </c>
      <c r="M48" s="58">
        <f>'St. Bernard'!H46</f>
        <v>87823831</v>
      </c>
      <c r="N48" s="59">
        <f>'St. Bernard'!H53+'St. Bernard'!H55+'St. Bernard'!H56+'St. Bernard'!H57+'St. Bernard'!H58+'St. Bernard'!H59+'St. Bernard'!H60</f>
        <v>613078018</v>
      </c>
      <c r="O48" s="59">
        <f t="shared" si="6"/>
        <v>613078018</v>
      </c>
      <c r="P48" s="59">
        <f t="shared" si="3"/>
        <v>700901849</v>
      </c>
      <c r="Q48" s="260" t="str">
        <f t="shared" si="4"/>
        <v>ok</v>
      </c>
      <c r="R48" s="58">
        <f>'St. Bernard'!H64-'St. Bernard'!H50</f>
        <v>700901849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</row>
    <row r="49" spans="1:318" ht="15.6">
      <c r="A49" s="258"/>
      <c r="B49" s="5" t="s">
        <v>886</v>
      </c>
      <c r="C49" s="59">
        <f>'St. Charles'!J7+'St. Charles'!J8+'St. Charles'!J9+'St. Charles'!J10+'St. Charles'!J12+'St. Charles'!J13+'St. Charles'!J14</f>
        <v>125948272</v>
      </c>
      <c r="D49" s="59">
        <f>C49-'St. Charles'!J12</f>
        <v>125463085</v>
      </c>
      <c r="E49" s="59">
        <f>'St. Charles'!J16+'St. Charles'!J17+'St. Charles'!J19+'St. Charles'!J20+'St. Charles'!J21+'St. Charles'!J22</f>
        <v>352249577</v>
      </c>
      <c r="F49" s="59">
        <f t="shared" si="5"/>
        <v>478197849</v>
      </c>
      <c r="G49" s="260" t="str">
        <f t="shared" si="0"/>
        <v>check</v>
      </c>
      <c r="H49" s="58">
        <f>'St. Charles'!J24</f>
        <v>477867849</v>
      </c>
      <c r="I49" s="59">
        <f>'St. Charles'!J32+'St. Charles'!J33+'St. Charles'!J34+'St. Charles'!J35+'St. Charles'!J36+'St. Charles'!J37+'St. Charles'!J39</f>
        <v>15539965</v>
      </c>
      <c r="J49" s="59">
        <f>'St. Charles'!J40+'St. Charles'!J41</f>
        <v>50697310</v>
      </c>
      <c r="K49" s="59">
        <f t="shared" si="1"/>
        <v>66237275</v>
      </c>
      <c r="L49" s="260" t="str">
        <f t="shared" si="2"/>
        <v>ok</v>
      </c>
      <c r="M49" s="58">
        <f>'St. Charles'!J45</f>
        <v>66237275</v>
      </c>
      <c r="N49" s="59">
        <f>'St. Charles'!J55+'St. Charles'!J57+'St. Charles'!J59+'St. Charles'!J58+'St. Charles'!J61+'St. Charles'!J62</f>
        <v>387963522</v>
      </c>
      <c r="O49" s="59">
        <f t="shared" si="6"/>
        <v>387963522</v>
      </c>
      <c r="P49" s="59">
        <f t="shared" si="3"/>
        <v>454200797</v>
      </c>
      <c r="Q49" s="260" t="str">
        <f t="shared" si="4"/>
        <v>ok</v>
      </c>
      <c r="R49" s="58">
        <f>'St. Charles'!J66-'St. Charles'!J52</f>
        <v>454200797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</row>
    <row r="50" spans="1:318" ht="15.6">
      <c r="A50" s="258"/>
      <c r="B50" s="5" t="s">
        <v>887</v>
      </c>
      <c r="C50" s="59">
        <f>'St. Helena '!H7+'St. Helena '!H8+'St. Helena '!H9+'St. Helena '!H12</f>
        <v>8903675</v>
      </c>
      <c r="D50" s="59">
        <f>C50</f>
        <v>8903675</v>
      </c>
      <c r="E50" s="59">
        <f>'St. Helena '!H16+'St. Helena '!H24+'St. Helena '!H25</f>
        <v>18190057</v>
      </c>
      <c r="F50" s="59">
        <f t="shared" si="5"/>
        <v>27093732</v>
      </c>
      <c r="G50" s="260" t="str">
        <f t="shared" si="0"/>
        <v>ok</v>
      </c>
      <c r="H50" s="58">
        <f>'St. Helena '!H29</f>
        <v>27093732</v>
      </c>
      <c r="I50" s="59">
        <f>'St. Helena '!H37+'St. Helena '!H38+'St. Helena '!H40+'St. Helena '!H43+'St. Helena '!H44</f>
        <v>1043308</v>
      </c>
      <c r="J50" s="59">
        <f>'St. Helena '!H48+'St. Helena '!H49+'St. Helena '!H50+'St. Helena '!H51+'St. Helena '!H52</f>
        <v>3581002</v>
      </c>
      <c r="K50" s="59">
        <f t="shared" si="1"/>
        <v>4624310</v>
      </c>
      <c r="L50" s="260" t="str">
        <f t="shared" si="2"/>
        <v>ok</v>
      </c>
      <c r="M50" s="58">
        <f>'St. Helena '!H55</f>
        <v>4624310</v>
      </c>
      <c r="N50" s="59">
        <f>'St. Helena '!H62+'St. Helena '!H64+'St. Helena '!H65+'St. Helena '!H66+'St. Helena '!H67</f>
        <v>22704354</v>
      </c>
      <c r="O50" s="59">
        <f t="shared" si="6"/>
        <v>22704354</v>
      </c>
      <c r="P50" s="59">
        <f t="shared" si="3"/>
        <v>27328664</v>
      </c>
      <c r="Q50" s="260" t="str">
        <f t="shared" si="4"/>
        <v>ok</v>
      </c>
      <c r="R50" s="58">
        <f>'St. Helena '!H71-'St. Helena '!H59</f>
        <v>27328664</v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</row>
    <row r="51" spans="1:318" ht="15.6">
      <c r="A51" s="258"/>
      <c r="B51" s="5" t="s">
        <v>859</v>
      </c>
      <c r="C51" s="59">
        <f>'St. James'!I7+'St. James'!I8+'St. James'!I9+'St. James'!I11+'St. James'!I12+'St. James'!I15+'St. James'!I16</f>
        <v>72978652</v>
      </c>
      <c r="D51" s="59">
        <f>C51-'St. James'!I15</f>
        <v>72738275</v>
      </c>
      <c r="E51" s="59">
        <f>'St. James'!I18+'St. James'!I21+'St. James'!I22</f>
        <v>79838726</v>
      </c>
      <c r="F51" s="59">
        <f t="shared" si="5"/>
        <v>152817378</v>
      </c>
      <c r="G51" s="260" t="str">
        <f t="shared" si="0"/>
        <v>ok</v>
      </c>
      <c r="H51" s="58">
        <f>'St. James'!I24</f>
        <v>152817378</v>
      </c>
      <c r="I51" s="59">
        <f>'St. James'!I32+'St. James'!I33+'St. James'!I34+'St. James'!I35+'St. James'!I39</f>
        <v>6886658</v>
      </c>
      <c r="J51" s="59">
        <f>'St. James'!I37+'St. James'!I38+'St. James'!I40</f>
        <v>8861015</v>
      </c>
      <c r="K51" s="59">
        <f t="shared" si="1"/>
        <v>15747673</v>
      </c>
      <c r="L51" s="260" t="str">
        <f t="shared" si="2"/>
        <v>ok</v>
      </c>
      <c r="M51" s="58">
        <f>'St. James'!I42</f>
        <v>15747673</v>
      </c>
      <c r="N51" s="59">
        <f>'St. James'!I48+'St. James'!I50+'St. James'!I51+'St. James'!I52+'St. James'!I53+'St. James'!I54+'St. James'!I55+'St. James'!I56+'St. James'!I57+'St. James'!I58+'St. James'!I59+'St. James'!I60</f>
        <v>138995701</v>
      </c>
      <c r="O51" s="59">
        <f t="shared" si="6"/>
        <v>138995701</v>
      </c>
      <c r="P51" s="59">
        <f t="shared" si="3"/>
        <v>154743374</v>
      </c>
      <c r="Q51" s="260" t="str">
        <f t="shared" si="4"/>
        <v>ok</v>
      </c>
      <c r="R51" s="58">
        <f>'St. James'!I64-'St. James'!I45</f>
        <v>154743374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</row>
    <row r="52" spans="1:318" ht="15.6">
      <c r="A52" s="258"/>
      <c r="B52" s="5" t="s">
        <v>860</v>
      </c>
      <c r="C52" s="59">
        <f>'St. John the Baptist'!I7+'St. John the Baptist'!I8+'St. John the Baptist'!I10+'St. John the Baptist'!I11+'St. John the Baptist'!I12+'St. John the Baptist'!I13+'St. John the Baptist'!I14+'St. John the Baptist'!I15</f>
        <v>100389789</v>
      </c>
      <c r="D52" s="59">
        <f>C52-'St. John the Baptist'!I8</f>
        <v>99816875</v>
      </c>
      <c r="E52" s="59">
        <f>'St. John the Baptist'!I16+'St. John the Baptist'!I18+'St. John the Baptist'!I20</f>
        <v>225409617</v>
      </c>
      <c r="F52" s="59">
        <f t="shared" si="5"/>
        <v>325799406</v>
      </c>
      <c r="G52" s="260" t="str">
        <f t="shared" si="0"/>
        <v>ok</v>
      </c>
      <c r="H52" s="58">
        <f>'St. John the Baptist'!I22</f>
        <v>325799406</v>
      </c>
      <c r="I52" s="59">
        <f>'St. John the Baptist'!I29+'St. John the Baptist'!I30+'St. John the Baptist'!I31+'St. John the Baptist'!I32+'St. John the Baptist'!I33+'St. John the Baptist'!I35</f>
        <v>18010779</v>
      </c>
      <c r="J52" s="59">
        <f>'St. John the Baptist'!I36</f>
        <v>103704277</v>
      </c>
      <c r="K52" s="59">
        <f t="shared" si="1"/>
        <v>121715056</v>
      </c>
      <c r="L52" s="260" t="str">
        <f t="shared" si="2"/>
        <v>ok</v>
      </c>
      <c r="M52" s="58">
        <f>'St. John the Baptist'!I38</f>
        <v>121715056</v>
      </c>
      <c r="N52" s="59">
        <f>'St. John the Baptist'!I45+'St. John the Baptist'!I47+'St. John the Baptist'!I48+'St. John the Baptist'!I50+'St. John the Baptist'!I52</f>
        <v>206482599</v>
      </c>
      <c r="O52" s="59">
        <f t="shared" si="6"/>
        <v>206482599</v>
      </c>
      <c r="P52" s="59">
        <f t="shared" si="3"/>
        <v>328197655</v>
      </c>
      <c r="Q52" s="260" t="str">
        <f t="shared" si="4"/>
        <v>ok</v>
      </c>
      <c r="R52" s="58">
        <f>'St. John the Baptist'!I56-'St. John the Baptist'!I42</f>
        <v>328197655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</row>
    <row r="53" spans="1:318" ht="15.6">
      <c r="A53" s="258"/>
      <c r="B53" s="5" t="s">
        <v>861</v>
      </c>
      <c r="C53" s="59">
        <f>'St. Landry'!J7+'St. Landry'!J8+'St. Landry'!J9+'St. Landry'!J10+'St. Landry'!J11+'St. Landry'!J12+'St. Landry'!J13</f>
        <v>9950659</v>
      </c>
      <c r="D53" s="59">
        <f t="shared" ref="D53:D58" si="9">C53</f>
        <v>9950659</v>
      </c>
      <c r="E53" s="59">
        <f>'St. Landry'!J18+'St. Landry'!J19+'St. Landry'!J20</f>
        <v>82630642</v>
      </c>
      <c r="F53" s="59">
        <f t="shared" si="5"/>
        <v>92581301</v>
      </c>
      <c r="G53" s="260" t="str">
        <f t="shared" si="0"/>
        <v>ok</v>
      </c>
      <c r="H53" s="58">
        <f>'St. Landry'!J22</f>
        <v>92581301</v>
      </c>
      <c r="I53" s="59">
        <f>'St. Landry'!J29+'St. Landry'!J30+'St. Landry'!J31+'St. Landry'!J32+'St. Landry'!J33+'St. Landry'!J34+'St. Landry'!J35+'St. Landry'!J36+'St. Landry'!J37+'St. Landry'!J38</f>
        <v>9830022</v>
      </c>
      <c r="J53" s="59">
        <f>'St. Landry'!J43+'St. Landry'!J44+'St. Landry'!J45</f>
        <v>57561522</v>
      </c>
      <c r="K53" s="59">
        <f t="shared" si="1"/>
        <v>67391544</v>
      </c>
      <c r="L53" s="260" t="str">
        <f t="shared" si="2"/>
        <v>check</v>
      </c>
      <c r="M53" s="58">
        <f>'St. Landry'!J50</f>
        <v>67578853</v>
      </c>
      <c r="N53" s="59">
        <f>'St. Landry'!J56+'St. Landry'!J57+'St. Landry'!J58+'St. Landry'!J59+'St. Landry'!J60</f>
        <v>25805761</v>
      </c>
      <c r="O53" s="59">
        <f t="shared" si="6"/>
        <v>25805761</v>
      </c>
      <c r="P53" s="59">
        <f t="shared" si="3"/>
        <v>93197305</v>
      </c>
      <c r="Q53" s="260" t="str">
        <f t="shared" si="4"/>
        <v>check</v>
      </c>
      <c r="R53" s="58">
        <f>'St. Landry'!J64-'St. Landry'!J53</f>
        <v>93384614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</row>
    <row r="54" spans="1:318" ht="15.6">
      <c r="A54" s="258"/>
      <c r="B54" s="5" t="s">
        <v>862</v>
      </c>
      <c r="C54" s="59">
        <f>'St. Martin'!J6+'St. Martin'!J7+'St. Martin'!J8+'St. Martin'!J9</f>
        <v>43119779</v>
      </c>
      <c r="D54" s="59">
        <f t="shared" si="9"/>
        <v>43119779</v>
      </c>
      <c r="E54" s="59">
        <f>'St. Martin'!J11+'St. Martin'!J12</f>
        <v>70551464</v>
      </c>
      <c r="F54" s="59">
        <f t="shared" si="5"/>
        <v>113671243</v>
      </c>
      <c r="G54" s="260" t="str">
        <f t="shared" si="0"/>
        <v>ok</v>
      </c>
      <c r="H54" s="58">
        <f>'St. Martin'!J14</f>
        <v>113671243</v>
      </c>
      <c r="I54" s="59">
        <f>'St. Martin'!J20+'St. Martin'!J21+'St. Martin'!J22+'St. Martin'!J23+'St. Martin'!J24+'St. Martin'!J25+'St. Martin'!J27+'St. Martin'!J29</f>
        <v>3872013</v>
      </c>
      <c r="J54" s="59">
        <f>'St. Martin'!J28+'St. Martin'!J30+'St. Martin'!J32+'St. Martin'!J33</f>
        <v>27616154</v>
      </c>
      <c r="K54" s="59">
        <f t="shared" si="1"/>
        <v>31488167</v>
      </c>
      <c r="L54" s="260" t="str">
        <f t="shared" si="2"/>
        <v>check</v>
      </c>
      <c r="M54" s="58">
        <f>'St. Martin'!J35</f>
        <v>31657064</v>
      </c>
      <c r="N54" s="59">
        <f>'St. Martin'!J41+'St. Martin'!J43+'St. Martin'!J44+'St. Martin'!J45</f>
        <v>82705425</v>
      </c>
      <c r="O54" s="59">
        <f t="shared" si="6"/>
        <v>82705425</v>
      </c>
      <c r="P54" s="59">
        <f t="shared" si="3"/>
        <v>114193592</v>
      </c>
      <c r="Q54" s="260" t="str">
        <f t="shared" si="4"/>
        <v>check</v>
      </c>
      <c r="R54" s="58">
        <f>'St. Martin'!J49-'St. Martin'!J38</f>
        <v>114362489</v>
      </c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</row>
    <row r="55" spans="1:318" ht="15.6">
      <c r="A55" s="258"/>
      <c r="B55" s="5" t="s">
        <v>863</v>
      </c>
      <c r="C55" s="59">
        <f>'St. Mary'!J8+'St. Mary'!J9+'St. Mary'!J10+'St. Mary'!J13+'St. Mary'!J14+'St. Mary'!J17</f>
        <v>27932436</v>
      </c>
      <c r="D55" s="59">
        <f t="shared" si="9"/>
        <v>27932436</v>
      </c>
      <c r="E55" s="59">
        <f>'St. Mary'!J24+'St. Mary'!J25+'St. Mary'!J29+'St. Mary'!J30+'St. Mary'!J31+'St. Mary'!J32+'St. Mary'!J33+'St. Mary'!J34</f>
        <v>139505569</v>
      </c>
      <c r="F55" s="59">
        <f t="shared" si="5"/>
        <v>167438005</v>
      </c>
      <c r="G55" s="260" t="str">
        <f t="shared" si="0"/>
        <v>ok</v>
      </c>
      <c r="H55" s="58">
        <f>'St. Mary'!J38</f>
        <v>167438005</v>
      </c>
      <c r="I55" s="59">
        <f>'St. Mary'!J47+'St. Mary'!J48+'St. Mary'!J49+'St. Mary'!J50+'St. Mary'!J51+'St. Mary'!J52+'St. Mary'!J54+'St. Mary'!J55+'St. Mary'!J57</f>
        <v>7261657</v>
      </c>
      <c r="J55" s="59">
        <f>'St. Mary'!J62+'St. Mary'!J63+'St. Mary'!J64+'St. Mary'!J66+'St. Mary'!J67</f>
        <v>41054418</v>
      </c>
      <c r="K55" s="59">
        <f t="shared" si="1"/>
        <v>48316075</v>
      </c>
      <c r="L55" s="260" t="str">
        <f t="shared" si="2"/>
        <v>ok</v>
      </c>
      <c r="M55" s="58">
        <f>'St. Mary'!J71</f>
        <v>48316075</v>
      </c>
      <c r="N55" s="59">
        <f>'St. Mary'!J79+'St. Mary'!J82+'St. Mary'!J83+'St. Mary'!J84</f>
        <v>120819266</v>
      </c>
      <c r="O55" s="59">
        <f t="shared" si="6"/>
        <v>120819266</v>
      </c>
      <c r="P55" s="59">
        <f t="shared" si="3"/>
        <v>169135341</v>
      </c>
      <c r="Q55" s="260" t="str">
        <f t="shared" si="4"/>
        <v>ok</v>
      </c>
      <c r="R55" s="58">
        <f>'St. Mary'!J88</f>
        <v>169135341</v>
      </c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</row>
    <row r="56" spans="1:318" ht="15.6">
      <c r="A56" s="258"/>
      <c r="B56" s="5" t="s">
        <v>864</v>
      </c>
      <c r="C56" s="59">
        <f>'St. Tammany'!J7+'St. Tammany'!J8+'St. Tammany'!J9+'St. Tammany'!J10+'St. Tammany'!J12</f>
        <v>259605814</v>
      </c>
      <c r="D56" s="59">
        <f t="shared" si="9"/>
        <v>259605814</v>
      </c>
      <c r="E56" s="59">
        <f>'St. Tammany'!J13+'St. Tammany'!J14+'St. Tammany'!J16+'St. Tammany'!J17</f>
        <v>517486054</v>
      </c>
      <c r="F56" s="59">
        <f t="shared" si="5"/>
        <v>777091868</v>
      </c>
      <c r="G56" s="260" t="str">
        <f t="shared" si="0"/>
        <v>ok</v>
      </c>
      <c r="H56" s="58">
        <f>'St. Tammany'!J19</f>
        <v>777091868</v>
      </c>
      <c r="I56" s="59">
        <f>'St. Tammany'!J27+'St. Tammany'!J29+'St. Tammany'!J30+'St. Tammany'!J31+'St. Tammany'!J32+'St. Tammany'!J34</f>
        <v>48537679</v>
      </c>
      <c r="J56" s="59">
        <f>'St. Tammany'!J35</f>
        <v>125231067</v>
      </c>
      <c r="K56" s="59">
        <f t="shared" si="1"/>
        <v>173768746</v>
      </c>
      <c r="L56" s="260" t="str">
        <f t="shared" si="2"/>
        <v>ok</v>
      </c>
      <c r="M56" s="58">
        <f>'St. Tammany'!J37</f>
        <v>173768746</v>
      </c>
      <c r="N56" s="59">
        <f>'St. Tammany'!J44+'St. Tammany'!J46+'St. Tammany'!J47+'St. Tammany'!J48+'St. Tammany'!J49+'St. Tammany'!J50+'St. Tammany'!J51+'St. Tammany'!J52+'St. Tammany'!J53+'St. Tammany'!J54+'St. Tammany'!J55+'St. Tammany'!J56</f>
        <v>612839467</v>
      </c>
      <c r="O56" s="59">
        <f t="shared" si="6"/>
        <v>612839467</v>
      </c>
      <c r="P56" s="59">
        <f t="shared" si="3"/>
        <v>786608213</v>
      </c>
      <c r="Q56" s="260" t="str">
        <f t="shared" si="4"/>
        <v>ok</v>
      </c>
      <c r="R56" s="58">
        <f>'St. Tammany'!J60-'St. Tammany'!J40</f>
        <v>786608213</v>
      </c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</row>
    <row r="57" spans="1:318" ht="15.6">
      <c r="A57" s="258"/>
      <c r="B57" s="5" t="s">
        <v>865</v>
      </c>
      <c r="C57" s="59">
        <f>Tangipahoa!H7+Tangipahoa!H9+Tangipahoa!H10+Tangipahoa!H11</f>
        <v>31121984</v>
      </c>
      <c r="D57" s="59">
        <f t="shared" si="9"/>
        <v>31121984</v>
      </c>
      <c r="E57" s="59">
        <f>Tangipahoa!H13</f>
        <v>181095010</v>
      </c>
      <c r="F57" s="59">
        <f t="shared" si="5"/>
        <v>212216994</v>
      </c>
      <c r="G57" s="260" t="str">
        <f t="shared" si="0"/>
        <v>ok</v>
      </c>
      <c r="H57" s="58">
        <f>Tangipahoa!H15</f>
        <v>212216994</v>
      </c>
      <c r="I57" s="59">
        <f>Tangipahoa!H20+Tangipahoa!H22+Tangipahoa!H25</f>
        <v>3450627</v>
      </c>
      <c r="J57" s="59">
        <f>Tangipahoa!H26+Tangipahoa!H27+Tangipahoa!H28</f>
        <v>11483953</v>
      </c>
      <c r="K57" s="59">
        <f t="shared" si="1"/>
        <v>14934580</v>
      </c>
      <c r="L57" s="260" t="str">
        <f t="shared" si="2"/>
        <v>ok</v>
      </c>
      <c r="M57" s="58">
        <f>Tangipahoa!H30</f>
        <v>14934580</v>
      </c>
      <c r="N57" s="59">
        <f>Tangipahoa!H39+Tangipahoa!H41+Tangipahoa!H42+Tangipahoa!H43</f>
        <v>199431224</v>
      </c>
      <c r="O57" s="59">
        <f t="shared" si="6"/>
        <v>199431224</v>
      </c>
      <c r="P57" s="59">
        <f t="shared" si="3"/>
        <v>214365804</v>
      </c>
      <c r="Q57" s="260" t="str">
        <f t="shared" si="4"/>
        <v>ok</v>
      </c>
      <c r="R57" s="58">
        <f>Tangipahoa!H47-Tangipahoa!H36</f>
        <v>214365804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</row>
    <row r="58" spans="1:318" ht="15.6">
      <c r="A58" s="258"/>
      <c r="B58" s="5" t="s">
        <v>866</v>
      </c>
      <c r="C58" s="59">
        <f>Tensas!G6+Tensas!G7+Tensas!G9</f>
        <v>3878661</v>
      </c>
      <c r="D58" s="59">
        <f t="shared" si="9"/>
        <v>3878661</v>
      </c>
      <c r="E58" s="59">
        <f>Tensas!G10+Tensas!G11</f>
        <v>8459240</v>
      </c>
      <c r="F58" s="59">
        <f t="shared" si="5"/>
        <v>12337901</v>
      </c>
      <c r="G58" s="260" t="str">
        <f t="shared" si="0"/>
        <v>ok</v>
      </c>
      <c r="H58" s="58">
        <f>Tensas!G13</f>
        <v>12337901</v>
      </c>
      <c r="I58" s="59">
        <f>Tensas!G18+Tensas!G19+Tensas!G21</f>
        <v>423321</v>
      </c>
      <c r="J58" s="59">
        <f>Tensas!G22+Tensas!G23</f>
        <v>1438726</v>
      </c>
      <c r="K58" s="59">
        <f t="shared" si="1"/>
        <v>1862047</v>
      </c>
      <c r="L58" s="260" t="str">
        <f t="shared" si="2"/>
        <v>ok</v>
      </c>
      <c r="M58" s="58">
        <f>Tensas!G25</f>
        <v>1862047</v>
      </c>
      <c r="N58" s="59">
        <f>Tensas!G30+Tensas!G32+Tensas!G33+Tensas!G34</f>
        <v>10674716</v>
      </c>
      <c r="O58" s="59">
        <f t="shared" si="6"/>
        <v>10674716</v>
      </c>
      <c r="P58" s="59">
        <f t="shared" si="3"/>
        <v>12536763</v>
      </c>
      <c r="Q58" s="260" t="str">
        <f t="shared" si="4"/>
        <v>ok</v>
      </c>
      <c r="R58" s="58">
        <f>Tensas!G38-Tensas!G27</f>
        <v>12536763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</row>
    <row r="59" spans="1:318" ht="15.6">
      <c r="A59" s="258"/>
      <c r="B59" s="5" t="s">
        <v>867</v>
      </c>
      <c r="C59" s="59">
        <f>Terrebonne!J7+Terrebonne!J8+Terrebonne!J9+Terrebonne!J11+Terrebonne!J12+Terrebonne!J13+Terrebonne!J14</f>
        <v>282426552</v>
      </c>
      <c r="D59" s="59">
        <f>C59-Terrebonne!J13</f>
        <v>280337524</v>
      </c>
      <c r="E59" s="59">
        <f>Terrebonne!J16+Terrebonne!J17+Terrebonne!J18+Terrebonne!J20+Terrebonne!J21</f>
        <v>505944407</v>
      </c>
      <c r="F59" s="59">
        <f t="shared" si="5"/>
        <v>788370959</v>
      </c>
      <c r="G59" s="260" t="str">
        <f t="shared" si="0"/>
        <v>ok</v>
      </c>
      <c r="H59" s="58">
        <f>Terrebonne!J23</f>
        <v>788370959</v>
      </c>
      <c r="I59" s="59">
        <f>Terrebonne!J28+Terrebonne!J29+Terrebonne!J30+Terrebonne!J31+Terrebonne!J32+Terrebonne!J35</f>
        <v>39092457</v>
      </c>
      <c r="J59" s="59">
        <f>Terrebonne!J36</f>
        <v>155412576</v>
      </c>
      <c r="K59" s="59">
        <f t="shared" si="1"/>
        <v>194505033</v>
      </c>
      <c r="L59" s="260" t="str">
        <f t="shared" si="2"/>
        <v>ok</v>
      </c>
      <c r="M59" s="58">
        <f>Terrebonne!J38</f>
        <v>194505033</v>
      </c>
      <c r="N59" s="59">
        <f>Terrebonne!J43+Terrebonne!J45+Terrebonne!J46+Terrebonne!J47+Terrebonne!J48+Terrebonne!J49+Terrebonne!J50+Terrebonne!J51+Terrebonne!J52+Terrebonne!J53+Terrebonne!J54+Terrebonne!J55+Terrebonne!J57</f>
        <v>555587313</v>
      </c>
      <c r="O59" s="59">
        <f t="shared" si="6"/>
        <v>555587313</v>
      </c>
      <c r="P59" s="59">
        <f t="shared" si="3"/>
        <v>750092346</v>
      </c>
      <c r="Q59" s="260" t="str">
        <f t="shared" si="4"/>
        <v>ok</v>
      </c>
      <c r="R59" s="58">
        <f>Terrebonne!J61-Terrebonne!J40</f>
        <v>750092346</v>
      </c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</row>
    <row r="60" spans="1:318" ht="15.6">
      <c r="A60" s="258"/>
      <c r="B60" s="5" t="s">
        <v>868</v>
      </c>
      <c r="C60" s="59">
        <f>Union!G6+Union!G7+Union!G8</f>
        <v>19577693</v>
      </c>
      <c r="D60" s="59">
        <f t="shared" ref="D60:D68" si="10">C60</f>
        <v>19577693</v>
      </c>
      <c r="E60" s="59">
        <f>Union!G9</f>
        <v>11934675</v>
      </c>
      <c r="F60" s="59">
        <f t="shared" si="5"/>
        <v>31512368</v>
      </c>
      <c r="G60" s="260" t="str">
        <f t="shared" si="0"/>
        <v>ok</v>
      </c>
      <c r="H60" s="58">
        <f>Union!G11</f>
        <v>31512368</v>
      </c>
      <c r="I60" s="59">
        <f>Union!G17+Union!G18+Union!G19+Union!G20+Union!G21</f>
        <v>2246902</v>
      </c>
      <c r="J60" s="59">
        <f>Union!G22+Union!G23+Union!G24+Union!G25+Union!G26</f>
        <v>8392464</v>
      </c>
      <c r="K60" s="59">
        <f t="shared" si="1"/>
        <v>10639366</v>
      </c>
      <c r="L60" s="260" t="str">
        <f t="shared" si="2"/>
        <v>ok</v>
      </c>
      <c r="M60" s="58">
        <f>Union!G28</f>
        <v>10639366</v>
      </c>
      <c r="N60" s="59">
        <f>Union!G36+Union!G37+Union!G38</f>
        <v>21079919</v>
      </c>
      <c r="O60" s="59">
        <f t="shared" si="6"/>
        <v>21079919</v>
      </c>
      <c r="P60" s="59">
        <f t="shared" si="3"/>
        <v>31719285</v>
      </c>
      <c r="Q60" s="260" t="str">
        <f t="shared" si="4"/>
        <v>ok</v>
      </c>
      <c r="R60" s="58">
        <f>Union!G42-Union!G33</f>
        <v>31719285</v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</row>
    <row r="61" spans="1:318" ht="15.6">
      <c r="A61" s="258"/>
      <c r="B61" s="5" t="s">
        <v>888</v>
      </c>
      <c r="C61" s="59">
        <f>Vermilion!H7+Vermilion!H8+Vermilion!H9+Vermilion!H10+Vermilion!H11</f>
        <v>65154161</v>
      </c>
      <c r="D61" s="59">
        <f t="shared" si="10"/>
        <v>65154161</v>
      </c>
      <c r="E61" s="59">
        <f>Vermilion!H12</f>
        <v>83915954</v>
      </c>
      <c r="F61" s="59">
        <f t="shared" si="5"/>
        <v>149070115</v>
      </c>
      <c r="G61" s="260" t="str">
        <f t="shared" si="0"/>
        <v>ok</v>
      </c>
      <c r="H61" s="58">
        <f>Vermilion!H14</f>
        <v>149070115</v>
      </c>
      <c r="I61" s="59">
        <f>Vermilion!H20+Vermilion!H21+Vermilion!H22+Vermilion!H24+Vermilion!H28</f>
        <v>1741443</v>
      </c>
      <c r="J61" s="59">
        <f>Vermilion!H26+Vermilion!H27+Vermilion!H29</f>
        <v>5511230</v>
      </c>
      <c r="K61" s="59">
        <f t="shared" si="1"/>
        <v>7252673</v>
      </c>
      <c r="L61" s="260" t="str">
        <f t="shared" si="2"/>
        <v>ok</v>
      </c>
      <c r="M61" s="58">
        <f>Vermilion!H31</f>
        <v>7252673</v>
      </c>
      <c r="N61" s="59">
        <f>Vermilion!H39+Vermilion!H41+Vermilion!H42+Vermilion!H43</f>
        <v>142110478</v>
      </c>
      <c r="O61" s="59">
        <f t="shared" si="6"/>
        <v>142110478</v>
      </c>
      <c r="P61" s="59">
        <f t="shared" si="3"/>
        <v>149363151</v>
      </c>
      <c r="Q61" s="260" t="str">
        <f t="shared" si="4"/>
        <v>ok</v>
      </c>
      <c r="R61" s="58">
        <f>Vermilion!H47-Vermilion!H36</f>
        <v>149363151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</row>
    <row r="62" spans="1:318" ht="15.6">
      <c r="A62" s="258"/>
      <c r="B62" s="5" t="s">
        <v>870</v>
      </c>
      <c r="C62" s="59">
        <f>Vernon!H7+Vernon!H8+Vernon!H9</f>
        <v>24190084</v>
      </c>
      <c r="D62" s="59">
        <f t="shared" si="10"/>
        <v>24190084</v>
      </c>
      <c r="E62" s="59">
        <f>Vernon!H12+Vernon!H14+Vernon!H15+Vernon!H16+Vernon!H17</f>
        <v>58449319</v>
      </c>
      <c r="F62" s="59">
        <f t="shared" si="5"/>
        <v>82639403</v>
      </c>
      <c r="G62" s="260" t="str">
        <f t="shared" si="0"/>
        <v>ok</v>
      </c>
      <c r="H62" s="58">
        <f>Vernon!H21</f>
        <v>82639403</v>
      </c>
      <c r="I62" s="59">
        <f>Vernon!H24+Vernon!H25+Vernon!H27</f>
        <v>2197738</v>
      </c>
      <c r="J62" s="59">
        <f>Vernon!H28</f>
        <v>26491506</v>
      </c>
      <c r="K62" s="59">
        <f t="shared" si="1"/>
        <v>28689244</v>
      </c>
      <c r="L62" s="260" t="str">
        <f t="shared" si="2"/>
        <v>ok</v>
      </c>
      <c r="M62" s="58">
        <f>Vernon!H32</f>
        <v>28689244</v>
      </c>
      <c r="N62" s="59">
        <f>Vernon!H35+Vernon!H37+Vernon!H38+Vernon!H39</f>
        <v>53785174</v>
      </c>
      <c r="O62" s="59">
        <f t="shared" si="6"/>
        <v>53785174</v>
      </c>
      <c r="P62" s="59">
        <f t="shared" si="3"/>
        <v>82474418</v>
      </c>
      <c r="Q62" s="260" t="str">
        <f t="shared" si="4"/>
        <v>ok</v>
      </c>
      <c r="R62" s="58">
        <f>Vernon!H43-Vernon!H30</f>
        <v>82474418</v>
      </c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</row>
    <row r="63" spans="1:318" ht="15.6">
      <c r="A63" s="258"/>
      <c r="B63" s="5" t="s">
        <v>871</v>
      </c>
      <c r="C63" s="59">
        <f>Washington!J7+Washington!J8+Washington!J9+Washington!J10+Washington!J11+Washington!J12+Washington!J13</f>
        <v>14425287</v>
      </c>
      <c r="D63" s="59">
        <f t="shared" si="10"/>
        <v>14425287</v>
      </c>
      <c r="E63" s="59">
        <f>Washington!J14+Washington!J16+Washington!J17+Washington!J18</f>
        <v>39195376</v>
      </c>
      <c r="F63" s="59">
        <f t="shared" si="5"/>
        <v>53620663</v>
      </c>
      <c r="G63" s="260" t="str">
        <f t="shared" si="0"/>
        <v>ok</v>
      </c>
      <c r="H63" s="58">
        <f>Washington!J20</f>
        <v>53620663</v>
      </c>
      <c r="I63" s="59">
        <f>Washington!J30+Washington!J31+Washington!J32+Washington!J33+Washington!J34+Washington!J35+Washington!J37</f>
        <v>4868264</v>
      </c>
      <c r="J63" s="59">
        <f>Washington!J38</f>
        <v>1535000</v>
      </c>
      <c r="K63" s="59">
        <f t="shared" si="1"/>
        <v>6403264</v>
      </c>
      <c r="L63" s="260" t="str">
        <f t="shared" si="2"/>
        <v>ok</v>
      </c>
      <c r="M63" s="58">
        <f>Washington!J40</f>
        <v>6403264</v>
      </c>
      <c r="N63" s="59">
        <f>Washington!J49+Washington!J51+Washington!J52+Washington!J53+Washington!J54+Washington!J55+Washington!J56+Washington!J57</f>
        <v>47871975</v>
      </c>
      <c r="O63" s="59">
        <f t="shared" si="6"/>
        <v>47871975</v>
      </c>
      <c r="P63" s="59">
        <f t="shared" si="3"/>
        <v>54275239</v>
      </c>
      <c r="Q63" s="260" t="str">
        <f t="shared" si="4"/>
        <v>ok</v>
      </c>
      <c r="R63" s="58">
        <f>Washington!J61-Washington!J46</f>
        <v>54275239</v>
      </c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</row>
    <row r="64" spans="1:318" ht="15.6">
      <c r="A64" s="258"/>
      <c r="B64" s="5" t="s">
        <v>872</v>
      </c>
      <c r="C64" s="59">
        <f>Webster!H7+Webster!H8+Webster!H9+Webster!H10</f>
        <v>17496077</v>
      </c>
      <c r="D64" s="59">
        <f t="shared" si="10"/>
        <v>17496077</v>
      </c>
      <c r="E64" s="59">
        <f>Webster!H11+Webster!H12</f>
        <v>12511813</v>
      </c>
      <c r="F64" s="59">
        <f t="shared" si="5"/>
        <v>30007890</v>
      </c>
      <c r="G64" s="260" t="str">
        <f t="shared" si="0"/>
        <v>ok</v>
      </c>
      <c r="H64" s="58">
        <f>Webster!H14</f>
        <v>30007890</v>
      </c>
      <c r="I64" s="59">
        <f>Webster!H21+Webster!H22+Webster!H23+Webster!H24+Webster!H25+Webster!H27</f>
        <v>1099429</v>
      </c>
      <c r="J64" s="59">
        <f>Webster!H28</f>
        <v>3699514</v>
      </c>
      <c r="K64" s="59">
        <f t="shared" si="1"/>
        <v>4798943</v>
      </c>
      <c r="L64" s="260" t="str">
        <f t="shared" si="2"/>
        <v>ok</v>
      </c>
      <c r="M64" s="58">
        <f>Webster!H30</f>
        <v>4798943</v>
      </c>
      <c r="N64" s="59">
        <f>Webster!H37+Webster!H39+Webster!H40+Webster!H41+Webster!H42+Webster!H43+Webster!H44+Webster!H45+Webster!H46</f>
        <v>23846618</v>
      </c>
      <c r="O64" s="59">
        <f t="shared" si="6"/>
        <v>23846618</v>
      </c>
      <c r="P64" s="59">
        <f t="shared" si="3"/>
        <v>28645561</v>
      </c>
      <c r="Q64" s="260" t="str">
        <f t="shared" si="4"/>
        <v>ok</v>
      </c>
      <c r="R64" s="58">
        <f>Webster!H50-Webster!H34</f>
        <v>28645561</v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</row>
    <row r="65" spans="1:318" ht="15.6">
      <c r="A65" s="258"/>
      <c r="B65" s="5" t="s">
        <v>873</v>
      </c>
      <c r="C65" s="59">
        <f>'West Baton Rouge'!G7+'West Baton Rouge'!G8+'West Baton Rouge'!G9+'West Baton Rouge'!G10+'West Baton Rouge'!G11+'West Baton Rouge'!G12+'West Baton Rouge'!G13</f>
        <v>42103858</v>
      </c>
      <c r="D65" s="59">
        <f t="shared" si="10"/>
        <v>42103858</v>
      </c>
      <c r="E65" s="59">
        <f>'West Baton Rouge'!G15+'West Baton Rouge'!G16</f>
        <v>64082141</v>
      </c>
      <c r="F65" s="59">
        <f t="shared" si="5"/>
        <v>106185999</v>
      </c>
      <c r="G65" s="260" t="str">
        <f t="shared" si="0"/>
        <v>ok</v>
      </c>
      <c r="H65" s="58">
        <f>'West Baton Rouge'!G18</f>
        <v>106185999</v>
      </c>
      <c r="I65" s="59">
        <f>'West Baton Rouge'!G24+'West Baton Rouge'!G26</f>
        <v>1169207</v>
      </c>
      <c r="J65" s="59">
        <f>'West Baton Rouge'!G27+'West Baton Rouge'!G28</f>
        <v>9697985</v>
      </c>
      <c r="K65" s="59">
        <f t="shared" si="1"/>
        <v>10867192</v>
      </c>
      <c r="L65" s="260" t="str">
        <f t="shared" si="2"/>
        <v>ok</v>
      </c>
      <c r="M65" s="58">
        <f>'West Baton Rouge'!G30</f>
        <v>10867192</v>
      </c>
      <c r="N65" s="59">
        <f>'West Baton Rouge'!G39+'West Baton Rouge'!G41+'West Baton Rouge'!G42+'West Baton Rouge'!G43</f>
        <v>87291850</v>
      </c>
      <c r="O65" s="59">
        <f t="shared" si="6"/>
        <v>87291850</v>
      </c>
      <c r="P65" s="59">
        <f t="shared" si="3"/>
        <v>98159042</v>
      </c>
      <c r="Q65" s="260" t="str">
        <f t="shared" si="4"/>
        <v>ok</v>
      </c>
      <c r="R65" s="58">
        <f>'West Baton Rouge'!G47</f>
        <v>98159042</v>
      </c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</row>
    <row r="66" spans="1:318" ht="15.6">
      <c r="A66" s="258"/>
      <c r="B66" s="5" t="s">
        <v>874</v>
      </c>
      <c r="C66" s="59">
        <f>'West Carroll'!H7+'West Carroll'!H8+'West Carroll'!H9</f>
        <v>8742225</v>
      </c>
      <c r="D66" s="59">
        <f t="shared" si="10"/>
        <v>8742225</v>
      </c>
      <c r="E66" s="59">
        <f>'West Carroll'!H10</f>
        <v>13933687</v>
      </c>
      <c r="F66" s="59">
        <f t="shared" si="5"/>
        <v>22675912</v>
      </c>
      <c r="G66" s="260" t="str">
        <f t="shared" si="0"/>
        <v>ok</v>
      </c>
      <c r="H66" s="58">
        <f>'West Carroll'!H12</f>
        <v>22675912</v>
      </c>
      <c r="I66" s="59">
        <f>'West Carroll'!H18+'West Carroll'!H19+'West Carroll'!H20</f>
        <v>315308</v>
      </c>
      <c r="J66" s="59">
        <f>'West Carroll'!H21+'West Carroll'!H22+'West Carroll'!H23</f>
        <v>2773862</v>
      </c>
      <c r="K66" s="59">
        <f t="shared" si="1"/>
        <v>3089170</v>
      </c>
      <c r="L66" s="260" t="str">
        <f t="shared" si="2"/>
        <v>ok</v>
      </c>
      <c r="M66" s="58">
        <f>'West Carroll'!H25</f>
        <v>3089170</v>
      </c>
      <c r="N66" s="59">
        <f>'West Carroll'!H31+'West Carroll'!H33+'West Carroll'!H34+'West Carroll'!H35+'West Carroll'!H36+'West Carroll'!H37+'West Carroll'!H38+'West Carroll'!H39</f>
        <v>19664106</v>
      </c>
      <c r="O66" s="59">
        <f t="shared" si="6"/>
        <v>19664106</v>
      </c>
      <c r="P66" s="59">
        <f t="shared" si="3"/>
        <v>22753276</v>
      </c>
      <c r="Q66" s="260" t="str">
        <f t="shared" si="4"/>
        <v>ok</v>
      </c>
      <c r="R66" s="58">
        <f>'West Carroll'!H43</f>
        <v>22753276</v>
      </c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</row>
    <row r="67" spans="1:318" ht="15.6">
      <c r="A67" s="258"/>
      <c r="B67" s="5" t="s">
        <v>875</v>
      </c>
      <c r="C67" s="59">
        <f>'West Feliciana'!J7+'West Feliciana'!J9+'West Feliciana'!J10+'West Feliciana'!J11+'West Feliciana'!J12+'West Feliciana'!J15</f>
        <v>12611088</v>
      </c>
      <c r="D67" s="59">
        <f t="shared" si="10"/>
        <v>12611088</v>
      </c>
      <c r="E67" s="59">
        <f>'West Feliciana'!J17+'West Feliciana'!J19+'West Feliciana'!J21+'West Feliciana'!J22</f>
        <v>29888101</v>
      </c>
      <c r="F67" s="59">
        <f t="shared" si="5"/>
        <v>42499189</v>
      </c>
      <c r="G67" s="260" t="str">
        <f>IF(F67=H67, "ok", "check")</f>
        <v>ok</v>
      </c>
      <c r="H67" s="58">
        <f>'West Feliciana'!J24</f>
        <v>42499189</v>
      </c>
      <c r="I67" s="59">
        <f>'West Feliciana'!J28+'West Feliciana'!J29+'West Feliciana'!J30+'West Feliciana'!J33</f>
        <v>1151290</v>
      </c>
      <c r="J67" s="59">
        <f>'West Feliciana'!J34+'West Feliciana'!J35</f>
        <v>6673431</v>
      </c>
      <c r="K67" s="59">
        <f t="shared" si="1"/>
        <v>7824721</v>
      </c>
      <c r="L67" s="260" t="str">
        <f t="shared" si="2"/>
        <v>ok</v>
      </c>
      <c r="M67" s="58">
        <f>'West Feliciana'!J37</f>
        <v>7824721</v>
      </c>
      <c r="N67" s="59">
        <f>'West Feliciana'!J41+'West Feliciana'!J43+'West Feliciana'!J44+'West Feliciana'!J45+'West Feliciana'!J46+'West Feliciana'!J47+'West Feliciana'!J48</f>
        <v>34807407</v>
      </c>
      <c r="O67" s="59">
        <f t="shared" si="6"/>
        <v>34807407</v>
      </c>
      <c r="P67" s="59">
        <f t="shared" si="3"/>
        <v>42632128</v>
      </c>
      <c r="Q67" s="260" t="str">
        <f t="shared" si="4"/>
        <v>ok</v>
      </c>
      <c r="R67" s="58">
        <f>'West Feliciana'!J52</f>
        <v>42632128</v>
      </c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</row>
    <row r="68" spans="1:318" ht="15.6">
      <c r="A68" s="258"/>
      <c r="B68" s="5" t="s">
        <v>876</v>
      </c>
      <c r="C68" s="59">
        <f>Winn!H7+Winn!H8</f>
        <v>5404856</v>
      </c>
      <c r="D68" s="59">
        <f t="shared" si="10"/>
        <v>5404856</v>
      </c>
      <c r="E68" s="59">
        <f>Winn!H11+Winn!H12+Winn!H14+Winn!H15+Winn!H16</f>
        <v>7434890</v>
      </c>
      <c r="F68" s="59">
        <f t="shared" si="5"/>
        <v>12839746</v>
      </c>
      <c r="G68" s="260" t="str">
        <f t="shared" si="0"/>
        <v>ok</v>
      </c>
      <c r="H68" s="58">
        <f>Winn!H19</f>
        <v>12839746</v>
      </c>
      <c r="I68" s="59">
        <f>Winn!H22+Winn!H23+Winn!H26</f>
        <v>1504482</v>
      </c>
      <c r="J68" s="59">
        <f>Winn!H27</f>
        <v>1639848</v>
      </c>
      <c r="K68" s="59">
        <f t="shared" si="1"/>
        <v>3144330</v>
      </c>
      <c r="L68" s="260" t="str">
        <f t="shared" si="2"/>
        <v>ok</v>
      </c>
      <c r="M68" s="58">
        <f>Winn!H29</f>
        <v>3144330</v>
      </c>
      <c r="N68" s="59">
        <f>Winn!H33+Winn!H34</f>
        <v>9918583</v>
      </c>
      <c r="O68" s="59">
        <f t="shared" si="6"/>
        <v>9918583</v>
      </c>
      <c r="P68" s="59">
        <f t="shared" si="3"/>
        <v>13062913</v>
      </c>
      <c r="Q68" s="260" t="str">
        <f t="shared" si="4"/>
        <v>ok</v>
      </c>
      <c r="R68" s="58">
        <f>Winn!H38</f>
        <v>13062913</v>
      </c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</row>
    <row r="69" spans="1:318" ht="15.6">
      <c r="A69" s="258"/>
      <c r="G69" s="245"/>
      <c r="H69" s="54"/>
      <c r="L69" s="260"/>
      <c r="M69" s="54"/>
      <c r="Q69" s="260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</row>
    <row r="70" spans="1:318">
      <c r="C70" s="59">
        <f>SUM(C5:C68)</f>
        <v>4321110793</v>
      </c>
      <c r="D70" s="59"/>
      <c r="E70" s="59">
        <f>SUM(E5:E68)</f>
        <v>11108204389</v>
      </c>
      <c r="F70" s="59">
        <f t="shared" ref="F70" si="11">SUM(F5:F68)</f>
        <v>15429315182</v>
      </c>
      <c r="G70" s="245" t="str">
        <f t="shared" ref="G70" si="12">IF(F70=H70, "ok", "check")</f>
        <v>check</v>
      </c>
      <c r="H70" s="261">
        <f>SUM(H5:H68)</f>
        <v>15428985182</v>
      </c>
      <c r="I70" s="261">
        <f t="shared" ref="I70:K70" si="13">SUM(I5:I68)</f>
        <v>674222466</v>
      </c>
      <c r="J70" s="261">
        <f t="shared" si="13"/>
        <v>5339643240</v>
      </c>
      <c r="K70" s="261">
        <f t="shared" si="13"/>
        <v>6013865706</v>
      </c>
      <c r="L70" s="260" t="str">
        <f t="shared" ref="L70" si="14">IF(K70=M70, "ok", "check")</f>
        <v>check</v>
      </c>
      <c r="M70" s="262">
        <f>SUM(M5:M68)</f>
        <v>6017085083</v>
      </c>
      <c r="N70" s="262"/>
      <c r="O70" s="262">
        <f t="shared" ref="O70:P70" si="15">SUM(O5:O68)</f>
        <v>9577017919</v>
      </c>
      <c r="P70" s="262">
        <f t="shared" si="15"/>
        <v>15590883625</v>
      </c>
      <c r="Q70" s="260" t="str">
        <f t="shared" si="4"/>
        <v>check</v>
      </c>
      <c r="R70" s="263">
        <f>SUM(R5:R68)</f>
        <v>15594103002</v>
      </c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</row>
  </sheetData>
  <mergeCells count="1">
    <mergeCell ref="A3:B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V315"/>
  <sheetViews>
    <sheetView tabSelected="1" topLeftCell="A20" workbookViewId="0">
      <selection activeCell="J31" sqref="J31:J35"/>
    </sheetView>
  </sheetViews>
  <sheetFormatPr defaultColWidth="8.85546875" defaultRowHeight="14.45"/>
  <cols>
    <col min="1" max="1" width="12.7109375" bestFit="1" customWidth="1"/>
    <col min="2" max="2" width="25.42578125" customWidth="1"/>
    <col min="3" max="3" width="13.85546875" bestFit="1" customWidth="1"/>
    <col min="4" max="5" width="15.140625" bestFit="1" customWidth="1"/>
    <col min="6" max="6" width="16.28515625" bestFit="1" customWidth="1"/>
    <col min="7" max="7" width="13.85546875" bestFit="1" customWidth="1"/>
    <col min="8" max="8" width="14.7109375" bestFit="1" customWidth="1"/>
    <col min="9" max="9" width="21" bestFit="1" customWidth="1"/>
    <col min="10" max="10" width="11.7109375" style="70" customWidth="1"/>
    <col min="11" max="11" width="16.28515625" bestFit="1" customWidth="1"/>
    <col min="12" max="12" width="18.140625" bestFit="1" customWidth="1"/>
    <col min="13" max="13" width="18.85546875" bestFit="1" customWidth="1"/>
    <col min="14" max="14" width="37.28515625" bestFit="1" customWidth="1"/>
    <col min="15" max="15" width="36.85546875" bestFit="1" customWidth="1"/>
    <col min="16" max="16" width="35.7109375" bestFit="1" customWidth="1"/>
    <col min="17" max="17" width="24.42578125" bestFit="1" customWidth="1"/>
    <col min="18" max="18" width="24.28515625" bestFit="1" customWidth="1"/>
    <col min="19" max="19" width="37.28515625" bestFit="1" customWidth="1"/>
    <col min="20" max="20" width="17" bestFit="1" customWidth="1"/>
    <col min="21" max="21" width="23.7109375" bestFit="1" customWidth="1"/>
    <col min="22" max="22" width="11.7109375" bestFit="1" customWidth="1"/>
    <col min="23" max="23" width="14.42578125" bestFit="1" customWidth="1"/>
    <col min="24" max="24" width="17.28515625" hidden="1" customWidth="1"/>
    <col min="25" max="25" width="18.140625" bestFit="1" customWidth="1"/>
    <col min="26" max="26" width="48" bestFit="1" customWidth="1"/>
    <col min="27" max="27" width="19.42578125" bestFit="1" customWidth="1"/>
    <col min="28" max="28" width="21.42578125" bestFit="1" customWidth="1"/>
    <col min="29" max="29" width="25.140625" bestFit="1" customWidth="1"/>
    <col min="30" max="30" width="39.42578125" bestFit="1" customWidth="1"/>
    <col min="31" max="31" width="11.7109375" bestFit="1" customWidth="1"/>
    <col min="32" max="32" width="17.42578125" customWidth="1"/>
    <col min="33" max="33" width="19.7109375" hidden="1" customWidth="1"/>
  </cols>
  <sheetData>
    <row r="1" spans="1:48" ht="15.95" thickBot="1">
      <c r="A1" s="11" t="s">
        <v>880</v>
      </c>
      <c r="B1" s="11"/>
      <c r="C1" s="12"/>
      <c r="D1" s="12"/>
      <c r="E1" s="12"/>
      <c r="F1" s="12"/>
      <c r="G1" s="12"/>
      <c r="H1" s="12"/>
      <c r="I1" s="12"/>
      <c r="J1" s="71"/>
      <c r="K1" s="14"/>
      <c r="L1" s="14"/>
      <c r="M1" s="15"/>
      <c r="N1" s="15"/>
      <c r="O1" s="15"/>
      <c r="P1" s="15"/>
      <c r="Q1" s="15"/>
      <c r="R1" s="15"/>
      <c r="S1" s="15"/>
      <c r="T1" s="15"/>
      <c r="U1" s="15"/>
      <c r="V1" s="15"/>
      <c r="W1" s="13"/>
      <c r="X1" s="14"/>
      <c r="Y1" s="14"/>
      <c r="Z1" s="16"/>
      <c r="AA1" s="17"/>
      <c r="AB1" s="17"/>
      <c r="AC1" s="17"/>
      <c r="AD1" s="17"/>
      <c r="AE1" s="17"/>
      <c r="AF1" s="18"/>
      <c r="AG1" s="19"/>
    </row>
    <row r="2" spans="1:48" ht="17.45" thickBot="1">
      <c r="B2" s="20"/>
      <c r="C2" s="21" t="s">
        <v>789</v>
      </c>
      <c r="D2" s="22"/>
      <c r="E2" s="22"/>
      <c r="F2" s="22"/>
      <c r="G2" s="22"/>
      <c r="H2" s="22"/>
      <c r="I2" s="22"/>
      <c r="J2" s="72"/>
      <c r="K2" s="24"/>
      <c r="L2" s="24"/>
      <c r="M2" s="25"/>
      <c r="N2" s="26" t="s">
        <v>790</v>
      </c>
      <c r="O2" s="25"/>
      <c r="P2" s="25"/>
      <c r="Q2" s="25"/>
      <c r="R2" s="25"/>
      <c r="S2" s="27" t="s">
        <v>791</v>
      </c>
      <c r="T2" s="28"/>
      <c r="U2" s="25"/>
      <c r="V2" s="25"/>
      <c r="W2" s="23"/>
      <c r="X2" s="24"/>
      <c r="Y2" s="24"/>
      <c r="Z2" s="29"/>
      <c r="AA2" s="30" t="s">
        <v>792</v>
      </c>
      <c r="AB2" s="16"/>
      <c r="AC2" s="16"/>
      <c r="AD2" s="16"/>
      <c r="AE2" s="16"/>
      <c r="AF2" s="31"/>
      <c r="AG2" s="32"/>
    </row>
    <row r="3" spans="1:48" ht="15.95" thickBot="1">
      <c r="A3" s="282" t="s">
        <v>793</v>
      </c>
      <c r="B3" s="283"/>
      <c r="C3" s="33" t="s">
        <v>232</v>
      </c>
      <c r="D3" s="34" t="s">
        <v>8</v>
      </c>
      <c r="E3" s="35" t="s">
        <v>50</v>
      </c>
      <c r="F3" s="36" t="s">
        <v>254</v>
      </c>
      <c r="G3" s="69" t="s">
        <v>794</v>
      </c>
      <c r="H3" s="37" t="s">
        <v>795</v>
      </c>
      <c r="I3" s="38" t="s">
        <v>796</v>
      </c>
      <c r="J3" s="73" t="s">
        <v>797</v>
      </c>
      <c r="K3" s="40" t="s">
        <v>797</v>
      </c>
      <c r="L3" s="24"/>
      <c r="M3" s="41" t="s">
        <v>798</v>
      </c>
      <c r="N3" s="42" t="s">
        <v>799</v>
      </c>
      <c r="O3" s="43" t="s">
        <v>800</v>
      </c>
      <c r="P3" s="35" t="s">
        <v>801</v>
      </c>
      <c r="Q3" s="68" t="s">
        <v>802</v>
      </c>
      <c r="R3" s="44" t="s">
        <v>803</v>
      </c>
      <c r="S3" s="45" t="s">
        <v>804</v>
      </c>
      <c r="T3" s="37" t="s">
        <v>805</v>
      </c>
      <c r="U3" s="46" t="s">
        <v>806</v>
      </c>
      <c r="V3" s="39" t="s">
        <v>797</v>
      </c>
      <c r="W3" s="40" t="s">
        <v>797</v>
      </c>
      <c r="X3" s="47"/>
      <c r="Y3" s="24"/>
      <c r="Z3" s="48" t="s">
        <v>807</v>
      </c>
      <c r="AA3" s="49" t="s">
        <v>663</v>
      </c>
      <c r="AB3" s="50" t="s">
        <v>808</v>
      </c>
      <c r="AC3" s="51" t="s">
        <v>809</v>
      </c>
      <c r="AD3" s="52" t="s">
        <v>810</v>
      </c>
      <c r="AE3" s="39" t="s">
        <v>797</v>
      </c>
      <c r="AF3" s="40" t="s">
        <v>797</v>
      </c>
    </row>
    <row r="4" spans="1:48" ht="31.5" thickBot="1">
      <c r="A4" s="284" t="s">
        <v>811</v>
      </c>
      <c r="B4" s="285"/>
      <c r="J4" s="53"/>
      <c r="K4" s="54"/>
      <c r="L4" s="176" t="s">
        <v>80</v>
      </c>
      <c r="V4" s="53"/>
      <c r="W4" s="54"/>
      <c r="X4" s="55" t="s">
        <v>812</v>
      </c>
      <c r="Y4" s="176" t="s">
        <v>97</v>
      </c>
      <c r="AE4" s="53"/>
      <c r="AF4" s="54"/>
    </row>
    <row r="5" spans="1:48" ht="15.6">
      <c r="A5" s="56"/>
      <c r="B5" s="57" t="s">
        <v>813</v>
      </c>
      <c r="J5" s="53"/>
      <c r="K5" s="54"/>
      <c r="L5" s="55" t="s">
        <v>812</v>
      </c>
      <c r="V5" s="53"/>
      <c r="W5" s="54"/>
      <c r="X5" s="55"/>
      <c r="Y5" s="55" t="s">
        <v>812</v>
      </c>
      <c r="AE5" s="53"/>
      <c r="AF5" s="54"/>
    </row>
    <row r="6" spans="1:48" s="104" customFormat="1" ht="15.6">
      <c r="A6" s="108"/>
      <c r="B6" s="109" t="s">
        <v>814</v>
      </c>
      <c r="C6" s="110">
        <f>CSG!C6+CSB!C6</f>
        <v>9195544</v>
      </c>
      <c r="D6" s="110">
        <f>CSG!D6+CSB!D6</f>
        <v>7939036</v>
      </c>
      <c r="E6" s="110">
        <f>CSG!E6+CSB!E6</f>
        <v>6569586</v>
      </c>
      <c r="F6" s="110">
        <f>CSG!F6+CSB!F6</f>
        <v>51958817</v>
      </c>
      <c r="G6" s="110">
        <f>CSG!G6+CSB!G6</f>
        <v>570637</v>
      </c>
      <c r="H6" s="110">
        <f>CSG!H6+CSB!H6</f>
        <v>0</v>
      </c>
      <c r="I6" s="110">
        <f t="shared" ref="I6:I7" si="0">SUM(C6:H6)</f>
        <v>76233620</v>
      </c>
      <c r="J6" s="113" t="str">
        <f t="shared" ref="J6:J69" si="1">IF(I6=K6, "ok", "check")</f>
        <v>ok</v>
      </c>
      <c r="K6" s="111">
        <f>Acadia!H19</f>
        <v>76233620</v>
      </c>
      <c r="L6" s="226">
        <f>Acadia!H24</f>
        <v>665400</v>
      </c>
      <c r="M6" s="110">
        <f>CSG!M6+CSB!L6</f>
        <v>2003627</v>
      </c>
      <c r="N6" s="110">
        <f>CSG!N6+CSB!M6</f>
        <v>335044</v>
      </c>
      <c r="O6" s="110">
        <f>CSG!O6+CSB!N6</f>
        <v>1587435</v>
      </c>
      <c r="P6" s="110">
        <f>CSG!P6+CSB!O6</f>
        <v>9865913</v>
      </c>
      <c r="Q6" s="110">
        <f>CSG!Q6+CSB!P6</f>
        <v>0</v>
      </c>
      <c r="R6" s="110">
        <f>CSG!R6+CSB!Q6</f>
        <v>0</v>
      </c>
      <c r="S6" s="110">
        <f>CSG!S6+CSB!R6</f>
        <v>0</v>
      </c>
      <c r="T6" s="110">
        <f>CSG!T6+CSB!S6</f>
        <v>5528330</v>
      </c>
      <c r="U6" s="110">
        <f t="shared" ref="U6:U7" si="2">SUM(M6:T6)</f>
        <v>19320349</v>
      </c>
      <c r="V6" s="113" t="str">
        <f t="shared" ref="V6:V69" si="3">IF(U6=W6, "ok", "check")</f>
        <v>ok</v>
      </c>
      <c r="W6" s="111">
        <f>Acadia!H44</f>
        <v>19320349</v>
      </c>
      <c r="X6" s="112"/>
      <c r="Y6" s="226">
        <f>Acadia!H48</f>
        <v>178983</v>
      </c>
      <c r="Z6" s="110">
        <f>Acadia!H51</f>
        <v>40505469</v>
      </c>
      <c r="AA6" s="110">
        <f>Acadia!H53+Acadia!H54+Acadia!H55</f>
        <v>17402203</v>
      </c>
      <c r="AB6" s="110">
        <f>Acadia!H56</f>
        <v>-507984</v>
      </c>
      <c r="AC6" s="110">
        <f t="shared" ref="AC6:AC7" si="4">SUM(Z6:AB6)</f>
        <v>57399688</v>
      </c>
      <c r="AD6" s="110">
        <f>SUM(AC6,U6,Y6)</f>
        <v>76899020</v>
      </c>
      <c r="AE6" s="113" t="str">
        <f t="shared" ref="AE6:AE69" si="5">IF(AD6=AF6, "ok", "check")</f>
        <v>ok</v>
      </c>
      <c r="AF6" s="111">
        <f>Acadia!H60</f>
        <v>76899020</v>
      </c>
    </row>
    <row r="7" spans="1:48" ht="15.6">
      <c r="A7" s="56"/>
      <c r="B7" s="3" t="s">
        <v>815</v>
      </c>
      <c r="C7" s="110">
        <f>CSG!C7+CSB!C7</f>
        <v>4069562</v>
      </c>
      <c r="D7" s="110">
        <f>CSG!D7+CSB!D7</f>
        <v>0</v>
      </c>
      <c r="E7" s="110">
        <f>CSG!E7+CSB!E7</f>
        <v>2833111</v>
      </c>
      <c r="F7" s="110">
        <f>CSG!F7+CSB!F7</f>
        <v>23784501</v>
      </c>
      <c r="G7" s="110">
        <f>CSG!G7+CSB!G7</f>
        <v>0</v>
      </c>
      <c r="H7" s="110">
        <f>CSG!H7+CSB!H7</f>
        <v>807574</v>
      </c>
      <c r="I7" s="59">
        <f t="shared" si="0"/>
        <v>31494748</v>
      </c>
      <c r="J7" s="113" t="str">
        <f t="shared" si="1"/>
        <v>ok</v>
      </c>
      <c r="K7" s="58">
        <f>Allen!G13</f>
        <v>31494748</v>
      </c>
      <c r="L7" s="177">
        <f>Allen!G16</f>
        <v>31771531</v>
      </c>
      <c r="M7" s="110">
        <f>CSG!M7+CSB!L7</f>
        <v>830187</v>
      </c>
      <c r="N7" s="110">
        <f>CSG!N7+CSB!M7</f>
        <v>0</v>
      </c>
      <c r="O7" s="110">
        <f>CSG!O7+CSB!N7</f>
        <v>283759</v>
      </c>
      <c r="P7" s="110">
        <f>CSG!P7+CSB!O7</f>
        <v>1448246</v>
      </c>
      <c r="Q7" s="110">
        <f>CSG!Q7+CSB!P7</f>
        <v>0</v>
      </c>
      <c r="R7" s="110">
        <f>CSG!R7+CSB!Q7</f>
        <v>0</v>
      </c>
      <c r="S7" s="110">
        <f>CSG!S7+CSB!R7</f>
        <v>0</v>
      </c>
      <c r="T7" s="110">
        <f>CSG!T7+CSB!S7</f>
        <v>1359985</v>
      </c>
      <c r="U7" s="59">
        <f t="shared" si="2"/>
        <v>3922177</v>
      </c>
      <c r="V7" s="113" t="str">
        <f t="shared" si="3"/>
        <v>ok</v>
      </c>
      <c r="W7" s="58">
        <f>Allen!G30</f>
        <v>3922177</v>
      </c>
      <c r="X7" s="60"/>
      <c r="Y7" s="177">
        <f>Allen!G32</f>
        <v>24855</v>
      </c>
      <c r="Z7" s="59">
        <f>Allen!G35</f>
        <v>22129069</v>
      </c>
      <c r="AA7" s="59">
        <f>Allen!G37+Allen!G38+Allen!G39+Allen!G40+Allen!G41+Allen!G42+Allen!G43</f>
        <v>5716350</v>
      </c>
      <c r="AB7" s="59">
        <f>Allen!G44</f>
        <v>-20920</v>
      </c>
      <c r="AC7" s="59">
        <f t="shared" si="4"/>
        <v>27824499</v>
      </c>
      <c r="AD7" s="59">
        <f>SUM(AC7,U7,Y7)</f>
        <v>31771531</v>
      </c>
      <c r="AE7" s="113" t="str">
        <f t="shared" si="5"/>
        <v>ok</v>
      </c>
      <c r="AF7" s="58">
        <f>Allen!G48</f>
        <v>31771531</v>
      </c>
    </row>
    <row r="8" spans="1:48" s="104" customFormat="1" ht="15.6">
      <c r="A8" s="108"/>
      <c r="B8" s="109" t="s">
        <v>816</v>
      </c>
      <c r="C8" s="110">
        <f>CSG!C8+CSB!C8</f>
        <v>36218630</v>
      </c>
      <c r="D8" s="110">
        <f>CSG!D8+CSB!D8</f>
        <v>146069574</v>
      </c>
      <c r="E8" s="110">
        <f>CSG!E8+CSB!E8</f>
        <v>35990089</v>
      </c>
      <c r="F8" s="110">
        <f>CSG!F8+CSB!F8</f>
        <v>238605186</v>
      </c>
      <c r="G8" s="110">
        <f>CSG!G8+CSB!G8</f>
        <v>5468482</v>
      </c>
      <c r="H8" s="110">
        <f>CSG!H8+CSB!H8</f>
        <v>565068</v>
      </c>
      <c r="I8" s="110">
        <f t="shared" ref="I8:I15" si="6">SUM(C8:H8)</f>
        <v>462917029</v>
      </c>
      <c r="J8" s="113" t="str">
        <f t="shared" si="1"/>
        <v>ok</v>
      </c>
      <c r="K8" s="111">
        <f>Ascension!K20</f>
        <v>462917029</v>
      </c>
      <c r="L8" s="178">
        <f>Ascension!I24</f>
        <v>6506451</v>
      </c>
      <c r="M8" s="110">
        <f>CSG!M8+CSB!L8</f>
        <v>8979968</v>
      </c>
      <c r="N8" s="110">
        <f>CSG!N8+CSB!M8</f>
        <v>0</v>
      </c>
      <c r="O8" s="110">
        <f>CSG!O8+CSB!N8</f>
        <v>354297</v>
      </c>
      <c r="P8" s="110">
        <f>CSG!P8+CSB!O8</f>
        <v>904237</v>
      </c>
      <c r="Q8" s="110">
        <f>CSG!Q8+CSB!P8</f>
        <v>472207</v>
      </c>
      <c r="R8" s="110">
        <f>CSG!R8+CSB!Q8</f>
        <v>5546774</v>
      </c>
      <c r="S8" s="110">
        <f>CSG!S8+CSB!R8</f>
        <v>81230762</v>
      </c>
      <c r="T8" s="110">
        <f>CSG!T8+CSB!S8</f>
        <v>6021686</v>
      </c>
      <c r="U8" s="110">
        <f t="shared" ref="U8:U15" si="7">SUM(M8:T8)</f>
        <v>103509931</v>
      </c>
      <c r="V8" s="113" t="str">
        <f t="shared" si="3"/>
        <v>ok</v>
      </c>
      <c r="W8" s="111">
        <f>Ascension!K47</f>
        <v>103509931</v>
      </c>
      <c r="X8" s="112"/>
      <c r="Y8" s="178">
        <f>Ascension!I52</f>
        <v>864558</v>
      </c>
      <c r="Z8" s="110">
        <f>Ascension!I55</f>
        <v>129059066</v>
      </c>
      <c r="AA8" s="110">
        <f>Ascension!I57+Ascension!I58+Ascension!I59+Ascension!I60+Ascension!I61+Ascension!I62+Ascension!I63</f>
        <v>132695918</v>
      </c>
      <c r="AB8" s="110">
        <f>Ascension!I64</f>
        <v>81533262</v>
      </c>
      <c r="AC8" s="110">
        <f>SUM(Z8:AB8)</f>
        <v>343288246</v>
      </c>
      <c r="AD8" s="110">
        <f>SUM(AC8,U8,Y8)</f>
        <v>447662735</v>
      </c>
      <c r="AE8" s="113" t="str">
        <f t="shared" si="5"/>
        <v>check</v>
      </c>
      <c r="AF8" s="111">
        <f>Ascension!I68</f>
        <v>446816992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ht="15.6">
      <c r="A9" s="56"/>
      <c r="B9" s="3" t="s">
        <v>817</v>
      </c>
      <c r="C9" s="110">
        <f>CSG!C9+CSB!C9</f>
        <v>5055668</v>
      </c>
      <c r="D9" s="110">
        <f>CSG!D9+CSB!D9</f>
        <v>59397814</v>
      </c>
      <c r="E9" s="110">
        <f>CSG!E9+CSB!E9</f>
        <v>5990950</v>
      </c>
      <c r="F9" s="110">
        <f>CSG!F9+CSB!F9</f>
        <v>0</v>
      </c>
      <c r="G9" s="110">
        <f>CSG!G9+CSB!G9</f>
        <v>0</v>
      </c>
      <c r="H9" s="110">
        <f>CSG!H9+CSB!H9</f>
        <v>139035</v>
      </c>
      <c r="I9" s="59">
        <f t="shared" si="6"/>
        <v>70583467</v>
      </c>
      <c r="J9" s="113" t="str">
        <f t="shared" si="1"/>
        <v>ok</v>
      </c>
      <c r="K9" s="58">
        <f>Assumption!H14</f>
        <v>70583467</v>
      </c>
      <c r="L9" s="177">
        <f>Assumption!H18</f>
        <v>546760</v>
      </c>
      <c r="M9" s="110">
        <f>CSG!M9+CSB!L9</f>
        <v>2794508</v>
      </c>
      <c r="N9" s="110">
        <f>CSG!N9+CSB!M9</f>
        <v>0</v>
      </c>
      <c r="O9" s="110">
        <f>CSG!O9+CSB!N9</f>
        <v>0</v>
      </c>
      <c r="P9" s="110">
        <f>CSG!P9+CSB!O9</f>
        <v>0</v>
      </c>
      <c r="Q9" s="110">
        <f>CSG!Q9+CSB!P9</f>
        <v>0</v>
      </c>
      <c r="R9" s="110">
        <f>CSG!R9+CSB!Q9</f>
        <v>0</v>
      </c>
      <c r="S9" s="110">
        <f>CSG!S9+CSB!R9</f>
        <v>0</v>
      </c>
      <c r="T9" s="110">
        <f>CSG!T9+CSB!S9</f>
        <v>1011241</v>
      </c>
      <c r="U9" s="59">
        <f t="shared" si="7"/>
        <v>3805749</v>
      </c>
      <c r="V9" s="113" t="str">
        <f t="shared" si="3"/>
        <v>ok</v>
      </c>
      <c r="W9" s="58">
        <f>Assumption!H32</f>
        <v>3805749</v>
      </c>
      <c r="X9" s="60"/>
      <c r="Y9" s="177">
        <f>Assumption!H36</f>
        <v>70848</v>
      </c>
      <c r="Z9" s="59">
        <f>Assumption!H39</f>
        <v>44674146</v>
      </c>
      <c r="AA9" s="59"/>
      <c r="AB9" s="59">
        <f>Assumption!H41</f>
        <v>22579484</v>
      </c>
      <c r="AC9" s="59">
        <f t="shared" ref="AC9:AC15" si="8">SUM(Z9:AB9)</f>
        <v>67253630</v>
      </c>
      <c r="AD9" s="59">
        <f>SUM(AC9,U9,Y9)</f>
        <v>71130227</v>
      </c>
      <c r="AE9" s="113" t="str">
        <f t="shared" si="5"/>
        <v>ok</v>
      </c>
      <c r="AF9" s="58">
        <f>Assumption!H45</f>
        <v>71130227</v>
      </c>
    </row>
    <row r="10" spans="1:48" s="104" customFormat="1" ht="15.6">
      <c r="A10" s="108"/>
      <c r="B10" s="109" t="s">
        <v>818</v>
      </c>
      <c r="C10" s="110">
        <f>CSG!C10+CSB!C10</f>
        <v>10522207</v>
      </c>
      <c r="D10" s="110">
        <f>CSG!D10+CSB!D10</f>
        <v>0</v>
      </c>
      <c r="E10" s="110">
        <f>CSG!E10+CSB!E10</f>
        <v>33789</v>
      </c>
      <c r="F10" s="110">
        <f>CSG!F10+CSB!F10</f>
        <v>4318512</v>
      </c>
      <c r="G10" s="110">
        <f>CSG!G10+CSB!G10</f>
        <v>2575929</v>
      </c>
      <c r="H10" s="110">
        <f>CSG!H10+CSB!H10</f>
        <v>1884776</v>
      </c>
      <c r="I10" s="110">
        <f t="shared" si="6"/>
        <v>19335213</v>
      </c>
      <c r="J10" s="113" t="str">
        <f t="shared" si="1"/>
        <v>ok</v>
      </c>
      <c r="K10" s="111">
        <f>Avoyelles!H14</f>
        <v>19335213</v>
      </c>
      <c r="L10" s="178"/>
      <c r="M10" s="110">
        <f>CSG!M10+CSB!L10</f>
        <v>689137</v>
      </c>
      <c r="N10" s="110">
        <f>CSG!N10+CSB!M10</f>
        <v>0</v>
      </c>
      <c r="O10" s="110">
        <f>CSG!O10+CSB!N10</f>
        <v>0</v>
      </c>
      <c r="P10" s="110">
        <f>CSG!P10+CSB!O10</f>
        <v>0</v>
      </c>
      <c r="Q10" s="110">
        <f>CSG!Q10+CSB!P10</f>
        <v>0</v>
      </c>
      <c r="R10" s="110">
        <f>CSG!R10+CSB!Q10</f>
        <v>30149</v>
      </c>
      <c r="S10" s="110">
        <f>CSG!S10+CSB!R10</f>
        <v>64772</v>
      </c>
      <c r="T10" s="110">
        <f>CSG!T10+CSB!S10</f>
        <v>181332</v>
      </c>
      <c r="U10" s="110">
        <f t="shared" si="7"/>
        <v>965390</v>
      </c>
      <c r="V10" s="113" t="str">
        <f t="shared" si="3"/>
        <v>ok</v>
      </c>
      <c r="W10" s="111">
        <f>Avoyelles!H27</f>
        <v>965390</v>
      </c>
      <c r="X10" s="112"/>
      <c r="Y10" s="178"/>
      <c r="Z10" s="110">
        <f>Avoyelles!H32</f>
        <v>6094458</v>
      </c>
      <c r="AA10" s="110"/>
      <c r="AB10" s="110">
        <f>Avoyelles!H33</f>
        <v>12415547</v>
      </c>
      <c r="AC10" s="110">
        <f t="shared" si="8"/>
        <v>18510005</v>
      </c>
      <c r="AD10" s="110">
        <f t="shared" ref="AD10:AD69" si="9">SUM(AC10,U10,Y10)</f>
        <v>19475395</v>
      </c>
      <c r="AE10" s="113" t="str">
        <f t="shared" si="5"/>
        <v>ok</v>
      </c>
      <c r="AF10" s="111">
        <f>Avoyelles!H37</f>
        <v>19475395</v>
      </c>
    </row>
    <row r="11" spans="1:48" ht="15.6">
      <c r="A11" s="56"/>
      <c r="B11" s="3" t="s">
        <v>819</v>
      </c>
      <c r="C11" s="110">
        <f>CSG!C11+CSB!C11</f>
        <v>25520552</v>
      </c>
      <c r="D11" s="110">
        <f>CSG!D11+CSB!D11</f>
        <v>0</v>
      </c>
      <c r="E11" s="110">
        <f>CSG!E11+CSB!E11</f>
        <v>6425452</v>
      </c>
      <c r="F11" s="110">
        <f>CSG!F11+CSB!F11</f>
        <v>35981007</v>
      </c>
      <c r="G11" s="110">
        <f>CSG!G11+CSB!G11</f>
        <v>0</v>
      </c>
      <c r="H11" s="110">
        <f>CSG!H11+CSB!H11</f>
        <v>561035</v>
      </c>
      <c r="I11" s="59">
        <f t="shared" si="6"/>
        <v>68488046</v>
      </c>
      <c r="J11" s="113" t="str">
        <f t="shared" si="1"/>
        <v>ok</v>
      </c>
      <c r="K11" s="58">
        <f>Beauregard!G17</f>
        <v>68488046</v>
      </c>
      <c r="L11" s="177">
        <f>Beauregard!G20</f>
        <v>587818</v>
      </c>
      <c r="M11" s="110">
        <f>CSG!M11+CSB!L11</f>
        <v>1565028</v>
      </c>
      <c r="N11" s="110">
        <f>CSG!N11+CSB!M11</f>
        <v>0</v>
      </c>
      <c r="O11" s="110">
        <f>CSG!O11+CSB!N11</f>
        <v>0</v>
      </c>
      <c r="P11" s="110">
        <f>CSG!P11+CSB!O11</f>
        <v>0</v>
      </c>
      <c r="Q11" s="110">
        <f>CSG!Q11+CSB!P11</f>
        <v>0</v>
      </c>
      <c r="R11" s="110">
        <f>CSG!R11+CSB!Q11</f>
        <v>1256668</v>
      </c>
      <c r="S11" s="110">
        <f>CSG!S11+CSB!R11</f>
        <v>13691999</v>
      </c>
      <c r="T11" s="110">
        <f>CSG!T11+CSB!S11</f>
        <v>148204</v>
      </c>
      <c r="U11" s="59">
        <f t="shared" si="7"/>
        <v>16661899</v>
      </c>
      <c r="V11" s="113" t="str">
        <f t="shared" si="3"/>
        <v>ok</v>
      </c>
      <c r="W11" s="58">
        <f>Beauregard!G30</f>
        <v>16661899</v>
      </c>
      <c r="X11" s="60"/>
      <c r="Y11" s="177">
        <f>Beauregard!G33</f>
        <v>99372</v>
      </c>
      <c r="Z11" s="59">
        <f>Beauregard!G36</f>
        <v>21141007</v>
      </c>
      <c r="AA11" s="59">
        <f>Beauregard!G38+Beauregard!G39+Beauregard!G40+Beauregard!G41+Beauregard!G42+Beauregard!G43+Beauregard!G44+Beauregard!G45+Beauregard!G46+Beauregard!G47</f>
        <v>29436387</v>
      </c>
      <c r="AB11" s="59">
        <f>Beauregard!G48</f>
        <v>1737199</v>
      </c>
      <c r="AC11" s="59">
        <f t="shared" si="8"/>
        <v>52314593</v>
      </c>
      <c r="AD11" s="59">
        <f>SUM(AC11,U11)</f>
        <v>68976492</v>
      </c>
      <c r="AE11" s="113" t="str">
        <f t="shared" si="5"/>
        <v>ok</v>
      </c>
      <c r="AF11" s="58">
        <f>Beauregard!G52</f>
        <v>68976492</v>
      </c>
    </row>
    <row r="12" spans="1:48" s="104" customFormat="1" ht="15.6">
      <c r="A12" s="108"/>
      <c r="B12" s="109" t="s">
        <v>820</v>
      </c>
      <c r="C12" s="110">
        <f>CSG!C12+CSB!C12</f>
        <v>16858491</v>
      </c>
      <c r="D12" s="110">
        <f>CSG!D12+CSB!D12</f>
        <v>0</v>
      </c>
      <c r="E12" s="110">
        <f>CSG!E12+CSB!E12</f>
        <v>4654602</v>
      </c>
      <c r="F12" s="110">
        <f>CSG!F12+CSB!F12</f>
        <v>22261869</v>
      </c>
      <c r="G12" s="110">
        <f>CSG!G12+CSB!G12</f>
        <v>0</v>
      </c>
      <c r="H12" s="110">
        <f>CSG!H12+CSB!H12</f>
        <v>0</v>
      </c>
      <c r="I12" s="110">
        <f t="shared" si="6"/>
        <v>43774962</v>
      </c>
      <c r="J12" s="113" t="str">
        <f t="shared" si="1"/>
        <v>ok</v>
      </c>
      <c r="K12" s="111">
        <f>Bienville!G10</f>
        <v>43774962</v>
      </c>
      <c r="L12" s="178">
        <f>Bienville!G14</f>
        <v>134448</v>
      </c>
      <c r="M12" s="110">
        <f>CSG!M12+CSB!L12</f>
        <v>380370</v>
      </c>
      <c r="N12" s="110">
        <f>CSG!N12+CSB!M12</f>
        <v>87473</v>
      </c>
      <c r="O12" s="110">
        <f>CSG!O12+CSB!N12</f>
        <v>9895000</v>
      </c>
      <c r="P12" s="110">
        <f>CSG!P12+CSB!O12</f>
        <v>0</v>
      </c>
      <c r="Q12" s="110">
        <f>CSG!Q12+CSB!P12</f>
        <v>0</v>
      </c>
      <c r="R12" s="110">
        <f>CSG!R12+CSB!Q12</f>
        <v>0</v>
      </c>
      <c r="S12" s="110">
        <f>CSG!S12+CSB!R12</f>
        <v>0</v>
      </c>
      <c r="T12" s="110">
        <f>CSG!T12+CSB!S12</f>
        <v>2272690</v>
      </c>
      <c r="U12" s="110">
        <f t="shared" si="7"/>
        <v>12635533</v>
      </c>
      <c r="V12" s="113" t="str">
        <f t="shared" si="3"/>
        <v>ok</v>
      </c>
      <c r="W12" s="111">
        <f>Bienville!G27</f>
        <v>12635533</v>
      </c>
      <c r="X12" s="112"/>
      <c r="Y12" s="178">
        <f>Bienville!G30</f>
        <v>46967</v>
      </c>
      <c r="Z12" s="110">
        <f>Bienville!G33</f>
        <v>12366869</v>
      </c>
      <c r="AA12" s="110"/>
      <c r="AB12" s="110">
        <f>Bienville!G34</f>
        <v>18860041</v>
      </c>
      <c r="AC12" s="110">
        <f t="shared" si="8"/>
        <v>31226910</v>
      </c>
      <c r="AD12" s="110">
        <f t="shared" si="9"/>
        <v>43909410</v>
      </c>
      <c r="AE12" s="113" t="str">
        <f t="shared" si="5"/>
        <v>ok</v>
      </c>
      <c r="AF12" s="111">
        <f>Bienville!G38</f>
        <v>43909410</v>
      </c>
    </row>
    <row r="13" spans="1:48" ht="15.6">
      <c r="A13" s="56"/>
      <c r="B13" s="3" t="s">
        <v>821</v>
      </c>
      <c r="C13" s="110">
        <f>CSG!C13+CSB!C13</f>
        <v>47377504</v>
      </c>
      <c r="D13" s="110">
        <f>CSG!D13+CSB!D13</f>
        <v>13617426</v>
      </c>
      <c r="E13" s="110">
        <f>CSG!E13+CSB!E13</f>
        <v>18719601</v>
      </c>
      <c r="F13" s="110">
        <f>CSG!F13+CSB!F13</f>
        <v>328098680</v>
      </c>
      <c r="G13" s="110">
        <f>CSG!G13+CSB!G13</f>
        <v>0</v>
      </c>
      <c r="H13" s="110">
        <f>CSG!H13+CSB!H13</f>
        <v>1039528</v>
      </c>
      <c r="I13" s="59">
        <f t="shared" si="6"/>
        <v>408852739</v>
      </c>
      <c r="J13" s="113" t="str">
        <f t="shared" si="1"/>
        <v>ok</v>
      </c>
      <c r="K13" s="58">
        <f>Bossier!J18</f>
        <v>408852739</v>
      </c>
      <c r="L13" s="177">
        <f>Bossier!H21</f>
        <v>2017962</v>
      </c>
      <c r="M13" s="110">
        <f>CSG!M13+CSB!L13</f>
        <v>4188321</v>
      </c>
      <c r="N13" s="110">
        <f>CSG!N13+CSB!M13</f>
        <v>0</v>
      </c>
      <c r="O13" s="110">
        <f>CSG!O13+CSB!N13</f>
        <v>0</v>
      </c>
      <c r="P13" s="110">
        <f>CSG!P13+CSB!O13</f>
        <v>0</v>
      </c>
      <c r="Q13" s="110">
        <f>CSG!Q13+CSB!P13</f>
        <v>0</v>
      </c>
      <c r="R13" s="110">
        <f>CSG!R13+CSB!Q13</f>
        <v>5271068</v>
      </c>
      <c r="S13" s="110">
        <f>CSG!S13+CSB!R13</f>
        <v>83490079</v>
      </c>
      <c r="T13" s="110">
        <f>CSG!T13+CSB!S13</f>
        <v>125647</v>
      </c>
      <c r="U13" s="59">
        <f t="shared" si="7"/>
        <v>93075115</v>
      </c>
      <c r="V13" s="113" t="str">
        <f t="shared" si="3"/>
        <v>ok</v>
      </c>
      <c r="W13" s="58">
        <f>Bossier!J32</f>
        <v>93075115</v>
      </c>
      <c r="X13" s="60"/>
      <c r="Y13" s="177">
        <f>Bossier!H38</f>
        <v>15229888</v>
      </c>
      <c r="Z13" s="59">
        <f>Bossier!H41</f>
        <v>241133940</v>
      </c>
      <c r="AA13" s="59">
        <f>Bossier!H43+Bossier!H44+Bossier!H45+Bossier!H46+Bossier!H47+Bossier!H48+Bossier!H49+Bossier!H50</f>
        <v>23609034</v>
      </c>
      <c r="AB13" s="59">
        <f>Bossier!H51</f>
        <v>23210873</v>
      </c>
      <c r="AC13" s="59">
        <f t="shared" si="8"/>
        <v>287953847</v>
      </c>
      <c r="AD13" s="59">
        <f t="shared" si="9"/>
        <v>396258850</v>
      </c>
      <c r="AE13" s="113" t="str">
        <f t="shared" si="5"/>
        <v>check</v>
      </c>
      <c r="AF13" s="58">
        <f>Bossier!H55</f>
        <v>376728701</v>
      </c>
    </row>
    <row r="14" spans="1:48" s="104" customFormat="1">
      <c r="B14" s="109" t="s">
        <v>822</v>
      </c>
      <c r="C14" s="110">
        <f>CSG!C14+CSB!C14</f>
        <v>5950999</v>
      </c>
      <c r="D14" s="110">
        <f>CSG!D14+CSB!D14</f>
        <v>124633857</v>
      </c>
      <c r="E14" s="110">
        <f>CSG!E14+CSB!E14</f>
        <v>44347039</v>
      </c>
      <c r="F14" s="110">
        <f>CSG!F14+CSB!F14</f>
        <v>161621740</v>
      </c>
      <c r="G14" s="110">
        <f>CSG!G14+CSB!G14</f>
        <v>2274558</v>
      </c>
      <c r="H14" s="110">
        <f>CSG!H14+CSB!H14</f>
        <v>134881</v>
      </c>
      <c r="I14" s="110">
        <f t="shared" si="6"/>
        <v>338963074</v>
      </c>
      <c r="J14" s="113" t="str">
        <f t="shared" si="1"/>
        <v>ok</v>
      </c>
      <c r="K14" s="111">
        <f>Caddo!H18</f>
        <v>338963074</v>
      </c>
      <c r="L14" s="178">
        <f>Caddo!H24</f>
        <v>342242285</v>
      </c>
      <c r="M14" s="110">
        <f>CSG!M14+CSB!L14</f>
        <v>5295787</v>
      </c>
      <c r="N14" s="110">
        <f>CSG!N14+CSB!M14</f>
        <v>0</v>
      </c>
      <c r="O14" s="110">
        <f>CSG!O14+CSB!N14</f>
        <v>0</v>
      </c>
      <c r="P14" s="110">
        <f>CSG!P14+CSB!O14</f>
        <v>0</v>
      </c>
      <c r="Q14" s="110">
        <f>CSG!Q14+CSB!P14</f>
        <v>1176460</v>
      </c>
      <c r="R14" s="110">
        <f>CSG!R14+CSB!Q14</f>
        <v>3181419</v>
      </c>
      <c r="S14" s="110">
        <f>CSG!S14+CSB!R14</f>
        <v>39998835</v>
      </c>
      <c r="T14" s="110">
        <f>CSG!T14+CSB!S14</f>
        <v>34466</v>
      </c>
      <c r="U14" s="110">
        <f t="shared" si="7"/>
        <v>49686967</v>
      </c>
      <c r="V14" s="113" t="str">
        <f t="shared" si="3"/>
        <v>ok</v>
      </c>
      <c r="W14" s="111">
        <f>Caddo!H41</f>
        <v>49686967</v>
      </c>
      <c r="X14" s="112"/>
      <c r="Y14" s="178">
        <f>Caddo!H48</f>
        <v>490293</v>
      </c>
      <c r="Z14" s="110">
        <f>Caddo!H51</f>
        <v>135822820</v>
      </c>
      <c r="AA14" s="110">
        <f>Caddo!H53+Caddo!H54+Caddo!H55+Caddo!H56+Caddo!H57+Caddo!H58+Caddo!H59+Caddo!H60</f>
        <v>92558691</v>
      </c>
      <c r="AB14" s="110">
        <f>Caddo!H62</f>
        <v>63756848</v>
      </c>
      <c r="AC14" s="110">
        <f t="shared" si="8"/>
        <v>292138359</v>
      </c>
      <c r="AD14" s="110">
        <f t="shared" si="9"/>
        <v>342315619</v>
      </c>
      <c r="AE14" s="113" t="str">
        <f t="shared" si="5"/>
        <v>ok</v>
      </c>
      <c r="AF14" s="111">
        <f>Caddo!H66</f>
        <v>342315619</v>
      </c>
    </row>
    <row r="15" spans="1:48" ht="15.6">
      <c r="A15" s="56"/>
      <c r="B15" s="3" t="s">
        <v>823</v>
      </c>
      <c r="C15" s="110">
        <f>CSG!C15+CSB!C15</f>
        <v>48610091</v>
      </c>
      <c r="D15" s="110">
        <f>CSG!D15+CSB!D15</f>
        <v>255546426</v>
      </c>
      <c r="E15" s="110">
        <f>CSG!E15+CSB!E15</f>
        <v>65435690</v>
      </c>
      <c r="F15" s="110">
        <f>CSG!F15+CSB!F15</f>
        <v>540745481</v>
      </c>
      <c r="G15" s="110">
        <f>CSG!G15+CSB!G15</f>
        <v>0</v>
      </c>
      <c r="H15" s="110">
        <f>CSG!H15+CSB!H15</f>
        <v>1513808</v>
      </c>
      <c r="I15" s="59">
        <f t="shared" si="6"/>
        <v>911851496</v>
      </c>
      <c r="J15" s="113" t="str">
        <f t="shared" si="1"/>
        <v>ok</v>
      </c>
      <c r="K15" s="58">
        <f>Calcasieu!J25</f>
        <v>911851496</v>
      </c>
      <c r="L15" s="177">
        <f>Calcasieu!H28</f>
        <v>0</v>
      </c>
      <c r="M15" s="110">
        <f>CSG!M15+CSB!L15</f>
        <v>12439359</v>
      </c>
      <c r="N15" s="110">
        <f>CSG!N15+CSB!M15</f>
        <v>0</v>
      </c>
      <c r="O15" s="110">
        <f>CSG!O15+CSB!N15</f>
        <v>0</v>
      </c>
      <c r="P15" s="110">
        <f>CSG!P15+CSB!O15</f>
        <v>0</v>
      </c>
      <c r="Q15" s="110">
        <f>CSG!Q15+CSB!P15</f>
        <v>60846</v>
      </c>
      <c r="R15" s="110">
        <f>CSG!R15+CSB!Q15</f>
        <v>2969321</v>
      </c>
      <c r="S15" s="110">
        <f>CSG!S15+CSB!R15</f>
        <v>9999212</v>
      </c>
      <c r="T15" s="110">
        <f>CSG!T15+CSB!S15</f>
        <v>3724077</v>
      </c>
      <c r="U15" s="59">
        <f t="shared" si="7"/>
        <v>29192815</v>
      </c>
      <c r="V15" s="113" t="str">
        <f t="shared" si="3"/>
        <v>ok</v>
      </c>
      <c r="W15" s="58">
        <f>Calcasieu!J44</f>
        <v>29192815</v>
      </c>
      <c r="X15" s="60"/>
      <c r="Y15" s="177">
        <f>Calcasieu!H50</f>
        <v>50608056</v>
      </c>
      <c r="Z15" s="59">
        <f>Calcasieu!H54</f>
        <v>530837466</v>
      </c>
      <c r="AA15" s="59">
        <f>Calcasieu!H57+Calcasieu!H58</f>
        <v>208831216</v>
      </c>
      <c r="AB15" s="59">
        <f>Calcasieu!H59</f>
        <v>86151868</v>
      </c>
      <c r="AC15" s="59">
        <f t="shared" si="8"/>
        <v>825820550</v>
      </c>
      <c r="AD15" s="59">
        <f t="shared" si="9"/>
        <v>905621421</v>
      </c>
      <c r="AE15" s="113" t="str">
        <f t="shared" si="5"/>
        <v>check</v>
      </c>
      <c r="AF15" s="58">
        <f>Calcasieu!H63</f>
        <v>904989361</v>
      </c>
    </row>
    <row r="16" spans="1:48" s="104" customFormat="1">
      <c r="B16" s="109" t="s">
        <v>824</v>
      </c>
      <c r="C16" s="110">
        <f>CSG!C16+CSB!C16</f>
        <v>7400441</v>
      </c>
      <c r="D16" s="110">
        <f>CSG!D16+CSB!D16</f>
        <v>0</v>
      </c>
      <c r="E16" s="110">
        <f>CSG!E16+CSB!E16</f>
        <v>1902779</v>
      </c>
      <c r="F16" s="110">
        <f>CSG!F16+CSB!F16</f>
        <v>16886347</v>
      </c>
      <c r="G16" s="110">
        <f>CSG!G16+CSB!G16</f>
        <v>0</v>
      </c>
      <c r="H16" s="110">
        <f>CSG!H16+CSB!H16</f>
        <v>0</v>
      </c>
      <c r="I16" s="110">
        <f t="shared" ref="I16:I43" si="10">SUM(C16:H16)</f>
        <v>26189567</v>
      </c>
      <c r="J16" s="113" t="str">
        <f t="shared" si="1"/>
        <v>ok</v>
      </c>
      <c r="K16" s="111">
        <f>Caldwell!G10</f>
        <v>26189567</v>
      </c>
      <c r="L16" s="178"/>
      <c r="M16" s="110">
        <f>CSG!M16+CSB!L16</f>
        <v>436806</v>
      </c>
      <c r="N16" s="110">
        <f>CSG!N16+CSB!M16</f>
        <v>102079</v>
      </c>
      <c r="O16" s="110">
        <f>CSG!O16+CSB!N16</f>
        <v>0</v>
      </c>
      <c r="P16" s="110">
        <f>CSG!P16+CSB!O16</f>
        <v>0</v>
      </c>
      <c r="Q16" s="110">
        <f>CSG!Q16+CSB!P16</f>
        <v>57698</v>
      </c>
      <c r="R16" s="110">
        <f>CSG!R16+CSB!Q16</f>
        <v>0</v>
      </c>
      <c r="S16" s="110">
        <f>CSG!S16+CSB!R16</f>
        <v>0</v>
      </c>
      <c r="T16" s="110">
        <f>CSG!T16+CSB!S16</f>
        <v>86662</v>
      </c>
      <c r="U16" s="110">
        <f t="shared" ref="U16:U21" si="11">SUM(M16:T16)</f>
        <v>683245</v>
      </c>
      <c r="V16" s="113" t="str">
        <f t="shared" si="3"/>
        <v>ok</v>
      </c>
      <c r="W16" s="111">
        <f>Caldwell!G22</f>
        <v>683245</v>
      </c>
      <c r="X16" s="112"/>
      <c r="Y16" s="178">
        <f>Caldwell!G25</f>
        <v>35166</v>
      </c>
      <c r="Z16" s="110">
        <f>Caldwell!G28</f>
        <v>16886347</v>
      </c>
      <c r="AA16" s="110">
        <f>Caldwell!G29</f>
        <v>8172641</v>
      </c>
      <c r="AB16" s="110">
        <f>Caldwell!G30</f>
        <v>497998</v>
      </c>
      <c r="AC16" s="110">
        <f t="shared" ref="AC16:AC21" si="12">SUM(Z16:AB16)</f>
        <v>25556986</v>
      </c>
      <c r="AD16" s="110">
        <f>SUM(AC16,U16,Y16)</f>
        <v>26275397</v>
      </c>
      <c r="AE16" s="113" t="str">
        <f t="shared" si="5"/>
        <v>ok</v>
      </c>
      <c r="AF16" s="111">
        <f>Caldwell!G34</f>
        <v>26275397</v>
      </c>
    </row>
    <row r="17" spans="1:32" ht="15.6">
      <c r="A17" s="56"/>
      <c r="B17" s="3" t="s">
        <v>825</v>
      </c>
      <c r="C17" s="110">
        <f>CSG!C17+CSB!C17</f>
        <v>16575500</v>
      </c>
      <c r="D17" s="110">
        <f>CSG!D17+CSB!D17</f>
        <v>11477630</v>
      </c>
      <c r="E17" s="110">
        <f>CSG!E17+CSB!E17</f>
        <v>13918620</v>
      </c>
      <c r="F17" s="110">
        <f>CSG!F17+CSB!F17</f>
        <v>123784927</v>
      </c>
      <c r="G17" s="110">
        <f>CSG!G17+CSB!G17</f>
        <v>0</v>
      </c>
      <c r="H17" s="110">
        <f>CSG!H17+CSB!H17</f>
        <v>2055319</v>
      </c>
      <c r="I17" s="59">
        <f t="shared" si="10"/>
        <v>167811996</v>
      </c>
      <c r="J17" s="113" t="str">
        <f t="shared" si="1"/>
        <v>ok</v>
      </c>
      <c r="K17" s="58">
        <f>Cameron!G13</f>
        <v>167811996</v>
      </c>
      <c r="L17" s="177"/>
      <c r="M17" s="110">
        <f>CSG!M17+CSB!L17</f>
        <v>2021750</v>
      </c>
      <c r="N17" s="110">
        <f>CSG!N17+CSB!M17</f>
        <v>0</v>
      </c>
      <c r="O17" s="110">
        <f>CSG!O17+CSB!N17</f>
        <v>0</v>
      </c>
      <c r="P17" s="110">
        <f>CSG!P17+CSB!O17</f>
        <v>0</v>
      </c>
      <c r="Q17" s="110">
        <f>CSG!Q17+CSB!P17</f>
        <v>2551196</v>
      </c>
      <c r="R17" s="110">
        <f>CSG!R17+CSB!Q17</f>
        <v>1183863</v>
      </c>
      <c r="S17" s="110">
        <f>CSG!S17+CSB!R17</f>
        <v>3075083</v>
      </c>
      <c r="T17" s="110">
        <f>CSG!T17+CSB!S17</f>
        <v>17231</v>
      </c>
      <c r="U17" s="59">
        <f t="shared" si="11"/>
        <v>8849123</v>
      </c>
      <c r="V17" s="113" t="str">
        <f t="shared" si="3"/>
        <v>ok</v>
      </c>
      <c r="W17" s="58">
        <f>Cameron!G26</f>
        <v>8849123</v>
      </c>
      <c r="X17" s="60"/>
      <c r="Y17" s="177">
        <f>Cameron!G28</f>
        <v>1986478</v>
      </c>
      <c r="Z17" s="59">
        <f>Cameron!G31</f>
        <v>121538091</v>
      </c>
      <c r="AA17" s="59">
        <f>Cameron!G33+Cameron!G34+Cameron!G35+Cameron!G36+Cameron!G37</f>
        <v>2795451</v>
      </c>
      <c r="AB17" s="59">
        <f>Cameron!G38</f>
        <v>33659569</v>
      </c>
      <c r="AC17" s="59">
        <f t="shared" si="12"/>
        <v>157993111</v>
      </c>
      <c r="AD17" s="59">
        <f t="shared" si="9"/>
        <v>168828712</v>
      </c>
      <c r="AE17" s="113" t="str">
        <f t="shared" si="5"/>
        <v>ok</v>
      </c>
      <c r="AF17" s="58">
        <f>Cameron!G42</f>
        <v>168828712</v>
      </c>
    </row>
    <row r="18" spans="1:32" s="104" customFormat="1" ht="15.6">
      <c r="A18" s="108"/>
      <c r="B18" s="109" t="s">
        <v>826</v>
      </c>
      <c r="C18" s="110">
        <f>CSG!C18+CSB!C18</f>
        <v>2211892</v>
      </c>
      <c r="D18" s="110">
        <f>CSG!D18+CSB!D18</f>
        <v>0</v>
      </c>
      <c r="E18" s="110">
        <f>CSG!E18+CSB!E18</f>
        <v>1487134</v>
      </c>
      <c r="F18" s="110">
        <f>CSG!F18+CSB!F18</f>
        <v>6900530</v>
      </c>
      <c r="G18" s="110">
        <f>CSG!G18+CSB!G18</f>
        <v>0</v>
      </c>
      <c r="H18" s="110">
        <f>CSG!H18+CSB!H18</f>
        <v>83326</v>
      </c>
      <c r="I18" s="110">
        <f t="shared" si="10"/>
        <v>10682882</v>
      </c>
      <c r="J18" s="113" t="str">
        <f t="shared" si="1"/>
        <v>ok</v>
      </c>
      <c r="K18" s="111">
        <f>Catahoula!H14</f>
        <v>10682882</v>
      </c>
      <c r="L18" s="178">
        <f>Catahoula!H17</f>
        <v>54981</v>
      </c>
      <c r="M18" s="110">
        <f>CSG!M18+CSB!L18</f>
        <v>656405</v>
      </c>
      <c r="N18" s="110">
        <f>CSG!N18+CSB!M18</f>
        <v>36269</v>
      </c>
      <c r="O18" s="110">
        <f>CSG!O18+CSB!N18</f>
        <v>0</v>
      </c>
      <c r="P18" s="110">
        <f>CSG!P18+CSB!O18</f>
        <v>0</v>
      </c>
      <c r="Q18" s="110">
        <f>CSG!Q18+CSB!P18</f>
        <v>0</v>
      </c>
      <c r="R18" s="110">
        <f>CSG!R18+CSB!Q18</f>
        <v>107000</v>
      </c>
      <c r="S18" s="110">
        <f>CSG!S18+CSB!R18</f>
        <v>191562</v>
      </c>
      <c r="T18" s="110">
        <f>CSG!T18+CSB!S18</f>
        <v>0</v>
      </c>
      <c r="U18" s="110">
        <f t="shared" si="11"/>
        <v>991236</v>
      </c>
      <c r="V18" s="113" t="str">
        <f t="shared" si="3"/>
        <v>ok</v>
      </c>
      <c r="W18" s="111">
        <f>Catahoula!H26</f>
        <v>991236</v>
      </c>
      <c r="X18" s="112"/>
      <c r="Y18" s="178">
        <f>Catahoula!H31</f>
        <v>26882</v>
      </c>
      <c r="Z18" s="110">
        <f>Catahoula!H34</f>
        <v>6900530</v>
      </c>
      <c r="AA18" s="110">
        <f>Catahoula!H35</f>
        <v>2035217</v>
      </c>
      <c r="AB18" s="110">
        <f>Catahoula!H36</f>
        <v>783998</v>
      </c>
      <c r="AC18" s="110">
        <f t="shared" si="12"/>
        <v>9719745</v>
      </c>
      <c r="AD18" s="110">
        <f>SUM(AC18,U18,Y18)</f>
        <v>10737863</v>
      </c>
      <c r="AE18" s="113" t="str">
        <f t="shared" si="5"/>
        <v>ok</v>
      </c>
      <c r="AF18" s="111">
        <f>Catahoula!H40</f>
        <v>10737863</v>
      </c>
    </row>
    <row r="19" spans="1:32" ht="15.6">
      <c r="A19" s="56"/>
      <c r="B19" s="3" t="s">
        <v>827</v>
      </c>
      <c r="C19" s="110">
        <f>CSG!C19+CSB!C19</f>
        <v>6780670</v>
      </c>
      <c r="D19" s="110">
        <f>CSG!D19+CSB!D19</f>
        <v>793544</v>
      </c>
      <c r="E19" s="110">
        <f>CSG!E19+CSB!E19</f>
        <v>3238498</v>
      </c>
      <c r="F19" s="110">
        <f>CSG!F19+CSB!F19</f>
        <v>8351695</v>
      </c>
      <c r="G19" s="110">
        <f>CSG!G19+CSB!G19</f>
        <v>0</v>
      </c>
      <c r="H19" s="110">
        <f>CSG!H19+CSB!H19</f>
        <v>132197</v>
      </c>
      <c r="I19" s="59">
        <f t="shared" si="10"/>
        <v>19296604</v>
      </c>
      <c r="J19" s="113" t="str">
        <f t="shared" si="1"/>
        <v>ok</v>
      </c>
      <c r="K19" s="58">
        <f>Claiborne!G13</f>
        <v>19296604</v>
      </c>
      <c r="L19" s="177">
        <f>Claiborne!G16</f>
        <v>129494</v>
      </c>
      <c r="M19" s="110">
        <f>CSG!M19+CSB!L19</f>
        <v>547636</v>
      </c>
      <c r="N19" s="110">
        <f>CSG!N19+CSB!M19</f>
        <v>70564</v>
      </c>
      <c r="O19" s="110">
        <f>CSG!O19+CSB!N19</f>
        <v>0</v>
      </c>
      <c r="P19" s="110">
        <f>CSG!P19+CSB!O19</f>
        <v>0</v>
      </c>
      <c r="Q19" s="110">
        <f>CSG!Q19+CSB!P19</f>
        <v>14025</v>
      </c>
      <c r="R19" s="110">
        <f>CSG!R19+CSB!Q19</f>
        <v>155000</v>
      </c>
      <c r="S19" s="110">
        <f>CSG!S19+CSB!R19</f>
        <v>1390000</v>
      </c>
      <c r="T19" s="110">
        <f>CSG!T19+CSB!S19</f>
        <v>102866</v>
      </c>
      <c r="U19" s="59">
        <f t="shared" si="11"/>
        <v>2280091</v>
      </c>
      <c r="V19" s="113" t="str">
        <f t="shared" si="3"/>
        <v>ok</v>
      </c>
      <c r="W19" s="58">
        <f>Claiborne!G27</f>
        <v>2280091</v>
      </c>
      <c r="X19" s="60"/>
      <c r="Y19" s="177">
        <f>Claiborne!G30</f>
        <v>33504</v>
      </c>
      <c r="Z19" s="59">
        <f>Claiborne!G33</f>
        <v>6806695</v>
      </c>
      <c r="AA19" s="59">
        <f>Claiborne!G35+Claiborne!G36+Claiborne!G37+Claiborne!G38+Claiborne!G39+Claiborne!G40</f>
        <v>5527961</v>
      </c>
      <c r="AB19" s="59">
        <f>Claiborne!G41</f>
        <v>4777847</v>
      </c>
      <c r="AC19" s="59">
        <f t="shared" si="12"/>
        <v>17112503</v>
      </c>
      <c r="AD19" s="59">
        <f t="shared" si="9"/>
        <v>19426098</v>
      </c>
      <c r="AE19" s="113" t="str">
        <f t="shared" si="5"/>
        <v>ok</v>
      </c>
      <c r="AF19" s="58">
        <f>Claiborne!G45</f>
        <v>19426098</v>
      </c>
    </row>
    <row r="20" spans="1:32" s="104" customFormat="1" ht="15.6">
      <c r="A20" s="108"/>
      <c r="B20" s="109" t="s">
        <v>828</v>
      </c>
      <c r="C20" s="110">
        <f>CSG!C20+CSB!C20</f>
        <v>10550680</v>
      </c>
      <c r="D20" s="110">
        <f>CSG!D20+CSB!D20</f>
        <v>0</v>
      </c>
      <c r="E20" s="110">
        <f>CSG!E20+CSB!E20</f>
        <v>2051861</v>
      </c>
      <c r="F20" s="110">
        <f>CSG!F20+CSB!F20</f>
        <v>0</v>
      </c>
      <c r="G20" s="110">
        <f>CSG!G20+CSB!G20</f>
        <v>0</v>
      </c>
      <c r="H20" s="110">
        <f>CSG!H20+CSB!H20</f>
        <v>0</v>
      </c>
      <c r="I20" s="110">
        <f t="shared" si="10"/>
        <v>12602541</v>
      </c>
      <c r="J20" s="113" t="str">
        <f t="shared" si="1"/>
        <v>ok</v>
      </c>
      <c r="K20" s="111">
        <f>Concodria!G14</f>
        <v>12602541</v>
      </c>
      <c r="L20" s="178">
        <f>Concodria!G22</f>
        <v>22917340</v>
      </c>
      <c r="M20" s="110">
        <f>CSG!M20+CSB!L20</f>
        <v>434484</v>
      </c>
      <c r="N20" s="110">
        <f>CSG!N20+CSB!M20</f>
        <v>0</v>
      </c>
      <c r="O20" s="110">
        <f>CSG!O20+CSB!N20</f>
        <v>0</v>
      </c>
      <c r="P20" s="110">
        <f>CSG!P20+CSB!O20</f>
        <v>0</v>
      </c>
      <c r="Q20" s="110">
        <f>CSG!Q20+CSB!P20</f>
        <v>0</v>
      </c>
      <c r="R20" s="110">
        <f>CSG!R20+CSB!Q20</f>
        <v>413369</v>
      </c>
      <c r="S20" s="110">
        <f>CSG!S20+CSB!R20</f>
        <v>76459</v>
      </c>
      <c r="T20" s="110">
        <f>CSG!T20+CSB!S20</f>
        <v>8511844</v>
      </c>
      <c r="U20" s="110">
        <f t="shared" si="11"/>
        <v>9436156</v>
      </c>
      <c r="V20" s="113" t="str">
        <f t="shared" si="3"/>
        <v>ok</v>
      </c>
      <c r="W20" s="111">
        <f>Concodria!G37</f>
        <v>9436156</v>
      </c>
      <c r="X20" s="112"/>
      <c r="Y20" s="178">
        <f>Concodria!G40</f>
        <v>34846</v>
      </c>
      <c r="Z20" s="110">
        <f>Concodria!G43</f>
        <v>1247208</v>
      </c>
      <c r="AA20" s="110">
        <f>Concodria!G45+Concodria!G46</f>
        <v>8247768</v>
      </c>
      <c r="AB20" s="110">
        <f>Concodria!G47</f>
        <v>3951362</v>
      </c>
      <c r="AC20" s="110">
        <f t="shared" si="12"/>
        <v>13446338</v>
      </c>
      <c r="AD20" s="110">
        <f t="shared" si="9"/>
        <v>22917340</v>
      </c>
      <c r="AE20" s="113" t="str">
        <f t="shared" si="5"/>
        <v>ok</v>
      </c>
      <c r="AF20" s="111">
        <f>Concodria!G51</f>
        <v>22917340</v>
      </c>
    </row>
    <row r="21" spans="1:32" ht="15.6">
      <c r="A21" s="56"/>
      <c r="B21" s="3" t="s">
        <v>829</v>
      </c>
      <c r="C21" s="110">
        <f>CSG!C21+CSB!C21</f>
        <v>8531115</v>
      </c>
      <c r="D21" s="110">
        <f>CSG!D21+CSB!D21</f>
        <v>20852796</v>
      </c>
      <c r="E21" s="110">
        <f>CSG!E21+CSB!E21</f>
        <v>13255310</v>
      </c>
      <c r="F21" s="110">
        <f>CSG!F21+CSB!F21</f>
        <v>76287737</v>
      </c>
      <c r="G21" s="110">
        <f>CSG!G21+CSB!G21</f>
        <v>0</v>
      </c>
      <c r="H21" s="110">
        <f>CSG!H21+CSB!H21</f>
        <v>26264</v>
      </c>
      <c r="I21" s="59">
        <f t="shared" si="10"/>
        <v>118953222</v>
      </c>
      <c r="J21" s="113" t="str">
        <f t="shared" si="1"/>
        <v>ok</v>
      </c>
      <c r="K21" s="58">
        <f>DeSoto!J13</f>
        <v>118953222</v>
      </c>
      <c r="L21" s="177"/>
      <c r="M21" s="110">
        <f>CSG!M21+CSB!L21</f>
        <v>1360085</v>
      </c>
      <c r="N21" s="110">
        <f>CSG!N21+CSB!M21</f>
        <v>323506</v>
      </c>
      <c r="O21" s="110">
        <f>CSG!O21+CSB!N21</f>
        <v>0</v>
      </c>
      <c r="P21" s="110">
        <f>CSG!P21+CSB!O21</f>
        <v>0</v>
      </c>
      <c r="Q21" s="110">
        <f>CSG!Q21+CSB!P21</f>
        <v>154306</v>
      </c>
      <c r="R21" s="110">
        <f>CSG!R21+CSB!Q21</f>
        <v>449</v>
      </c>
      <c r="S21" s="110">
        <f>CSG!S21+CSB!R21</f>
        <v>0</v>
      </c>
      <c r="T21" s="110">
        <f>CSG!T21+CSB!S21</f>
        <v>5941026</v>
      </c>
      <c r="U21" s="59">
        <f t="shared" si="11"/>
        <v>7779372</v>
      </c>
      <c r="V21" s="113" t="str">
        <f t="shared" si="3"/>
        <v>ok</v>
      </c>
      <c r="W21" s="58">
        <f>DeSoto!J31</f>
        <v>7779372</v>
      </c>
      <c r="X21" s="60"/>
      <c r="Y21" s="177"/>
      <c r="Z21" s="59">
        <f>DeSoto!H36</f>
        <v>76265323</v>
      </c>
      <c r="AA21" s="59">
        <f>DeSoto!H37</f>
        <v>449</v>
      </c>
      <c r="AB21" s="59">
        <f>DeSoto!H38</f>
        <v>35278671</v>
      </c>
      <c r="AC21" s="59">
        <f t="shared" si="12"/>
        <v>111544443</v>
      </c>
      <c r="AD21" s="59">
        <f t="shared" si="9"/>
        <v>119323815</v>
      </c>
      <c r="AE21" s="113" t="str">
        <f t="shared" si="5"/>
        <v>check</v>
      </c>
      <c r="AF21" s="58">
        <f>DeSoto!H42</f>
        <v>119322007</v>
      </c>
    </row>
    <row r="22" spans="1:32" s="209" customFormat="1" ht="15.6">
      <c r="A22" s="203"/>
      <c r="B22" s="204" t="s">
        <v>830</v>
      </c>
      <c r="C22" s="110">
        <f>CSG!C22+CSB!C22</f>
        <v>245416995</v>
      </c>
      <c r="D22" s="110">
        <f>CSG!D22+CSB!D22</f>
        <v>330241878</v>
      </c>
      <c r="E22" s="110">
        <f>CSG!E22+CSB!E22</f>
        <v>72940014</v>
      </c>
      <c r="F22" s="110">
        <f>CSG!F22+CSB!F22</f>
        <v>2771856825</v>
      </c>
      <c r="G22" s="110">
        <f>CSG!G22+CSB!G22</f>
        <v>87151442</v>
      </c>
      <c r="H22" s="110">
        <f>CSG!H22+CSB!H22</f>
        <v>369832306</v>
      </c>
      <c r="I22" s="205">
        <f t="shared" si="10"/>
        <v>3877439460</v>
      </c>
      <c r="J22" s="113" t="str">
        <f t="shared" si="1"/>
        <v>ok</v>
      </c>
      <c r="K22" s="206">
        <f>'East Baton Rouge'!J25</f>
        <v>3877439460</v>
      </c>
      <c r="L22" s="207">
        <f>'East Baton Rouge'!H32</f>
        <v>96236116</v>
      </c>
      <c r="M22" s="110">
        <f>CSG!M22+CSB!L22</f>
        <v>77946067</v>
      </c>
      <c r="N22" s="110">
        <f>CSG!N22+CSB!M22</f>
        <v>0</v>
      </c>
      <c r="O22" s="110">
        <f>CSG!O22+CSB!N22</f>
        <v>0</v>
      </c>
      <c r="P22" s="110">
        <f>CSG!P22+CSB!O22</f>
        <v>0</v>
      </c>
      <c r="Q22" s="110">
        <f>CSG!Q22+CSB!P22</f>
        <v>490429</v>
      </c>
      <c r="R22" s="110">
        <f>CSG!R22+CSB!Q22</f>
        <v>49579505</v>
      </c>
      <c r="S22" s="110">
        <f>CSG!S22+CSB!R22</f>
        <v>2920488801</v>
      </c>
      <c r="T22" s="110">
        <f>CSG!T22+CSB!S22</f>
        <v>55287744</v>
      </c>
      <c r="U22" s="205">
        <f t="shared" ref="U22:U25" si="13">SUM(M22:T22)</f>
        <v>3103792546</v>
      </c>
      <c r="V22" s="113" t="str">
        <f t="shared" si="3"/>
        <v>ok</v>
      </c>
      <c r="W22" s="206">
        <f>'East Baton Rouge'!J46</f>
        <v>3103792546</v>
      </c>
      <c r="X22" s="208"/>
      <c r="Y22" s="207">
        <f>'East Baton Rouge'!H51</f>
        <v>8127460</v>
      </c>
      <c r="Z22" s="205">
        <f>'East Baton Rouge'!H54</f>
        <v>665194789</v>
      </c>
      <c r="AA22" s="205">
        <f>'East Baton Rouge'!H56+'East Baton Rouge'!H57+'East Baton Rouge'!H59</f>
        <v>166068834</v>
      </c>
      <c r="AB22" s="205">
        <f>'East Baton Rouge'!H60</f>
        <v>-650015599</v>
      </c>
      <c r="AC22" s="205">
        <f t="shared" ref="AC22:AC25" si="14">SUM(Z22:AB22)</f>
        <v>181248024</v>
      </c>
      <c r="AD22" s="110">
        <f t="shared" si="9"/>
        <v>3293168030</v>
      </c>
      <c r="AE22" s="113" t="str">
        <f t="shared" si="5"/>
        <v>check</v>
      </c>
      <c r="AF22" s="206">
        <f>'East Baton Rouge'!H64</f>
        <v>1511758511</v>
      </c>
    </row>
    <row r="23" spans="1:32">
      <c r="B23" s="3" t="s">
        <v>831</v>
      </c>
      <c r="C23" s="110">
        <f>CSG!C23+CSB!C23</f>
        <v>2041107</v>
      </c>
      <c r="D23" s="110">
        <f>CSG!D23+CSB!D23</f>
        <v>719027</v>
      </c>
      <c r="E23" s="110">
        <f>CSG!E23+CSB!E23</f>
        <v>2909562</v>
      </c>
      <c r="F23" s="110">
        <f>CSG!F23+CSB!F23</f>
        <v>6158446</v>
      </c>
      <c r="G23" s="110">
        <f>CSG!G23+CSB!G23</f>
        <v>0</v>
      </c>
      <c r="H23" s="110">
        <f>CSG!H23+CSB!H23</f>
        <v>1189</v>
      </c>
      <c r="I23" s="59">
        <f t="shared" si="10"/>
        <v>11829331</v>
      </c>
      <c r="J23" s="113" t="str">
        <f t="shared" si="1"/>
        <v>ok</v>
      </c>
      <c r="K23" s="58">
        <f>'East Carroll'!J15</f>
        <v>11829331</v>
      </c>
      <c r="L23" s="177"/>
      <c r="M23" s="110">
        <f>CSG!M23+CSB!L23</f>
        <v>118005</v>
      </c>
      <c r="N23" s="110">
        <f>CSG!N23+CSB!M23</f>
        <v>0</v>
      </c>
      <c r="O23" s="110">
        <f>CSG!O23+CSB!N23</f>
        <v>0</v>
      </c>
      <c r="P23" s="110">
        <f>CSG!P23+CSB!O23</f>
        <v>0</v>
      </c>
      <c r="Q23" s="110">
        <f>CSG!Q23+CSB!P23</f>
        <v>0</v>
      </c>
      <c r="R23" s="110">
        <f>CSG!R23+CSB!Q23</f>
        <v>214464</v>
      </c>
      <c r="S23" s="110">
        <f>CSG!S23+CSB!R23</f>
        <v>312078</v>
      </c>
      <c r="T23" s="110">
        <f>CSG!T23+CSB!S23</f>
        <v>0</v>
      </c>
      <c r="U23" s="59">
        <f t="shared" si="13"/>
        <v>644547</v>
      </c>
      <c r="V23" s="113" t="str">
        <f t="shared" si="3"/>
        <v>ok</v>
      </c>
      <c r="W23" s="58">
        <f>'East Carroll'!J28</f>
        <v>644547</v>
      </c>
      <c r="X23" s="60"/>
      <c r="Y23" s="177">
        <f>'East Carroll'!H32</f>
        <v>39401</v>
      </c>
      <c r="Z23" s="59">
        <f>'East Carroll'!H35</f>
        <v>5701437</v>
      </c>
      <c r="AA23" s="59">
        <f>'East Carroll'!H37+'East Carroll'!H38+'East Carroll'!H39+'East Carroll'!H40+'East Carroll'!H41+'East Carroll'!H42+'East Carroll'!H43+'East Carroll'!H44+'East Carroll'!H45</f>
        <v>4775557</v>
      </c>
      <c r="AB23" s="59">
        <f>'East Carroll'!H47</f>
        <v>909109</v>
      </c>
      <c r="AC23" s="59">
        <f t="shared" si="14"/>
        <v>11386103</v>
      </c>
      <c r="AD23" s="59">
        <f t="shared" si="9"/>
        <v>12070051</v>
      </c>
      <c r="AE23" s="113" t="str">
        <f t="shared" si="5"/>
        <v>check</v>
      </c>
      <c r="AF23" s="58">
        <f>'East Carroll'!H51</f>
        <v>12067792</v>
      </c>
    </row>
    <row r="24" spans="1:32" s="104" customFormat="1" ht="15.6">
      <c r="A24" s="108"/>
      <c r="B24" s="109" t="s">
        <v>832</v>
      </c>
      <c r="C24" s="110">
        <f>CSG!C24+CSB!C24</f>
        <v>4577606</v>
      </c>
      <c r="D24" s="110">
        <f>CSG!D24+CSB!D24</f>
        <v>0</v>
      </c>
      <c r="E24" s="110">
        <f>CSG!E24+CSB!E24</f>
        <v>1201051</v>
      </c>
      <c r="F24" s="110">
        <f>CSG!F24+CSB!F24</f>
        <v>14087861</v>
      </c>
      <c r="G24" s="110">
        <f>CSG!G24+CSB!G24</f>
        <v>1959767</v>
      </c>
      <c r="H24" s="110">
        <f>CSG!H24+CSB!H24</f>
        <v>0</v>
      </c>
      <c r="I24" s="110">
        <f t="shared" si="10"/>
        <v>21826285</v>
      </c>
      <c r="J24" s="113" t="str">
        <f t="shared" si="1"/>
        <v>ok</v>
      </c>
      <c r="K24" s="111">
        <f>'East Feliciana'!G12</f>
        <v>21826285</v>
      </c>
      <c r="L24" s="178">
        <f>'East Feliciana'!G15</f>
        <v>132270</v>
      </c>
      <c r="M24" s="110">
        <f>CSG!M24+CSB!L24</f>
        <v>98217</v>
      </c>
      <c r="N24" s="110">
        <f>CSG!N24+CSB!M24</f>
        <v>8736</v>
      </c>
      <c r="O24" s="110">
        <f>CSG!O24+CSB!N24</f>
        <v>0</v>
      </c>
      <c r="P24" s="110">
        <f>CSG!P24+CSB!O24</f>
        <v>0</v>
      </c>
      <c r="Q24" s="110">
        <f>CSG!Q24+CSB!P24</f>
        <v>1417178</v>
      </c>
      <c r="R24" s="110">
        <f>CSG!R24+CSB!Q24</f>
        <v>0</v>
      </c>
      <c r="S24" s="110">
        <f>CSG!S24+CSB!R24</f>
        <v>0</v>
      </c>
      <c r="T24" s="110">
        <f>CSG!T24+CSB!S24</f>
        <v>66241</v>
      </c>
      <c r="U24" s="110">
        <f t="shared" ref="U24" si="15">SUM(M24:T24)</f>
        <v>1590372</v>
      </c>
      <c r="V24" s="113" t="str">
        <f t="shared" si="3"/>
        <v>ok</v>
      </c>
      <c r="W24" s="111">
        <f>'East Feliciana'!G25</f>
        <v>1590372</v>
      </c>
      <c r="X24" s="112"/>
      <c r="Y24" s="178">
        <f>'East Feliciana'!G29</f>
        <v>23363</v>
      </c>
      <c r="Z24" s="110">
        <f>'East Feliciana'!G32</f>
        <v>14087861</v>
      </c>
      <c r="AA24" s="110">
        <f>'East Feliciana'!G34+'East Feliciana'!G35+'East Feliciana'!G36</f>
        <v>4934203</v>
      </c>
      <c r="AB24" s="110">
        <f>'East Feliciana'!G37</f>
        <v>1322756</v>
      </c>
      <c r="AC24" s="110">
        <f t="shared" ref="AC24" si="16">SUM(Z24:AB24)</f>
        <v>20344820</v>
      </c>
      <c r="AD24" s="110">
        <f t="shared" si="9"/>
        <v>21958555</v>
      </c>
      <c r="AE24" s="113" t="str">
        <f t="shared" si="5"/>
        <v>ok</v>
      </c>
      <c r="AF24" s="111">
        <f>'East Feliciana'!G41</f>
        <v>21958555</v>
      </c>
    </row>
    <row r="25" spans="1:32" ht="15.6">
      <c r="A25" s="56"/>
      <c r="B25" s="3" t="s">
        <v>833</v>
      </c>
      <c r="C25" s="110">
        <f>CSG!C25+CSB!C25</f>
        <v>10118169</v>
      </c>
      <c r="D25" s="110">
        <f>CSG!D25+CSB!D25</f>
        <v>7198420</v>
      </c>
      <c r="E25" s="110">
        <f>CSG!E25+CSB!E25</f>
        <v>20756</v>
      </c>
      <c r="F25" s="110">
        <f>CSG!F25+CSB!F25</f>
        <v>47265362</v>
      </c>
      <c r="G25" s="110">
        <f>CSG!G25+CSB!G25</f>
        <v>6075704</v>
      </c>
      <c r="H25" s="110">
        <f>CSG!H25+CSB!H25</f>
        <v>46456</v>
      </c>
      <c r="I25" s="59">
        <f t="shared" si="10"/>
        <v>70724867</v>
      </c>
      <c r="J25" s="113" t="str">
        <f t="shared" si="1"/>
        <v>ok</v>
      </c>
      <c r="K25" s="58">
        <f>Evangeline!J16</f>
        <v>70724867</v>
      </c>
      <c r="L25" s="177">
        <f>Evangeline!H18</f>
        <v>560010</v>
      </c>
      <c r="M25" s="110">
        <f>CSG!M25+CSB!L25</f>
        <v>3170273</v>
      </c>
      <c r="N25" s="110">
        <f>CSG!N25+CSB!M25</f>
        <v>0</v>
      </c>
      <c r="O25" s="110">
        <f>CSG!O25+CSB!N25</f>
        <v>0</v>
      </c>
      <c r="P25" s="110">
        <f>CSG!P25+CSB!O25</f>
        <v>0</v>
      </c>
      <c r="Q25" s="110">
        <f>CSG!Q25+CSB!P25</f>
        <v>0</v>
      </c>
      <c r="R25" s="110">
        <f>CSG!R25+CSB!Q25</f>
        <v>1890926</v>
      </c>
      <c r="S25" s="110">
        <f>CSG!S25+CSB!R25</f>
        <v>28386314</v>
      </c>
      <c r="T25" s="110">
        <f>CSG!T25+CSB!S25</f>
        <v>324964</v>
      </c>
      <c r="U25" s="59">
        <f t="shared" si="13"/>
        <v>33772477</v>
      </c>
      <c r="V25" s="113" t="str">
        <f t="shared" si="3"/>
        <v>ok</v>
      </c>
      <c r="W25" s="58">
        <f>Evangeline!J33</f>
        <v>33772477</v>
      </c>
      <c r="X25" s="60"/>
      <c r="Y25" s="177"/>
      <c r="Z25" s="59">
        <f>Evangeline!H38</f>
        <v>24827361</v>
      </c>
      <c r="AA25" s="59">
        <f>Evangeline!H39</f>
        <v>144210</v>
      </c>
      <c r="AB25" s="59">
        <f>Evangeline!H40</f>
        <v>12141928</v>
      </c>
      <c r="AC25" s="59">
        <f t="shared" si="14"/>
        <v>37113499</v>
      </c>
      <c r="AD25" s="59">
        <f t="shared" si="9"/>
        <v>70885976</v>
      </c>
      <c r="AE25" s="113" t="str">
        <f t="shared" si="5"/>
        <v>check</v>
      </c>
      <c r="AF25" s="58">
        <f>Evangeline!H44</f>
        <v>70813408</v>
      </c>
    </row>
    <row r="26" spans="1:32" s="104" customFormat="1" ht="15.6">
      <c r="A26" s="108"/>
      <c r="B26" s="109" t="s">
        <v>834</v>
      </c>
      <c r="C26" s="110">
        <f>CSG!C26+CSB!C26</f>
        <v>9845125</v>
      </c>
      <c r="D26" s="110">
        <f>CSG!D26+CSB!D26</f>
        <v>0</v>
      </c>
      <c r="E26" s="110">
        <f>CSG!E26+CSB!E26</f>
        <v>3565030</v>
      </c>
      <c r="F26" s="110">
        <f>CSG!F26+CSB!F26</f>
        <v>19315782</v>
      </c>
      <c r="G26" s="110">
        <f>CSG!G26+CSB!G26</f>
        <v>0</v>
      </c>
      <c r="H26" s="110">
        <f>CSG!H26+CSB!H26</f>
        <v>0</v>
      </c>
      <c r="I26" s="110">
        <f t="shared" si="10"/>
        <v>32725937</v>
      </c>
      <c r="J26" s="113" t="str">
        <f t="shared" si="1"/>
        <v>ok</v>
      </c>
      <c r="K26" s="111">
        <f>Franklin!G10</f>
        <v>32725937</v>
      </c>
      <c r="L26" s="178"/>
      <c r="M26" s="110">
        <f>CSG!M26+CSB!L26</f>
        <v>527170</v>
      </c>
      <c r="N26" s="110">
        <f>CSG!N26+CSB!M26</f>
        <v>97918</v>
      </c>
      <c r="O26" s="110">
        <f>CSG!O26+CSB!N26</f>
        <v>0</v>
      </c>
      <c r="P26" s="110">
        <f>CSG!P26+CSB!O26</f>
        <v>0</v>
      </c>
      <c r="Q26" s="110">
        <f>CSG!Q26+CSB!P26</f>
        <v>72472</v>
      </c>
      <c r="R26" s="110">
        <f>CSG!R26+CSB!Q26</f>
        <v>31000</v>
      </c>
      <c r="S26" s="110">
        <f>CSG!S26+CSB!R26</f>
        <v>72000</v>
      </c>
      <c r="T26" s="110">
        <f>CSG!T26+CSB!S26</f>
        <v>1566426</v>
      </c>
      <c r="U26" s="110">
        <f t="shared" ref="U26" si="17">SUM(M26:T26)</f>
        <v>2366986</v>
      </c>
      <c r="V26" s="113" t="str">
        <f t="shared" si="3"/>
        <v>ok</v>
      </c>
      <c r="W26" s="111">
        <f>Franklin!G27</f>
        <v>2366986</v>
      </c>
      <c r="X26" s="112"/>
      <c r="Y26" s="178">
        <f>Franklin!G30</f>
        <v>28927</v>
      </c>
      <c r="Z26" s="110">
        <f>Franklin!G33</f>
        <v>19170120</v>
      </c>
      <c r="AA26" s="110"/>
      <c r="AB26" s="110">
        <f>Franklin!G34</f>
        <v>11271104</v>
      </c>
      <c r="AC26" s="110">
        <f t="shared" ref="AC26" si="18">SUM(Z26:AB26)</f>
        <v>30441224</v>
      </c>
      <c r="AD26" s="110">
        <f t="shared" si="9"/>
        <v>32837137</v>
      </c>
      <c r="AE26" s="113" t="str">
        <f t="shared" si="5"/>
        <v>ok</v>
      </c>
      <c r="AF26" s="111">
        <f>Franklin!G38</f>
        <v>32837137</v>
      </c>
    </row>
    <row r="27" spans="1:32" s="155" customFormat="1" ht="15.6">
      <c r="A27" s="210"/>
      <c r="B27" s="211" t="s">
        <v>469</v>
      </c>
      <c r="C27" s="110">
        <f>CSG!C27+CSB!C27</f>
        <v>2056053</v>
      </c>
      <c r="D27" s="110">
        <f>CSG!D27+CSB!D27</f>
        <v>0</v>
      </c>
      <c r="E27" s="110">
        <f>CSG!E27+CSB!E27</f>
        <v>1529458</v>
      </c>
      <c r="F27" s="110">
        <f>CSG!F27+CSB!F27</f>
        <v>6448974</v>
      </c>
      <c r="G27" s="110">
        <f>CSG!G27+CSB!G27</f>
        <v>0</v>
      </c>
      <c r="H27" s="110">
        <f>CSG!H27+CSB!H27</f>
        <v>0</v>
      </c>
      <c r="I27" s="212">
        <f t="shared" si="10"/>
        <v>10034485</v>
      </c>
      <c r="J27" s="113" t="str">
        <f t="shared" si="1"/>
        <v>ok</v>
      </c>
      <c r="K27" s="213">
        <f>Grant!J15</f>
        <v>10034485</v>
      </c>
      <c r="L27" s="214">
        <f>Grant!H17</f>
        <v>327152</v>
      </c>
      <c r="M27" s="110">
        <f>CSG!M27+CSB!L27</f>
        <v>536468</v>
      </c>
      <c r="N27" s="110">
        <f>CSG!N27+CSB!M27</f>
        <v>60283</v>
      </c>
      <c r="O27" s="110">
        <f>CSG!O27+CSB!N27</f>
        <v>0</v>
      </c>
      <c r="P27" s="110">
        <f>CSG!P27+CSB!O27</f>
        <v>0</v>
      </c>
      <c r="Q27" s="110">
        <f>CSG!Q27+CSB!P27</f>
        <v>0</v>
      </c>
      <c r="R27" s="110">
        <f>CSG!R27+CSB!Q27</f>
        <v>97605</v>
      </c>
      <c r="S27" s="110">
        <f>CSG!S27+CSB!R27</f>
        <v>149857</v>
      </c>
      <c r="T27" s="110">
        <f>CSG!T27+CSB!S27</f>
        <v>182921</v>
      </c>
      <c r="U27" s="212">
        <f t="shared" ref="U27:U30" si="19">SUM(M27:T27)</f>
        <v>1027134</v>
      </c>
      <c r="V27" s="113" t="str">
        <f t="shared" si="3"/>
        <v>ok</v>
      </c>
      <c r="W27" s="213">
        <f>Grant!J31:J31</f>
        <v>1027134</v>
      </c>
      <c r="X27" s="215"/>
      <c r="Y27" s="214">
        <f>Grant!H33</f>
        <v>101227</v>
      </c>
      <c r="Z27" s="212">
        <f>Grant!H36</f>
        <v>5836045</v>
      </c>
      <c r="AA27" s="212">
        <f>Grant!H38+Grant!H39+Grant!H40</f>
        <v>1815365</v>
      </c>
      <c r="AB27" s="212">
        <f>Grant!H41</f>
        <v>869402</v>
      </c>
      <c r="AC27" s="212">
        <f t="shared" ref="AC27:AC30" si="20">SUM(Z27:AB27)</f>
        <v>8520812</v>
      </c>
      <c r="AD27" s="59">
        <f t="shared" si="9"/>
        <v>9649173</v>
      </c>
      <c r="AE27" s="113" t="str">
        <f t="shared" si="5"/>
        <v>check</v>
      </c>
      <c r="AF27" s="213">
        <f>Grant!H45</f>
        <v>9527612</v>
      </c>
    </row>
    <row r="28" spans="1:32" s="104" customFormat="1">
      <c r="B28" s="109" t="s">
        <v>835</v>
      </c>
      <c r="C28" s="110">
        <f>CSG!C28+CSB!C28</f>
        <v>46860646</v>
      </c>
      <c r="D28" s="110">
        <f>CSG!D28+CSB!D28</f>
        <v>63081</v>
      </c>
      <c r="E28" s="110">
        <f>CSG!E28+CSB!E28</f>
        <v>7717579</v>
      </c>
      <c r="F28" s="110">
        <f>CSG!F28+CSB!F28</f>
        <v>94128935</v>
      </c>
      <c r="G28" s="110">
        <f>CSG!G28+CSB!G28</f>
        <v>3219065</v>
      </c>
      <c r="H28" s="110">
        <f>CSG!H28+CSB!H28</f>
        <v>1989685</v>
      </c>
      <c r="I28" s="110">
        <f t="shared" si="10"/>
        <v>153978991</v>
      </c>
      <c r="J28" s="113" t="str">
        <f t="shared" si="1"/>
        <v>ok</v>
      </c>
      <c r="K28" s="111">
        <f>Iberia!H22</f>
        <v>153978991</v>
      </c>
      <c r="L28" s="178">
        <f>Iberia!H27</f>
        <v>1266943</v>
      </c>
      <c r="M28" s="110">
        <f>CSG!M28+CSB!L28</f>
        <v>2421887</v>
      </c>
      <c r="N28" s="110">
        <f>CSG!N28+CSB!M28</f>
        <v>0</v>
      </c>
      <c r="O28" s="110">
        <f>CSG!O28+CSB!N28</f>
        <v>0</v>
      </c>
      <c r="P28" s="110">
        <f>CSG!P28+CSB!O28</f>
        <v>0</v>
      </c>
      <c r="Q28" s="110">
        <f>CSG!Q28+CSB!P28</f>
        <v>978926</v>
      </c>
      <c r="R28" s="110">
        <f>CSG!R28+CSB!Q28</f>
        <v>1825318</v>
      </c>
      <c r="S28" s="110">
        <f>CSG!S28+CSB!R28</f>
        <v>13093322</v>
      </c>
      <c r="T28" s="110">
        <f>CSG!T28+CSB!S28</f>
        <v>5907636</v>
      </c>
      <c r="U28" s="110">
        <f t="shared" si="19"/>
        <v>24227089</v>
      </c>
      <c r="V28" s="113" t="str">
        <f t="shared" si="3"/>
        <v>ok</v>
      </c>
      <c r="W28" s="111">
        <f>Iberia!H46</f>
        <v>24227089</v>
      </c>
      <c r="X28" s="112"/>
      <c r="Y28" s="178">
        <f>Iberia!H49</f>
        <v>109223</v>
      </c>
      <c r="Z28" s="110">
        <f>Iberia!H52</f>
        <v>80033586</v>
      </c>
      <c r="AA28" s="110">
        <f>Iberia!H54+Iberia!H55+Iberia!H56+Iberia!H57+Iberia!H58</f>
        <v>30104905</v>
      </c>
      <c r="AB28" s="110">
        <f>Iberia!H59</f>
        <v>20771131</v>
      </c>
      <c r="AC28" s="110">
        <f t="shared" si="20"/>
        <v>130909622</v>
      </c>
      <c r="AD28" s="110">
        <f t="shared" si="9"/>
        <v>155245934</v>
      </c>
      <c r="AE28" s="113" t="str">
        <f t="shared" si="5"/>
        <v>ok</v>
      </c>
      <c r="AF28" s="111">
        <f>Iberia!H63</f>
        <v>155245934</v>
      </c>
    </row>
    <row r="29" spans="1:32" ht="15.6">
      <c r="A29" s="56"/>
      <c r="B29" s="3" t="s">
        <v>836</v>
      </c>
      <c r="C29" s="110">
        <f>CSG!C29+CSB!C29</f>
        <v>34214244</v>
      </c>
      <c r="D29" s="110">
        <f>CSG!D29+CSB!D29</f>
        <v>0</v>
      </c>
      <c r="E29" s="110">
        <f>CSG!E29+CSB!E29</f>
        <v>9811957</v>
      </c>
      <c r="F29" s="110">
        <f>CSG!F29+CSB!F29</f>
        <v>128904597</v>
      </c>
      <c r="G29" s="110">
        <f>CSG!G29+CSB!G29</f>
        <v>0</v>
      </c>
      <c r="H29" s="110">
        <f>CSG!H29+CSB!H29</f>
        <v>1462602</v>
      </c>
      <c r="I29" s="59">
        <f t="shared" si="10"/>
        <v>174393400</v>
      </c>
      <c r="J29" s="113" t="str">
        <f t="shared" si="1"/>
        <v>ok</v>
      </c>
      <c r="K29" s="58">
        <f>Iberville!J23</f>
        <v>174393400</v>
      </c>
      <c r="L29" s="177">
        <f>Iberville!H26</f>
        <v>1111407</v>
      </c>
      <c r="M29" s="110">
        <f>CSG!M29+CSB!L29</f>
        <v>4833481</v>
      </c>
      <c r="N29" s="110">
        <f>CSG!N29+CSB!M29</f>
        <v>0</v>
      </c>
      <c r="O29" s="110">
        <f>CSG!O29+CSB!N29</f>
        <v>0</v>
      </c>
      <c r="P29" s="110">
        <f>CSG!P29+CSB!O29</f>
        <v>0</v>
      </c>
      <c r="Q29" s="110">
        <f>CSG!Q29+CSB!P29</f>
        <v>0</v>
      </c>
      <c r="R29" s="110">
        <f>CSG!R29+CSB!Q29</f>
        <v>1470089</v>
      </c>
      <c r="S29" s="110">
        <f>CSG!S29+CSB!R29</f>
        <v>18598086</v>
      </c>
      <c r="T29" s="110">
        <f>CSG!T29+CSB!S29</f>
        <v>1129200</v>
      </c>
      <c r="U29" s="59">
        <f t="shared" si="19"/>
        <v>26030856</v>
      </c>
      <c r="V29" s="113" t="str">
        <f t="shared" si="3"/>
        <v>ok</v>
      </c>
      <c r="W29" s="58">
        <f>Iberville!J41</f>
        <v>26030856</v>
      </c>
      <c r="X29" s="60"/>
      <c r="Y29" s="177">
        <f>Iberville!H44</f>
        <v>97127</v>
      </c>
      <c r="Z29" s="59">
        <f>Iberville!H47</f>
        <v>99077563</v>
      </c>
      <c r="AA29" s="59">
        <f>Iberville!H49+Iberville!H50+Iberville!H51+Iberville!H52+Iberville!H53+Iberville!H54+Iberville!H55+Iberville!H56</f>
        <v>23751758</v>
      </c>
      <c r="AB29" s="59">
        <f>Iberville!H57</f>
        <v>11948898</v>
      </c>
      <c r="AC29" s="59">
        <f t="shared" si="20"/>
        <v>134778219</v>
      </c>
      <c r="AD29" s="59">
        <f t="shared" si="9"/>
        <v>160906202</v>
      </c>
      <c r="AE29" s="113" t="str">
        <f t="shared" si="5"/>
        <v>check</v>
      </c>
      <c r="AF29" s="58">
        <f>Iberville!H61</f>
        <v>159556601</v>
      </c>
    </row>
    <row r="30" spans="1:32" s="104" customFormat="1">
      <c r="B30" s="109" t="s">
        <v>837</v>
      </c>
      <c r="C30" s="110">
        <f>CSG!C30+CSB!C30</f>
        <v>10715548</v>
      </c>
      <c r="D30" s="110">
        <f>CSG!D30+CSB!D30</f>
        <v>0</v>
      </c>
      <c r="E30" s="110">
        <f>CSG!E30+CSB!E30</f>
        <v>5708768</v>
      </c>
      <c r="F30" s="110">
        <f>CSG!F30+CSB!F30</f>
        <v>17232753</v>
      </c>
      <c r="G30" s="110">
        <f>CSG!G30+CSB!G30</f>
        <v>0</v>
      </c>
      <c r="H30" s="110">
        <f>CSG!H30+CSB!H30</f>
        <v>43519</v>
      </c>
      <c r="I30" s="110">
        <f t="shared" si="10"/>
        <v>33700588</v>
      </c>
      <c r="J30" s="113" t="str">
        <f t="shared" si="1"/>
        <v>ok</v>
      </c>
      <c r="K30" s="111">
        <f>'Jackson '!G13</f>
        <v>33700588</v>
      </c>
      <c r="L30" s="178">
        <f>'Jackson '!G17</f>
        <v>425617</v>
      </c>
      <c r="M30" s="110">
        <f>CSG!M30+CSB!L30</f>
        <v>491701</v>
      </c>
      <c r="N30" s="110">
        <f>CSG!N30+CSB!M30</f>
        <v>0</v>
      </c>
      <c r="O30" s="110">
        <f>CSG!O30+CSB!N30</f>
        <v>0</v>
      </c>
      <c r="P30" s="110">
        <f>CSG!P30+CSB!O30</f>
        <v>0</v>
      </c>
      <c r="Q30" s="110">
        <f>CSG!Q30+CSB!P30</f>
        <v>0</v>
      </c>
      <c r="R30" s="110">
        <f>CSG!R30+CSB!Q30</f>
        <v>372241</v>
      </c>
      <c r="S30" s="110">
        <f>CSG!S30+CSB!R30</f>
        <v>3340963</v>
      </c>
      <c r="T30" s="110">
        <f>CSG!T30+CSB!S30</f>
        <v>25321</v>
      </c>
      <c r="U30" s="110">
        <f t="shared" si="19"/>
        <v>4230226</v>
      </c>
      <c r="V30" s="113" t="str">
        <f t="shared" si="3"/>
        <v>ok</v>
      </c>
      <c r="W30" s="111">
        <f>'Jackson '!G26</f>
        <v>4230226</v>
      </c>
      <c r="X30" s="112"/>
      <c r="Y30" s="178">
        <f>'Jackson '!G30</f>
        <v>64691</v>
      </c>
      <c r="Z30" s="110">
        <f>'Jackson '!G33</f>
        <v>14791909</v>
      </c>
      <c r="AA30" s="110">
        <f>'Jackson '!G35+'Jackson '!G36+'Jackson '!G37+'Jackson '!G38+'Jackson '!G39+'Jackson '!G40+'Jackson '!G41+'Jackson '!G42+'Jackson '!G43+'Jackson '!G44</f>
        <v>11746525</v>
      </c>
      <c r="AB30" s="110">
        <f>'Jackson '!G45</f>
        <v>3292854</v>
      </c>
      <c r="AC30" s="110">
        <f t="shared" si="20"/>
        <v>29831288</v>
      </c>
      <c r="AD30" s="110">
        <f t="shared" si="9"/>
        <v>34126205</v>
      </c>
      <c r="AE30" s="113" t="str">
        <f t="shared" si="5"/>
        <v>ok</v>
      </c>
      <c r="AF30" s="111">
        <f>'Jackson '!G49</f>
        <v>34126205</v>
      </c>
    </row>
    <row r="31" spans="1:32" s="145" customFormat="1" ht="15.6">
      <c r="A31" s="288"/>
      <c r="B31" s="289" t="s">
        <v>838</v>
      </c>
      <c r="C31" s="110">
        <f>CSG!C31+CSB!C31</f>
        <v>10336</v>
      </c>
      <c r="D31" s="110">
        <f>CSG!D31+CSB!D31</f>
        <v>73132</v>
      </c>
      <c r="E31" s="110">
        <f>CSG!E31+CSB!E31</f>
        <v>283160</v>
      </c>
      <c r="F31" s="110">
        <f>CSG!F31+CSB!F31</f>
        <v>2005568</v>
      </c>
      <c r="G31" s="110">
        <f>CSG!G31+CSB!G31</f>
        <v>0</v>
      </c>
      <c r="H31" s="110">
        <f>CSG!H31+CSB!H31</f>
        <v>798422</v>
      </c>
      <c r="I31" s="290">
        <f t="shared" si="10"/>
        <v>3170618</v>
      </c>
      <c r="J31" s="113" t="str">
        <f t="shared" si="1"/>
        <v>ok</v>
      </c>
      <c r="K31" s="291">
        <f>Jefferson!J40</f>
        <v>3170618</v>
      </c>
      <c r="L31" s="292">
        <f>Jefferson!H47</f>
        <v>44672</v>
      </c>
      <c r="M31" s="110">
        <f>CSG!M31+CSB!L31</f>
        <v>58006</v>
      </c>
      <c r="N31" s="110">
        <f>CSG!N31+CSB!M31</f>
        <v>0</v>
      </c>
      <c r="O31" s="110">
        <f>CSG!O31+CSB!N31</f>
        <v>0</v>
      </c>
      <c r="P31" s="110">
        <f>CSG!P31+CSB!O31</f>
        <v>0</v>
      </c>
      <c r="Q31" s="110">
        <f>CSG!Q31+CSB!P31</f>
        <v>0</v>
      </c>
      <c r="R31" s="110">
        <f>CSG!R31+CSB!Q31</f>
        <v>36462</v>
      </c>
      <c r="S31" s="110">
        <f>CSG!S31+CSB!R31</f>
        <v>428386</v>
      </c>
      <c r="T31" s="110">
        <f>CSG!T31+CSB!S31</f>
        <v>552841</v>
      </c>
      <c r="U31" s="290">
        <f>SUM(M31:T31)</f>
        <v>1075695</v>
      </c>
      <c r="V31" s="113" t="str">
        <f t="shared" si="3"/>
        <v>ok</v>
      </c>
      <c r="W31" s="291">
        <f>Jefferson!J79</f>
        <v>1075695</v>
      </c>
      <c r="X31" s="293"/>
      <c r="Y31" s="292">
        <f>Jefferson!H82</f>
        <v>4096</v>
      </c>
      <c r="Z31" s="290">
        <f>Jefferson!H85</f>
        <v>991422</v>
      </c>
      <c r="AA31" s="290">
        <f>Jefferson!H87+Jefferson!H88+Jefferson!H89+Jefferson!H90+Jefferson!H91+Jefferson!H92+Jefferson!H93+Jefferson!H94+Jefferson!H95+Jefferson!H96+Jefferson!H98</f>
        <v>443291</v>
      </c>
      <c r="AB31" s="290">
        <f>Jefferson!H99</f>
        <v>86971</v>
      </c>
      <c r="AC31" s="290">
        <f>SUM(Z31:AB31)</f>
        <v>1521684</v>
      </c>
      <c r="AD31" s="290">
        <f t="shared" si="9"/>
        <v>2601475</v>
      </c>
      <c r="AE31" s="113" t="str">
        <f t="shared" si="5"/>
        <v>check</v>
      </c>
      <c r="AF31" s="291">
        <f>Jefferson!H103</f>
        <v>2277826</v>
      </c>
    </row>
    <row r="32" spans="1:32" s="104" customFormat="1" ht="15.6">
      <c r="A32" s="108"/>
      <c r="B32" s="109" t="s">
        <v>839</v>
      </c>
      <c r="C32" s="110">
        <f>CSG!C32+CSB!C32</f>
        <v>24973699</v>
      </c>
      <c r="D32" s="110">
        <f>CSG!D32+CSB!D32</f>
        <v>2118764</v>
      </c>
      <c r="E32" s="110">
        <f>CSG!E32+CSB!E32</f>
        <v>2190018</v>
      </c>
      <c r="F32" s="110">
        <f>CSG!F32+CSB!F32</f>
        <v>34263814</v>
      </c>
      <c r="G32" s="110">
        <f>CSG!G32+CSB!G32</f>
        <v>0</v>
      </c>
      <c r="H32" s="110">
        <f>CSG!H32+CSB!H32</f>
        <v>79428</v>
      </c>
      <c r="I32" s="110">
        <f>SUM(C32:H32)</f>
        <v>63625723</v>
      </c>
      <c r="J32" s="113" t="str">
        <f>IF(I32=K32, "ok", "check")</f>
        <v>ok</v>
      </c>
      <c r="K32" s="111">
        <f>'Jefferson Davis'!G13</f>
        <v>63625723</v>
      </c>
      <c r="L32" s="178">
        <f>'Jefferson Davis'!G18</f>
        <v>384208</v>
      </c>
      <c r="M32" s="110">
        <f>CSG!M32+CSB!L32</f>
        <v>1917937</v>
      </c>
      <c r="N32" s="110">
        <f>CSG!N32+CSB!M32</f>
        <v>0</v>
      </c>
      <c r="O32" s="110">
        <f>CSG!O32+CSB!N32</f>
        <v>984000</v>
      </c>
      <c r="P32" s="110">
        <f>CSG!P32+CSB!O32</f>
        <v>13730000</v>
      </c>
      <c r="Q32" s="110">
        <f>CSG!Q32+CSB!P32</f>
        <v>567800</v>
      </c>
      <c r="R32" s="110">
        <f>CSG!R32+CSB!Q32</f>
        <v>0</v>
      </c>
      <c r="S32" s="110">
        <f>CSG!S32+CSB!R32</f>
        <v>0</v>
      </c>
      <c r="T32" s="110">
        <f>CSG!T32+CSB!S32</f>
        <v>2726383</v>
      </c>
      <c r="U32" s="110">
        <f>SUM(M32:T32)</f>
        <v>19926120</v>
      </c>
      <c r="V32" s="113" t="str">
        <f>IF(U32=W32, "ok", "check")</f>
        <v>ok</v>
      </c>
      <c r="W32" s="111">
        <f>'Jefferson Davis'!G32</f>
        <v>19926120</v>
      </c>
      <c r="X32" s="112"/>
      <c r="Y32" s="178">
        <f>'Jefferson Davis'!G37</f>
        <v>255992</v>
      </c>
      <c r="Z32" s="110">
        <f>'Jefferson Davis'!G40</f>
        <v>18503193</v>
      </c>
      <c r="AA32" s="110">
        <f>'Jefferson Davis'!G42+'Jefferson Davis'!G43+'Jefferson Davis'!G44+'Jefferson Davis'!G45+'Jefferson Davis'!G46</f>
        <v>20716059</v>
      </c>
      <c r="AB32" s="110">
        <f>'Jefferson Davis'!G47</f>
        <v>4608567</v>
      </c>
      <c r="AC32" s="110">
        <f>SUM(Z32:AB32)</f>
        <v>43827819</v>
      </c>
      <c r="AD32" s="110">
        <f>SUM(AC32,U32,Y32)</f>
        <v>64009931</v>
      </c>
      <c r="AE32" s="113" t="str">
        <f>IF(AD32=AF32, "ok", "check")</f>
        <v>ok</v>
      </c>
      <c r="AF32" s="111">
        <f>'Jefferson Davis'!G51</f>
        <v>64009931</v>
      </c>
    </row>
    <row r="33" spans="1:32" s="145" customFormat="1" ht="15.6">
      <c r="A33" s="288"/>
      <c r="B33" s="289" t="s">
        <v>840</v>
      </c>
      <c r="C33" s="110">
        <f>CSG!C33+CSB!C33</f>
        <v>21924399</v>
      </c>
      <c r="D33" s="110">
        <f>CSG!D33+CSB!D33</f>
        <v>299288285</v>
      </c>
      <c r="E33" s="110">
        <f>CSG!E33+CSB!E33</f>
        <v>29213354</v>
      </c>
      <c r="F33" s="110">
        <f>CSG!F33+CSB!F33</f>
        <v>1371272838</v>
      </c>
      <c r="G33" s="110">
        <f>CSG!G33+CSB!G33</f>
        <v>21959570</v>
      </c>
      <c r="H33" s="110">
        <f>CSG!H33+CSB!H33</f>
        <v>186950799</v>
      </c>
      <c r="I33" s="290">
        <f t="shared" si="10"/>
        <v>1930609245</v>
      </c>
      <c r="J33" s="113" t="str">
        <f t="shared" si="1"/>
        <v>ok</v>
      </c>
      <c r="K33" s="291">
        <f>Lafayette!J25</f>
        <v>1930609245</v>
      </c>
      <c r="L33" s="292">
        <f>Lafayette!H30</f>
        <v>37601778</v>
      </c>
      <c r="M33" s="110">
        <f>CSG!M33+CSB!L33</f>
        <v>21246718</v>
      </c>
      <c r="N33" s="110">
        <f>CSG!N33+CSB!M33</f>
        <v>0</v>
      </c>
      <c r="O33" s="110">
        <f>CSG!O33+CSB!N33</f>
        <v>0</v>
      </c>
      <c r="P33" s="110">
        <f>CSG!P33+CSB!O33</f>
        <v>0</v>
      </c>
      <c r="Q33" s="110">
        <f>CSG!Q33+CSB!P33</f>
        <v>354662</v>
      </c>
      <c r="R33" s="110">
        <f>CSG!R33+CSB!Q33</f>
        <v>36092758</v>
      </c>
      <c r="S33" s="110">
        <f>CSG!S33+CSB!R33</f>
        <v>840848468</v>
      </c>
      <c r="T33" s="110">
        <f>CSG!T33+CSB!S33</f>
        <v>146373936</v>
      </c>
      <c r="U33" s="290">
        <f>SUM(M33:T33)</f>
        <v>1044916542</v>
      </c>
      <c r="V33" s="113" t="str">
        <f t="shared" si="3"/>
        <v>ok</v>
      </c>
      <c r="W33" s="291">
        <f>Lafayette!J45</f>
        <v>1044916542</v>
      </c>
      <c r="X33" s="293"/>
      <c r="Y33" s="292">
        <f>Lafayette!H50</f>
        <v>5264024</v>
      </c>
      <c r="Z33" s="290">
        <f>Lafayette!H54</f>
        <v>323368785</v>
      </c>
      <c r="AA33" s="290">
        <f>Lafayette!H56+Lafayette!H57+Lafayette!H58</f>
        <v>182029016</v>
      </c>
      <c r="AB33" s="290">
        <f>Lafayette!H59</f>
        <v>-80932983</v>
      </c>
      <c r="AC33" s="290">
        <f t="shared" ref="AC33:AC42" si="21">SUM(Z33:AB33)</f>
        <v>424464818</v>
      </c>
      <c r="AD33" s="290">
        <f t="shared" si="9"/>
        <v>1474645384</v>
      </c>
      <c r="AE33" s="113" t="str">
        <f t="shared" si="5"/>
        <v>check</v>
      </c>
      <c r="AF33" s="291">
        <f>Lafayette!H63</f>
        <v>952948419</v>
      </c>
    </row>
    <row r="34" spans="1:32" s="104" customFormat="1" ht="15.6">
      <c r="A34" s="108"/>
      <c r="B34" s="109" t="s">
        <v>841</v>
      </c>
      <c r="C34" s="110">
        <f>CSG!C34+CSB!C34</f>
        <v>17684263</v>
      </c>
      <c r="D34" s="110">
        <f>CSG!D34+CSB!D34</f>
        <v>27443994</v>
      </c>
      <c r="E34" s="110">
        <f>CSG!E34+CSB!E34</f>
        <v>1429931</v>
      </c>
      <c r="F34" s="110">
        <f>CSG!F34+CSB!F34</f>
        <v>104264726</v>
      </c>
      <c r="G34" s="110">
        <f>CSG!G34+CSB!G34</f>
        <v>33698714</v>
      </c>
      <c r="H34" s="110">
        <f>CSG!H34+CSB!H34</f>
        <v>2261412</v>
      </c>
      <c r="I34" s="110">
        <f t="shared" si="10"/>
        <v>186783040</v>
      </c>
      <c r="J34" s="113" t="str">
        <f t="shared" si="1"/>
        <v>ok</v>
      </c>
      <c r="K34" s="111">
        <f>Lafourche!J16</f>
        <v>186783040</v>
      </c>
      <c r="L34" s="178">
        <f>Lafourche!H23</f>
        <v>939465</v>
      </c>
      <c r="M34" s="110">
        <f>CSG!M34+CSB!L34</f>
        <v>7208373</v>
      </c>
      <c r="N34" s="110">
        <f>CSG!N34+CSB!M34</f>
        <v>0</v>
      </c>
      <c r="O34" s="110">
        <f>CSG!O34+CSB!N34</f>
        <v>0</v>
      </c>
      <c r="P34" s="110">
        <f>CSG!P34+CSB!O34</f>
        <v>0</v>
      </c>
      <c r="Q34" s="110">
        <f>CSG!Q34+CSB!P34</f>
        <v>1258850</v>
      </c>
      <c r="R34" s="110">
        <f>CSG!R34+CSB!Q34</f>
        <v>3981003</v>
      </c>
      <c r="S34" s="110">
        <f>CSG!S34+CSB!R34</f>
        <v>42264212</v>
      </c>
      <c r="T34" s="110">
        <f>CSG!T34+CSB!S34</f>
        <v>639621</v>
      </c>
      <c r="U34" s="110">
        <f t="shared" ref="U34:U43" si="22">SUM(M34:T34)</f>
        <v>55352059</v>
      </c>
      <c r="V34" s="113" t="str">
        <f t="shared" si="3"/>
        <v>ok</v>
      </c>
      <c r="W34" s="111">
        <f>Lafourche!J34</f>
        <v>55352059</v>
      </c>
      <c r="X34" s="112"/>
      <c r="Y34" s="178">
        <f>Lafourche!H37</f>
        <v>17130</v>
      </c>
      <c r="Z34" s="110">
        <f>Lafourche!H40</f>
        <v>65174839</v>
      </c>
      <c r="AA34" s="110">
        <f>Lafourche!H42+Lafourche!H43</f>
        <v>25523795</v>
      </c>
      <c r="AB34" s="110">
        <f>Lafourche!H44</f>
        <v>39408087</v>
      </c>
      <c r="AC34" s="110">
        <f t="shared" si="21"/>
        <v>130106721</v>
      </c>
      <c r="AD34" s="110">
        <f t="shared" si="9"/>
        <v>185475910</v>
      </c>
      <c r="AE34" s="113" t="str">
        <f t="shared" si="5"/>
        <v>check</v>
      </c>
      <c r="AF34" s="111">
        <f>Lafourche!H48</f>
        <v>185229203</v>
      </c>
    </row>
    <row r="35" spans="1:32" ht="15.6">
      <c r="A35" s="56"/>
      <c r="B35" s="3" t="s">
        <v>842</v>
      </c>
      <c r="C35" s="110">
        <f>CSG!C35+CSB!C35</f>
        <v>2710652</v>
      </c>
      <c r="D35" s="110">
        <f>CSG!D35+CSB!D35</f>
        <v>0</v>
      </c>
      <c r="E35" s="110">
        <f>CSG!E35+CSB!E35</f>
        <v>3081390</v>
      </c>
      <c r="F35" s="110">
        <f>CSG!F35+CSB!F35</f>
        <v>8452909</v>
      </c>
      <c r="G35" s="110">
        <f>CSG!G35+CSB!G35</f>
        <v>0</v>
      </c>
      <c r="H35" s="110">
        <f>CSG!H35+CSB!H35</f>
        <v>9851</v>
      </c>
      <c r="I35" s="59">
        <f>SUM(C35:H35)</f>
        <v>14254802</v>
      </c>
      <c r="J35" s="113" t="str">
        <f>IF(I35=K35, "ok", "check")</f>
        <v>ok</v>
      </c>
      <c r="K35" s="58">
        <f>LaSalle!G11</f>
        <v>14254802</v>
      </c>
      <c r="L35" s="177">
        <f>LaSalle!G15</f>
        <v>121997</v>
      </c>
      <c r="M35" s="110">
        <f>CSG!M35+CSB!L35</f>
        <v>625499</v>
      </c>
      <c r="N35" s="110">
        <f>CSG!N35+CSB!M35</f>
        <v>0</v>
      </c>
      <c r="O35" s="110">
        <f>CSG!O35+CSB!N35</f>
        <v>0</v>
      </c>
      <c r="P35" s="110">
        <f>CSG!P35+CSB!O35</f>
        <v>0</v>
      </c>
      <c r="Q35" s="110">
        <f>CSG!Q35+CSB!P35</f>
        <v>0</v>
      </c>
      <c r="R35" s="110">
        <f>CSG!R35+CSB!Q35</f>
        <v>231322</v>
      </c>
      <c r="S35" s="110">
        <f>CSG!S35+CSB!R35</f>
        <v>69377</v>
      </c>
      <c r="T35" s="110">
        <f>CSG!T35+CSB!S35</f>
        <v>273700</v>
      </c>
      <c r="U35" s="59">
        <f>SUM(M35:T35)</f>
        <v>1199898</v>
      </c>
      <c r="V35" s="113" t="str">
        <f>IF(U35=W35, "ok", "check")</f>
        <v>ok</v>
      </c>
      <c r="W35" s="58">
        <f>LaSalle!G28</f>
        <v>1199898</v>
      </c>
      <c r="X35" s="60"/>
      <c r="Y35" s="177">
        <f>LaSalle!G31</f>
        <v>34818</v>
      </c>
      <c r="Z35" s="59">
        <f>LaSalle!G34</f>
        <v>8152210</v>
      </c>
      <c r="AA35" s="59"/>
      <c r="AB35" s="59">
        <f>LaSalle!G35</f>
        <v>4989473</v>
      </c>
      <c r="AC35" s="59">
        <f t="shared" ref="AC35" si="23">SUM(Z35:AB35)</f>
        <v>13141683</v>
      </c>
      <c r="AD35" s="59">
        <f>SUM(AC35,U35,Y35)</f>
        <v>14376399</v>
      </c>
      <c r="AE35" s="113" t="str">
        <f>IF(AD35=AF35, "ok", "check")</f>
        <v>ok</v>
      </c>
      <c r="AF35" s="58">
        <f>LaSalle!G39</f>
        <v>14376399</v>
      </c>
    </row>
    <row r="36" spans="1:32" s="104" customFormat="1" ht="15.6">
      <c r="A36" s="108"/>
      <c r="B36" s="109" t="s">
        <v>843</v>
      </c>
      <c r="C36" s="110">
        <f>CSG!C36+CSB!C36</f>
        <v>12183072</v>
      </c>
      <c r="D36" s="110">
        <f>CSG!D36+CSB!D36</f>
        <v>22135974</v>
      </c>
      <c r="E36" s="110">
        <f>CSG!E36+CSB!E36</f>
        <v>8644696</v>
      </c>
      <c r="F36" s="110">
        <f>CSG!F36+CSB!F36</f>
        <v>22658045</v>
      </c>
      <c r="G36" s="110">
        <f>CSG!G36+CSB!G36</f>
        <v>333786</v>
      </c>
      <c r="H36" s="110">
        <f>CSG!H36+CSB!H36</f>
        <v>11582</v>
      </c>
      <c r="I36" s="110">
        <f t="shared" si="10"/>
        <v>65967155</v>
      </c>
      <c r="J36" s="113" t="str">
        <f t="shared" si="1"/>
        <v>ok</v>
      </c>
      <c r="K36" s="111">
        <f>Lincoln!G13</f>
        <v>65967155</v>
      </c>
      <c r="L36" s="178">
        <f>Lincoln!G16</f>
        <v>333795</v>
      </c>
      <c r="M36" s="110">
        <f>CSG!M36+CSB!L36</f>
        <v>1687700</v>
      </c>
      <c r="N36" s="110">
        <f>CSG!N36+CSB!M36</f>
        <v>1738938</v>
      </c>
      <c r="O36" s="110">
        <f>CSG!O36+CSB!N36</f>
        <v>636050</v>
      </c>
      <c r="P36" s="110">
        <f>CSG!P36+CSB!O36</f>
        <v>2642049</v>
      </c>
      <c r="Q36" s="110">
        <f>CSG!Q36+CSB!P36</f>
        <v>134316</v>
      </c>
      <c r="R36" s="110">
        <f>CSG!R36+CSB!Q36</f>
        <v>0</v>
      </c>
      <c r="S36" s="110">
        <f>CSG!S36+CSB!R36</f>
        <v>0</v>
      </c>
      <c r="T36" s="110">
        <f>CSG!T36+CSB!S36</f>
        <v>803497</v>
      </c>
      <c r="U36" s="110">
        <f t="shared" si="22"/>
        <v>7642550</v>
      </c>
      <c r="V36" s="113" t="str">
        <f t="shared" si="3"/>
        <v>ok</v>
      </c>
      <c r="W36" s="111">
        <f>Lincoln!G28</f>
        <v>7642550</v>
      </c>
      <c r="X36" s="112"/>
      <c r="Y36" s="178">
        <f>Lincoln!G31</f>
        <v>72700</v>
      </c>
      <c r="Z36" s="110">
        <f>Lincoln!G34</f>
        <v>19669045</v>
      </c>
      <c r="AA36" s="110">
        <f>Lincoln!G35</f>
        <v>3648216</v>
      </c>
      <c r="AB36" s="110">
        <f>Lincoln!G36</f>
        <v>35268439</v>
      </c>
      <c r="AC36" s="110">
        <f t="shared" si="21"/>
        <v>58585700</v>
      </c>
      <c r="AD36" s="110">
        <f t="shared" si="9"/>
        <v>66300950</v>
      </c>
      <c r="AE36" s="113" t="str">
        <f t="shared" si="5"/>
        <v>ok</v>
      </c>
      <c r="AF36" s="111">
        <f>Lincoln!G40</f>
        <v>66300950</v>
      </c>
    </row>
    <row r="37" spans="1:32">
      <c r="B37" s="3" t="s">
        <v>844</v>
      </c>
      <c r="C37" s="110">
        <f>CSG!C37+CSB!C37</f>
        <v>18292738</v>
      </c>
      <c r="D37" s="110">
        <f>CSG!D37+CSB!D37</f>
        <v>3410079</v>
      </c>
      <c r="E37" s="110">
        <f>CSG!E37+CSB!E37</f>
        <v>1028271</v>
      </c>
      <c r="F37" s="110">
        <f>CSG!F37+CSB!F37</f>
        <v>142540568</v>
      </c>
      <c r="G37" s="110">
        <f>CSG!G37+CSB!G37</f>
        <v>12927973</v>
      </c>
      <c r="H37" s="110">
        <f>CSG!H37+CSB!H37</f>
        <v>875414</v>
      </c>
      <c r="I37" s="59">
        <f t="shared" si="10"/>
        <v>179075043</v>
      </c>
      <c r="J37" s="113" t="str">
        <f t="shared" si="1"/>
        <v>ok</v>
      </c>
      <c r="K37" s="58">
        <f>Livingston!J21</f>
        <v>179075043</v>
      </c>
      <c r="L37" s="177">
        <f>Livingston!H27</f>
        <v>4863936</v>
      </c>
      <c r="M37" s="110">
        <f>CSG!M37+CSB!L37</f>
        <v>3761918</v>
      </c>
      <c r="N37" s="110">
        <f>CSG!N37+CSB!M37</f>
        <v>0</v>
      </c>
      <c r="O37" s="110">
        <f>CSG!O37+CSB!N37</f>
        <v>0</v>
      </c>
      <c r="P37" s="110">
        <f>CSG!P37+CSB!O37</f>
        <v>0</v>
      </c>
      <c r="Q37" s="110">
        <f>CSG!Q37+CSB!P37</f>
        <v>1252842</v>
      </c>
      <c r="R37" s="110">
        <f>CSG!R37+CSB!Q37</f>
        <v>7568020</v>
      </c>
      <c r="S37" s="110">
        <f>CSG!S37+CSB!R37</f>
        <v>73874514</v>
      </c>
      <c r="T37" s="110">
        <f>CSG!T37+CSB!S37</f>
        <v>19700</v>
      </c>
      <c r="U37" s="59">
        <f t="shared" si="22"/>
        <v>86476994</v>
      </c>
      <c r="V37" s="113" t="str">
        <f t="shared" si="3"/>
        <v>ok</v>
      </c>
      <c r="W37" s="58">
        <f>Livingston!J39</f>
        <v>86476994</v>
      </c>
      <c r="X37" s="60"/>
      <c r="Y37" s="177">
        <f>Livingston!H43</f>
        <v>117051</v>
      </c>
      <c r="Z37" s="59">
        <f>Livingston!H46</f>
        <v>56844478</v>
      </c>
      <c r="AA37" s="59">
        <f>Livingston!H48+Livingston!H49+Livingston!H50+Livingston!H51</f>
        <v>8820651</v>
      </c>
      <c r="AB37" s="59">
        <f>Livingston!H52</f>
        <v>26536405</v>
      </c>
      <c r="AC37" s="59">
        <f t="shared" si="21"/>
        <v>92201534</v>
      </c>
      <c r="AD37" s="59">
        <f t="shared" si="9"/>
        <v>178795579</v>
      </c>
      <c r="AE37" s="113" t="str">
        <f t="shared" si="5"/>
        <v>check</v>
      </c>
      <c r="AF37" s="58">
        <f>Livingston!H56</f>
        <v>176364075</v>
      </c>
    </row>
    <row r="38" spans="1:32" s="104" customFormat="1" ht="15.6">
      <c r="A38" s="108"/>
      <c r="B38" s="109" t="s">
        <v>845</v>
      </c>
      <c r="C38" s="110">
        <f>CSG!C38+CSB!C38</f>
        <v>6196038</v>
      </c>
      <c r="D38" s="110">
        <f>CSG!D38+CSB!D38</f>
        <v>3053632</v>
      </c>
      <c r="E38" s="110">
        <f>CSG!E38+CSB!E38</f>
        <v>5831186</v>
      </c>
      <c r="F38" s="110">
        <f>CSG!F38+CSB!F38</f>
        <v>7751890</v>
      </c>
      <c r="G38" s="110">
        <f>CSG!G38+CSB!G38</f>
        <v>0</v>
      </c>
      <c r="H38" s="110">
        <f>CSG!H38+CSB!H38</f>
        <v>0</v>
      </c>
      <c r="I38" s="110">
        <f t="shared" ref="I38" si="24">SUM(C38:H38)</f>
        <v>22832746</v>
      </c>
      <c r="J38" s="113" t="str">
        <f t="shared" si="1"/>
        <v>ok</v>
      </c>
      <c r="K38" s="111">
        <f>Madison!G11</f>
        <v>22832746</v>
      </c>
      <c r="L38" s="178"/>
      <c r="M38" s="110">
        <f>CSG!M38+CSB!L38</f>
        <v>406136</v>
      </c>
      <c r="N38" s="110">
        <f>CSG!N38+CSB!M38</f>
        <v>0</v>
      </c>
      <c r="O38" s="110">
        <f>CSG!O38+CSB!N38</f>
        <v>0</v>
      </c>
      <c r="P38" s="110">
        <f>CSG!P38+CSB!O38</f>
        <v>0</v>
      </c>
      <c r="Q38" s="110">
        <f>CSG!Q38+CSB!P38</f>
        <v>0</v>
      </c>
      <c r="R38" s="110">
        <f>CSG!R38+CSB!Q38</f>
        <v>45871</v>
      </c>
      <c r="S38" s="110">
        <f>CSG!S38+CSB!R38</f>
        <v>665717</v>
      </c>
      <c r="T38" s="110">
        <f>CSG!T38+CSB!S38</f>
        <v>0</v>
      </c>
      <c r="U38" s="110">
        <f t="shared" ref="U38" si="25">SUM(M38:T38)</f>
        <v>1117724</v>
      </c>
      <c r="V38" s="113" t="str">
        <f t="shared" si="3"/>
        <v>ok</v>
      </c>
      <c r="W38" s="111">
        <f>Madison!G21</f>
        <v>1117724</v>
      </c>
      <c r="X38" s="112"/>
      <c r="Y38" s="178">
        <f>Madison!G23</f>
        <v>41890</v>
      </c>
      <c r="Z38" s="110">
        <f>Madison!G26</f>
        <v>7706019</v>
      </c>
      <c r="AA38" s="110">
        <f>Madison!G28+Madison!G29+Madison!G30+Madison!G31+Madison!G32+Madison!G33+Madison!G34</f>
        <v>14684731</v>
      </c>
      <c r="AB38" s="110">
        <f>Madison!G35</f>
        <v>-78235</v>
      </c>
      <c r="AC38" s="110">
        <f>SUM(Z38:AB38)</f>
        <v>22312515</v>
      </c>
      <c r="AD38" s="110">
        <f>SUM(AC38,U38,Y38)</f>
        <v>23472129</v>
      </c>
      <c r="AE38" s="113" t="str">
        <f t="shared" si="5"/>
        <v>ok</v>
      </c>
      <c r="AF38" s="111">
        <f>Madison!G39</f>
        <v>23472129</v>
      </c>
    </row>
    <row r="39" spans="1:32" ht="15.6">
      <c r="A39" s="56"/>
      <c r="B39" s="3" t="s">
        <v>846</v>
      </c>
      <c r="C39" s="110">
        <f>CSG!C39+CSB!C39</f>
        <v>4679320</v>
      </c>
      <c r="D39" s="110">
        <f>CSG!D39+CSB!D39</f>
        <v>540000</v>
      </c>
      <c r="E39" s="110">
        <f>CSG!E39+CSB!E39</f>
        <v>2222961</v>
      </c>
      <c r="F39" s="110">
        <f>CSG!F39+CSB!F39</f>
        <v>12974902</v>
      </c>
      <c r="G39" s="110">
        <f>CSG!G39+CSB!G39</f>
        <v>0</v>
      </c>
      <c r="H39" s="110">
        <f>CSG!H39+CSB!H39</f>
        <v>0</v>
      </c>
      <c r="I39" s="59">
        <f t="shared" si="10"/>
        <v>20417183</v>
      </c>
      <c r="J39" s="113" t="str">
        <f t="shared" si="1"/>
        <v>ok</v>
      </c>
      <c r="K39" s="58">
        <f>Morehouse!G13</f>
        <v>20417183</v>
      </c>
      <c r="L39" s="177"/>
      <c r="M39" s="110">
        <f>CSG!M39+CSB!L39</f>
        <v>229815</v>
      </c>
      <c r="N39" s="110">
        <f>CSG!N39+CSB!M39</f>
        <v>0</v>
      </c>
      <c r="O39" s="110">
        <f>CSG!O39+CSB!N39</f>
        <v>0</v>
      </c>
      <c r="P39" s="110">
        <f>CSG!P39+CSB!O39</f>
        <v>0</v>
      </c>
      <c r="Q39" s="110">
        <f>CSG!Q39+CSB!P39</f>
        <v>0</v>
      </c>
      <c r="R39" s="110">
        <f>CSG!R39+CSB!Q39</f>
        <v>38154</v>
      </c>
      <c r="S39" s="110">
        <f>CSG!S39+CSB!R39</f>
        <v>0</v>
      </c>
      <c r="T39" s="110">
        <f>CSG!T39+CSB!S39</f>
        <v>2234818</v>
      </c>
      <c r="U39" s="59">
        <f t="shared" si="22"/>
        <v>2502787</v>
      </c>
      <c r="V39" s="113" t="str">
        <f t="shared" si="3"/>
        <v>ok</v>
      </c>
      <c r="W39" s="58">
        <f>Morehouse!G26</f>
        <v>2502787</v>
      </c>
      <c r="X39" s="60"/>
      <c r="Y39" s="177">
        <f>Morehouse!G31</f>
        <v>2113425</v>
      </c>
      <c r="Z39" s="59">
        <f>Morehouse!G34</f>
        <v>12974902</v>
      </c>
      <c r="AA39" s="59">
        <f>Morehouse!G35</f>
        <v>5216951</v>
      </c>
      <c r="AB39" s="59">
        <f>Morehouse!G36</f>
        <v>-2158846</v>
      </c>
      <c r="AC39" s="59">
        <f t="shared" si="21"/>
        <v>16033007</v>
      </c>
      <c r="AD39" s="59">
        <f>SUM(AC39,U39,Y39)</f>
        <v>20649219</v>
      </c>
      <c r="AE39" s="113" t="str">
        <f t="shared" si="5"/>
        <v>ok</v>
      </c>
      <c r="AF39" s="58">
        <f>Morehouse!G40</f>
        <v>20649219</v>
      </c>
    </row>
    <row r="40" spans="1:32" s="209" customFormat="1" ht="15.6">
      <c r="A40" s="203"/>
      <c r="B40" s="204" t="s">
        <v>847</v>
      </c>
      <c r="C40" s="110">
        <f>CSG!C40+CSB!C40</f>
        <v>8323481</v>
      </c>
      <c r="D40" s="110">
        <f>CSG!D40+CSB!D40</f>
        <v>0</v>
      </c>
      <c r="E40" s="110">
        <f>CSG!E40+CSB!E40</f>
        <v>6015839</v>
      </c>
      <c r="F40" s="110">
        <f>CSG!F40+CSB!F40</f>
        <v>10781636</v>
      </c>
      <c r="G40" s="110">
        <f>CSG!G40+CSB!G40</f>
        <v>0</v>
      </c>
      <c r="H40" s="110">
        <f>CSG!H40+CSB!H40</f>
        <v>0</v>
      </c>
      <c r="I40" s="205">
        <f t="shared" si="10"/>
        <v>25120956</v>
      </c>
      <c r="J40" s="113" t="str">
        <f t="shared" si="1"/>
        <v>ok</v>
      </c>
      <c r="K40" s="206">
        <f>Natchitoches!H13</f>
        <v>25120956</v>
      </c>
      <c r="L40" s="207">
        <f>Natchitoches!H15</f>
        <v>961781</v>
      </c>
      <c r="M40" s="110">
        <f>CSG!M40+CSB!L40</f>
        <v>765641</v>
      </c>
      <c r="N40" s="110">
        <f>CSG!N40+CSB!M40</f>
        <v>0</v>
      </c>
      <c r="O40" s="110">
        <f>CSG!O40+CSB!N40</f>
        <v>0</v>
      </c>
      <c r="P40" s="110">
        <f>CSG!P40+CSB!O40</f>
        <v>0</v>
      </c>
      <c r="Q40" s="110">
        <f>CSG!Q40+CSB!P40</f>
        <v>0</v>
      </c>
      <c r="R40" s="110">
        <f>CSG!R40+CSB!Q40</f>
        <v>143222</v>
      </c>
      <c r="S40" s="110">
        <f>CSG!S40+CSB!R40</f>
        <v>1311775</v>
      </c>
      <c r="T40" s="110">
        <f>CSG!T40+CSB!S40</f>
        <v>1031979</v>
      </c>
      <c r="U40" s="205">
        <f t="shared" si="22"/>
        <v>3252617</v>
      </c>
      <c r="V40" s="113" t="str">
        <f t="shared" si="3"/>
        <v>ok</v>
      </c>
      <c r="W40" s="206">
        <f>Natchitoches!H31</f>
        <v>3252617</v>
      </c>
      <c r="X40" s="208"/>
      <c r="Y40" s="207">
        <f>Natchitoches!H33</f>
        <v>162622</v>
      </c>
      <c r="Z40" s="205">
        <f>Natchitoches!H36</f>
        <v>10781636</v>
      </c>
      <c r="AA40" s="205"/>
      <c r="AB40" s="205">
        <f>Natchitoches!H37</f>
        <v>11885862</v>
      </c>
      <c r="AC40" s="110">
        <f t="shared" si="21"/>
        <v>22667498</v>
      </c>
      <c r="AD40" s="110">
        <f t="shared" si="9"/>
        <v>26082737</v>
      </c>
      <c r="AE40" s="113" t="str">
        <f t="shared" si="5"/>
        <v>ok</v>
      </c>
      <c r="AF40" s="206">
        <f>Natchitoches!H41</f>
        <v>26082737</v>
      </c>
    </row>
    <row r="41" spans="1:32" ht="15.6">
      <c r="A41" s="56"/>
      <c r="B41" s="3" t="s">
        <v>848</v>
      </c>
      <c r="C41" s="110">
        <f>CSG!C41+CSB!C41</f>
        <v>131482</v>
      </c>
      <c r="D41" s="110">
        <f>CSG!D41+CSB!D41</f>
        <v>227108</v>
      </c>
      <c r="E41" s="110">
        <f>CSG!E41+CSB!E41</f>
        <v>44441</v>
      </c>
      <c r="F41" s="110">
        <f>CSG!F41+CSB!F41</f>
        <v>1611132</v>
      </c>
      <c r="G41" s="110">
        <f>CSG!G41+CSB!G41</f>
        <v>51054</v>
      </c>
      <c r="H41" s="110">
        <f>CSG!H41+CSB!H41</f>
        <v>257</v>
      </c>
      <c r="I41" s="59">
        <f t="shared" si="10"/>
        <v>2065474</v>
      </c>
      <c r="J41" s="113" t="str">
        <f t="shared" si="1"/>
        <v>ok</v>
      </c>
      <c r="K41" s="58">
        <f>Orleans!H21</f>
        <v>2065474</v>
      </c>
      <c r="L41" s="177">
        <f>Orleans!H27</f>
        <v>218928</v>
      </c>
      <c r="M41" s="110">
        <f>CSG!M41+CSB!L41</f>
        <v>115356</v>
      </c>
      <c r="N41" s="110">
        <f>CSG!N41+CSB!M41</f>
        <v>0</v>
      </c>
      <c r="O41" s="110">
        <f>CSG!O41+CSB!N41</f>
        <v>0</v>
      </c>
      <c r="P41" s="110">
        <f>CSG!P41+CSB!O41</f>
        <v>0</v>
      </c>
      <c r="Q41" s="110">
        <f>CSG!Q41+CSB!P41</f>
        <v>2106</v>
      </c>
      <c r="R41" s="110">
        <f>CSG!R41+CSB!Q41</f>
        <v>109620</v>
      </c>
      <c r="S41" s="110">
        <f>CSG!S41+CSB!R41</f>
        <v>2304860</v>
      </c>
      <c r="T41" s="110">
        <f>CSG!T41+CSB!S41</f>
        <v>793</v>
      </c>
      <c r="U41" s="59">
        <f t="shared" si="22"/>
        <v>2532735</v>
      </c>
      <c r="V41" s="113" t="str">
        <f t="shared" si="3"/>
        <v>ok</v>
      </c>
      <c r="W41" s="58">
        <f>Orleans!H41</f>
        <v>2532735</v>
      </c>
      <c r="X41" s="60"/>
      <c r="Y41" s="177">
        <f>Orleans!H48</f>
        <v>45852</v>
      </c>
      <c r="Z41" s="59">
        <f>Orleans!H51</f>
        <v>933606</v>
      </c>
      <c r="AA41" s="59">
        <f>Orleans!H52+Orleans!H53</f>
        <v>113437</v>
      </c>
      <c r="AB41" s="59">
        <f>Orleans!H55</f>
        <v>-1341228</v>
      </c>
      <c r="AC41" s="59">
        <f t="shared" si="21"/>
        <v>-294185</v>
      </c>
      <c r="AD41" s="59">
        <f t="shared" si="9"/>
        <v>2284402</v>
      </c>
      <c r="AE41" s="113" t="str">
        <f t="shared" si="5"/>
        <v>ok</v>
      </c>
      <c r="AF41" s="58">
        <f>Orleans!H59</f>
        <v>2284402</v>
      </c>
    </row>
    <row r="42" spans="1:32" s="104" customFormat="1">
      <c r="B42" s="109" t="s">
        <v>849</v>
      </c>
      <c r="C42" s="110">
        <f>CSG!C42+CSB!C42</f>
        <v>49027748</v>
      </c>
      <c r="D42" s="110">
        <f>CSG!D42+CSB!D42</f>
        <v>18766100</v>
      </c>
      <c r="E42" s="110">
        <f>CSG!E42+CSB!E42</f>
        <v>35945056</v>
      </c>
      <c r="F42" s="110">
        <f>CSG!F42+CSB!F42</f>
        <v>186238751</v>
      </c>
      <c r="G42" s="110">
        <f>CSG!G42+CSB!G42</f>
        <v>5438569</v>
      </c>
      <c r="H42" s="110">
        <f>CSG!H42+CSB!H42</f>
        <v>1148199</v>
      </c>
      <c r="I42" s="110">
        <f t="shared" si="10"/>
        <v>296564423</v>
      </c>
      <c r="J42" s="113" t="str">
        <f t="shared" si="1"/>
        <v>ok</v>
      </c>
      <c r="K42" s="111">
        <f>'Ouachita '!H22</f>
        <v>296564423</v>
      </c>
      <c r="L42" s="178"/>
      <c r="M42" s="110">
        <f>CSG!M42+CSB!L42</f>
        <v>6813705</v>
      </c>
      <c r="N42" s="110">
        <f>CSG!N42+CSB!M42</f>
        <v>0</v>
      </c>
      <c r="O42" s="110">
        <f>CSG!O42+CSB!N42</f>
        <v>0</v>
      </c>
      <c r="P42" s="110">
        <f>CSG!P42+CSB!O42</f>
        <v>0</v>
      </c>
      <c r="Q42" s="110">
        <f>CSG!Q42+CSB!P42</f>
        <v>0</v>
      </c>
      <c r="R42" s="110">
        <f>CSG!R42+CSB!Q42</f>
        <v>1774976</v>
      </c>
      <c r="S42" s="110">
        <f>CSG!S42+CSB!R42</f>
        <v>30238275</v>
      </c>
      <c r="T42" s="110">
        <f>CSG!T42+CSB!S42</f>
        <v>684765</v>
      </c>
      <c r="U42" s="110">
        <f t="shared" si="22"/>
        <v>39511721</v>
      </c>
      <c r="V42" s="113" t="str">
        <f t="shared" si="3"/>
        <v>ok</v>
      </c>
      <c r="W42" s="111">
        <f>'Ouachita '!H38</f>
        <v>39511721</v>
      </c>
      <c r="X42" s="112"/>
      <c r="Y42" s="178"/>
      <c r="Z42" s="110">
        <f>'Ouachita '!F46</f>
        <v>183839139</v>
      </c>
      <c r="AA42" s="110">
        <f>'Ouachita '!F48+'Ouachita '!F49+'Ouachita '!F50+'Ouachita '!F51+'Ouachita '!F52+'Ouachita '!F53+'Ouachita '!F54+'Ouachita '!F55+'Ouachita '!F56</f>
        <v>79059468</v>
      </c>
      <c r="AB42" s="110">
        <f>'Ouachita '!F57</f>
        <v>-1760362</v>
      </c>
      <c r="AC42" s="110">
        <f t="shared" si="21"/>
        <v>261138245</v>
      </c>
      <c r="AD42" s="110">
        <f t="shared" si="9"/>
        <v>300649966</v>
      </c>
      <c r="AE42" s="113" t="str">
        <f t="shared" si="5"/>
        <v>check</v>
      </c>
      <c r="AF42" s="111">
        <f>'Ouachita '!F61</f>
        <v>300263764</v>
      </c>
    </row>
    <row r="43" spans="1:32" ht="15.6">
      <c r="A43" s="56"/>
      <c r="B43" s="3" t="s">
        <v>850</v>
      </c>
      <c r="C43" s="110">
        <f>CSG!C43+CSB!C43</f>
        <v>106898208</v>
      </c>
      <c r="D43" s="110">
        <f>CSG!D43+CSB!D43</f>
        <v>3103</v>
      </c>
      <c r="E43" s="110">
        <f>CSG!E43+CSB!E43</f>
        <v>70414311</v>
      </c>
      <c r="F43" s="110">
        <f>CSG!F43+CSB!F43</f>
        <v>569347522</v>
      </c>
      <c r="G43" s="110">
        <f>CSG!G43+CSB!G43</f>
        <v>0</v>
      </c>
      <c r="H43" s="110">
        <f>CSG!H43+CSB!H43</f>
        <v>1206506</v>
      </c>
      <c r="I43" s="59">
        <f t="shared" si="10"/>
        <v>747869650</v>
      </c>
      <c r="J43" s="113" t="str">
        <f t="shared" si="1"/>
        <v>ok</v>
      </c>
      <c r="K43" s="58">
        <f>Plaquemines!J21</f>
        <v>747869650</v>
      </c>
      <c r="L43" s="177">
        <f>Plaquemines!H25</f>
        <v>646813723</v>
      </c>
      <c r="M43" s="110">
        <f>CSG!M43+CSB!L43</f>
        <v>50829033</v>
      </c>
      <c r="N43" s="110">
        <f>CSG!N43+CSB!M43</f>
        <v>1126373</v>
      </c>
      <c r="O43" s="110">
        <f>CSG!O43+CSB!N43</f>
        <v>3895000</v>
      </c>
      <c r="P43" s="110">
        <f>CSG!P43+CSB!O43</f>
        <v>117891568</v>
      </c>
      <c r="Q43" s="110">
        <f>CSG!Q43+CSB!P43</f>
        <v>464800</v>
      </c>
      <c r="R43" s="110">
        <f>CSG!R43+CSB!Q43</f>
        <v>0</v>
      </c>
      <c r="S43" s="110">
        <f>CSG!S43+CSB!R43</f>
        <v>0</v>
      </c>
      <c r="T43" s="110">
        <f>CSG!T43+CSB!S43</f>
        <v>21936729</v>
      </c>
      <c r="U43" s="59">
        <f t="shared" si="22"/>
        <v>196143503</v>
      </c>
      <c r="V43" s="113" t="str">
        <f t="shared" si="3"/>
        <v>ok</v>
      </c>
      <c r="W43" s="58">
        <f>Plaquemines!J51</f>
        <v>196143503</v>
      </c>
      <c r="X43" s="60"/>
      <c r="Y43" s="177">
        <f>Plaquemines!H55</f>
        <v>1009468</v>
      </c>
      <c r="Z43" s="59">
        <f>Plaquemines!H58</f>
        <v>345913086</v>
      </c>
      <c r="AA43" s="59">
        <f>Plaquemines!H59</f>
        <v>83817891</v>
      </c>
      <c r="AB43" s="59">
        <f>Plaquemines!H60</f>
        <v>27089182</v>
      </c>
      <c r="AC43" s="59">
        <f t="shared" ref="AC43" si="26">SUM(Z43:AB43)</f>
        <v>456820159</v>
      </c>
      <c r="AD43" s="59">
        <f t="shared" si="9"/>
        <v>653973130</v>
      </c>
      <c r="AE43" s="113" t="str">
        <f t="shared" si="5"/>
        <v>check</v>
      </c>
      <c r="AF43" s="58">
        <f>Plaquemines!H64</f>
        <v>646813723</v>
      </c>
    </row>
    <row r="44" spans="1:32" s="104" customFormat="1" ht="15.6">
      <c r="A44" s="108"/>
      <c r="B44" s="109" t="s">
        <v>851</v>
      </c>
      <c r="C44" s="110">
        <f>CSG!C44+CSB!C44</f>
        <v>4500285</v>
      </c>
      <c r="D44" s="110">
        <f>CSG!D44+CSB!D44</f>
        <v>141853</v>
      </c>
      <c r="E44" s="110">
        <f>CSG!E44+CSB!E44</f>
        <v>3977536</v>
      </c>
      <c r="F44" s="110">
        <f>CSG!F44+CSB!F44</f>
        <v>21555810</v>
      </c>
      <c r="G44" s="110">
        <f>CSG!G44+CSB!G44</f>
        <v>750612</v>
      </c>
      <c r="H44" s="110">
        <f>CSG!H44+CSB!H44</f>
        <v>152119</v>
      </c>
      <c r="I44" s="110">
        <f t="shared" ref="I44" si="27">SUM(C44:H44)</f>
        <v>31078215</v>
      </c>
      <c r="J44" s="113" t="str">
        <f t="shared" si="1"/>
        <v>ok</v>
      </c>
      <c r="K44" s="111">
        <f>'Pointe Couppe'!H19</f>
        <v>31078215</v>
      </c>
      <c r="L44" s="178"/>
      <c r="M44" s="110">
        <f>CSG!M44+CSB!L44</f>
        <v>2006542</v>
      </c>
      <c r="N44" s="110">
        <f>CSG!N44+CSB!M44</f>
        <v>0</v>
      </c>
      <c r="O44" s="110">
        <f>CSG!O44+CSB!N44</f>
        <v>0</v>
      </c>
      <c r="P44" s="110">
        <f>CSG!P44+CSB!O44</f>
        <v>0</v>
      </c>
      <c r="Q44" s="110">
        <f>CSG!Q44+CSB!P44</f>
        <v>519937</v>
      </c>
      <c r="R44" s="110">
        <f>CSG!R44+CSB!Q44</f>
        <v>593532</v>
      </c>
      <c r="S44" s="110">
        <f>CSG!S44+CSB!R44</f>
        <v>6023037</v>
      </c>
      <c r="T44" s="110">
        <f>CSG!T44+CSB!S44</f>
        <v>2982073</v>
      </c>
      <c r="U44" s="110">
        <f t="shared" ref="U44" si="28">SUM(M44:T44)</f>
        <v>12125121</v>
      </c>
      <c r="V44" s="113" t="str">
        <f t="shared" si="3"/>
        <v>ok</v>
      </c>
      <c r="W44" s="111">
        <f>'Pointe Couppe'!H31</f>
        <v>12125121</v>
      </c>
      <c r="X44" s="112"/>
      <c r="Y44" s="178">
        <f>'Pointe Couppe'!F35</f>
        <v>61852</v>
      </c>
      <c r="Z44" s="110">
        <f>'Pointe Couppe'!F40</f>
        <v>13322085</v>
      </c>
      <c r="AA44" s="110">
        <f>'Pointe Couppe'!F42+'Pointe Couppe'!F43+'Pointe Couppe'!F44</f>
        <v>6577583</v>
      </c>
      <c r="AB44" s="110">
        <f>'Pointe Couppe'!F45</f>
        <v>-2231273</v>
      </c>
      <c r="AC44" s="110">
        <f t="shared" ref="AC44" si="29">SUM(Z44:AB44)</f>
        <v>17668395</v>
      </c>
      <c r="AD44" s="110">
        <f t="shared" si="9"/>
        <v>29855368</v>
      </c>
      <c r="AE44" s="113" t="str">
        <f t="shared" si="5"/>
        <v>check</v>
      </c>
      <c r="AF44" s="111">
        <f>'Pointe Couppe'!F49</f>
        <v>28372762</v>
      </c>
    </row>
    <row r="45" spans="1:32" ht="15.6">
      <c r="A45" s="56"/>
      <c r="B45" s="3" t="s">
        <v>852</v>
      </c>
      <c r="C45" s="110">
        <f>CSG!C45+CSB!C45</f>
        <v>43047450</v>
      </c>
      <c r="D45" s="110">
        <f>CSG!D45+CSB!D45</f>
        <v>0</v>
      </c>
      <c r="E45" s="110">
        <f>CSG!E45+CSB!E45</f>
        <v>22738987</v>
      </c>
      <c r="F45" s="110">
        <f>CSG!F45+CSB!F45</f>
        <v>64118248</v>
      </c>
      <c r="G45" s="110">
        <f>CSG!G45+CSB!G45</f>
        <v>0</v>
      </c>
      <c r="H45" s="110">
        <f>CSG!H45+CSB!H45</f>
        <v>4009397</v>
      </c>
      <c r="I45" s="59">
        <f>SUM(C45:H45)</f>
        <v>133914082</v>
      </c>
      <c r="J45" s="113" t="str">
        <f t="shared" si="1"/>
        <v>ok</v>
      </c>
      <c r="K45" s="58">
        <f>Rapides!H20</f>
        <v>133914082</v>
      </c>
      <c r="L45" s="177"/>
      <c r="M45" s="110">
        <f>CSG!M45+CSB!L45</f>
        <v>1509474</v>
      </c>
      <c r="N45" s="110">
        <f>CSG!N45+CSB!M45</f>
        <v>0</v>
      </c>
      <c r="O45" s="110">
        <f>CSG!O45+CSB!N45</f>
        <v>0</v>
      </c>
      <c r="P45" s="110">
        <f>CSG!P45+CSB!O45</f>
        <v>0</v>
      </c>
      <c r="Q45" s="110">
        <f>CSG!Q45+CSB!P45</f>
        <v>0</v>
      </c>
      <c r="R45" s="110">
        <f>CSG!R45+CSB!Q45</f>
        <v>1701962</v>
      </c>
      <c r="S45" s="110">
        <f>CSG!S45+CSB!R45</f>
        <v>62946023</v>
      </c>
      <c r="T45" s="110">
        <f>CSG!T45+CSB!S45</f>
        <v>1819058</v>
      </c>
      <c r="U45" s="59">
        <f t="shared" ref="U45:U48" si="30">SUM(M45:T45)</f>
        <v>67976517</v>
      </c>
      <c r="V45" s="113" t="str">
        <f t="shared" si="3"/>
        <v>ok</v>
      </c>
      <c r="W45" s="58">
        <f>Rapides!H31</f>
        <v>67976517</v>
      </c>
      <c r="X45" s="60"/>
      <c r="Y45" s="177"/>
      <c r="Z45" s="59">
        <f>Rapides!H34</f>
        <v>38384558</v>
      </c>
      <c r="AA45" s="59">
        <f>Rapides!H35</f>
        <v>3526607</v>
      </c>
      <c r="AB45" s="59">
        <f>Rapides!H36</f>
        <v>24026401</v>
      </c>
      <c r="AC45" s="59">
        <f t="shared" ref="AC45:AC46" si="31">SUM(Z45:AB45)</f>
        <v>65937566</v>
      </c>
      <c r="AD45" s="59">
        <f t="shared" si="9"/>
        <v>133914083</v>
      </c>
      <c r="AE45" s="113" t="str">
        <f t="shared" si="5"/>
        <v>ok</v>
      </c>
      <c r="AF45" s="58">
        <f>Rapides!H40</f>
        <v>133914083</v>
      </c>
    </row>
    <row r="46" spans="1:32" s="104" customFormat="1" ht="15.6">
      <c r="A46" s="108"/>
      <c r="B46" s="109" t="s">
        <v>853</v>
      </c>
      <c r="C46" s="110">
        <f>CSG!C46+CSB!C46</f>
        <v>17805042</v>
      </c>
      <c r="D46" s="110">
        <f>CSG!D46+CSB!D46</f>
        <v>15684226</v>
      </c>
      <c r="E46" s="110">
        <f>CSG!E46+CSB!E46</f>
        <v>4686350</v>
      </c>
      <c r="F46" s="110">
        <f>CSG!F46+CSB!F46</f>
        <v>16249695</v>
      </c>
      <c r="G46" s="110">
        <f>CSG!G46+CSB!G46</f>
        <v>0</v>
      </c>
      <c r="H46" s="110">
        <f>CSG!H46+CSB!H46</f>
        <v>20239</v>
      </c>
      <c r="I46" s="110">
        <f t="shared" ref="I46:I47" si="32">SUM(C46:H46)</f>
        <v>54445552</v>
      </c>
      <c r="J46" s="113" t="str">
        <f t="shared" si="1"/>
        <v>ok</v>
      </c>
      <c r="K46" s="111">
        <f>'Red River'!J17</f>
        <v>54445552</v>
      </c>
      <c r="L46" s="178" t="e">
        <f>'[1]St. Bernard'!C32</f>
        <v>#REF!</v>
      </c>
      <c r="M46" s="110">
        <f>CSG!M46+CSB!L46</f>
        <v>963771</v>
      </c>
      <c r="N46" s="110">
        <f>CSG!N46+CSB!M46</f>
        <v>64855</v>
      </c>
      <c r="O46" s="110">
        <f>CSG!O46+CSB!N46</f>
        <v>0</v>
      </c>
      <c r="P46" s="110">
        <f>CSG!P46+CSB!O46</f>
        <v>0</v>
      </c>
      <c r="Q46" s="110">
        <f>CSG!Q46+CSB!P46</f>
        <v>0</v>
      </c>
      <c r="R46" s="110">
        <f>CSG!R46+CSB!Q46</f>
        <v>0</v>
      </c>
      <c r="S46" s="110">
        <f>CSG!S46+CSB!R46</f>
        <v>0</v>
      </c>
      <c r="T46" s="110">
        <f>CSG!T46+CSB!S46</f>
        <v>115212</v>
      </c>
      <c r="U46" s="110">
        <f t="shared" si="30"/>
        <v>1143838</v>
      </c>
      <c r="V46" s="113" t="str">
        <f t="shared" si="3"/>
        <v>ok</v>
      </c>
      <c r="W46" s="111">
        <f>'Red River'!J35</f>
        <v>1143838</v>
      </c>
      <c r="X46" s="112"/>
      <c r="Y46" s="178">
        <f>'Red River'!H37</f>
        <v>64801</v>
      </c>
      <c r="Z46" s="110">
        <f>'Red River'!H40</f>
        <v>16044475</v>
      </c>
      <c r="AA46" s="110">
        <f>'Red River'!H43+'Red River'!H44+'Red River'!H45+'Red River'!H46+'Red River'!H47</f>
        <v>13567384</v>
      </c>
      <c r="AB46" s="110">
        <f>'Red River'!H48</f>
        <v>23713680</v>
      </c>
      <c r="AC46" s="110">
        <f t="shared" si="31"/>
        <v>53325539</v>
      </c>
      <c r="AD46" s="110">
        <f t="shared" si="9"/>
        <v>54534178</v>
      </c>
      <c r="AE46" s="113" t="str">
        <f t="shared" si="5"/>
        <v>check</v>
      </c>
      <c r="AF46" s="111">
        <f>'Red River'!H52</f>
        <v>54530244</v>
      </c>
    </row>
    <row r="47" spans="1:32" ht="15.6">
      <c r="A47" s="56"/>
      <c r="B47" s="3" t="s">
        <v>854</v>
      </c>
      <c r="C47" s="110">
        <f>CSG!C47+CSB!C47</f>
        <v>8166634</v>
      </c>
      <c r="D47" s="110">
        <f>CSG!D47+CSB!D47</f>
        <v>0</v>
      </c>
      <c r="E47" s="110">
        <f>CSG!E47+CSB!E47</f>
        <v>2798324</v>
      </c>
      <c r="F47" s="110">
        <f>CSG!F47+CSB!F47</f>
        <v>2570572</v>
      </c>
      <c r="G47" s="110">
        <f>CSG!G47+CSB!G47</f>
        <v>0</v>
      </c>
      <c r="H47" s="110">
        <f>CSG!H47+CSB!H47</f>
        <v>0</v>
      </c>
      <c r="I47" s="59">
        <f t="shared" si="32"/>
        <v>13535530</v>
      </c>
      <c r="J47" s="113" t="str">
        <f t="shared" si="1"/>
        <v>ok</v>
      </c>
      <c r="K47" s="58">
        <f>Richland!G12</f>
        <v>13535530</v>
      </c>
      <c r="L47" s="177" t="e">
        <f>'[1]St. Charles'!C33</f>
        <v>#REF!</v>
      </c>
      <c r="M47" s="110">
        <f>CSG!M47+CSB!L47</f>
        <v>311689</v>
      </c>
      <c r="N47" s="110">
        <f>CSG!N47+CSB!M47</f>
        <v>0</v>
      </c>
      <c r="O47" s="110">
        <f>CSG!O47+CSB!N47</f>
        <v>0</v>
      </c>
      <c r="P47" s="110">
        <f>CSG!P47+CSB!O47</f>
        <v>0</v>
      </c>
      <c r="Q47" s="110">
        <f>CSG!Q47+CSB!P47</f>
        <v>0</v>
      </c>
      <c r="R47" s="110">
        <f>CSG!R47+CSB!Q47</f>
        <v>0</v>
      </c>
      <c r="S47" s="110">
        <f>CSG!S47+CSB!R47</f>
        <v>0</v>
      </c>
      <c r="T47" s="110">
        <f>CSG!T47+CSB!S47</f>
        <v>84471</v>
      </c>
      <c r="U47" s="59">
        <f t="shared" si="30"/>
        <v>396160</v>
      </c>
      <c r="V47" s="113" t="str">
        <f t="shared" si="3"/>
        <v>ok</v>
      </c>
      <c r="W47" s="58">
        <f>Richland!G22</f>
        <v>396160</v>
      </c>
      <c r="X47" s="60"/>
      <c r="Y47" s="177">
        <f>Richland!G27</f>
        <v>2738135</v>
      </c>
      <c r="Z47" s="59">
        <f>Richland!G30</f>
        <v>2570572</v>
      </c>
      <c r="AA47" s="59">
        <f>Richland!G31</f>
        <v>6385675</v>
      </c>
      <c r="AB47" s="59">
        <f>Richland!G32</f>
        <v>1908307</v>
      </c>
      <c r="AC47" s="59">
        <f t="shared" ref="AC47" si="33">SUM(Z47:AB47)</f>
        <v>10864554</v>
      </c>
      <c r="AD47" s="59">
        <f t="shared" si="9"/>
        <v>13998849</v>
      </c>
      <c r="AE47" s="113" t="str">
        <f t="shared" si="5"/>
        <v>ok</v>
      </c>
      <c r="AF47" s="58">
        <f>Richland!G36</f>
        <v>13998849</v>
      </c>
    </row>
    <row r="48" spans="1:32" s="104" customFormat="1" ht="15.6">
      <c r="A48" s="108"/>
      <c r="B48" s="109" t="s">
        <v>855</v>
      </c>
      <c r="C48" s="110">
        <f>CSG!C48+CSB!C48</f>
        <v>10266086</v>
      </c>
      <c r="D48" s="110">
        <f>CSG!D48+CSB!D48</f>
        <v>0</v>
      </c>
      <c r="E48" s="110">
        <f>CSG!E48+CSB!E48</f>
        <v>3646800</v>
      </c>
      <c r="F48" s="110">
        <f>CSG!F48+CSB!F48</f>
        <v>13735206</v>
      </c>
      <c r="G48" s="110">
        <f>CSG!G48+CSB!G48</f>
        <v>0</v>
      </c>
      <c r="H48" s="110">
        <f>CSG!H48+CSB!H48</f>
        <v>356746</v>
      </c>
      <c r="I48" s="110">
        <f t="shared" ref="I48" si="34">SUM(C48:H48)</f>
        <v>28004838</v>
      </c>
      <c r="J48" s="113" t="str">
        <f t="shared" si="1"/>
        <v>ok</v>
      </c>
      <c r="K48" s="111">
        <f>Sabine!H21</f>
        <v>28004838</v>
      </c>
      <c r="L48" s="178"/>
      <c r="M48" s="110">
        <f>CSG!M48+CSB!L48</f>
        <v>389996</v>
      </c>
      <c r="N48" s="110">
        <f>CSG!N48+CSB!M48</f>
        <v>0</v>
      </c>
      <c r="O48" s="110">
        <f>CSG!O48+CSB!N48</f>
        <v>0</v>
      </c>
      <c r="P48" s="110">
        <f>CSG!P48+CSB!O48</f>
        <v>0</v>
      </c>
      <c r="Q48" s="110">
        <f>CSG!Q48+CSB!P48</f>
        <v>0</v>
      </c>
      <c r="R48" s="110">
        <f>CSG!R48+CSB!Q48</f>
        <v>122083</v>
      </c>
      <c r="S48" s="110">
        <f>CSG!S48+CSB!R48</f>
        <v>1275594</v>
      </c>
      <c r="T48" s="110">
        <f>CSG!T48+CSB!S48</f>
        <v>48002</v>
      </c>
      <c r="U48" s="110">
        <f t="shared" si="30"/>
        <v>1835675</v>
      </c>
      <c r="V48" s="113" t="str">
        <f t="shared" si="3"/>
        <v>ok</v>
      </c>
      <c r="W48" s="111">
        <f>Sabine!H31</f>
        <v>1835675</v>
      </c>
      <c r="X48" s="112"/>
      <c r="Y48" s="178"/>
      <c r="Z48" s="110">
        <f>Sabine!H34</f>
        <v>13686433</v>
      </c>
      <c r="AA48" s="110"/>
      <c r="AB48" s="110">
        <f>Sabine!H35</f>
        <v>12482731</v>
      </c>
      <c r="AC48" s="110">
        <f t="shared" ref="AC48" si="35">SUM(Z48:AB48)</f>
        <v>26169164</v>
      </c>
      <c r="AD48" s="110">
        <f t="shared" si="9"/>
        <v>28004839</v>
      </c>
      <c r="AE48" s="113" t="str">
        <f t="shared" si="5"/>
        <v>ok</v>
      </c>
      <c r="AF48" s="111">
        <f>Sabine!H39</f>
        <v>28004839</v>
      </c>
    </row>
    <row r="49" spans="1:32" ht="15.6">
      <c r="A49" s="56"/>
      <c r="B49" s="3" t="s">
        <v>856</v>
      </c>
      <c r="C49" s="110">
        <f>CSG!C49+CSB!C49</f>
        <v>102874468</v>
      </c>
      <c r="D49" s="110">
        <f>CSG!D49+CSB!D49</f>
        <v>4719313</v>
      </c>
      <c r="E49" s="110">
        <f>CSG!E49+CSB!E49</f>
        <v>38615808</v>
      </c>
      <c r="F49" s="110">
        <f>CSG!F49+CSB!F49</f>
        <v>598133924</v>
      </c>
      <c r="G49" s="110">
        <f>CSG!G49+CSB!G49</f>
        <v>0</v>
      </c>
      <c r="H49" s="110">
        <f>CSG!H49+CSB!H49</f>
        <v>2204827</v>
      </c>
      <c r="I49" s="59">
        <f>SUM(C49:H49)</f>
        <v>746548340</v>
      </c>
      <c r="J49" s="113" t="str">
        <f t="shared" si="1"/>
        <v>ok</v>
      </c>
      <c r="K49" s="58">
        <f>'St. Bernard'!H27</f>
        <v>746548340</v>
      </c>
      <c r="L49" s="177"/>
      <c r="M49" s="110">
        <f>CSG!M49+CSB!L49</f>
        <v>28075214</v>
      </c>
      <c r="N49" s="110">
        <f>CSG!N49+CSB!M49</f>
        <v>0</v>
      </c>
      <c r="O49" s="110">
        <f>CSG!O49+CSB!N49</f>
        <v>0</v>
      </c>
      <c r="P49" s="110">
        <f>CSG!P49+CSB!O49</f>
        <v>0</v>
      </c>
      <c r="Q49" s="110">
        <f>CSG!Q49+CSB!P49</f>
        <v>0</v>
      </c>
      <c r="R49" s="110">
        <f>CSG!R49+CSB!Q49</f>
        <v>5176622</v>
      </c>
      <c r="S49" s="110">
        <f>CSG!S49+CSB!R49</f>
        <v>52135232</v>
      </c>
      <c r="T49" s="110">
        <f>CSG!T49+CSB!S49</f>
        <v>2436763</v>
      </c>
      <c r="U49" s="59">
        <f t="shared" ref="U49:U51" si="36">SUM(M49:T49)</f>
        <v>87823831</v>
      </c>
      <c r="V49" s="113" t="str">
        <f t="shared" si="3"/>
        <v>ok</v>
      </c>
      <c r="W49" s="58">
        <f>'St. Bernard'!H46</f>
        <v>87823831</v>
      </c>
      <c r="X49" s="60"/>
      <c r="Y49" s="177">
        <f>'St. Bernard'!F50</f>
        <v>1282878</v>
      </c>
      <c r="Z49" s="59">
        <f>'St. Bernard'!F53</f>
        <v>357038864</v>
      </c>
      <c r="AA49" s="59">
        <f>'St. Bernard'!F55+'St. Bernard'!F56+'St. Bernard'!F57+'St. Bernard'!F58+'St. Bernard'!F59</f>
        <v>15236622</v>
      </c>
      <c r="AB49" s="59">
        <f>'St. Bernard'!F60</f>
        <v>21004500</v>
      </c>
      <c r="AC49" s="59">
        <f t="shared" ref="AC49:AC51" si="37">SUM(Z49:AB49)</f>
        <v>393279986</v>
      </c>
      <c r="AD49" s="59">
        <f t="shared" si="9"/>
        <v>482386695</v>
      </c>
      <c r="AE49" s="113" t="str">
        <f t="shared" si="5"/>
        <v>check</v>
      </c>
      <c r="AF49" s="58">
        <f>'St. Bernard'!F64</f>
        <v>473991594</v>
      </c>
    </row>
    <row r="50" spans="1:32" s="104" customFormat="1" ht="15.6">
      <c r="A50" s="108"/>
      <c r="B50" s="109" t="s">
        <v>857</v>
      </c>
      <c r="C50" s="110">
        <f>CSG!C50+CSB!C50</f>
        <v>8888480</v>
      </c>
      <c r="D50" s="110">
        <f>CSG!D50+CSB!D50</f>
        <v>84453793</v>
      </c>
      <c r="E50" s="110">
        <f>CSG!E50+CSB!E50</f>
        <v>32965903</v>
      </c>
      <c r="F50" s="110">
        <f>CSG!F50+CSB!F50</f>
        <v>345321204</v>
      </c>
      <c r="G50" s="110">
        <f>CSG!G50+CSB!G50</f>
        <v>5229621</v>
      </c>
      <c r="H50" s="110">
        <f>CSG!H50+CSB!H50</f>
        <v>1008848</v>
      </c>
      <c r="I50" s="110">
        <f>SUM(C50:H50)</f>
        <v>477867849</v>
      </c>
      <c r="J50" s="113" t="str">
        <f t="shared" si="1"/>
        <v>ok</v>
      </c>
      <c r="K50" s="111">
        <f>'St. Charles'!J24</f>
        <v>477867849</v>
      </c>
      <c r="L50" s="110">
        <f>'St. Charles'!H27</f>
        <v>6025080</v>
      </c>
      <c r="M50" s="110">
        <f>CSG!M50+CSB!L50</f>
        <v>8349664</v>
      </c>
      <c r="N50" s="110">
        <f>CSG!N50+CSB!M50</f>
        <v>0</v>
      </c>
      <c r="O50" s="110">
        <f>CSG!O50+CSB!N50</f>
        <v>0</v>
      </c>
      <c r="P50" s="110">
        <f>CSG!P50+CSB!O50</f>
        <v>0</v>
      </c>
      <c r="Q50" s="110">
        <f>CSG!Q50+CSB!P50</f>
        <v>488780</v>
      </c>
      <c r="R50" s="110">
        <f>CSG!R50+CSB!Q50</f>
        <v>5252000</v>
      </c>
      <c r="S50" s="110">
        <f>CSG!S50+CSB!R50</f>
        <v>50697310</v>
      </c>
      <c r="T50" s="110">
        <f>CSG!T50+CSB!S50</f>
        <v>1449521</v>
      </c>
      <c r="U50" s="110">
        <f t="shared" si="36"/>
        <v>66237275</v>
      </c>
      <c r="V50" s="113" t="str">
        <f t="shared" si="3"/>
        <v>ok</v>
      </c>
      <c r="W50" s="111">
        <f>'St. Charles'!J45</f>
        <v>66237275</v>
      </c>
      <c r="X50" s="112"/>
      <c r="Y50" s="110">
        <f>'St. Charles'!H52</f>
        <v>27997602</v>
      </c>
      <c r="Z50" s="110">
        <f>'St. Charles'!H55</f>
        <v>203387734</v>
      </c>
      <c r="AA50" s="110">
        <f>'St. Charles'!H57+'St. Charles'!H58+'St. Charles'!H59+'St. Charles'!H61</f>
        <v>42342298</v>
      </c>
      <c r="AB50" s="110">
        <f>'St. Charles'!H62</f>
        <v>33232957</v>
      </c>
      <c r="AC50" s="110">
        <f t="shared" si="37"/>
        <v>278962989</v>
      </c>
      <c r="AD50" s="110">
        <f t="shared" si="9"/>
        <v>373197866</v>
      </c>
      <c r="AE50" s="113" t="str">
        <f t="shared" si="5"/>
        <v>check</v>
      </c>
      <c r="AF50" s="111">
        <f>'St. Charles'!H66</f>
        <v>343026199</v>
      </c>
    </row>
    <row r="51" spans="1:32" ht="15.6">
      <c r="A51" s="56"/>
      <c r="B51" s="3" t="s">
        <v>858</v>
      </c>
      <c r="C51" s="110">
        <f>CSG!C51+CSB!C51</f>
        <v>6117884</v>
      </c>
      <c r="D51" s="110">
        <f>CSG!D51+CSB!D51</f>
        <v>561779</v>
      </c>
      <c r="E51" s="110">
        <f>CSG!E51+CSB!E51</f>
        <v>2510451</v>
      </c>
      <c r="F51" s="110">
        <f>CSG!F51+CSB!F51</f>
        <v>17796145</v>
      </c>
      <c r="G51" s="110">
        <f>CSG!G51+CSB!G51</f>
        <v>0</v>
      </c>
      <c r="H51" s="110">
        <f>CSG!H51+CSB!H51</f>
        <v>107473</v>
      </c>
      <c r="I51" s="59">
        <f>SUM(C51:H51)</f>
        <v>27093732</v>
      </c>
      <c r="J51" s="113" t="str">
        <f t="shared" si="1"/>
        <v>ok</v>
      </c>
      <c r="K51" s="58">
        <f>'St. Helena '!H29</f>
        <v>27093732</v>
      </c>
      <c r="L51" s="177"/>
      <c r="M51" s="110">
        <f>CSG!M51+CSB!L51</f>
        <v>754090</v>
      </c>
      <c r="N51" s="110">
        <f>CSG!N51+CSB!M51</f>
        <v>290570</v>
      </c>
      <c r="O51" s="110">
        <f>CSG!O51+CSB!N51</f>
        <v>346000</v>
      </c>
      <c r="P51" s="110">
        <f>CSG!P51+CSB!O51</f>
        <v>1519000</v>
      </c>
      <c r="Q51" s="110">
        <f>CSG!Q51+CSB!P51</f>
        <v>0</v>
      </c>
      <c r="R51" s="110">
        <f>CSG!R51+CSB!Q51</f>
        <v>0</v>
      </c>
      <c r="S51" s="110">
        <f>CSG!S51+CSB!R51</f>
        <v>0</v>
      </c>
      <c r="T51" s="110">
        <f>CSG!T51+CSB!S51</f>
        <v>1714650</v>
      </c>
      <c r="U51" s="59">
        <f t="shared" si="36"/>
        <v>4624310</v>
      </c>
      <c r="V51" s="113" t="str">
        <f t="shared" si="3"/>
        <v>ok</v>
      </c>
      <c r="W51" s="58">
        <f>'St. Helena '!H55</f>
        <v>4624310</v>
      </c>
      <c r="X51" s="60"/>
      <c r="Y51" s="177">
        <f>'St. Helena '!H59</f>
        <v>54780</v>
      </c>
      <c r="Z51" s="59">
        <f>'St. Helena '!H62</f>
        <v>15501833</v>
      </c>
      <c r="AA51" s="59">
        <f>'St. Helena '!H64+'St. Helena '!H65+'St. Helena '!H66</f>
        <v>8161600</v>
      </c>
      <c r="AB51" s="59">
        <f>'St. Helena '!H67</f>
        <v>-959079</v>
      </c>
      <c r="AC51" s="59">
        <f t="shared" si="37"/>
        <v>22704354</v>
      </c>
      <c r="AD51" s="59">
        <f t="shared" si="9"/>
        <v>27383444</v>
      </c>
      <c r="AE51" s="113" t="str">
        <f t="shared" si="5"/>
        <v>ok</v>
      </c>
      <c r="AF51" s="58">
        <f>'St. Helena '!H71</f>
        <v>27383444</v>
      </c>
    </row>
    <row r="52" spans="1:32" s="104" customFormat="1" ht="15.6">
      <c r="A52" s="108"/>
      <c r="B52" s="109" t="s">
        <v>859</v>
      </c>
      <c r="C52" s="110">
        <f>CSG!C52+CSB!C52</f>
        <v>25630818</v>
      </c>
      <c r="D52" s="110">
        <f>CSG!D52+CSB!D52</f>
        <v>22903307</v>
      </c>
      <c r="E52" s="110">
        <f>CSG!E52+CSB!E52</f>
        <v>23470836</v>
      </c>
      <c r="F52" s="110">
        <f>CSG!F52+CSB!F52</f>
        <v>79322554</v>
      </c>
      <c r="G52" s="110">
        <f>CSG!G52+CSB!G52</f>
        <v>1080000</v>
      </c>
      <c r="H52" s="110">
        <f>CSG!H52+CSB!H52</f>
        <v>409863</v>
      </c>
      <c r="I52" s="110">
        <f t="shared" ref="I52:I54" si="38">SUM(C52:H52)</f>
        <v>152817378</v>
      </c>
      <c r="J52" s="113" t="str">
        <f t="shared" si="1"/>
        <v>ok</v>
      </c>
      <c r="K52" s="111">
        <f>'St. James'!I24</f>
        <v>152817378</v>
      </c>
      <c r="L52" s="178">
        <f>'St. James'!G28</f>
        <v>147272</v>
      </c>
      <c r="M52" s="110">
        <f>CSG!M52+CSB!L52</f>
        <v>3499354</v>
      </c>
      <c r="N52" s="110">
        <f>CSG!N52+CSB!M52</f>
        <v>0</v>
      </c>
      <c r="O52" s="110">
        <f>CSG!O52+CSB!N52</f>
        <v>0</v>
      </c>
      <c r="P52" s="110">
        <f>CSG!P52+CSB!O52</f>
        <v>0</v>
      </c>
      <c r="Q52" s="110">
        <f>CSG!Q52+CSB!P52</f>
        <v>0</v>
      </c>
      <c r="R52" s="110">
        <f>CSG!R52+CSB!Q52</f>
        <v>1652656</v>
      </c>
      <c r="S52" s="110">
        <f>CSG!S52+CSB!R52</f>
        <v>5843371</v>
      </c>
      <c r="T52" s="110">
        <f>CSG!T52+CSB!S52</f>
        <v>4752292</v>
      </c>
      <c r="U52" s="110">
        <f t="shared" ref="U52" si="39">SUM(M52:T52)</f>
        <v>15747673</v>
      </c>
      <c r="V52" s="113" t="str">
        <f t="shared" si="3"/>
        <v>ok</v>
      </c>
      <c r="W52" s="111">
        <f>'St. James'!I42</f>
        <v>15747673</v>
      </c>
      <c r="X52" s="112"/>
      <c r="Y52" s="178">
        <f>'St. James'!G45</f>
        <v>187300</v>
      </c>
      <c r="Z52" s="110">
        <f>'St. James'!G48</f>
        <v>60873245</v>
      </c>
      <c r="AA52" s="110">
        <f>'St. James'!G50+'St. James'!G51+'St. James'!G52+'St. James'!G53+'St. James'!G54+'St. James'!G55+'St. James'!G56+'St. James'!G57+'St. James'!G58+'St. James'!G59</f>
        <v>49214805</v>
      </c>
      <c r="AB52" s="110">
        <f>'St. James'!G60</f>
        <v>5064110</v>
      </c>
      <c r="AC52" s="110">
        <f t="shared" ref="AC52:AC54" si="40">SUM(Z52:AB52)</f>
        <v>115152160</v>
      </c>
      <c r="AD52" s="110">
        <f t="shared" si="9"/>
        <v>131087133</v>
      </c>
      <c r="AE52" s="113" t="str">
        <f t="shared" si="5"/>
        <v>check</v>
      </c>
      <c r="AF52" s="111">
        <f>'St. James'!G64</f>
        <v>129708227</v>
      </c>
    </row>
    <row r="53" spans="1:32" ht="15.6">
      <c r="A53" s="56"/>
      <c r="B53" s="3" t="s">
        <v>860</v>
      </c>
      <c r="C53" s="110">
        <f>CSG!C53+CSB!C53</f>
        <v>75305712</v>
      </c>
      <c r="D53" s="110">
        <f>CSG!D53+CSB!D53</f>
        <v>0</v>
      </c>
      <c r="E53" s="110">
        <f>CSG!E53+CSB!E53</f>
        <v>19724019</v>
      </c>
      <c r="F53" s="110">
        <f>CSG!F53+CSB!F53</f>
        <v>224025811</v>
      </c>
      <c r="G53" s="110">
        <f>CSG!G53+CSB!G53</f>
        <v>4750692</v>
      </c>
      <c r="H53" s="110">
        <f>CSG!H53+CSB!H53</f>
        <v>1993172</v>
      </c>
      <c r="I53" s="59">
        <f t="shared" si="38"/>
        <v>325799406</v>
      </c>
      <c r="J53" s="113" t="str">
        <f t="shared" si="1"/>
        <v>ok</v>
      </c>
      <c r="K53" s="58">
        <f>'St. John the Baptist'!I22</f>
        <v>325799406</v>
      </c>
      <c r="L53" s="177"/>
      <c r="M53" s="110">
        <f>CSG!M53+CSB!L53</f>
        <v>7357892</v>
      </c>
      <c r="N53" s="110">
        <f>CSG!N53+CSB!M53</f>
        <v>0</v>
      </c>
      <c r="O53" s="110">
        <f>CSG!O53+CSB!N53</f>
        <v>0</v>
      </c>
      <c r="P53" s="110">
        <f>CSG!P53+CSB!O53</f>
        <v>0</v>
      </c>
      <c r="Q53" s="110">
        <f>CSG!Q53+CSB!P53</f>
        <v>0</v>
      </c>
      <c r="R53" s="110">
        <f>CSG!R53+CSB!Q53</f>
        <v>7303614</v>
      </c>
      <c r="S53" s="110">
        <f>CSG!S53+CSB!R53</f>
        <v>103704277</v>
      </c>
      <c r="T53" s="110">
        <f>CSG!T53+CSB!S53</f>
        <v>3349273</v>
      </c>
      <c r="U53" s="59">
        <f>SUM(M53:T53)</f>
        <v>121715056</v>
      </c>
      <c r="V53" s="113" t="str">
        <f t="shared" si="3"/>
        <v>ok</v>
      </c>
      <c r="W53" s="58">
        <f>'St. John the Baptist'!I38</f>
        <v>121715056</v>
      </c>
      <c r="X53" s="60"/>
      <c r="Y53" s="177">
        <f>'St. John the Baptist'!G42</f>
        <v>958119</v>
      </c>
      <c r="Z53" s="59">
        <f>'St. John the Baptist'!G45</f>
        <v>30387143</v>
      </c>
      <c r="AA53" s="59">
        <f>'St. John the Baptist'!G47+'St. John the Baptist'!G48</f>
        <v>37778546</v>
      </c>
      <c r="AB53" s="59">
        <f>'St. John the Baptist'!G52</f>
        <v>15873316</v>
      </c>
      <c r="AC53" s="59">
        <f t="shared" si="40"/>
        <v>84039005</v>
      </c>
      <c r="AD53" s="59">
        <f t="shared" si="9"/>
        <v>206712180</v>
      </c>
      <c r="AE53" s="113" t="str">
        <f t="shared" si="5"/>
        <v>check</v>
      </c>
      <c r="AF53" s="58">
        <f>'St. John the Baptist'!G56</f>
        <v>197137689</v>
      </c>
    </row>
    <row r="54" spans="1:32" s="209" customFormat="1" ht="15.6">
      <c r="A54" s="203"/>
      <c r="B54" s="204" t="s">
        <v>861</v>
      </c>
      <c r="C54" s="110">
        <f>CSG!C54+CSB!C54</f>
        <v>2219515</v>
      </c>
      <c r="D54" s="110">
        <f>CSG!D54+CSB!D54</f>
        <v>0</v>
      </c>
      <c r="E54" s="110">
        <f>CSG!E54+CSB!E54</f>
        <v>7021802</v>
      </c>
      <c r="F54" s="110">
        <f>CSG!F54+CSB!F54</f>
        <v>82630642</v>
      </c>
      <c r="G54" s="110">
        <f>CSG!G54+CSB!G54</f>
        <v>443085</v>
      </c>
      <c r="H54" s="110">
        <f>CSG!H54+CSB!H54</f>
        <v>266257</v>
      </c>
      <c r="I54" s="205">
        <f t="shared" si="38"/>
        <v>92581301</v>
      </c>
      <c r="J54" s="113" t="str">
        <f t="shared" si="1"/>
        <v>ok</v>
      </c>
      <c r="K54" s="206">
        <f>'St. Landry'!J22</f>
        <v>92581301</v>
      </c>
      <c r="L54" s="207">
        <f>'St. Landry'!H25</f>
        <v>886670</v>
      </c>
      <c r="M54" s="110">
        <f>CSG!M54+CSB!L54</f>
        <v>5467109</v>
      </c>
      <c r="N54" s="110">
        <f>CSG!N54+CSB!M54</f>
        <v>112272</v>
      </c>
      <c r="O54" s="110">
        <f>CSG!O54+CSB!N54</f>
        <v>3639167</v>
      </c>
      <c r="P54" s="110">
        <f>CSG!P54+CSB!O54</f>
        <v>56070500</v>
      </c>
      <c r="Q54" s="110">
        <f>CSG!Q54+CSB!P54</f>
        <v>113315</v>
      </c>
      <c r="R54" s="110">
        <f>CSG!R54+CSB!Q54</f>
        <v>0</v>
      </c>
      <c r="S54" s="110">
        <f>CSG!S54+CSB!R54</f>
        <v>0</v>
      </c>
      <c r="T54" s="110">
        <f>CSG!T54+CSB!S54</f>
        <v>2176490</v>
      </c>
      <c r="U54" s="110">
        <f>SUM(M54:T54)</f>
        <v>67578853</v>
      </c>
      <c r="V54" s="113" t="str">
        <f t="shared" si="3"/>
        <v>ok</v>
      </c>
      <c r="W54" s="206">
        <f>'St. Landry'!J50</f>
        <v>67578853</v>
      </c>
      <c r="X54" s="208"/>
      <c r="Y54" s="207">
        <f>'St. Landry'!H53</f>
        <v>83266</v>
      </c>
      <c r="Z54" s="205">
        <f>'St. Landry'!H56</f>
        <v>16184142</v>
      </c>
      <c r="AA54" s="205">
        <f>'St. Landry'!H57+'St. Landry'!H58+'St. Landry'!H59</f>
        <v>3233738</v>
      </c>
      <c r="AB54" s="205">
        <f>'St. Landry'!H60</f>
        <v>2940458</v>
      </c>
      <c r="AC54" s="205">
        <f t="shared" si="40"/>
        <v>22358338</v>
      </c>
      <c r="AD54" s="110">
        <f t="shared" si="9"/>
        <v>90020457</v>
      </c>
      <c r="AE54" s="113" t="str">
        <f t="shared" si="5"/>
        <v>check</v>
      </c>
      <c r="AF54" s="206">
        <f>'St. Landry'!H64</f>
        <v>88705705</v>
      </c>
    </row>
    <row r="55" spans="1:32" ht="15.6">
      <c r="A55" s="56"/>
      <c r="B55" s="3" t="s">
        <v>862</v>
      </c>
      <c r="C55" s="110">
        <f>CSG!C55+CSB!C55</f>
        <v>29661318</v>
      </c>
      <c r="D55" s="110">
        <f>CSG!D55+CSB!D55</f>
        <v>0</v>
      </c>
      <c r="E55" s="110">
        <f>CSG!E55+CSB!E55</f>
        <v>12679063</v>
      </c>
      <c r="F55" s="110">
        <f>CSG!F55+CSB!F55</f>
        <v>70551464</v>
      </c>
      <c r="G55" s="110">
        <f>CSG!G55+CSB!G55</f>
        <v>431052</v>
      </c>
      <c r="H55" s="110">
        <f>CSG!H55+CSB!H55</f>
        <v>348346</v>
      </c>
      <c r="I55" s="59">
        <f t="shared" ref="I55:I56" si="41">SUM(C55:H55)</f>
        <v>113671243</v>
      </c>
      <c r="J55" s="113" t="str">
        <f t="shared" si="1"/>
        <v>ok</v>
      </c>
      <c r="K55" s="58">
        <f>'St. Martin'!J14</f>
        <v>113671243</v>
      </c>
      <c r="L55" s="177"/>
      <c r="M55" s="110">
        <f>CSG!M55+CSB!L55</f>
        <v>884768</v>
      </c>
      <c r="N55" s="110">
        <f>CSG!N55+CSB!M55</f>
        <v>416398</v>
      </c>
      <c r="O55" s="110">
        <f>CSG!O55+CSB!N55</f>
        <v>1957000</v>
      </c>
      <c r="P55" s="110">
        <f>CSG!P55+CSB!O55</f>
        <v>19053000</v>
      </c>
      <c r="Q55" s="110">
        <f>CSG!Q55+CSB!P55</f>
        <v>89704</v>
      </c>
      <c r="R55" s="110">
        <f>CSG!R55+CSB!Q55</f>
        <v>300849</v>
      </c>
      <c r="S55" s="110">
        <f>CSG!S55+CSB!R55</f>
        <v>871493</v>
      </c>
      <c r="T55" s="110">
        <f>CSG!T55+CSB!S55</f>
        <v>8083852</v>
      </c>
      <c r="U55" s="59">
        <f t="shared" ref="U55:U60" si="42">SUM(M55:T55)</f>
        <v>31657064</v>
      </c>
      <c r="V55" s="113" t="str">
        <f t="shared" si="3"/>
        <v>ok</v>
      </c>
      <c r="W55" s="58">
        <f>'St. Martin'!J35</f>
        <v>31657064</v>
      </c>
      <c r="X55" s="60"/>
      <c r="Y55" s="177">
        <f>'St. Martin'!H38</f>
        <v>81839</v>
      </c>
      <c r="Z55" s="59">
        <f>'St. Martin'!H41</f>
        <v>48132907</v>
      </c>
      <c r="AA55" s="59">
        <f>'St. Martin'!H43+'St. Martin'!H44</f>
        <v>35940776</v>
      </c>
      <c r="AB55" s="59">
        <f>'St. Martin'!H45</f>
        <v>-1330843</v>
      </c>
      <c r="AC55" s="59">
        <f t="shared" ref="AC55:AC68" si="43">SUM(Z55:AB55)</f>
        <v>82742840</v>
      </c>
      <c r="AD55" s="59">
        <f t="shared" si="9"/>
        <v>114481743</v>
      </c>
      <c r="AE55" s="113" t="str">
        <f t="shared" si="5"/>
        <v>check</v>
      </c>
      <c r="AF55" s="58">
        <f>'St. Martin'!H49</f>
        <v>114131529</v>
      </c>
    </row>
    <row r="56" spans="1:32" s="104" customFormat="1" ht="15.6">
      <c r="A56" s="108"/>
      <c r="B56" s="109" t="s">
        <v>863</v>
      </c>
      <c r="C56" s="110">
        <f>CSG!C56+CSB!C56</f>
        <v>1706560</v>
      </c>
      <c r="D56" s="110">
        <f>CSG!D56+CSB!D56</f>
        <v>10599815</v>
      </c>
      <c r="E56" s="110">
        <f>CSG!E56+CSB!E56</f>
        <v>895116</v>
      </c>
      <c r="F56" s="110">
        <f>CSG!F56+CSB!F56</f>
        <v>113576359</v>
      </c>
      <c r="G56" s="110">
        <f>CSG!G56+CSB!G56</f>
        <v>10371589</v>
      </c>
      <c r="H56" s="110">
        <f>CSG!H56+CSB!H56</f>
        <v>-4920051</v>
      </c>
      <c r="I56" s="110">
        <f t="shared" si="41"/>
        <v>132229388</v>
      </c>
      <c r="J56" s="113" t="str">
        <f t="shared" si="1"/>
        <v>ok</v>
      </c>
      <c r="K56" s="111">
        <f>'St. Mary'!H38</f>
        <v>132229388</v>
      </c>
      <c r="L56" s="178"/>
      <c r="M56" s="110">
        <f>CSG!M56+CSB!L56</f>
        <v>2856331</v>
      </c>
      <c r="N56" s="110">
        <f>CSG!N56+CSB!M56</f>
        <v>212000</v>
      </c>
      <c r="O56" s="110">
        <f>CSG!O56+CSB!N56</f>
        <v>0</v>
      </c>
      <c r="P56" s="110">
        <f>CSG!P56+CSB!O56</f>
        <v>0</v>
      </c>
      <c r="Q56" s="110">
        <f>CSG!Q56+CSB!P56</f>
        <v>457579</v>
      </c>
      <c r="R56" s="110">
        <f>CSG!R56+CSB!Q56</f>
        <v>2309000</v>
      </c>
      <c r="S56" s="110">
        <f>CSG!S56+CSB!R56</f>
        <v>16054694</v>
      </c>
      <c r="T56" s="110">
        <f>CSG!T56+CSB!S56</f>
        <v>8344127</v>
      </c>
      <c r="U56" s="110">
        <f t="shared" si="42"/>
        <v>30233731</v>
      </c>
      <c r="V56" s="113" t="str">
        <f t="shared" si="3"/>
        <v>ok</v>
      </c>
      <c r="W56" s="111">
        <f>'St. Mary'!H71</f>
        <v>30233731</v>
      </c>
      <c r="X56" s="112"/>
      <c r="Y56" s="178"/>
      <c r="Z56" s="110">
        <f>'St. Mary'!H79</f>
        <v>94485041</v>
      </c>
      <c r="AA56" s="110">
        <f>'St. Mary'!H82+'St. Mary'!H83</f>
        <v>5234414</v>
      </c>
      <c r="AB56" s="110">
        <f>'St. Mary'!H84</f>
        <v>3520714</v>
      </c>
      <c r="AC56" s="110">
        <f t="shared" si="43"/>
        <v>103240169</v>
      </c>
      <c r="AD56" s="110">
        <f t="shared" si="9"/>
        <v>133473900</v>
      </c>
      <c r="AE56" s="113" t="str">
        <f t="shared" si="5"/>
        <v>ok</v>
      </c>
      <c r="AF56" s="111">
        <f>'St. Mary'!H88</f>
        <v>133473900</v>
      </c>
    </row>
    <row r="57" spans="1:32" ht="15.6">
      <c r="A57" s="56"/>
      <c r="B57" s="3" t="s">
        <v>864</v>
      </c>
      <c r="C57" s="110">
        <f>CSG!C57+CSB!C57</f>
        <v>49725461</v>
      </c>
      <c r="D57" s="110">
        <f>CSG!D57+CSB!D57</f>
        <v>152719105</v>
      </c>
      <c r="E57" s="110">
        <f>CSG!E57+CSB!E57</f>
        <v>56843730</v>
      </c>
      <c r="F57" s="110">
        <f>CSG!F57+CSB!F57</f>
        <v>502745820</v>
      </c>
      <c r="G57" s="110">
        <f>CSG!G57+CSB!G57</f>
        <v>131407</v>
      </c>
      <c r="H57" s="110">
        <f>CSG!H57+CSB!H57</f>
        <v>14926345</v>
      </c>
      <c r="I57" s="59">
        <f>SUM(C57:H57)</f>
        <v>777091868</v>
      </c>
      <c r="J57" s="113" t="str">
        <f t="shared" si="1"/>
        <v>ok</v>
      </c>
      <c r="K57" s="58">
        <f>'St. Tammany'!J19</f>
        <v>777091868</v>
      </c>
      <c r="L57" s="177">
        <f>'St. Tammany'!H24</f>
        <v>9607880</v>
      </c>
      <c r="M57" s="110">
        <f>CSG!M57+CSB!L57</f>
        <v>31210267</v>
      </c>
      <c r="N57" s="110">
        <f>CSG!N57+CSB!M57</f>
        <v>0</v>
      </c>
      <c r="O57" s="110">
        <f>CSG!O57+CSB!N57</f>
        <v>0</v>
      </c>
      <c r="P57" s="110">
        <f>CSG!P57+CSB!O57</f>
        <v>0</v>
      </c>
      <c r="Q57" s="110">
        <f>CSG!Q57+CSB!P57</f>
        <v>0</v>
      </c>
      <c r="R57" s="110">
        <f>CSG!R57+CSB!Q57</f>
        <v>9205000</v>
      </c>
      <c r="S57" s="110">
        <f>CSG!S57+CSB!R57</f>
        <v>125231067</v>
      </c>
      <c r="T57" s="110">
        <f>CSG!T57+CSB!S57</f>
        <v>8122412</v>
      </c>
      <c r="U57" s="59">
        <f t="shared" si="42"/>
        <v>173768746</v>
      </c>
      <c r="V57" s="113" t="str">
        <f t="shared" si="3"/>
        <v>ok</v>
      </c>
      <c r="W57" s="58">
        <f>'St. Tammany'!J37</f>
        <v>173768746</v>
      </c>
      <c r="X57" s="60"/>
      <c r="Y57" s="177">
        <f>'St. Tammany'!H40</f>
        <v>442573</v>
      </c>
      <c r="Z57" s="59">
        <f>'St. Tammany'!H44</f>
        <v>391686503</v>
      </c>
      <c r="AA57" s="59">
        <f>'St. Tammany'!H46+'St. Tammany'!H47+'St. Tammany'!H48+'St. Tammany'!H49+'St. Tammany'!H50+'St. Tammany'!H51+'St. Tammany'!H52+'St. Tammany'!H53+'St. Tammany'!H54+'St. Tammany'!H55</f>
        <v>152560865</v>
      </c>
      <c r="AB57" s="59">
        <f>'St. Tammany'!H56</f>
        <v>54412533</v>
      </c>
      <c r="AC57" s="59">
        <f t="shared" si="43"/>
        <v>598659901</v>
      </c>
      <c r="AD57" s="59">
        <f t="shared" si="9"/>
        <v>772871220</v>
      </c>
      <c r="AE57" s="113" t="str">
        <f t="shared" si="5"/>
        <v>check</v>
      </c>
      <c r="AF57" s="58">
        <f>'St. Tammany'!H60</f>
        <v>729168611</v>
      </c>
    </row>
    <row r="58" spans="1:32" s="104" customFormat="1" ht="15.6">
      <c r="A58" s="108"/>
      <c r="B58" s="109" t="s">
        <v>865</v>
      </c>
      <c r="C58" s="110">
        <f>CSG!C58+CSB!C58</f>
        <v>19337786</v>
      </c>
      <c r="D58" s="110">
        <f>CSG!D58+CSB!D58</f>
        <v>0</v>
      </c>
      <c r="E58" s="110">
        <f>CSG!E58+CSB!E58</f>
        <v>10441900</v>
      </c>
      <c r="F58" s="110">
        <f>CSG!F58+CSB!F58</f>
        <v>181095010</v>
      </c>
      <c r="G58" s="110">
        <f>CSG!G58+CSB!G58</f>
        <v>330751</v>
      </c>
      <c r="H58" s="110">
        <f>CSG!H58+CSB!H58</f>
        <v>1011547</v>
      </c>
      <c r="I58" s="110">
        <f>SUM(C58:H58)</f>
        <v>212216994</v>
      </c>
      <c r="J58" s="113" t="str">
        <f t="shared" si="1"/>
        <v>ok</v>
      </c>
      <c r="K58" s="111">
        <f>Tangipahoa!H15</f>
        <v>212216994</v>
      </c>
      <c r="L58" s="178">
        <f>Tangipahoa!H17</f>
        <v>2373098</v>
      </c>
      <c r="M58" s="110">
        <f>CSG!M58+CSB!L58</f>
        <v>2905922</v>
      </c>
      <c r="N58" s="110">
        <f>CSG!N58+CSB!M58</f>
        <v>0</v>
      </c>
      <c r="O58" s="110">
        <f>CSG!O58+CSB!N58</f>
        <v>0</v>
      </c>
      <c r="P58" s="110">
        <f>CSG!P58+CSB!O58</f>
        <v>0</v>
      </c>
      <c r="Q58" s="110">
        <f>CSG!Q58+CSB!P58</f>
        <v>439705</v>
      </c>
      <c r="R58" s="110">
        <f>CSG!R58+CSB!Q58</f>
        <v>105000</v>
      </c>
      <c r="S58" s="110">
        <f>CSG!S58+CSB!R58</f>
        <v>9146186</v>
      </c>
      <c r="T58" s="110">
        <f>CSG!T58+CSB!S58</f>
        <v>2337767</v>
      </c>
      <c r="U58" s="110">
        <f t="shared" si="42"/>
        <v>14934580</v>
      </c>
      <c r="V58" s="113" t="str">
        <f t="shared" si="3"/>
        <v>ok</v>
      </c>
      <c r="W58" s="111">
        <f>Tangipahoa!H30</f>
        <v>14934580</v>
      </c>
      <c r="X58" s="112"/>
      <c r="Y58" s="178">
        <f>Tangipahoa!H36</f>
        <v>224288</v>
      </c>
      <c r="Z58" s="110">
        <f>Tangipahoa!H39</f>
        <v>178715010</v>
      </c>
      <c r="AA58" s="110">
        <f>Tangipahoa!H41+Tangipahoa!H42</f>
        <v>1268130</v>
      </c>
      <c r="AB58" s="110">
        <f>Tangipahoa!H43</f>
        <v>19448084</v>
      </c>
      <c r="AC58" s="110">
        <f t="shared" si="43"/>
        <v>199431224</v>
      </c>
      <c r="AD58" s="110">
        <f t="shared" si="9"/>
        <v>214590092</v>
      </c>
      <c r="AE58" s="113" t="str">
        <f t="shared" si="5"/>
        <v>ok</v>
      </c>
      <c r="AF58" s="111">
        <f>Tangipahoa!H47</f>
        <v>214590092</v>
      </c>
    </row>
    <row r="59" spans="1:32" ht="15.6">
      <c r="A59" s="56"/>
      <c r="B59" s="3" t="s">
        <v>866</v>
      </c>
      <c r="C59" s="110">
        <f>CSG!C59+CSB!C59</f>
        <v>1759690</v>
      </c>
      <c r="D59" s="110">
        <f>CSG!D59+CSB!D59</f>
        <v>0</v>
      </c>
      <c r="E59" s="110">
        <f>CSG!E59+CSB!E59</f>
        <v>1094058</v>
      </c>
      <c r="F59" s="110">
        <f>CSG!F59+CSB!F59</f>
        <v>0</v>
      </c>
      <c r="G59" s="110">
        <f>CSG!G59+CSB!G59</f>
        <v>8437537</v>
      </c>
      <c r="H59" s="110">
        <f>CSG!H59+CSB!H59</f>
        <v>1046616</v>
      </c>
      <c r="I59" s="59">
        <f t="shared" ref="I59" si="44">SUM(C59:H59)</f>
        <v>12337901</v>
      </c>
      <c r="J59" s="113" t="str">
        <f t="shared" si="1"/>
        <v>ok</v>
      </c>
      <c r="K59" s="58">
        <f>Tensas!G13</f>
        <v>12337901</v>
      </c>
      <c r="L59" s="177">
        <f>Tensas!G15</f>
        <v>227905</v>
      </c>
      <c r="M59" s="110">
        <f>CSG!M59+CSB!L59</f>
        <v>307444</v>
      </c>
      <c r="N59" s="110">
        <f>CSG!N59+CSB!M59</f>
        <v>0</v>
      </c>
      <c r="O59" s="110">
        <f>CSG!O59+CSB!N59</f>
        <v>0</v>
      </c>
      <c r="P59" s="110">
        <f>CSG!P59+CSB!O59</f>
        <v>0</v>
      </c>
      <c r="Q59" s="110">
        <f>CSG!Q59+CSB!P59</f>
        <v>47165</v>
      </c>
      <c r="R59" s="110">
        <f>CSG!R59+CSB!Q59</f>
        <v>68712</v>
      </c>
      <c r="S59" s="110">
        <f>CSG!S59+CSB!R59</f>
        <v>1362849</v>
      </c>
      <c r="T59" s="110">
        <f>CSG!T59+CSB!S59</f>
        <v>75877</v>
      </c>
      <c r="U59" s="59">
        <f t="shared" si="42"/>
        <v>1862047</v>
      </c>
      <c r="V59" s="113" t="str">
        <f t="shared" si="3"/>
        <v>ok</v>
      </c>
      <c r="W59" s="58">
        <f>Tensas!G25</f>
        <v>1862047</v>
      </c>
      <c r="X59" s="60"/>
      <c r="Y59" s="177">
        <f>Tensas!G27</f>
        <v>29043</v>
      </c>
      <c r="Z59" s="59">
        <f>Tensas!G30</f>
        <v>7074688</v>
      </c>
      <c r="AA59" s="59">
        <f>Tensas!G32+Tensas!G33</f>
        <v>1011500</v>
      </c>
      <c r="AB59" s="59">
        <f>Tensas!G34</f>
        <v>2588528</v>
      </c>
      <c r="AC59" s="59">
        <f t="shared" si="43"/>
        <v>10674716</v>
      </c>
      <c r="AD59" s="59">
        <f t="shared" si="9"/>
        <v>12565806</v>
      </c>
      <c r="AE59" s="113" t="str">
        <f t="shared" si="5"/>
        <v>ok</v>
      </c>
      <c r="AF59" s="58">
        <f>Tensas!G38</f>
        <v>12565806</v>
      </c>
    </row>
    <row r="60" spans="1:32" s="104" customFormat="1" ht="15.6">
      <c r="A60" s="108"/>
      <c r="B60" s="109" t="s">
        <v>867</v>
      </c>
      <c r="C60" s="110">
        <f>CSG!C60+CSB!C60</f>
        <v>122706377</v>
      </c>
      <c r="D60" s="110">
        <f>CSG!D60+CSB!D60</f>
        <v>76474725</v>
      </c>
      <c r="E60" s="110">
        <f>CSG!E60+CSB!E60</f>
        <v>23290444</v>
      </c>
      <c r="F60" s="110">
        <f>CSG!F60+CSB!F60</f>
        <v>501312223</v>
      </c>
      <c r="G60" s="110">
        <f>CSG!G60+CSB!G60</f>
        <v>56133392</v>
      </c>
      <c r="H60" s="110">
        <f>CSG!H60+CSB!H60</f>
        <v>8453798</v>
      </c>
      <c r="I60" s="110">
        <f t="shared" ref="I60:I61" si="45">SUM(C60:H60)</f>
        <v>788370959</v>
      </c>
      <c r="J60" s="113" t="str">
        <f t="shared" si="1"/>
        <v>ok</v>
      </c>
      <c r="K60" s="111">
        <f>Terrebonne!J23</f>
        <v>788370959</v>
      </c>
      <c r="L60" s="178"/>
      <c r="M60" s="110">
        <f>CSG!M60+CSB!L60</f>
        <v>26942381</v>
      </c>
      <c r="N60" s="110">
        <f>CSG!N60+CSB!M60</f>
        <v>0</v>
      </c>
      <c r="O60" s="110">
        <f>CSG!O60+CSB!N60</f>
        <v>0</v>
      </c>
      <c r="P60" s="110">
        <f>CSG!P60+CSB!O60</f>
        <v>0</v>
      </c>
      <c r="Q60" s="110">
        <f>CSG!Q60+CSB!P60</f>
        <v>4219168</v>
      </c>
      <c r="R60" s="110">
        <f>CSG!R60+CSB!Q60</f>
        <v>7930908</v>
      </c>
      <c r="S60" s="110">
        <f>CSG!S60+CSB!R60</f>
        <v>155412576</v>
      </c>
      <c r="T60" s="110">
        <f>CSG!T60+CSB!S60</f>
        <v>0</v>
      </c>
      <c r="U60" s="110">
        <f t="shared" si="42"/>
        <v>194505033</v>
      </c>
      <c r="V60" s="113" t="str">
        <f t="shared" si="3"/>
        <v>ok</v>
      </c>
      <c r="W60" s="111">
        <f>Terrebonne!J38</f>
        <v>194505033</v>
      </c>
      <c r="X60" s="112"/>
      <c r="Y60" s="178">
        <f>Terrebonne!H40</f>
        <v>28281769</v>
      </c>
      <c r="Z60" s="110">
        <f>Terrebonne!H43</f>
        <v>290332613</v>
      </c>
      <c r="AA60" s="110">
        <f>Terrebonne!H45+Terrebonne!H46+Terrebonne!H47+Terrebonne!H48+Terrebonne!H49+Terrebonne!H50+Terrebonne!H51+Terrebonne!H52</f>
        <v>55503037</v>
      </c>
      <c r="AB60" s="110">
        <f>Terrebonne!H57</f>
        <v>11910655</v>
      </c>
      <c r="AC60" s="110">
        <f t="shared" si="43"/>
        <v>357746305</v>
      </c>
      <c r="AD60" s="110">
        <f t="shared" si="9"/>
        <v>580533107</v>
      </c>
      <c r="AE60" s="113" t="str">
        <f t="shared" si="5"/>
        <v>check</v>
      </c>
      <c r="AF60" s="111">
        <f>Terrebonne!H61</f>
        <v>555894011</v>
      </c>
    </row>
    <row r="61" spans="1:32" ht="15.6">
      <c r="A61" s="56"/>
      <c r="B61" s="3" t="s">
        <v>868</v>
      </c>
      <c r="C61" s="110">
        <f>CSG!C61+CSB!C61</f>
        <v>7912131</v>
      </c>
      <c r="D61" s="110">
        <f>CSG!D61+CSB!D61</f>
        <v>7613142</v>
      </c>
      <c r="E61" s="110">
        <f>CSG!E61+CSB!E61</f>
        <v>4052420</v>
      </c>
      <c r="F61" s="110">
        <f>CSG!F61+CSB!F61</f>
        <v>11934675</v>
      </c>
      <c r="G61" s="110">
        <f>CSG!G61+CSB!G61</f>
        <v>0</v>
      </c>
      <c r="H61" s="110">
        <f>CSG!H61+CSB!H61</f>
        <v>0</v>
      </c>
      <c r="I61" s="59">
        <f t="shared" si="45"/>
        <v>31512368</v>
      </c>
      <c r="J61" s="113" t="str">
        <f t="shared" si="1"/>
        <v>ok</v>
      </c>
      <c r="K61" s="58">
        <f>Union!G11</f>
        <v>31512368</v>
      </c>
      <c r="L61" s="177">
        <f>Union!G14</f>
        <v>290544</v>
      </c>
      <c r="M61" s="110">
        <f>CSG!M61+CSB!L61</f>
        <v>969465</v>
      </c>
      <c r="N61" s="110">
        <f>CSG!N61+CSB!M61</f>
        <v>226337</v>
      </c>
      <c r="O61" s="110">
        <f>CSG!O61+CSB!N61</f>
        <v>19000</v>
      </c>
      <c r="P61" s="110">
        <f>CSG!P61+CSB!O61</f>
        <v>198000</v>
      </c>
      <c r="Q61" s="110">
        <f>CSG!Q61+CSB!P61</f>
        <v>385020</v>
      </c>
      <c r="R61" s="110">
        <f>CSG!R61+CSB!Q61</f>
        <v>0</v>
      </c>
      <c r="S61" s="110">
        <f>CSG!S61+CSB!R61</f>
        <v>0</v>
      </c>
      <c r="T61" s="110">
        <f>CSG!T61+CSB!S61</f>
        <v>8841544</v>
      </c>
      <c r="U61" s="59">
        <f>SUM(M61:T61)</f>
        <v>10639366</v>
      </c>
      <c r="V61" s="113" t="str">
        <f t="shared" si="3"/>
        <v>ok</v>
      </c>
      <c r="W61" s="58">
        <f>Union!G28</f>
        <v>10639366</v>
      </c>
      <c r="X61" s="60"/>
      <c r="Y61" s="177">
        <f>Union!G33</f>
        <v>83627</v>
      </c>
      <c r="Z61" s="59">
        <f>Union!G36</f>
        <v>11717675</v>
      </c>
      <c r="AA61" s="59">
        <f>Union!G37</f>
        <v>5251456</v>
      </c>
      <c r="AB61" s="59">
        <f>Union!G38</f>
        <v>4110788</v>
      </c>
      <c r="AC61" s="59">
        <f t="shared" si="43"/>
        <v>21079919</v>
      </c>
      <c r="AD61" s="59">
        <f>SUM(AC61,U61,Y61)</f>
        <v>31802912</v>
      </c>
      <c r="AE61" s="113" t="str">
        <f t="shared" si="5"/>
        <v>ok</v>
      </c>
      <c r="AF61" s="58">
        <f>Union!G42</f>
        <v>31802912</v>
      </c>
    </row>
    <row r="62" spans="1:32" s="104" customFormat="1" ht="15.6">
      <c r="A62" s="108"/>
      <c r="B62" s="109" t="s">
        <v>869</v>
      </c>
      <c r="C62" s="110">
        <f>CSG!C62+CSB!C62</f>
        <v>57109921</v>
      </c>
      <c r="D62" s="110">
        <f>CSG!D62+CSB!D62</f>
        <v>0</v>
      </c>
      <c r="E62" s="110">
        <f>CSG!E62+CSB!E62</f>
        <v>676865</v>
      </c>
      <c r="F62" s="110">
        <f>CSG!F62+CSB!F62</f>
        <v>83915954</v>
      </c>
      <c r="G62" s="110">
        <f>CSG!G62+CSB!G62</f>
        <v>7336817</v>
      </c>
      <c r="H62" s="110">
        <f>CSG!H62+CSB!H62</f>
        <v>30558</v>
      </c>
      <c r="I62" s="110">
        <f>SUM(C62:H62)</f>
        <v>149070115</v>
      </c>
      <c r="J62" s="113" t="str">
        <f t="shared" si="1"/>
        <v>ok</v>
      </c>
      <c r="K62" s="111">
        <f>Vermilion!H14</f>
        <v>149070115</v>
      </c>
      <c r="L62" s="178">
        <f>Vermilion!H17</f>
        <v>1170795</v>
      </c>
      <c r="M62" s="110">
        <f>CSG!M62+CSB!L62</f>
        <v>1351443</v>
      </c>
      <c r="N62" s="110">
        <f>CSG!N62+CSB!M62</f>
        <v>0</v>
      </c>
      <c r="O62" s="110">
        <f>CSG!O62+CSB!N62</f>
        <v>0</v>
      </c>
      <c r="P62" s="110">
        <f>CSG!P62+CSB!O62</f>
        <v>0</v>
      </c>
      <c r="Q62" s="110">
        <f>CSG!Q62+CSB!P62</f>
        <v>0</v>
      </c>
      <c r="R62" s="110">
        <f>CSG!R62+CSB!Q62</f>
        <v>390000</v>
      </c>
      <c r="S62" s="110">
        <f>CSG!S62+CSB!R62</f>
        <v>3235660</v>
      </c>
      <c r="T62" s="110">
        <f>CSG!T62+CSB!S62</f>
        <v>2275570</v>
      </c>
      <c r="U62" s="110">
        <f t="shared" ref="U62:U69" si="46">SUM(M62:T62)</f>
        <v>7252673</v>
      </c>
      <c r="V62" s="113" t="str">
        <f t="shared" si="3"/>
        <v>ok</v>
      </c>
      <c r="W62" s="111">
        <f>Vermilion!H31</f>
        <v>7252673</v>
      </c>
      <c r="X62" s="112"/>
      <c r="Y62" s="178">
        <f>Vermilion!H36</f>
        <v>877759</v>
      </c>
      <c r="Z62" s="110">
        <f>Vermilion!H39</f>
        <v>82526629</v>
      </c>
      <c r="AA62" s="110">
        <f>Vermilion!H41+Vermilion!H42</f>
        <v>39481758</v>
      </c>
      <c r="AB62" s="110">
        <f>Vermilion!H43</f>
        <v>20102091</v>
      </c>
      <c r="AC62" s="110">
        <f t="shared" si="43"/>
        <v>142110478</v>
      </c>
      <c r="AD62" s="110">
        <f t="shared" si="9"/>
        <v>150240910</v>
      </c>
      <c r="AE62" s="113" t="str">
        <f t="shared" si="5"/>
        <v>ok</v>
      </c>
      <c r="AF62" s="111">
        <f>Vermilion!H47</f>
        <v>150240910</v>
      </c>
    </row>
    <row r="63" spans="1:32" ht="15.6">
      <c r="A63" s="56"/>
      <c r="B63" s="3" t="s">
        <v>870</v>
      </c>
      <c r="C63" s="110">
        <f>CSG!C63+CSB!C63</f>
        <v>16525269</v>
      </c>
      <c r="D63" s="110">
        <f>CSG!D63+CSB!D63</f>
        <v>1246278</v>
      </c>
      <c r="E63" s="110">
        <f>CSG!E63+CSB!E63</f>
        <v>6418537</v>
      </c>
      <c r="F63" s="110">
        <f>CSG!F63+CSB!F63</f>
        <v>58449319</v>
      </c>
      <c r="G63" s="110">
        <f>CSG!G63+CSB!G63</f>
        <v>0</v>
      </c>
      <c r="H63" s="110">
        <f>CSG!H63+CSB!H63</f>
        <v>0</v>
      </c>
      <c r="I63" s="59">
        <f t="shared" ref="I63:I65" si="47">SUM(C63:H63)</f>
        <v>82639403</v>
      </c>
      <c r="J63" s="113" t="str">
        <f t="shared" si="1"/>
        <v>ok</v>
      </c>
      <c r="K63" s="58">
        <f>Vernon!H21</f>
        <v>82639403</v>
      </c>
      <c r="L63" s="177">
        <f>Vernon!H19</f>
        <v>20387</v>
      </c>
      <c r="M63" s="110">
        <f>CSG!M63+CSB!L63</f>
        <v>1254846</v>
      </c>
      <c r="N63" s="110">
        <f>CSG!N63+CSB!M63</f>
        <v>0</v>
      </c>
      <c r="O63" s="110">
        <f>CSG!O63+CSB!N63</f>
        <v>0</v>
      </c>
      <c r="P63" s="110">
        <f>CSG!P63+CSB!O63</f>
        <v>0</v>
      </c>
      <c r="Q63" s="110">
        <f>CSG!Q63+CSB!P63</f>
        <v>0</v>
      </c>
      <c r="R63" s="110">
        <f>CSG!R63+CSB!Q63</f>
        <v>942892</v>
      </c>
      <c r="S63" s="110">
        <f>CSG!S63+CSB!R63</f>
        <v>26491506</v>
      </c>
      <c r="T63" s="110">
        <f>CSG!T63+CSB!S63</f>
        <v>0</v>
      </c>
      <c r="U63" s="59">
        <f t="shared" si="46"/>
        <v>28689244</v>
      </c>
      <c r="V63" s="113" t="str">
        <f t="shared" si="3"/>
        <v>ok</v>
      </c>
      <c r="W63" s="58">
        <f>Vernon!H32</f>
        <v>28689244</v>
      </c>
      <c r="X63" s="60"/>
      <c r="Y63" s="177">
        <f>Vernon!H30</f>
        <v>185372</v>
      </c>
      <c r="Z63" s="59">
        <f>Vernon!H35</f>
        <v>48848704</v>
      </c>
      <c r="AA63" s="59">
        <f>Vernon!H38+Vernon!H37</f>
        <v>3616374</v>
      </c>
      <c r="AB63" s="59">
        <f>Vernon!H39</f>
        <v>1320096</v>
      </c>
      <c r="AC63" s="59">
        <f t="shared" si="43"/>
        <v>53785174</v>
      </c>
      <c r="AD63" s="59">
        <f t="shared" si="9"/>
        <v>82659790</v>
      </c>
      <c r="AE63" s="113" t="str">
        <f t="shared" si="5"/>
        <v>ok</v>
      </c>
      <c r="AF63" s="58">
        <f>Vernon!H43</f>
        <v>82659790</v>
      </c>
    </row>
    <row r="64" spans="1:32" s="104" customFormat="1" ht="15.6">
      <c r="A64" s="108"/>
      <c r="B64" s="109" t="s">
        <v>871</v>
      </c>
      <c r="C64" s="110">
        <f>CSG!C64+CSB!C64</f>
        <v>4195120</v>
      </c>
      <c r="D64" s="110">
        <f>CSG!D64+CSB!D64</f>
        <v>2969821</v>
      </c>
      <c r="E64" s="110">
        <f>CSG!E64+CSB!E64</f>
        <v>5663380</v>
      </c>
      <c r="F64" s="110">
        <f>CSG!F64+CSB!F64</f>
        <v>38291843</v>
      </c>
      <c r="G64" s="110">
        <f>CSG!G64+CSB!G64</f>
        <v>73510</v>
      </c>
      <c r="H64" s="110">
        <f>CSG!H64+CSB!H64</f>
        <v>2426989</v>
      </c>
      <c r="I64" s="110">
        <f t="shared" si="47"/>
        <v>53620663</v>
      </c>
      <c r="J64" s="113" t="str">
        <f t="shared" si="1"/>
        <v>ok</v>
      </c>
      <c r="K64" s="111">
        <f>Washington!J20</f>
        <v>53620663</v>
      </c>
      <c r="L64" s="178">
        <f>Washington!H26</f>
        <v>714769</v>
      </c>
      <c r="M64" s="110">
        <f>CSG!M64+CSB!L64</f>
        <v>684714</v>
      </c>
      <c r="N64" s="110">
        <f>CSG!N64+CSB!M64</f>
        <v>0</v>
      </c>
      <c r="O64" s="110">
        <f>CSG!O64+CSB!N64</f>
        <v>0</v>
      </c>
      <c r="P64" s="110">
        <f>CSG!P64+CSB!O64</f>
        <v>0</v>
      </c>
      <c r="Q64" s="110">
        <f>CSG!Q64+CSB!P64</f>
        <v>764354</v>
      </c>
      <c r="R64" s="110">
        <f>CSG!R64+CSB!Q64</f>
        <v>1589575</v>
      </c>
      <c r="S64" s="110">
        <f>CSG!S64+CSB!R64</f>
        <v>1535000</v>
      </c>
      <c r="T64" s="110">
        <f>CSG!T64+CSB!S64</f>
        <v>1829621</v>
      </c>
      <c r="U64" s="110">
        <f t="shared" si="46"/>
        <v>6403264</v>
      </c>
      <c r="V64" s="113" t="str">
        <f t="shared" si="3"/>
        <v>ok</v>
      </c>
      <c r="W64" s="111">
        <f>Washington!J40</f>
        <v>6403264</v>
      </c>
      <c r="X64" s="112"/>
      <c r="Y64" s="178">
        <f>Washington!H46</f>
        <v>63193</v>
      </c>
      <c r="Z64" s="110">
        <f>Washington!H49</f>
        <v>35259109</v>
      </c>
      <c r="AA64" s="110">
        <f>Washington!H51+Washington!H52+Washington!H53+Washington!H54+Washington!H55+Washington!H56</f>
        <v>10314919</v>
      </c>
      <c r="AB64" s="110">
        <f>Washington!H57</f>
        <v>2068420</v>
      </c>
      <c r="AC64" s="110">
        <f t="shared" si="43"/>
        <v>47642448</v>
      </c>
      <c r="AD64" s="110">
        <f t="shared" si="9"/>
        <v>54108905</v>
      </c>
      <c r="AE64" s="113" t="str">
        <f t="shared" si="5"/>
        <v>check</v>
      </c>
      <c r="AF64" s="111">
        <f>Washington!H61</f>
        <v>54079832</v>
      </c>
    </row>
    <row r="65" spans="1:33" ht="15.6">
      <c r="A65" s="56"/>
      <c r="B65" s="3" t="s">
        <v>872</v>
      </c>
      <c r="C65" s="110">
        <f>CSG!C65+CSB!C65</f>
        <v>4888461</v>
      </c>
      <c r="D65" s="110">
        <f>CSG!D65+CSB!D65</f>
        <v>6218447</v>
      </c>
      <c r="E65" s="110">
        <f>CSG!E65+CSB!E65</f>
        <v>6087509</v>
      </c>
      <c r="F65" s="110">
        <f>CSG!F65+CSB!F65</f>
        <v>12511813</v>
      </c>
      <c r="G65" s="110">
        <f>CSG!G65+CSB!G65</f>
        <v>0</v>
      </c>
      <c r="H65" s="110">
        <f>CSG!H65+CSB!H65</f>
        <v>301660</v>
      </c>
      <c r="I65" s="59">
        <f t="shared" si="47"/>
        <v>30007890</v>
      </c>
      <c r="J65" s="113" t="str">
        <f t="shared" si="1"/>
        <v>ok</v>
      </c>
      <c r="K65" s="58">
        <f>Webster!H14</f>
        <v>30007890</v>
      </c>
      <c r="L65" s="177">
        <f>Webster!H18</f>
        <v>732297</v>
      </c>
      <c r="M65" s="110">
        <f>CSG!M65+CSB!L65</f>
        <v>453696</v>
      </c>
      <c r="N65" s="110">
        <f>CSG!N65+CSB!M65</f>
        <v>0</v>
      </c>
      <c r="O65" s="110">
        <f>CSG!O65+CSB!N65</f>
        <v>0</v>
      </c>
      <c r="P65" s="110">
        <f>CSG!P65+CSB!O65</f>
        <v>0</v>
      </c>
      <c r="Q65" s="110">
        <f>CSG!Q65+CSB!P65</f>
        <v>159042</v>
      </c>
      <c r="R65" s="110">
        <f>CSG!R65+CSB!Q65</f>
        <v>440773</v>
      </c>
      <c r="S65" s="110">
        <f>CSG!S65+CSB!R65</f>
        <v>3699514</v>
      </c>
      <c r="T65" s="110">
        <f>CSG!T65+CSB!S65</f>
        <v>45918</v>
      </c>
      <c r="U65" s="59">
        <f t="shared" si="46"/>
        <v>4798943</v>
      </c>
      <c r="V65" s="113" t="str">
        <f t="shared" si="3"/>
        <v>ok</v>
      </c>
      <c r="W65" s="58">
        <f>Webster!H30</f>
        <v>4798943</v>
      </c>
      <c r="X65" s="60"/>
      <c r="Y65" s="177">
        <f>Webster!H34</f>
        <v>93626</v>
      </c>
      <c r="Z65" s="59">
        <f>Webster!H37</f>
        <v>12291749</v>
      </c>
      <c r="AA65" s="59">
        <f>Webster!H39+Webster!H40+Webster!H41+Webster!H42+Webster!H43+Webster!H44+Webster!H45</f>
        <v>7168275</v>
      </c>
      <c r="AB65" s="59">
        <f>Webster!H46</f>
        <v>4386594</v>
      </c>
      <c r="AC65" s="59">
        <f t="shared" si="43"/>
        <v>23846618</v>
      </c>
      <c r="AD65" s="59">
        <f t="shared" si="9"/>
        <v>28739187</v>
      </c>
      <c r="AE65" s="113" t="str">
        <f t="shared" si="5"/>
        <v>ok</v>
      </c>
      <c r="AF65" s="58">
        <f>Webster!H50</f>
        <v>28739187</v>
      </c>
    </row>
    <row r="66" spans="1:33" s="104" customFormat="1" ht="15.6">
      <c r="A66" s="108"/>
      <c r="B66" s="109" t="s">
        <v>873</v>
      </c>
      <c r="C66" s="110">
        <f>CSG!C66+CSB!C66</f>
        <v>10566854</v>
      </c>
      <c r="D66" s="110">
        <f>CSG!D66+CSB!D66</f>
        <v>21271469</v>
      </c>
      <c r="E66" s="110">
        <f>CSG!E66+CSB!E66</f>
        <v>8388769</v>
      </c>
      <c r="F66" s="110">
        <f>CSG!F66+CSB!F66</f>
        <v>64082141</v>
      </c>
      <c r="G66" s="110">
        <f>CSG!G66+CSB!G66</f>
        <v>1876766</v>
      </c>
      <c r="H66" s="110">
        <f>CSG!H66+CSB!H66</f>
        <v>0</v>
      </c>
      <c r="I66" s="110">
        <f>SUM(C66:H66)</f>
        <v>106185999</v>
      </c>
      <c r="J66" s="113" t="str">
        <f t="shared" si="1"/>
        <v>ok</v>
      </c>
      <c r="K66" s="111">
        <f>'West Baton Rouge'!G18</f>
        <v>106185999</v>
      </c>
      <c r="L66" s="178">
        <f>'West Baton Rouge'!G21</f>
        <v>1658855</v>
      </c>
      <c r="M66" s="110">
        <f>CSG!M66+CSB!L66</f>
        <v>817207</v>
      </c>
      <c r="N66" s="110">
        <f>CSG!N66+CSB!M66</f>
        <v>0</v>
      </c>
      <c r="O66" s="110">
        <f>CSG!O66+CSB!N66</f>
        <v>0</v>
      </c>
      <c r="P66" s="110">
        <f>CSG!P66+CSB!O66</f>
        <v>0</v>
      </c>
      <c r="Q66" s="110">
        <f>CSG!Q66+CSB!P66</f>
        <v>0</v>
      </c>
      <c r="R66" s="110">
        <f>CSG!R66+CSB!Q66</f>
        <v>352000</v>
      </c>
      <c r="S66" s="110">
        <f>CSG!S66+CSB!R66</f>
        <v>9116320</v>
      </c>
      <c r="T66" s="110">
        <f>CSG!T66+CSB!S66</f>
        <v>581665</v>
      </c>
      <c r="U66" s="110">
        <f t="shared" si="46"/>
        <v>10867192</v>
      </c>
      <c r="V66" s="113" t="str">
        <f t="shared" si="3"/>
        <v>ok</v>
      </c>
      <c r="W66" s="111">
        <f>'West Baton Rouge'!G30</f>
        <v>10867192</v>
      </c>
      <c r="X66" s="112"/>
      <c r="Y66" s="178">
        <f>'West Baton Rouge'!G36</f>
        <v>9685812</v>
      </c>
      <c r="Z66" s="110">
        <f>'West Baton Rouge'!G39</f>
        <v>60257141</v>
      </c>
      <c r="AA66" s="110">
        <f>'West Baton Rouge'!G41+'West Baton Rouge'!G42</f>
        <v>439232</v>
      </c>
      <c r="AB66" s="110">
        <f>'West Baton Rouge'!G43</f>
        <v>26595477</v>
      </c>
      <c r="AC66" s="110">
        <f t="shared" si="43"/>
        <v>87291850</v>
      </c>
      <c r="AD66" s="110">
        <f>SUM(U66+AC66)</f>
        <v>98159042</v>
      </c>
      <c r="AE66" s="113" t="str">
        <f t="shared" si="5"/>
        <v>ok</v>
      </c>
      <c r="AF66" s="111">
        <f>'West Baton Rouge'!G47</f>
        <v>98159042</v>
      </c>
    </row>
    <row r="67" spans="1:33" ht="15.6">
      <c r="A67" s="56"/>
      <c r="B67" s="3" t="s">
        <v>874</v>
      </c>
      <c r="C67" s="110">
        <f>CSG!C67+CSB!C67</f>
        <v>6646178</v>
      </c>
      <c r="D67" s="110">
        <f>CSG!D67+CSB!D67</f>
        <v>0</v>
      </c>
      <c r="E67" s="110">
        <f>CSG!E67+CSB!E67</f>
        <v>1224084</v>
      </c>
      <c r="F67" s="110">
        <f>CSG!F67+CSB!F67</f>
        <v>13933687</v>
      </c>
      <c r="G67" s="110">
        <f>CSG!G67+CSB!G67</f>
        <v>0</v>
      </c>
      <c r="H67" s="110">
        <f>CSG!H67+CSB!H67</f>
        <v>871963</v>
      </c>
      <c r="I67" s="59">
        <f t="shared" ref="I67" si="48">SUM(C67:H67)</f>
        <v>22675912</v>
      </c>
      <c r="J67" s="113" t="str">
        <f t="shared" si="1"/>
        <v>ok</v>
      </c>
      <c r="K67" s="58">
        <f>'West Carroll'!H12</f>
        <v>22675912</v>
      </c>
      <c r="L67" s="83">
        <f>'West Carroll'!H28</f>
        <v>24649</v>
      </c>
      <c r="M67" s="110">
        <f>CSG!M67+CSB!L67</f>
        <v>201775</v>
      </c>
      <c r="N67" s="110">
        <f>CSG!N67+CSB!M67</f>
        <v>99400</v>
      </c>
      <c r="O67" s="110">
        <f>CSG!O67+CSB!N67</f>
        <v>0</v>
      </c>
      <c r="P67" s="110">
        <f>CSG!P67+CSB!O67</f>
        <v>0</v>
      </c>
      <c r="Q67" s="110">
        <f>CSG!Q67+CSB!P67</f>
        <v>0</v>
      </c>
      <c r="R67" s="110">
        <f>CSG!R67+CSB!Q67</f>
        <v>14133</v>
      </c>
      <c r="S67" s="110">
        <f>CSG!S67+CSB!R67</f>
        <v>67339</v>
      </c>
      <c r="T67" s="110">
        <f>CSG!T67+CSB!S67</f>
        <v>2706523</v>
      </c>
      <c r="U67" s="59">
        <f t="shared" si="46"/>
        <v>3089170</v>
      </c>
      <c r="V67" s="113" t="str">
        <f t="shared" si="3"/>
        <v>ok</v>
      </c>
      <c r="W67" s="58">
        <f>'West Carroll'!H25</f>
        <v>3089170</v>
      </c>
      <c r="X67" s="60"/>
      <c r="Z67" s="59">
        <f>'West Carroll'!H31</f>
        <v>13852215</v>
      </c>
      <c r="AA67" s="59">
        <f>'West Carroll'!H33+'West Carroll'!H34+'West Carroll'!H35+'West Carroll'!H36+'West Carroll'!H37+'West Carroll'!H38</f>
        <v>7530932</v>
      </c>
      <c r="AB67" s="59">
        <f>'West Carroll'!H39</f>
        <v>-1719041</v>
      </c>
      <c r="AC67" s="59">
        <f t="shared" si="43"/>
        <v>19664106</v>
      </c>
      <c r="AD67" s="59">
        <f t="shared" si="9"/>
        <v>22753276</v>
      </c>
      <c r="AE67" s="113" t="str">
        <f t="shared" si="5"/>
        <v>ok</v>
      </c>
      <c r="AF67" s="58">
        <f>'West Carroll'!H43</f>
        <v>22753276</v>
      </c>
    </row>
    <row r="68" spans="1:33" s="104" customFormat="1" ht="15.6">
      <c r="A68" s="108"/>
      <c r="B68" s="109" t="s">
        <v>875</v>
      </c>
      <c r="C68" s="110">
        <f>CSG!C68+CSB!C68</f>
        <v>726528</v>
      </c>
      <c r="D68" s="110">
        <f>CSG!D68+CSB!D68</f>
        <v>11786468</v>
      </c>
      <c r="E68" s="110">
        <f>CSG!E68+CSB!E68</f>
        <v>511509</v>
      </c>
      <c r="F68" s="110">
        <f>CSG!F68+CSB!F68</f>
        <v>29129065</v>
      </c>
      <c r="G68" s="110">
        <f>CSG!G68+CSB!G68</f>
        <v>138401</v>
      </c>
      <c r="H68" s="110">
        <f>CSG!H68+CSB!H68</f>
        <v>207218</v>
      </c>
      <c r="I68" s="110">
        <f>SUM(C68:H68)</f>
        <v>42499189</v>
      </c>
      <c r="J68" s="113" t="str">
        <f t="shared" si="1"/>
        <v>ok</v>
      </c>
      <c r="K68" s="111">
        <f>'West Feliciana'!J24</f>
        <v>42499189</v>
      </c>
      <c r="L68" s="224"/>
      <c r="M68" s="110">
        <f>CSG!M68+CSB!L68</f>
        <v>505227</v>
      </c>
      <c r="N68" s="110">
        <f>CSG!N68+CSB!M68</f>
        <v>0</v>
      </c>
      <c r="O68" s="110">
        <f>CSG!O68+CSB!N68</f>
        <v>0</v>
      </c>
      <c r="P68" s="110">
        <f>CSG!P68+CSB!O68</f>
        <v>0</v>
      </c>
      <c r="Q68" s="110">
        <f>CSG!Q68+CSB!P68</f>
        <v>0</v>
      </c>
      <c r="R68" s="110">
        <f>CSG!R68+CSB!Q68</f>
        <v>335205</v>
      </c>
      <c r="S68" s="110">
        <f>CSG!S68+CSB!R68</f>
        <v>6619396</v>
      </c>
      <c r="T68" s="110">
        <f>CSG!T68+CSB!S68</f>
        <v>364893</v>
      </c>
      <c r="U68" s="110">
        <f t="shared" si="46"/>
        <v>7824721</v>
      </c>
      <c r="V68" s="113" t="str">
        <f t="shared" si="3"/>
        <v>ok</v>
      </c>
      <c r="W68" s="111">
        <f>'West Feliciana'!J37</f>
        <v>7824721</v>
      </c>
      <c r="X68" s="112"/>
      <c r="Y68" s="224"/>
      <c r="Z68" s="110">
        <f>'West Feliciana'!H41</f>
        <v>16144220</v>
      </c>
      <c r="AA68" s="110">
        <f>'West Feliciana'!H43+'West Feliciana'!H44+'West Feliciana'!H45+'West Feliciana'!H46+'West Feliciana'!H47</f>
        <v>5008729</v>
      </c>
      <c r="AB68" s="110">
        <f>'West Feliciana'!H48</f>
        <v>6075121</v>
      </c>
      <c r="AC68" s="110">
        <f t="shared" si="43"/>
        <v>27228070</v>
      </c>
      <c r="AD68" s="110">
        <f t="shared" si="9"/>
        <v>35052791</v>
      </c>
      <c r="AE68" s="113" t="str">
        <f t="shared" si="5"/>
        <v>check</v>
      </c>
      <c r="AF68" s="111">
        <f>'West Feliciana'!H52</f>
        <v>31687554</v>
      </c>
    </row>
    <row r="69" spans="1:33" s="155" customFormat="1" ht="15.6">
      <c r="A69" s="210"/>
      <c r="B69" s="211" t="s">
        <v>876</v>
      </c>
      <c r="C69" s="110">
        <f>CSG!C69+CSB!C69</f>
        <v>2488883</v>
      </c>
      <c r="D69" s="110">
        <f>CSG!D69+CSB!D69</f>
        <v>0</v>
      </c>
      <c r="E69" s="110">
        <f>CSG!E69+CSB!E69</f>
        <v>2915973</v>
      </c>
      <c r="F69" s="110">
        <f>CSG!F69+CSB!F69</f>
        <v>7434890</v>
      </c>
      <c r="G69" s="110">
        <f>CSG!G69+CSB!G69</f>
        <v>0</v>
      </c>
      <c r="H69" s="110">
        <f>CSG!H69+CSB!H69</f>
        <v>0</v>
      </c>
      <c r="I69" s="212">
        <f>SUM(C69:H69)</f>
        <v>12839746</v>
      </c>
      <c r="J69" s="113" t="str">
        <f t="shared" si="1"/>
        <v>ok</v>
      </c>
      <c r="K69" s="213">
        <f>Winn!H19</f>
        <v>12839746</v>
      </c>
      <c r="L69" s="218">
        <f>Winn!H17</f>
        <v>297779</v>
      </c>
      <c r="M69" s="110">
        <f>CSG!M69+CSB!L69</f>
        <v>1269482</v>
      </c>
      <c r="N69" s="110">
        <f>CSG!N69+CSB!M69</f>
        <v>0</v>
      </c>
      <c r="O69" s="110">
        <f>CSG!O69+CSB!N69</f>
        <v>0</v>
      </c>
      <c r="P69" s="110">
        <f>CSG!P69+CSB!O69</f>
        <v>0</v>
      </c>
      <c r="Q69" s="110">
        <f>CSG!Q69+CSB!P69</f>
        <v>0</v>
      </c>
      <c r="R69" s="110">
        <f>CSG!R69+CSB!Q69</f>
        <v>235000</v>
      </c>
      <c r="S69" s="110">
        <f>CSG!S69+CSB!R69</f>
        <v>1639848</v>
      </c>
      <c r="T69" s="110">
        <f>CSG!T69+CSB!S69</f>
        <v>0</v>
      </c>
      <c r="U69" s="212">
        <f t="shared" si="46"/>
        <v>3144330</v>
      </c>
      <c r="V69" s="113" t="str">
        <f t="shared" si="3"/>
        <v>ok</v>
      </c>
      <c r="W69" s="213">
        <f>Winn!H29</f>
        <v>3144330</v>
      </c>
      <c r="X69" s="215"/>
      <c r="Y69" s="218">
        <f>Winn!H30</f>
        <v>0</v>
      </c>
      <c r="Z69" s="212">
        <f>Winn!H33</f>
        <v>5649891</v>
      </c>
      <c r="AA69" s="212"/>
      <c r="AB69" s="212">
        <f>Winn!H34</f>
        <v>4268692</v>
      </c>
      <c r="AC69" s="212">
        <f t="shared" ref="AC69" si="49">SUM(Z69:AB69)</f>
        <v>9918583</v>
      </c>
      <c r="AD69" s="59">
        <f t="shared" si="9"/>
        <v>13062913</v>
      </c>
      <c r="AE69" s="113" t="str">
        <f t="shared" si="5"/>
        <v>ok</v>
      </c>
      <c r="AF69" s="213">
        <f>Winn!H38</f>
        <v>13062913</v>
      </c>
    </row>
    <row r="70" spans="1:33" ht="15.6">
      <c r="A70" s="56"/>
      <c r="J70" s="113" t="str">
        <f t="shared" ref="J70:J71" si="50">IF(I70=K70, "ok", "check")</f>
        <v>ok</v>
      </c>
      <c r="AG70" s="61"/>
    </row>
    <row r="71" spans="1:33" s="3" customFormat="1" ht="15.6">
      <c r="A71" s="62"/>
      <c r="B71" s="63" t="s">
        <v>877</v>
      </c>
      <c r="C71" s="64">
        <f t="shared" ref="C71:H71" si="51">SUM(C8:C8)</f>
        <v>36218630</v>
      </c>
      <c r="D71" s="64">
        <f t="shared" si="51"/>
        <v>146069574</v>
      </c>
      <c r="E71" s="64">
        <f t="shared" si="51"/>
        <v>35990089</v>
      </c>
      <c r="F71" s="64">
        <f t="shared" si="51"/>
        <v>238605186</v>
      </c>
      <c r="G71" s="64">
        <f t="shared" si="51"/>
        <v>5468482</v>
      </c>
      <c r="H71" s="64">
        <f t="shared" si="51"/>
        <v>565068</v>
      </c>
      <c r="I71" s="74">
        <f>SUM(I6:I69)</f>
        <v>15383696469</v>
      </c>
      <c r="J71" s="75" t="str">
        <f t="shared" si="50"/>
        <v>ok</v>
      </c>
      <c r="K71" s="66">
        <f>SUM(K6:K70)</f>
        <v>15383696469</v>
      </c>
      <c r="L71" s="66" t="e">
        <f>SUM(L6:L70)</f>
        <v>#REF!</v>
      </c>
      <c r="M71" s="66">
        <f t="shared" ref="M71:T71" si="52">SUM(M8:M8)</f>
        <v>8979968</v>
      </c>
      <c r="N71" s="67">
        <f t="shared" si="52"/>
        <v>0</v>
      </c>
      <c r="O71" s="66">
        <f t="shared" si="52"/>
        <v>354297</v>
      </c>
      <c r="P71" s="66">
        <f t="shared" si="52"/>
        <v>904237</v>
      </c>
      <c r="Q71" s="66">
        <f t="shared" si="52"/>
        <v>472207</v>
      </c>
      <c r="R71" s="66">
        <f t="shared" si="52"/>
        <v>5546774</v>
      </c>
      <c r="S71" s="66">
        <f t="shared" si="52"/>
        <v>81230762</v>
      </c>
      <c r="T71" s="66">
        <f t="shared" si="52"/>
        <v>6021686</v>
      </c>
      <c r="U71" s="66">
        <f>SUM(U6:U69)</f>
        <v>5999002739</v>
      </c>
      <c r="V71" s="65" t="str">
        <f>IF(U71=W71, "ok", "check")</f>
        <v>ok</v>
      </c>
      <c r="W71" s="66">
        <f>SUM(W6:W70)</f>
        <v>5999002739</v>
      </c>
      <c r="X71" s="66" t="e">
        <f>SUM(#REF!)</f>
        <v>#REF!</v>
      </c>
      <c r="Y71" s="66">
        <f>SUM(Y6:Y70)</f>
        <v>160938817</v>
      </c>
      <c r="Z71" s="124">
        <f>SUM(Z8:Z70)</f>
        <v>5398702176</v>
      </c>
      <c r="AA71" s="66">
        <f>SUM(AA8:AA70)</f>
        <v>1697680851</v>
      </c>
      <c r="AB71" s="66">
        <f>SUM(AB8:AB70)</f>
        <v>160121499</v>
      </c>
      <c r="AC71" s="66">
        <f>SUM(AC8:AC70)</f>
        <v>7256504526</v>
      </c>
      <c r="AD71" s="66">
        <f>SUM(AD6:AD70)</f>
        <v>13491885085</v>
      </c>
      <c r="AE71" s="65" t="str">
        <f>IF(AD71=AF71, "ok", "check")</f>
        <v>check</v>
      </c>
      <c r="AF71" s="66">
        <f>SUM(AF6:AF70)</f>
        <v>11031267697</v>
      </c>
    </row>
    <row r="72" spans="1:33">
      <c r="J72"/>
    </row>
    <row r="73" spans="1:33">
      <c r="B73" t="s">
        <v>878</v>
      </c>
      <c r="J73"/>
    </row>
    <row r="74" spans="1:33">
      <c r="J74"/>
    </row>
    <row r="75" spans="1:33">
      <c r="J75"/>
    </row>
    <row r="76" spans="1:33">
      <c r="J76"/>
    </row>
    <row r="77" spans="1:33">
      <c r="J77"/>
    </row>
    <row r="78" spans="1:33">
      <c r="J78"/>
    </row>
    <row r="79" spans="1:33">
      <c r="J79"/>
    </row>
    <row r="80" spans="1:33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 ht="15"/>
    <row r="315" spans="10:10" ht="15"/>
  </sheetData>
  <mergeCells count="2">
    <mergeCell ref="A3:B3"/>
    <mergeCell ref="A4: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haredWithUsers xmlns="a04dc2bb-3752-482a-bef8-a3d7520562f3">
      <UserInfo>
        <DisplayName>Ivey, Jefferson</DisplayName>
        <AccountId>14</AccountId>
        <AccountType/>
      </UserInfo>
      <UserInfo>
        <DisplayName>Kannan, Sinduja</DisplayName>
        <AccountId>82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1530922-2654-4429-8F7A-19CCB797E94B}"/>
</file>

<file path=customXml/itemProps2.xml><?xml version="1.0" encoding="utf-8"?>
<ds:datastoreItem xmlns:ds="http://schemas.openxmlformats.org/officeDocument/2006/customXml" ds:itemID="{E8678C1A-F3EA-445C-B876-89CF7CD8A0D9}"/>
</file>

<file path=customXml/itemProps3.xml><?xml version="1.0" encoding="utf-8"?>
<ds:datastoreItem xmlns:ds="http://schemas.openxmlformats.org/officeDocument/2006/customXml" ds:itemID="{88A39033-2F95-4E29-8049-789A9584B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lnorwa2</dc:creator>
  <cp:keywords/>
  <dc:description/>
  <cp:lastModifiedBy>Luftig, Valerio</cp:lastModifiedBy>
  <cp:revision/>
  <dcterms:created xsi:type="dcterms:W3CDTF">2011-10-31T17:22:17Z</dcterms:created>
  <dcterms:modified xsi:type="dcterms:W3CDTF">2025-06-17T18:22:05Z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