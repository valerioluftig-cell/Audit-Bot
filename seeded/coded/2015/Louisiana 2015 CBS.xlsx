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12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ehingl4\Documents\AG CENTER WORK\"/>
    </mc:Choice>
  </mc:AlternateContent>
  <xr:revisionPtr revIDLastSave="70" documentId="11_FF3AF2D81644229D32C8CF5CB3769A2C155A1ED1" xr6:coauthVersionLast="47" xr6:coauthVersionMax="47" xr10:uidLastSave="{2EA1213D-BF32-4CC0-A876-ED5619B0F8D6}"/>
  <bookViews>
    <workbookView xWindow="0" yWindow="0" windowWidth="14385" windowHeight="12390" tabRatio="875" firstSheet="33" activeTab="64" xr2:uid="{00000000-000D-0000-FFFF-FFFF00000000}"/>
  </bookViews>
  <sheets>
    <sheet name="Acadia" sheetId="144" r:id="rId1"/>
    <sheet name="Allen" sheetId="145" r:id="rId2"/>
    <sheet name="Ascension" sheetId="205" r:id="rId3"/>
    <sheet name="Assumption" sheetId="146" r:id="rId4"/>
    <sheet name="Avoyelles" sheetId="197" r:id="rId5"/>
    <sheet name="Beauregard" sheetId="198" r:id="rId6"/>
    <sheet name="Bienville" sheetId="147" r:id="rId7"/>
    <sheet name="Bossier" sheetId="148" r:id="rId8"/>
    <sheet name="Caddo" sheetId="199" r:id="rId9"/>
    <sheet name="Calcasieu" sheetId="149" r:id="rId10"/>
    <sheet name="Caldwell" sheetId="156" r:id="rId11"/>
    <sheet name="Cameron" sheetId="157" r:id="rId12"/>
    <sheet name="Catahoula" sheetId="158" r:id="rId13"/>
    <sheet name="Claiborne" sheetId="159" r:id="rId14"/>
    <sheet name="Concordia" sheetId="160" r:id="rId15"/>
    <sheet name="DeSoto" sheetId="161" r:id="rId16"/>
    <sheet name="East Baton Rouge" sheetId="162" r:id="rId17"/>
    <sheet name="East Carroll" sheetId="183" r:id="rId18"/>
    <sheet name="East Feliciana" sheetId="184" r:id="rId19"/>
    <sheet name="Evangeline" sheetId="185" r:id="rId20"/>
    <sheet name="Franklin" sheetId="186" r:id="rId21"/>
    <sheet name="Grant" sheetId="187" r:id="rId22"/>
    <sheet name="Iberia" sheetId="188" r:id="rId23"/>
    <sheet name="Iberville" sheetId="189" r:id="rId24"/>
    <sheet name="Jackson" sheetId="190" r:id="rId25"/>
    <sheet name="Jefferson Davis" sheetId="191" r:id="rId26"/>
    <sheet name="Jefferson" sheetId="192" r:id="rId27"/>
    <sheet name="Lafayette" sheetId="193" r:id="rId28"/>
    <sheet name="Lafourche" sheetId="194" r:id="rId29"/>
    <sheet name="LaSalle" sheetId="195" r:id="rId30"/>
    <sheet name="Lincoln" sheetId="196" r:id="rId31"/>
    <sheet name="Livingston" sheetId="163" r:id="rId32"/>
    <sheet name="Madison" sheetId="164" r:id="rId33"/>
    <sheet name="Morehouse" sheetId="165" r:id="rId34"/>
    <sheet name="Natchitoches" sheetId="166" r:id="rId35"/>
    <sheet name="Orleans" sheetId="167" r:id="rId36"/>
    <sheet name="Ouachita" sheetId="168" r:id="rId37"/>
    <sheet name="Plaquemines" sheetId="169" r:id="rId38"/>
    <sheet name="Pointe Couppe " sheetId="200" r:id="rId39"/>
    <sheet name="Rapides" sheetId="170" r:id="rId40"/>
    <sheet name="Red River" sheetId="171" r:id="rId41"/>
    <sheet name="Richland" sheetId="172" r:id="rId42"/>
    <sheet name="Sabine" sheetId="173" r:id="rId43"/>
    <sheet name="St. Bernard" sheetId="174" r:id="rId44"/>
    <sheet name="St. Charles" sheetId="175" r:id="rId45"/>
    <sheet name="St. Helena" sheetId="201" r:id="rId46"/>
    <sheet name="St. James" sheetId="176" r:id="rId47"/>
    <sheet name="St. John the Baptist" sheetId="177" r:id="rId48"/>
    <sheet name="St. Landry" sheetId="178" r:id="rId49"/>
    <sheet name="St. Martin" sheetId="179" r:id="rId50"/>
    <sheet name="St. Mary" sheetId="204" r:id="rId51"/>
    <sheet name="St. Tammany" sheetId="180" r:id="rId52"/>
    <sheet name="Tangipahoa" sheetId="181" r:id="rId53"/>
    <sheet name="Tensas" sheetId="155" r:id="rId54"/>
    <sheet name="Terrebonne" sheetId="182" r:id="rId55"/>
    <sheet name="Union" sheetId="202" r:id="rId56"/>
    <sheet name="Vermillion" sheetId="154" r:id="rId57"/>
    <sheet name="Vernon" sheetId="153" r:id="rId58"/>
    <sheet name="Washington " sheetId="151" r:id="rId59"/>
    <sheet name="Webster" sheetId="152" r:id="rId60"/>
    <sheet name="West Baton Rouge" sheetId="142" r:id="rId61"/>
    <sheet name="West Carroll" sheetId="143" r:id="rId62"/>
    <sheet name="West Feliciana" sheetId="203" r:id="rId63"/>
    <sheet name="Winn" sheetId="150" r:id="rId64"/>
    <sheet name="Cross Sectional" sheetId="3" r:id="rId65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W25" i="3" l="1"/>
  <c r="B38" i="3"/>
  <c r="AA28" i="3"/>
  <c r="W28" i="3"/>
  <c r="X28" i="3" s="1"/>
  <c r="S28" i="3"/>
  <c r="M28" i="3"/>
  <c r="Q28" i="3" s="1"/>
  <c r="K28" i="3"/>
  <c r="C28" i="3"/>
  <c r="B28" i="3"/>
  <c r="I28" i="3" s="1"/>
  <c r="AA68" i="3"/>
  <c r="W68" i="3"/>
  <c r="V68" i="3"/>
  <c r="U68" i="3"/>
  <c r="X68" i="3" s="1"/>
  <c r="S68" i="3"/>
  <c r="M68" i="3"/>
  <c r="K68" i="3"/>
  <c r="D68" i="3"/>
  <c r="B68" i="3"/>
  <c r="AA70" i="3" l="1"/>
  <c r="W70" i="3"/>
  <c r="X70" i="3" s="1"/>
  <c r="S70" i="3"/>
  <c r="M70" i="3"/>
  <c r="Q70" i="3"/>
  <c r="Y70" i="3" s="1"/>
  <c r="K70" i="3"/>
  <c r="D70" i="3"/>
  <c r="B70" i="3"/>
  <c r="I70" i="3" s="1"/>
  <c r="R20" i="143"/>
  <c r="R21" i="143"/>
  <c r="M39" i="3" l="1"/>
  <c r="Q25" i="164"/>
  <c r="Q19" i="164"/>
  <c r="Q27" i="164" s="1"/>
  <c r="Q12" i="164"/>
  <c r="K30" i="165"/>
  <c r="O43" i="3"/>
  <c r="M43" i="3"/>
  <c r="K28" i="168"/>
  <c r="D49" i="3"/>
  <c r="T23" i="173"/>
  <c r="T17" i="173"/>
  <c r="T25" i="173"/>
  <c r="L17" i="173"/>
  <c r="L23" i="173"/>
  <c r="L25" i="173"/>
  <c r="M17" i="173"/>
  <c r="M23" i="173"/>
  <c r="M25" i="173"/>
  <c r="N23" i="173"/>
  <c r="N17" i="173"/>
  <c r="N25" i="173"/>
  <c r="O23" i="173"/>
  <c r="O17" i="173"/>
  <c r="O25" i="173"/>
  <c r="P23" i="173"/>
  <c r="P17" i="173"/>
  <c r="P25" i="173"/>
  <c r="Q23" i="173"/>
  <c r="Q17" i="173"/>
  <c r="Q25" i="173"/>
  <c r="R23" i="173"/>
  <c r="R17" i="173"/>
  <c r="R25" i="173"/>
  <c r="S20" i="173"/>
  <c r="S21" i="173"/>
  <c r="S23" i="173"/>
  <c r="S14" i="173"/>
  <c r="S15" i="173"/>
  <c r="S17" i="173"/>
  <c r="S25" i="173"/>
  <c r="K23" i="173"/>
  <c r="K17" i="173"/>
  <c r="K25" i="173"/>
  <c r="K11" i="173"/>
  <c r="L11" i="173"/>
  <c r="M11" i="173"/>
  <c r="N11" i="173"/>
  <c r="O11" i="173"/>
  <c r="P11" i="173"/>
  <c r="Q11" i="173"/>
  <c r="R11" i="173"/>
  <c r="T11" i="173"/>
  <c r="S7" i="173"/>
  <c r="S8" i="173"/>
  <c r="S9" i="173"/>
  <c r="S11" i="173"/>
  <c r="H12" i="3"/>
  <c r="T17" i="198"/>
  <c r="T16" i="198"/>
  <c r="T19" i="198"/>
  <c r="T18" i="198"/>
  <c r="T21" i="198"/>
  <c r="T38" i="198"/>
  <c r="T10" i="198"/>
  <c r="P12" i="198"/>
  <c r="Q12" i="198"/>
  <c r="R12" i="198"/>
  <c r="S12" i="198"/>
  <c r="T6" i="198"/>
  <c r="T7" i="198"/>
  <c r="T8" i="198"/>
  <c r="T9" i="198"/>
  <c r="T12" i="198"/>
  <c r="M12" i="198"/>
  <c r="N12" i="198"/>
  <c r="O12" i="198"/>
  <c r="L12" i="198"/>
  <c r="K12" i="198"/>
  <c r="J18" i="150"/>
  <c r="K18" i="150"/>
  <c r="L18" i="150"/>
  <c r="M18" i="150"/>
  <c r="N18" i="150"/>
  <c r="O15" i="150"/>
  <c r="O16" i="150"/>
  <c r="O18" i="150"/>
  <c r="P18" i="150"/>
  <c r="I18" i="150"/>
  <c r="O6" i="150"/>
  <c r="O7" i="150"/>
  <c r="O8" i="150"/>
  <c r="O9" i="150"/>
  <c r="Q68" i="3"/>
  <c r="R9" i="203"/>
  <c r="R13" i="203"/>
  <c r="R7" i="203"/>
  <c r="R8" i="203"/>
  <c r="R11" i="203"/>
  <c r="R12" i="203"/>
  <c r="R14" i="203"/>
  <c r="R16" i="203"/>
  <c r="R17" i="203"/>
  <c r="R19" i="203"/>
  <c r="L17" i="143"/>
  <c r="L24" i="143"/>
  <c r="L26" i="143"/>
  <c r="M17" i="143"/>
  <c r="M24" i="143"/>
  <c r="M26" i="143"/>
  <c r="N17" i="143"/>
  <c r="N24" i="143"/>
  <c r="N26" i="143"/>
  <c r="O17" i="143"/>
  <c r="O24" i="143"/>
  <c r="O26" i="143"/>
  <c r="P17" i="143"/>
  <c r="P24" i="143"/>
  <c r="P26" i="143"/>
  <c r="Q17" i="143"/>
  <c r="Q24" i="143"/>
  <c r="Q26" i="143"/>
  <c r="R14" i="143"/>
  <c r="R15" i="143"/>
  <c r="R17" i="143"/>
  <c r="R22" i="143"/>
  <c r="R24" i="143"/>
  <c r="R26" i="143"/>
  <c r="K17" i="143"/>
  <c r="K24" i="143"/>
  <c r="K26" i="143"/>
  <c r="R13" i="142"/>
  <c r="S13" i="142"/>
  <c r="M34" i="142"/>
  <c r="N34" i="142"/>
  <c r="O34" i="142"/>
  <c r="M33" i="152"/>
  <c r="M25" i="152"/>
  <c r="M20" i="152"/>
  <c r="M35" i="152"/>
  <c r="N20" i="152"/>
  <c r="N25" i="152"/>
  <c r="N33" i="152"/>
  <c r="N35" i="152"/>
  <c r="O15" i="152"/>
  <c r="O16" i="152"/>
  <c r="O18" i="152"/>
  <c r="O17" i="152"/>
  <c r="O20" i="152"/>
  <c r="O23" i="152"/>
  <c r="O25" i="152"/>
  <c r="O29" i="152"/>
  <c r="O30" i="152"/>
  <c r="O31" i="152"/>
  <c r="O28" i="152"/>
  <c r="O33" i="152"/>
  <c r="O35" i="152"/>
  <c r="M65" i="3"/>
  <c r="O65" i="3"/>
  <c r="P65" i="3"/>
  <c r="Q65" i="3"/>
  <c r="W65" i="3"/>
  <c r="X65" i="3"/>
  <c r="Y65" i="3"/>
  <c r="K37" i="151"/>
  <c r="L37" i="151"/>
  <c r="M37" i="151"/>
  <c r="N37" i="151"/>
  <c r="O37" i="151"/>
  <c r="P37" i="151"/>
  <c r="Q37" i="151"/>
  <c r="R37" i="151"/>
  <c r="S33" i="151"/>
  <c r="S34" i="151"/>
  <c r="S35" i="151"/>
  <c r="S37" i="151"/>
  <c r="L24" i="151"/>
  <c r="L29" i="151"/>
  <c r="L39" i="151"/>
  <c r="M24" i="151"/>
  <c r="M29" i="151"/>
  <c r="M39" i="151"/>
  <c r="N24" i="151"/>
  <c r="N29" i="151"/>
  <c r="N39" i="151"/>
  <c r="O24" i="151"/>
  <c r="O29" i="151"/>
  <c r="O39" i="151"/>
  <c r="P24" i="151"/>
  <c r="P29" i="151"/>
  <c r="P39" i="151"/>
  <c r="Q24" i="151"/>
  <c r="Q29" i="151"/>
  <c r="Q39" i="151"/>
  <c r="R24" i="151"/>
  <c r="R29" i="151"/>
  <c r="R39" i="151"/>
  <c r="S17" i="151"/>
  <c r="S18" i="151"/>
  <c r="S19" i="151"/>
  <c r="S20" i="151"/>
  <c r="S21" i="151"/>
  <c r="S22" i="151"/>
  <c r="S24" i="151"/>
  <c r="S27" i="151"/>
  <c r="S29" i="151"/>
  <c r="S39" i="151"/>
  <c r="K24" i="151"/>
  <c r="K29" i="151"/>
  <c r="K39" i="151"/>
  <c r="U37" i="153"/>
  <c r="U38" i="153"/>
  <c r="U8" i="153"/>
  <c r="U30" i="153"/>
  <c r="S10" i="154"/>
  <c r="S7" i="154"/>
  <c r="S8" i="154"/>
  <c r="S9" i="154"/>
  <c r="S11" i="154"/>
  <c r="S12" i="154"/>
  <c r="S13" i="154"/>
  <c r="S14" i="154"/>
  <c r="S15" i="154"/>
  <c r="S17" i="154"/>
  <c r="L39" i="154"/>
  <c r="U62" i="3"/>
  <c r="M62" i="3"/>
  <c r="D61" i="3"/>
  <c r="C61" i="3"/>
  <c r="B61" i="3"/>
  <c r="G61" i="3"/>
  <c r="T61" i="3"/>
  <c r="M61" i="3"/>
  <c r="O61" i="3"/>
  <c r="P61" i="3"/>
  <c r="Q61" i="3"/>
  <c r="U61" i="3"/>
  <c r="V61" i="3"/>
  <c r="W61" i="3"/>
  <c r="X61" i="3"/>
  <c r="Y61" i="3"/>
  <c r="K72" i="182"/>
  <c r="L72" i="182"/>
  <c r="M72" i="182"/>
  <c r="N72" i="182"/>
  <c r="O72" i="182"/>
  <c r="P72" i="182"/>
  <c r="Q72" i="182"/>
  <c r="R72" i="182"/>
  <c r="K40" i="182"/>
  <c r="K35" i="182"/>
  <c r="K74" i="182"/>
  <c r="L40" i="182"/>
  <c r="L35" i="182"/>
  <c r="L74" i="182"/>
  <c r="M40" i="182"/>
  <c r="M35" i="182"/>
  <c r="M74" i="182"/>
  <c r="N40" i="182"/>
  <c r="N35" i="182"/>
  <c r="N74" i="182"/>
  <c r="O40" i="182"/>
  <c r="O35" i="182"/>
  <c r="O74" i="182"/>
  <c r="P40" i="182"/>
  <c r="P35" i="182"/>
  <c r="P74" i="182"/>
  <c r="Q40" i="182"/>
  <c r="Q35" i="182"/>
  <c r="Q74" i="182"/>
  <c r="R40" i="182"/>
  <c r="R35" i="182"/>
  <c r="R74" i="182"/>
  <c r="S44" i="182"/>
  <c r="S46" i="182"/>
  <c r="S47" i="182"/>
  <c r="S48" i="182"/>
  <c r="S49" i="182"/>
  <c r="S50" i="182"/>
  <c r="S51" i="182"/>
  <c r="S52" i="182"/>
  <c r="S53" i="182"/>
  <c r="S55" i="182"/>
  <c r="S56" i="182"/>
  <c r="S58" i="182"/>
  <c r="S59" i="182"/>
  <c r="S60" i="182"/>
  <c r="S61" i="182"/>
  <c r="S62" i="182"/>
  <c r="S63" i="182"/>
  <c r="S64" i="182"/>
  <c r="S65" i="182"/>
  <c r="S66" i="182"/>
  <c r="S67" i="182"/>
  <c r="S68" i="182"/>
  <c r="S69" i="182"/>
  <c r="S70" i="182"/>
  <c r="S72" i="182"/>
  <c r="S40" i="182"/>
  <c r="S26" i="182"/>
  <c r="S27" i="182"/>
  <c r="S28" i="182"/>
  <c r="S29" i="182"/>
  <c r="S30" i="182"/>
  <c r="S31" i="182"/>
  <c r="S32" i="182"/>
  <c r="S33" i="182"/>
  <c r="S35" i="182"/>
  <c r="S74" i="182"/>
  <c r="O20" i="155"/>
  <c r="P20" i="155"/>
  <c r="Q20" i="155"/>
  <c r="R17" i="155"/>
  <c r="R18" i="155"/>
  <c r="R20" i="155"/>
  <c r="N20" i="155"/>
  <c r="T59" i="3"/>
  <c r="K33" i="181"/>
  <c r="K20" i="181"/>
  <c r="K25" i="181"/>
  <c r="K35" i="181"/>
  <c r="AA59" i="3"/>
  <c r="M59" i="3"/>
  <c r="O59" i="3"/>
  <c r="Q59" i="3"/>
  <c r="U59" i="3"/>
  <c r="V59" i="3"/>
  <c r="W59" i="3"/>
  <c r="X59" i="3"/>
  <c r="Y59" i="3"/>
  <c r="Q30" i="181"/>
  <c r="L25" i="181"/>
  <c r="M25" i="181"/>
  <c r="N25" i="181"/>
  <c r="O25" i="181"/>
  <c r="P25" i="181"/>
  <c r="Q23" i="181"/>
  <c r="Q25" i="181"/>
  <c r="P20" i="181"/>
  <c r="F58" i="3"/>
  <c r="P23" i="180"/>
  <c r="P24" i="180"/>
  <c r="P25" i="180"/>
  <c r="P26" i="180"/>
  <c r="P27" i="180"/>
  <c r="P29" i="180"/>
  <c r="P32" i="180"/>
  <c r="P33" i="180"/>
  <c r="P35" i="180"/>
  <c r="P39" i="180"/>
  <c r="P40" i="180"/>
  <c r="P41" i="180"/>
  <c r="P42" i="180"/>
  <c r="P44" i="180"/>
  <c r="P46" i="180"/>
  <c r="N29" i="180"/>
  <c r="O29" i="180"/>
  <c r="M29" i="180"/>
  <c r="O19" i="180"/>
  <c r="P7" i="180"/>
  <c r="P8" i="180"/>
  <c r="P10" i="180"/>
  <c r="P11" i="180"/>
  <c r="P12" i="180"/>
  <c r="P13" i="180"/>
  <c r="P14" i="180"/>
  <c r="P15" i="180"/>
  <c r="P16" i="180"/>
  <c r="P17" i="180"/>
  <c r="P19" i="180"/>
  <c r="N19" i="180"/>
  <c r="M44" i="180"/>
  <c r="L19" i="180"/>
  <c r="M19" i="180"/>
  <c r="K19" i="180"/>
  <c r="M60" i="3"/>
  <c r="Q60" i="3"/>
  <c r="W60" i="3"/>
  <c r="X60" i="3"/>
  <c r="Y60" i="3"/>
  <c r="K47" i="204"/>
  <c r="K28" i="204"/>
  <c r="K49" i="204"/>
  <c r="AA57" i="3"/>
  <c r="W57" i="3"/>
  <c r="U57" i="3"/>
  <c r="S57" i="3"/>
  <c r="P57" i="3"/>
  <c r="O57" i="3"/>
  <c r="M57" i="3"/>
  <c r="K17" i="204"/>
  <c r="K57" i="3"/>
  <c r="G57" i="3"/>
  <c r="D57" i="3"/>
  <c r="R25" i="204"/>
  <c r="R20" i="204"/>
  <c r="R21" i="204"/>
  <c r="R22" i="204"/>
  <c r="R23" i="204"/>
  <c r="R24" i="204"/>
  <c r="R26" i="204"/>
  <c r="R28" i="204"/>
  <c r="R31" i="204"/>
  <c r="R33" i="204"/>
  <c r="R34" i="204"/>
  <c r="R36" i="204"/>
  <c r="R37" i="204"/>
  <c r="R38" i="204"/>
  <c r="R39" i="204"/>
  <c r="R40" i="204"/>
  <c r="R41" i="204"/>
  <c r="R42" i="204"/>
  <c r="R43" i="204"/>
  <c r="R44" i="204"/>
  <c r="R45" i="204"/>
  <c r="R47" i="204"/>
  <c r="R49" i="204"/>
  <c r="W49" i="3"/>
  <c r="X49" i="3"/>
  <c r="W52" i="3"/>
  <c r="X52" i="3"/>
  <c r="M52" i="3"/>
  <c r="P52" i="3"/>
  <c r="Q52" i="3"/>
  <c r="Y52" i="3"/>
  <c r="M54" i="3"/>
  <c r="O54" i="3"/>
  <c r="Q54" i="3"/>
  <c r="U54" i="3"/>
  <c r="W54" i="3"/>
  <c r="X54" i="3"/>
  <c r="T54" i="3"/>
  <c r="Y54" i="3"/>
  <c r="M56" i="3"/>
  <c r="O56" i="3"/>
  <c r="P56" i="3"/>
  <c r="Q56" i="3"/>
  <c r="W56" i="3"/>
  <c r="X56" i="3"/>
  <c r="Y56" i="3"/>
  <c r="S36" i="179"/>
  <c r="S30" i="179"/>
  <c r="S31" i="179"/>
  <c r="S32" i="179"/>
  <c r="S33" i="179"/>
  <c r="S34" i="179"/>
  <c r="S35" i="179"/>
  <c r="S37" i="179"/>
  <c r="S38" i="179"/>
  <c r="S40" i="179"/>
  <c r="S41" i="179"/>
  <c r="S42" i="179"/>
  <c r="S43" i="179"/>
  <c r="S44" i="179"/>
  <c r="S45" i="179"/>
  <c r="S46" i="179"/>
  <c r="S47" i="179"/>
  <c r="S48" i="179"/>
  <c r="S50" i="179"/>
  <c r="S7" i="179"/>
  <c r="S8" i="179"/>
  <c r="S9" i="179"/>
  <c r="S10" i="179"/>
  <c r="S12" i="179"/>
  <c r="U55" i="3"/>
  <c r="T55" i="3"/>
  <c r="V55" i="3"/>
  <c r="M55" i="3"/>
  <c r="O55" i="3"/>
  <c r="N55" i="3"/>
  <c r="K28" i="178"/>
  <c r="K33" i="178"/>
  <c r="K54" i="178"/>
  <c r="K56" i="178"/>
  <c r="L28" i="178"/>
  <c r="L33" i="178"/>
  <c r="L54" i="178"/>
  <c r="L56" i="178"/>
  <c r="M28" i="178"/>
  <c r="M33" i="178"/>
  <c r="M54" i="178"/>
  <c r="M56" i="178"/>
  <c r="N28" i="178"/>
  <c r="N33" i="178"/>
  <c r="N54" i="178"/>
  <c r="N56" i="178"/>
  <c r="O28" i="178"/>
  <c r="O33" i="178"/>
  <c r="O54" i="178"/>
  <c r="O56" i="178"/>
  <c r="P28" i="178"/>
  <c r="P54" i="178"/>
  <c r="P56" i="178"/>
  <c r="Q28" i="178"/>
  <c r="Q54" i="178"/>
  <c r="Q56" i="178"/>
  <c r="R28" i="178"/>
  <c r="R54" i="178"/>
  <c r="R56" i="178"/>
  <c r="S28" i="178"/>
  <c r="S33" i="178"/>
  <c r="S54" i="178"/>
  <c r="S56" i="178"/>
  <c r="T46" i="178"/>
  <c r="T37" i="178"/>
  <c r="T39" i="178"/>
  <c r="T40" i="178"/>
  <c r="T41" i="178"/>
  <c r="T42" i="178"/>
  <c r="T43" i="178"/>
  <c r="T44" i="178"/>
  <c r="T45" i="178"/>
  <c r="T47" i="178"/>
  <c r="T48" i="178"/>
  <c r="T49" i="178"/>
  <c r="T50" i="178"/>
  <c r="T51" i="178"/>
  <c r="T52" i="178"/>
  <c r="T54" i="178"/>
  <c r="T20" i="178"/>
  <c r="T21" i="178"/>
  <c r="T22" i="178"/>
  <c r="T23" i="178"/>
  <c r="T24" i="178"/>
  <c r="T25" i="178"/>
  <c r="T26" i="178"/>
  <c r="T28" i="178"/>
  <c r="T31" i="178"/>
  <c r="T33" i="178"/>
  <c r="T56" i="178"/>
  <c r="T11" i="178"/>
  <c r="N24" i="176"/>
  <c r="N47" i="176"/>
  <c r="N49" i="176"/>
  <c r="O24" i="176"/>
  <c r="O47" i="176"/>
  <c r="O49" i="176"/>
  <c r="Q25" i="177"/>
  <c r="Q38" i="177"/>
  <c r="Q40" i="177"/>
  <c r="R25" i="177"/>
  <c r="R38" i="177"/>
  <c r="R40" i="177"/>
  <c r="Q16" i="177"/>
  <c r="R16" i="177"/>
  <c r="Q45" i="176"/>
  <c r="Q27" i="176"/>
  <c r="Q29" i="176"/>
  <c r="Q30" i="176"/>
  <c r="Q31" i="176"/>
  <c r="Q32" i="176"/>
  <c r="Q33" i="176"/>
  <c r="Q34" i="176"/>
  <c r="Q35" i="176"/>
  <c r="Q36" i="176"/>
  <c r="Q37" i="176"/>
  <c r="Q39" i="176"/>
  <c r="Q40" i="176"/>
  <c r="Q41" i="176"/>
  <c r="Q43" i="176"/>
  <c r="Q44" i="176"/>
  <c r="Q47" i="176"/>
  <c r="Q18" i="176"/>
  <c r="Q19" i="176"/>
  <c r="Q20" i="176"/>
  <c r="Q21" i="176"/>
  <c r="Q22" i="176"/>
  <c r="Q24" i="176"/>
  <c r="Q49" i="176"/>
  <c r="P14" i="176"/>
  <c r="N14" i="176"/>
  <c r="O14" i="176"/>
  <c r="L21" i="201"/>
  <c r="M21" i="201"/>
  <c r="N21" i="201"/>
  <c r="O21" i="201"/>
  <c r="P21" i="201"/>
  <c r="Q21" i="201"/>
  <c r="K13" i="201"/>
  <c r="L13" i="201"/>
  <c r="M13" i="201"/>
  <c r="N13" i="201"/>
  <c r="O13" i="201"/>
  <c r="P13" i="201"/>
  <c r="N45" i="175"/>
  <c r="K30" i="175"/>
  <c r="M36" i="175"/>
  <c r="N36" i="175"/>
  <c r="O36" i="175"/>
  <c r="P33" i="175"/>
  <c r="P34" i="175"/>
  <c r="P36" i="175"/>
  <c r="K36" i="175"/>
  <c r="L36" i="175"/>
  <c r="W50" i="3"/>
  <c r="D50" i="3"/>
  <c r="O18" i="174"/>
  <c r="K18" i="174"/>
  <c r="M18" i="174"/>
  <c r="N18" i="174"/>
  <c r="P16" i="174"/>
  <c r="P7" i="174"/>
  <c r="P8" i="174"/>
  <c r="P9" i="174"/>
  <c r="P10" i="174"/>
  <c r="P11" i="174"/>
  <c r="P12" i="174"/>
  <c r="P13" i="174"/>
  <c r="P14" i="174"/>
  <c r="P15" i="174"/>
  <c r="P18" i="174"/>
  <c r="L18" i="174"/>
  <c r="P40" i="174"/>
  <c r="P36" i="174"/>
  <c r="P38" i="174"/>
  <c r="P39" i="174"/>
  <c r="P41" i="174"/>
  <c r="P42" i="174"/>
  <c r="P43" i="174"/>
  <c r="P44" i="174"/>
  <c r="P45" i="174"/>
  <c r="P46" i="174"/>
  <c r="P47" i="174"/>
  <c r="P48" i="174"/>
  <c r="P49" i="174"/>
  <c r="P51" i="174"/>
  <c r="P53" i="174"/>
  <c r="P54" i="174"/>
  <c r="P55" i="174"/>
  <c r="P56" i="174"/>
  <c r="P58" i="174"/>
  <c r="O25" i="172"/>
  <c r="O16" i="172"/>
  <c r="O27" i="172"/>
  <c r="Q19" i="172"/>
  <c r="Q22" i="172"/>
  <c r="Q23" i="172"/>
  <c r="Q25" i="172"/>
  <c r="Q13" i="172"/>
  <c r="Q14" i="172"/>
  <c r="Q16" i="172"/>
  <c r="Q27" i="172"/>
  <c r="K16" i="172"/>
  <c r="L16" i="172"/>
  <c r="M16" i="172"/>
  <c r="N16" i="172"/>
  <c r="P16" i="172"/>
  <c r="M25" i="172"/>
  <c r="M27" i="172"/>
  <c r="G47" i="3"/>
  <c r="R20" i="171"/>
  <c r="R21" i="171"/>
  <c r="R23" i="171"/>
  <c r="R29" i="171"/>
  <c r="R32" i="171"/>
  <c r="R33" i="171"/>
  <c r="R34" i="171"/>
  <c r="R35" i="171"/>
  <c r="R37" i="171"/>
  <c r="R38" i="171"/>
  <c r="R39" i="171"/>
  <c r="R40" i="171"/>
  <c r="R41" i="171"/>
  <c r="R42" i="171"/>
  <c r="R43" i="171"/>
  <c r="R45" i="171"/>
  <c r="R25" i="171"/>
  <c r="R47" i="171"/>
  <c r="R9" i="171"/>
  <c r="R10" i="171"/>
  <c r="P12" i="170"/>
  <c r="O8" i="170"/>
  <c r="O9" i="170"/>
  <c r="O12" i="170"/>
  <c r="O18" i="170"/>
  <c r="O16" i="170"/>
  <c r="O17" i="170"/>
  <c r="W45" i="3"/>
  <c r="V44" i="3"/>
  <c r="U42" i="3"/>
  <c r="S11" i="167"/>
  <c r="L20" i="166"/>
  <c r="M20" i="166"/>
  <c r="N20" i="166"/>
  <c r="O20" i="166"/>
  <c r="P20" i="166"/>
  <c r="Q20" i="166"/>
  <c r="R20" i="166"/>
  <c r="S14" i="166"/>
  <c r="S15" i="166"/>
  <c r="S16" i="166"/>
  <c r="S17" i="166"/>
  <c r="S18" i="166"/>
  <c r="S20" i="166"/>
  <c r="L11" i="166"/>
  <c r="M11" i="166"/>
  <c r="N11" i="166"/>
  <c r="O11" i="166"/>
  <c r="P11" i="166"/>
  <c r="Q11" i="166"/>
  <c r="R11" i="166"/>
  <c r="S7" i="166"/>
  <c r="S8" i="166"/>
  <c r="S9" i="166"/>
  <c r="S11" i="166"/>
  <c r="L27" i="166"/>
  <c r="L29" i="166"/>
  <c r="M27" i="166"/>
  <c r="M29" i="166"/>
  <c r="N27" i="166"/>
  <c r="N29" i="166"/>
  <c r="O27" i="166"/>
  <c r="O29" i="166"/>
  <c r="P27" i="166"/>
  <c r="P29" i="166"/>
  <c r="Q27" i="166"/>
  <c r="Q29" i="166"/>
  <c r="R27" i="166"/>
  <c r="R29" i="166"/>
  <c r="S23" i="166"/>
  <c r="S24" i="166"/>
  <c r="S25" i="166"/>
  <c r="S27" i="166"/>
  <c r="S29" i="166"/>
  <c r="Q12" i="163"/>
  <c r="Q9" i="163"/>
  <c r="P35" i="3"/>
  <c r="O35" i="3"/>
  <c r="M35" i="3"/>
  <c r="M38" i="3"/>
  <c r="N38" i="3"/>
  <c r="O38" i="3"/>
  <c r="Q38" i="3"/>
  <c r="U38" i="3"/>
  <c r="V38" i="3"/>
  <c r="W38" i="3"/>
  <c r="X38" i="3"/>
  <c r="Y38" i="3"/>
  <c r="M33" i="3"/>
  <c r="P33" i="3"/>
  <c r="Q33" i="3"/>
  <c r="V33" i="3"/>
  <c r="W33" i="3"/>
  <c r="X33" i="3"/>
  <c r="T33" i="3"/>
  <c r="Y33" i="3"/>
  <c r="W26" i="3"/>
  <c r="U26" i="3"/>
  <c r="M26" i="3"/>
  <c r="O26" i="3"/>
  <c r="Q26" i="3"/>
  <c r="D26" i="3"/>
  <c r="F26" i="3"/>
  <c r="G26" i="3"/>
  <c r="K39" i="185"/>
  <c r="L39" i="185"/>
  <c r="M39" i="185"/>
  <c r="N39" i="185"/>
  <c r="O39" i="185"/>
  <c r="P39" i="185"/>
  <c r="Q29" i="185"/>
  <c r="Q30" i="185"/>
  <c r="Q32" i="185"/>
  <c r="Q33" i="185"/>
  <c r="Q34" i="185"/>
  <c r="Q35" i="185"/>
  <c r="Q36" i="185"/>
  <c r="Q37" i="185"/>
  <c r="Q39" i="185"/>
  <c r="Q18" i="185"/>
  <c r="Q19" i="185"/>
  <c r="Q20" i="185"/>
  <c r="Q21" i="185"/>
  <c r="Q22" i="185"/>
  <c r="Q24" i="185"/>
  <c r="Q41" i="185"/>
  <c r="Q6" i="185"/>
  <c r="Q7" i="185"/>
  <c r="Q8" i="185"/>
  <c r="Q9" i="185"/>
  <c r="Q10" i="185"/>
  <c r="Q11" i="185"/>
  <c r="Q12" i="185"/>
  <c r="Q14" i="185"/>
  <c r="K14" i="185"/>
  <c r="L14" i="185"/>
  <c r="M14" i="185"/>
  <c r="N14" i="185"/>
  <c r="O14" i="185"/>
  <c r="P14" i="185"/>
  <c r="M25" i="3"/>
  <c r="Q25" i="3"/>
  <c r="U25" i="3"/>
  <c r="V25" i="3"/>
  <c r="X25" i="3"/>
  <c r="T25" i="3"/>
  <c r="Y25" i="3"/>
  <c r="O6" i="184"/>
  <c r="O7" i="184"/>
  <c r="O8" i="184"/>
  <c r="O10" i="184"/>
  <c r="O11" i="184"/>
  <c r="O9" i="184"/>
  <c r="O13" i="184"/>
  <c r="K21" i="184"/>
  <c r="O18" i="184"/>
  <c r="O17" i="184"/>
  <c r="O19" i="184"/>
  <c r="O21" i="184"/>
  <c r="O24" i="184"/>
  <c r="O28" i="184"/>
  <c r="O29" i="184"/>
  <c r="O30" i="184"/>
  <c r="O33" i="184"/>
  <c r="O34" i="184"/>
  <c r="O35" i="184"/>
  <c r="O36" i="184"/>
  <c r="O31" i="184"/>
  <c r="O32" i="184"/>
  <c r="O38" i="184"/>
  <c r="O40" i="184"/>
  <c r="L21" i="184"/>
  <c r="L38" i="184"/>
  <c r="L40" i="184"/>
  <c r="M21" i="184"/>
  <c r="M38" i="184"/>
  <c r="M40" i="184"/>
  <c r="N21" i="184"/>
  <c r="N38" i="184"/>
  <c r="N40" i="184"/>
  <c r="L13" i="184"/>
  <c r="M13" i="184"/>
  <c r="N13" i="184"/>
  <c r="O25" i="184"/>
  <c r="O26" i="184"/>
  <c r="O27" i="184"/>
  <c r="D24" i="3"/>
  <c r="S7" i="183"/>
  <c r="S8" i="183"/>
  <c r="S6" i="183"/>
  <c r="Q10" i="183"/>
  <c r="P10" i="183"/>
  <c r="K10" i="183"/>
  <c r="L10" i="183"/>
  <c r="M10" i="183"/>
  <c r="N10" i="183"/>
  <c r="O10" i="183"/>
  <c r="R10" i="183"/>
  <c r="S10" i="183"/>
  <c r="S28" i="158"/>
  <c r="S18" i="158"/>
  <c r="R13" i="158"/>
  <c r="K13" i="158"/>
  <c r="L13" i="158"/>
  <c r="M13" i="158"/>
  <c r="N13" i="158"/>
  <c r="O13" i="158"/>
  <c r="P13" i="158"/>
  <c r="Q13" i="158"/>
  <c r="S13" i="158"/>
  <c r="T18" i="3"/>
  <c r="M18" i="3"/>
  <c r="N18" i="3"/>
  <c r="O18" i="3"/>
  <c r="Q18" i="3"/>
  <c r="U18" i="3"/>
  <c r="V18" i="3"/>
  <c r="W18" i="3"/>
  <c r="X18" i="3"/>
  <c r="Y18" i="3"/>
  <c r="K15" i="157"/>
  <c r="K18" i="3"/>
  <c r="E18" i="3"/>
  <c r="D18" i="3"/>
  <c r="C18" i="3"/>
  <c r="K24" i="157"/>
  <c r="K28" i="157"/>
  <c r="K52" i="157"/>
  <c r="K54" i="157"/>
  <c r="L24" i="157"/>
  <c r="L28" i="157"/>
  <c r="L52" i="157"/>
  <c r="L54" i="157"/>
  <c r="M24" i="157"/>
  <c r="M28" i="157"/>
  <c r="M52" i="157"/>
  <c r="M54" i="157"/>
  <c r="N28" i="157"/>
  <c r="N54" i="157"/>
  <c r="O24" i="157"/>
  <c r="O28" i="157"/>
  <c r="O52" i="157"/>
  <c r="O54" i="157"/>
  <c r="P19" i="157"/>
  <c r="P20" i="157"/>
  <c r="P21" i="157"/>
  <c r="P22" i="157"/>
  <c r="P24" i="157"/>
  <c r="P26" i="157"/>
  <c r="P28" i="157"/>
  <c r="P32" i="157"/>
  <c r="P33" i="157"/>
  <c r="P35" i="157"/>
  <c r="P36" i="157"/>
  <c r="P37" i="157"/>
  <c r="P39" i="157"/>
  <c r="P40" i="157"/>
  <c r="P41" i="157"/>
  <c r="P42" i="157"/>
  <c r="P43" i="157"/>
  <c r="P44" i="157"/>
  <c r="P46" i="157"/>
  <c r="P47" i="157"/>
  <c r="P48" i="157"/>
  <c r="P49" i="157"/>
  <c r="P50" i="157"/>
  <c r="P52" i="157"/>
  <c r="P54" i="157"/>
  <c r="P6" i="157"/>
  <c r="P7" i="157"/>
  <c r="P8" i="157"/>
  <c r="P9" i="157"/>
  <c r="P10" i="157"/>
  <c r="P11" i="157"/>
  <c r="P15" i="157"/>
  <c r="L15" i="157"/>
  <c r="M15" i="157"/>
  <c r="N15" i="157"/>
  <c r="O15" i="157"/>
  <c r="B10" i="3"/>
  <c r="C10" i="3"/>
  <c r="D10" i="3"/>
  <c r="G10" i="3"/>
  <c r="I10" i="3"/>
  <c r="K12" i="146"/>
  <c r="K10" i="3"/>
  <c r="J10" i="3"/>
  <c r="M10" i="3"/>
  <c r="O10" i="3"/>
  <c r="P10" i="3"/>
  <c r="Q10" i="3"/>
  <c r="V10" i="3"/>
  <c r="W10" i="3"/>
  <c r="X10" i="3"/>
  <c r="Y10" i="3"/>
  <c r="K28" i="146"/>
  <c r="K21" i="146"/>
  <c r="K30" i="146"/>
  <c r="AA10" i="3"/>
  <c r="Z10" i="3"/>
  <c r="S10" i="3"/>
  <c r="R10" i="3"/>
  <c r="L21" i="146"/>
  <c r="M21" i="146"/>
  <c r="N21" i="146"/>
  <c r="O21" i="146"/>
  <c r="P21" i="146"/>
  <c r="Q21" i="146"/>
  <c r="R21" i="146"/>
  <c r="S16" i="146"/>
  <c r="S17" i="146"/>
  <c r="S18" i="146"/>
  <c r="S19" i="146"/>
  <c r="S21" i="146"/>
  <c r="R28" i="146"/>
  <c r="R30" i="146"/>
  <c r="L28" i="146"/>
  <c r="L30" i="146"/>
  <c r="M28" i="146"/>
  <c r="M30" i="146"/>
  <c r="N28" i="146"/>
  <c r="N30" i="146"/>
  <c r="O28" i="146"/>
  <c r="O30" i="146"/>
  <c r="P28" i="146"/>
  <c r="P30" i="146"/>
  <c r="Q28" i="146"/>
  <c r="Q30" i="146"/>
  <c r="S24" i="146"/>
  <c r="S25" i="146"/>
  <c r="S26" i="146"/>
  <c r="S28" i="146"/>
  <c r="S30" i="146"/>
  <c r="S7" i="146"/>
  <c r="S6" i="146"/>
  <c r="S8" i="146"/>
  <c r="S9" i="146"/>
  <c r="S10" i="146"/>
  <c r="P12" i="146"/>
  <c r="P42" i="144"/>
  <c r="K16" i="144"/>
  <c r="L16" i="144"/>
  <c r="M16" i="144"/>
  <c r="N16" i="144"/>
  <c r="O16" i="144"/>
  <c r="P16" i="144"/>
  <c r="P38" i="144"/>
  <c r="O37" i="3"/>
  <c r="M37" i="3"/>
  <c r="K23" i="196"/>
  <c r="L23" i="196"/>
  <c r="M23" i="196"/>
  <c r="N23" i="196"/>
  <c r="O23" i="196"/>
  <c r="P23" i="196"/>
  <c r="Q23" i="196"/>
  <c r="R23" i="196"/>
  <c r="S17" i="196"/>
  <c r="S18" i="196"/>
  <c r="S19" i="196"/>
  <c r="S20" i="196"/>
  <c r="S21" i="196"/>
  <c r="S23" i="196"/>
  <c r="S29" i="196"/>
  <c r="K19" i="193"/>
  <c r="B34" i="3"/>
  <c r="C34" i="3"/>
  <c r="D34" i="3"/>
  <c r="K34" i="3"/>
  <c r="F34" i="3"/>
  <c r="H34" i="3"/>
  <c r="G34" i="3"/>
  <c r="N6" i="193"/>
  <c r="N7" i="193"/>
  <c r="N8" i="193"/>
  <c r="N9" i="193"/>
  <c r="N10" i="193"/>
  <c r="N11" i="193"/>
  <c r="N12" i="193"/>
  <c r="N13" i="193"/>
  <c r="N14" i="193"/>
  <c r="N15" i="193"/>
  <c r="N16" i="193"/>
  <c r="N17" i="193"/>
  <c r="N19" i="193"/>
  <c r="R23" i="192"/>
  <c r="G31" i="3"/>
  <c r="D31" i="3"/>
  <c r="U25" i="189"/>
  <c r="U26" i="189"/>
  <c r="U27" i="189"/>
  <c r="U28" i="189"/>
  <c r="U29" i="189"/>
  <c r="U31" i="189"/>
  <c r="K21" i="189"/>
  <c r="L21" i="189"/>
  <c r="M21" i="189"/>
  <c r="N21" i="189"/>
  <c r="O21" i="189"/>
  <c r="P21" i="189"/>
  <c r="Q21" i="189"/>
  <c r="R21" i="189"/>
  <c r="S21" i="189"/>
  <c r="T21" i="189"/>
  <c r="U21" i="189"/>
  <c r="U33" i="189"/>
  <c r="U19" i="189"/>
  <c r="P29" i="3"/>
  <c r="S24" i="188"/>
  <c r="M18" i="187"/>
  <c r="N18" i="187"/>
  <c r="O18" i="187"/>
  <c r="P18" i="187"/>
  <c r="Q18" i="187"/>
  <c r="W22" i="3"/>
  <c r="O22" i="3"/>
  <c r="O21" i="3"/>
  <c r="W16" i="3"/>
  <c r="V16" i="3"/>
  <c r="U16" i="3"/>
  <c r="P16" i="3"/>
  <c r="O16" i="3"/>
  <c r="N16" i="3"/>
  <c r="M16" i="3"/>
  <c r="H16" i="3"/>
  <c r="D16" i="3"/>
  <c r="C16" i="3"/>
  <c r="B16" i="3"/>
  <c r="G16" i="3"/>
  <c r="Q49" i="149"/>
  <c r="Q50" i="149"/>
  <c r="Q54" i="149"/>
  <c r="M14" i="3"/>
  <c r="Q14" i="3"/>
  <c r="V14" i="3"/>
  <c r="W14" i="3"/>
  <c r="X14" i="3"/>
  <c r="T14" i="3"/>
  <c r="Y14" i="3"/>
  <c r="S33" i="148"/>
  <c r="S11" i="148"/>
  <c r="O11" i="3"/>
  <c r="T19" i="197"/>
  <c r="B9" i="3"/>
  <c r="C9" i="3"/>
  <c r="D9" i="3"/>
  <c r="G9" i="3"/>
  <c r="H9" i="3"/>
  <c r="I9" i="3"/>
  <c r="K20" i="205"/>
  <c r="K9" i="3"/>
  <c r="J9" i="3"/>
  <c r="M9" i="3"/>
  <c r="O9" i="3"/>
  <c r="P9" i="3"/>
  <c r="Q9" i="3"/>
  <c r="K34" i="205"/>
  <c r="S9" i="3"/>
  <c r="R9" i="3"/>
  <c r="U9" i="3"/>
  <c r="W9" i="3"/>
  <c r="X9" i="3"/>
  <c r="T9" i="3"/>
  <c r="Y9" i="3"/>
  <c r="K65" i="205"/>
  <c r="K39" i="205"/>
  <c r="K67" i="205"/>
  <c r="AA9" i="3"/>
  <c r="Z9" i="3"/>
  <c r="P56" i="205"/>
  <c r="P57" i="205"/>
  <c r="P58" i="205"/>
  <c r="P59" i="205"/>
  <c r="P60" i="205"/>
  <c r="P61" i="205"/>
  <c r="P62" i="205"/>
  <c r="P63" i="205"/>
  <c r="P53" i="205"/>
  <c r="P42" i="205"/>
  <c r="P25" i="205"/>
  <c r="P26" i="205"/>
  <c r="P27" i="205"/>
  <c r="P28" i="205"/>
  <c r="P29" i="205"/>
  <c r="P30" i="205"/>
  <c r="P31" i="205"/>
  <c r="P32" i="205"/>
  <c r="P14" i="205"/>
  <c r="P15" i="205"/>
  <c r="P16" i="205"/>
  <c r="P17" i="205"/>
  <c r="P44" i="205"/>
  <c r="P45" i="205"/>
  <c r="P46" i="205"/>
  <c r="P47" i="205"/>
  <c r="P48" i="205"/>
  <c r="P49" i="205"/>
  <c r="P50" i="205"/>
  <c r="P51" i="205"/>
  <c r="P52" i="205"/>
  <c r="P55" i="205"/>
  <c r="P65" i="205"/>
  <c r="P37" i="205"/>
  <c r="P39" i="205"/>
  <c r="P24" i="205"/>
  <c r="P34" i="205"/>
  <c r="P67" i="205"/>
  <c r="O65" i="205"/>
  <c r="O39" i="205"/>
  <c r="O34" i="205"/>
  <c r="O67" i="205"/>
  <c r="N65" i="205"/>
  <c r="N39" i="205"/>
  <c r="N34" i="205"/>
  <c r="N67" i="205"/>
  <c r="M65" i="205"/>
  <c r="M39" i="205"/>
  <c r="M34" i="205"/>
  <c r="M67" i="205"/>
  <c r="L65" i="205"/>
  <c r="L39" i="205"/>
  <c r="L34" i="205"/>
  <c r="L67" i="205"/>
  <c r="P6" i="205"/>
  <c r="P7" i="205"/>
  <c r="P9" i="205"/>
  <c r="P10" i="205"/>
  <c r="P11" i="205"/>
  <c r="P13" i="205"/>
  <c r="P18" i="205"/>
  <c r="P20" i="205"/>
  <c r="O20" i="205"/>
  <c r="N20" i="205"/>
  <c r="M20" i="205"/>
  <c r="L20" i="205"/>
  <c r="U8" i="3"/>
  <c r="W8" i="3"/>
  <c r="X8" i="3"/>
  <c r="H8" i="3"/>
  <c r="G8" i="3"/>
  <c r="K13" i="145"/>
  <c r="R8" i="143"/>
  <c r="Q47" i="204"/>
  <c r="O10" i="170"/>
  <c r="S15" i="164"/>
  <c r="S16" i="164"/>
  <c r="P18" i="162"/>
  <c r="Q37" i="149"/>
  <c r="Q32" i="149"/>
  <c r="Q13" i="149"/>
  <c r="P39" i="144"/>
  <c r="P40" i="144"/>
  <c r="P41" i="144"/>
  <c r="P44" i="144"/>
  <c r="P45" i="144"/>
  <c r="P46" i="144"/>
  <c r="P35" i="144"/>
  <c r="K34" i="203"/>
  <c r="K26" i="203"/>
  <c r="K36" i="203"/>
  <c r="AA69" i="3"/>
  <c r="W69" i="3"/>
  <c r="V69" i="3"/>
  <c r="U69" i="3"/>
  <c r="S69" i="3"/>
  <c r="P69" i="3"/>
  <c r="O69" i="3"/>
  <c r="M69" i="3"/>
  <c r="Q69" i="3" s="1"/>
  <c r="K19" i="203"/>
  <c r="K69" i="3"/>
  <c r="H69" i="3"/>
  <c r="G69" i="3"/>
  <c r="D69" i="3"/>
  <c r="C69" i="3"/>
  <c r="B69" i="3"/>
  <c r="Q34" i="203"/>
  <c r="R29" i="203"/>
  <c r="R30" i="203"/>
  <c r="R31" i="203"/>
  <c r="R32" i="203"/>
  <c r="R34" i="203"/>
  <c r="R22" i="203"/>
  <c r="R23" i="203"/>
  <c r="R24" i="203"/>
  <c r="R26" i="203"/>
  <c r="R36" i="203"/>
  <c r="Q26" i="203"/>
  <c r="Q36" i="203"/>
  <c r="P34" i="203"/>
  <c r="P26" i="203"/>
  <c r="P36" i="203"/>
  <c r="O34" i="203"/>
  <c r="O26" i="203"/>
  <c r="O36" i="203"/>
  <c r="N34" i="203"/>
  <c r="N26" i="203"/>
  <c r="N36" i="203"/>
  <c r="M34" i="203"/>
  <c r="M26" i="203"/>
  <c r="M36" i="203"/>
  <c r="L34" i="203"/>
  <c r="L26" i="203"/>
  <c r="L36" i="203"/>
  <c r="Q19" i="203"/>
  <c r="P19" i="203"/>
  <c r="O19" i="203"/>
  <c r="N19" i="203"/>
  <c r="M19" i="203"/>
  <c r="L19" i="203"/>
  <c r="L47" i="204"/>
  <c r="M47" i="204"/>
  <c r="N47" i="204"/>
  <c r="O47" i="204"/>
  <c r="P47" i="204"/>
  <c r="O28" i="204"/>
  <c r="P28" i="204"/>
  <c r="Q28" i="204"/>
  <c r="N28" i="204"/>
  <c r="R10" i="204"/>
  <c r="R11" i="204"/>
  <c r="Q49" i="204"/>
  <c r="P49" i="204"/>
  <c r="O49" i="204"/>
  <c r="N49" i="204"/>
  <c r="M28" i="204"/>
  <c r="M49" i="204"/>
  <c r="L28" i="204"/>
  <c r="L49" i="204"/>
  <c r="R7" i="204"/>
  <c r="R8" i="204"/>
  <c r="R12" i="204"/>
  <c r="R13" i="204"/>
  <c r="R14" i="204"/>
  <c r="R15" i="204"/>
  <c r="R17" i="204"/>
  <c r="Q17" i="204"/>
  <c r="P17" i="204"/>
  <c r="O17" i="204"/>
  <c r="N17" i="204"/>
  <c r="M17" i="204"/>
  <c r="L17" i="204"/>
  <c r="K28" i="202"/>
  <c r="K19" i="202"/>
  <c r="K30" i="202"/>
  <c r="AA62" i="3"/>
  <c r="W62" i="3"/>
  <c r="S62" i="3"/>
  <c r="P62" i="3"/>
  <c r="K10" i="202"/>
  <c r="K62" i="3"/>
  <c r="D62" i="3"/>
  <c r="C62" i="3"/>
  <c r="B62" i="3"/>
  <c r="Q14" i="202"/>
  <c r="Q15" i="202"/>
  <c r="Q16" i="202"/>
  <c r="Q17" i="202"/>
  <c r="Q19" i="202"/>
  <c r="P19" i="202"/>
  <c r="L10" i="202"/>
  <c r="M10" i="202"/>
  <c r="N10" i="202"/>
  <c r="O10" i="202"/>
  <c r="P10" i="202"/>
  <c r="Q6" i="202"/>
  <c r="Q7" i="202"/>
  <c r="Q8" i="202"/>
  <c r="Q10" i="202"/>
  <c r="Q25" i="202"/>
  <c r="Q26" i="202"/>
  <c r="Q28" i="202"/>
  <c r="Q22" i="202"/>
  <c r="Q30" i="202"/>
  <c r="P28" i="202"/>
  <c r="P30" i="202"/>
  <c r="O28" i="202"/>
  <c r="O19" i="202"/>
  <c r="O30" i="202"/>
  <c r="N28" i="202"/>
  <c r="N19" i="202"/>
  <c r="N30" i="202"/>
  <c r="M28" i="202"/>
  <c r="M19" i="202"/>
  <c r="M30" i="202"/>
  <c r="L28" i="202"/>
  <c r="L19" i="202"/>
  <c r="L30" i="202"/>
  <c r="K27" i="201"/>
  <c r="K21" i="201"/>
  <c r="K29" i="201"/>
  <c r="AA52" i="3"/>
  <c r="S52" i="3"/>
  <c r="K52" i="3"/>
  <c r="G52" i="3"/>
  <c r="D52" i="3"/>
  <c r="B52" i="3"/>
  <c r="O27" i="201"/>
  <c r="O29" i="201"/>
  <c r="R17" i="201"/>
  <c r="R18" i="201"/>
  <c r="R19" i="201"/>
  <c r="R21" i="201"/>
  <c r="R24" i="201"/>
  <c r="R25" i="201"/>
  <c r="R27" i="201"/>
  <c r="R29" i="201"/>
  <c r="Q27" i="201"/>
  <c r="Q29" i="201"/>
  <c r="N27" i="201"/>
  <c r="N29" i="201"/>
  <c r="M27" i="201"/>
  <c r="M29" i="201"/>
  <c r="L27" i="201"/>
  <c r="L29" i="201"/>
  <c r="R7" i="201"/>
  <c r="R8" i="201"/>
  <c r="R9" i="201"/>
  <c r="R10" i="201"/>
  <c r="R11" i="201"/>
  <c r="R13" i="201"/>
  <c r="Q13" i="201"/>
  <c r="K34" i="200"/>
  <c r="K22" i="200"/>
  <c r="K36" i="200"/>
  <c r="AA45" i="3"/>
  <c r="U45" i="3"/>
  <c r="T45" i="3"/>
  <c r="S45" i="3"/>
  <c r="O45" i="3"/>
  <c r="M45" i="3"/>
  <c r="K14" i="200"/>
  <c r="K45" i="3"/>
  <c r="F45" i="3"/>
  <c r="H45" i="3"/>
  <c r="G45" i="3"/>
  <c r="C45" i="3"/>
  <c r="B45" i="3"/>
  <c r="L34" i="200"/>
  <c r="M34" i="200"/>
  <c r="N34" i="200"/>
  <c r="O34" i="200"/>
  <c r="P34" i="200"/>
  <c r="Q34" i="200"/>
  <c r="R34" i="200"/>
  <c r="S28" i="200"/>
  <c r="S29" i="200"/>
  <c r="S30" i="200"/>
  <c r="S32" i="200"/>
  <c r="S34" i="200"/>
  <c r="S18" i="200"/>
  <c r="S19" i="200"/>
  <c r="S20" i="200"/>
  <c r="S22" i="200"/>
  <c r="S25" i="200"/>
  <c r="S36" i="200"/>
  <c r="R22" i="200"/>
  <c r="R36" i="200"/>
  <c r="Q22" i="200"/>
  <c r="Q36" i="200"/>
  <c r="P22" i="200"/>
  <c r="P36" i="200"/>
  <c r="O22" i="200"/>
  <c r="O36" i="200"/>
  <c r="N22" i="200"/>
  <c r="N36" i="200"/>
  <c r="M22" i="200"/>
  <c r="M36" i="200"/>
  <c r="L22" i="200"/>
  <c r="L36" i="200"/>
  <c r="S6" i="200"/>
  <c r="S7" i="200"/>
  <c r="S8" i="200"/>
  <c r="S9" i="200"/>
  <c r="S10" i="200"/>
  <c r="S11" i="200"/>
  <c r="S12" i="200"/>
  <c r="S14" i="200"/>
  <c r="R14" i="200"/>
  <c r="Q14" i="200"/>
  <c r="P14" i="200"/>
  <c r="O14" i="200"/>
  <c r="N14" i="200"/>
  <c r="M14" i="200"/>
  <c r="L14" i="200"/>
  <c r="K58" i="199"/>
  <c r="K36" i="199"/>
  <c r="K30" i="199"/>
  <c r="K60" i="199"/>
  <c r="AA15" i="3"/>
  <c r="M15" i="3"/>
  <c r="N15" i="3"/>
  <c r="O15" i="3"/>
  <c r="Q15" i="3"/>
  <c r="U15" i="3"/>
  <c r="V15" i="3"/>
  <c r="W15" i="3"/>
  <c r="X15" i="3"/>
  <c r="T15" i="3"/>
  <c r="Y15" i="3"/>
  <c r="Z15" i="3"/>
  <c r="S15" i="3"/>
  <c r="R15" i="3"/>
  <c r="K18" i="199"/>
  <c r="K15" i="3"/>
  <c r="B15" i="3"/>
  <c r="C15" i="3"/>
  <c r="D15" i="3"/>
  <c r="G15" i="3"/>
  <c r="I15" i="3"/>
  <c r="J15" i="3"/>
  <c r="S58" i="199"/>
  <c r="T40" i="199"/>
  <c r="T41" i="199"/>
  <c r="T42" i="199"/>
  <c r="T43" i="199"/>
  <c r="T44" i="199"/>
  <c r="T45" i="199"/>
  <c r="T46" i="199"/>
  <c r="T47" i="199"/>
  <c r="T48" i="199"/>
  <c r="T50" i="199"/>
  <c r="T51" i="199"/>
  <c r="T52" i="199"/>
  <c r="T54" i="199"/>
  <c r="T55" i="199"/>
  <c r="T56" i="199"/>
  <c r="T58" i="199"/>
  <c r="T33" i="199"/>
  <c r="T34" i="199"/>
  <c r="T36" i="199"/>
  <c r="T22" i="199"/>
  <c r="T23" i="199"/>
  <c r="T24" i="199"/>
  <c r="T25" i="199"/>
  <c r="T26" i="199"/>
  <c r="T27" i="199"/>
  <c r="T28" i="199"/>
  <c r="T30" i="199"/>
  <c r="T60" i="199"/>
  <c r="S36" i="199"/>
  <c r="S30" i="199"/>
  <c r="S60" i="199"/>
  <c r="R58" i="199"/>
  <c r="R36" i="199"/>
  <c r="R30" i="199"/>
  <c r="R60" i="199"/>
  <c r="Q58" i="199"/>
  <c r="Q36" i="199"/>
  <c r="Q30" i="199"/>
  <c r="Q60" i="199"/>
  <c r="P58" i="199"/>
  <c r="P36" i="199"/>
  <c r="P30" i="199"/>
  <c r="P60" i="199"/>
  <c r="O58" i="199"/>
  <c r="O36" i="199"/>
  <c r="O30" i="199"/>
  <c r="O60" i="199"/>
  <c r="N58" i="199"/>
  <c r="N36" i="199"/>
  <c r="N30" i="199"/>
  <c r="N60" i="199"/>
  <c r="M58" i="199"/>
  <c r="M36" i="199"/>
  <c r="M30" i="199"/>
  <c r="M60" i="199"/>
  <c r="L58" i="199"/>
  <c r="L36" i="199"/>
  <c r="L30" i="199"/>
  <c r="L60" i="199"/>
  <c r="T6" i="199"/>
  <c r="T7" i="199"/>
  <c r="T9" i="199"/>
  <c r="T10" i="199"/>
  <c r="T11" i="199"/>
  <c r="T12" i="199"/>
  <c r="T13" i="199"/>
  <c r="T14" i="199"/>
  <c r="T15" i="199"/>
  <c r="T16" i="199"/>
  <c r="T18" i="199"/>
  <c r="S18" i="199"/>
  <c r="R18" i="199"/>
  <c r="Q18" i="199"/>
  <c r="P18" i="199"/>
  <c r="O18" i="199"/>
  <c r="N18" i="199"/>
  <c r="M18" i="199"/>
  <c r="L18" i="199"/>
  <c r="W12" i="3"/>
  <c r="X12" i="3"/>
  <c r="M12" i="3"/>
  <c r="P12" i="3"/>
  <c r="Q12" i="3"/>
  <c r="K25" i="198"/>
  <c r="T12" i="3"/>
  <c r="Y12" i="3"/>
  <c r="K41" i="198"/>
  <c r="K21" i="198"/>
  <c r="K43" i="198"/>
  <c r="AA12" i="3"/>
  <c r="Z12" i="3"/>
  <c r="S12" i="3"/>
  <c r="R12" i="3"/>
  <c r="K12" i="3"/>
  <c r="B12" i="3"/>
  <c r="D12" i="3"/>
  <c r="I12" i="3"/>
  <c r="J12" i="3"/>
  <c r="L25" i="198"/>
  <c r="M25" i="198"/>
  <c r="N25" i="198"/>
  <c r="O25" i="198"/>
  <c r="P25" i="198"/>
  <c r="Q25" i="198"/>
  <c r="R25" i="198"/>
  <c r="S25" i="198"/>
  <c r="T24" i="198"/>
  <c r="T25" i="198"/>
  <c r="T28" i="198"/>
  <c r="T30" i="198"/>
  <c r="T31" i="198"/>
  <c r="T32" i="198"/>
  <c r="T33" i="198"/>
  <c r="T34" i="198"/>
  <c r="T35" i="198"/>
  <c r="T36" i="198"/>
  <c r="T37" i="198"/>
  <c r="T39" i="198"/>
  <c r="T41" i="198"/>
  <c r="T43" i="198"/>
  <c r="S41" i="198"/>
  <c r="S21" i="198"/>
  <c r="S43" i="198"/>
  <c r="R41" i="198"/>
  <c r="R21" i="198"/>
  <c r="R43" i="198"/>
  <c r="Q41" i="198"/>
  <c r="Q21" i="198"/>
  <c r="Q43" i="198"/>
  <c r="P41" i="198"/>
  <c r="P21" i="198"/>
  <c r="P43" i="198"/>
  <c r="O41" i="198"/>
  <c r="O21" i="198"/>
  <c r="O43" i="198"/>
  <c r="N41" i="198"/>
  <c r="N21" i="198"/>
  <c r="N43" i="198"/>
  <c r="M41" i="198"/>
  <c r="M21" i="198"/>
  <c r="M43" i="198"/>
  <c r="L41" i="198"/>
  <c r="L21" i="198"/>
  <c r="L43" i="198"/>
  <c r="M11" i="3"/>
  <c r="Q11" i="3"/>
  <c r="U11" i="3"/>
  <c r="W11" i="3"/>
  <c r="X11" i="3"/>
  <c r="T11" i="3"/>
  <c r="Y11" i="3"/>
  <c r="K37" i="197"/>
  <c r="K22" i="197"/>
  <c r="K39" i="197"/>
  <c r="AA11" i="3"/>
  <c r="Z11" i="3"/>
  <c r="S11" i="3"/>
  <c r="R11" i="3"/>
  <c r="B11" i="3"/>
  <c r="D11" i="3"/>
  <c r="F11" i="3"/>
  <c r="G11" i="3"/>
  <c r="I11" i="3"/>
  <c r="K12" i="197"/>
  <c r="K11" i="3"/>
  <c r="J11" i="3"/>
  <c r="L37" i="197"/>
  <c r="L22" i="197"/>
  <c r="L39" i="197"/>
  <c r="M37" i="197"/>
  <c r="M22" i="197"/>
  <c r="M39" i="197"/>
  <c r="N37" i="197"/>
  <c r="N22" i="197"/>
  <c r="N39" i="197"/>
  <c r="O37" i="197"/>
  <c r="O22" i="197"/>
  <c r="O39" i="197"/>
  <c r="P37" i="197"/>
  <c r="P22" i="197"/>
  <c r="P39" i="197"/>
  <c r="Q37" i="197"/>
  <c r="Q22" i="197"/>
  <c r="Q39" i="197"/>
  <c r="R37" i="197"/>
  <c r="R22" i="197"/>
  <c r="R39" i="197"/>
  <c r="S37" i="197"/>
  <c r="S22" i="197"/>
  <c r="S39" i="197"/>
  <c r="T28" i="197"/>
  <c r="T29" i="197"/>
  <c r="T30" i="197"/>
  <c r="T31" i="197"/>
  <c r="T32" i="197"/>
  <c r="T33" i="197"/>
  <c r="T34" i="197"/>
  <c r="T35" i="197"/>
  <c r="T37" i="197"/>
  <c r="T25" i="197"/>
  <c r="T17" i="197"/>
  <c r="T18" i="197"/>
  <c r="T20" i="197"/>
  <c r="T22" i="197"/>
  <c r="T39" i="197"/>
  <c r="T9" i="197"/>
  <c r="T6" i="197"/>
  <c r="T7" i="197"/>
  <c r="T8" i="197"/>
  <c r="T10" i="197"/>
  <c r="T12" i="197"/>
  <c r="S12" i="197"/>
  <c r="R12" i="197"/>
  <c r="Q12" i="197"/>
  <c r="P12" i="197"/>
  <c r="O12" i="197"/>
  <c r="N12" i="197"/>
  <c r="M12" i="197"/>
  <c r="L12" i="197"/>
  <c r="M32" i="3"/>
  <c r="P32" i="3"/>
  <c r="Q32" i="3"/>
  <c r="U32" i="3"/>
  <c r="W32" i="3"/>
  <c r="X32" i="3"/>
  <c r="K33" i="192"/>
  <c r="T32" i="3"/>
  <c r="Y32" i="3"/>
  <c r="K28" i="192"/>
  <c r="K42" i="192"/>
  <c r="K44" i="192"/>
  <c r="AA32" i="3"/>
  <c r="Z32" i="3"/>
  <c r="M36" i="3"/>
  <c r="Q36" i="3"/>
  <c r="W36" i="3"/>
  <c r="X36" i="3"/>
  <c r="Y36" i="3"/>
  <c r="K30" i="195"/>
  <c r="K18" i="195"/>
  <c r="K32" i="195"/>
  <c r="AA36" i="3"/>
  <c r="Z36" i="3"/>
  <c r="S32" i="3"/>
  <c r="R32" i="3"/>
  <c r="S36" i="3"/>
  <c r="R36" i="3"/>
  <c r="M34" i="3"/>
  <c r="O34" i="3"/>
  <c r="P34" i="3"/>
  <c r="Q34" i="3"/>
  <c r="K34" i="193"/>
  <c r="S34" i="3"/>
  <c r="R34" i="3"/>
  <c r="Q35" i="3"/>
  <c r="K26" i="194"/>
  <c r="S35" i="3"/>
  <c r="R35" i="3"/>
  <c r="Q37" i="3"/>
  <c r="S37" i="3"/>
  <c r="R37" i="3"/>
  <c r="B36" i="3"/>
  <c r="D36" i="3"/>
  <c r="I36" i="3"/>
  <c r="K10" i="195"/>
  <c r="K36" i="3"/>
  <c r="J36" i="3"/>
  <c r="K22" i="148"/>
  <c r="K29" i="148"/>
  <c r="K37" i="148"/>
  <c r="K39" i="148"/>
  <c r="AA14" i="3"/>
  <c r="Z14" i="3"/>
  <c r="Q16" i="3"/>
  <c r="X16" i="3"/>
  <c r="T16" i="3"/>
  <c r="Y16" i="3"/>
  <c r="K63" i="149"/>
  <c r="K34" i="149"/>
  <c r="K40" i="149"/>
  <c r="K65" i="149"/>
  <c r="AA16" i="3"/>
  <c r="Z16" i="3"/>
  <c r="M17" i="3"/>
  <c r="O17" i="3"/>
  <c r="Q17" i="3"/>
  <c r="W17" i="3"/>
  <c r="X17" i="3"/>
  <c r="Y17" i="3"/>
  <c r="K25" i="156"/>
  <c r="K19" i="156"/>
  <c r="K27" i="156"/>
  <c r="AA17" i="3"/>
  <c r="Z17" i="3"/>
  <c r="AA18" i="3"/>
  <c r="Z18" i="3"/>
  <c r="M19" i="3"/>
  <c r="Q19" i="3"/>
  <c r="W19" i="3"/>
  <c r="X19" i="3"/>
  <c r="T19" i="3"/>
  <c r="Y19" i="3"/>
  <c r="K20" i="158"/>
  <c r="K25" i="158"/>
  <c r="K31" i="158"/>
  <c r="K33" i="158"/>
  <c r="AA19" i="3"/>
  <c r="Z19" i="3"/>
  <c r="M20" i="3"/>
  <c r="Q20" i="3"/>
  <c r="U20" i="3"/>
  <c r="W20" i="3"/>
  <c r="X20" i="3"/>
  <c r="T20" i="3"/>
  <c r="Y20" i="3"/>
  <c r="K22" i="159"/>
  <c r="K27" i="159"/>
  <c r="K33" i="159"/>
  <c r="K35" i="159"/>
  <c r="AA20" i="3"/>
  <c r="Z20" i="3"/>
  <c r="M21" i="3"/>
  <c r="P21" i="3"/>
  <c r="Q21" i="3"/>
  <c r="W21" i="3"/>
  <c r="X21" i="3"/>
  <c r="T21" i="3"/>
  <c r="Y21" i="3"/>
  <c r="K22" i="160"/>
  <c r="K27" i="160"/>
  <c r="K33" i="160"/>
  <c r="K35" i="160"/>
  <c r="AA21" i="3"/>
  <c r="Z21" i="3"/>
  <c r="M22" i="3"/>
  <c r="P22" i="3"/>
  <c r="Q22" i="3"/>
  <c r="X22" i="3"/>
  <c r="T22" i="3"/>
  <c r="Y22" i="3"/>
  <c r="K46" i="161"/>
  <c r="K24" i="161"/>
  <c r="K29" i="161"/>
  <c r="K48" i="161"/>
  <c r="AA22" i="3"/>
  <c r="Z22" i="3"/>
  <c r="M23" i="3"/>
  <c r="O23" i="3"/>
  <c r="P23" i="3"/>
  <c r="Q23" i="3"/>
  <c r="U23" i="3"/>
  <c r="V23" i="3"/>
  <c r="W23" i="3"/>
  <c r="X23" i="3"/>
  <c r="T23" i="3"/>
  <c r="Y23" i="3"/>
  <c r="K31" i="162"/>
  <c r="K38" i="162"/>
  <c r="K47" i="162"/>
  <c r="K49" i="162"/>
  <c r="AA23" i="3"/>
  <c r="Z23" i="3"/>
  <c r="M24" i="3"/>
  <c r="Q24" i="3"/>
  <c r="W24" i="3"/>
  <c r="X24" i="3"/>
  <c r="T24" i="3"/>
  <c r="Y24" i="3"/>
  <c r="K27" i="183"/>
  <c r="K21" i="183"/>
  <c r="K16" i="183"/>
  <c r="K29" i="183"/>
  <c r="AA24" i="3"/>
  <c r="Z24" i="3"/>
  <c r="K38" i="184"/>
  <c r="K40" i="184"/>
  <c r="AA25" i="3"/>
  <c r="Z25" i="3"/>
  <c r="V26" i="3"/>
  <c r="X26" i="3"/>
  <c r="Y26" i="3"/>
  <c r="K24" i="185"/>
  <c r="K41" i="185"/>
  <c r="AA26" i="3"/>
  <c r="Z26" i="3"/>
  <c r="M27" i="3"/>
  <c r="Q27" i="3"/>
  <c r="W27" i="3"/>
  <c r="X27" i="3" s="1"/>
  <c r="Y27" i="3"/>
  <c r="K32" i="186"/>
  <c r="K18" i="186"/>
  <c r="K34" i="186"/>
  <c r="AA27" i="3"/>
  <c r="Z27" i="3"/>
  <c r="Y28" i="3"/>
  <c r="K18" i="187"/>
  <c r="K32" i="187"/>
  <c r="K34" i="187"/>
  <c r="Z28" i="3"/>
  <c r="M29" i="3"/>
  <c r="O29" i="3"/>
  <c r="Q29" i="3"/>
  <c r="U29" i="3"/>
  <c r="V29" i="3"/>
  <c r="W29" i="3"/>
  <c r="X29" i="3"/>
  <c r="Y29" i="3"/>
  <c r="K37" i="188"/>
  <c r="K27" i="188"/>
  <c r="K39" i="188"/>
  <c r="AA29" i="3"/>
  <c r="Z29" i="3"/>
  <c r="M30" i="3"/>
  <c r="Q30" i="3"/>
  <c r="U30" i="3"/>
  <c r="W30" i="3"/>
  <c r="X30" i="3"/>
  <c r="Y30" i="3"/>
  <c r="K31" i="189"/>
  <c r="K33" i="189"/>
  <c r="AA30" i="3"/>
  <c r="Z30" i="3"/>
  <c r="M31" i="3"/>
  <c r="P31" i="3"/>
  <c r="Q31" i="3"/>
  <c r="U31" i="3"/>
  <c r="V31" i="3"/>
  <c r="W31" i="3"/>
  <c r="X31" i="3"/>
  <c r="T31" i="3"/>
  <c r="Y31" i="3"/>
  <c r="K30" i="190"/>
  <c r="K17" i="190"/>
  <c r="K22" i="190"/>
  <c r="K32" i="190"/>
  <c r="AA31" i="3"/>
  <c r="Z31" i="3"/>
  <c r="K39" i="191"/>
  <c r="K21" i="191"/>
  <c r="K26" i="191"/>
  <c r="K41" i="191"/>
  <c r="AA33" i="3"/>
  <c r="Z33" i="3"/>
  <c r="U34" i="3"/>
  <c r="V34" i="3"/>
  <c r="W34" i="3"/>
  <c r="X34" i="3"/>
  <c r="Y34" i="3"/>
  <c r="K51" i="193"/>
  <c r="K53" i="193"/>
  <c r="AA34" i="3"/>
  <c r="Z34" i="3"/>
  <c r="U35" i="3"/>
  <c r="W35" i="3"/>
  <c r="X35" i="3"/>
  <c r="Y35" i="3"/>
  <c r="K42" i="194"/>
  <c r="K44" i="194"/>
  <c r="AA35" i="3"/>
  <c r="Z35" i="3"/>
  <c r="U37" i="3"/>
  <c r="W37" i="3"/>
  <c r="X37" i="3"/>
  <c r="Y37" i="3"/>
  <c r="K31" i="196"/>
  <c r="K33" i="196"/>
  <c r="AA37" i="3"/>
  <c r="Z37" i="3"/>
  <c r="K57" i="163"/>
  <c r="K32" i="163"/>
  <c r="K59" i="163"/>
  <c r="AA38" i="3"/>
  <c r="Z38" i="3"/>
  <c r="Q39" i="3"/>
  <c r="W39" i="3"/>
  <c r="X39" i="3"/>
  <c r="Y39" i="3"/>
  <c r="K25" i="164"/>
  <c r="K19" i="164"/>
  <c r="K27" i="164"/>
  <c r="AA39" i="3"/>
  <c r="Z39" i="3"/>
  <c r="M40" i="3"/>
  <c r="O40" i="3"/>
  <c r="P40" i="3"/>
  <c r="Q40" i="3"/>
  <c r="W40" i="3"/>
  <c r="X40" i="3"/>
  <c r="T40" i="3"/>
  <c r="Y40" i="3"/>
  <c r="K20" i="165"/>
  <c r="K32" i="165" s="1"/>
  <c r="AA40" i="3"/>
  <c r="Z40" i="3"/>
  <c r="M41" i="3"/>
  <c r="P41" i="3"/>
  <c r="Q41" i="3"/>
  <c r="W41" i="3"/>
  <c r="X41" i="3"/>
  <c r="Y41" i="3"/>
  <c r="K27" i="166"/>
  <c r="K20" i="166"/>
  <c r="K29" i="166"/>
  <c r="AA41" i="3"/>
  <c r="Z41" i="3"/>
  <c r="M42" i="3"/>
  <c r="O42" i="3"/>
  <c r="P42" i="3"/>
  <c r="Q42" i="3"/>
  <c r="W42" i="3"/>
  <c r="X42" i="3"/>
  <c r="T42" i="3"/>
  <c r="Y42" i="3"/>
  <c r="K46" i="167"/>
  <c r="K32" i="167"/>
  <c r="K37" i="167"/>
  <c r="K48" i="167"/>
  <c r="AA42" i="3"/>
  <c r="Z42" i="3"/>
  <c r="N43" i="3"/>
  <c r="P43" i="3"/>
  <c r="Q43" i="3"/>
  <c r="U43" i="3"/>
  <c r="W43" i="3"/>
  <c r="X43" i="3"/>
  <c r="Y43" i="3"/>
  <c r="K40" i="168"/>
  <c r="K42" i="168"/>
  <c r="AA43" i="3"/>
  <c r="Z43" i="3"/>
  <c r="M44" i="3"/>
  <c r="O44" i="3"/>
  <c r="P44" i="3"/>
  <c r="Q44" i="3"/>
  <c r="U44" i="3"/>
  <c r="W44" i="3"/>
  <c r="X44" i="3"/>
  <c r="T44" i="3"/>
  <c r="Y44" i="3"/>
  <c r="K37" i="169"/>
  <c r="K25" i="169"/>
  <c r="K39" i="169"/>
  <c r="AA44" i="3"/>
  <c r="Z44" i="3"/>
  <c r="Q45" i="3"/>
  <c r="X45" i="3"/>
  <c r="Y45" i="3"/>
  <c r="Z45" i="3"/>
  <c r="M46" i="3"/>
  <c r="Q46" i="3"/>
  <c r="U46" i="3"/>
  <c r="W46" i="3"/>
  <c r="X46" i="3"/>
  <c r="Y46" i="3"/>
  <c r="K34" i="170"/>
  <c r="K20" i="170"/>
  <c r="K36" i="170"/>
  <c r="AA46" i="3"/>
  <c r="Z46" i="3"/>
  <c r="M47" i="3"/>
  <c r="Q47" i="3"/>
  <c r="U47" i="3"/>
  <c r="W47" i="3"/>
  <c r="X47" i="3"/>
  <c r="T47" i="3"/>
  <c r="Y47" i="3"/>
  <c r="K45" i="171"/>
  <c r="K23" i="171"/>
  <c r="K47" i="171"/>
  <c r="AA47" i="3"/>
  <c r="Z47" i="3"/>
  <c r="M48" i="3"/>
  <c r="P48" i="3"/>
  <c r="Q48" i="3"/>
  <c r="W48" i="3"/>
  <c r="X48" i="3"/>
  <c r="T48" i="3"/>
  <c r="Y48" i="3"/>
  <c r="K25" i="172"/>
  <c r="K27" i="172"/>
  <c r="AA48" i="3"/>
  <c r="Z48" i="3"/>
  <c r="M49" i="3"/>
  <c r="Q49" i="3"/>
  <c r="Y49" i="3"/>
  <c r="AA49" i="3"/>
  <c r="Z49" i="3"/>
  <c r="M50" i="3"/>
  <c r="O50" i="3"/>
  <c r="P50" i="3"/>
  <c r="Q50" i="3"/>
  <c r="U50" i="3"/>
  <c r="X50" i="3"/>
  <c r="T50" i="3"/>
  <c r="Y50" i="3"/>
  <c r="K58" i="174"/>
  <c r="K28" i="174"/>
  <c r="K60" i="174"/>
  <c r="AA50" i="3"/>
  <c r="Z50" i="3"/>
  <c r="M51" i="3"/>
  <c r="O51" i="3"/>
  <c r="P51" i="3"/>
  <c r="Q51" i="3"/>
  <c r="U51" i="3"/>
  <c r="V51" i="3"/>
  <c r="W51" i="3"/>
  <c r="X51" i="3"/>
  <c r="T51" i="3"/>
  <c r="Y51" i="3"/>
  <c r="K45" i="175"/>
  <c r="K47" i="175"/>
  <c r="AA51" i="3"/>
  <c r="Z51" i="3"/>
  <c r="Z52" i="3"/>
  <c r="M53" i="3"/>
  <c r="O53" i="3"/>
  <c r="Q53" i="3"/>
  <c r="U53" i="3"/>
  <c r="W53" i="3"/>
  <c r="X53" i="3"/>
  <c r="Y53" i="3"/>
  <c r="K47" i="176"/>
  <c r="K24" i="176"/>
  <c r="K49" i="176"/>
  <c r="AA53" i="3"/>
  <c r="Z53" i="3"/>
  <c r="K38" i="177"/>
  <c r="K25" i="177"/>
  <c r="K30" i="177"/>
  <c r="K40" i="177"/>
  <c r="AA54" i="3"/>
  <c r="Z54" i="3"/>
  <c r="Q55" i="3"/>
  <c r="W55" i="3"/>
  <c r="X55" i="3"/>
  <c r="Y55" i="3"/>
  <c r="AA55" i="3"/>
  <c r="Z55" i="3"/>
  <c r="K23" i="179"/>
  <c r="K50" i="179"/>
  <c r="K52" i="179"/>
  <c r="AA56" i="3"/>
  <c r="Z56" i="3"/>
  <c r="Q57" i="3"/>
  <c r="X57" i="3"/>
  <c r="Y57" i="3"/>
  <c r="Z57" i="3"/>
  <c r="M58" i="3"/>
  <c r="N58" i="3"/>
  <c r="P58" i="3"/>
  <c r="Q58" i="3"/>
  <c r="U58" i="3"/>
  <c r="W58" i="3"/>
  <c r="X58" i="3"/>
  <c r="T58" i="3"/>
  <c r="Y58" i="3"/>
  <c r="K29" i="180"/>
  <c r="K35" i="180"/>
  <c r="K44" i="180"/>
  <c r="K46" i="180"/>
  <c r="AA58" i="3"/>
  <c r="Z58" i="3"/>
  <c r="Z59" i="3"/>
  <c r="J31" i="155"/>
  <c r="J20" i="155"/>
  <c r="J33" i="155"/>
  <c r="AA60" i="3"/>
  <c r="Z60" i="3"/>
  <c r="AA61" i="3"/>
  <c r="Z61" i="3"/>
  <c r="Q62" i="3"/>
  <c r="X62" i="3"/>
  <c r="Y62" i="3"/>
  <c r="Z62" i="3"/>
  <c r="M63" i="3"/>
  <c r="O63" i="3"/>
  <c r="P63" i="3"/>
  <c r="Q63" i="3"/>
  <c r="V63" i="3"/>
  <c r="W63" i="3"/>
  <c r="X63" i="3"/>
  <c r="T63" i="3"/>
  <c r="Y63" i="3"/>
  <c r="K39" i="154"/>
  <c r="K28" i="154"/>
  <c r="K41" i="154"/>
  <c r="AA63" i="3"/>
  <c r="Z63" i="3"/>
  <c r="M64" i="3"/>
  <c r="Q64" i="3"/>
  <c r="U64" i="3"/>
  <c r="W64" i="3"/>
  <c r="X64" i="3"/>
  <c r="Y64" i="3"/>
  <c r="K21" i="153"/>
  <c r="K41" i="153"/>
  <c r="K43" i="153"/>
  <c r="AA64" i="3"/>
  <c r="Z64" i="3"/>
  <c r="AA65" i="3"/>
  <c r="Z65" i="3"/>
  <c r="M66" i="3"/>
  <c r="O66" i="3"/>
  <c r="P66" i="3"/>
  <c r="Q66" i="3"/>
  <c r="U66" i="3"/>
  <c r="V66" i="3"/>
  <c r="W66" i="3"/>
  <c r="X66" i="3"/>
  <c r="T66" i="3"/>
  <c r="Y66" i="3"/>
  <c r="I20" i="152"/>
  <c r="I25" i="152"/>
  <c r="I33" i="152"/>
  <c r="I35" i="152"/>
  <c r="AA66" i="3"/>
  <c r="Z66" i="3"/>
  <c r="M67" i="3"/>
  <c r="Q67" i="3"/>
  <c r="U67" i="3"/>
  <c r="W67" i="3"/>
  <c r="X67" i="3"/>
  <c r="T67" i="3"/>
  <c r="Y67" i="3"/>
  <c r="L34" i="142"/>
  <c r="L25" i="142"/>
  <c r="L19" i="142"/>
  <c r="L36" i="142"/>
  <c r="AA67" i="3"/>
  <c r="Z67" i="3"/>
  <c r="Y68" i="3"/>
  <c r="Z68" i="3"/>
  <c r="X69" i="3"/>
  <c r="Y69" i="3"/>
  <c r="Z69" i="3"/>
  <c r="I33" i="150"/>
  <c r="I35" i="150"/>
  <c r="Z70" i="3"/>
  <c r="B37" i="3"/>
  <c r="C37" i="3"/>
  <c r="D37" i="3"/>
  <c r="G37" i="3"/>
  <c r="I37" i="3"/>
  <c r="K13" i="196"/>
  <c r="K37" i="3"/>
  <c r="J37" i="3"/>
  <c r="B31" i="3"/>
  <c r="I31" i="3"/>
  <c r="K10" i="190"/>
  <c r="K31" i="3"/>
  <c r="J31" i="3"/>
  <c r="B33" i="3"/>
  <c r="C33" i="3"/>
  <c r="D33" i="3"/>
  <c r="G33" i="3"/>
  <c r="I33" i="3"/>
  <c r="K12" i="191"/>
  <c r="K33" i="3"/>
  <c r="J33" i="3"/>
  <c r="B32" i="3"/>
  <c r="D32" i="3"/>
  <c r="F32" i="3"/>
  <c r="I32" i="3"/>
  <c r="K18" i="192"/>
  <c r="K32" i="3"/>
  <c r="J32" i="3"/>
  <c r="I34" i="3"/>
  <c r="J34" i="3"/>
  <c r="B35" i="3"/>
  <c r="C35" i="3"/>
  <c r="D35" i="3"/>
  <c r="G35" i="3"/>
  <c r="H35" i="3"/>
  <c r="I35" i="3"/>
  <c r="K15" i="194"/>
  <c r="K35" i="3"/>
  <c r="J35" i="3"/>
  <c r="M42" i="194"/>
  <c r="M44" i="194"/>
  <c r="R33" i="194"/>
  <c r="M15" i="194"/>
  <c r="N39" i="193"/>
  <c r="N40" i="193"/>
  <c r="N41" i="193"/>
  <c r="N42" i="193"/>
  <c r="N43" i="193"/>
  <c r="N44" i="193"/>
  <c r="N46" i="193"/>
  <c r="N47" i="193"/>
  <c r="N48" i="193"/>
  <c r="N49" i="193"/>
  <c r="S26" i="196"/>
  <c r="S27" i="196"/>
  <c r="S28" i="196"/>
  <c r="S31" i="196"/>
  <c r="S33" i="196"/>
  <c r="R31" i="196"/>
  <c r="R33" i="196"/>
  <c r="Q31" i="196"/>
  <c r="Q33" i="196"/>
  <c r="P31" i="196"/>
  <c r="P33" i="196"/>
  <c r="O31" i="196"/>
  <c r="O33" i="196"/>
  <c r="N31" i="196"/>
  <c r="N33" i="196"/>
  <c r="M31" i="196"/>
  <c r="M33" i="196"/>
  <c r="L31" i="196"/>
  <c r="L33" i="196"/>
  <c r="S6" i="196"/>
  <c r="S7" i="196"/>
  <c r="S8" i="196"/>
  <c r="S9" i="196"/>
  <c r="S10" i="196"/>
  <c r="S11" i="196"/>
  <c r="S13" i="196"/>
  <c r="R13" i="196"/>
  <c r="Q13" i="196"/>
  <c r="P13" i="196"/>
  <c r="O13" i="196"/>
  <c r="N13" i="196"/>
  <c r="M13" i="196"/>
  <c r="L13" i="196"/>
  <c r="R21" i="195"/>
  <c r="R23" i="195"/>
  <c r="R24" i="195"/>
  <c r="R25" i="195"/>
  <c r="R26" i="195"/>
  <c r="R27" i="195"/>
  <c r="R28" i="195"/>
  <c r="R30" i="195"/>
  <c r="R14" i="195"/>
  <c r="R15" i="195"/>
  <c r="R16" i="195"/>
  <c r="R18" i="195"/>
  <c r="R32" i="195"/>
  <c r="Q30" i="195"/>
  <c r="Q18" i="195"/>
  <c r="Q32" i="195"/>
  <c r="P30" i="195"/>
  <c r="P18" i="195"/>
  <c r="P32" i="195"/>
  <c r="O30" i="195"/>
  <c r="O18" i="195"/>
  <c r="O32" i="195"/>
  <c r="N30" i="195"/>
  <c r="N18" i="195"/>
  <c r="N32" i="195"/>
  <c r="M30" i="195"/>
  <c r="M18" i="195"/>
  <c r="M32" i="195"/>
  <c r="L30" i="195"/>
  <c r="L18" i="195"/>
  <c r="L32" i="195"/>
  <c r="R6" i="195"/>
  <c r="R7" i="195"/>
  <c r="R8" i="195"/>
  <c r="R10" i="195"/>
  <c r="Q10" i="195"/>
  <c r="P10" i="195"/>
  <c r="O10" i="195"/>
  <c r="N10" i="195"/>
  <c r="M10" i="195"/>
  <c r="L10" i="195"/>
  <c r="R19" i="194"/>
  <c r="R20" i="194"/>
  <c r="R21" i="194"/>
  <c r="R22" i="194"/>
  <c r="R23" i="194"/>
  <c r="R24" i="194"/>
  <c r="R26" i="194"/>
  <c r="R29" i="194"/>
  <c r="R31" i="194"/>
  <c r="R32" i="194"/>
  <c r="R34" i="194"/>
  <c r="R36" i="194"/>
  <c r="R37" i="194"/>
  <c r="R38" i="194"/>
  <c r="R39" i="194"/>
  <c r="R40" i="194"/>
  <c r="R42" i="194"/>
  <c r="R44" i="194"/>
  <c r="Q26" i="194"/>
  <c r="Q42" i="194"/>
  <c r="Q44" i="194"/>
  <c r="P26" i="194"/>
  <c r="P42" i="194"/>
  <c r="P44" i="194"/>
  <c r="O26" i="194"/>
  <c r="O42" i="194"/>
  <c r="O44" i="194"/>
  <c r="N26" i="194"/>
  <c r="N42" i="194"/>
  <c r="N44" i="194"/>
  <c r="L26" i="194"/>
  <c r="L42" i="194"/>
  <c r="L44" i="194"/>
  <c r="R7" i="194"/>
  <c r="R8" i="194"/>
  <c r="R9" i="194"/>
  <c r="R10" i="194"/>
  <c r="R11" i="194"/>
  <c r="R12" i="194"/>
  <c r="R13" i="194"/>
  <c r="R15" i="194"/>
  <c r="Q15" i="194"/>
  <c r="P15" i="194"/>
  <c r="O15" i="194"/>
  <c r="N15" i="194"/>
  <c r="L15" i="194"/>
  <c r="N23" i="193"/>
  <c r="N24" i="193"/>
  <c r="N25" i="193"/>
  <c r="N26" i="193"/>
  <c r="N27" i="193"/>
  <c r="N28" i="193"/>
  <c r="N29" i="193"/>
  <c r="N30" i="193"/>
  <c r="N31" i="193"/>
  <c r="N32" i="193"/>
  <c r="N34" i="193"/>
  <c r="N38" i="193"/>
  <c r="N51" i="193"/>
  <c r="N53" i="193"/>
  <c r="M34" i="193"/>
  <c r="M51" i="193"/>
  <c r="M53" i="193"/>
  <c r="L34" i="193"/>
  <c r="L51" i="193"/>
  <c r="L53" i="193"/>
  <c r="M19" i="193"/>
  <c r="L19" i="193"/>
  <c r="R37" i="192"/>
  <c r="R36" i="192"/>
  <c r="R38" i="192"/>
  <c r="R39" i="192"/>
  <c r="R40" i="192"/>
  <c r="R42" i="192"/>
  <c r="R22" i="192"/>
  <c r="R24" i="192"/>
  <c r="R25" i="192"/>
  <c r="R26" i="192"/>
  <c r="R28" i="192"/>
  <c r="R31" i="192"/>
  <c r="R33" i="192"/>
  <c r="R44" i="192"/>
  <c r="O28" i="192"/>
  <c r="O33" i="192"/>
  <c r="O42" i="192"/>
  <c r="O44" i="192"/>
  <c r="P28" i="192"/>
  <c r="P42" i="192"/>
  <c r="P33" i="192"/>
  <c r="P44" i="192"/>
  <c r="O18" i="192"/>
  <c r="P18" i="192"/>
  <c r="L12" i="170"/>
  <c r="Q28" i="192"/>
  <c r="Q33" i="192"/>
  <c r="Q42" i="192"/>
  <c r="Q44" i="192"/>
  <c r="N28" i="192"/>
  <c r="N33" i="192"/>
  <c r="N42" i="192"/>
  <c r="N44" i="192"/>
  <c r="M28" i="192"/>
  <c r="M33" i="192"/>
  <c r="M42" i="192"/>
  <c r="M44" i="192"/>
  <c r="L28" i="192"/>
  <c r="L33" i="192"/>
  <c r="L42" i="192"/>
  <c r="L44" i="192"/>
  <c r="R7" i="192"/>
  <c r="R8" i="192"/>
  <c r="R9" i="192"/>
  <c r="R10" i="192"/>
  <c r="R11" i="192"/>
  <c r="R12" i="192"/>
  <c r="R13" i="192"/>
  <c r="R14" i="192"/>
  <c r="R15" i="192"/>
  <c r="R16" i="192"/>
  <c r="R18" i="192"/>
  <c r="Q18" i="192"/>
  <c r="N18" i="192"/>
  <c r="M18" i="192"/>
  <c r="L18" i="192"/>
  <c r="S33" i="3"/>
  <c r="S31" i="3"/>
  <c r="S30" i="3"/>
  <c r="K13" i="189"/>
  <c r="K30" i="3"/>
  <c r="D30" i="3"/>
  <c r="B30" i="3"/>
  <c r="S29" i="3"/>
  <c r="K13" i="188"/>
  <c r="K29" i="3"/>
  <c r="G29" i="3"/>
  <c r="D29" i="3"/>
  <c r="B29" i="3"/>
  <c r="K10" i="187"/>
  <c r="S27" i="3"/>
  <c r="K10" i="186"/>
  <c r="K27" i="3"/>
  <c r="D27" i="3"/>
  <c r="B27" i="3"/>
  <c r="R19" i="191"/>
  <c r="R16" i="191"/>
  <c r="R17" i="191"/>
  <c r="R18" i="191"/>
  <c r="R21" i="191"/>
  <c r="L21" i="191"/>
  <c r="M21" i="191"/>
  <c r="N21" i="191"/>
  <c r="P21" i="191"/>
  <c r="Q21" i="191"/>
  <c r="R30" i="191"/>
  <c r="R31" i="191"/>
  <c r="R32" i="191"/>
  <c r="R33" i="191"/>
  <c r="R34" i="191"/>
  <c r="R36" i="191"/>
  <c r="R37" i="191"/>
  <c r="R39" i="191"/>
  <c r="R24" i="191"/>
  <c r="R26" i="191"/>
  <c r="R41" i="191"/>
  <c r="Q39" i="191"/>
  <c r="Q26" i="191"/>
  <c r="Q41" i="191"/>
  <c r="P39" i="191"/>
  <c r="P26" i="191"/>
  <c r="P41" i="191"/>
  <c r="N39" i="191"/>
  <c r="N26" i="191"/>
  <c r="N41" i="191"/>
  <c r="M39" i="191"/>
  <c r="M26" i="191"/>
  <c r="M41" i="191"/>
  <c r="L39" i="191"/>
  <c r="L26" i="191"/>
  <c r="L41" i="191"/>
  <c r="R6" i="191"/>
  <c r="R7" i="191"/>
  <c r="R8" i="191"/>
  <c r="R9" i="191"/>
  <c r="R10" i="191"/>
  <c r="R12" i="191"/>
  <c r="Q12" i="191"/>
  <c r="P12" i="191"/>
  <c r="N12" i="191"/>
  <c r="M12" i="191"/>
  <c r="L12" i="191"/>
  <c r="Q25" i="190"/>
  <c r="Q26" i="190"/>
  <c r="Q27" i="190"/>
  <c r="Q28" i="190"/>
  <c r="Q30" i="190"/>
  <c r="Q14" i="190"/>
  <c r="Q15" i="190"/>
  <c r="Q17" i="190"/>
  <c r="Q20" i="190"/>
  <c r="Q22" i="190"/>
  <c r="Q32" i="190"/>
  <c r="P30" i="190"/>
  <c r="P17" i="190"/>
  <c r="P22" i="190"/>
  <c r="P32" i="190"/>
  <c r="O30" i="190"/>
  <c r="O17" i="190"/>
  <c r="O22" i="190"/>
  <c r="O32" i="190"/>
  <c r="N30" i="190"/>
  <c r="N17" i="190"/>
  <c r="N22" i="190"/>
  <c r="N32" i="190"/>
  <c r="M30" i="190"/>
  <c r="M17" i="190"/>
  <c r="M22" i="190"/>
  <c r="M32" i="190"/>
  <c r="L30" i="190"/>
  <c r="L17" i="190"/>
  <c r="L22" i="190"/>
  <c r="L32" i="190"/>
  <c r="Q6" i="190"/>
  <c r="Q7" i="190"/>
  <c r="Q8" i="190"/>
  <c r="Q10" i="190"/>
  <c r="P10" i="190"/>
  <c r="O10" i="190"/>
  <c r="N10" i="190"/>
  <c r="M10" i="190"/>
  <c r="L10" i="190"/>
  <c r="L31" i="189"/>
  <c r="M31" i="189"/>
  <c r="N31" i="189"/>
  <c r="O31" i="189"/>
  <c r="P31" i="189"/>
  <c r="Q31" i="189"/>
  <c r="R31" i="189"/>
  <c r="T31" i="189"/>
  <c r="L13" i="189"/>
  <c r="M13" i="189"/>
  <c r="N13" i="189"/>
  <c r="O13" i="189"/>
  <c r="P13" i="189"/>
  <c r="Q13" i="189"/>
  <c r="R13" i="189"/>
  <c r="T13" i="189"/>
  <c r="U6" i="189"/>
  <c r="U7" i="189"/>
  <c r="U8" i="189"/>
  <c r="U9" i="189"/>
  <c r="U10" i="189"/>
  <c r="U11" i="189"/>
  <c r="U13" i="189"/>
  <c r="U17" i="189"/>
  <c r="U18" i="189"/>
  <c r="T33" i="189"/>
  <c r="R33" i="189"/>
  <c r="Q33" i="189"/>
  <c r="P33" i="189"/>
  <c r="O33" i="189"/>
  <c r="N33" i="189"/>
  <c r="M33" i="189"/>
  <c r="L33" i="189"/>
  <c r="S7" i="188"/>
  <c r="S8" i="188"/>
  <c r="S9" i="188"/>
  <c r="S10" i="188"/>
  <c r="S11" i="188"/>
  <c r="S21" i="188"/>
  <c r="S22" i="188"/>
  <c r="S23" i="188"/>
  <c r="S25" i="188"/>
  <c r="S31" i="188"/>
  <c r="L27" i="188"/>
  <c r="M27" i="188"/>
  <c r="N27" i="188"/>
  <c r="O27" i="188"/>
  <c r="P27" i="188"/>
  <c r="Q27" i="188"/>
  <c r="R27" i="188"/>
  <c r="S17" i="188"/>
  <c r="S18" i="188"/>
  <c r="S19" i="188"/>
  <c r="S20" i="188"/>
  <c r="S27" i="188"/>
  <c r="S32" i="188"/>
  <c r="S33" i="188"/>
  <c r="S34" i="188"/>
  <c r="S35" i="188"/>
  <c r="S37" i="188"/>
  <c r="S39" i="188"/>
  <c r="R37" i="188"/>
  <c r="R39" i="188"/>
  <c r="Q37" i="188"/>
  <c r="Q39" i="188"/>
  <c r="P37" i="188"/>
  <c r="P39" i="188"/>
  <c r="O37" i="188"/>
  <c r="O39" i="188"/>
  <c r="N37" i="188"/>
  <c r="N39" i="188"/>
  <c r="M37" i="188"/>
  <c r="M39" i="188"/>
  <c r="L37" i="188"/>
  <c r="L39" i="188"/>
  <c r="S6" i="188"/>
  <c r="S13" i="188"/>
  <c r="R13" i="188"/>
  <c r="Q13" i="188"/>
  <c r="P13" i="188"/>
  <c r="O13" i="188"/>
  <c r="N13" i="188"/>
  <c r="M13" i="188"/>
  <c r="L13" i="188"/>
  <c r="R7" i="187"/>
  <c r="L18" i="187"/>
  <c r="L32" i="187"/>
  <c r="L34" i="187"/>
  <c r="N32" i="187"/>
  <c r="N34" i="187"/>
  <c r="O32" i="187"/>
  <c r="O34" i="187"/>
  <c r="P32" i="187"/>
  <c r="P34" i="187"/>
  <c r="Q32" i="187"/>
  <c r="Q34" i="187"/>
  <c r="R14" i="187"/>
  <c r="R15" i="187"/>
  <c r="R16" i="187"/>
  <c r="R18" i="187"/>
  <c r="R22" i="187"/>
  <c r="R23" i="187"/>
  <c r="R24" i="187"/>
  <c r="R26" i="187"/>
  <c r="R27" i="187"/>
  <c r="R29" i="187"/>
  <c r="R28" i="187"/>
  <c r="R30" i="187"/>
  <c r="R32" i="187"/>
  <c r="R34" i="187"/>
  <c r="R6" i="187"/>
  <c r="R8" i="187"/>
  <c r="R10" i="187"/>
  <c r="Q10" i="187"/>
  <c r="P10" i="187"/>
  <c r="O10" i="187"/>
  <c r="N10" i="187"/>
  <c r="L10" i="187"/>
  <c r="R16" i="186"/>
  <c r="R29" i="186"/>
  <c r="R30" i="186"/>
  <c r="R22" i="186"/>
  <c r="R23" i="186"/>
  <c r="R24" i="186"/>
  <c r="R25" i="186"/>
  <c r="R26" i="186"/>
  <c r="R27" i="186"/>
  <c r="R28" i="186"/>
  <c r="P18" i="186"/>
  <c r="Q18" i="186"/>
  <c r="R14" i="186"/>
  <c r="R15" i="186"/>
  <c r="R18" i="186"/>
  <c r="O18" i="186"/>
  <c r="L18" i="186"/>
  <c r="L32" i="186"/>
  <c r="L34" i="186"/>
  <c r="M18" i="186"/>
  <c r="M32" i="186"/>
  <c r="M34" i="186"/>
  <c r="N18" i="186"/>
  <c r="N32" i="186"/>
  <c r="N34" i="186"/>
  <c r="O32" i="186"/>
  <c r="O34" i="186"/>
  <c r="P32" i="186"/>
  <c r="P34" i="186"/>
  <c r="Q32" i="186"/>
  <c r="Q34" i="186"/>
  <c r="R32" i="186"/>
  <c r="R34" i="186"/>
  <c r="R6" i="186"/>
  <c r="R7" i="186"/>
  <c r="R8" i="186"/>
  <c r="R10" i="186"/>
  <c r="Q10" i="186"/>
  <c r="P10" i="186"/>
  <c r="O10" i="186"/>
  <c r="N10" i="186"/>
  <c r="M10" i="186"/>
  <c r="L10" i="186"/>
  <c r="S26" i="3"/>
  <c r="K26" i="3"/>
  <c r="B26" i="3"/>
  <c r="L24" i="185"/>
  <c r="L41" i="185"/>
  <c r="M24" i="185"/>
  <c r="M41" i="185"/>
  <c r="N24" i="185"/>
  <c r="N41" i="185"/>
  <c r="O24" i="185"/>
  <c r="O41" i="185"/>
  <c r="P24" i="185"/>
  <c r="P41" i="185"/>
  <c r="P31" i="169"/>
  <c r="P32" i="169"/>
  <c r="P33" i="169"/>
  <c r="P34" i="169"/>
  <c r="P35" i="169"/>
  <c r="P37" i="169"/>
  <c r="P18" i="169"/>
  <c r="P19" i="169"/>
  <c r="P20" i="169"/>
  <c r="P21" i="169"/>
  <c r="P22" i="169"/>
  <c r="P23" i="169"/>
  <c r="P25" i="169"/>
  <c r="P28" i="169"/>
  <c r="P39" i="169"/>
  <c r="G54" i="3"/>
  <c r="D54" i="3"/>
  <c r="S25" i="3"/>
  <c r="K13" i="184"/>
  <c r="K25" i="3"/>
  <c r="G25" i="3"/>
  <c r="D25" i="3"/>
  <c r="B25" i="3"/>
  <c r="S24" i="3"/>
  <c r="K24" i="3"/>
  <c r="B24" i="3"/>
  <c r="L27" i="183"/>
  <c r="L21" i="183"/>
  <c r="L16" i="183"/>
  <c r="L29" i="183"/>
  <c r="M27" i="183"/>
  <c r="M21" i="183"/>
  <c r="M16" i="183"/>
  <c r="M29" i="183"/>
  <c r="N27" i="183"/>
  <c r="N21" i="183"/>
  <c r="N16" i="183"/>
  <c r="N29" i="183"/>
  <c r="O27" i="183"/>
  <c r="O21" i="183"/>
  <c r="O16" i="183"/>
  <c r="O29" i="183"/>
  <c r="P27" i="183"/>
  <c r="P21" i="183"/>
  <c r="P16" i="183"/>
  <c r="P29" i="183"/>
  <c r="R27" i="183"/>
  <c r="R21" i="183"/>
  <c r="R16" i="183"/>
  <c r="R29" i="183"/>
  <c r="S24" i="183"/>
  <c r="S25" i="183"/>
  <c r="S27" i="183"/>
  <c r="S19" i="183"/>
  <c r="S21" i="183"/>
  <c r="S14" i="183"/>
  <c r="S16" i="183"/>
  <c r="S29" i="183"/>
  <c r="T21" i="183"/>
  <c r="U21" i="183"/>
  <c r="V21" i="183"/>
  <c r="W21" i="183"/>
  <c r="X21" i="183"/>
  <c r="Y21" i="183"/>
  <c r="Z21" i="183"/>
  <c r="AA21" i="183"/>
  <c r="I11" i="150"/>
  <c r="K10" i="143"/>
  <c r="S67" i="3"/>
  <c r="L13" i="142"/>
  <c r="K67" i="3"/>
  <c r="G67" i="3"/>
  <c r="D67" i="3"/>
  <c r="C67" i="3"/>
  <c r="B67" i="3"/>
  <c r="S66" i="3"/>
  <c r="I11" i="152"/>
  <c r="K66" i="3"/>
  <c r="H66" i="3"/>
  <c r="D66" i="3"/>
  <c r="C66" i="3"/>
  <c r="B66" i="3"/>
  <c r="S65" i="3"/>
  <c r="K14" i="151"/>
  <c r="K65" i="3"/>
  <c r="G65" i="3"/>
  <c r="D65" i="3"/>
  <c r="B65" i="3"/>
  <c r="S64" i="3"/>
  <c r="K13" i="153"/>
  <c r="K64" i="3"/>
  <c r="D64" i="3"/>
  <c r="B64" i="3"/>
  <c r="S63" i="3"/>
  <c r="K17" i="154"/>
  <c r="K63" i="3"/>
  <c r="G63" i="3"/>
  <c r="D63" i="3"/>
  <c r="B63" i="3"/>
  <c r="S61" i="3"/>
  <c r="K23" i="182"/>
  <c r="K61" i="3"/>
  <c r="F61" i="3"/>
  <c r="S60" i="3"/>
  <c r="J13" i="155"/>
  <c r="K60" i="3"/>
  <c r="D60" i="3"/>
  <c r="B60" i="3"/>
  <c r="S59" i="3"/>
  <c r="K13" i="181"/>
  <c r="K59" i="3"/>
  <c r="G59" i="3"/>
  <c r="D59" i="3"/>
  <c r="B59" i="3"/>
  <c r="S58" i="3"/>
  <c r="K58" i="3"/>
  <c r="H58" i="3"/>
  <c r="G58" i="3"/>
  <c r="D58" i="3"/>
  <c r="C58" i="3"/>
  <c r="B58" i="3"/>
  <c r="S56" i="3"/>
  <c r="K12" i="179"/>
  <c r="K56" i="3"/>
  <c r="G56" i="3"/>
  <c r="D56" i="3"/>
  <c r="B56" i="3"/>
  <c r="S55" i="3"/>
  <c r="K16" i="178"/>
  <c r="K55" i="3"/>
  <c r="H55" i="3"/>
  <c r="G55" i="3"/>
  <c r="D55" i="3"/>
  <c r="B55" i="3"/>
  <c r="S54" i="3"/>
  <c r="L54" i="3"/>
  <c r="K16" i="177"/>
  <c r="K54" i="3"/>
  <c r="H54" i="3"/>
  <c r="F54" i="3"/>
  <c r="B54" i="3"/>
  <c r="T29" i="142"/>
  <c r="T30" i="142"/>
  <c r="T31" i="142"/>
  <c r="T32" i="142"/>
  <c r="T28" i="142"/>
  <c r="T22" i="142"/>
  <c r="T23" i="142"/>
  <c r="T17" i="142"/>
  <c r="T6" i="142"/>
  <c r="T7" i="142"/>
  <c r="T8" i="142"/>
  <c r="T9" i="142"/>
  <c r="T10" i="142"/>
  <c r="T11" i="142"/>
  <c r="T5" i="142"/>
  <c r="O19" i="142"/>
  <c r="O25" i="142"/>
  <c r="O36" i="142"/>
  <c r="P19" i="142"/>
  <c r="P34" i="142"/>
  <c r="P25" i="142"/>
  <c r="P36" i="142"/>
  <c r="Q19" i="142"/>
  <c r="Q34" i="142"/>
  <c r="Q25" i="142"/>
  <c r="Q36" i="142"/>
  <c r="R19" i="142"/>
  <c r="R25" i="142"/>
  <c r="R34" i="142"/>
  <c r="R36" i="142"/>
  <c r="S19" i="142"/>
  <c r="S25" i="142"/>
  <c r="S34" i="142"/>
  <c r="S36" i="142"/>
  <c r="T19" i="142"/>
  <c r="T25" i="142"/>
  <c r="T34" i="142"/>
  <c r="T36" i="142"/>
  <c r="O13" i="142"/>
  <c r="P13" i="142"/>
  <c r="Q13" i="142"/>
  <c r="T13" i="142"/>
  <c r="O23" i="182"/>
  <c r="S7" i="182"/>
  <c r="S8" i="182"/>
  <c r="S9" i="182"/>
  <c r="S11" i="182"/>
  <c r="S12" i="182"/>
  <c r="S13" i="182"/>
  <c r="S14" i="182"/>
  <c r="S15" i="182"/>
  <c r="S16" i="182"/>
  <c r="S17" i="182"/>
  <c r="S18" i="182"/>
  <c r="S19" i="182"/>
  <c r="S20" i="182"/>
  <c r="S21" i="182"/>
  <c r="S23" i="182"/>
  <c r="R23" i="182"/>
  <c r="K12" i="171"/>
  <c r="K16" i="171"/>
  <c r="L23" i="3"/>
  <c r="L50" i="3"/>
  <c r="L51" i="3"/>
  <c r="L72" i="3"/>
  <c r="Q23" i="182"/>
  <c r="P23" i="182"/>
  <c r="N23" i="182"/>
  <c r="M23" i="182"/>
  <c r="L23" i="182"/>
  <c r="P33" i="181"/>
  <c r="P35" i="181"/>
  <c r="O20" i="181"/>
  <c r="O33" i="181"/>
  <c r="O35" i="181"/>
  <c r="N33" i="181"/>
  <c r="O13" i="155"/>
  <c r="O31" i="155"/>
  <c r="O33" i="155"/>
  <c r="P13" i="155"/>
  <c r="P31" i="155"/>
  <c r="P33" i="155"/>
  <c r="R24" i="155"/>
  <c r="R25" i="155"/>
  <c r="Q28" i="181"/>
  <c r="Q29" i="181"/>
  <c r="Q31" i="181"/>
  <c r="Q33" i="181"/>
  <c r="Q16" i="181"/>
  <c r="Q17" i="181"/>
  <c r="Q18" i="181"/>
  <c r="Q20" i="181"/>
  <c r="Q35" i="181"/>
  <c r="N20" i="181"/>
  <c r="N35" i="181"/>
  <c r="M33" i="181"/>
  <c r="M20" i="181"/>
  <c r="M35" i="181"/>
  <c r="L33" i="181"/>
  <c r="L20" i="181"/>
  <c r="L35" i="181"/>
  <c r="Q7" i="181"/>
  <c r="Q8" i="181"/>
  <c r="Q9" i="181"/>
  <c r="Q10" i="181"/>
  <c r="Q11" i="181"/>
  <c r="Q13" i="181"/>
  <c r="P13" i="181"/>
  <c r="O13" i="181"/>
  <c r="N13" i="181"/>
  <c r="M13" i="181"/>
  <c r="L13" i="181"/>
  <c r="L29" i="180"/>
  <c r="L35" i="180"/>
  <c r="L44" i="180"/>
  <c r="L46" i="180"/>
  <c r="M35" i="180"/>
  <c r="M46" i="180"/>
  <c r="N35" i="180"/>
  <c r="N44" i="180"/>
  <c r="N46" i="180"/>
  <c r="O35" i="180"/>
  <c r="O44" i="180"/>
  <c r="O46" i="180"/>
  <c r="S17" i="179"/>
  <c r="S18" i="179"/>
  <c r="S19" i="179"/>
  <c r="S20" i="179"/>
  <c r="S21" i="179"/>
  <c r="S16" i="179"/>
  <c r="S23" i="179"/>
  <c r="S26" i="179"/>
  <c r="S52" i="179"/>
  <c r="R50" i="179"/>
  <c r="R23" i="179"/>
  <c r="R52" i="179"/>
  <c r="Q50" i="179"/>
  <c r="Q23" i="179"/>
  <c r="Q52" i="179"/>
  <c r="P50" i="179"/>
  <c r="P23" i="179"/>
  <c r="P52" i="179"/>
  <c r="O50" i="179"/>
  <c r="O23" i="179"/>
  <c r="O52" i="179"/>
  <c r="N50" i="179"/>
  <c r="N23" i="179"/>
  <c r="N52" i="179"/>
  <c r="M50" i="179"/>
  <c r="M23" i="179"/>
  <c r="M52" i="179"/>
  <c r="L50" i="179"/>
  <c r="L23" i="179"/>
  <c r="L52" i="179"/>
  <c r="R12" i="179"/>
  <c r="Q12" i="179"/>
  <c r="P12" i="179"/>
  <c r="O12" i="179"/>
  <c r="N12" i="179"/>
  <c r="M12" i="179"/>
  <c r="L12" i="179"/>
  <c r="R16" i="178"/>
  <c r="Q16" i="178"/>
  <c r="P16" i="178"/>
  <c r="T7" i="178"/>
  <c r="T6" i="178"/>
  <c r="T8" i="178"/>
  <c r="T9" i="178"/>
  <c r="T10" i="178"/>
  <c r="T12" i="178"/>
  <c r="T13" i="178"/>
  <c r="T14" i="178"/>
  <c r="T16" i="178"/>
  <c r="S16" i="178"/>
  <c r="O16" i="178"/>
  <c r="N16" i="178"/>
  <c r="M16" i="178"/>
  <c r="L16" i="178"/>
  <c r="P25" i="177"/>
  <c r="P38" i="177"/>
  <c r="P40" i="177"/>
  <c r="P16" i="177"/>
  <c r="T6" i="177"/>
  <c r="S23" i="3"/>
  <c r="K20" i="162"/>
  <c r="K23" i="3"/>
  <c r="G23" i="3"/>
  <c r="E23" i="3"/>
  <c r="D23" i="3"/>
  <c r="C23" i="3"/>
  <c r="B23" i="3"/>
  <c r="P13" i="162"/>
  <c r="P14" i="162"/>
  <c r="P15" i="162"/>
  <c r="P16" i="162"/>
  <c r="P17" i="162"/>
  <c r="P26" i="162"/>
  <c r="P27" i="162"/>
  <c r="P28" i="162"/>
  <c r="P29" i="162"/>
  <c r="P34" i="162"/>
  <c r="P42" i="162"/>
  <c r="P43" i="162"/>
  <c r="P44" i="162"/>
  <c r="P45" i="162"/>
  <c r="S53" i="3"/>
  <c r="K14" i="176"/>
  <c r="K53" i="3"/>
  <c r="G53" i="3"/>
  <c r="E53" i="3"/>
  <c r="D53" i="3"/>
  <c r="C53" i="3"/>
  <c r="B53" i="3"/>
  <c r="P47" i="176"/>
  <c r="Q11" i="176"/>
  <c r="Q12" i="176"/>
  <c r="T33" i="177"/>
  <c r="T34" i="177"/>
  <c r="T35" i="177"/>
  <c r="T36" i="177"/>
  <c r="T38" i="177"/>
  <c r="T20" i="177"/>
  <c r="T21" i="177"/>
  <c r="T22" i="177"/>
  <c r="T23" i="177"/>
  <c r="T25" i="177"/>
  <c r="T28" i="177"/>
  <c r="T30" i="177"/>
  <c r="T40" i="177"/>
  <c r="S38" i="177"/>
  <c r="S25" i="177"/>
  <c r="S30" i="177"/>
  <c r="S40" i="177"/>
  <c r="O38" i="177"/>
  <c r="O25" i="177"/>
  <c r="O30" i="177"/>
  <c r="O40" i="177"/>
  <c r="N38" i="177"/>
  <c r="N25" i="177"/>
  <c r="N30" i="177"/>
  <c r="N40" i="177"/>
  <c r="M38" i="177"/>
  <c r="M25" i="177"/>
  <c r="M30" i="177"/>
  <c r="M40" i="177"/>
  <c r="L38" i="177"/>
  <c r="L25" i="177"/>
  <c r="L30" i="177"/>
  <c r="L40" i="177"/>
  <c r="T7" i="177"/>
  <c r="T8" i="177"/>
  <c r="T9" i="177"/>
  <c r="T10" i="177"/>
  <c r="T11" i="177"/>
  <c r="T12" i="177"/>
  <c r="T13" i="177"/>
  <c r="T14" i="177"/>
  <c r="T16" i="177"/>
  <c r="S16" i="177"/>
  <c r="O16" i="177"/>
  <c r="N16" i="177"/>
  <c r="M16" i="177"/>
  <c r="L16" i="177"/>
  <c r="P24" i="176"/>
  <c r="P49" i="176"/>
  <c r="M24" i="176"/>
  <c r="M47" i="176"/>
  <c r="M49" i="176"/>
  <c r="L24" i="176"/>
  <c r="L47" i="176"/>
  <c r="L49" i="176"/>
  <c r="Q7" i="176"/>
  <c r="Q8" i="176"/>
  <c r="Q9" i="176"/>
  <c r="Q10" i="176"/>
  <c r="Q14" i="176"/>
  <c r="M14" i="176"/>
  <c r="L14" i="176"/>
  <c r="S51" i="3"/>
  <c r="K19" i="175"/>
  <c r="K51" i="3"/>
  <c r="F51" i="3"/>
  <c r="H51" i="3"/>
  <c r="G51" i="3"/>
  <c r="D51" i="3"/>
  <c r="C51" i="3"/>
  <c r="B51" i="3"/>
  <c r="P14" i="175"/>
  <c r="P15" i="175"/>
  <c r="P16" i="175"/>
  <c r="S50" i="3"/>
  <c r="K50" i="3"/>
  <c r="H50" i="3"/>
  <c r="G50" i="3"/>
  <c r="C50" i="3"/>
  <c r="B50" i="3"/>
  <c r="N58" i="174"/>
  <c r="N28" i="174"/>
  <c r="N60" i="174"/>
  <c r="O58" i="174"/>
  <c r="P23" i="174"/>
  <c r="P24" i="174"/>
  <c r="P25" i="174"/>
  <c r="P26" i="174"/>
  <c r="P31" i="174"/>
  <c r="P32" i="174"/>
  <c r="P39" i="175"/>
  <c r="P40" i="175"/>
  <c r="P41" i="175"/>
  <c r="P42" i="175"/>
  <c r="P43" i="175"/>
  <c r="P45" i="175"/>
  <c r="P23" i="175"/>
  <c r="P24" i="175"/>
  <c r="P25" i="175"/>
  <c r="P26" i="175"/>
  <c r="P27" i="175"/>
  <c r="P28" i="175"/>
  <c r="P30" i="175"/>
  <c r="P47" i="175"/>
  <c r="O45" i="175"/>
  <c r="O30" i="175"/>
  <c r="O47" i="175"/>
  <c r="N30" i="175"/>
  <c r="N47" i="175"/>
  <c r="M45" i="175"/>
  <c r="M30" i="175"/>
  <c r="M47" i="175"/>
  <c r="L45" i="175"/>
  <c r="L30" i="175"/>
  <c r="L47" i="175"/>
  <c r="P7" i="175"/>
  <c r="P8" i="175"/>
  <c r="P10" i="175"/>
  <c r="P11" i="175"/>
  <c r="P12" i="175"/>
  <c r="P13" i="175"/>
  <c r="P17" i="175"/>
  <c r="P19" i="175"/>
  <c r="O19" i="175"/>
  <c r="N19" i="175"/>
  <c r="M19" i="175"/>
  <c r="L19" i="175"/>
  <c r="P21" i="174"/>
  <c r="P22" i="174"/>
  <c r="P28" i="174"/>
  <c r="P60" i="174"/>
  <c r="O28" i="174"/>
  <c r="O60" i="174"/>
  <c r="M58" i="174"/>
  <c r="M28" i="174"/>
  <c r="M60" i="174"/>
  <c r="L58" i="174"/>
  <c r="L28" i="174"/>
  <c r="L60" i="174"/>
  <c r="S49" i="3"/>
  <c r="K49" i="3"/>
  <c r="B49" i="3"/>
  <c r="S48" i="3"/>
  <c r="K10" i="172"/>
  <c r="K48" i="3"/>
  <c r="D48" i="3"/>
  <c r="B48" i="3"/>
  <c r="Q8" i="172"/>
  <c r="Q7" i="172"/>
  <c r="S47" i="3"/>
  <c r="K47" i="3"/>
  <c r="H47" i="3"/>
  <c r="D47" i="3"/>
  <c r="C47" i="3"/>
  <c r="B47" i="3"/>
  <c r="Q23" i="171"/>
  <c r="Q45" i="171"/>
  <c r="Q47" i="171"/>
  <c r="Q12" i="171"/>
  <c r="R8" i="171"/>
  <c r="R7" i="171"/>
  <c r="R6" i="171"/>
  <c r="L12" i="171"/>
  <c r="L16" i="171"/>
  <c r="M12" i="171"/>
  <c r="M16" i="171"/>
  <c r="N12" i="171"/>
  <c r="N16" i="171"/>
  <c r="O12" i="171"/>
  <c r="O16" i="171"/>
  <c r="P12" i="171"/>
  <c r="P16" i="171"/>
  <c r="Q16" i="171"/>
  <c r="R12" i="171"/>
  <c r="R16" i="171"/>
  <c r="P45" i="171"/>
  <c r="P23" i="171"/>
  <c r="P47" i="171"/>
  <c r="O45" i="171"/>
  <c r="O23" i="171"/>
  <c r="O47" i="171"/>
  <c r="N45" i="171"/>
  <c r="N23" i="171"/>
  <c r="N47" i="171"/>
  <c r="M45" i="171"/>
  <c r="M23" i="171"/>
  <c r="M47" i="171"/>
  <c r="L45" i="171"/>
  <c r="L23" i="171"/>
  <c r="L47" i="171"/>
  <c r="S46" i="3"/>
  <c r="K12" i="170"/>
  <c r="K46" i="3"/>
  <c r="D46" i="3"/>
  <c r="B46" i="3"/>
  <c r="O29" i="170"/>
  <c r="O26" i="170"/>
  <c r="O24" i="170"/>
  <c r="O25" i="170"/>
  <c r="O28" i="170"/>
  <c r="S44" i="3"/>
  <c r="K14" i="169"/>
  <c r="K44" i="3"/>
  <c r="H44" i="3"/>
  <c r="G44" i="3"/>
  <c r="F44" i="3"/>
  <c r="D44" i="3"/>
  <c r="C44" i="3"/>
  <c r="B44" i="3"/>
  <c r="P10" i="169"/>
  <c r="P11" i="169"/>
  <c r="S43" i="3"/>
  <c r="K19" i="168"/>
  <c r="K43" i="3"/>
  <c r="H43" i="3"/>
  <c r="G43" i="3"/>
  <c r="E43" i="3"/>
  <c r="D43" i="3"/>
  <c r="C43" i="3"/>
  <c r="B43" i="3"/>
  <c r="P28" i="168"/>
  <c r="P40" i="168"/>
  <c r="P42" i="168"/>
  <c r="R26" i="168"/>
  <c r="P19" i="168"/>
  <c r="P25" i="172"/>
  <c r="P27" i="172"/>
  <c r="N25" i="172"/>
  <c r="N27" i="172"/>
  <c r="L25" i="172"/>
  <c r="L27" i="172"/>
  <c r="Q10" i="172"/>
  <c r="P10" i="172"/>
  <c r="O10" i="172"/>
  <c r="N10" i="172"/>
  <c r="M10" i="172"/>
  <c r="L10" i="172"/>
  <c r="P20" i="170"/>
  <c r="P34" i="170"/>
  <c r="P36" i="170"/>
  <c r="O20" i="170"/>
  <c r="O30" i="170"/>
  <c r="O31" i="170"/>
  <c r="O32" i="170"/>
  <c r="O34" i="170"/>
  <c r="O36" i="170"/>
  <c r="N20" i="170"/>
  <c r="N34" i="170"/>
  <c r="N36" i="170"/>
  <c r="M20" i="170"/>
  <c r="M34" i="170"/>
  <c r="M36" i="170"/>
  <c r="L20" i="170"/>
  <c r="L34" i="170"/>
  <c r="L36" i="170"/>
  <c r="N12" i="170"/>
  <c r="M12" i="170"/>
  <c r="O37" i="169"/>
  <c r="O25" i="169"/>
  <c r="O39" i="169"/>
  <c r="N37" i="169"/>
  <c r="N25" i="169"/>
  <c r="N39" i="169"/>
  <c r="M37" i="169"/>
  <c r="M25" i="169"/>
  <c r="M39" i="169"/>
  <c r="L37" i="169"/>
  <c r="L25" i="169"/>
  <c r="L39" i="169"/>
  <c r="P7" i="169"/>
  <c r="P8" i="169"/>
  <c r="P9" i="169"/>
  <c r="P12" i="169"/>
  <c r="P14" i="169"/>
  <c r="O14" i="169"/>
  <c r="N14" i="169"/>
  <c r="M14" i="169"/>
  <c r="L14" i="169"/>
  <c r="R23" i="168"/>
  <c r="R24" i="168"/>
  <c r="R25" i="168"/>
  <c r="R28" i="168"/>
  <c r="R33" i="168"/>
  <c r="R34" i="168"/>
  <c r="R36" i="168"/>
  <c r="R37" i="168"/>
  <c r="R38" i="168"/>
  <c r="R40" i="168"/>
  <c r="R42" i="168"/>
  <c r="Q28" i="168"/>
  <c r="Q40" i="168"/>
  <c r="Q42" i="168"/>
  <c r="O28" i="168"/>
  <c r="O40" i="168"/>
  <c r="O42" i="168"/>
  <c r="N28" i="168"/>
  <c r="N40" i="168"/>
  <c r="N42" i="168"/>
  <c r="M28" i="168"/>
  <c r="M40" i="168"/>
  <c r="M42" i="168"/>
  <c r="L28" i="168"/>
  <c r="L40" i="168"/>
  <c r="L42" i="168"/>
  <c r="R7" i="168"/>
  <c r="R8" i="168"/>
  <c r="R10" i="168"/>
  <c r="R11" i="168"/>
  <c r="R12" i="168"/>
  <c r="R13" i="168"/>
  <c r="R14" i="168"/>
  <c r="R15" i="168"/>
  <c r="R16" i="168"/>
  <c r="R17" i="168"/>
  <c r="R19" i="168"/>
  <c r="Q19" i="168"/>
  <c r="O19" i="168"/>
  <c r="N19" i="168"/>
  <c r="M19" i="168"/>
  <c r="L19" i="168"/>
  <c r="S42" i="3"/>
  <c r="K21" i="167"/>
  <c r="K42" i="3"/>
  <c r="G42" i="3"/>
  <c r="F42" i="3"/>
  <c r="D42" i="3"/>
  <c r="C42" i="3"/>
  <c r="B42" i="3"/>
  <c r="S42" i="167"/>
  <c r="S43" i="167"/>
  <c r="S44" i="167"/>
  <c r="S41" i="3"/>
  <c r="K11" i="166"/>
  <c r="K41" i="3"/>
  <c r="D41" i="3"/>
  <c r="B41" i="3"/>
  <c r="S40" i="3"/>
  <c r="K12" i="165"/>
  <c r="K40" i="3"/>
  <c r="G40" i="3"/>
  <c r="D40" i="3"/>
  <c r="C40" i="3"/>
  <c r="S23" i="165"/>
  <c r="S39" i="3"/>
  <c r="K12" i="164"/>
  <c r="K39" i="3"/>
  <c r="D39" i="3"/>
  <c r="B39" i="3"/>
  <c r="L19" i="164"/>
  <c r="S38" i="3"/>
  <c r="K19" i="163"/>
  <c r="K38" i="3"/>
  <c r="G38" i="3"/>
  <c r="F38" i="3"/>
  <c r="D38" i="3"/>
  <c r="C38" i="3"/>
  <c r="Q8" i="163"/>
  <c r="Q10" i="163"/>
  <c r="Q13" i="163"/>
  <c r="Q14" i="163"/>
  <c r="Q15" i="163"/>
  <c r="Q16" i="163"/>
  <c r="Q17" i="163"/>
  <c r="S40" i="167"/>
  <c r="S41" i="167"/>
  <c r="S46" i="167"/>
  <c r="S24" i="167"/>
  <c r="S25" i="167"/>
  <c r="S26" i="167"/>
  <c r="S27" i="167"/>
  <c r="S28" i="167"/>
  <c r="S29" i="167"/>
  <c r="S30" i="167"/>
  <c r="S32" i="167"/>
  <c r="S35" i="167"/>
  <c r="S37" i="167"/>
  <c r="S48" i="167"/>
  <c r="R46" i="167"/>
  <c r="R32" i="167"/>
  <c r="R37" i="167"/>
  <c r="R48" i="167"/>
  <c r="Q46" i="167"/>
  <c r="Q32" i="167"/>
  <c r="Q37" i="167"/>
  <c r="Q48" i="167"/>
  <c r="P46" i="167"/>
  <c r="P32" i="167"/>
  <c r="P37" i="167"/>
  <c r="P48" i="167"/>
  <c r="O46" i="167"/>
  <c r="O32" i="167"/>
  <c r="O37" i="167"/>
  <c r="O48" i="167"/>
  <c r="N46" i="167"/>
  <c r="N32" i="167"/>
  <c r="N37" i="167"/>
  <c r="N48" i="167"/>
  <c r="M46" i="167"/>
  <c r="M32" i="167"/>
  <c r="M37" i="167"/>
  <c r="M48" i="167"/>
  <c r="L46" i="167"/>
  <c r="L32" i="167"/>
  <c r="L37" i="167"/>
  <c r="L48" i="167"/>
  <c r="S7" i="167"/>
  <c r="S8" i="167"/>
  <c r="S9" i="167"/>
  <c r="S10" i="167"/>
  <c r="S12" i="167"/>
  <c r="S13" i="167"/>
  <c r="S14" i="167"/>
  <c r="S15" i="167"/>
  <c r="S16" i="167"/>
  <c r="S17" i="167"/>
  <c r="S18" i="167"/>
  <c r="S19" i="167"/>
  <c r="S21" i="167"/>
  <c r="R21" i="167"/>
  <c r="Q21" i="167"/>
  <c r="P21" i="167"/>
  <c r="O21" i="167"/>
  <c r="N21" i="167"/>
  <c r="M21" i="167"/>
  <c r="L21" i="167"/>
  <c r="S26" i="165"/>
  <c r="S27" i="165"/>
  <c r="S28" i="165"/>
  <c r="S30" i="165"/>
  <c r="S15" i="165"/>
  <c r="S16" i="165"/>
  <c r="S17" i="165"/>
  <c r="S18" i="165"/>
  <c r="S20" i="165"/>
  <c r="S32" i="165"/>
  <c r="R30" i="165"/>
  <c r="R20" i="165"/>
  <c r="R32" i="165"/>
  <c r="Q30" i="165"/>
  <c r="Q20" i="165"/>
  <c r="Q32" i="165"/>
  <c r="P30" i="165"/>
  <c r="P20" i="165"/>
  <c r="P32" i="165"/>
  <c r="O30" i="165"/>
  <c r="O20" i="165"/>
  <c r="O32" i="165"/>
  <c r="N30" i="165"/>
  <c r="N20" i="165"/>
  <c r="N32" i="165"/>
  <c r="M30" i="165"/>
  <c r="M20" i="165"/>
  <c r="M32" i="165"/>
  <c r="L30" i="165"/>
  <c r="L20" i="165"/>
  <c r="L32" i="165"/>
  <c r="S7" i="165"/>
  <c r="S8" i="165"/>
  <c r="S9" i="165"/>
  <c r="S10" i="165"/>
  <c r="S12" i="165"/>
  <c r="R12" i="165"/>
  <c r="Q12" i="165"/>
  <c r="P12" i="165"/>
  <c r="O12" i="165"/>
  <c r="N12" i="165"/>
  <c r="M12" i="165"/>
  <c r="L12" i="165"/>
  <c r="S22" i="164"/>
  <c r="S23" i="164"/>
  <c r="S25" i="164"/>
  <c r="S17" i="164"/>
  <c r="S19" i="164"/>
  <c r="S27" i="164"/>
  <c r="R25" i="164"/>
  <c r="R19" i="164"/>
  <c r="R27" i="164"/>
  <c r="P25" i="164"/>
  <c r="P19" i="164"/>
  <c r="P27" i="164"/>
  <c r="O25" i="164"/>
  <c r="O19" i="164"/>
  <c r="O27" i="164"/>
  <c r="N25" i="164"/>
  <c r="N19" i="164"/>
  <c r="N27" i="164"/>
  <c r="M25" i="164"/>
  <c r="M19" i="164"/>
  <c r="M27" i="164"/>
  <c r="L25" i="164"/>
  <c r="L27" i="164"/>
  <c r="S7" i="164"/>
  <c r="S8" i="164"/>
  <c r="S9" i="164"/>
  <c r="S10" i="164"/>
  <c r="S12" i="164"/>
  <c r="R12" i="164"/>
  <c r="P12" i="164"/>
  <c r="O12" i="164"/>
  <c r="N12" i="164"/>
  <c r="M12" i="164"/>
  <c r="L12" i="164"/>
  <c r="Q23" i="163"/>
  <c r="Q24" i="163"/>
  <c r="Q25" i="163"/>
  <c r="Q26" i="163"/>
  <c r="Q27" i="163"/>
  <c r="Q28" i="163"/>
  <c r="Q29" i="163"/>
  <c r="Q30" i="163"/>
  <c r="Q32" i="163"/>
  <c r="Q36" i="163"/>
  <c r="Q37" i="163"/>
  <c r="Q39" i="163"/>
  <c r="Q40" i="163"/>
  <c r="Q41" i="163"/>
  <c r="Q42" i="163"/>
  <c r="Q43" i="163"/>
  <c r="Q45" i="163"/>
  <c r="Q46" i="163"/>
  <c r="Q47" i="163"/>
  <c r="Q48" i="163"/>
  <c r="Q50" i="163"/>
  <c r="Q51" i="163"/>
  <c r="Q52" i="163"/>
  <c r="Q53" i="163"/>
  <c r="Q54" i="163"/>
  <c r="Q55" i="163"/>
  <c r="Q57" i="163"/>
  <c r="Q59" i="163"/>
  <c r="P32" i="163"/>
  <c r="P57" i="163"/>
  <c r="P59" i="163"/>
  <c r="O32" i="163"/>
  <c r="O57" i="163"/>
  <c r="O59" i="163"/>
  <c r="N32" i="163"/>
  <c r="N57" i="163"/>
  <c r="N59" i="163"/>
  <c r="M32" i="163"/>
  <c r="M57" i="163"/>
  <c r="M59" i="163"/>
  <c r="L32" i="163"/>
  <c r="L57" i="163"/>
  <c r="L59" i="163"/>
  <c r="Q7" i="163"/>
  <c r="Q19" i="163"/>
  <c r="P19" i="163"/>
  <c r="O19" i="163"/>
  <c r="N19" i="163"/>
  <c r="M19" i="163"/>
  <c r="L19" i="163"/>
  <c r="L31" i="162"/>
  <c r="M31" i="162"/>
  <c r="N31" i="162"/>
  <c r="O31" i="162"/>
  <c r="P24" i="162"/>
  <c r="P25" i="162"/>
  <c r="P31" i="162"/>
  <c r="L20" i="162"/>
  <c r="M20" i="162"/>
  <c r="N20" i="162"/>
  <c r="O20" i="162"/>
  <c r="P7" i="162"/>
  <c r="P8" i="162"/>
  <c r="P9" i="162"/>
  <c r="P10" i="162"/>
  <c r="P11" i="162"/>
  <c r="P12" i="162"/>
  <c r="P20" i="162"/>
  <c r="S22" i="3"/>
  <c r="B22" i="3"/>
  <c r="K13" i="161"/>
  <c r="K22" i="3"/>
  <c r="G22" i="3"/>
  <c r="D22" i="3"/>
  <c r="C22" i="3"/>
  <c r="P35" i="162"/>
  <c r="P36" i="162"/>
  <c r="P38" i="162"/>
  <c r="P41" i="162"/>
  <c r="P47" i="162"/>
  <c r="P49" i="162"/>
  <c r="O38" i="162"/>
  <c r="O47" i="162"/>
  <c r="O49" i="162"/>
  <c r="N38" i="162"/>
  <c r="N47" i="162"/>
  <c r="N49" i="162"/>
  <c r="M38" i="162"/>
  <c r="M47" i="162"/>
  <c r="M49" i="162"/>
  <c r="L38" i="162"/>
  <c r="L47" i="162"/>
  <c r="L49" i="162"/>
  <c r="R34" i="161"/>
  <c r="R35" i="161"/>
  <c r="R36" i="161"/>
  <c r="R37" i="161"/>
  <c r="R38" i="161"/>
  <c r="R39" i="161"/>
  <c r="R40" i="161"/>
  <c r="R41" i="161"/>
  <c r="R42" i="161"/>
  <c r="R43" i="161"/>
  <c r="R44" i="161"/>
  <c r="L22" i="148"/>
  <c r="L29" i="148"/>
  <c r="L37" i="148"/>
  <c r="L39" i="148"/>
  <c r="M22" i="148"/>
  <c r="M29" i="148"/>
  <c r="M37" i="148"/>
  <c r="M39" i="148"/>
  <c r="N22" i="148"/>
  <c r="N29" i="148"/>
  <c r="N37" i="148"/>
  <c r="N39" i="148"/>
  <c r="O22" i="148"/>
  <c r="O29" i="148"/>
  <c r="O37" i="148"/>
  <c r="O39" i="148"/>
  <c r="P22" i="148"/>
  <c r="P29" i="148"/>
  <c r="P37" i="148"/>
  <c r="P39" i="148"/>
  <c r="Q22" i="148"/>
  <c r="Q29" i="148"/>
  <c r="Q37" i="148"/>
  <c r="Q39" i="148"/>
  <c r="R22" i="148"/>
  <c r="R29" i="148"/>
  <c r="R37" i="148"/>
  <c r="R39" i="148"/>
  <c r="S19" i="148"/>
  <c r="S20" i="148"/>
  <c r="S22" i="148"/>
  <c r="S26" i="148"/>
  <c r="S27" i="148"/>
  <c r="S29" i="148"/>
  <c r="S32" i="148"/>
  <c r="S34" i="148"/>
  <c r="S35" i="148"/>
  <c r="S37" i="148"/>
  <c r="S39" i="148"/>
  <c r="L22" i="160"/>
  <c r="L27" i="160"/>
  <c r="L33" i="160"/>
  <c r="L35" i="160"/>
  <c r="M22" i="160"/>
  <c r="M27" i="160"/>
  <c r="M33" i="160"/>
  <c r="M35" i="160"/>
  <c r="N22" i="160"/>
  <c r="N27" i="160"/>
  <c r="N33" i="160"/>
  <c r="N35" i="160"/>
  <c r="O22" i="160"/>
  <c r="O27" i="160"/>
  <c r="O33" i="160"/>
  <c r="O35" i="160"/>
  <c r="P22" i="160"/>
  <c r="P27" i="160"/>
  <c r="P33" i="160"/>
  <c r="P35" i="160"/>
  <c r="Q18" i="160"/>
  <c r="Q19" i="160"/>
  <c r="Q20" i="160"/>
  <c r="Q22" i="160"/>
  <c r="Q25" i="160"/>
  <c r="Q27" i="160"/>
  <c r="Q30" i="160"/>
  <c r="Q31" i="160"/>
  <c r="Q33" i="160"/>
  <c r="Q35" i="160"/>
  <c r="R8" i="161"/>
  <c r="P24" i="161"/>
  <c r="P46" i="161"/>
  <c r="P29" i="161"/>
  <c r="P48" i="161"/>
  <c r="Q46" i="161"/>
  <c r="Q29" i="161"/>
  <c r="Q24" i="161"/>
  <c r="P13" i="161"/>
  <c r="Q13" i="161"/>
  <c r="R33" i="161"/>
  <c r="R46" i="161"/>
  <c r="R17" i="161"/>
  <c r="R18" i="161"/>
  <c r="R19" i="161"/>
  <c r="R20" i="161"/>
  <c r="R21" i="161"/>
  <c r="R22" i="161"/>
  <c r="R24" i="161"/>
  <c r="R27" i="161"/>
  <c r="R29" i="161"/>
  <c r="R48" i="161"/>
  <c r="Q48" i="161"/>
  <c r="O46" i="161"/>
  <c r="O24" i="161"/>
  <c r="O29" i="161"/>
  <c r="O48" i="161"/>
  <c r="N46" i="161"/>
  <c r="N24" i="161"/>
  <c r="N29" i="161"/>
  <c r="N48" i="161"/>
  <c r="M46" i="161"/>
  <c r="M24" i="161"/>
  <c r="M29" i="161"/>
  <c r="M48" i="161"/>
  <c r="L46" i="161"/>
  <c r="L24" i="161"/>
  <c r="L29" i="161"/>
  <c r="L48" i="161"/>
  <c r="R6" i="161"/>
  <c r="R7" i="161"/>
  <c r="R9" i="161"/>
  <c r="R10" i="161"/>
  <c r="R11" i="161"/>
  <c r="R13" i="161"/>
  <c r="O13" i="161"/>
  <c r="N13" i="161"/>
  <c r="M13" i="161"/>
  <c r="L13" i="161"/>
  <c r="L22" i="159"/>
  <c r="L27" i="159"/>
  <c r="L33" i="159"/>
  <c r="L35" i="159"/>
  <c r="M22" i="159"/>
  <c r="M27" i="159"/>
  <c r="M33" i="159"/>
  <c r="M35" i="159"/>
  <c r="N22" i="159"/>
  <c r="N27" i="159"/>
  <c r="N33" i="159"/>
  <c r="N35" i="159"/>
  <c r="O22" i="159"/>
  <c r="O27" i="159"/>
  <c r="O33" i="159"/>
  <c r="O35" i="159"/>
  <c r="P22" i="159"/>
  <c r="P27" i="159"/>
  <c r="P33" i="159"/>
  <c r="P35" i="159"/>
  <c r="Q22" i="159"/>
  <c r="Q27" i="159"/>
  <c r="Q33" i="159"/>
  <c r="Q35" i="159"/>
  <c r="R18" i="159"/>
  <c r="R19" i="159"/>
  <c r="R20" i="159"/>
  <c r="R22" i="159"/>
  <c r="R25" i="159"/>
  <c r="R27" i="159"/>
  <c r="R30" i="159"/>
  <c r="R31" i="159"/>
  <c r="R33" i="159"/>
  <c r="R35" i="159"/>
  <c r="K15" i="160"/>
  <c r="S21" i="3"/>
  <c r="K21" i="3"/>
  <c r="G21" i="3"/>
  <c r="D21" i="3"/>
  <c r="B21" i="3"/>
  <c r="K14" i="159"/>
  <c r="S20" i="3"/>
  <c r="K20" i="3"/>
  <c r="F20" i="3"/>
  <c r="G20" i="3"/>
  <c r="D20" i="3"/>
  <c r="C20" i="3"/>
  <c r="B20" i="3"/>
  <c r="R12" i="159"/>
  <c r="K15" i="148"/>
  <c r="K46" i="145"/>
  <c r="K25" i="145"/>
  <c r="K20" i="145"/>
  <c r="K48" i="145"/>
  <c r="L20" i="158"/>
  <c r="L25" i="158"/>
  <c r="L31" i="158"/>
  <c r="L33" i="158"/>
  <c r="M20" i="158"/>
  <c r="M25" i="158"/>
  <c r="M31" i="158"/>
  <c r="M33" i="158"/>
  <c r="N20" i="158"/>
  <c r="N25" i="158"/>
  <c r="N31" i="158"/>
  <c r="N33" i="158"/>
  <c r="O20" i="158"/>
  <c r="O25" i="158"/>
  <c r="O31" i="158"/>
  <c r="O33" i="158"/>
  <c r="P20" i="158"/>
  <c r="P25" i="158"/>
  <c r="P31" i="158"/>
  <c r="P33" i="158"/>
  <c r="R20" i="158"/>
  <c r="R25" i="158"/>
  <c r="R31" i="158"/>
  <c r="R33" i="158"/>
  <c r="S17" i="158"/>
  <c r="S20" i="158"/>
  <c r="S23" i="158"/>
  <c r="S25" i="158"/>
  <c r="S29" i="158"/>
  <c r="S31" i="158"/>
  <c r="S33" i="158"/>
  <c r="Q8" i="160"/>
  <c r="Q7" i="160"/>
  <c r="Q9" i="160"/>
  <c r="Q10" i="160"/>
  <c r="Q11" i="160"/>
  <c r="Q12" i="160"/>
  <c r="Q13" i="160"/>
  <c r="Q15" i="160"/>
  <c r="L15" i="160"/>
  <c r="M15" i="160"/>
  <c r="N15" i="160"/>
  <c r="O15" i="160"/>
  <c r="P15" i="160"/>
  <c r="L14" i="159"/>
  <c r="M14" i="159"/>
  <c r="N14" i="159"/>
  <c r="O14" i="159"/>
  <c r="P14" i="159"/>
  <c r="Q14" i="159"/>
  <c r="R9" i="159"/>
  <c r="R7" i="159"/>
  <c r="R8" i="159"/>
  <c r="R10" i="159"/>
  <c r="R11" i="159"/>
  <c r="R14" i="159"/>
  <c r="K53" i="144"/>
  <c r="K26" i="144"/>
  <c r="K31" i="144"/>
  <c r="K55" i="144"/>
  <c r="AA7" i="3"/>
  <c r="AA8" i="3"/>
  <c r="K29" i="147"/>
  <c r="K17" i="147"/>
  <c r="K31" i="147"/>
  <c r="AA13" i="3"/>
  <c r="AA72" i="3"/>
  <c r="S19" i="3"/>
  <c r="M7" i="3"/>
  <c r="M8" i="3"/>
  <c r="M13" i="3"/>
  <c r="M72" i="3"/>
  <c r="K19" i="3"/>
  <c r="F19" i="3"/>
  <c r="B19" i="3"/>
  <c r="D19" i="3"/>
  <c r="I19" i="3"/>
  <c r="S9" i="158"/>
  <c r="S10" i="158"/>
  <c r="S11" i="158"/>
  <c r="S7" i="158"/>
  <c r="S8" i="158"/>
  <c r="S18" i="3"/>
  <c r="B18" i="3"/>
  <c r="F18" i="3"/>
  <c r="I18" i="3"/>
  <c r="J18" i="3"/>
  <c r="S17" i="3"/>
  <c r="K10" i="156"/>
  <c r="K17" i="3"/>
  <c r="G17" i="3"/>
  <c r="C17" i="3"/>
  <c r="B17" i="3"/>
  <c r="S23" i="156"/>
  <c r="L25" i="156"/>
  <c r="L19" i="156"/>
  <c r="L27" i="156"/>
  <c r="M25" i="156"/>
  <c r="M19" i="156"/>
  <c r="M27" i="156"/>
  <c r="N25" i="156"/>
  <c r="N19" i="156"/>
  <c r="N27" i="156"/>
  <c r="O25" i="156"/>
  <c r="O19" i="156"/>
  <c r="O27" i="156"/>
  <c r="P25" i="156"/>
  <c r="P19" i="156"/>
  <c r="P27" i="156"/>
  <c r="Q25" i="156"/>
  <c r="Q19" i="156"/>
  <c r="Q27" i="156"/>
  <c r="R25" i="156"/>
  <c r="R19" i="156"/>
  <c r="R27" i="156"/>
  <c r="S22" i="156"/>
  <c r="S25" i="156"/>
  <c r="S14" i="156"/>
  <c r="S15" i="156"/>
  <c r="S16" i="156"/>
  <c r="S17" i="156"/>
  <c r="S19" i="156"/>
  <c r="S27" i="156"/>
  <c r="S8" i="156"/>
  <c r="S7" i="156"/>
  <c r="S6" i="156"/>
  <c r="S10" i="156"/>
  <c r="Q10" i="156"/>
  <c r="R10" i="156"/>
  <c r="P10" i="156"/>
  <c r="O10" i="156"/>
  <c r="N10" i="156"/>
  <c r="M10" i="156"/>
  <c r="L10" i="156"/>
  <c r="R27" i="155"/>
  <c r="R29" i="155"/>
  <c r="R31" i="155"/>
  <c r="R33" i="155"/>
  <c r="Q31" i="155"/>
  <c r="Q33" i="155"/>
  <c r="N31" i="155"/>
  <c r="N33" i="155"/>
  <c r="M31" i="155"/>
  <c r="M20" i="155"/>
  <c r="M33" i="155"/>
  <c r="L31" i="155"/>
  <c r="L20" i="155"/>
  <c r="L33" i="155"/>
  <c r="K31" i="155"/>
  <c r="K20" i="155"/>
  <c r="K33" i="155"/>
  <c r="R7" i="155"/>
  <c r="R8" i="155"/>
  <c r="R9" i="155"/>
  <c r="R10" i="155"/>
  <c r="R11" i="155"/>
  <c r="R13" i="155"/>
  <c r="Q13" i="155"/>
  <c r="N13" i="155"/>
  <c r="M13" i="155"/>
  <c r="L13" i="155"/>
  <c r="K13" i="155"/>
  <c r="S25" i="154"/>
  <c r="S21" i="154"/>
  <c r="S22" i="154"/>
  <c r="S23" i="154"/>
  <c r="S24" i="154"/>
  <c r="S26" i="154"/>
  <c r="S28" i="154"/>
  <c r="S35" i="154"/>
  <c r="S34" i="154"/>
  <c r="S36" i="154"/>
  <c r="S37" i="154"/>
  <c r="S39" i="154"/>
  <c r="S31" i="154"/>
  <c r="S41" i="154"/>
  <c r="R39" i="154"/>
  <c r="R28" i="154"/>
  <c r="R41" i="154"/>
  <c r="Q39" i="154"/>
  <c r="Q28" i="154"/>
  <c r="Q41" i="154"/>
  <c r="P39" i="154"/>
  <c r="P28" i="154"/>
  <c r="P41" i="154"/>
  <c r="O39" i="154"/>
  <c r="O28" i="154"/>
  <c r="O41" i="154"/>
  <c r="N39" i="154"/>
  <c r="N28" i="154"/>
  <c r="N41" i="154"/>
  <c r="M39" i="154"/>
  <c r="M28" i="154"/>
  <c r="M41" i="154"/>
  <c r="L28" i="154"/>
  <c r="L41" i="154"/>
  <c r="R17" i="154"/>
  <c r="Q17" i="154"/>
  <c r="P17" i="154"/>
  <c r="O17" i="154"/>
  <c r="N17" i="154"/>
  <c r="M17" i="154"/>
  <c r="L17" i="154"/>
  <c r="V28" i="154"/>
  <c r="V39" i="154"/>
  <c r="U28" i="154"/>
  <c r="U39" i="154"/>
  <c r="T28" i="154"/>
  <c r="T39" i="154"/>
  <c r="V21" i="153"/>
  <c r="V41" i="153"/>
  <c r="V43" i="153"/>
  <c r="U17" i="153"/>
  <c r="U18" i="153"/>
  <c r="U19" i="153"/>
  <c r="U21" i="153"/>
  <c r="U25" i="153"/>
  <c r="U26" i="153"/>
  <c r="U28" i="153"/>
  <c r="U29" i="153"/>
  <c r="U31" i="153"/>
  <c r="U32" i="153"/>
  <c r="U33" i="153"/>
  <c r="U39" i="153"/>
  <c r="U41" i="153"/>
  <c r="U43" i="153"/>
  <c r="T21" i="153"/>
  <c r="T41" i="153"/>
  <c r="T43" i="153"/>
  <c r="S21" i="153"/>
  <c r="S41" i="153"/>
  <c r="S43" i="153"/>
  <c r="R21" i="153"/>
  <c r="R41" i="153"/>
  <c r="R43" i="153"/>
  <c r="Q21" i="153"/>
  <c r="Q41" i="153"/>
  <c r="Q43" i="153"/>
  <c r="P21" i="153"/>
  <c r="P41" i="153"/>
  <c r="P43" i="153"/>
  <c r="O21" i="153"/>
  <c r="O41" i="153"/>
  <c r="O43" i="153"/>
  <c r="N21" i="153"/>
  <c r="N41" i="153"/>
  <c r="N43" i="153"/>
  <c r="M21" i="153"/>
  <c r="M41" i="153"/>
  <c r="M43" i="153"/>
  <c r="L21" i="153"/>
  <c r="L41" i="153"/>
  <c r="L43" i="153"/>
  <c r="V13" i="153"/>
  <c r="U7" i="153"/>
  <c r="U9" i="153"/>
  <c r="U10" i="153"/>
  <c r="U11" i="153"/>
  <c r="U13" i="153"/>
  <c r="T13" i="153"/>
  <c r="S13" i="153"/>
  <c r="R13" i="153"/>
  <c r="Q13" i="153"/>
  <c r="P13" i="153"/>
  <c r="O13" i="153"/>
  <c r="N13" i="153"/>
  <c r="M13" i="153"/>
  <c r="L13" i="153"/>
  <c r="S8" i="151"/>
  <c r="S6" i="151"/>
  <c r="S7" i="151"/>
  <c r="S9" i="151"/>
  <c r="S10" i="151"/>
  <c r="S11" i="151"/>
  <c r="S12" i="151"/>
  <c r="S14" i="151"/>
  <c r="R14" i="151"/>
  <c r="Q14" i="151"/>
  <c r="P14" i="151"/>
  <c r="O14" i="151"/>
  <c r="N14" i="151"/>
  <c r="M14" i="151"/>
  <c r="L14" i="151"/>
  <c r="J20" i="152"/>
  <c r="K20" i="152"/>
  <c r="L20" i="152"/>
  <c r="L33" i="152"/>
  <c r="L25" i="152"/>
  <c r="L35" i="152"/>
  <c r="K33" i="152"/>
  <c r="K25" i="152"/>
  <c r="K35" i="152"/>
  <c r="J33" i="152"/>
  <c r="J35" i="152"/>
  <c r="J25" i="152"/>
  <c r="O7" i="152"/>
  <c r="O9" i="152"/>
  <c r="O6" i="152"/>
  <c r="O8" i="152"/>
  <c r="O11" i="152"/>
  <c r="N11" i="152"/>
  <c r="M11" i="152"/>
  <c r="L11" i="152"/>
  <c r="K11" i="152"/>
  <c r="J11" i="152"/>
  <c r="M13" i="142"/>
  <c r="J33" i="150"/>
  <c r="J35" i="150"/>
  <c r="K33" i="150"/>
  <c r="K35" i="150"/>
  <c r="L33" i="150"/>
  <c r="L35" i="150"/>
  <c r="M33" i="150"/>
  <c r="M35" i="150"/>
  <c r="N33" i="150"/>
  <c r="N35" i="150"/>
  <c r="O24" i="150"/>
  <c r="O25" i="150"/>
  <c r="O26" i="150"/>
  <c r="O27" i="150"/>
  <c r="O30" i="150"/>
  <c r="O31" i="150"/>
  <c r="O33" i="150"/>
  <c r="O20" i="150"/>
  <c r="O35" i="150"/>
  <c r="P33" i="150"/>
  <c r="P35" i="150"/>
  <c r="O11" i="150"/>
  <c r="P11" i="150"/>
  <c r="N11" i="150"/>
  <c r="M11" i="150"/>
  <c r="L11" i="150"/>
  <c r="K11" i="150"/>
  <c r="J11" i="150"/>
  <c r="S16" i="3"/>
  <c r="K20" i="149"/>
  <c r="K16" i="3"/>
  <c r="C7" i="3"/>
  <c r="C14" i="3"/>
  <c r="C72" i="3"/>
  <c r="Q27" i="149"/>
  <c r="Q28" i="149"/>
  <c r="Q29" i="149"/>
  <c r="Q30" i="149"/>
  <c r="Q24" i="149"/>
  <c r="Q25" i="149"/>
  <c r="Q26" i="149"/>
  <c r="Q31" i="149"/>
  <c r="Q34" i="149"/>
  <c r="M63" i="149"/>
  <c r="M34" i="149"/>
  <c r="M40" i="149"/>
  <c r="M65" i="149"/>
  <c r="L34" i="149"/>
  <c r="L40" i="149"/>
  <c r="L63" i="149"/>
  <c r="L65" i="149"/>
  <c r="N40" i="149"/>
  <c r="O40" i="149"/>
  <c r="P40" i="149"/>
  <c r="Q38" i="149"/>
  <c r="Q40" i="149"/>
  <c r="M20" i="149"/>
  <c r="N20" i="149"/>
  <c r="Q44" i="149"/>
  <c r="Q45" i="149"/>
  <c r="Q46" i="149"/>
  <c r="Q48" i="149"/>
  <c r="Q51" i="149"/>
  <c r="Q52" i="149"/>
  <c r="Q55" i="149"/>
  <c r="Q56" i="149"/>
  <c r="Q57" i="149"/>
  <c r="Q58" i="149"/>
  <c r="Q59" i="149"/>
  <c r="Q60" i="149"/>
  <c r="Q61" i="149"/>
  <c r="Q63" i="149"/>
  <c r="Q65" i="149"/>
  <c r="P63" i="149"/>
  <c r="P34" i="149"/>
  <c r="P65" i="149"/>
  <c r="O63" i="149"/>
  <c r="O34" i="149"/>
  <c r="O65" i="149"/>
  <c r="N63" i="149"/>
  <c r="N34" i="149"/>
  <c r="N65" i="149"/>
  <c r="Q6" i="149"/>
  <c r="Q7" i="149"/>
  <c r="Q9" i="149"/>
  <c r="Q10" i="149"/>
  <c r="Q11" i="149"/>
  <c r="Q12" i="149"/>
  <c r="Q14" i="149"/>
  <c r="Q15" i="149"/>
  <c r="Q16" i="149"/>
  <c r="Q17" i="149"/>
  <c r="Q18" i="149"/>
  <c r="Q20" i="149"/>
  <c r="P20" i="149"/>
  <c r="O20" i="149"/>
  <c r="L20" i="149"/>
  <c r="S14" i="3"/>
  <c r="K14" i="3"/>
  <c r="G14" i="3"/>
  <c r="D14" i="3"/>
  <c r="D7" i="3"/>
  <c r="D8" i="3"/>
  <c r="D13" i="3"/>
  <c r="D72" i="3"/>
  <c r="B14" i="3"/>
  <c r="L15" i="148"/>
  <c r="M15" i="148"/>
  <c r="N15" i="148"/>
  <c r="O15" i="148"/>
  <c r="P15" i="148"/>
  <c r="Q15" i="148"/>
  <c r="R15" i="148"/>
  <c r="S7" i="148"/>
  <c r="S8" i="148"/>
  <c r="S9" i="148"/>
  <c r="S10" i="148"/>
  <c r="S12" i="148"/>
  <c r="S13" i="148"/>
  <c r="S15" i="148"/>
  <c r="W13" i="3"/>
  <c r="S13" i="3"/>
  <c r="N13" i="3"/>
  <c r="Q13" i="3"/>
  <c r="K9" i="147"/>
  <c r="K13" i="3"/>
  <c r="B13" i="3"/>
  <c r="I13" i="3"/>
  <c r="J13" i="3"/>
  <c r="P20" i="147"/>
  <c r="P21" i="147"/>
  <c r="P22" i="147"/>
  <c r="P23" i="147"/>
  <c r="P24" i="147"/>
  <c r="P25" i="147"/>
  <c r="P26" i="147"/>
  <c r="P27" i="147"/>
  <c r="P29" i="147"/>
  <c r="O29" i="147"/>
  <c r="O17" i="147"/>
  <c r="O31" i="147"/>
  <c r="P13" i="147"/>
  <c r="P14" i="147"/>
  <c r="P15" i="147"/>
  <c r="P17" i="147"/>
  <c r="N29" i="147"/>
  <c r="N17" i="147"/>
  <c r="N31" i="147"/>
  <c r="M29" i="147"/>
  <c r="M17" i="147"/>
  <c r="M31" i="147"/>
  <c r="L29" i="147"/>
  <c r="L17" i="147"/>
  <c r="L31" i="147"/>
  <c r="P6" i="147"/>
  <c r="P7" i="147"/>
  <c r="P9" i="147"/>
  <c r="O9" i="147"/>
  <c r="N9" i="147"/>
  <c r="M9" i="147"/>
  <c r="L9" i="147"/>
  <c r="P72" i="3"/>
  <c r="O72" i="3"/>
  <c r="S12" i="146"/>
  <c r="N12" i="146"/>
  <c r="M12" i="146"/>
  <c r="L12" i="146"/>
  <c r="T8" i="3"/>
  <c r="S8" i="3"/>
  <c r="K8" i="3"/>
  <c r="B8" i="3"/>
  <c r="L46" i="145"/>
  <c r="M46" i="145"/>
  <c r="N46" i="145"/>
  <c r="O46" i="145"/>
  <c r="P46" i="145"/>
  <c r="Q46" i="145"/>
  <c r="R28" i="145"/>
  <c r="R29" i="145"/>
  <c r="R31" i="145"/>
  <c r="R32" i="145"/>
  <c r="R33" i="145"/>
  <c r="R34" i="145"/>
  <c r="R35" i="145"/>
  <c r="R36" i="145"/>
  <c r="R37" i="145"/>
  <c r="R38" i="145"/>
  <c r="R39" i="145"/>
  <c r="R40" i="145"/>
  <c r="R41" i="145"/>
  <c r="R42" i="145"/>
  <c r="R43" i="145"/>
  <c r="R44" i="145"/>
  <c r="R46" i="145"/>
  <c r="R18" i="145"/>
  <c r="L20" i="145"/>
  <c r="M20" i="145"/>
  <c r="N20" i="145"/>
  <c r="O20" i="145"/>
  <c r="P20" i="145"/>
  <c r="Q20" i="145"/>
  <c r="R17" i="145"/>
  <c r="R20" i="145"/>
  <c r="R23" i="145"/>
  <c r="R25" i="145"/>
  <c r="R48" i="145"/>
  <c r="Q25" i="145"/>
  <c r="Q48" i="145"/>
  <c r="P25" i="145"/>
  <c r="P48" i="145"/>
  <c r="O25" i="145"/>
  <c r="O48" i="145"/>
  <c r="N25" i="145"/>
  <c r="N48" i="145"/>
  <c r="M25" i="145"/>
  <c r="M48" i="145"/>
  <c r="L25" i="145"/>
  <c r="L48" i="145"/>
  <c r="R7" i="145"/>
  <c r="R8" i="145"/>
  <c r="R9" i="145"/>
  <c r="R10" i="145"/>
  <c r="R11" i="145"/>
  <c r="R13" i="145"/>
  <c r="Q13" i="145"/>
  <c r="P13" i="145"/>
  <c r="O13" i="145"/>
  <c r="N13" i="145"/>
  <c r="M13" i="145"/>
  <c r="L13" i="145"/>
  <c r="W7" i="3"/>
  <c r="U7" i="3"/>
  <c r="S7" i="3"/>
  <c r="K7" i="3"/>
  <c r="G7" i="3"/>
  <c r="B7" i="3"/>
  <c r="P7" i="144"/>
  <c r="P8" i="144"/>
  <c r="P9" i="144"/>
  <c r="P10" i="144"/>
  <c r="P12" i="144"/>
  <c r="P13" i="144"/>
  <c r="P14" i="144"/>
  <c r="P47" i="144"/>
  <c r="P48" i="144"/>
  <c r="P49" i="144"/>
  <c r="P50" i="144"/>
  <c r="P51" i="144"/>
  <c r="P53" i="144"/>
  <c r="P20" i="144"/>
  <c r="P21" i="144"/>
  <c r="P22" i="144"/>
  <c r="P23" i="144"/>
  <c r="P24" i="144"/>
  <c r="P26" i="144"/>
  <c r="P29" i="144"/>
  <c r="P31" i="144"/>
  <c r="P55" i="144"/>
  <c r="O53" i="144"/>
  <c r="O26" i="144"/>
  <c r="O31" i="144"/>
  <c r="O55" i="144"/>
  <c r="N53" i="144"/>
  <c r="N26" i="144"/>
  <c r="N31" i="144"/>
  <c r="N55" i="144"/>
  <c r="M53" i="144"/>
  <c r="M26" i="144"/>
  <c r="M31" i="144"/>
  <c r="M55" i="144"/>
  <c r="L53" i="144"/>
  <c r="L26" i="144"/>
  <c r="L31" i="144"/>
  <c r="L55" i="144"/>
  <c r="P6" i="144"/>
  <c r="U72" i="3"/>
  <c r="V72" i="3"/>
  <c r="X7" i="3"/>
  <c r="X13" i="3"/>
  <c r="X72" i="3"/>
  <c r="Q7" i="3"/>
  <c r="Y7" i="3"/>
  <c r="Q8" i="3"/>
  <c r="Y8" i="3"/>
  <c r="R20" i="3"/>
  <c r="R21" i="3"/>
  <c r="E72" i="3"/>
  <c r="G72" i="3"/>
  <c r="H72" i="3"/>
  <c r="I69" i="3"/>
  <c r="I41" i="3"/>
  <c r="R69" i="3"/>
  <c r="J69" i="3"/>
  <c r="R25" i="3"/>
  <c r="I25" i="3"/>
  <c r="J25" i="3"/>
  <c r="I21" i="3"/>
  <c r="J21" i="3"/>
  <c r="I43" i="3"/>
  <c r="J43" i="3"/>
  <c r="J70" i="3"/>
  <c r="Q10" i="143"/>
  <c r="P10" i="143"/>
  <c r="O10" i="143"/>
  <c r="N10" i="143"/>
  <c r="M10" i="143"/>
  <c r="L10" i="143"/>
  <c r="R7" i="143"/>
  <c r="R6" i="143"/>
  <c r="M25" i="142"/>
  <c r="M19" i="142"/>
  <c r="M36" i="142"/>
  <c r="N25" i="142"/>
  <c r="N19" i="142"/>
  <c r="N36" i="142"/>
  <c r="N13" i="142"/>
  <c r="R43" i="3"/>
  <c r="R70" i="3"/>
  <c r="I68" i="3"/>
  <c r="J68" i="3"/>
  <c r="R68" i="3"/>
  <c r="R64" i="3"/>
  <c r="R10" i="143"/>
  <c r="I67" i="3"/>
  <c r="J67" i="3"/>
  <c r="R67" i="3"/>
  <c r="I64" i="3"/>
  <c r="J64" i="3"/>
  <c r="R66" i="3"/>
  <c r="I66" i="3"/>
  <c r="J66" i="3"/>
  <c r="I62" i="3"/>
  <c r="R63" i="3"/>
  <c r="I63" i="3"/>
  <c r="J63" i="3"/>
  <c r="J62" i="3"/>
  <c r="I60" i="3"/>
  <c r="J60" i="3"/>
  <c r="R62" i="3"/>
  <c r="I56" i="3"/>
  <c r="J56" i="3"/>
  <c r="I49" i="3"/>
  <c r="J49" i="3"/>
  <c r="I48" i="3"/>
  <c r="J48" i="3"/>
  <c r="R48" i="3"/>
  <c r="R49" i="3"/>
  <c r="R60" i="3"/>
  <c r="R41" i="3"/>
  <c r="R56" i="3"/>
  <c r="I47" i="3"/>
  <c r="J47" i="3"/>
  <c r="R47" i="3"/>
  <c r="I46" i="3"/>
  <c r="J46" i="3"/>
  <c r="R46" i="3"/>
  <c r="R39" i="3"/>
  <c r="J41" i="3"/>
  <c r="I39" i="3"/>
  <c r="J39" i="3"/>
  <c r="J28" i="3"/>
  <c r="I29" i="3"/>
  <c r="J29" i="3"/>
  <c r="R29" i="3"/>
  <c r="R28" i="3"/>
  <c r="I27" i="3"/>
  <c r="J27" i="3"/>
  <c r="I26" i="3"/>
  <c r="J26" i="3"/>
  <c r="I22" i="3"/>
  <c r="I7" i="3"/>
  <c r="I8" i="3"/>
  <c r="I14" i="3"/>
  <c r="I16" i="3"/>
  <c r="I17" i="3"/>
  <c r="I20" i="3"/>
  <c r="I23" i="3"/>
  <c r="I24" i="3"/>
  <c r="I30" i="3"/>
  <c r="I38" i="3"/>
  <c r="I40" i="3"/>
  <c r="I42" i="3"/>
  <c r="I44" i="3"/>
  <c r="I45" i="3"/>
  <c r="I50" i="3"/>
  <c r="I51" i="3"/>
  <c r="I52" i="3"/>
  <c r="I53" i="3"/>
  <c r="I54" i="3"/>
  <c r="I55" i="3"/>
  <c r="I57" i="3"/>
  <c r="I58" i="3"/>
  <c r="I59" i="3"/>
  <c r="I61" i="3"/>
  <c r="I65" i="3"/>
  <c r="I72" i="3"/>
  <c r="J24" i="3"/>
  <c r="R24" i="3"/>
  <c r="J20" i="3"/>
  <c r="R26" i="3"/>
  <c r="R27" i="3"/>
  <c r="R31" i="3"/>
  <c r="R33" i="3"/>
  <c r="R16" i="3"/>
  <c r="J17" i="3"/>
  <c r="R8" i="3"/>
  <c r="R7" i="3"/>
  <c r="J8" i="3"/>
  <c r="Z8" i="3"/>
  <c r="Z7" i="3"/>
  <c r="J45" i="3"/>
  <c r="R45" i="3"/>
  <c r="J55" i="3"/>
  <c r="R55" i="3"/>
  <c r="J52" i="3"/>
  <c r="R52" i="3"/>
  <c r="R40" i="3"/>
  <c r="J40" i="3"/>
  <c r="J38" i="3"/>
  <c r="R38" i="3"/>
  <c r="R23" i="3"/>
  <c r="J23" i="3"/>
  <c r="R30" i="3"/>
  <c r="J30" i="3"/>
  <c r="R65" i="3"/>
  <c r="R61" i="3"/>
  <c r="R59" i="3"/>
  <c r="R58" i="3"/>
  <c r="R57" i="3"/>
  <c r="R54" i="3"/>
  <c r="R53" i="3"/>
  <c r="R51" i="3"/>
  <c r="R50" i="3"/>
  <c r="R44" i="3"/>
  <c r="R42" i="3"/>
  <c r="J65" i="3"/>
  <c r="J61" i="3"/>
  <c r="J59" i="3"/>
  <c r="J58" i="3"/>
  <c r="J57" i="3"/>
  <c r="J54" i="3"/>
  <c r="J53" i="3"/>
  <c r="J51" i="3"/>
  <c r="J50" i="3"/>
  <c r="J44" i="3"/>
  <c r="J42" i="3"/>
  <c r="J7" i="3"/>
  <c r="W72" i="3"/>
  <c r="J16" i="3"/>
  <c r="T72" i="3"/>
  <c r="N72" i="3"/>
  <c r="R14" i="3"/>
  <c r="J14" i="3"/>
  <c r="P31" i="147"/>
  <c r="Y13" i="3"/>
  <c r="Z13" i="3"/>
  <c r="R13" i="3"/>
  <c r="B72" i="3"/>
  <c r="R18" i="3"/>
  <c r="J19" i="3"/>
  <c r="K72" i="3"/>
  <c r="S72" i="3"/>
  <c r="F72" i="3"/>
  <c r="R17" i="3"/>
  <c r="R19" i="3"/>
  <c r="Y72" i="3"/>
  <c r="Z72" i="3"/>
  <c r="R22" i="3"/>
  <c r="Q72" i="3"/>
  <c r="R72" i="3"/>
  <c r="J72" i="3"/>
  <c r="J22" i="3"/>
</calcChain>
</file>

<file path=xl/sharedStrings.xml><?xml version="1.0" encoding="utf-8"?>
<sst xmlns="http://schemas.openxmlformats.org/spreadsheetml/2006/main" count="2639" uniqueCount="973">
  <si>
    <t>Acadia Combined Balance Sheet</t>
  </si>
  <si>
    <t xml:space="preserve">                      Issued: December 31, 2015</t>
  </si>
  <si>
    <t>General Fund</t>
  </si>
  <si>
    <t>Parish Road Fund</t>
  </si>
  <si>
    <t>Sales Tax Fund</t>
  </si>
  <si>
    <t>1% Sales Tax District No. 2 Fund</t>
  </si>
  <si>
    <t>Other Governmental Funds</t>
  </si>
  <si>
    <t>Total Governmental Funds</t>
  </si>
  <si>
    <t>Assets:</t>
  </si>
  <si>
    <t xml:space="preserve">Cash </t>
  </si>
  <si>
    <t>Investments</t>
  </si>
  <si>
    <t>Tax Receivable</t>
  </si>
  <si>
    <t>Special assessments receivable</t>
  </si>
  <si>
    <t>Other receivables</t>
  </si>
  <si>
    <t>Due from other governmental entities, net of allowance</t>
  </si>
  <si>
    <t>for doubtful accounts</t>
  </si>
  <si>
    <t>Due from other funds</t>
  </si>
  <si>
    <t>Due from component units</t>
  </si>
  <si>
    <t>Total assets:</t>
  </si>
  <si>
    <t>LIABILITIES AND FUND BALANCES</t>
  </si>
  <si>
    <t>Liabilities:</t>
  </si>
  <si>
    <t>Accounts payable</t>
  </si>
  <si>
    <t>Retainage payable</t>
  </si>
  <si>
    <t>Accrued liabilities and other payables</t>
  </si>
  <si>
    <t>Unearned revenue</t>
  </si>
  <si>
    <t>Due to other funds</t>
  </si>
  <si>
    <t>Total liabilities:</t>
  </si>
  <si>
    <t>DEFERRED INFLOWS OF RESOURCES</t>
  </si>
  <si>
    <t>Unavailable revenue- special assessments</t>
  </si>
  <si>
    <t>Total deferred inflows of resources</t>
  </si>
  <si>
    <t>Fund Balances</t>
  </si>
  <si>
    <t>Restricted for:</t>
  </si>
  <si>
    <t>Property tax dedication for council on aging</t>
  </si>
  <si>
    <t>Property tax and sales tax dedication for</t>
  </si>
  <si>
    <t>constructing and maintaining solid</t>
  </si>
  <si>
    <t>waste, facilities, roads and bridges</t>
  </si>
  <si>
    <t>Debt retirement</t>
  </si>
  <si>
    <t>Mosquito control</t>
  </si>
  <si>
    <t>Cooperative extension operation and maintenance</t>
  </si>
  <si>
    <t>Road maintenance and construction</t>
  </si>
  <si>
    <t>Committed to:</t>
  </si>
  <si>
    <t>Health unit operation and maintenance</t>
  </si>
  <si>
    <t>Rice Arena operation and maintenance</t>
  </si>
  <si>
    <t>Assigned:</t>
  </si>
  <si>
    <t>Capital projects</t>
  </si>
  <si>
    <t>Economic development</t>
  </si>
  <si>
    <t>Airport</t>
  </si>
  <si>
    <t>Other</t>
  </si>
  <si>
    <t>Unassigned</t>
  </si>
  <si>
    <t>Total fund balances:</t>
  </si>
  <si>
    <t>Total liabilities and fund balances:</t>
  </si>
  <si>
    <t>Allen Combined Balance Sheet</t>
  </si>
  <si>
    <t>General</t>
  </si>
  <si>
    <t>Solid Waste Fund</t>
  </si>
  <si>
    <t>Road District #2 Mtc. Fund</t>
  </si>
  <si>
    <t>Road District #3 Mtc. Fund</t>
  </si>
  <si>
    <t>Library Capital Projects Fund</t>
  </si>
  <si>
    <t>North Drainage Capital Projects Fund</t>
  </si>
  <si>
    <t>Nonmajor Governmental Funds</t>
  </si>
  <si>
    <t>Cash</t>
  </si>
  <si>
    <t>Receivables</t>
  </si>
  <si>
    <t>Due from other governments</t>
  </si>
  <si>
    <t>Inventory</t>
  </si>
  <si>
    <t>Prepaid assets</t>
  </si>
  <si>
    <t>Total Assets:</t>
  </si>
  <si>
    <t>DEFERRED INFLOWS OF RESROUCES</t>
  </si>
  <si>
    <t xml:space="preserve">Unavailable revenue </t>
  </si>
  <si>
    <t>Nonspendable - prepaids</t>
  </si>
  <si>
    <t>Nonspendable- inventroy</t>
  </si>
  <si>
    <t>Restricted:</t>
  </si>
  <si>
    <t>Judicial</t>
  </si>
  <si>
    <t>Other general government</t>
  </si>
  <si>
    <t>Public works</t>
  </si>
  <si>
    <t>Sanitation</t>
  </si>
  <si>
    <t>Debt service</t>
  </si>
  <si>
    <t>Committed:</t>
  </si>
  <si>
    <t xml:space="preserve">Negative unassigned </t>
  </si>
  <si>
    <t xml:space="preserve">Unassigned </t>
  </si>
  <si>
    <t>Total fund balance:</t>
  </si>
  <si>
    <t>Total liabilities, deffered inflows of resources and fund balances:</t>
  </si>
  <si>
    <t>Ascension Combined Balance Sheet</t>
  </si>
  <si>
    <t>East Ascension Drainage</t>
  </si>
  <si>
    <t>Road Project</t>
  </si>
  <si>
    <t>East Ascension Drainage Project</t>
  </si>
  <si>
    <t>Nonmajor  Governmental Funds</t>
  </si>
  <si>
    <t>Cash and cash equivalents</t>
  </si>
  <si>
    <t>Accounts receivable, net</t>
  </si>
  <si>
    <t>Ad valorem taxes</t>
  </si>
  <si>
    <t>Sales and use taxes</t>
  </si>
  <si>
    <t>LA - State revenue sharing</t>
  </si>
  <si>
    <t>LA -Severence</t>
  </si>
  <si>
    <t>LA - Beer and Parish Transportation</t>
  </si>
  <si>
    <t>Grants</t>
  </si>
  <si>
    <t>Prepaid and other assets</t>
  </si>
  <si>
    <t>LIABILITIES, DEFERRED INFLOWS OF RESOURCES, AND FUND BALANCE</t>
  </si>
  <si>
    <t>Contracts payable</t>
  </si>
  <si>
    <t>Accrued payroll</t>
  </si>
  <si>
    <t>Deductions from ad valorem taxes:</t>
  </si>
  <si>
    <t>Contribution to retirement system</t>
  </si>
  <si>
    <t>Due to other governments</t>
  </si>
  <si>
    <t>Sales tax rebate escrow</t>
  </si>
  <si>
    <t>Unavailable revenue</t>
  </si>
  <si>
    <t>Total deferred inflows:</t>
  </si>
  <si>
    <t>Fund Balances:</t>
  </si>
  <si>
    <t>Nonspendable:</t>
  </si>
  <si>
    <t>Construction of capital assets</t>
  </si>
  <si>
    <t>Fire protection</t>
  </si>
  <si>
    <t>Drainage maintenance</t>
  </si>
  <si>
    <t>Health and mental health services</t>
  </si>
  <si>
    <t>Law enforcement</t>
  </si>
  <si>
    <t>Road lighting</t>
  </si>
  <si>
    <t>Juvenile detention</t>
  </si>
  <si>
    <t>Hazard mitigation</t>
  </si>
  <si>
    <t>Other purposes</t>
  </si>
  <si>
    <t>Committed for:</t>
  </si>
  <si>
    <t>Culture and recreation</t>
  </si>
  <si>
    <t>Total liabilities. Deferred inflows of resources,  and fund balances:</t>
  </si>
  <si>
    <t>Assumption Combined Balance Sheet</t>
  </si>
  <si>
    <t xml:space="preserve">  Issued: December 31, 2015</t>
  </si>
  <si>
    <t>Sales and Use Tax</t>
  </si>
  <si>
    <t>Solid Waste</t>
  </si>
  <si>
    <t xml:space="preserve">Section Eight Housing </t>
  </si>
  <si>
    <t>Community Development Block Grant</t>
  </si>
  <si>
    <t>LCDBG Disaster Recovery Program</t>
  </si>
  <si>
    <t>Road Improvement Tax Fund</t>
  </si>
  <si>
    <t>Other Non-major Governmental Funds</t>
  </si>
  <si>
    <t>Other assets</t>
  </si>
  <si>
    <t>Salaries payable</t>
  </si>
  <si>
    <t>Other liabilities</t>
  </si>
  <si>
    <t>Restricted</t>
  </si>
  <si>
    <t>Assigned</t>
  </si>
  <si>
    <t>Avoyelles Combined Balance Sheet</t>
  </si>
  <si>
    <t xml:space="preserve">General </t>
  </si>
  <si>
    <t>Road &amp; Bridge</t>
  </si>
  <si>
    <t>Drainage</t>
  </si>
  <si>
    <t>Health Unit</t>
  </si>
  <si>
    <t>Library</t>
  </si>
  <si>
    <t>Section 8</t>
  </si>
  <si>
    <t>LCDBG Ike Gustav</t>
  </si>
  <si>
    <t>Cash and interest-bearing deposits</t>
  </si>
  <si>
    <t>Receivables, net</t>
  </si>
  <si>
    <t>Due from other governmental units</t>
  </si>
  <si>
    <t>Prepaid items</t>
  </si>
  <si>
    <t>LIABILITIES, DEFERRED INFLOWS OF RESOURCES AND FUND BALANCES</t>
  </si>
  <si>
    <t>Accounts, salaries, and other payables</t>
  </si>
  <si>
    <t>Nonspendable</t>
  </si>
  <si>
    <t xml:space="preserve">Public safety </t>
  </si>
  <si>
    <t>Health and welfare</t>
  </si>
  <si>
    <t>Unassigned (deficit)</t>
  </si>
  <si>
    <t>Beauregard Combined Balance Sheet</t>
  </si>
  <si>
    <t>Parishwide Road Special Revenue</t>
  </si>
  <si>
    <t>Road District No. 6 Special Revenue</t>
  </si>
  <si>
    <t>Sales Tax District No. 1 Special Revenue</t>
  </si>
  <si>
    <t>Health Unit Special Revenue</t>
  </si>
  <si>
    <t>South Beau. Rec. Dist. No. 2 Special Revenue</t>
  </si>
  <si>
    <t>Courthouse Sales Tax Special Revenue</t>
  </si>
  <si>
    <t>Courthouse Renovation Capital Project</t>
  </si>
  <si>
    <t>Equity in pooled cash</t>
  </si>
  <si>
    <t>Interfund receivable</t>
  </si>
  <si>
    <t>Prepaid iterms</t>
  </si>
  <si>
    <t>LIABILITIES</t>
  </si>
  <si>
    <t>Payroll liabilities</t>
  </si>
  <si>
    <t>Interfund payable</t>
  </si>
  <si>
    <t>Nonspendable - inventory</t>
  </si>
  <si>
    <t>Purchases of equipment</t>
  </si>
  <si>
    <t>Public safety</t>
  </si>
  <si>
    <t>Total liabilities, deferred inflows of resources, and fund balances:</t>
  </si>
  <si>
    <t>Bienville Combined Balance Sheet</t>
  </si>
  <si>
    <t>Road Maintenance</t>
  </si>
  <si>
    <t>Debt Service Fund</t>
  </si>
  <si>
    <t>Total</t>
  </si>
  <si>
    <t>Salaries and related payable</t>
  </si>
  <si>
    <t>Deferred revenues</t>
  </si>
  <si>
    <t>Non spendable</t>
  </si>
  <si>
    <t>Bossier Combined Balance Sheet</t>
  </si>
  <si>
    <t>HIghway</t>
  </si>
  <si>
    <t>Capital Improvement</t>
  </si>
  <si>
    <t>Corrections</t>
  </si>
  <si>
    <t>LCDA Sewer Construction</t>
  </si>
  <si>
    <t>LCDA Sinking Fund</t>
  </si>
  <si>
    <t>Restricted cash</t>
  </si>
  <si>
    <t>Restricted investment</t>
  </si>
  <si>
    <t>Advance to waterworks/sewer district</t>
  </si>
  <si>
    <t>LIABILITIES, DEFERRED INFLOWS OF RESOURCES, AND FUND BALANCES</t>
  </si>
  <si>
    <t>Property taxes</t>
  </si>
  <si>
    <t>Caddo Combined Balance Sheet</t>
  </si>
  <si>
    <t>Detention Facilities Fund</t>
  </si>
  <si>
    <t>Solid Waste Disposal Fund</t>
  </si>
  <si>
    <t>Public Works Fund</t>
  </si>
  <si>
    <t>Head Start Fund</t>
  </si>
  <si>
    <t>Biomedical Fund</t>
  </si>
  <si>
    <t>Capital Outlay Fund</t>
  </si>
  <si>
    <t>Criminal Justice Fund</t>
  </si>
  <si>
    <t>Receivables, net:</t>
  </si>
  <si>
    <t>Paving assessments</t>
  </si>
  <si>
    <t>Accrued interest</t>
  </si>
  <si>
    <t>Inventories</t>
  </si>
  <si>
    <t>Accrued liabilities</t>
  </si>
  <si>
    <t>Due to component units</t>
  </si>
  <si>
    <t>Unavailable revenue - property taxes</t>
  </si>
  <si>
    <t>Unavailable revenue - special assessments</t>
  </si>
  <si>
    <t>Criminal justice</t>
  </si>
  <si>
    <t>Highways, streets and drainage</t>
  </si>
  <si>
    <t>Building facilities</t>
  </si>
  <si>
    <t>Contingencies</t>
  </si>
  <si>
    <t>Subsequent year's expenditures</t>
  </si>
  <si>
    <t>Assigned to:</t>
  </si>
  <si>
    <t>Special services</t>
  </si>
  <si>
    <t>Future claims</t>
  </si>
  <si>
    <t>Total liabilities. Deferred inflows,  and fund balances:</t>
  </si>
  <si>
    <t>Calcasieu Combined Balance Sheet</t>
  </si>
  <si>
    <t>Public Works Operating Fund</t>
  </si>
  <si>
    <t>Office of Juvenille Justice Services Fund</t>
  </si>
  <si>
    <t>Calcasieu Parish Library Fund</t>
  </si>
  <si>
    <t>Road Capital Improvement Fund</t>
  </si>
  <si>
    <t>Cash and Cash Equivalents</t>
  </si>
  <si>
    <t>Receivable (net of allowance for uncollectibles):</t>
  </si>
  <si>
    <t>Sales taxes</t>
  </si>
  <si>
    <t>Franchise taxes</t>
  </si>
  <si>
    <t>Interest receivable</t>
  </si>
  <si>
    <t>Intergovernmental receivable</t>
  </si>
  <si>
    <t>Loans receivable</t>
  </si>
  <si>
    <t>Intergovernmental payable</t>
  </si>
  <si>
    <t>Enterprize zone rebate liability</t>
  </si>
  <si>
    <t>Property taxes levied for the next fiscal year</t>
  </si>
  <si>
    <t>Public works operations</t>
  </si>
  <si>
    <t>Juvenile justice operations</t>
  </si>
  <si>
    <t>Library purposes</t>
  </si>
  <si>
    <t>Roads and infrastructure</t>
  </si>
  <si>
    <t>Other restrictions</t>
  </si>
  <si>
    <t>Animal services</t>
  </si>
  <si>
    <t>Parks operations</t>
  </si>
  <si>
    <t>Training center operations</t>
  </si>
  <si>
    <t>Future capital needs</t>
  </si>
  <si>
    <t>Matching funds for capital grants</t>
  </si>
  <si>
    <t>Major infrastructure</t>
  </si>
  <si>
    <t>Cooperative endeavor agreements</t>
  </si>
  <si>
    <t>Caldwell Combined Balance Sheet</t>
  </si>
  <si>
    <t>Recreation</t>
  </si>
  <si>
    <t>Blacktop Road</t>
  </si>
  <si>
    <t>Bayou Dechere Resevoir</t>
  </si>
  <si>
    <t>LCDBG</t>
  </si>
  <si>
    <t>Saleries and related payables</t>
  </si>
  <si>
    <t>Due to other agencies</t>
  </si>
  <si>
    <t xml:space="preserve">Restricted </t>
  </si>
  <si>
    <t>Cameron Combined Balance Sheet</t>
  </si>
  <si>
    <t>Road &amp; Bridge Maintenance</t>
  </si>
  <si>
    <t xml:space="preserve">Long-Term Community Recovery </t>
  </si>
  <si>
    <t>Non-Major</t>
  </si>
  <si>
    <t xml:space="preserve">Total </t>
  </si>
  <si>
    <t>Inventory, at cost</t>
  </si>
  <si>
    <t>Interfund receivables</t>
  </si>
  <si>
    <t>DEFERRED OUTFLOWS OF RESOURCES</t>
  </si>
  <si>
    <t>Total assets and deferred outflows of resources:</t>
  </si>
  <si>
    <t>Interfund payables</t>
  </si>
  <si>
    <t>Prepaid expenses</t>
  </si>
  <si>
    <t>Tourism development</t>
  </si>
  <si>
    <t>Commited to:</t>
  </si>
  <si>
    <t>Infrastructure maintenance</t>
  </si>
  <si>
    <t>Othercapital projects</t>
  </si>
  <si>
    <t>Catahoula Combined Balance Sheet</t>
  </si>
  <si>
    <t>Road and Bridge</t>
  </si>
  <si>
    <t>Hard Surfacing</t>
  </si>
  <si>
    <t>Heatlh Unit</t>
  </si>
  <si>
    <t>Courthouse Roof Rehabilitation</t>
  </si>
  <si>
    <t>Cash restricted for debt service</t>
  </si>
  <si>
    <t>Cash restricted for capital project</t>
  </si>
  <si>
    <t>Salaries and related payables</t>
  </si>
  <si>
    <t>Ad valorem taxes and state revenue sharing - unavailable</t>
  </si>
  <si>
    <t>Claiborne Combined Balance Sheet</t>
  </si>
  <si>
    <t>Parish Road</t>
  </si>
  <si>
    <t>Library Maintenance</t>
  </si>
  <si>
    <t>Sales Tax</t>
  </si>
  <si>
    <t>Criminal Court</t>
  </si>
  <si>
    <t>Due from other agencies</t>
  </si>
  <si>
    <t>Deferred charges</t>
  </si>
  <si>
    <t>Accounts, salaries and other payables</t>
  </si>
  <si>
    <t>Unavailable ad valorem tax revenue</t>
  </si>
  <si>
    <t>Restricted fund balances</t>
  </si>
  <si>
    <t>Unassigned fund balances</t>
  </si>
  <si>
    <t>Concordia Combined Balance Sheet</t>
  </si>
  <si>
    <t>Major Funds</t>
  </si>
  <si>
    <t>Drainage Fund</t>
  </si>
  <si>
    <t>Road Debt Service Fund</t>
  </si>
  <si>
    <t>Highway Maintenance Fund</t>
  </si>
  <si>
    <t>Cash and cash equivalents - restricted</t>
  </si>
  <si>
    <t xml:space="preserve">Accounts recievable </t>
  </si>
  <si>
    <t>Ad valorem taxes receivable, net</t>
  </si>
  <si>
    <t xml:space="preserve">Sales and use taxes recievable </t>
  </si>
  <si>
    <t>Severancetaxes receivable</t>
  </si>
  <si>
    <t>Accrued payroll and benefits</t>
  </si>
  <si>
    <t>Unavailable ad valorem taxes</t>
  </si>
  <si>
    <t>DeSoto Combined Balance Sheet</t>
  </si>
  <si>
    <t>Road Fund</t>
  </si>
  <si>
    <t>Airport Fund</t>
  </si>
  <si>
    <t>Jail Fund</t>
  </si>
  <si>
    <t>Revenue Receivables</t>
  </si>
  <si>
    <t>Due from Other Funds</t>
  </si>
  <si>
    <t>Noncurrent Receivable</t>
  </si>
  <si>
    <t>Master bank Overdrafts</t>
  </si>
  <si>
    <t>Due  to other governments</t>
  </si>
  <si>
    <t xml:space="preserve"> </t>
  </si>
  <si>
    <t>Advance from grantors</t>
  </si>
  <si>
    <t>Deposits</t>
  </si>
  <si>
    <t>Unavailable Property Taxes</t>
  </si>
  <si>
    <t>Public Safety</t>
  </si>
  <si>
    <t>Roads</t>
  </si>
  <si>
    <t>Sanitation </t>
  </si>
  <si>
    <t>Health &amp; Welfare</t>
  </si>
  <si>
    <t>Witness &amp; Juror Fees</t>
  </si>
  <si>
    <t>Animal Control</t>
  </si>
  <si>
    <t>East Baton Rouge Combined Balance Sheet</t>
  </si>
  <si>
    <t>Library Board of Control</t>
  </si>
  <si>
    <t>Capital Projects</t>
  </si>
  <si>
    <t>Cash and cash equivalents (note 3)</t>
  </si>
  <si>
    <t>Investments (note 3)</t>
  </si>
  <si>
    <t>Property taxes receivable - net (note 4)</t>
  </si>
  <si>
    <t>Gross receipts business taxes receivable</t>
  </si>
  <si>
    <t>Sales taxes receivable</t>
  </si>
  <si>
    <t>Interest and penalties receivable on taxes</t>
  </si>
  <si>
    <t>Accounts receivable - net (note 13) </t>
  </si>
  <si>
    <t xml:space="preserve">Accrued interest receivable </t>
  </si>
  <si>
    <t>Due from other funds (Note 11)</t>
  </si>
  <si>
    <t>Due from other governments (Note 11)</t>
  </si>
  <si>
    <t>Accounts and contracts payable</t>
  </si>
  <si>
    <t>Due to other funds (Note 11)</t>
  </si>
  <si>
    <t>Accrued payables</t>
  </si>
  <si>
    <t>Deposits and escrow accounts</t>
  </si>
  <si>
    <t>Unavailable revenue- property taxes</t>
  </si>
  <si>
    <t>Unavailable revenue- revenue sharing</t>
  </si>
  <si>
    <t>Resources recieved before time requirements</t>
  </si>
  <si>
    <t>Committed</t>
  </si>
  <si>
    <t>East Carroll Combined Balance Sheet</t>
  </si>
  <si>
    <t>Road Maintenance and Construction</t>
  </si>
  <si>
    <t>Garbage District No. 1</t>
  </si>
  <si>
    <t>Drainage Maintenance</t>
  </si>
  <si>
    <t>Nonmajor Governmental</t>
  </si>
  <si>
    <t>Deferred Inflows of Resources</t>
  </si>
  <si>
    <t>East Feliciana Combined Balance Sheet</t>
  </si>
  <si>
    <t>Roads and Bridges</t>
  </si>
  <si>
    <t>Accounts</t>
  </si>
  <si>
    <t>Taxes</t>
  </si>
  <si>
    <t>Due from other govt units</t>
  </si>
  <si>
    <t>Due to other govt agencies</t>
  </si>
  <si>
    <t>Deferred inflows of resources:</t>
  </si>
  <si>
    <t>Fund Balances (Deficit):</t>
  </si>
  <si>
    <t>Health unit oper/maintenance</t>
  </si>
  <si>
    <t>Homeland security</t>
  </si>
  <si>
    <t>Solid waste management</t>
  </si>
  <si>
    <t>Road improvements</t>
  </si>
  <si>
    <t>Coroner/court operations</t>
  </si>
  <si>
    <t>Claims and judgements</t>
  </si>
  <si>
    <t>Evangeline Combined Balance Sheet</t>
  </si>
  <si>
    <t>Special Grant</t>
  </si>
  <si>
    <t>Road District Maintenance</t>
  </si>
  <si>
    <t xml:space="preserve">Public Library Maintenance </t>
  </si>
  <si>
    <t>2% Sales Tax District #1 Capital Projects</t>
  </si>
  <si>
    <t>Restricted assets:</t>
  </si>
  <si>
    <t>Performance bonds payable</t>
  </si>
  <si>
    <t>Deposits payable</t>
  </si>
  <si>
    <t>Restricted-</t>
  </si>
  <si>
    <t>Assigned-</t>
  </si>
  <si>
    <t xml:space="preserve">Judicial </t>
  </si>
  <si>
    <t>Drainage improvements</t>
  </si>
  <si>
    <t>Franklin Combined Balance Sheet</t>
  </si>
  <si>
    <t>Parish Equipment</t>
  </si>
  <si>
    <t>IKE GUSTAV</t>
  </si>
  <si>
    <t>Payroll withholdings payable</t>
  </si>
  <si>
    <t>Fund Equity - Fund Balances</t>
  </si>
  <si>
    <t>Other General Government</t>
  </si>
  <si>
    <t>Health and Welfare</t>
  </si>
  <si>
    <t>Grant Parish Combined Balance Sheet</t>
  </si>
  <si>
    <t>Parish Road Maintenance</t>
  </si>
  <si>
    <t>Head Start</t>
  </si>
  <si>
    <t>Courthouse and Jail Maintenance</t>
  </si>
  <si>
    <t>Old Bank Building</t>
  </si>
  <si>
    <t>Receivables (net)</t>
  </si>
  <si>
    <t>Interfund Receivables</t>
  </si>
  <si>
    <t>Retainage Payable</t>
  </si>
  <si>
    <t>Interfund Payables</t>
  </si>
  <si>
    <t>Maintenance</t>
  </si>
  <si>
    <t>Construction</t>
  </si>
  <si>
    <t>Committed To:</t>
  </si>
  <si>
    <t>Litter Abatement</t>
  </si>
  <si>
    <t>General Purposes</t>
  </si>
  <si>
    <t>Iberia Combined Balance Sheet</t>
  </si>
  <si>
    <t>Public Library</t>
  </si>
  <si>
    <t>Public Buildings Maintenance</t>
  </si>
  <si>
    <t>Paarish Wide Drainage Maintenance</t>
  </si>
  <si>
    <t>Royalty</t>
  </si>
  <si>
    <t>Mosquito Control/ Drainage Program</t>
  </si>
  <si>
    <t>Advance to component unit</t>
  </si>
  <si>
    <t>Due from other governmental agencies</t>
  </si>
  <si>
    <t>Accrued expenses</t>
  </si>
  <si>
    <t>Due to other governmental agencies</t>
  </si>
  <si>
    <t>Advances from grantors and assessments</t>
  </si>
  <si>
    <t xml:space="preserve">Committed </t>
  </si>
  <si>
    <t>Iberville Combined Balance Sheet</t>
  </si>
  <si>
    <t>Public Building Maintenance</t>
  </si>
  <si>
    <t>Sales Tax Roads</t>
  </si>
  <si>
    <t>Iberville Parish Medical Complex CDBG</t>
  </si>
  <si>
    <t xml:space="preserve">Louisiana Recovery Authority </t>
  </si>
  <si>
    <t>WD 3 Line Extension Project DHH</t>
  </si>
  <si>
    <t>Receivables (net of allowance for uncollectible)</t>
  </si>
  <si>
    <t>Due From Other Funds</t>
  </si>
  <si>
    <t>Cash - restricted</t>
  </si>
  <si>
    <t>Other payables</t>
  </si>
  <si>
    <t>Non Spendable</t>
  </si>
  <si>
    <t xml:space="preserve">Assigned </t>
  </si>
  <si>
    <t>Jackson Combined Balance Sheet</t>
  </si>
  <si>
    <t>Asphalt Fund</t>
  </si>
  <si>
    <t>Prepaid Items</t>
  </si>
  <si>
    <t>Sequrity deposits</t>
  </si>
  <si>
    <t>Unavailable revenue-property taxes</t>
  </si>
  <si>
    <t>Nonspendable - prepaid items</t>
  </si>
  <si>
    <t>Jefferson Combined Balance Sheet</t>
  </si>
  <si>
    <t>Road Sales Tax No. 1 Sales Tax Fund</t>
  </si>
  <si>
    <t>Criminal Court Fund</t>
  </si>
  <si>
    <t>Section 8 Housing Fund</t>
  </si>
  <si>
    <t>Regional Consolidated Jail Maintenance Tax</t>
  </si>
  <si>
    <t>Road Sales Tax No. 1 Sinking Fund</t>
  </si>
  <si>
    <t>Restricted cash and cash equivalents</t>
  </si>
  <si>
    <t>Deposits to others</t>
  </si>
  <si>
    <t>Jail capital project</t>
  </si>
  <si>
    <t>Federal and State Grants</t>
  </si>
  <si>
    <t xml:space="preserve">East Bank Consolidated Fire Dictrict </t>
  </si>
  <si>
    <t xml:space="preserve">Drainage and Pump Station Capital </t>
  </si>
  <si>
    <t>Road &amp; Street Capital Improvements</t>
  </si>
  <si>
    <t>Share of pooled assets</t>
  </si>
  <si>
    <t>Receivables, net of allowances for estimated uncollectibles</t>
  </si>
  <si>
    <t xml:space="preserve">Intrerest </t>
  </si>
  <si>
    <t>Ad valorem tax</t>
  </si>
  <si>
    <t xml:space="preserve">Accounts  </t>
  </si>
  <si>
    <t>Intergovernmental</t>
  </si>
  <si>
    <t xml:space="preserve">Inventories </t>
  </si>
  <si>
    <t>Deposits and other assets</t>
  </si>
  <si>
    <t xml:space="preserve">Deposits  </t>
  </si>
  <si>
    <t xml:space="preserve">Other payables and accruals </t>
  </si>
  <si>
    <t xml:space="preserve">                </t>
  </si>
  <si>
    <t>Lafayette Combined Balance Sheet</t>
  </si>
  <si>
    <t xml:space="preserve">                      Issued: October 31, 2015</t>
  </si>
  <si>
    <t>Sales Tax Capital Improvements</t>
  </si>
  <si>
    <t>Allowance for uncollectible loans</t>
  </si>
  <si>
    <t>Assessments receivable</t>
  </si>
  <si>
    <t>Accrued interest receivable</t>
  </si>
  <si>
    <t>Inventories, at cost</t>
  </si>
  <si>
    <t>Property held for resale</t>
  </si>
  <si>
    <t>Cash overdraft</t>
  </si>
  <si>
    <t>Accrued salaries and benefits</t>
  </si>
  <si>
    <t>Nonspendable -</t>
  </si>
  <si>
    <t>Restricted -</t>
  </si>
  <si>
    <t>Capital expenditures</t>
  </si>
  <si>
    <t xml:space="preserve">Operations and maintenance </t>
  </si>
  <si>
    <t>Purpose of grantors and donors</t>
  </si>
  <si>
    <t>Committed -</t>
  </si>
  <si>
    <t>Incomplete projects</t>
  </si>
  <si>
    <t xml:space="preserve">Assigned - </t>
  </si>
  <si>
    <t>Lafourche Combined Balance Sheet</t>
  </si>
  <si>
    <t>Board of Health</t>
  </si>
  <si>
    <t>Library Commission</t>
  </si>
  <si>
    <t>BP Oil Spill Fund</t>
  </si>
  <si>
    <t>Non-Major Funds</t>
  </si>
  <si>
    <t>Other current assets</t>
  </si>
  <si>
    <t>Accounts payable and accrued expenses</t>
  </si>
  <si>
    <t>Contracts and retainages payable</t>
  </si>
  <si>
    <t>Salaries and benefits payable</t>
  </si>
  <si>
    <t>Due to other governmental units</t>
  </si>
  <si>
    <t>Other current liabilities</t>
  </si>
  <si>
    <t>Non-spendable for prepaid assets</t>
  </si>
  <si>
    <t>Judicial programs</t>
  </si>
  <si>
    <t>Federal and state grant programs</t>
  </si>
  <si>
    <t>Commited:</t>
  </si>
  <si>
    <t>Health and community services</t>
  </si>
  <si>
    <t>LaSalle Combined Balance Sheet</t>
  </si>
  <si>
    <t>Courthouse Maintenance</t>
  </si>
  <si>
    <t>Garbage District</t>
  </si>
  <si>
    <t>Cash and equivalents</t>
  </si>
  <si>
    <t>Prepaid lease payments</t>
  </si>
  <si>
    <t>Total Fund Equity- fund balances (deficit)</t>
  </si>
  <si>
    <t>Lincoln Combined Balance Sheet</t>
  </si>
  <si>
    <t>Road Construction Fund</t>
  </si>
  <si>
    <t>Road Maintenance Fund</t>
  </si>
  <si>
    <t>Library Fund</t>
  </si>
  <si>
    <t>Solid Waste Disposal Equipment Reserve Fund</t>
  </si>
  <si>
    <t>Hospital Proceeds Fund</t>
  </si>
  <si>
    <t>Due from other entities</t>
  </si>
  <si>
    <t>Total fund equity</t>
  </si>
  <si>
    <t>Total liabilities and fund equity</t>
  </si>
  <si>
    <t>Livingston Combined Balance Sheet</t>
  </si>
  <si>
    <t>General  Fund</t>
  </si>
  <si>
    <t>Health Unit Fund</t>
  </si>
  <si>
    <t>Jail Sales Tax Fund</t>
  </si>
  <si>
    <t>Road 06 Debt Service Fund</t>
  </si>
  <si>
    <t>Other Governemntal Funds</t>
  </si>
  <si>
    <t>Pooled Cash in Other Funds</t>
  </si>
  <si>
    <t>Receivables, net of allowance</t>
  </si>
  <si>
    <t xml:space="preserve">Inventory </t>
  </si>
  <si>
    <t>Advance to jail sales tax fund</t>
  </si>
  <si>
    <t>Accounts payables</t>
  </si>
  <si>
    <t>Deficit in Pooled Cash</t>
  </si>
  <si>
    <t>Accrued expenses payable</t>
  </si>
  <si>
    <t>Advances from other funds</t>
  </si>
  <si>
    <t>Non-spendable:</t>
  </si>
  <si>
    <t>Advances</t>
  </si>
  <si>
    <t>Criminal court</t>
  </si>
  <si>
    <t>Criminal court witness</t>
  </si>
  <si>
    <t>Grant expenditures</t>
  </si>
  <si>
    <t>State grant programs</t>
  </si>
  <si>
    <t>Federal grant programs</t>
  </si>
  <si>
    <t>Bingo</t>
  </si>
  <si>
    <t>Court fees</t>
  </si>
  <si>
    <t>Health unit</t>
  </si>
  <si>
    <t>Road</t>
  </si>
  <si>
    <t>Total fund balances (Deficits):</t>
  </si>
  <si>
    <t>Total liabilities and fund balances (Deficits):</t>
  </si>
  <si>
    <t>Madison Combined Balance Sheet</t>
  </si>
  <si>
    <t>Garbage Maintenance</t>
  </si>
  <si>
    <t>Public Works</t>
  </si>
  <si>
    <t>Courthouse and Jail</t>
  </si>
  <si>
    <t>E-911</t>
  </si>
  <si>
    <t>Morehouse Combined Balance Sheet</t>
  </si>
  <si>
    <t>Building Maintenance</t>
  </si>
  <si>
    <t>Due from other Funds</t>
  </si>
  <si>
    <t>Bank overdraft</t>
  </si>
  <si>
    <t>Payroll accruals and withholdings</t>
  </si>
  <si>
    <t>Restricted for special revenue</t>
  </si>
  <si>
    <t>Unassigned for special revenue (deficit)</t>
  </si>
  <si>
    <t>Natchitoches Combined Balance Sheet</t>
  </si>
  <si>
    <t xml:space="preserve">                      Issued: May 31, 2015</t>
  </si>
  <si>
    <t>Parish Library Fund</t>
  </si>
  <si>
    <t>Disposal Solid Waste</t>
  </si>
  <si>
    <t>Governmental Building Fund</t>
  </si>
  <si>
    <t>Nonmajor Funds</t>
  </si>
  <si>
    <t>Revenue receivables</t>
  </si>
  <si>
    <t xml:space="preserve">LIABILITIES </t>
  </si>
  <si>
    <t>Accrued Payroll</t>
  </si>
  <si>
    <t>Fund Balances-</t>
  </si>
  <si>
    <t>Orleans Combined Balance Sheet</t>
  </si>
  <si>
    <t>(amounts in thousands)</t>
  </si>
  <si>
    <t>HUD</t>
  </si>
  <si>
    <t>Federal UDAG</t>
  </si>
  <si>
    <t>FEMA</t>
  </si>
  <si>
    <t>Debt Service</t>
  </si>
  <si>
    <t>Louisiana Office of Community Development</t>
  </si>
  <si>
    <t>Receivables (net of allowance for uncollectibles):</t>
  </si>
  <si>
    <t>Grantee loans</t>
  </si>
  <si>
    <t>Advances to other funds</t>
  </si>
  <si>
    <t>Retainages payable</t>
  </si>
  <si>
    <t xml:space="preserve">Advances from other funds </t>
  </si>
  <si>
    <t>Total deferred inflows of resources:</t>
  </si>
  <si>
    <t>Total liabilities,deferred inflows of resources,  and fund balances:</t>
  </si>
  <si>
    <t>Ouachita Combined Balance Sheet</t>
  </si>
  <si>
    <t>Aggregate remaining funds</t>
  </si>
  <si>
    <t>Special Revenue Funds</t>
  </si>
  <si>
    <t xml:space="preserve">General Fund 001 </t>
  </si>
  <si>
    <t>Public Works Fund 102</t>
  </si>
  <si>
    <t xml:space="preserve">Fire Department Fund 104 </t>
  </si>
  <si>
    <t>Public Library Fund 105</t>
  </si>
  <si>
    <t>Correctional Center Fund 110</t>
  </si>
  <si>
    <t>Urban System Fund 132</t>
  </si>
  <si>
    <t>Receivables:</t>
  </si>
  <si>
    <t>Special assessments</t>
  </si>
  <si>
    <t>Prepaid expenses and other assets</t>
  </si>
  <si>
    <t>LIABILITIES AND FUND EQUITY</t>
  </si>
  <si>
    <t>Unearned revenues</t>
  </si>
  <si>
    <t>Deposits held</t>
  </si>
  <si>
    <t>Fund Equity</t>
  </si>
  <si>
    <t>Fund balances</t>
  </si>
  <si>
    <t>Spendable:</t>
  </si>
  <si>
    <t>Total liabilities and fund equity:</t>
  </si>
  <si>
    <t>Plaquemines Combined Balance Sheet</t>
  </si>
  <si>
    <t>FEMA Management</t>
  </si>
  <si>
    <t>Series 2012 A Coastal Restorations</t>
  </si>
  <si>
    <t>Series 2012 B Courthouse</t>
  </si>
  <si>
    <t>Receivables (net of allowances for uncollectibles)</t>
  </si>
  <si>
    <t>Interfund loan</t>
  </si>
  <si>
    <t>Compensated absences payable</t>
  </si>
  <si>
    <t>Deposits due others</t>
  </si>
  <si>
    <t>Unassigned (Deficit)</t>
  </si>
  <si>
    <t>Pointe Coupee Combined Balance Sheet</t>
  </si>
  <si>
    <t>Parishwide drainage</t>
  </si>
  <si>
    <t>Pointe Coupee Library</t>
  </si>
  <si>
    <t>Detention Center</t>
  </si>
  <si>
    <t>Road Construction</t>
  </si>
  <si>
    <t>Debt Service Road Improvement</t>
  </si>
  <si>
    <t>Unavailable revenues</t>
  </si>
  <si>
    <t>Rapides Combined Balance Sheet</t>
  </si>
  <si>
    <t>Road and Bridge Fund</t>
  </si>
  <si>
    <t>Fire Protection District No. 2 Fund</t>
  </si>
  <si>
    <t>2015 Total Governmental Funds</t>
  </si>
  <si>
    <t>2014 Total Governmental Funds</t>
  </si>
  <si>
    <t>Reserved for:</t>
  </si>
  <si>
    <t>Employee benefits</t>
  </si>
  <si>
    <t>Red River Combined Balance Sheet</t>
  </si>
  <si>
    <t>Ambulance Service Fund</t>
  </si>
  <si>
    <t>Unit 1 Road Fund</t>
  </si>
  <si>
    <t>Public Facilities Maintenance Fund</t>
  </si>
  <si>
    <t>Other non-major Governmental Funda</t>
  </si>
  <si>
    <t>DEFERRED OUTLFLOWS OF RESOURCES</t>
  </si>
  <si>
    <t>Total Assets and deferred outflows</t>
  </si>
  <si>
    <t>Dedicated property taxes</t>
  </si>
  <si>
    <t>Dedicated sales taxes</t>
  </si>
  <si>
    <t>Court fees for juror and witness compensation</t>
  </si>
  <si>
    <t>Criminal court costs</t>
  </si>
  <si>
    <t>Ambulance services</t>
  </si>
  <si>
    <t>Road maintenance and improvements</t>
  </si>
  <si>
    <t>Public facilities maintenance</t>
  </si>
  <si>
    <t>Buildings and infrastructure</t>
  </si>
  <si>
    <t>Tourism</t>
  </si>
  <si>
    <t>Total liabilities, deferred inflows, and fund balances:</t>
  </si>
  <si>
    <t>Richland Combined Balance Sheet</t>
  </si>
  <si>
    <t>ASSETS</t>
  </si>
  <si>
    <t>Fund Balance</t>
  </si>
  <si>
    <t>Sabine Combined Balance Sheet</t>
  </si>
  <si>
    <t>Transportation Fund</t>
  </si>
  <si>
    <t>Road District Fund No.17</t>
  </si>
  <si>
    <t>Road District Fund No.18</t>
  </si>
  <si>
    <t>Liabilities</t>
  </si>
  <si>
    <t>Restricted for maintenance and operation</t>
  </si>
  <si>
    <t>Total liabilities and fund balances</t>
  </si>
  <si>
    <t>St. Bernard Combined Balance Sheet</t>
  </si>
  <si>
    <t>Hazard Mitigation Grant Program</t>
  </si>
  <si>
    <t>Disaster Recovery Fund</t>
  </si>
  <si>
    <t>Consolidated Fire Protection District No. 1-2</t>
  </si>
  <si>
    <t>Non-Major Governmental Funds</t>
  </si>
  <si>
    <t>Investments - land held for sale</t>
  </si>
  <si>
    <t>Cable franchise fees</t>
  </si>
  <si>
    <t>Number wrong on file</t>
  </si>
  <si>
    <t>Prepaid</t>
  </si>
  <si>
    <t>Salaries and payroll deductions payable</t>
  </si>
  <si>
    <t>Advance collections</t>
  </si>
  <si>
    <t>Short-term certificates of indebtedness</t>
  </si>
  <si>
    <t>Deferred inflows of resources</t>
  </si>
  <si>
    <t xml:space="preserve">Nonspendable </t>
  </si>
  <si>
    <t>Mortgage refunding</t>
  </si>
  <si>
    <t>Federal programs</t>
  </si>
  <si>
    <t>Council on aging</t>
  </si>
  <si>
    <t>Health</t>
  </si>
  <si>
    <t>Communication</t>
  </si>
  <si>
    <t>Garbage</t>
  </si>
  <si>
    <t>Court operations</t>
  </si>
  <si>
    <t>Capital outlay</t>
  </si>
  <si>
    <t>BP oil spill</t>
  </si>
  <si>
    <t xml:space="preserve">Commited </t>
  </si>
  <si>
    <t>Coastal Restoration</t>
  </si>
  <si>
    <t>Recovery</t>
  </si>
  <si>
    <t>Total liabilities, deferred inflows and fund balances:</t>
  </si>
  <si>
    <t>St. Charles Combined Balance Sheet</t>
  </si>
  <si>
    <t>Road &amp; Drainage Maintenance &amp; Operation</t>
  </si>
  <si>
    <t>Flood Protection</t>
  </si>
  <si>
    <t>Sewer General Obligation Sinking</t>
  </si>
  <si>
    <t>Cash and Cash equivalents</t>
  </si>
  <si>
    <t>Prepaid fees</t>
  </si>
  <si>
    <t>Commited</t>
  </si>
  <si>
    <t>St. Helena Combined Balance Sheet</t>
  </si>
  <si>
    <t>Road Building &amp; Maintenance Fund</t>
  </si>
  <si>
    <t>LGAP Grants fund</t>
  </si>
  <si>
    <t>Courthouse Project Fund</t>
  </si>
  <si>
    <t>Other accrued liabilities</t>
  </si>
  <si>
    <t>Total fund balance (deficit):</t>
  </si>
  <si>
    <t>St. James Combined Balance Sheet</t>
  </si>
  <si>
    <t>Courthouse, Jail, and Public Buildings Maintenance</t>
  </si>
  <si>
    <t>Parishwide Drainage Maintenance</t>
  </si>
  <si>
    <t>CDBG Disaster Recovery Projects</t>
  </si>
  <si>
    <t>Payroll deductions and withholdings payable</t>
  </si>
  <si>
    <t>Nonspendable -prepaid items and Inventory</t>
  </si>
  <si>
    <t>Restricted for</t>
  </si>
  <si>
    <t>Highways and streets</t>
  </si>
  <si>
    <t>General government</t>
  </si>
  <si>
    <t>Commited for</t>
  </si>
  <si>
    <t>Public transportation</t>
  </si>
  <si>
    <t>Assigned for</t>
  </si>
  <si>
    <t>St. John the Baptist Combined Balance Sheet</t>
  </si>
  <si>
    <t>Sales Tax District</t>
  </si>
  <si>
    <t>1992 General Obligation Sinking</t>
  </si>
  <si>
    <t>2010 Sewer Construction Bond</t>
  </si>
  <si>
    <t>2014 General Obligation Bond</t>
  </si>
  <si>
    <t>Fire Services</t>
  </si>
  <si>
    <t>Issac Hurricane CDBG</t>
  </si>
  <si>
    <t>Receivables (net of allowances for uncollectible)</t>
  </si>
  <si>
    <t>Non-spendable</t>
  </si>
  <si>
    <t>St. Landry Combined Balance Sheet</t>
  </si>
  <si>
    <t>Road and Bridge Maintenance Fund</t>
  </si>
  <si>
    <t>Health Unit Maintenance Fund</t>
  </si>
  <si>
    <t>Airport Maintenance Fund</t>
  </si>
  <si>
    <t>LCDBG Disaster Recovery Fund</t>
  </si>
  <si>
    <t>Road District 1 Sales Tax</t>
  </si>
  <si>
    <t>Road District 1 Construction</t>
  </si>
  <si>
    <t>Road District 1 Sinking Fund</t>
  </si>
  <si>
    <t>Cash and cash equivalents, restricted</t>
  </si>
  <si>
    <t xml:space="preserve">Receivables </t>
  </si>
  <si>
    <t>Investments, restricted</t>
  </si>
  <si>
    <t>Due from agency funds</t>
  </si>
  <si>
    <t>Accrued penalties and interest</t>
  </si>
  <si>
    <t>Accrued expenditures</t>
  </si>
  <si>
    <t>Due to agency funds</t>
  </si>
  <si>
    <t>Prepaids</t>
  </si>
  <si>
    <t>Prisoner expense and jury witness</t>
  </si>
  <si>
    <t>Judicial expenses</t>
  </si>
  <si>
    <t>Parish road construction</t>
  </si>
  <si>
    <t>General contingencies</t>
  </si>
  <si>
    <t xml:space="preserve">Assigned to </t>
  </si>
  <si>
    <t>St. Martin Combined Balance Sheet</t>
  </si>
  <si>
    <t xml:space="preserve">    Issued: December 31, 2015</t>
  </si>
  <si>
    <t>District #1 Sales Tax Revenue Fund</t>
  </si>
  <si>
    <t>District #2 Sales Tax Revenue Fund</t>
  </si>
  <si>
    <t>Parishwide Bond Sinking Fund</t>
  </si>
  <si>
    <t>Due from other governmental entities</t>
  </si>
  <si>
    <t>Due to other governmental entities</t>
  </si>
  <si>
    <t>DEFERRED INFLOWS OF RESOURCES:</t>
  </si>
  <si>
    <t>Sales tax dedications</t>
  </si>
  <si>
    <t>St. Mary Combined Balance Sheet</t>
  </si>
  <si>
    <t>Road Construction &amp; Maintenance Fund</t>
  </si>
  <si>
    <t>Sanitation Fund</t>
  </si>
  <si>
    <t>Capital Improvement Fund</t>
  </si>
  <si>
    <t>CDBG Recovery Fund</t>
  </si>
  <si>
    <t>Combined Sewer Construction Fund</t>
  </si>
  <si>
    <t>Receivables (net, where applicable of</t>
  </si>
  <si>
    <t xml:space="preserve"> allowances for uncollectibles)</t>
  </si>
  <si>
    <t xml:space="preserve">Accounts payable </t>
  </si>
  <si>
    <t>Advance from other funds</t>
  </si>
  <si>
    <t>Fund Balances (deficit)</t>
  </si>
  <si>
    <t>Nonspendable- non-current receivables</t>
  </si>
  <si>
    <t>Use in specific geographic areas</t>
  </si>
  <si>
    <t>Assigned for:</t>
  </si>
  <si>
    <t>Urban redevelopment and housing</t>
  </si>
  <si>
    <t>St.Tammany Combined Balance Sheet</t>
  </si>
  <si>
    <t xml:space="preserve">     Issued: December 31, 2015</t>
  </si>
  <si>
    <t>010, 012 General Fund</t>
  </si>
  <si>
    <t>013 St. Tammany Parish Library</t>
  </si>
  <si>
    <t>015 Public Works</t>
  </si>
  <si>
    <t>300 Capital Improvements - General</t>
  </si>
  <si>
    <t>Total Non-Major Governmental Funds</t>
  </si>
  <si>
    <t>Receivables, net of allowances for uncollectibles:</t>
  </si>
  <si>
    <t>Ad valorem/parcel fees</t>
  </si>
  <si>
    <t>Sales and use tax</t>
  </si>
  <si>
    <t>Other recievables</t>
  </si>
  <si>
    <t>Restricted assets</t>
  </si>
  <si>
    <t>Unavailable revenue-ad valorem/parcel fees</t>
  </si>
  <si>
    <t>Unavailable revenue-state revenue sharing</t>
  </si>
  <si>
    <t>Nonspendable, prepaid items</t>
  </si>
  <si>
    <t>Total liabilities, deferred inflows of resouces, and fund balances:</t>
  </si>
  <si>
    <t>Tangipahoa Combined Balance Sheet</t>
  </si>
  <si>
    <t xml:space="preserve"> General Fund</t>
  </si>
  <si>
    <t>Road and Bridge Funds</t>
  </si>
  <si>
    <t>Hazard Mitigation</t>
  </si>
  <si>
    <t xml:space="preserve">Receivables, net </t>
  </si>
  <si>
    <t>Restricted assets - cash</t>
  </si>
  <si>
    <t>Deferred Inflow of Resources</t>
  </si>
  <si>
    <t>Grant Funds</t>
  </si>
  <si>
    <t>Total Deferred inflow of Resources</t>
  </si>
  <si>
    <t>Total fund balances</t>
  </si>
  <si>
    <t xml:space="preserve">Total liabilities, Deferred inflow of Resources, </t>
  </si>
  <si>
    <t>and fund balances:</t>
  </si>
  <si>
    <t>Tensas Combined Balance Sheet</t>
  </si>
  <si>
    <t>    Issued: December 31, 2015</t>
  </si>
  <si>
    <t>Ambulance Fund</t>
  </si>
  <si>
    <t>Waste Collection Fund</t>
  </si>
  <si>
    <t>Landfill Site Fund</t>
  </si>
  <si>
    <t>Fire Protection Fund</t>
  </si>
  <si>
    <t>Amounts held by trustee for landfill closure and post-closure care costs</t>
  </si>
  <si>
    <t>Intergovernmental payables</t>
  </si>
  <si>
    <t>Landfill closure</t>
  </si>
  <si>
    <t>Special revenue projects</t>
  </si>
  <si>
    <t>Unassigned, reported in:</t>
  </si>
  <si>
    <t>Terrebonne Combined Balance Sheet</t>
  </si>
  <si>
    <t>Public Safety Fund</t>
  </si>
  <si>
    <t>Grant Fund</t>
  </si>
  <si>
    <t>Drainage Maintenance Fund</t>
  </si>
  <si>
    <t>Terrebonne Levee &amp; Conservation District Fund</t>
  </si>
  <si>
    <t>Capital Projects Fund</t>
  </si>
  <si>
    <t>Economic loans</t>
  </si>
  <si>
    <t>Accounts payable and accrued expenditures</t>
  </si>
  <si>
    <t>Liability for work completed on contracts</t>
  </si>
  <si>
    <t>Grant advances</t>
  </si>
  <si>
    <t>Payable from restricted assets:</t>
  </si>
  <si>
    <t>Tenents' escrow accounts</t>
  </si>
  <si>
    <t>Nonspendables:</t>
  </si>
  <si>
    <t>Dedicated emergency</t>
  </si>
  <si>
    <t>Broadmoor trees</t>
  </si>
  <si>
    <t>Levee and conservation</t>
  </si>
  <si>
    <t>Other special purposes</t>
  </si>
  <si>
    <t>Commited for:</t>
  </si>
  <si>
    <t>Non-district recreation</t>
  </si>
  <si>
    <t>Parish prisoners</t>
  </si>
  <si>
    <t>City marshall</t>
  </si>
  <si>
    <t>Coastal restoration</t>
  </si>
  <si>
    <t>Road and bridge</t>
  </si>
  <si>
    <t>Union Combined Balance Sheet</t>
  </si>
  <si>
    <t>Sales Tax Landfill</t>
  </si>
  <si>
    <t>LIABILITIES, DEFERRED INFLOWS AND FUND EQUITY</t>
  </si>
  <si>
    <t>Deferred Inflows:</t>
  </si>
  <si>
    <t>Grant revenues pending</t>
  </si>
  <si>
    <t>Fund equity- fund balances</t>
  </si>
  <si>
    <t>Total fund equity- fund balances:</t>
  </si>
  <si>
    <t>Total liabilities, deferred inflows, and fund equity:</t>
  </si>
  <si>
    <t>Vermillion Combined Balance Sheet</t>
  </si>
  <si>
    <t>                      Issued: December 31, 2013</t>
  </si>
  <si>
    <t>Issued December 31, 2015</t>
  </si>
  <si>
    <t>1976 Sales Tax Fund</t>
  </si>
  <si>
    <t>1978 Sales Tax Fund</t>
  </si>
  <si>
    <t>1994 Sales Tax Fund</t>
  </si>
  <si>
    <t>Royalty Road Fund</t>
  </si>
  <si>
    <t>Parishwide Public Improvement Maintenance Fund</t>
  </si>
  <si>
    <t>Project Account Fund</t>
  </si>
  <si>
    <t>Total (Memorandum Only)</t>
  </si>
  <si>
    <t>Accounts receivable</t>
  </si>
  <si>
    <t>Ad valorem tax receivable, net</t>
  </si>
  <si>
    <t>Due from component unit</t>
  </si>
  <si>
    <t>Deferred revenue</t>
  </si>
  <si>
    <t>Vernon Combined Balance Sheet</t>
  </si>
  <si>
    <t>Parishwide Maintenance Fund</t>
  </si>
  <si>
    <t>Sanitary Landfill Fund</t>
  </si>
  <si>
    <t>Courthouse and Jail Maintenance Fund</t>
  </si>
  <si>
    <t>Parishwide Overlay Fund</t>
  </si>
  <si>
    <t>Library Maintenance Fund</t>
  </si>
  <si>
    <t>Workforce Investment Act Fund</t>
  </si>
  <si>
    <t>Investments, at fair value</t>
  </si>
  <si>
    <t>Legislative</t>
  </si>
  <si>
    <t>Elections</t>
  </si>
  <si>
    <t>Finance and administration</t>
  </si>
  <si>
    <t>Economic development and assistance</t>
  </si>
  <si>
    <t xml:space="preserve">Intergovernmental </t>
  </si>
  <si>
    <t>Washington Combined Balance Sheet</t>
  </si>
  <si>
    <t>  Issued: December 31, 2015</t>
  </si>
  <si>
    <t xml:space="preserve">Ciminal justice Sales Tax </t>
  </si>
  <si>
    <t>Parish Transportation Fund</t>
  </si>
  <si>
    <t>Sales Tax Split .67%</t>
  </si>
  <si>
    <t>HMGP Grant Fund</t>
  </si>
  <si>
    <t>Debt Service PTF Revenue Bonds</t>
  </si>
  <si>
    <t>FEMA Receivable</t>
  </si>
  <si>
    <t>Net investment in joint venture</t>
  </si>
  <si>
    <t>Advanced revenue</t>
  </si>
  <si>
    <t>Compensated absences</t>
  </si>
  <si>
    <t>Due to FEMA</t>
  </si>
  <si>
    <t>Funds Balances</t>
  </si>
  <si>
    <t>Not in spendable form</t>
  </si>
  <si>
    <t>Resricted</t>
  </si>
  <si>
    <t>Total liabilities, deferred inflows or resources, and fund balances:</t>
  </si>
  <si>
    <t>Webster Combined Balance Sheet</t>
  </si>
  <si>
    <t>Special 2.5 Mill tax</t>
  </si>
  <si>
    <t>Prepaids items</t>
  </si>
  <si>
    <t>Accounts payable vendors</t>
  </si>
  <si>
    <t>Accounts payable liabilities</t>
  </si>
  <si>
    <t>Taxes paid under protest</t>
  </si>
  <si>
    <t>Deferred Inflows of resources:</t>
  </si>
  <si>
    <t>Total fund equity-fund balances (deficits):</t>
  </si>
  <si>
    <t>Nonspendable-prepaid items</t>
  </si>
  <si>
    <t xml:space="preserve">Total fund balances </t>
  </si>
  <si>
    <t>Total Liabilities, deferred inflows resources, and fund balances</t>
  </si>
  <si>
    <t>West Baton Rouge Combined Balance Sheet</t>
  </si>
  <si>
    <t>Community Centers</t>
  </si>
  <si>
    <t>Central Communications</t>
  </si>
  <si>
    <t xml:space="preserve">Correctional Facility </t>
  </si>
  <si>
    <t>Investments - restricted</t>
  </si>
  <si>
    <t>Taxes receivable</t>
  </si>
  <si>
    <t>Nonspendable fund balance</t>
  </si>
  <si>
    <t>Restricted fund balance</t>
  </si>
  <si>
    <t>Committed fund balance</t>
  </si>
  <si>
    <t>Assigned fund balance</t>
  </si>
  <si>
    <t>Unassigned fund balance</t>
  </si>
  <si>
    <t>Total liabilities, deferred inflows of resources and fund balances:</t>
  </si>
  <si>
    <t>West Carroll Combined Balance Sheet</t>
  </si>
  <si>
    <t>Parish Wide Road Tax</t>
  </si>
  <si>
    <t>Communications district</t>
  </si>
  <si>
    <t>Miscellaneous Emergency</t>
  </si>
  <si>
    <t>Nonmajor</t>
  </si>
  <si>
    <t>Deposits held in trust</t>
  </si>
  <si>
    <t>Fund equity- fund balances:</t>
  </si>
  <si>
    <t>Number wrong in audit</t>
  </si>
  <si>
    <t>Total liabilities , deferred inflows, and fund balances:</t>
  </si>
  <si>
    <t>St. Feliciana Combined Balance Sheet</t>
  </si>
  <si>
    <t>Road Improvement</t>
  </si>
  <si>
    <t xml:space="preserve">Economic Development </t>
  </si>
  <si>
    <t>Library Construction</t>
  </si>
  <si>
    <t>Accrued expenses and liabilities</t>
  </si>
  <si>
    <t xml:space="preserve">Fund Balances </t>
  </si>
  <si>
    <t>Unassigned(deficit)</t>
  </si>
  <si>
    <t>Winn Parish Combined Balance Sheet</t>
  </si>
  <si>
    <t xml:space="preserve">2015 Total Governmental Funds </t>
  </si>
  <si>
    <t>2014 Total Governemntal Funds</t>
  </si>
  <si>
    <t>Wrong in source audit</t>
  </si>
  <si>
    <t>DEFERRED INFLOWS- DEFERRED REVENUES</t>
  </si>
  <si>
    <t>Public works and other</t>
  </si>
  <si>
    <t>Industrial development</t>
  </si>
  <si>
    <t>2014-CBS</t>
  </si>
  <si>
    <t>Current Assets:</t>
  </si>
  <si>
    <t>Non-Current Assets:</t>
  </si>
  <si>
    <t>Current Liabilities:</t>
  </si>
  <si>
    <t>Fund Equity:</t>
  </si>
  <si>
    <t>Denotes Error Found in Statement</t>
  </si>
  <si>
    <t>Other Assets</t>
  </si>
  <si>
    <t>Transfers</t>
  </si>
  <si>
    <t>Total Assets (Sum)</t>
  </si>
  <si>
    <t>Accuracy</t>
  </si>
  <si>
    <t>Deferred Outflows of Resources</t>
  </si>
  <si>
    <t>Accounts Payable</t>
  </si>
  <si>
    <t>Deferred Revenues</t>
  </si>
  <si>
    <t>Government Transfers</t>
  </si>
  <si>
    <t>Other Liabilities</t>
  </si>
  <si>
    <t>Total Liabilities (Sum)</t>
  </si>
  <si>
    <t>Reserved</t>
  </si>
  <si>
    <t>Unreserved (Designated)</t>
  </si>
  <si>
    <t>Unreserved (Undesignated)</t>
  </si>
  <si>
    <t>Total Fund Balances (Sum)</t>
  </si>
  <si>
    <t>Total Liabilites and Fund Balances (Sum)</t>
  </si>
  <si>
    <t>County's Statement Not Available</t>
  </si>
  <si>
    <t>PARISH</t>
  </si>
  <si>
    <t>County</t>
  </si>
  <si>
    <t>Acadia</t>
  </si>
  <si>
    <t>Allen</t>
  </si>
  <si>
    <t>Ascension</t>
  </si>
  <si>
    <t>Assumption</t>
  </si>
  <si>
    <t>Avoyelles</t>
  </si>
  <si>
    <t>Beauregard</t>
  </si>
  <si>
    <t>Bienville</t>
  </si>
  <si>
    <t>Bossier</t>
  </si>
  <si>
    <t>Caddo</t>
  </si>
  <si>
    <t>Calcasieu</t>
  </si>
  <si>
    <t>Caldwell</t>
  </si>
  <si>
    <t>Cameron</t>
  </si>
  <si>
    <t>Catahoula</t>
  </si>
  <si>
    <t>Claiborne</t>
  </si>
  <si>
    <t>Concordia</t>
  </si>
  <si>
    <t>DeSoto</t>
  </si>
  <si>
    <t>East Baton Rouge</t>
  </si>
  <si>
    <t>East Carroll</t>
  </si>
  <si>
    <t>East Feliciana</t>
  </si>
  <si>
    <t>Evangeline</t>
  </si>
  <si>
    <t>Franklin</t>
  </si>
  <si>
    <t>Grant</t>
  </si>
  <si>
    <t>Iberia</t>
  </si>
  <si>
    <t>Iberville</t>
  </si>
  <si>
    <t>Jackson</t>
  </si>
  <si>
    <t>Jefferson</t>
  </si>
  <si>
    <t>Jefferson Davis</t>
  </si>
  <si>
    <t>Lafayette</t>
  </si>
  <si>
    <t>Lafourche</t>
  </si>
  <si>
    <t>LaSalle</t>
  </si>
  <si>
    <t>Lincoln</t>
  </si>
  <si>
    <t>Livingston</t>
  </si>
  <si>
    <t>Madison</t>
  </si>
  <si>
    <t>Morehouse</t>
  </si>
  <si>
    <t>Natchitoches</t>
  </si>
  <si>
    <t>Orleans</t>
  </si>
  <si>
    <t>Ouachita</t>
  </si>
  <si>
    <t>Plaquemines</t>
  </si>
  <si>
    <t>Pointe Coupee</t>
  </si>
  <si>
    <t>Rapides</t>
  </si>
  <si>
    <t>Red River</t>
  </si>
  <si>
    <t>Richland</t>
  </si>
  <si>
    <t>Sabine</t>
  </si>
  <si>
    <t>St. Bernard</t>
  </si>
  <si>
    <t>St. Charles</t>
  </si>
  <si>
    <t>St. Helena</t>
  </si>
  <si>
    <t>St. James</t>
  </si>
  <si>
    <t>St. John the Baptist</t>
  </si>
  <si>
    <t>St. Landry</t>
  </si>
  <si>
    <t>St. Martin</t>
  </si>
  <si>
    <t>St. Mary</t>
  </si>
  <si>
    <t>St. Tammany</t>
  </si>
  <si>
    <t>Tangipahoa</t>
  </si>
  <si>
    <t>Tensas</t>
  </si>
  <si>
    <t>Terrebonne</t>
  </si>
  <si>
    <t>Union</t>
  </si>
  <si>
    <t>Vermillion</t>
  </si>
  <si>
    <t>Vernon</t>
  </si>
  <si>
    <t>Washington</t>
  </si>
  <si>
    <t>Webster</t>
  </si>
  <si>
    <t>West Baton Rouge</t>
  </si>
  <si>
    <t>West Carroll</t>
  </si>
  <si>
    <t>West Feliciana</t>
  </si>
  <si>
    <t>Winn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</si>
</sst>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_);_(&quot;$&quot;* \(#,##0\);_(&quot;$&quot;* &quot;-&quot;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FFFF00"/>
      <name val="Calibri"/>
      <family val="2"/>
    </font>
    <font>
      <sz val="11"/>
      <color rgb="FFFFFF00"/>
      <name val="Calibri"/>
      <family val="2"/>
      <scheme val="minor"/>
    </font>
    <font>
      <b/>
      <u/>
      <sz val="11"/>
      <color indexed="8"/>
      <name val="Calibri"/>
      <family val="2"/>
    </font>
    <font>
      <b/>
      <sz val="12"/>
      <name val="Calibri"/>
      <family val="2"/>
    </font>
    <font>
      <sz val="11"/>
      <color indexed="10"/>
      <name val="Calibri"/>
      <family val="2"/>
    </font>
    <font>
      <b/>
      <i/>
      <sz val="11"/>
      <name val="Arial Black"/>
      <family val="2"/>
    </font>
    <font>
      <b/>
      <sz val="11"/>
      <color theme="1"/>
      <name val="Arial Black"/>
      <family val="2"/>
    </font>
    <font>
      <b/>
      <i/>
      <sz val="11"/>
      <color theme="1"/>
      <name val="Arial Black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9"/>
      <name val="Calibri"/>
      <family val="2"/>
    </font>
    <font>
      <b/>
      <sz val="11"/>
      <color indexed="8"/>
      <name val="Arial"/>
      <family val="2"/>
    </font>
    <font>
      <sz val="11"/>
      <color rgb="FFFF0000"/>
      <name val="Calibri"/>
      <family val="2"/>
    </font>
    <font>
      <sz val="12"/>
      <color indexed="8"/>
      <name val="Calibri"/>
      <family val="2"/>
    </font>
    <font>
      <b/>
      <sz val="12"/>
      <color indexed="8"/>
      <name val="Calibri"/>
      <family val="2"/>
    </font>
    <font>
      <b/>
      <sz val="11"/>
      <color indexed="10"/>
      <name val="Calibri"/>
      <family val="2"/>
    </font>
    <font>
      <b/>
      <u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indexed="8"/>
      <name val="Arial"/>
      <family val="2"/>
    </font>
    <font>
      <sz val="11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0"/>
      <name val="Arial"/>
      <family val="2"/>
    </font>
    <font>
      <sz val="11"/>
      <name val="Calibri"/>
    </font>
    <font>
      <sz val="11"/>
      <color theme="1"/>
      <name val="Calibri"/>
    </font>
    <font>
      <b/>
      <sz val="11"/>
      <name val="Calibri"/>
    </font>
    <font>
      <b/>
      <sz val="11"/>
      <color rgb="FFFFFF00"/>
      <name val="Calibri"/>
      <family val="2"/>
      <scheme val="minor"/>
    </font>
    <font>
      <b/>
      <sz val="11"/>
      <color rgb="FFFFFF00"/>
      <name val="Calibri"/>
      <family val="2"/>
    </font>
    <font>
      <b/>
      <u/>
      <sz val="11"/>
      <color indexed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u val="singleAccounting"/>
      <sz val="11"/>
      <color theme="1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003366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948B54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404040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7D63A3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68426"/>
        <bgColor indexed="64"/>
      </patternFill>
    </fill>
    <fill>
      <patternFill patternType="solid">
        <fgColor rgb="FFFB8503"/>
        <bgColor indexed="64"/>
      </patternFill>
    </fill>
    <fill>
      <patternFill patternType="solid">
        <fgColor rgb="FF92D050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/>
  </cellStyleXfs>
  <cellXfs count="267">
    <xf numFmtId="0" fontId="0" fillId="0" borderId="0" xfId="0"/>
    <xf numFmtId="0" fontId="3" fillId="0" borderId="0" xfId="0" applyFont="1" applyAlignment="1">
      <alignment horizontal="center" wrapText="1"/>
    </xf>
    <xf numFmtId="0" fontId="4" fillId="6" borderId="0" xfId="0" applyFont="1" applyFill="1"/>
    <xf numFmtId="0" fontId="5" fillId="6" borderId="0" xfId="0" applyFont="1" applyFill="1"/>
    <xf numFmtId="0" fontId="6" fillId="0" borderId="0" xfId="0" applyFont="1"/>
    <xf numFmtId="0" fontId="5" fillId="10" borderId="0" xfId="0" applyFont="1" applyFill="1"/>
    <xf numFmtId="0" fontId="4" fillId="10" borderId="0" xfId="0" applyFont="1" applyFill="1"/>
    <xf numFmtId="0" fontId="5" fillId="13" borderId="0" xfId="0" applyFont="1" applyFill="1"/>
    <xf numFmtId="0" fontId="4" fillId="13" borderId="0" xfId="0" applyFont="1" applyFill="1"/>
    <xf numFmtId="0" fontId="7" fillId="15" borderId="1" xfId="0" applyFont="1" applyFill="1" applyBorder="1" applyAlignment="1">
      <alignment wrapText="1"/>
    </xf>
    <xf numFmtId="0" fontId="0" fillId="15" borderId="2" xfId="0" applyFill="1" applyBorder="1"/>
    <xf numFmtId="0" fontId="0" fillId="0" borderId="3" xfId="0" applyBorder="1"/>
    <xf numFmtId="0" fontId="0" fillId="0" borderId="4" xfId="0" applyBorder="1"/>
    <xf numFmtId="0" fontId="0" fillId="16" borderId="2" xfId="0" applyFill="1" applyBorder="1"/>
    <xf numFmtId="0" fontId="0" fillId="16" borderId="0" xfId="0" applyFill="1"/>
    <xf numFmtId="0" fontId="0" fillId="17" borderId="0" xfId="0" applyFill="1"/>
    <xf numFmtId="0" fontId="0" fillId="17" borderId="2" xfId="0" applyFill="1" applyBorder="1"/>
    <xf numFmtId="0" fontId="8" fillId="0" borderId="5" xfId="0" applyFont="1" applyBorder="1" applyAlignment="1">
      <alignment horizontal="center"/>
    </xf>
    <xf numFmtId="0" fontId="7" fillId="0" borderId="0" xfId="0" applyFont="1" applyAlignment="1">
      <alignment wrapText="1"/>
    </xf>
    <xf numFmtId="0" fontId="9" fillId="15" borderId="6" xfId="0" applyFont="1" applyFill="1" applyBorder="1"/>
    <xf numFmtId="0" fontId="0" fillId="15" borderId="0" xfId="0" applyFill="1"/>
    <xf numFmtId="0" fontId="0" fillId="0" borderId="5" xfId="0" applyBorder="1"/>
    <xf numFmtId="0" fontId="0" fillId="0" borderId="7" xfId="0" applyBorder="1"/>
    <xf numFmtId="0" fontId="9" fillId="16" borderId="6" xfId="0" applyFont="1" applyFill="1" applyBorder="1"/>
    <xf numFmtId="0" fontId="0" fillId="0" borderId="8" xfId="0" applyBorder="1"/>
    <xf numFmtId="0" fontId="0" fillId="17" borderId="6" xfId="0" applyFill="1" applyBorder="1"/>
    <xf numFmtId="0" fontId="8" fillId="0" borderId="9" xfId="0" applyFont="1" applyBorder="1" applyAlignment="1">
      <alignment horizontal="center"/>
    </xf>
    <xf numFmtId="0" fontId="0" fillId="0" borderId="0" xfId="0" applyAlignment="1">
      <alignment wrapText="1"/>
    </xf>
    <xf numFmtId="0" fontId="0" fillId="20" borderId="5" xfId="0" applyFill="1" applyBorder="1"/>
    <xf numFmtId="0" fontId="0" fillId="20" borderId="7" xfId="0" applyFill="1" applyBorder="1"/>
    <xf numFmtId="0" fontId="0" fillId="20" borderId="12" xfId="0" applyFill="1" applyBorder="1"/>
    <xf numFmtId="0" fontId="0" fillId="20" borderId="13" xfId="0" applyFill="1" applyBorder="1"/>
    <xf numFmtId="0" fontId="11" fillId="17" borderId="14" xfId="0" applyFont="1" applyFill="1" applyBorder="1"/>
    <xf numFmtId="0" fontId="9" fillId="17" borderId="15" xfId="0" applyFont="1" applyFill="1" applyBorder="1"/>
    <xf numFmtId="0" fontId="8" fillId="20" borderId="9" xfId="0" applyFont="1" applyFill="1" applyBorder="1" applyAlignment="1">
      <alignment horizontal="center"/>
    </xf>
    <xf numFmtId="0" fontId="12" fillId="15" borderId="3" xfId="0" applyFont="1" applyFill="1" applyBorder="1" applyAlignment="1">
      <alignment wrapText="1"/>
    </xf>
    <xf numFmtId="0" fontId="13" fillId="2" borderId="11" xfId="0" applyFont="1" applyFill="1" applyBorder="1"/>
    <xf numFmtId="0" fontId="13" fillId="7" borderId="16" xfId="0" applyFont="1" applyFill="1" applyBorder="1"/>
    <xf numFmtId="0" fontId="13" fillId="3" borderId="16" xfId="0" applyFont="1" applyFill="1" applyBorder="1"/>
    <xf numFmtId="0" fontId="13" fillId="14" borderId="16" xfId="0" applyFont="1" applyFill="1" applyBorder="1"/>
    <xf numFmtId="0" fontId="13" fillId="4" borderId="16" xfId="0" applyFont="1" applyFill="1" applyBorder="1"/>
    <xf numFmtId="0" fontId="13" fillId="5" borderId="16" xfId="0" applyFont="1" applyFill="1" applyBorder="1"/>
    <xf numFmtId="0" fontId="14" fillId="15" borderId="14" xfId="0" applyFont="1" applyFill="1" applyBorder="1"/>
    <xf numFmtId="0" fontId="15" fillId="20" borderId="17" xfId="0" applyFont="1" applyFill="1" applyBorder="1" applyAlignment="1">
      <alignment horizontal="center"/>
    </xf>
    <xf numFmtId="0" fontId="15" fillId="20" borderId="18" xfId="0" applyFont="1" applyFill="1" applyBorder="1" applyAlignment="1">
      <alignment horizontal="center"/>
    </xf>
    <xf numFmtId="0" fontId="13" fillId="7" borderId="11" xfId="0" applyFont="1" applyFill="1" applyBorder="1"/>
    <xf numFmtId="0" fontId="13" fillId="9" borderId="16" xfId="0" applyFont="1" applyFill="1" applyBorder="1"/>
    <xf numFmtId="0" fontId="13" fillId="8" borderId="16" xfId="0" applyFont="1" applyFill="1" applyBorder="1"/>
    <xf numFmtId="0" fontId="13" fillId="14" borderId="19" xfId="0" applyFont="1" applyFill="1" applyBorder="1"/>
    <xf numFmtId="0" fontId="14" fillId="16" borderId="14" xfId="0" applyFont="1" applyFill="1" applyBorder="1"/>
    <xf numFmtId="0" fontId="13" fillId="11" borderId="16" xfId="0" applyFont="1" applyFill="1" applyBorder="1"/>
    <xf numFmtId="0" fontId="13" fillId="22" borderId="16" xfId="0" applyFont="1" applyFill="1" applyBorder="1"/>
    <xf numFmtId="0" fontId="13" fillId="12" borderId="1" xfId="0" applyFont="1" applyFill="1" applyBorder="1"/>
    <xf numFmtId="0" fontId="14" fillId="17" borderId="19" xfId="0" applyFont="1" applyFill="1" applyBorder="1"/>
    <xf numFmtId="0" fontId="14" fillId="17" borderId="15" xfId="0" applyFont="1" applyFill="1" applyBorder="1"/>
    <xf numFmtId="0" fontId="16" fillId="23" borderId="3" xfId="0" applyFont="1" applyFill="1" applyBorder="1" applyAlignment="1">
      <alignment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4" fillId="0" borderId="0" xfId="0" applyFont="1" applyAlignment="1">
      <alignment horizontal="left" wrapText="1"/>
    </xf>
    <xf numFmtId="3" fontId="0" fillId="0" borderId="0" xfId="0" applyNumberFormat="1" applyAlignment="1">
      <alignment horizontal="center"/>
    </xf>
    <xf numFmtId="3" fontId="0" fillId="0" borderId="0" xfId="0" applyNumberFormat="1"/>
    <xf numFmtId="0" fontId="19" fillId="0" borderId="0" xfId="0" applyFont="1" applyAlignment="1">
      <alignment wrapText="1"/>
    </xf>
    <xf numFmtId="0" fontId="20" fillId="24" borderId="0" xfId="0" applyFont="1" applyFill="1" applyAlignment="1">
      <alignment wrapText="1"/>
    </xf>
    <xf numFmtId="3" fontId="12" fillId="24" borderId="0" xfId="0" applyNumberFormat="1" applyFont="1" applyFill="1"/>
    <xf numFmtId="0" fontId="21" fillId="24" borderId="0" xfId="0" applyFont="1" applyFill="1" applyAlignment="1">
      <alignment horizontal="center"/>
    </xf>
    <xf numFmtId="3" fontId="12" fillId="24" borderId="0" xfId="0" applyNumberFormat="1" applyFont="1" applyFill="1" applyAlignment="1">
      <alignment horizontal="center"/>
    </xf>
    <xf numFmtId="0" fontId="13" fillId="25" borderId="16" xfId="0" applyFont="1" applyFill="1" applyBorder="1"/>
    <xf numFmtId="0" fontId="12" fillId="0" borderId="0" xfId="0" applyFont="1" applyAlignment="1">
      <alignment horizontal="left" wrapText="1"/>
    </xf>
    <xf numFmtId="0" fontId="21" fillId="26" borderId="0" xfId="0" applyFont="1" applyFill="1" applyAlignment="1">
      <alignment horizontal="center"/>
    </xf>
    <xf numFmtId="3" fontId="18" fillId="27" borderId="0" xfId="0" applyNumberFormat="1" applyFont="1" applyFill="1" applyAlignment="1">
      <alignment horizontal="center"/>
    </xf>
    <xf numFmtId="0" fontId="22" fillId="0" borderId="0" xfId="0" applyFont="1"/>
    <xf numFmtId="41" fontId="0" fillId="2" borderId="0" xfId="0" applyNumberFormat="1" applyFill="1"/>
    <xf numFmtId="41" fontId="0" fillId="0" borderId="0" xfId="0" applyNumberFormat="1"/>
    <xf numFmtId="41" fontId="0" fillId="3" borderId="0" xfId="0" applyNumberFormat="1" applyFill="1"/>
    <xf numFmtId="41" fontId="0" fillId="4" borderId="0" xfId="0" applyNumberFormat="1" applyFill="1"/>
    <xf numFmtId="41" fontId="5" fillId="6" borderId="0" xfId="1" applyNumberFormat="1" applyFont="1" applyFill="1"/>
    <xf numFmtId="41" fontId="0" fillId="7" borderId="0" xfId="0" applyNumberFormat="1" applyFill="1"/>
    <xf numFmtId="41" fontId="0" fillId="8" borderId="0" xfId="0" applyNumberFormat="1" applyFill="1"/>
    <xf numFmtId="41" fontId="5" fillId="10" borderId="0" xfId="1" applyNumberFormat="1" applyFont="1" applyFill="1"/>
    <xf numFmtId="41" fontId="0" fillId="11" borderId="0" xfId="0" applyNumberFormat="1" applyFill="1"/>
    <xf numFmtId="41" fontId="5" fillId="13" borderId="0" xfId="1" applyNumberFormat="1" applyFont="1" applyFill="1"/>
    <xf numFmtId="41" fontId="0" fillId="14" borderId="0" xfId="0" applyNumberFormat="1" applyFill="1"/>
    <xf numFmtId="41" fontId="0" fillId="5" borderId="0" xfId="0" applyNumberFormat="1" applyFill="1"/>
    <xf numFmtId="41" fontId="0" fillId="12" borderId="0" xfId="0" applyNumberFormat="1" applyFill="1"/>
    <xf numFmtId="41" fontId="0" fillId="0" borderId="15" xfId="0" applyNumberFormat="1" applyBorder="1"/>
    <xf numFmtId="0" fontId="23" fillId="0" borderId="0" xfId="0" applyFont="1"/>
    <xf numFmtId="0" fontId="25" fillId="0" borderId="0" xfId="0" applyFont="1" applyAlignment="1">
      <alignment horizontal="center"/>
    </xf>
    <xf numFmtId="3" fontId="26" fillId="0" borderId="0" xfId="0" applyNumberFormat="1" applyFont="1"/>
    <xf numFmtId="0" fontId="27" fillId="17" borderId="14" xfId="0" applyFont="1" applyFill="1" applyBorder="1" applyAlignment="1">
      <alignment horizontal="center" vertical="center" wrapText="1"/>
    </xf>
    <xf numFmtId="41" fontId="24" fillId="0" borderId="0" xfId="0" applyNumberFormat="1" applyFont="1"/>
    <xf numFmtId="41" fontId="0" fillId="28" borderId="0" xfId="0" applyNumberFormat="1" applyFill="1"/>
    <xf numFmtId="3" fontId="28" fillId="9" borderId="15" xfId="0" applyNumberFormat="1" applyFont="1" applyFill="1" applyBorder="1"/>
    <xf numFmtId="41" fontId="0" fillId="0" borderId="2" xfId="0" applyNumberFormat="1" applyBorder="1"/>
    <xf numFmtId="0" fontId="0" fillId="0" borderId="2" xfId="0" applyBorder="1"/>
    <xf numFmtId="0" fontId="28" fillId="0" borderId="0" xfId="0" applyFont="1" applyAlignment="1">
      <alignment horizontal="right"/>
    </xf>
    <xf numFmtId="3" fontId="28" fillId="0" borderId="0" xfId="0" applyNumberFormat="1" applyFont="1"/>
    <xf numFmtId="3" fontId="0" fillId="0" borderId="2" xfId="0" applyNumberFormat="1" applyBorder="1"/>
    <xf numFmtId="41" fontId="0" fillId="9" borderId="0" xfId="0" applyNumberFormat="1" applyFill="1"/>
    <xf numFmtId="0" fontId="13" fillId="0" borderId="0" xfId="0" applyFont="1"/>
    <xf numFmtId="0" fontId="28" fillId="22" borderId="0" xfId="0" applyFont="1" applyFill="1"/>
    <xf numFmtId="0" fontId="5" fillId="0" borderId="0" xfId="0" applyFont="1"/>
    <xf numFmtId="164" fontId="0" fillId="0" borderId="0" xfId="1" applyNumberFormat="1" applyFont="1"/>
    <xf numFmtId="41" fontId="5" fillId="13" borderId="0" xfId="0" applyNumberFormat="1" applyFont="1" applyFill="1"/>
    <xf numFmtId="0" fontId="2" fillId="0" borderId="0" xfId="0" applyFont="1"/>
    <xf numFmtId="0" fontId="30" fillId="0" borderId="0" xfId="0" applyFont="1"/>
    <xf numFmtId="0" fontId="31" fillId="0" borderId="0" xfId="0" applyFont="1"/>
    <xf numFmtId="0" fontId="29" fillId="4" borderId="16" xfId="0" applyFont="1" applyFill="1" applyBorder="1"/>
    <xf numFmtId="3" fontId="0" fillId="0" borderId="15" xfId="0" applyNumberFormat="1" applyBorder="1"/>
    <xf numFmtId="0" fontId="0" fillId="0" borderId="15" xfId="0" applyBorder="1"/>
    <xf numFmtId="0" fontId="30" fillId="0" borderId="15" xfId="0" applyFont="1" applyBorder="1"/>
    <xf numFmtId="0" fontId="22" fillId="0" borderId="0" xfId="0" applyFont="1" applyAlignment="1">
      <alignment horizontal="center" wrapText="1"/>
    </xf>
    <xf numFmtId="0" fontId="22" fillId="0" borderId="0" xfId="0" applyFont="1" applyAlignment="1">
      <alignment wrapText="1"/>
    </xf>
    <xf numFmtId="0" fontId="22" fillId="0" borderId="0" xfId="0" applyFont="1" applyAlignment="1">
      <alignment horizontal="center"/>
    </xf>
    <xf numFmtId="0" fontId="4" fillId="29" borderId="0" xfId="0" applyFont="1" applyFill="1"/>
    <xf numFmtId="0" fontId="4" fillId="9" borderId="0" xfId="0" applyFont="1" applyFill="1"/>
    <xf numFmtId="0" fontId="32" fillId="29" borderId="0" xfId="0" applyFont="1" applyFill="1"/>
    <xf numFmtId="3" fontId="33" fillId="29" borderId="15" xfId="0" applyNumberFormat="1" applyFont="1" applyFill="1" applyBorder="1"/>
    <xf numFmtId="3" fontId="32" fillId="29" borderId="15" xfId="0" applyNumberFormat="1" applyFont="1" applyFill="1" applyBorder="1"/>
    <xf numFmtId="0" fontId="32" fillId="9" borderId="0" xfId="0" applyFont="1" applyFill="1"/>
    <xf numFmtId="3" fontId="33" fillId="9" borderId="15" xfId="0" applyNumberFormat="1" applyFont="1" applyFill="1" applyBorder="1"/>
    <xf numFmtId="0" fontId="32" fillId="13" borderId="0" xfId="0" applyFont="1" applyFill="1"/>
    <xf numFmtId="3" fontId="33" fillId="13" borderId="0" xfId="0" applyNumberFormat="1" applyFont="1" applyFill="1"/>
    <xf numFmtId="0" fontId="28" fillId="8" borderId="0" xfId="0" applyFont="1" applyFill="1"/>
    <xf numFmtId="0" fontId="28" fillId="5" borderId="0" xfId="0" applyFont="1" applyFill="1"/>
    <xf numFmtId="164" fontId="0" fillId="0" borderId="0" xfId="1" applyNumberFormat="1" applyFont="1" applyFill="1" applyBorder="1"/>
    <xf numFmtId="164" fontId="28" fillId="12" borderId="0" xfId="1" applyNumberFormat="1" applyFont="1" applyFill="1" applyBorder="1"/>
    <xf numFmtId="0" fontId="28" fillId="0" borderId="2" xfId="0" applyFont="1" applyBorder="1"/>
    <xf numFmtId="164" fontId="28" fillId="0" borderId="2" xfId="1" applyNumberFormat="1" applyFont="1" applyFill="1" applyBorder="1"/>
    <xf numFmtId="41" fontId="24" fillId="11" borderId="0" xfId="0" applyNumberFormat="1" applyFont="1" applyFill="1"/>
    <xf numFmtId="164" fontId="28" fillId="11" borderId="0" xfId="1" applyNumberFormat="1" applyFont="1" applyFill="1" applyBorder="1"/>
    <xf numFmtId="164" fontId="28" fillId="22" borderId="0" xfId="1" applyNumberFormat="1" applyFont="1" applyFill="1" applyBorder="1"/>
    <xf numFmtId="164" fontId="32" fillId="29" borderId="0" xfId="1" applyNumberFormat="1" applyFont="1" applyFill="1"/>
    <xf numFmtId="164" fontId="32" fillId="29" borderId="0" xfId="1" applyNumberFormat="1" applyFont="1" applyFill="1" applyBorder="1"/>
    <xf numFmtId="3" fontId="32" fillId="9" borderId="0" xfId="0" applyNumberFormat="1" applyFont="1" applyFill="1"/>
    <xf numFmtId="0" fontId="29" fillId="12" borderId="12" xfId="0" applyFont="1" applyFill="1" applyBorder="1"/>
    <xf numFmtId="0" fontId="30" fillId="0" borderId="2" xfId="0" applyFont="1" applyBorder="1"/>
    <xf numFmtId="0" fontId="29" fillId="7" borderId="0" xfId="0" applyFont="1" applyFill="1"/>
    <xf numFmtId="0" fontId="29" fillId="8" borderId="0" xfId="0" applyFont="1" applyFill="1"/>
    <xf numFmtId="0" fontId="29" fillId="14" borderId="0" xfId="0" applyFont="1" applyFill="1"/>
    <xf numFmtId="0" fontId="29" fillId="2" borderId="0" xfId="0" applyFont="1" applyFill="1"/>
    <xf numFmtId="0" fontId="29" fillId="3" borderId="0" xfId="0" applyFont="1" applyFill="1"/>
    <xf numFmtId="0" fontId="23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23" fillId="0" borderId="0" xfId="0" applyFont="1" applyAlignment="1">
      <alignment horizontal="center" vertical="center" wrapText="1"/>
    </xf>
    <xf numFmtId="164" fontId="28" fillId="25" borderId="0" xfId="1" applyNumberFormat="1" applyFont="1" applyFill="1" applyBorder="1" applyAlignment="1">
      <alignment horizontal="right"/>
    </xf>
    <xf numFmtId="164" fontId="28" fillId="2" borderId="0" xfId="1" applyNumberFormat="1" applyFont="1" applyFill="1" applyBorder="1"/>
    <xf numFmtId="164" fontId="0" fillId="0" borderId="0" xfId="1" applyNumberFormat="1" applyFont="1" applyBorder="1"/>
    <xf numFmtId="164" fontId="28" fillId="3" borderId="0" xfId="1" applyNumberFormat="1" applyFont="1" applyFill="1" applyBorder="1"/>
    <xf numFmtId="164" fontId="28" fillId="30" borderId="0" xfId="1" applyNumberFormat="1" applyFont="1" applyFill="1" applyBorder="1"/>
    <xf numFmtId="164" fontId="0" fillId="0" borderId="0" xfId="1" applyNumberFormat="1" applyFont="1" applyFill="1"/>
    <xf numFmtId="164" fontId="0" fillId="0" borderId="2" xfId="1" applyNumberFormat="1" applyFont="1" applyBorder="1"/>
    <xf numFmtId="164" fontId="28" fillId="7" borderId="0" xfId="1" applyNumberFormat="1" applyFont="1" applyFill="1" applyBorder="1"/>
    <xf numFmtId="164" fontId="28" fillId="0" borderId="0" xfId="1" applyNumberFormat="1" applyFont="1" applyFill="1" applyBorder="1"/>
    <xf numFmtId="164" fontId="28" fillId="14" borderId="0" xfId="1" applyNumberFormat="1" applyFont="1" applyFill="1" applyBorder="1"/>
    <xf numFmtId="164" fontId="29" fillId="8" borderId="0" xfId="1" applyNumberFormat="1" applyFont="1" applyFill="1" applyBorder="1"/>
    <xf numFmtId="164" fontId="5" fillId="10" borderId="0" xfId="1" applyNumberFormat="1" applyFont="1" applyFill="1" applyBorder="1"/>
    <xf numFmtId="164" fontId="5" fillId="10" borderId="0" xfId="1" applyNumberFormat="1" applyFont="1" applyFill="1"/>
    <xf numFmtId="164" fontId="29" fillId="12" borderId="0" xfId="1" applyNumberFormat="1" applyFont="1" applyFill="1" applyBorder="1"/>
    <xf numFmtId="41" fontId="5" fillId="0" borderId="0" xfId="1" applyNumberFormat="1" applyFont="1" applyFill="1"/>
    <xf numFmtId="0" fontId="32" fillId="0" borderId="0" xfId="0" applyFont="1"/>
    <xf numFmtId="164" fontId="5" fillId="13" borderId="0" xfId="1" applyNumberFormat="1" applyFont="1" applyFill="1"/>
    <xf numFmtId="164" fontId="28" fillId="2" borderId="0" xfId="1" applyNumberFormat="1" applyFont="1" applyFill="1" applyBorder="1" applyAlignment="1">
      <alignment wrapText="1"/>
    </xf>
    <xf numFmtId="164" fontId="0" fillId="0" borderId="0" xfId="1" applyNumberFormat="1" applyFont="1" applyAlignment="1">
      <alignment wrapText="1"/>
    </xf>
    <xf numFmtId="164" fontId="28" fillId="3" borderId="0" xfId="1" applyNumberFormat="1" applyFont="1" applyFill="1" applyBorder="1" applyAlignment="1">
      <alignment wrapText="1"/>
    </xf>
    <xf numFmtId="164" fontId="0" fillId="0" borderId="2" xfId="1" applyNumberFormat="1" applyFont="1" applyBorder="1" applyAlignment="1">
      <alignment vertical="center" wrapText="1"/>
    </xf>
    <xf numFmtId="164" fontId="33" fillId="29" borderId="15" xfId="1" applyNumberFormat="1" applyFont="1" applyFill="1" applyBorder="1" applyAlignment="1">
      <alignment vertical="center" wrapText="1"/>
    </xf>
    <xf numFmtId="164" fontId="32" fillId="29" borderId="15" xfId="1" applyNumberFormat="1" applyFont="1" applyFill="1" applyBorder="1" applyAlignment="1">
      <alignment vertical="center" wrapText="1"/>
    </xf>
    <xf numFmtId="164" fontId="0" fillId="0" borderId="0" xfId="1" applyNumberFormat="1" applyFont="1" applyAlignment="1">
      <alignment vertical="center" wrapText="1"/>
    </xf>
    <xf numFmtId="164" fontId="5" fillId="10" borderId="0" xfId="1" applyNumberFormat="1" applyFont="1" applyFill="1" applyAlignment="1">
      <alignment vertical="center" wrapText="1"/>
    </xf>
    <xf numFmtId="164" fontId="5" fillId="13" borderId="0" xfId="1" applyNumberFormat="1" applyFont="1" applyFill="1" applyAlignment="1">
      <alignment vertical="center" wrapText="1"/>
    </xf>
    <xf numFmtId="164" fontId="23" fillId="0" borderId="0" xfId="1" applyNumberFormat="1" applyFont="1"/>
    <xf numFmtId="164" fontId="5" fillId="29" borderId="0" xfId="1" applyNumberFormat="1" applyFont="1" applyFill="1"/>
    <xf numFmtId="164" fontId="5" fillId="29" borderId="0" xfId="1" applyNumberFormat="1" applyFont="1" applyFill="1" applyBorder="1"/>
    <xf numFmtId="41" fontId="0" fillId="22" borderId="0" xfId="0" applyNumberFormat="1" applyFill="1"/>
    <xf numFmtId="41" fontId="0" fillId="0" borderId="0" xfId="2" applyNumberFormat="1" applyFont="1" applyBorder="1"/>
    <xf numFmtId="165" fontId="0" fillId="0" borderId="0" xfId="2" applyNumberFormat="1" applyFont="1" applyBorder="1"/>
    <xf numFmtId="0" fontId="34" fillId="0" borderId="0" xfId="0" applyFont="1"/>
    <xf numFmtId="0" fontId="23" fillId="0" borderId="15" xfId="0" applyFont="1" applyBorder="1" applyAlignment="1">
      <alignment horizontal="right" vertical="top"/>
    </xf>
    <xf numFmtId="0" fontId="36" fillId="11" borderId="0" xfId="0" applyFont="1" applyFill="1"/>
    <xf numFmtId="41" fontId="0" fillId="25" borderId="0" xfId="0" applyNumberFormat="1" applyFill="1"/>
    <xf numFmtId="41" fontId="23" fillId="0" borderId="0" xfId="2" applyNumberFormat="1" applyFont="1" applyBorder="1" applyAlignment="1">
      <alignment horizontal="left" vertical="center"/>
    </xf>
    <xf numFmtId="0" fontId="0" fillId="0" borderId="10" xfId="0" applyBorder="1" applyAlignment="1">
      <alignment horizontal="center"/>
    </xf>
    <xf numFmtId="0" fontId="23" fillId="0" borderId="15" xfId="0" applyFont="1" applyBorder="1"/>
    <xf numFmtId="0" fontId="23" fillId="0" borderId="15" xfId="0" applyFont="1" applyBorder="1" applyAlignment="1">
      <alignment horizontal="center" vertical="center" wrapText="1"/>
    </xf>
    <xf numFmtId="41" fontId="35" fillId="0" borderId="0" xfId="0" applyNumberFormat="1" applyFont="1"/>
    <xf numFmtId="0" fontId="4" fillId="0" borderId="0" xfId="0" applyFont="1"/>
    <xf numFmtId="0" fontId="12" fillId="0" borderId="0" xfId="0" applyFont="1"/>
    <xf numFmtId="41" fontId="1" fillId="0" borderId="0" xfId="2" applyNumberFormat="1" applyFont="1" applyBorder="1" applyAlignment="1"/>
    <xf numFmtId="164" fontId="0" fillId="0" borderId="0" xfId="2" applyNumberFormat="1" applyFont="1"/>
    <xf numFmtId="41" fontId="0" fillId="31" borderId="0" xfId="0" applyNumberFormat="1" applyFill="1"/>
    <xf numFmtId="41" fontId="23" fillId="0" borderId="15" xfId="2" applyNumberFormat="1" applyFont="1" applyBorder="1" applyAlignment="1">
      <alignment horizontal="left" vertical="center"/>
    </xf>
    <xf numFmtId="0" fontId="0" fillId="9" borderId="0" xfId="0" applyFill="1"/>
    <xf numFmtId="0" fontId="5" fillId="9" borderId="0" xfId="0" applyFont="1" applyFill="1"/>
    <xf numFmtId="41" fontId="23" fillId="0" borderId="0" xfId="2" applyNumberFormat="1" applyFont="1" applyBorder="1" applyAlignment="1"/>
    <xf numFmtId="41" fontId="0" fillId="0" borderId="15" xfId="2" applyNumberFormat="1" applyFont="1" applyFill="1" applyBorder="1"/>
    <xf numFmtId="41" fontId="0" fillId="0" borderId="15" xfId="2" applyNumberFormat="1" applyFont="1" applyBorder="1"/>
    <xf numFmtId="41" fontId="0" fillId="0" borderId="0" xfId="2" applyNumberFormat="1" applyFont="1" applyFill="1"/>
    <xf numFmtId="41" fontId="0" fillId="0" borderId="0" xfId="2" applyNumberFormat="1" applyFont="1"/>
    <xf numFmtId="41" fontId="0" fillId="9" borderId="0" xfId="2" applyNumberFormat="1" applyFont="1" applyFill="1"/>
    <xf numFmtId="0" fontId="38" fillId="0" borderId="0" xfId="0" applyFont="1" applyAlignment="1">
      <alignment horizontal="center" wrapText="1"/>
    </xf>
    <xf numFmtId="0" fontId="24" fillId="0" borderId="0" xfId="0" applyFont="1"/>
    <xf numFmtId="0" fontId="0" fillId="0" borderId="0" xfId="0" applyAlignment="1">
      <alignment vertical="center"/>
    </xf>
    <xf numFmtId="41" fontId="5" fillId="10" borderId="0" xfId="0" applyNumberFormat="1" applyFont="1" applyFill="1"/>
    <xf numFmtId="0" fontId="3" fillId="0" borderId="0" xfId="0" applyFont="1" applyAlignment="1">
      <alignment wrapText="1"/>
    </xf>
    <xf numFmtId="0" fontId="3" fillId="0" borderId="0" xfId="0" applyFont="1" applyAlignment="1">
      <alignment horizontal="center"/>
    </xf>
    <xf numFmtId="2" fontId="0" fillId="0" borderId="0" xfId="0" applyNumberFormat="1"/>
    <xf numFmtId="2" fontId="0" fillId="7" borderId="0" xfId="0" applyNumberFormat="1" applyFill="1"/>
    <xf numFmtId="0" fontId="39" fillId="0" borderId="0" xfId="0" applyFont="1" applyAlignment="1">
      <alignment horizontal="left" wrapText="1"/>
    </xf>
    <xf numFmtId="3" fontId="24" fillId="0" borderId="0" xfId="0" applyNumberFormat="1" applyFont="1"/>
    <xf numFmtId="3" fontId="24" fillId="0" borderId="0" xfId="0" applyNumberFormat="1" applyFont="1" applyAlignment="1">
      <alignment horizontal="center"/>
    </xf>
    <xf numFmtId="3" fontId="40" fillId="0" borderId="0" xfId="0" applyNumberFormat="1" applyFont="1"/>
    <xf numFmtId="0" fontId="41" fillId="0" borderId="0" xfId="0" applyFont="1"/>
    <xf numFmtId="0" fontId="40" fillId="0" borderId="0" xfId="0" applyFont="1"/>
    <xf numFmtId="41" fontId="24" fillId="0" borderId="0" xfId="1" applyNumberFormat="1" applyFont="1" applyFill="1"/>
    <xf numFmtId="3" fontId="18" fillId="32" borderId="0" xfId="0" applyNumberFormat="1" applyFont="1" applyFill="1" applyAlignment="1">
      <alignment horizontal="center"/>
    </xf>
    <xf numFmtId="0" fontId="18" fillId="32" borderId="0" xfId="0" applyFont="1" applyFill="1" applyAlignment="1">
      <alignment horizontal="center"/>
    </xf>
    <xf numFmtId="164" fontId="28" fillId="14" borderId="19" xfId="1" applyNumberFormat="1" applyFont="1" applyFill="1" applyBorder="1" applyAlignment="1">
      <alignment horizontal="right"/>
    </xf>
    <xf numFmtId="0" fontId="23" fillId="0" borderId="15" xfId="0" applyFont="1" applyBorder="1" applyAlignment="1">
      <alignment horizontal="center" vertical="center"/>
    </xf>
    <xf numFmtId="41" fontId="24" fillId="0" borderId="2" xfId="0" applyNumberFormat="1" applyFont="1" applyBorder="1"/>
    <xf numFmtId="164" fontId="24" fillId="0" borderId="0" xfId="1" applyNumberFormat="1" applyFont="1" applyFill="1"/>
    <xf numFmtId="164" fontId="24" fillId="0" borderId="2" xfId="1" applyNumberFormat="1" applyFont="1" applyFill="1" applyBorder="1"/>
    <xf numFmtId="164" fontId="5" fillId="6" borderId="0" xfId="1" applyNumberFormat="1" applyFont="1" applyFill="1"/>
    <xf numFmtId="0" fontId="5" fillId="33" borderId="0" xfId="0" applyFont="1" applyFill="1"/>
    <xf numFmtId="0" fontId="5" fillId="34" borderId="0" xfId="0" applyFont="1" applyFill="1"/>
    <xf numFmtId="164" fontId="28" fillId="4" borderId="0" xfId="1" applyNumberFormat="1" applyFont="1" applyFill="1" applyBorder="1" applyAlignment="1">
      <alignment horizontal="right"/>
    </xf>
    <xf numFmtId="0" fontId="13" fillId="7" borderId="0" xfId="0" applyFont="1" applyFill="1"/>
    <xf numFmtId="41" fontId="0" fillId="35" borderId="0" xfId="0" applyNumberFormat="1" applyFill="1"/>
    <xf numFmtId="41" fontId="0" fillId="36" borderId="0" xfId="0" applyNumberFormat="1" applyFill="1"/>
    <xf numFmtId="41" fontId="24" fillId="36" borderId="0" xfId="0" applyNumberFormat="1" applyFont="1" applyFill="1"/>
    <xf numFmtId="41" fontId="0" fillId="37" borderId="0" xfId="0" applyNumberFormat="1" applyFill="1"/>
    <xf numFmtId="164" fontId="28" fillId="0" borderId="2" xfId="1" applyNumberFormat="1" applyFont="1" applyFill="1" applyBorder="1" applyAlignment="1">
      <alignment horizontal="right"/>
    </xf>
    <xf numFmtId="41" fontId="5" fillId="38" borderId="0" xfId="1" applyNumberFormat="1" applyFont="1" applyFill="1"/>
    <xf numFmtId="0" fontId="0" fillId="38" borderId="0" xfId="0" applyFill="1"/>
    <xf numFmtId="41" fontId="5" fillId="33" borderId="0" xfId="1" applyNumberFormat="1" applyFont="1" applyFill="1"/>
    <xf numFmtId="41" fontId="5" fillId="0" borderId="2" xfId="1" applyNumberFormat="1" applyFont="1" applyFill="1" applyBorder="1"/>
    <xf numFmtId="43" fontId="0" fillId="0" borderId="0" xfId="1" applyFont="1"/>
    <xf numFmtId="43" fontId="5" fillId="10" borderId="0" xfId="1" applyFont="1" applyFill="1"/>
    <xf numFmtId="43" fontId="5" fillId="6" borderId="0" xfId="1" applyFont="1" applyFill="1"/>
    <xf numFmtId="43" fontId="5" fillId="13" borderId="0" xfId="1" applyFont="1" applyFill="1"/>
    <xf numFmtId="43" fontId="0" fillId="3" borderId="0" xfId="1" applyFont="1" applyFill="1"/>
    <xf numFmtId="43" fontId="0" fillId="4" borderId="0" xfId="1" applyFont="1" applyFill="1"/>
    <xf numFmtId="43" fontId="0" fillId="0" borderId="0" xfId="1" applyFont="1" applyFill="1"/>
    <xf numFmtId="43" fontId="0" fillId="11" borderId="0" xfId="1" applyFont="1" applyFill="1"/>
    <xf numFmtId="43" fontId="0" fillId="12" borderId="0" xfId="1" applyFont="1" applyFill="1"/>
    <xf numFmtId="0" fontId="23" fillId="0" borderId="15" xfId="0" applyFont="1" applyBorder="1" applyAlignment="1">
      <alignment horizontal="center" vertical="top"/>
    </xf>
    <xf numFmtId="41" fontId="5" fillId="0" borderId="0" xfId="0" applyNumberFormat="1" applyFont="1"/>
    <xf numFmtId="41" fontId="0" fillId="38" borderId="0" xfId="0" applyNumberFormat="1" applyFill="1"/>
    <xf numFmtId="0" fontId="5" fillId="38" borderId="0" xfId="0" applyFont="1" applyFill="1"/>
    <xf numFmtId="0" fontId="35" fillId="38" borderId="0" xfId="0" applyFont="1" applyFill="1"/>
    <xf numFmtId="0" fontId="24" fillId="38" borderId="0" xfId="0" applyFont="1" applyFill="1"/>
    <xf numFmtId="0" fontId="2" fillId="0" borderId="0" xfId="0" applyFont="1" applyAlignment="1">
      <alignment horizontal="center"/>
    </xf>
    <xf numFmtId="0" fontId="23" fillId="0" borderId="15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10" fillId="18" borderId="10" xfId="0" applyFont="1" applyFill="1" applyBorder="1" applyAlignment="1">
      <alignment horizontal="left"/>
    </xf>
    <xf numFmtId="0" fontId="10" fillId="19" borderId="1" xfId="0" applyFont="1" applyFill="1" applyBorder="1" applyAlignment="1">
      <alignment horizontal="left"/>
    </xf>
    <xf numFmtId="0" fontId="10" fillId="19" borderId="11" xfId="0" applyFont="1" applyFill="1" applyBorder="1" applyAlignment="1">
      <alignment horizontal="left"/>
    </xf>
    <xf numFmtId="0" fontId="10" fillId="21" borderId="1" xfId="0" applyFont="1" applyFill="1" applyBorder="1" applyAlignment="1">
      <alignment horizontal="left"/>
    </xf>
    <xf numFmtId="0" fontId="10" fillId="21" borderId="10" xfId="0" applyFont="1" applyFill="1" applyBorder="1" applyAlignment="1">
      <alignment horizontal="left"/>
    </xf>
    <xf numFmtId="0" fontId="10" fillId="21" borderId="11" xfId="0" applyFont="1" applyFill="1" applyBorder="1" applyAlignment="1">
      <alignment horizontal="left"/>
    </xf>
    <xf numFmtId="0" fontId="2" fillId="0" borderId="0" xfId="0" applyFont="1" applyAlignment="1">
      <alignment horizontal="center" vertical="center"/>
    </xf>
    <xf numFmtId="41" fontId="37" fillId="0" borderId="0" xfId="2" applyNumberFormat="1" applyFont="1" applyBorder="1" applyAlignment="1">
      <alignment horizontal="center" vertical="center"/>
    </xf>
    <xf numFmtId="0" fontId="23" fillId="0" borderId="15" xfId="0" applyFont="1" applyBorder="1" applyAlignment="1">
      <alignment horizontal="center" wrapText="1"/>
    </xf>
    <xf numFmtId="41" fontId="23" fillId="0" borderId="15" xfId="2" applyNumberFormat="1" applyFont="1" applyBorder="1" applyAlignment="1">
      <alignment horizontal="center"/>
    </xf>
  </cellXfs>
  <cellStyles count="29">
    <cellStyle name="Comma" xfId="1" builtinId="3"/>
    <cellStyle name="Currency" xfId="2" builtinId="4"/>
    <cellStyle name="Followed Hyperlink" xfId="26" builtinId="9" hidden="1"/>
    <cellStyle name="Followed Hyperlink" xfId="28" builtinId="9" hidden="1"/>
    <cellStyle name="Followed Hyperlink" xfId="18" builtinId="9" hidden="1"/>
    <cellStyle name="Followed Hyperlink" xfId="8" builtinId="9" hidden="1"/>
    <cellStyle name="Followed Hyperlink" xfId="24" builtinId="9" hidden="1"/>
    <cellStyle name="Followed Hyperlink" xfId="10" builtinId="9" hidden="1"/>
    <cellStyle name="Followed Hyperlink" xfId="20" builtinId="9" hidden="1"/>
    <cellStyle name="Followed Hyperlink" xfId="12" builtinId="9" hidden="1"/>
    <cellStyle name="Followed Hyperlink" xfId="16" builtinId="9" hidden="1"/>
    <cellStyle name="Followed Hyperlink" xfId="14" builtinId="9" hidden="1"/>
    <cellStyle name="Followed Hyperlink" xfId="22" builtinId="9" hidden="1"/>
    <cellStyle name="Followed Hyperlink" xfId="6" builtinId="9" hidden="1"/>
    <cellStyle name="Followed Hyperlink" xfId="4" builtinId="9" hidden="1"/>
    <cellStyle name="Hyperlink" xfId="17" builtinId="8" hidden="1"/>
    <cellStyle name="Hyperlink" xfId="21" builtinId="8" hidden="1"/>
    <cellStyle name="Hyperlink" xfId="5" builtinId="8" hidden="1"/>
    <cellStyle name="Hyperlink" xfId="25" builtinId="8" hidden="1"/>
    <cellStyle name="Hyperlink" xfId="27" builtinId="8" hidden="1"/>
    <cellStyle name="Hyperlink" xfId="9" builtinId="8" hidden="1"/>
    <cellStyle name="Hyperlink" xfId="13" builtinId="8" hidden="1"/>
    <cellStyle name="Hyperlink" xfId="11" builtinId="8" hidden="1"/>
    <cellStyle name="Hyperlink" xfId="15" builtinId="8" hidden="1"/>
    <cellStyle name="Hyperlink" xfId="19" builtinId="8" hidden="1"/>
    <cellStyle name="Hyperlink" xfId="7" builtinId="8" hidden="1"/>
    <cellStyle name="Hyperlink" xfId="23" builtinId="8" hidden="1"/>
    <cellStyle name="Hyperlink" xfId="3" builtinId="8" hidden="1"/>
    <cellStyle name="Normal" xfId="0" builtinId="0"/>
  </cellStyles>
  <dxfs count="0"/>
  <tableStyles count="0" defaultTableStyle="TableStyleMedium9" defaultPivotStyle="PivotStyleLight16"/>
  <colors>
    <mruColors>
      <color rgb="FF00CCFF"/>
      <color rgb="FF4BACC6"/>
      <color rgb="FF7D63A3"/>
      <color rgb="FFFB8503"/>
      <color rgb="FFFF8F57"/>
      <color rgb="FFF68426"/>
      <color rgb="FFC0504D"/>
      <color rgb="FF800080"/>
      <color rgb="FF33CCCC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calcChain" Target="calcChain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5"/>
  <sheetViews>
    <sheetView topLeftCell="A13" zoomScale="90" zoomScaleNormal="90" workbookViewId="0">
      <selection activeCell="O51" sqref="O51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9" customWidth="1"/>
    <col min="15" max="15" width="16.42578125" customWidth="1"/>
    <col min="16" max="16" width="17.7109375" customWidth="1"/>
  </cols>
  <sheetData>
    <row r="1" spans="1:16" ht="18.75">
      <c r="D1" s="253" t="s">
        <v>0</v>
      </c>
      <c r="E1" s="253"/>
      <c r="F1" s="253"/>
      <c r="G1" s="253"/>
      <c r="H1" s="253"/>
      <c r="I1" s="253"/>
      <c r="J1" s="253"/>
      <c r="K1" s="253"/>
    </row>
    <row r="2" spans="1:16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6" ht="45">
      <c r="K4" s="1" t="s">
        <v>2</v>
      </c>
      <c r="L4" s="1" t="s">
        <v>3</v>
      </c>
      <c r="M4" s="1" t="s">
        <v>4</v>
      </c>
      <c r="N4" s="1" t="s">
        <v>5</v>
      </c>
      <c r="O4" s="1" t="s">
        <v>6</v>
      </c>
      <c r="P4" s="1" t="s">
        <v>7</v>
      </c>
    </row>
    <row r="5" spans="1:16">
      <c r="A5" t="s">
        <v>8</v>
      </c>
    </row>
    <row r="6" spans="1:16">
      <c r="B6" t="s">
        <v>9</v>
      </c>
      <c r="K6" s="72">
        <v>594846</v>
      </c>
      <c r="L6" s="73">
        <v>1442181</v>
      </c>
      <c r="M6" s="73">
        <v>1777092</v>
      </c>
      <c r="N6" s="73">
        <v>349485</v>
      </c>
      <c r="O6" s="73">
        <v>5031940</v>
      </c>
      <c r="P6" s="73">
        <f>SUM(K6:O6)</f>
        <v>9195544</v>
      </c>
    </row>
    <row r="7" spans="1:16">
      <c r="B7" t="s">
        <v>10</v>
      </c>
      <c r="K7" s="77">
        <v>627565</v>
      </c>
      <c r="L7" s="73">
        <v>12742</v>
      </c>
      <c r="M7" s="73">
        <v>4074584</v>
      </c>
      <c r="N7" s="73">
        <v>137018</v>
      </c>
      <c r="O7" s="73">
        <v>3087127</v>
      </c>
      <c r="P7" s="73">
        <f t="shared" ref="P7:P14" si="0">SUM(K7:O7)</f>
        <v>7939036</v>
      </c>
    </row>
    <row r="8" spans="1:16">
      <c r="B8" t="s">
        <v>11</v>
      </c>
      <c r="K8" s="74">
        <v>1827046</v>
      </c>
      <c r="L8" s="73">
        <v>1117278</v>
      </c>
      <c r="M8" s="73">
        <v>1457991</v>
      </c>
      <c r="N8" s="73">
        <v>477857</v>
      </c>
      <c r="O8" s="73">
        <v>1662324</v>
      </c>
      <c r="P8" s="73">
        <f t="shared" si="0"/>
        <v>6542496</v>
      </c>
    </row>
    <row r="9" spans="1:16">
      <c r="B9" t="s">
        <v>12</v>
      </c>
      <c r="K9" s="73"/>
      <c r="L9" s="73"/>
      <c r="M9" s="73"/>
      <c r="N9" s="73"/>
      <c r="O9" s="73">
        <v>16996</v>
      </c>
      <c r="P9" s="73">
        <f t="shared" si="0"/>
        <v>16996</v>
      </c>
    </row>
    <row r="10" spans="1:16">
      <c r="B10" t="s">
        <v>13</v>
      </c>
      <c r="K10" s="74">
        <v>8444</v>
      </c>
      <c r="L10" s="73"/>
      <c r="M10" s="73"/>
      <c r="N10" s="73"/>
      <c r="O10" s="73">
        <v>1650</v>
      </c>
      <c r="P10" s="73">
        <f t="shared" si="0"/>
        <v>10094</v>
      </c>
    </row>
    <row r="11" spans="1:16">
      <c r="B11" t="s">
        <v>14</v>
      </c>
      <c r="K11" s="73"/>
      <c r="L11" s="73"/>
      <c r="M11" s="73"/>
      <c r="N11" s="73"/>
      <c r="O11" s="73"/>
    </row>
    <row r="12" spans="1:16">
      <c r="C12" t="s">
        <v>15</v>
      </c>
      <c r="K12" s="75">
        <v>359090</v>
      </c>
      <c r="L12" s="73">
        <v>45485</v>
      </c>
      <c r="M12" s="73">
        <v>21150</v>
      </c>
      <c r="N12" s="73"/>
      <c r="O12" s="73">
        <v>124735</v>
      </c>
      <c r="P12" s="73">
        <f t="shared" si="0"/>
        <v>550460</v>
      </c>
    </row>
    <row r="13" spans="1:16">
      <c r="B13" t="s">
        <v>16</v>
      </c>
      <c r="K13" s="75">
        <v>95052</v>
      </c>
      <c r="L13" s="73"/>
      <c r="M13" s="73"/>
      <c r="N13" s="73"/>
      <c r="O13" s="73"/>
      <c r="P13" s="73">
        <f t="shared" si="0"/>
        <v>95052</v>
      </c>
    </row>
    <row r="14" spans="1:16">
      <c r="B14" t="s">
        <v>17</v>
      </c>
      <c r="K14" s="75">
        <v>20177</v>
      </c>
      <c r="L14" s="73"/>
      <c r="M14" s="73"/>
      <c r="N14" s="73"/>
      <c r="O14" s="73"/>
      <c r="P14" s="73">
        <f t="shared" si="0"/>
        <v>20177</v>
      </c>
    </row>
    <row r="15" spans="1:16">
      <c r="K15" s="93"/>
      <c r="L15" s="93"/>
      <c r="M15" s="93"/>
      <c r="N15" s="93"/>
      <c r="O15" s="93"/>
      <c r="P15" s="93"/>
    </row>
    <row r="16" spans="1:16" s="3" customFormat="1">
      <c r="A16" s="2"/>
      <c r="B16" s="2"/>
      <c r="C16" s="2"/>
      <c r="D16" s="2"/>
      <c r="E16" s="2" t="s">
        <v>18</v>
      </c>
      <c r="K16" s="76">
        <f t="shared" ref="K16:O16" si="1">SUM(K6:K14)</f>
        <v>3532220</v>
      </c>
      <c r="L16" s="76">
        <f t="shared" si="1"/>
        <v>2617686</v>
      </c>
      <c r="M16" s="76">
        <f t="shared" si="1"/>
        <v>7330817</v>
      </c>
      <c r="N16" s="76">
        <f t="shared" si="1"/>
        <v>964360</v>
      </c>
      <c r="O16" s="76">
        <f t="shared" si="1"/>
        <v>9924772</v>
      </c>
      <c r="P16" s="234">
        <f>SUM(K16:O16)</f>
        <v>24369855</v>
      </c>
    </row>
    <row r="17" spans="1:16">
      <c r="K17" s="73"/>
      <c r="L17" s="73"/>
      <c r="M17" s="73"/>
      <c r="N17" s="73"/>
      <c r="O17" s="73"/>
      <c r="P17" s="73"/>
    </row>
    <row r="18" spans="1:16">
      <c r="A18" s="4" t="s">
        <v>19</v>
      </c>
      <c r="K18" s="73"/>
      <c r="L18" s="73"/>
      <c r="M18" s="73"/>
      <c r="N18" s="73"/>
      <c r="O18" s="73"/>
      <c r="P18" s="73"/>
    </row>
    <row r="19" spans="1:16">
      <c r="B19" t="s">
        <v>20</v>
      </c>
      <c r="K19" s="73"/>
      <c r="L19" s="73"/>
      <c r="M19" s="73"/>
      <c r="N19" s="73"/>
      <c r="O19" s="73"/>
      <c r="P19" s="73"/>
    </row>
    <row r="20" spans="1:16">
      <c r="C20" t="s">
        <v>21</v>
      </c>
      <c r="K20" s="77">
        <v>661040</v>
      </c>
      <c r="L20" s="73">
        <v>16126</v>
      </c>
      <c r="M20" s="73">
        <v>385236</v>
      </c>
      <c r="N20" s="73">
        <v>6349</v>
      </c>
      <c r="O20" s="73">
        <v>249209</v>
      </c>
      <c r="P20" s="73">
        <f>SUM(K20:O20)</f>
        <v>1317960</v>
      </c>
    </row>
    <row r="21" spans="1:16">
      <c r="C21" t="s">
        <v>22</v>
      </c>
      <c r="K21" s="73"/>
      <c r="L21" s="73"/>
      <c r="M21" s="73"/>
      <c r="N21" s="73"/>
      <c r="O21" s="73"/>
      <c r="P21" s="73">
        <f>SUM(K21:O21)</f>
        <v>0</v>
      </c>
    </row>
    <row r="22" spans="1:16">
      <c r="C22" t="s">
        <v>23</v>
      </c>
      <c r="K22" s="77">
        <v>519374</v>
      </c>
      <c r="L22" s="73">
        <v>41289</v>
      </c>
      <c r="M22" s="73">
        <v>12218</v>
      </c>
      <c r="N22" s="73"/>
      <c r="O22" s="73">
        <v>55052</v>
      </c>
      <c r="P22" s="73">
        <f>SUM(K22:O22)</f>
        <v>627933</v>
      </c>
    </row>
    <row r="23" spans="1:16">
      <c r="C23" t="s">
        <v>24</v>
      </c>
      <c r="K23" s="73"/>
      <c r="L23" s="73">
        <v>46000</v>
      </c>
      <c r="M23" s="73"/>
      <c r="N23" s="73"/>
      <c r="O23" s="73"/>
      <c r="P23" s="73">
        <f t="shared" ref="P23:P24" si="2">SUM(K23:O23)</f>
        <v>46000</v>
      </c>
    </row>
    <row r="24" spans="1:16">
      <c r="C24" t="s">
        <v>25</v>
      </c>
      <c r="K24" s="73"/>
      <c r="L24" s="73">
        <v>42381</v>
      </c>
      <c r="M24" s="73">
        <v>36357</v>
      </c>
      <c r="N24" s="73"/>
      <c r="O24" s="73">
        <v>16314</v>
      </c>
      <c r="P24" s="73">
        <f t="shared" si="2"/>
        <v>95052</v>
      </c>
    </row>
    <row r="25" spans="1:16">
      <c r="K25" s="93"/>
      <c r="L25" s="93"/>
      <c r="M25" s="93"/>
      <c r="N25" s="93"/>
      <c r="O25" s="93"/>
      <c r="P25" s="93"/>
    </row>
    <row r="26" spans="1:16" s="5" customFormat="1">
      <c r="B26" s="6"/>
      <c r="C26" s="6"/>
      <c r="D26" s="6"/>
      <c r="E26" s="6" t="s">
        <v>26</v>
      </c>
      <c r="K26" s="79">
        <f t="shared" ref="K26:P26" si="3">SUM(K20:K24)</f>
        <v>1180414</v>
      </c>
      <c r="L26" s="79">
        <f t="shared" si="3"/>
        <v>145796</v>
      </c>
      <c r="M26" s="79">
        <f t="shared" si="3"/>
        <v>433811</v>
      </c>
      <c r="N26" s="79">
        <f t="shared" si="3"/>
        <v>6349</v>
      </c>
      <c r="O26" s="79">
        <f t="shared" si="3"/>
        <v>320575</v>
      </c>
      <c r="P26" s="79">
        <f t="shared" si="3"/>
        <v>2086945</v>
      </c>
    </row>
    <row r="27" spans="1:16">
      <c r="K27" s="73"/>
      <c r="L27" s="73"/>
      <c r="M27" s="73"/>
      <c r="N27" s="73"/>
      <c r="O27" s="73"/>
      <c r="P27" s="73"/>
    </row>
    <row r="28" spans="1:16">
      <c r="A28" s="71" t="s">
        <v>27</v>
      </c>
      <c r="K28" s="73"/>
      <c r="L28" s="73"/>
      <c r="M28" s="73"/>
      <c r="N28" s="73"/>
      <c r="O28" s="73"/>
      <c r="P28" s="73"/>
    </row>
    <row r="29" spans="1:16">
      <c r="C29" t="s">
        <v>28</v>
      </c>
      <c r="K29" s="85"/>
      <c r="L29" s="85"/>
      <c r="M29" s="85"/>
      <c r="N29" s="85"/>
      <c r="O29" s="85">
        <v>16997</v>
      </c>
      <c r="P29" s="85">
        <f>SUM(K29:O29)</f>
        <v>16997</v>
      </c>
    </row>
    <row r="30" spans="1:16">
      <c r="K30" s="73"/>
      <c r="L30" s="73"/>
      <c r="M30" s="73"/>
      <c r="N30" s="73"/>
      <c r="O30" s="73"/>
      <c r="P30" s="73"/>
    </row>
    <row r="31" spans="1:16" s="5" customFormat="1">
      <c r="B31" s="6"/>
      <c r="C31" s="6"/>
      <c r="D31" s="6"/>
      <c r="E31" s="6" t="s">
        <v>29</v>
      </c>
      <c r="K31" s="79">
        <f t="shared" ref="K31:P31" si="4">SUM(K29:K29)</f>
        <v>0</v>
      </c>
      <c r="L31" s="79">
        <f t="shared" si="4"/>
        <v>0</v>
      </c>
      <c r="M31" s="79">
        <f t="shared" si="4"/>
        <v>0</v>
      </c>
      <c r="N31" s="79">
        <f t="shared" si="4"/>
        <v>0</v>
      </c>
      <c r="O31" s="79">
        <f t="shared" si="4"/>
        <v>16997</v>
      </c>
      <c r="P31" s="79">
        <f t="shared" si="4"/>
        <v>16997</v>
      </c>
    </row>
    <row r="32" spans="1:16">
      <c r="K32" s="73"/>
      <c r="L32" s="73"/>
      <c r="M32" s="73"/>
      <c r="N32" s="73"/>
      <c r="O32" s="73"/>
      <c r="P32" s="73"/>
    </row>
    <row r="33" spans="2:16">
      <c r="B33" t="s">
        <v>30</v>
      </c>
      <c r="K33" s="73"/>
      <c r="L33" s="73"/>
      <c r="M33" s="73"/>
      <c r="N33" s="73"/>
      <c r="O33" s="73"/>
      <c r="P33" s="73"/>
    </row>
    <row r="34" spans="2:16">
      <c r="C34" t="s">
        <v>31</v>
      </c>
      <c r="K34" s="73"/>
      <c r="L34" s="73"/>
      <c r="M34" s="73"/>
      <c r="N34" s="73"/>
      <c r="O34" s="73"/>
      <c r="P34" s="73"/>
    </row>
    <row r="35" spans="2:16">
      <c r="D35" t="s">
        <v>32</v>
      </c>
      <c r="K35" s="80">
        <v>482052</v>
      </c>
      <c r="L35" s="73"/>
      <c r="M35" s="73"/>
      <c r="N35" s="73"/>
      <c r="O35" s="73"/>
      <c r="P35" s="73">
        <f>SUM(K35:O35)</f>
        <v>482052</v>
      </c>
    </row>
    <row r="36" spans="2:16">
      <c r="D36" t="s">
        <v>33</v>
      </c>
      <c r="K36" s="73"/>
      <c r="L36" s="73"/>
      <c r="M36" s="73"/>
      <c r="N36" s="73"/>
      <c r="O36" s="73"/>
      <c r="P36" s="73"/>
    </row>
    <row r="37" spans="2:16">
      <c r="E37" t="s">
        <v>34</v>
      </c>
      <c r="K37" s="73"/>
      <c r="L37" s="73"/>
      <c r="M37" s="73"/>
      <c r="N37" s="73"/>
      <c r="O37" s="73"/>
      <c r="P37" s="73"/>
    </row>
    <row r="38" spans="2:16">
      <c r="E38" t="s">
        <v>35</v>
      </c>
      <c r="K38" s="73"/>
      <c r="L38" s="73">
        <v>2471890</v>
      </c>
      <c r="M38" s="73">
        <v>6897006</v>
      </c>
      <c r="N38" s="73">
        <v>958011</v>
      </c>
      <c r="O38" s="73"/>
      <c r="P38" s="73">
        <f t="shared" ref="P38:P46" si="5">SUM(K38:O38)</f>
        <v>10326907</v>
      </c>
    </row>
    <row r="39" spans="2:16">
      <c r="D39" t="s">
        <v>36</v>
      </c>
      <c r="K39" s="73"/>
      <c r="L39" s="73"/>
      <c r="M39" s="73"/>
      <c r="N39" s="73"/>
      <c r="O39" s="73">
        <v>1669655</v>
      </c>
      <c r="P39" s="73">
        <f t="shared" si="5"/>
        <v>1669655</v>
      </c>
    </row>
    <row r="40" spans="2:16">
      <c r="D40" t="s">
        <v>37</v>
      </c>
      <c r="K40" s="73"/>
      <c r="L40" s="73"/>
      <c r="M40" s="73"/>
      <c r="N40" s="73"/>
      <c r="O40" s="73">
        <v>2126616</v>
      </c>
      <c r="P40" s="73">
        <f t="shared" si="5"/>
        <v>2126616</v>
      </c>
    </row>
    <row r="41" spans="2:16">
      <c r="D41" t="s">
        <v>38</v>
      </c>
      <c r="K41" s="73"/>
      <c r="L41" s="73"/>
      <c r="M41" s="73"/>
      <c r="N41" s="73"/>
      <c r="O41" s="73">
        <v>1667432</v>
      </c>
      <c r="P41" s="73">
        <f t="shared" si="5"/>
        <v>1667432</v>
      </c>
    </row>
    <row r="42" spans="2:16">
      <c r="D42" t="s">
        <v>39</v>
      </c>
      <c r="K42" s="73"/>
      <c r="L42" s="73"/>
      <c r="M42" s="73"/>
      <c r="N42" s="73"/>
      <c r="O42" s="73">
        <v>1129541</v>
      </c>
      <c r="P42" s="73">
        <f t="shared" si="5"/>
        <v>1129541</v>
      </c>
    </row>
    <row r="43" spans="2:16">
      <c r="C43" t="s">
        <v>40</v>
      </c>
      <c r="K43" s="73"/>
      <c r="L43" s="73"/>
      <c r="M43" s="73"/>
      <c r="N43" s="73"/>
      <c r="O43" s="73"/>
      <c r="P43" s="73"/>
    </row>
    <row r="44" spans="2:16">
      <c r="D44" t="s">
        <v>41</v>
      </c>
      <c r="K44" s="73"/>
      <c r="L44" s="73"/>
      <c r="M44" s="73"/>
      <c r="N44" s="73"/>
      <c r="O44" s="73">
        <v>1707620</v>
      </c>
      <c r="P44" s="73">
        <f t="shared" si="5"/>
        <v>1707620</v>
      </c>
    </row>
    <row r="45" spans="2:16">
      <c r="D45" t="s">
        <v>42</v>
      </c>
      <c r="K45" s="73"/>
      <c r="L45" s="73"/>
      <c r="M45" s="73"/>
      <c r="N45" s="73"/>
      <c r="O45" s="73">
        <v>1061885</v>
      </c>
      <c r="P45" s="73">
        <f t="shared" si="5"/>
        <v>1061885</v>
      </c>
    </row>
    <row r="46" spans="2:16">
      <c r="C46" t="s">
        <v>43</v>
      </c>
      <c r="K46" s="73"/>
      <c r="L46" s="73"/>
      <c r="M46" s="73"/>
      <c r="N46" s="73"/>
      <c r="O46" s="73"/>
      <c r="P46" s="73">
        <f t="shared" si="5"/>
        <v>0</v>
      </c>
    </row>
    <row r="47" spans="2:16">
      <c r="D47" t="s">
        <v>44</v>
      </c>
      <c r="K47" s="73"/>
      <c r="L47" s="73"/>
      <c r="M47" s="73"/>
      <c r="N47" s="73"/>
      <c r="O47" s="73">
        <v>1916</v>
      </c>
      <c r="P47" s="73">
        <f t="shared" ref="P47:P51" si="6">SUM(K47:O47)</f>
        <v>1916</v>
      </c>
    </row>
    <row r="48" spans="2:16">
      <c r="D48" t="s">
        <v>45</v>
      </c>
      <c r="K48" s="73"/>
      <c r="L48" s="73"/>
      <c r="M48" s="73"/>
      <c r="N48" s="73"/>
      <c r="O48" s="73"/>
      <c r="P48" s="73">
        <f t="shared" si="6"/>
        <v>0</v>
      </c>
    </row>
    <row r="49" spans="3:16">
      <c r="D49" t="s">
        <v>46</v>
      </c>
      <c r="K49" s="73"/>
      <c r="L49" s="73"/>
      <c r="M49" s="73"/>
      <c r="N49" s="73"/>
      <c r="O49" s="73">
        <v>183628</v>
      </c>
      <c r="P49" s="73">
        <f t="shared" si="6"/>
        <v>183628</v>
      </c>
    </row>
    <row r="50" spans="3:16">
      <c r="D50" t="s">
        <v>47</v>
      </c>
      <c r="K50" s="73"/>
      <c r="L50" s="73"/>
      <c r="M50" s="73"/>
      <c r="N50" s="73"/>
      <c r="O50" s="73">
        <v>38907</v>
      </c>
      <c r="P50" s="73">
        <f t="shared" si="6"/>
        <v>38907</v>
      </c>
    </row>
    <row r="51" spans="3:16">
      <c r="C51" t="s">
        <v>48</v>
      </c>
      <c r="K51" s="84">
        <v>1869754</v>
      </c>
      <c r="L51" s="73"/>
      <c r="M51" s="73"/>
      <c r="N51" s="73"/>
      <c r="O51" s="73"/>
      <c r="P51" s="73">
        <f t="shared" si="6"/>
        <v>1869754</v>
      </c>
    </row>
    <row r="52" spans="3:16">
      <c r="K52" s="93"/>
      <c r="L52" s="93"/>
      <c r="M52" s="93"/>
      <c r="N52" s="93"/>
      <c r="O52" s="93"/>
      <c r="P52" s="93"/>
    </row>
    <row r="53" spans="3:16" s="5" customFormat="1">
      <c r="D53" s="6"/>
      <c r="E53" s="6" t="s">
        <v>49</v>
      </c>
      <c r="K53" s="79">
        <f t="shared" ref="K53:P53" si="7">SUM(K34:K51)</f>
        <v>2351806</v>
      </c>
      <c r="L53" s="79">
        <f t="shared" si="7"/>
        <v>2471890</v>
      </c>
      <c r="M53" s="79">
        <f t="shared" si="7"/>
        <v>6897006</v>
      </c>
      <c r="N53" s="79">
        <f t="shared" si="7"/>
        <v>958011</v>
      </c>
      <c r="O53" s="79">
        <f t="shared" si="7"/>
        <v>9587200</v>
      </c>
      <c r="P53" s="79">
        <f t="shared" si="7"/>
        <v>22265913</v>
      </c>
    </row>
    <row r="54" spans="3:16">
      <c r="K54" s="73"/>
      <c r="L54" s="73"/>
      <c r="M54" s="73"/>
      <c r="N54" s="73"/>
      <c r="O54" s="73"/>
      <c r="P54" s="73"/>
    </row>
    <row r="55" spans="3:16" s="7" customFormat="1">
      <c r="D55" s="8"/>
      <c r="E55" s="8" t="s">
        <v>50</v>
      </c>
      <c r="K55" s="81">
        <f t="shared" ref="K55:P55" si="8">SUM(K53,K26,K31)</f>
        <v>3532220</v>
      </c>
      <c r="L55" s="81">
        <f t="shared" si="8"/>
        <v>2617686</v>
      </c>
      <c r="M55" s="81">
        <f t="shared" si="8"/>
        <v>7330817</v>
      </c>
      <c r="N55" s="81">
        <f t="shared" si="8"/>
        <v>964360</v>
      </c>
      <c r="O55" s="81">
        <f t="shared" si="8"/>
        <v>9924772</v>
      </c>
      <c r="P55" s="81">
        <f t="shared" si="8"/>
        <v>24369855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48"/>
  <sheetViews>
    <sheetView zoomScaleNormal="100" workbookViewId="0">
      <selection activeCell="K11" sqref="K11"/>
    </sheetView>
  </sheetViews>
  <sheetFormatPr defaultColWidth="8.85546875" defaultRowHeight="15"/>
  <cols>
    <col min="11" max="11" width="16.85546875" customWidth="1"/>
    <col min="12" max="13" width="16.28515625" customWidth="1"/>
    <col min="14" max="14" width="15.85546875" customWidth="1"/>
    <col min="15" max="15" width="16.85546875" customWidth="1"/>
    <col min="16" max="16" width="16.7109375" customWidth="1"/>
    <col min="17" max="17" width="15.85546875" customWidth="1"/>
    <col min="18" max="18" width="14.7109375" customWidth="1"/>
  </cols>
  <sheetData>
    <row r="1" spans="1:20" ht="18.75">
      <c r="D1" s="253" t="s">
        <v>51</v>
      </c>
      <c r="E1" s="253"/>
      <c r="F1" s="253"/>
      <c r="G1" s="253"/>
      <c r="H1" s="253"/>
      <c r="I1" s="253"/>
      <c r="J1" s="253"/>
      <c r="K1" s="253"/>
    </row>
    <row r="2" spans="1:20">
      <c r="D2" s="254" t="s">
        <v>1</v>
      </c>
      <c r="E2" s="254"/>
      <c r="F2" s="254"/>
      <c r="G2" s="254"/>
      <c r="H2" s="254"/>
      <c r="I2" s="254"/>
      <c r="J2" s="254"/>
      <c r="K2" s="254"/>
    </row>
    <row r="3" spans="1:20">
      <c r="D3" s="57"/>
      <c r="E3" s="57"/>
      <c r="F3" s="57"/>
      <c r="G3" s="57"/>
      <c r="H3" s="57"/>
      <c r="I3" s="57"/>
      <c r="J3" s="57"/>
      <c r="K3" s="57"/>
    </row>
    <row r="4" spans="1:20">
      <c r="P4" s="57"/>
      <c r="Q4" s="57"/>
    </row>
    <row r="5" spans="1:20" ht="45">
      <c r="K5" s="1" t="s">
        <v>52</v>
      </c>
      <c r="L5" s="1" t="s">
        <v>53</v>
      </c>
      <c r="M5" s="1" t="s">
        <v>54</v>
      </c>
      <c r="N5" s="1" t="s">
        <v>55</v>
      </c>
      <c r="O5" s="1" t="s">
        <v>56</v>
      </c>
      <c r="P5" s="1" t="s">
        <v>57</v>
      </c>
      <c r="Q5" s="1" t="s">
        <v>58</v>
      </c>
      <c r="R5" s="1" t="s">
        <v>7</v>
      </c>
    </row>
    <row r="6" spans="1:20">
      <c r="A6" t="s">
        <v>8</v>
      </c>
    </row>
    <row r="7" spans="1:20">
      <c r="B7" t="s">
        <v>59</v>
      </c>
      <c r="K7" s="72">
        <v>132295</v>
      </c>
      <c r="L7" s="73">
        <v>477668</v>
      </c>
      <c r="M7" s="73">
        <v>469617</v>
      </c>
      <c r="N7" s="73">
        <v>864081</v>
      </c>
      <c r="O7" s="73">
        <v>493056</v>
      </c>
      <c r="P7" s="73"/>
      <c r="Q7" s="73">
        <v>1632845</v>
      </c>
      <c r="R7" s="73">
        <f>SUM(K7:Q7)</f>
        <v>4069562</v>
      </c>
    </row>
    <row r="8" spans="1:20">
      <c r="B8" t="s">
        <v>60</v>
      </c>
      <c r="K8" s="74">
        <v>234323</v>
      </c>
      <c r="L8" s="73"/>
      <c r="M8" s="73">
        <v>596200</v>
      </c>
      <c r="N8" s="73">
        <v>630435</v>
      </c>
      <c r="O8" s="73"/>
      <c r="P8" s="73"/>
      <c r="Q8" s="73">
        <v>1372153</v>
      </c>
      <c r="R8" s="73">
        <f>SUM(K8:Q8)</f>
        <v>2833111</v>
      </c>
    </row>
    <row r="9" spans="1:20">
      <c r="B9" t="s">
        <v>61</v>
      </c>
      <c r="K9" s="75">
        <v>280033</v>
      </c>
      <c r="L9" s="73">
        <v>135294</v>
      </c>
      <c r="M9" s="73"/>
      <c r="N9" s="73"/>
      <c r="O9" s="73"/>
      <c r="P9" s="73">
        <v>268581</v>
      </c>
      <c r="Q9" s="73">
        <v>78487</v>
      </c>
      <c r="R9" s="73">
        <f>SUM(K9:Q9)</f>
        <v>762395</v>
      </c>
    </row>
    <row r="10" spans="1:20">
      <c r="B10" t="s">
        <v>62</v>
      </c>
      <c r="K10" s="95"/>
      <c r="L10" s="73"/>
      <c r="M10" s="73"/>
      <c r="N10" s="73"/>
      <c r="O10" s="73"/>
      <c r="P10" s="73"/>
      <c r="Q10" s="73">
        <v>45179</v>
      </c>
      <c r="R10" s="73">
        <f>SUM(K10:Q10)</f>
        <v>45179</v>
      </c>
    </row>
    <row r="11" spans="1:20">
      <c r="B11" t="s">
        <v>63</v>
      </c>
      <c r="K11" s="227">
        <v>4443</v>
      </c>
      <c r="L11" s="73"/>
      <c r="M11" s="73"/>
      <c r="N11" s="73"/>
      <c r="O11" s="73"/>
      <c r="P11" s="73"/>
      <c r="Q11" s="73">
        <v>2989</v>
      </c>
      <c r="R11" s="73">
        <f>SUM(K11:Q11)</f>
        <v>7432</v>
      </c>
    </row>
    <row r="12" spans="1:20">
      <c r="K12" s="93"/>
      <c r="L12" s="93"/>
      <c r="M12" s="93"/>
      <c r="N12" s="93"/>
      <c r="O12" s="93"/>
      <c r="P12" s="93"/>
      <c r="Q12" s="93"/>
      <c r="R12" s="93"/>
    </row>
    <row r="13" spans="1:20">
      <c r="A13" s="2"/>
      <c r="B13" s="2"/>
      <c r="C13" s="2"/>
      <c r="D13" s="2"/>
      <c r="E13" s="2" t="s">
        <v>64</v>
      </c>
      <c r="F13" s="3"/>
      <c r="G13" s="3"/>
      <c r="H13" s="3"/>
      <c r="I13" s="3"/>
      <c r="J13" s="3"/>
      <c r="K13" s="76">
        <f t="shared" ref="K13:R13" si="0">SUM(K7:K11)</f>
        <v>651094</v>
      </c>
      <c r="L13" s="76">
        <f t="shared" si="0"/>
        <v>612962</v>
      </c>
      <c r="M13" s="76">
        <f t="shared" si="0"/>
        <v>1065817</v>
      </c>
      <c r="N13" s="76">
        <f t="shared" si="0"/>
        <v>1494516</v>
      </c>
      <c r="O13" s="76">
        <f t="shared" si="0"/>
        <v>493056</v>
      </c>
      <c r="P13" s="76">
        <f t="shared" si="0"/>
        <v>268581</v>
      </c>
      <c r="Q13" s="76">
        <f t="shared" si="0"/>
        <v>3131653</v>
      </c>
      <c r="R13" s="76">
        <f t="shared" si="0"/>
        <v>7717679</v>
      </c>
      <c r="S13" s="3"/>
      <c r="T13" s="3"/>
    </row>
    <row r="14" spans="1:20">
      <c r="K14" s="73"/>
      <c r="L14" s="73"/>
      <c r="M14" s="73"/>
      <c r="N14" s="73"/>
      <c r="O14" s="73"/>
      <c r="P14" s="73"/>
      <c r="Q14" s="73"/>
      <c r="R14" s="73"/>
    </row>
    <row r="15" spans="1:20">
      <c r="A15" s="4" t="s">
        <v>19</v>
      </c>
      <c r="K15" s="73"/>
      <c r="L15" s="73"/>
      <c r="M15" s="73"/>
      <c r="N15" s="73"/>
      <c r="O15" s="73"/>
      <c r="P15" s="73"/>
      <c r="Q15" s="73"/>
      <c r="R15" s="73"/>
    </row>
    <row r="16" spans="1:20">
      <c r="B16" t="s">
        <v>20</v>
      </c>
      <c r="K16" s="73"/>
      <c r="L16" s="73"/>
      <c r="M16" s="73"/>
      <c r="N16" s="73"/>
      <c r="O16" s="73"/>
      <c r="P16" s="73"/>
      <c r="Q16" s="73"/>
      <c r="R16" s="73"/>
    </row>
    <row r="17" spans="1:20">
      <c r="C17" t="s">
        <v>21</v>
      </c>
      <c r="K17" s="77">
        <v>43891</v>
      </c>
      <c r="L17" s="73">
        <v>132980</v>
      </c>
      <c r="M17" s="73">
        <v>48187</v>
      </c>
      <c r="N17" s="61">
        <v>58319</v>
      </c>
      <c r="O17" s="73">
        <v>102505</v>
      </c>
      <c r="P17" s="73">
        <v>268581</v>
      </c>
      <c r="Q17" s="73">
        <v>170096</v>
      </c>
      <c r="R17" s="73">
        <f>SUM(K17:Q17)</f>
        <v>824559</v>
      </c>
    </row>
    <row r="18" spans="1:20">
      <c r="C18" t="s">
        <v>24</v>
      </c>
      <c r="K18" s="73"/>
      <c r="L18" s="73"/>
      <c r="M18" s="73"/>
      <c r="O18" s="73"/>
      <c r="P18" s="73"/>
      <c r="Q18" s="73">
        <v>48703</v>
      </c>
      <c r="R18" s="73">
        <f>SUM(K18:Q18)</f>
        <v>48703</v>
      </c>
    </row>
    <row r="19" spans="1:20">
      <c r="K19" s="93"/>
      <c r="L19" s="93"/>
      <c r="M19" s="93"/>
      <c r="N19" s="94"/>
      <c r="O19" s="93"/>
      <c r="P19" s="93"/>
      <c r="Q19" s="93"/>
      <c r="R19" s="93"/>
    </row>
    <row r="20" spans="1:20">
      <c r="A20" s="5"/>
      <c r="B20" s="6"/>
      <c r="C20" s="6"/>
      <c r="D20" s="6"/>
      <c r="E20" s="6" t="s">
        <v>26</v>
      </c>
      <c r="F20" s="5"/>
      <c r="G20" s="5"/>
      <c r="H20" s="5"/>
      <c r="I20" s="5"/>
      <c r="J20" s="5"/>
      <c r="K20" s="79">
        <f t="shared" ref="K20:R20" si="1">SUM(K17:K18)</f>
        <v>43891</v>
      </c>
      <c r="L20" s="79">
        <f t="shared" si="1"/>
        <v>132980</v>
      </c>
      <c r="M20" s="79">
        <f t="shared" si="1"/>
        <v>48187</v>
      </c>
      <c r="N20" s="79">
        <f t="shared" si="1"/>
        <v>58319</v>
      </c>
      <c r="O20" s="79">
        <f t="shared" si="1"/>
        <v>102505</v>
      </c>
      <c r="P20" s="79">
        <f t="shared" si="1"/>
        <v>268581</v>
      </c>
      <c r="Q20" s="79">
        <f t="shared" si="1"/>
        <v>218799</v>
      </c>
      <c r="R20" s="79">
        <f t="shared" si="1"/>
        <v>873262</v>
      </c>
      <c r="S20" s="5"/>
      <c r="T20" s="5"/>
    </row>
    <row r="21" spans="1:20">
      <c r="K21" s="73"/>
      <c r="L21" s="73"/>
      <c r="M21" s="73"/>
      <c r="N21" s="73"/>
      <c r="O21" s="73"/>
      <c r="P21" s="73"/>
      <c r="Q21" s="73"/>
      <c r="R21" s="73"/>
    </row>
    <row r="22" spans="1:20">
      <c r="A22" s="71" t="s">
        <v>65</v>
      </c>
      <c r="K22" s="73"/>
      <c r="L22" s="73"/>
      <c r="M22" s="73"/>
      <c r="N22" s="73"/>
      <c r="O22" s="73"/>
      <c r="P22" s="73"/>
      <c r="Q22" s="73"/>
      <c r="R22" s="73"/>
    </row>
    <row r="23" spans="1:20">
      <c r="C23" t="s">
        <v>66</v>
      </c>
      <c r="K23" s="85">
        <v>29082</v>
      </c>
      <c r="L23" s="85"/>
      <c r="M23" s="85">
        <v>50116</v>
      </c>
      <c r="N23" s="85">
        <v>59851</v>
      </c>
      <c r="O23" s="85"/>
      <c r="P23" s="85"/>
      <c r="Q23" s="85">
        <v>206210</v>
      </c>
      <c r="R23" s="85">
        <f>SUM(K23:Q23)</f>
        <v>345259</v>
      </c>
    </row>
    <row r="24" spans="1:20">
      <c r="K24" s="73"/>
      <c r="L24" s="73"/>
      <c r="M24" s="73"/>
      <c r="N24" s="73"/>
      <c r="O24" s="73"/>
      <c r="P24" s="73"/>
      <c r="Q24" s="73"/>
      <c r="R24" s="73"/>
    </row>
    <row r="25" spans="1:20">
      <c r="A25" s="5"/>
      <c r="B25" s="6"/>
      <c r="C25" s="6"/>
      <c r="D25" s="6"/>
      <c r="E25" s="6" t="s">
        <v>29</v>
      </c>
      <c r="F25" s="5"/>
      <c r="G25" s="5"/>
      <c r="H25" s="5"/>
      <c r="I25" s="5"/>
      <c r="J25" s="5"/>
      <c r="K25" s="79">
        <f t="shared" ref="K25:R25" si="2">SUM(K23:K23)</f>
        <v>29082</v>
      </c>
      <c r="L25" s="79">
        <f t="shared" si="2"/>
        <v>0</v>
      </c>
      <c r="M25" s="79">
        <f t="shared" si="2"/>
        <v>50116</v>
      </c>
      <c r="N25" s="79">
        <f t="shared" si="2"/>
        <v>59851</v>
      </c>
      <c r="O25" s="79">
        <f t="shared" si="2"/>
        <v>0</v>
      </c>
      <c r="P25" s="79">
        <f t="shared" si="2"/>
        <v>0</v>
      </c>
      <c r="Q25" s="79">
        <f t="shared" si="2"/>
        <v>206210</v>
      </c>
      <c r="R25" s="79">
        <f t="shared" si="2"/>
        <v>345259</v>
      </c>
      <c r="S25" s="5"/>
      <c r="T25" s="5"/>
    </row>
    <row r="26" spans="1:20">
      <c r="K26" s="73"/>
      <c r="L26" s="73"/>
      <c r="M26" s="73"/>
      <c r="N26" s="73"/>
      <c r="O26" s="73"/>
      <c r="P26" s="73"/>
      <c r="Q26" s="73"/>
      <c r="R26" s="73"/>
    </row>
    <row r="27" spans="1:20">
      <c r="B27" t="s">
        <v>30</v>
      </c>
      <c r="K27" s="73"/>
      <c r="L27" s="73"/>
      <c r="M27" s="73"/>
      <c r="N27" s="73"/>
      <c r="O27" s="73"/>
      <c r="P27" s="73"/>
      <c r="Q27" s="73"/>
      <c r="R27" s="73"/>
    </row>
    <row r="28" spans="1:20">
      <c r="C28" t="s">
        <v>67</v>
      </c>
      <c r="K28" s="80">
        <v>4443</v>
      </c>
      <c r="L28" s="73"/>
      <c r="M28" s="73"/>
      <c r="N28" s="73"/>
      <c r="O28" s="73"/>
      <c r="P28" s="73"/>
      <c r="Q28" s="73">
        <v>2989</v>
      </c>
      <c r="R28" s="73">
        <f>SUM(K28:Q28)</f>
        <v>7432</v>
      </c>
    </row>
    <row r="29" spans="1:20">
      <c r="C29" t="s">
        <v>68</v>
      </c>
      <c r="K29" s="73"/>
      <c r="L29" s="73"/>
      <c r="M29" s="73"/>
      <c r="N29" s="73"/>
      <c r="O29" s="73"/>
      <c r="P29" s="73"/>
      <c r="Q29" s="73">
        <v>45179</v>
      </c>
      <c r="R29" s="73">
        <f>SUM(K29:Q29)</f>
        <v>45179</v>
      </c>
    </row>
    <row r="30" spans="1:20">
      <c r="C30" t="s">
        <v>69</v>
      </c>
      <c r="K30" s="73"/>
      <c r="L30" s="73"/>
      <c r="M30" s="73"/>
      <c r="N30" s="73"/>
      <c r="O30" s="73"/>
      <c r="P30" s="73"/>
      <c r="Q30" s="73"/>
      <c r="R30" s="73"/>
    </row>
    <row r="31" spans="1:20">
      <c r="D31" t="s">
        <v>70</v>
      </c>
      <c r="K31" s="73"/>
      <c r="L31" s="73"/>
      <c r="M31" s="73"/>
      <c r="N31" s="73"/>
      <c r="O31" s="73"/>
      <c r="P31" s="73"/>
      <c r="Q31" s="73">
        <v>611041</v>
      </c>
      <c r="R31" s="73">
        <f t="shared" ref="R31:R44" si="3">SUM(K31:Q31)</f>
        <v>611041</v>
      </c>
    </row>
    <row r="32" spans="1:20">
      <c r="D32" t="s">
        <v>71</v>
      </c>
      <c r="K32" s="73"/>
      <c r="L32" s="73"/>
      <c r="M32" s="73"/>
      <c r="N32" s="73"/>
      <c r="O32" s="73"/>
      <c r="P32" s="73"/>
      <c r="Q32" s="73">
        <v>634469</v>
      </c>
      <c r="R32" s="73">
        <f t="shared" si="3"/>
        <v>634469</v>
      </c>
    </row>
    <row r="33" spans="1:20">
      <c r="D33" t="s">
        <v>72</v>
      </c>
      <c r="K33" s="73"/>
      <c r="L33" s="73"/>
      <c r="M33" s="73">
        <v>967514</v>
      </c>
      <c r="N33" s="73">
        <v>1376346</v>
      </c>
      <c r="O33" s="73"/>
      <c r="P33" s="73"/>
      <c r="Q33" s="73">
        <v>1157545</v>
      </c>
      <c r="R33" s="73">
        <f t="shared" si="3"/>
        <v>3501405</v>
      </c>
    </row>
    <row r="34" spans="1:20">
      <c r="D34" t="s">
        <v>45</v>
      </c>
      <c r="K34" s="73"/>
      <c r="L34" s="73">
        <v>479982</v>
      </c>
      <c r="M34" s="73"/>
      <c r="N34" s="73"/>
      <c r="O34" s="73"/>
      <c r="P34" s="73"/>
      <c r="Q34" s="73"/>
      <c r="R34" s="73">
        <f t="shared" si="3"/>
        <v>479982</v>
      </c>
    </row>
    <row r="35" spans="1:20">
      <c r="D35" t="s">
        <v>73</v>
      </c>
      <c r="K35" s="73"/>
      <c r="L35" s="73"/>
      <c r="M35" s="73"/>
      <c r="N35" s="73"/>
      <c r="O35" s="73">
        <v>390551</v>
      </c>
      <c r="P35" s="73"/>
      <c r="Q35" s="73"/>
      <c r="R35" s="73">
        <f t="shared" si="3"/>
        <v>390551</v>
      </c>
    </row>
    <row r="36" spans="1:20">
      <c r="D36" t="s">
        <v>44</v>
      </c>
      <c r="K36" s="73"/>
      <c r="L36" s="73"/>
      <c r="M36" s="73"/>
      <c r="N36" s="73"/>
      <c r="O36" s="73"/>
      <c r="P36" s="73"/>
      <c r="Q36" s="73">
        <v>53723</v>
      </c>
      <c r="R36" s="73">
        <f t="shared" si="3"/>
        <v>53723</v>
      </c>
    </row>
    <row r="37" spans="1:20">
      <c r="D37" t="s">
        <v>74</v>
      </c>
      <c r="K37" s="73"/>
      <c r="L37" s="73"/>
      <c r="M37" s="73"/>
      <c r="N37" s="73"/>
      <c r="O37" s="73"/>
      <c r="P37" s="73"/>
      <c r="Q37" s="73"/>
      <c r="R37" s="73">
        <f t="shared" si="3"/>
        <v>0</v>
      </c>
    </row>
    <row r="38" spans="1:20">
      <c r="C38" t="s">
        <v>75</v>
      </c>
      <c r="K38" s="73"/>
      <c r="L38" s="73"/>
      <c r="M38" s="73"/>
      <c r="N38" s="73"/>
      <c r="O38" s="73"/>
      <c r="P38" s="73"/>
      <c r="Q38" s="73"/>
      <c r="R38" s="73">
        <f t="shared" si="3"/>
        <v>0</v>
      </c>
    </row>
    <row r="39" spans="1:20">
      <c r="D39" t="s">
        <v>71</v>
      </c>
      <c r="K39" s="73"/>
      <c r="L39" s="73"/>
      <c r="M39" s="73"/>
      <c r="N39" s="73"/>
      <c r="O39" s="73"/>
      <c r="P39" s="73"/>
      <c r="Q39" s="73"/>
      <c r="R39" s="73">
        <f t="shared" si="3"/>
        <v>0</v>
      </c>
    </row>
    <row r="40" spans="1:20" ht="14.25" customHeight="1">
      <c r="C40" t="s">
        <v>43</v>
      </c>
      <c r="K40" s="73"/>
      <c r="L40" s="73"/>
      <c r="M40" s="73"/>
      <c r="N40" s="73"/>
      <c r="O40" s="73"/>
      <c r="P40" s="73"/>
      <c r="Q40" s="73"/>
      <c r="R40" s="73">
        <f t="shared" si="3"/>
        <v>0</v>
      </c>
    </row>
    <row r="41" spans="1:20">
      <c r="D41" t="s">
        <v>71</v>
      </c>
      <c r="K41" s="90"/>
      <c r="L41" s="73"/>
      <c r="M41" s="73"/>
      <c r="N41" s="73"/>
      <c r="O41" s="73"/>
      <c r="P41" s="73"/>
      <c r="Q41" s="73"/>
      <c r="R41" s="73">
        <f t="shared" si="3"/>
        <v>0</v>
      </c>
    </row>
    <row r="42" spans="1:20">
      <c r="D42" t="s">
        <v>72</v>
      </c>
      <c r="K42" s="90"/>
      <c r="L42" s="73"/>
      <c r="M42" s="73"/>
      <c r="N42" s="73"/>
      <c r="O42" s="73"/>
      <c r="P42" s="73"/>
      <c r="Q42" s="73"/>
      <c r="R42" s="73">
        <f t="shared" si="3"/>
        <v>0</v>
      </c>
    </row>
    <row r="43" spans="1:20">
      <c r="C43" t="s">
        <v>76</v>
      </c>
      <c r="K43" s="73"/>
      <c r="L43" s="73"/>
      <c r="M43" s="73"/>
      <c r="N43" s="73"/>
      <c r="O43" s="73"/>
      <c r="P43" s="73"/>
      <c r="Q43" s="73"/>
      <c r="R43" s="73">
        <f t="shared" si="3"/>
        <v>0</v>
      </c>
    </row>
    <row r="44" spans="1:20">
      <c r="C44" t="s">
        <v>77</v>
      </c>
      <c r="K44" s="84">
        <v>573678</v>
      </c>
      <c r="L44" s="73"/>
      <c r="M44" s="73"/>
      <c r="N44" s="73"/>
      <c r="O44" s="73"/>
      <c r="P44" s="73"/>
      <c r="Q44" s="73">
        <v>201698</v>
      </c>
      <c r="R44" s="73">
        <f t="shared" si="3"/>
        <v>775376</v>
      </c>
    </row>
    <row r="45" spans="1:20">
      <c r="K45" s="93"/>
      <c r="L45" s="93"/>
      <c r="M45" s="93"/>
      <c r="N45" s="93"/>
      <c r="O45" s="93"/>
      <c r="P45" s="93"/>
      <c r="Q45" s="93"/>
      <c r="R45" s="93"/>
    </row>
    <row r="46" spans="1:20">
      <c r="A46" s="5"/>
      <c r="B46" s="5"/>
      <c r="C46" s="5"/>
      <c r="D46" s="6"/>
      <c r="E46" s="6" t="s">
        <v>78</v>
      </c>
      <c r="F46" s="5"/>
      <c r="G46" s="5"/>
      <c r="H46" s="5"/>
      <c r="I46" s="5"/>
      <c r="J46" s="5"/>
      <c r="K46" s="79">
        <f t="shared" ref="K46:R46" si="4">SUM(K28:K44)</f>
        <v>578121</v>
      </c>
      <c r="L46" s="79">
        <f t="shared" si="4"/>
        <v>479982</v>
      </c>
      <c r="M46" s="79">
        <f t="shared" si="4"/>
        <v>967514</v>
      </c>
      <c r="N46" s="79">
        <f t="shared" si="4"/>
        <v>1376346</v>
      </c>
      <c r="O46" s="79">
        <f t="shared" si="4"/>
        <v>390551</v>
      </c>
      <c r="P46" s="79">
        <f t="shared" si="4"/>
        <v>0</v>
      </c>
      <c r="Q46" s="79">
        <f t="shared" si="4"/>
        <v>2706644</v>
      </c>
      <c r="R46" s="79">
        <f t="shared" si="4"/>
        <v>6499158</v>
      </c>
      <c r="S46" s="5"/>
      <c r="T46" s="5"/>
    </row>
    <row r="47" spans="1:20">
      <c r="K47" s="73"/>
      <c r="L47" s="73"/>
      <c r="M47" s="73"/>
      <c r="N47" s="73"/>
      <c r="O47" s="73"/>
      <c r="P47" s="73"/>
      <c r="Q47" s="73"/>
      <c r="R47" s="73"/>
    </row>
    <row r="48" spans="1:20">
      <c r="A48" s="7"/>
      <c r="B48" s="7"/>
      <c r="C48" s="7"/>
      <c r="D48" s="8"/>
      <c r="E48" s="8" t="s">
        <v>79</v>
      </c>
      <c r="F48" s="7"/>
      <c r="G48" s="7"/>
      <c r="H48" s="7"/>
      <c r="I48" s="7"/>
      <c r="J48" s="7"/>
      <c r="K48" s="81">
        <f t="shared" ref="K48:R48" si="5">K46+K25+K20</f>
        <v>651094</v>
      </c>
      <c r="L48" s="81">
        <f t="shared" si="5"/>
        <v>612962</v>
      </c>
      <c r="M48" s="81">
        <f t="shared" si="5"/>
        <v>1065817</v>
      </c>
      <c r="N48" s="81">
        <f t="shared" si="5"/>
        <v>1494516</v>
      </c>
      <c r="O48" s="81">
        <f t="shared" si="5"/>
        <v>493056</v>
      </c>
      <c r="P48" s="81">
        <f t="shared" si="5"/>
        <v>268581</v>
      </c>
      <c r="Q48" s="81">
        <f t="shared" si="5"/>
        <v>3131653</v>
      </c>
      <c r="R48" s="81">
        <f t="shared" si="5"/>
        <v>7717679</v>
      </c>
      <c r="S48" s="7"/>
      <c r="T48" s="7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7"/>
  <sheetViews>
    <sheetView topLeftCell="A16" workbookViewId="0">
      <selection activeCell="O60" sqref="O60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8.4257812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4" width="16.42578125" customWidth="1"/>
    <col min="15" max="15" width="18" customWidth="1"/>
    <col min="16" max="16" width="17.28515625" customWidth="1"/>
  </cols>
  <sheetData>
    <row r="1" spans="1:16" ht="18.75">
      <c r="D1" s="253" t="s">
        <v>80</v>
      </c>
      <c r="E1" s="253"/>
      <c r="F1" s="253"/>
      <c r="G1" s="253"/>
      <c r="H1" s="253"/>
      <c r="I1" s="253"/>
      <c r="J1" s="253"/>
      <c r="K1" s="253"/>
    </row>
    <row r="2" spans="1:16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6" ht="45.75" customHeight="1">
      <c r="K4" s="1" t="s">
        <v>2</v>
      </c>
      <c r="L4" s="1" t="s">
        <v>81</v>
      </c>
      <c r="M4" s="1" t="s">
        <v>82</v>
      </c>
      <c r="N4" s="1" t="s">
        <v>83</v>
      </c>
      <c r="O4" s="1" t="s">
        <v>84</v>
      </c>
      <c r="P4" s="1" t="s">
        <v>7</v>
      </c>
    </row>
    <row r="5" spans="1:16">
      <c r="A5" t="s">
        <v>8</v>
      </c>
    </row>
    <row r="6" spans="1:16">
      <c r="B6" t="s">
        <v>85</v>
      </c>
      <c r="K6" s="72">
        <v>5648893</v>
      </c>
      <c r="L6" s="73">
        <v>5955781</v>
      </c>
      <c r="M6" s="73">
        <v>3389546</v>
      </c>
      <c r="N6" s="73">
        <v>2002929</v>
      </c>
      <c r="O6" s="73">
        <v>14260482</v>
      </c>
      <c r="P6" s="73">
        <f>SUM(K6:O6)</f>
        <v>31257631</v>
      </c>
    </row>
    <row r="7" spans="1:16">
      <c r="B7" t="s">
        <v>10</v>
      </c>
      <c r="K7" s="77">
        <v>28724249</v>
      </c>
      <c r="L7" s="73">
        <v>28865877</v>
      </c>
      <c r="M7" s="73">
        <v>16841615</v>
      </c>
      <c r="N7" s="73">
        <v>26025996</v>
      </c>
      <c r="O7" s="73">
        <v>30077557</v>
      </c>
      <c r="P7" s="73">
        <f>SUM(K7:O7)</f>
        <v>130535294</v>
      </c>
    </row>
    <row r="8" spans="1:16">
      <c r="B8" t="s">
        <v>86</v>
      </c>
      <c r="K8" s="73"/>
      <c r="L8" s="73"/>
      <c r="M8" s="73"/>
      <c r="N8" s="73"/>
      <c r="O8" s="73"/>
      <c r="P8" s="73"/>
    </row>
    <row r="9" spans="1:16">
      <c r="C9" t="s">
        <v>87</v>
      </c>
      <c r="K9" s="74">
        <v>4324287</v>
      </c>
      <c r="L9" s="73">
        <v>5376980</v>
      </c>
      <c r="M9" s="73"/>
      <c r="N9" s="73"/>
      <c r="O9" s="73">
        <v>20255720</v>
      </c>
      <c r="P9" s="73">
        <f>SUM(K9:O9)</f>
        <v>29956987</v>
      </c>
    </row>
    <row r="10" spans="1:16">
      <c r="C10" t="s">
        <v>88</v>
      </c>
      <c r="K10" s="74">
        <v>3556195</v>
      </c>
      <c r="L10" s="73">
        <v>1122416</v>
      </c>
      <c r="M10" s="73"/>
      <c r="N10" s="73"/>
      <c r="O10" s="73"/>
      <c r="P10" s="73">
        <f>SUM(K10:O10)</f>
        <v>4678611</v>
      </c>
    </row>
    <row r="11" spans="1:16">
      <c r="C11" t="s">
        <v>47</v>
      </c>
      <c r="K11" s="74">
        <v>597421</v>
      </c>
      <c r="L11" s="73">
        <v>86292</v>
      </c>
      <c r="M11" s="73">
        <v>46714</v>
      </c>
      <c r="N11" s="73">
        <v>27604</v>
      </c>
      <c r="O11" s="73">
        <v>325909</v>
      </c>
      <c r="P11" s="73">
        <f>SUM(K11:O11)</f>
        <v>1083940</v>
      </c>
    </row>
    <row r="12" spans="1:16">
      <c r="B12" t="s">
        <v>61</v>
      </c>
      <c r="K12" s="73"/>
      <c r="L12" s="73"/>
      <c r="M12" s="73"/>
      <c r="N12" s="73"/>
      <c r="O12" s="73"/>
      <c r="P12" s="73"/>
    </row>
    <row r="13" spans="1:16">
      <c r="C13" t="s">
        <v>89</v>
      </c>
      <c r="K13" s="75">
        <v>89772</v>
      </c>
      <c r="L13" s="73">
        <v>156822</v>
      </c>
      <c r="M13" s="73"/>
      <c r="N13" s="73"/>
      <c r="O13" s="73">
        <v>642656</v>
      </c>
      <c r="P13" s="73">
        <f>SUM(K13:O13)</f>
        <v>889250</v>
      </c>
    </row>
    <row r="14" spans="1:16">
      <c r="C14" t="s">
        <v>90</v>
      </c>
      <c r="K14" s="75">
        <v>21378</v>
      </c>
      <c r="L14" s="73"/>
      <c r="M14" s="73"/>
      <c r="N14" s="73"/>
      <c r="O14" s="73"/>
      <c r="P14" s="73">
        <f t="shared" ref="P14:P17" si="0">SUM(K14:O14)</f>
        <v>21378</v>
      </c>
    </row>
    <row r="15" spans="1:16">
      <c r="C15" t="s">
        <v>91</v>
      </c>
      <c r="K15" s="75">
        <v>18569</v>
      </c>
      <c r="L15" s="73"/>
      <c r="M15" s="73"/>
      <c r="N15" s="73"/>
      <c r="O15" s="73"/>
      <c r="P15" s="73">
        <f t="shared" si="0"/>
        <v>18569</v>
      </c>
    </row>
    <row r="16" spans="1:16">
      <c r="C16" t="s">
        <v>92</v>
      </c>
      <c r="K16" s="75">
        <v>1096579</v>
      </c>
      <c r="L16" s="73">
        <v>244823</v>
      </c>
      <c r="M16" s="73">
        <v>52620</v>
      </c>
      <c r="N16" s="73"/>
      <c r="O16" s="73">
        <v>3016465</v>
      </c>
      <c r="P16" s="73">
        <f t="shared" si="0"/>
        <v>4410487</v>
      </c>
    </row>
    <row r="17" spans="1:16">
      <c r="B17" t="s">
        <v>16</v>
      </c>
      <c r="K17" s="75">
        <v>10</v>
      </c>
      <c r="L17" s="73">
        <v>117437</v>
      </c>
      <c r="M17" s="73">
        <v>653664</v>
      </c>
      <c r="N17" s="73"/>
      <c r="O17" s="73">
        <v>1067499</v>
      </c>
      <c r="P17" s="73">
        <f t="shared" si="0"/>
        <v>1838610</v>
      </c>
    </row>
    <row r="18" spans="1:16">
      <c r="B18" t="s">
        <v>93</v>
      </c>
      <c r="K18" s="228">
        <v>500</v>
      </c>
      <c r="L18" s="73"/>
      <c r="M18" s="73"/>
      <c r="N18" s="73"/>
      <c r="O18" s="73">
        <v>94092</v>
      </c>
      <c r="P18" s="73">
        <f>SUM(K18:O18)</f>
        <v>94592</v>
      </c>
    </row>
    <row r="19" spans="1:16">
      <c r="K19" s="73"/>
      <c r="L19" s="73"/>
      <c r="M19" s="73"/>
      <c r="N19" s="73"/>
      <c r="O19" s="73"/>
      <c r="P19" s="73"/>
    </row>
    <row r="20" spans="1:16" s="3" customFormat="1">
      <c r="A20" s="2"/>
      <c r="B20" s="2"/>
      <c r="C20" s="2"/>
      <c r="D20" s="2"/>
      <c r="E20" s="2" t="s">
        <v>18</v>
      </c>
      <c r="K20" s="76">
        <f t="shared" ref="K20:P20" si="1">SUM(K6:K18)</f>
        <v>44077853</v>
      </c>
      <c r="L20" s="76">
        <f t="shared" si="1"/>
        <v>41926428</v>
      </c>
      <c r="M20" s="76">
        <f t="shared" si="1"/>
        <v>20984159</v>
      </c>
      <c r="N20" s="76">
        <f t="shared" si="1"/>
        <v>28056529</v>
      </c>
      <c r="O20" s="76">
        <f t="shared" si="1"/>
        <v>69740380</v>
      </c>
      <c r="P20" s="76">
        <f t="shared" si="1"/>
        <v>204785349</v>
      </c>
    </row>
    <row r="21" spans="1:16">
      <c r="K21" s="73"/>
      <c r="L21" s="73"/>
      <c r="M21" s="73"/>
      <c r="N21" s="73"/>
      <c r="O21" s="73"/>
      <c r="P21" s="73"/>
    </row>
    <row r="22" spans="1:16">
      <c r="A22" s="4" t="s">
        <v>94</v>
      </c>
      <c r="K22" s="73"/>
      <c r="L22" s="73"/>
      <c r="M22" s="73"/>
      <c r="N22" s="73"/>
      <c r="O22" s="73"/>
      <c r="P22" s="73"/>
    </row>
    <row r="23" spans="1:16">
      <c r="B23" t="s">
        <v>20</v>
      </c>
      <c r="K23" s="73"/>
      <c r="L23" s="73"/>
      <c r="M23" s="73"/>
      <c r="N23" s="73"/>
      <c r="O23" s="73"/>
      <c r="P23" s="73"/>
    </row>
    <row r="24" spans="1:16">
      <c r="C24" t="s">
        <v>21</v>
      </c>
      <c r="K24" s="77">
        <v>591306</v>
      </c>
      <c r="L24" s="73">
        <v>298191</v>
      </c>
      <c r="M24" s="73"/>
      <c r="N24" s="73"/>
      <c r="O24" s="73">
        <v>637675</v>
      </c>
      <c r="P24" s="73">
        <f>SUM(K24:O24)</f>
        <v>1527172</v>
      </c>
    </row>
    <row r="25" spans="1:16">
      <c r="C25" t="s">
        <v>95</v>
      </c>
      <c r="K25" s="77">
        <v>40170</v>
      </c>
      <c r="L25" s="73">
        <v>146229</v>
      </c>
      <c r="M25" s="73">
        <v>1403928</v>
      </c>
      <c r="N25" s="73">
        <v>1304357</v>
      </c>
      <c r="O25" s="73">
        <v>2212013</v>
      </c>
      <c r="P25" s="73">
        <f t="shared" ref="P25:P32" si="2">SUM(K25:O25)</f>
        <v>5106697</v>
      </c>
    </row>
    <row r="26" spans="1:16">
      <c r="C26" t="s">
        <v>96</v>
      </c>
      <c r="K26" s="82">
        <v>276060</v>
      </c>
      <c r="L26" s="73">
        <v>97188</v>
      </c>
      <c r="M26" s="73"/>
      <c r="N26" s="73"/>
      <c r="O26" s="73">
        <v>302062</v>
      </c>
      <c r="P26" s="73">
        <f t="shared" si="2"/>
        <v>675310</v>
      </c>
    </row>
    <row r="27" spans="1:16">
      <c r="C27" t="s">
        <v>97</v>
      </c>
      <c r="L27" s="73"/>
      <c r="M27" s="73"/>
      <c r="N27" s="73"/>
      <c r="O27" s="73"/>
      <c r="P27" s="73">
        <f t="shared" si="2"/>
        <v>0</v>
      </c>
    </row>
    <row r="28" spans="1:16">
      <c r="D28" t="s">
        <v>98</v>
      </c>
      <c r="K28" s="82">
        <v>142818</v>
      </c>
      <c r="L28" s="73">
        <v>177439</v>
      </c>
      <c r="M28" s="73"/>
      <c r="N28" s="73"/>
      <c r="O28" s="73">
        <v>670974</v>
      </c>
      <c r="P28" s="73">
        <f t="shared" si="2"/>
        <v>991231</v>
      </c>
    </row>
    <row r="29" spans="1:16">
      <c r="C29" t="s">
        <v>25</v>
      </c>
      <c r="K29" s="78">
        <v>1838600</v>
      </c>
      <c r="L29" s="73"/>
      <c r="M29" s="73"/>
      <c r="N29" s="73"/>
      <c r="O29" s="73">
        <v>5</v>
      </c>
      <c r="P29" s="73">
        <f t="shared" si="2"/>
        <v>1838605</v>
      </c>
    </row>
    <row r="30" spans="1:16">
      <c r="C30" t="s">
        <v>99</v>
      </c>
      <c r="K30" s="78">
        <v>2500</v>
      </c>
      <c r="L30" s="73">
        <v>269707</v>
      </c>
      <c r="M30" s="73"/>
      <c r="N30" s="73"/>
      <c r="O30" s="73">
        <v>200000</v>
      </c>
      <c r="P30" s="73">
        <f t="shared" si="2"/>
        <v>472207</v>
      </c>
    </row>
    <row r="31" spans="1:16">
      <c r="C31" t="s">
        <v>100</v>
      </c>
      <c r="K31" s="82">
        <v>4759700</v>
      </c>
      <c r="L31" s="73"/>
      <c r="M31" s="73"/>
      <c r="N31" s="73"/>
      <c r="O31" s="73"/>
      <c r="P31" s="73">
        <f t="shared" si="2"/>
        <v>4759700</v>
      </c>
    </row>
    <row r="32" spans="1:16">
      <c r="C32" t="s">
        <v>24</v>
      </c>
      <c r="L32" s="73"/>
      <c r="M32" s="73"/>
      <c r="N32" s="73"/>
      <c r="O32" s="73">
        <v>414404</v>
      </c>
      <c r="P32" s="73">
        <f t="shared" si="2"/>
        <v>414404</v>
      </c>
    </row>
    <row r="33" spans="1:16">
      <c r="K33" s="73"/>
      <c r="L33" s="73"/>
      <c r="M33" s="73"/>
      <c r="N33" s="73"/>
      <c r="O33" s="73"/>
      <c r="P33" s="73"/>
    </row>
    <row r="34" spans="1:16" s="5" customFormat="1">
      <c r="B34" s="6"/>
      <c r="C34" s="6"/>
      <c r="D34" s="6"/>
      <c r="E34" s="6" t="s">
        <v>26</v>
      </c>
      <c r="K34" s="79">
        <f t="shared" ref="K34:P34" si="3">SUM(K24:K32)</f>
        <v>7651154</v>
      </c>
      <c r="L34" s="79">
        <f t="shared" si="3"/>
        <v>988754</v>
      </c>
      <c r="M34" s="79">
        <f t="shared" si="3"/>
        <v>1403928</v>
      </c>
      <c r="N34" s="79">
        <f t="shared" si="3"/>
        <v>1304357</v>
      </c>
      <c r="O34" s="79">
        <f t="shared" si="3"/>
        <v>4437133</v>
      </c>
      <c r="P34" s="79">
        <f t="shared" si="3"/>
        <v>15785326</v>
      </c>
    </row>
    <row r="35" spans="1:16">
      <c r="K35" s="73"/>
      <c r="L35" s="73"/>
      <c r="M35" s="73"/>
      <c r="N35" s="73"/>
      <c r="O35" s="73"/>
      <c r="P35" s="73"/>
    </row>
    <row r="36" spans="1:16">
      <c r="A36" s="71" t="s">
        <v>27</v>
      </c>
      <c r="K36" s="73"/>
      <c r="L36" s="73"/>
      <c r="M36" s="73"/>
      <c r="N36" s="73"/>
      <c r="O36" s="73"/>
      <c r="P36" s="73"/>
    </row>
    <row r="37" spans="1:16">
      <c r="A37" s="71"/>
      <c r="B37" t="s">
        <v>101</v>
      </c>
      <c r="K37" s="85">
        <v>209419</v>
      </c>
      <c r="L37" s="85">
        <v>304</v>
      </c>
      <c r="M37" s="85">
        <v>52620</v>
      </c>
      <c r="N37" s="85"/>
      <c r="O37" s="85">
        <v>1489747</v>
      </c>
      <c r="P37" s="85">
        <f>SUM(K37:O37)</f>
        <v>1752090</v>
      </c>
    </row>
    <row r="38" spans="1:16">
      <c r="K38" s="73"/>
      <c r="L38" s="73"/>
      <c r="M38" s="73"/>
      <c r="N38" s="73"/>
      <c r="O38" s="73"/>
      <c r="P38" s="73"/>
    </row>
    <row r="39" spans="1:16" s="5" customFormat="1">
      <c r="B39" s="6"/>
      <c r="C39" s="6"/>
      <c r="D39" s="6"/>
      <c r="E39" s="6" t="s">
        <v>102</v>
      </c>
      <c r="K39" s="79">
        <f t="shared" ref="K39:P39" si="4">SUM(K37:K37)</f>
        <v>209419</v>
      </c>
      <c r="L39" s="79">
        <f t="shared" si="4"/>
        <v>304</v>
      </c>
      <c r="M39" s="79">
        <f t="shared" si="4"/>
        <v>52620</v>
      </c>
      <c r="N39" s="79">
        <f t="shared" si="4"/>
        <v>0</v>
      </c>
      <c r="O39" s="79">
        <f t="shared" si="4"/>
        <v>1489747</v>
      </c>
      <c r="P39" s="79">
        <f t="shared" si="4"/>
        <v>1752090</v>
      </c>
    </row>
    <row r="40" spans="1:16">
      <c r="K40" s="73"/>
      <c r="L40" s="73"/>
      <c r="M40" s="73"/>
      <c r="N40" s="73"/>
      <c r="O40" s="73"/>
      <c r="P40" s="73"/>
    </row>
    <row r="41" spans="1:16">
      <c r="B41" t="s">
        <v>103</v>
      </c>
      <c r="K41" s="73"/>
      <c r="L41" s="73"/>
      <c r="M41" s="73"/>
      <c r="N41" s="73"/>
      <c r="O41" s="73"/>
      <c r="P41" s="73"/>
    </row>
    <row r="42" spans="1:16">
      <c r="C42" t="s">
        <v>104</v>
      </c>
      <c r="K42" s="73"/>
      <c r="L42" s="73"/>
      <c r="M42" s="73"/>
      <c r="N42" s="73"/>
      <c r="O42" s="73">
        <v>94092</v>
      </c>
      <c r="P42" s="73">
        <f>SUM(K42:O42)</f>
        <v>94092</v>
      </c>
    </row>
    <row r="43" spans="1:16">
      <c r="C43" t="s">
        <v>31</v>
      </c>
      <c r="K43" s="73"/>
      <c r="L43" s="73"/>
      <c r="M43" s="73"/>
      <c r="N43" s="73"/>
      <c r="O43" s="73"/>
      <c r="P43" s="73"/>
    </row>
    <row r="44" spans="1:16">
      <c r="D44" t="s">
        <v>105</v>
      </c>
      <c r="L44" s="73"/>
      <c r="M44" s="73">
        <v>2986717</v>
      </c>
      <c r="N44" s="73">
        <v>26752172</v>
      </c>
      <c r="O44" s="73">
        <v>9535502</v>
      </c>
      <c r="P44" s="73">
        <f t="shared" ref="P44:P53" si="5">SUM(K44:O44)</f>
        <v>39274391</v>
      </c>
    </row>
    <row r="45" spans="1:16">
      <c r="D45" t="s">
        <v>74</v>
      </c>
      <c r="L45" s="73"/>
      <c r="M45" s="73"/>
      <c r="N45" s="73"/>
      <c r="O45" s="73">
        <v>2528147</v>
      </c>
      <c r="P45" s="73">
        <f t="shared" si="5"/>
        <v>2528147</v>
      </c>
    </row>
    <row r="46" spans="1:16">
      <c r="D46" t="s">
        <v>106</v>
      </c>
      <c r="L46" s="73"/>
      <c r="M46" s="73"/>
      <c r="N46" s="73"/>
      <c r="O46" s="73">
        <v>19779144</v>
      </c>
      <c r="P46" s="73">
        <f t="shared" si="5"/>
        <v>19779144</v>
      </c>
    </row>
    <row r="47" spans="1:16">
      <c r="D47" t="s">
        <v>107</v>
      </c>
      <c r="L47" s="73">
        <v>36090453</v>
      </c>
      <c r="M47" s="73"/>
      <c r="N47" s="73"/>
      <c r="O47" s="73">
        <v>1534322</v>
      </c>
      <c r="P47" s="73">
        <f t="shared" si="5"/>
        <v>37624775</v>
      </c>
    </row>
    <row r="48" spans="1:16">
      <c r="D48" t="s">
        <v>108</v>
      </c>
      <c r="L48" s="73"/>
      <c r="M48" s="73"/>
      <c r="N48" s="73"/>
      <c r="O48" s="73">
        <v>3697885</v>
      </c>
      <c r="P48" s="73">
        <f t="shared" si="5"/>
        <v>3697885</v>
      </c>
    </row>
    <row r="49" spans="3:16">
      <c r="D49" t="s">
        <v>109</v>
      </c>
      <c r="L49" s="73"/>
      <c r="M49" s="73"/>
      <c r="N49" s="73"/>
      <c r="O49" s="73">
        <v>39454</v>
      </c>
      <c r="P49" s="73">
        <f t="shared" si="5"/>
        <v>39454</v>
      </c>
    </row>
    <row r="50" spans="3:16">
      <c r="D50" t="s">
        <v>110</v>
      </c>
      <c r="L50" s="73"/>
      <c r="M50" s="73"/>
      <c r="N50" s="73"/>
      <c r="O50" s="73">
        <v>2135226</v>
      </c>
      <c r="P50" s="73">
        <f t="shared" si="5"/>
        <v>2135226</v>
      </c>
    </row>
    <row r="51" spans="3:16">
      <c r="D51" t="s">
        <v>111</v>
      </c>
      <c r="K51" s="80">
        <v>1654557</v>
      </c>
      <c r="L51" s="73"/>
      <c r="M51" s="73"/>
      <c r="N51" s="73"/>
      <c r="O51" s="73"/>
      <c r="P51" s="73">
        <f t="shared" si="5"/>
        <v>1654557</v>
      </c>
    </row>
    <row r="52" spans="3:16">
      <c r="D52" t="s">
        <v>112</v>
      </c>
      <c r="L52" s="73"/>
      <c r="M52" s="73"/>
      <c r="N52" s="73"/>
      <c r="O52" s="73">
        <v>1342493</v>
      </c>
      <c r="P52" s="73">
        <f t="shared" si="5"/>
        <v>1342493</v>
      </c>
    </row>
    <row r="53" spans="3:16">
      <c r="D53" t="s">
        <v>113</v>
      </c>
      <c r="K53" s="80">
        <v>311600</v>
      </c>
      <c r="L53" s="73"/>
      <c r="M53" s="73"/>
      <c r="N53" s="73"/>
      <c r="O53" s="73">
        <v>1754707</v>
      </c>
      <c r="P53" s="73">
        <f t="shared" si="5"/>
        <v>2066307</v>
      </c>
    </row>
    <row r="54" spans="3:16">
      <c r="C54" t="s">
        <v>114</v>
      </c>
      <c r="K54" s="73"/>
      <c r="L54" s="73"/>
      <c r="M54" s="73"/>
      <c r="N54" s="73"/>
      <c r="O54" s="73"/>
      <c r="P54" s="73"/>
    </row>
    <row r="55" spans="3:16">
      <c r="D55" t="s">
        <v>105</v>
      </c>
      <c r="L55" s="73"/>
      <c r="M55" s="73">
        <v>16540894</v>
      </c>
      <c r="N55" s="73"/>
      <c r="O55" s="73">
        <v>4003347</v>
      </c>
      <c r="P55" s="73">
        <f>SUM(K55:O55)</f>
        <v>20544241</v>
      </c>
    </row>
    <row r="56" spans="3:16">
      <c r="D56" t="s">
        <v>115</v>
      </c>
      <c r="K56" s="80">
        <v>4094479</v>
      </c>
      <c r="L56" s="73"/>
      <c r="M56" s="73"/>
      <c r="N56" s="73"/>
      <c r="O56" s="73"/>
      <c r="P56" s="73">
        <f t="shared" ref="P56:P63" si="6">SUM(K56:O56)</f>
        <v>4094479</v>
      </c>
    </row>
    <row r="57" spans="3:16">
      <c r="D57" t="s">
        <v>107</v>
      </c>
      <c r="L57" s="73">
        <v>4846917</v>
      </c>
      <c r="M57" s="73"/>
      <c r="N57" s="73"/>
      <c r="O57" s="73">
        <v>130619</v>
      </c>
      <c r="P57" s="73">
        <f t="shared" si="6"/>
        <v>4977536</v>
      </c>
    </row>
    <row r="58" spans="3:16">
      <c r="D58" t="s">
        <v>108</v>
      </c>
      <c r="L58" s="73"/>
      <c r="M58" s="73"/>
      <c r="N58" s="73"/>
      <c r="O58" s="73">
        <v>5320424</v>
      </c>
      <c r="P58" s="73">
        <f t="shared" si="6"/>
        <v>5320424</v>
      </c>
    </row>
    <row r="59" spans="3:16">
      <c r="D59" t="s">
        <v>109</v>
      </c>
      <c r="K59" s="80">
        <v>592760</v>
      </c>
      <c r="L59" s="73"/>
      <c r="M59" s="73"/>
      <c r="N59" s="73"/>
      <c r="O59" s="73"/>
      <c r="P59" s="73">
        <f t="shared" si="6"/>
        <v>592760</v>
      </c>
    </row>
    <row r="60" spans="3:16">
      <c r="D60" t="s">
        <v>110</v>
      </c>
      <c r="L60" s="73"/>
      <c r="M60" s="73"/>
      <c r="N60" s="73"/>
      <c r="O60" s="73">
        <v>460671</v>
      </c>
      <c r="P60" s="73">
        <f t="shared" si="6"/>
        <v>460671</v>
      </c>
    </row>
    <row r="61" spans="3:16">
      <c r="D61" t="s">
        <v>115</v>
      </c>
      <c r="L61" s="73"/>
      <c r="M61" s="73"/>
      <c r="N61" s="73"/>
      <c r="O61" s="73">
        <v>10638691</v>
      </c>
      <c r="P61" s="73">
        <f t="shared" si="6"/>
        <v>10638691</v>
      </c>
    </row>
    <row r="62" spans="3:16">
      <c r="D62" t="s">
        <v>113</v>
      </c>
      <c r="K62" s="80">
        <v>162189</v>
      </c>
      <c r="L62" s="73"/>
      <c r="M62" s="73"/>
      <c r="N62" s="73"/>
      <c r="O62" s="73">
        <v>882665</v>
      </c>
      <c r="P62" s="73">
        <f t="shared" si="6"/>
        <v>1044854</v>
      </c>
    </row>
    <row r="63" spans="3:16">
      <c r="C63" t="s">
        <v>48</v>
      </c>
      <c r="K63" s="84">
        <v>29401695</v>
      </c>
      <c r="L63" s="73"/>
      <c r="M63" s="73"/>
      <c r="N63" s="73"/>
      <c r="O63" s="73"/>
      <c r="P63" s="73">
        <f t="shared" si="6"/>
        <v>29401695</v>
      </c>
    </row>
    <row r="64" spans="3:16">
      <c r="K64" s="73"/>
      <c r="L64" s="73"/>
      <c r="M64" s="73"/>
      <c r="N64" s="73"/>
      <c r="O64" s="73"/>
      <c r="P64" s="73"/>
    </row>
    <row r="65" spans="4:16" s="5" customFormat="1">
      <c r="D65" s="6"/>
      <c r="E65" s="6" t="s">
        <v>78</v>
      </c>
      <c r="K65" s="79">
        <f t="shared" ref="K65:P65" si="7">SUM(K42:K63)</f>
        <v>36217280</v>
      </c>
      <c r="L65" s="79">
        <f t="shared" si="7"/>
        <v>40937370</v>
      </c>
      <c r="M65" s="79">
        <f t="shared" si="7"/>
        <v>19527611</v>
      </c>
      <c r="N65" s="79">
        <f t="shared" si="7"/>
        <v>26752172</v>
      </c>
      <c r="O65" s="79">
        <f t="shared" si="7"/>
        <v>63877389</v>
      </c>
      <c r="P65" s="79">
        <f t="shared" si="7"/>
        <v>187311822</v>
      </c>
    </row>
    <row r="66" spans="4:16">
      <c r="K66" s="73"/>
      <c r="L66" s="73"/>
      <c r="M66" s="73"/>
      <c r="N66" s="73"/>
      <c r="O66" s="73"/>
      <c r="P66" s="73"/>
    </row>
    <row r="67" spans="4:16" s="7" customFormat="1">
      <c r="D67" s="8"/>
      <c r="E67" s="8" t="s">
        <v>116</v>
      </c>
      <c r="K67" s="81">
        <f t="shared" ref="K67:P67" si="8">K65+K39+K34</f>
        <v>44077853</v>
      </c>
      <c r="L67" s="81">
        <f t="shared" si="8"/>
        <v>41926428</v>
      </c>
      <c r="M67" s="81">
        <f t="shared" si="8"/>
        <v>20984159</v>
      </c>
      <c r="N67" s="81">
        <f t="shared" si="8"/>
        <v>28056529</v>
      </c>
      <c r="O67" s="81">
        <f t="shared" si="8"/>
        <v>69804269</v>
      </c>
      <c r="P67" s="81">
        <f t="shared" si="8"/>
        <v>204849238</v>
      </c>
    </row>
  </sheetData>
  <mergeCells count="2">
    <mergeCell ref="D1:K1"/>
    <mergeCell ref="D2:K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30"/>
  <sheetViews>
    <sheetView zoomScale="106" zoomScaleNormal="106" workbookViewId="0">
      <selection activeCell="U29" sqref="U29"/>
    </sheetView>
  </sheetViews>
  <sheetFormatPr defaultColWidth="8.85546875" defaultRowHeight="15"/>
  <cols>
    <col min="11" max="11" width="14.140625" customWidth="1"/>
    <col min="12" max="12" width="16.42578125" customWidth="1"/>
    <col min="13" max="13" width="15.85546875" customWidth="1"/>
    <col min="14" max="15" width="14.7109375" customWidth="1"/>
    <col min="16" max="18" width="14" customWidth="1"/>
    <col min="19" max="19" width="15.7109375" customWidth="1"/>
  </cols>
  <sheetData>
    <row r="1" spans="1:19" ht="18.75">
      <c r="D1" s="253" t="s">
        <v>117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118</v>
      </c>
      <c r="E2" s="254"/>
      <c r="F2" s="254"/>
      <c r="G2" s="254"/>
      <c r="H2" s="254"/>
      <c r="I2" s="254"/>
      <c r="J2" s="254"/>
      <c r="K2" s="254"/>
    </row>
    <row r="3" spans="1:19" ht="10.5" customHeight="1"/>
    <row r="4" spans="1:19" ht="60.75" customHeight="1">
      <c r="K4" s="1" t="s">
        <v>2</v>
      </c>
      <c r="L4" s="1" t="s">
        <v>119</v>
      </c>
      <c r="M4" s="1" t="s">
        <v>120</v>
      </c>
      <c r="N4" s="1" t="s">
        <v>121</v>
      </c>
      <c r="O4" s="1" t="s">
        <v>122</v>
      </c>
      <c r="P4" s="1" t="s">
        <v>123</v>
      </c>
      <c r="Q4" s="1" t="s">
        <v>124</v>
      </c>
      <c r="R4" s="1" t="s">
        <v>125</v>
      </c>
      <c r="S4" s="1" t="s">
        <v>7</v>
      </c>
    </row>
    <row r="5" spans="1:19">
      <c r="A5" t="s">
        <v>8</v>
      </c>
    </row>
    <row r="6" spans="1:19">
      <c r="B6" t="s">
        <v>85</v>
      </c>
      <c r="K6" s="72">
        <v>3105425</v>
      </c>
      <c r="L6" s="73">
        <v>236494</v>
      </c>
      <c r="M6" s="73">
        <v>136686</v>
      </c>
      <c r="N6" s="73">
        <v>12532</v>
      </c>
      <c r="O6" s="73"/>
      <c r="P6" s="73"/>
      <c r="Q6" s="73">
        <v>135336</v>
      </c>
      <c r="R6" s="73">
        <v>1429195</v>
      </c>
      <c r="S6" s="73">
        <f>SUM(K6:R6)</f>
        <v>5055668</v>
      </c>
    </row>
    <row r="7" spans="1:19">
      <c r="B7" t="s">
        <v>10</v>
      </c>
      <c r="K7" s="77">
        <v>3327782</v>
      </c>
      <c r="L7" s="73">
        <v>1765594</v>
      </c>
      <c r="M7" s="73">
        <v>1015459</v>
      </c>
      <c r="N7" s="73"/>
      <c r="O7" s="73"/>
      <c r="P7" s="73"/>
      <c r="Q7" s="73">
        <v>1030309</v>
      </c>
      <c r="R7" s="73">
        <v>7584524</v>
      </c>
      <c r="S7" s="73">
        <f>SUM(K7:R7)</f>
        <v>14723668</v>
      </c>
    </row>
    <row r="8" spans="1:19">
      <c r="B8" t="s">
        <v>60</v>
      </c>
      <c r="K8" s="74">
        <v>1007456</v>
      </c>
      <c r="L8" s="73">
        <v>250245</v>
      </c>
      <c r="M8" s="73">
        <v>185991</v>
      </c>
      <c r="N8" s="73">
        <v>594</v>
      </c>
      <c r="O8" s="73">
        <v>729295</v>
      </c>
      <c r="P8" s="73">
        <v>733546</v>
      </c>
      <c r="Q8" s="73">
        <v>80858</v>
      </c>
      <c r="R8" s="73">
        <v>3002965</v>
      </c>
      <c r="S8" s="73">
        <f t="shared" ref="S8:S10" si="0">SUM(K8:R8)</f>
        <v>5990950</v>
      </c>
    </row>
    <row r="9" spans="1:19">
      <c r="B9" t="s">
        <v>16</v>
      </c>
      <c r="K9" s="75">
        <v>633553</v>
      </c>
      <c r="L9" s="73"/>
      <c r="M9" s="73"/>
      <c r="N9" s="73"/>
      <c r="O9" s="73"/>
      <c r="P9" s="73"/>
      <c r="Q9" s="73"/>
      <c r="R9" s="73">
        <v>14012</v>
      </c>
      <c r="S9" s="73">
        <f t="shared" si="0"/>
        <v>647565</v>
      </c>
    </row>
    <row r="10" spans="1:19">
      <c r="B10" t="s">
        <v>126</v>
      </c>
      <c r="L10" s="73"/>
      <c r="M10" s="73"/>
      <c r="N10" s="73"/>
      <c r="O10" s="73"/>
      <c r="P10" s="73">
        <v>135412</v>
      </c>
      <c r="Q10" s="73"/>
      <c r="R10" s="73">
        <v>3623</v>
      </c>
      <c r="S10" s="73">
        <f t="shared" si="0"/>
        <v>139035</v>
      </c>
    </row>
    <row r="11" spans="1:19">
      <c r="K11" s="93"/>
      <c r="L11" s="93"/>
      <c r="M11" s="93"/>
      <c r="N11" s="93"/>
      <c r="O11" s="93"/>
      <c r="P11" s="93"/>
      <c r="Q11" s="93"/>
      <c r="R11" s="93"/>
      <c r="S11" s="93"/>
    </row>
    <row r="12" spans="1:19">
      <c r="A12" s="2"/>
      <c r="B12" s="2"/>
      <c r="C12" s="2"/>
      <c r="D12" s="2"/>
      <c r="E12" s="2" t="s">
        <v>18</v>
      </c>
      <c r="F12" s="3"/>
      <c r="G12" s="3"/>
      <c r="H12" s="3"/>
      <c r="I12" s="3"/>
      <c r="J12" s="3"/>
      <c r="K12" s="76">
        <f t="shared" ref="K12:S12" si="1">SUM(K6:K10)</f>
        <v>8074216</v>
      </c>
      <c r="L12" s="76">
        <f t="shared" si="1"/>
        <v>2252333</v>
      </c>
      <c r="M12" s="76">
        <f t="shared" si="1"/>
        <v>1338136</v>
      </c>
      <c r="N12" s="76">
        <f t="shared" si="1"/>
        <v>13126</v>
      </c>
      <c r="O12" s="76"/>
      <c r="P12" s="76">
        <f t="shared" ref="P12" si="2">SUM(P6:P10)</f>
        <v>868958</v>
      </c>
      <c r="Q12" s="76"/>
      <c r="R12" s="76"/>
      <c r="S12" s="76">
        <f t="shared" si="1"/>
        <v>26556886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A14" s="4" t="s">
        <v>19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B15" t="s">
        <v>20</v>
      </c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C16" t="s">
        <v>21</v>
      </c>
      <c r="K16" s="77">
        <v>63575</v>
      </c>
      <c r="L16" s="73">
        <v>14599</v>
      </c>
      <c r="M16" s="73">
        <v>206</v>
      </c>
      <c r="N16" s="73">
        <v>66</v>
      </c>
      <c r="O16" s="73">
        <v>138919</v>
      </c>
      <c r="P16" s="73">
        <v>725072</v>
      </c>
      <c r="Q16" s="73"/>
      <c r="R16" s="73">
        <v>734997</v>
      </c>
      <c r="S16" s="73">
        <f>SUM(K16:R16)</f>
        <v>1677434</v>
      </c>
    </row>
    <row r="17" spans="1:19">
      <c r="C17" t="s">
        <v>127</v>
      </c>
      <c r="K17" s="77">
        <v>5640</v>
      </c>
      <c r="L17" s="73">
        <v>6338</v>
      </c>
      <c r="M17" s="73"/>
      <c r="N17" s="73"/>
      <c r="O17" s="73"/>
      <c r="P17" s="73"/>
      <c r="Q17" s="73"/>
      <c r="R17" s="73">
        <v>32402</v>
      </c>
      <c r="S17" s="73">
        <f t="shared" ref="S17:S19" si="3">SUM(K17:R17)</f>
        <v>44380</v>
      </c>
    </row>
    <row r="18" spans="1:19">
      <c r="C18" t="s">
        <v>25</v>
      </c>
      <c r="K18" s="78">
        <v>4612</v>
      </c>
      <c r="L18" s="73">
        <v>2996</v>
      </c>
      <c r="M18" s="73"/>
      <c r="N18" s="73"/>
      <c r="O18" s="73">
        <v>590376</v>
      </c>
      <c r="P18" s="73">
        <v>8474</v>
      </c>
      <c r="Q18" s="73"/>
      <c r="R18" s="73">
        <v>41107</v>
      </c>
      <c r="S18" s="73">
        <f t="shared" si="3"/>
        <v>647565</v>
      </c>
    </row>
    <row r="19" spans="1:19">
      <c r="C19" t="s">
        <v>128</v>
      </c>
      <c r="K19" s="82">
        <v>240044</v>
      </c>
      <c r="L19" s="73">
        <v>14320</v>
      </c>
      <c r="M19" s="73"/>
      <c r="N19" s="73"/>
      <c r="O19" s="73"/>
      <c r="P19" s="73">
        <v>135412</v>
      </c>
      <c r="Q19" s="73">
        <v>101898</v>
      </c>
      <c r="R19" s="73">
        <v>216217</v>
      </c>
      <c r="S19" s="73">
        <f t="shared" si="3"/>
        <v>707891</v>
      </c>
    </row>
    <row r="20" spans="1:19">
      <c r="K20" s="93"/>
      <c r="L20" s="93"/>
      <c r="M20" s="93"/>
      <c r="N20" s="93"/>
      <c r="O20" s="93"/>
      <c r="P20" s="93"/>
      <c r="Q20" s="93"/>
      <c r="R20" s="93"/>
      <c r="S20" s="93"/>
    </row>
    <row r="21" spans="1:19">
      <c r="A21" s="5"/>
      <c r="B21" s="6"/>
      <c r="C21" s="6"/>
      <c r="D21" s="6"/>
      <c r="E21" s="6" t="s">
        <v>26</v>
      </c>
      <c r="F21" s="5"/>
      <c r="G21" s="5"/>
      <c r="H21" s="5"/>
      <c r="I21" s="5"/>
      <c r="J21" s="5"/>
      <c r="K21" s="79">
        <f t="shared" ref="K21:R21" si="4">SUM(K16:K19)</f>
        <v>313871</v>
      </c>
      <c r="L21" s="79">
        <f t="shared" si="4"/>
        <v>38253</v>
      </c>
      <c r="M21" s="79">
        <f t="shared" si="4"/>
        <v>206</v>
      </c>
      <c r="N21" s="79">
        <f t="shared" si="4"/>
        <v>66</v>
      </c>
      <c r="O21" s="79">
        <f t="shared" si="4"/>
        <v>729295</v>
      </c>
      <c r="P21" s="79">
        <f t="shared" si="4"/>
        <v>868958</v>
      </c>
      <c r="Q21" s="79">
        <f t="shared" si="4"/>
        <v>101898</v>
      </c>
      <c r="R21" s="79">
        <f t="shared" si="4"/>
        <v>1024723</v>
      </c>
      <c r="S21" s="79">
        <f>SUM(S16:S19)</f>
        <v>3077270</v>
      </c>
    </row>
    <row r="22" spans="1:19">
      <c r="K22" s="73"/>
      <c r="L22" s="73"/>
      <c r="M22" s="73"/>
      <c r="N22" s="73"/>
      <c r="O22" s="73"/>
      <c r="P22" s="73"/>
      <c r="Q22" s="73"/>
      <c r="R22" s="73"/>
      <c r="S22" s="73"/>
    </row>
    <row r="23" spans="1:19">
      <c r="B23" t="s">
        <v>30</v>
      </c>
      <c r="K23" s="73"/>
      <c r="L23" s="73"/>
      <c r="M23" s="73"/>
      <c r="N23" s="73"/>
      <c r="O23" s="73"/>
      <c r="P23" s="73"/>
      <c r="Q23" s="73"/>
      <c r="R23" s="73"/>
      <c r="S23" s="73"/>
    </row>
    <row r="24" spans="1:19">
      <c r="C24" t="s">
        <v>129</v>
      </c>
      <c r="K24" s="73"/>
      <c r="L24" s="73">
        <v>2214080</v>
      </c>
      <c r="M24" s="73"/>
      <c r="N24" s="73">
        <v>23</v>
      </c>
      <c r="O24" s="73"/>
      <c r="P24" s="73"/>
      <c r="Q24" s="73">
        <v>1144605</v>
      </c>
      <c r="R24" s="73">
        <v>10133638</v>
      </c>
      <c r="S24" s="73">
        <f>SUM(K24:R24)</f>
        <v>13492346</v>
      </c>
    </row>
    <row r="25" spans="1:19">
      <c r="C25" t="s">
        <v>130</v>
      </c>
      <c r="K25" s="91">
        <v>40645</v>
      </c>
      <c r="L25" s="73"/>
      <c r="M25" s="73">
        <v>1337930</v>
      </c>
      <c r="N25" s="73">
        <v>13037</v>
      </c>
      <c r="O25" s="73"/>
      <c r="P25" s="73"/>
      <c r="Q25" s="73"/>
      <c r="R25" s="73">
        <v>875958</v>
      </c>
      <c r="S25" s="73">
        <f>SUM(K25:R25)</f>
        <v>2267570</v>
      </c>
    </row>
    <row r="26" spans="1:19">
      <c r="C26" t="s">
        <v>48</v>
      </c>
      <c r="K26" s="84">
        <v>7719700</v>
      </c>
      <c r="L26" s="73"/>
      <c r="M26" s="73"/>
      <c r="N26" s="73"/>
      <c r="O26" s="73"/>
      <c r="P26" s="73"/>
      <c r="Q26" s="73"/>
      <c r="R26" s="73"/>
      <c r="S26" s="73">
        <f>SUM(K26:R26)</f>
        <v>7719700</v>
      </c>
    </row>
    <row r="27" spans="1:19">
      <c r="K27" s="93"/>
      <c r="L27" s="93"/>
      <c r="M27" s="93"/>
      <c r="N27" s="93"/>
      <c r="O27" s="93"/>
      <c r="P27" s="93"/>
      <c r="Q27" s="93"/>
      <c r="R27" s="93"/>
      <c r="S27" s="93"/>
    </row>
    <row r="28" spans="1:19">
      <c r="A28" s="5"/>
      <c r="B28" s="5"/>
      <c r="C28" s="5"/>
      <c r="D28" s="6"/>
      <c r="E28" s="6" t="s">
        <v>78</v>
      </c>
      <c r="F28" s="5"/>
      <c r="G28" s="5"/>
      <c r="H28" s="5"/>
      <c r="I28" s="5"/>
      <c r="J28" s="5"/>
      <c r="K28" s="79">
        <f t="shared" ref="K28:O28" si="5">SUM(K24:K26)</f>
        <v>7760345</v>
      </c>
      <c r="L28" s="79">
        <f t="shared" si="5"/>
        <v>2214080</v>
      </c>
      <c r="M28" s="79">
        <f t="shared" si="5"/>
        <v>1337930</v>
      </c>
      <c r="N28" s="79">
        <f t="shared" si="5"/>
        <v>13060</v>
      </c>
      <c r="O28" s="79">
        <f t="shared" si="5"/>
        <v>0</v>
      </c>
      <c r="P28" s="79">
        <f t="shared" ref="P28" si="6">SUM(P24:P26)</f>
        <v>0</v>
      </c>
      <c r="Q28" s="79">
        <f>SUM(Q24:Q26)</f>
        <v>1144605</v>
      </c>
      <c r="R28" s="79">
        <f>SUM(R24:R26)</f>
        <v>11009596</v>
      </c>
      <c r="S28" s="79">
        <f t="shared" ref="S28" si="7">SUM(S24:S26)</f>
        <v>23479616</v>
      </c>
    </row>
    <row r="29" spans="1:19">
      <c r="K29" s="73"/>
      <c r="L29" s="73"/>
      <c r="M29" s="73"/>
      <c r="N29" s="73"/>
      <c r="O29" s="73"/>
      <c r="P29" s="73"/>
      <c r="Q29" s="73"/>
      <c r="R29" s="73"/>
      <c r="S29" s="73"/>
    </row>
    <row r="30" spans="1:19">
      <c r="A30" s="7"/>
      <c r="B30" s="7"/>
      <c r="C30" s="7"/>
      <c r="D30" s="8"/>
      <c r="E30" s="8" t="s">
        <v>50</v>
      </c>
      <c r="F30" s="7"/>
      <c r="G30" s="7"/>
      <c r="H30" s="7"/>
      <c r="I30" s="7"/>
      <c r="J30" s="7"/>
      <c r="K30" s="81">
        <f t="shared" ref="K30:Q30" si="8">SUM(K28,K21)</f>
        <v>8074216</v>
      </c>
      <c r="L30" s="81">
        <f t="shared" si="8"/>
        <v>2252333</v>
      </c>
      <c r="M30" s="81">
        <f t="shared" si="8"/>
        <v>1338136</v>
      </c>
      <c r="N30" s="81">
        <f t="shared" si="8"/>
        <v>13126</v>
      </c>
      <c r="O30" s="81">
        <f t="shared" si="8"/>
        <v>729295</v>
      </c>
      <c r="P30" s="81">
        <f t="shared" si="8"/>
        <v>868958</v>
      </c>
      <c r="Q30" s="81">
        <f t="shared" si="8"/>
        <v>1246503</v>
      </c>
      <c r="R30" s="81">
        <f>SUM(R28,R21)</f>
        <v>12034319</v>
      </c>
      <c r="S30" s="81">
        <f>SUM(S28,S21)</f>
        <v>26556886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T39"/>
  <sheetViews>
    <sheetView zoomScaleNormal="100" workbookViewId="0">
      <selection activeCell="J10" sqref="J10"/>
    </sheetView>
  </sheetViews>
  <sheetFormatPr defaultColWidth="8.85546875" defaultRowHeight="15"/>
  <cols>
    <col min="1" max="1" width="5.710937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5" width="19.42578125" customWidth="1"/>
    <col min="16" max="16" width="18.42578125" customWidth="1"/>
    <col min="17" max="17" width="17.42578125" customWidth="1"/>
    <col min="18" max="18" width="13" customWidth="1"/>
    <col min="19" max="19" width="17.7109375" customWidth="1"/>
    <col min="20" max="20" width="19.85546875" bestFit="1" customWidth="1"/>
  </cols>
  <sheetData>
    <row r="1" spans="1:20" ht="18.75">
      <c r="D1" s="253" t="s">
        <v>131</v>
      </c>
      <c r="E1" s="253"/>
      <c r="F1" s="253"/>
      <c r="G1" s="253"/>
      <c r="H1" s="253"/>
      <c r="I1" s="253"/>
      <c r="J1" s="253"/>
      <c r="K1" s="253"/>
    </row>
    <row r="2" spans="1:20">
      <c r="D2" s="254" t="s">
        <v>1</v>
      </c>
      <c r="E2" s="254"/>
      <c r="F2" s="254"/>
      <c r="G2" s="254"/>
      <c r="H2" s="254"/>
      <c r="I2" s="254"/>
      <c r="J2" s="254"/>
      <c r="K2" s="254"/>
    </row>
    <row r="3" spans="1:20">
      <c r="D3" s="57"/>
      <c r="E3" s="57"/>
      <c r="F3" s="57"/>
      <c r="G3" s="57"/>
      <c r="H3" s="57"/>
      <c r="I3" s="57"/>
      <c r="J3" s="57"/>
      <c r="K3" s="57"/>
    </row>
    <row r="4" spans="1:20" ht="45">
      <c r="K4" s="1" t="s">
        <v>132</v>
      </c>
      <c r="L4" s="1" t="s">
        <v>133</v>
      </c>
      <c r="M4" s="1" t="s">
        <v>120</v>
      </c>
      <c r="N4" s="1" t="s">
        <v>134</v>
      </c>
      <c r="O4" s="1" t="s">
        <v>135</v>
      </c>
      <c r="P4" s="1" t="s">
        <v>136</v>
      </c>
      <c r="Q4" s="1" t="s">
        <v>137</v>
      </c>
      <c r="R4" s="1" t="s">
        <v>138</v>
      </c>
      <c r="S4" s="1" t="s">
        <v>6</v>
      </c>
      <c r="T4" s="1" t="s">
        <v>7</v>
      </c>
    </row>
    <row r="5" spans="1:20">
      <c r="A5" t="s">
        <v>8</v>
      </c>
    </row>
    <row r="6" spans="1:20">
      <c r="B6" t="s">
        <v>139</v>
      </c>
      <c r="K6" s="72">
        <v>855612</v>
      </c>
      <c r="L6" s="73">
        <v>1028184</v>
      </c>
      <c r="M6" s="73">
        <v>4191293</v>
      </c>
      <c r="N6" s="73">
        <v>621908</v>
      </c>
      <c r="O6" s="73">
        <v>2058472</v>
      </c>
      <c r="P6" s="73">
        <v>1272452</v>
      </c>
      <c r="Q6" s="73">
        <v>213029</v>
      </c>
      <c r="R6" s="73">
        <v>319</v>
      </c>
      <c r="S6" s="73">
        <v>280938</v>
      </c>
      <c r="T6" s="73">
        <f>SUM(K6:S6)</f>
        <v>10522207</v>
      </c>
    </row>
    <row r="7" spans="1:20">
      <c r="B7" t="s">
        <v>140</v>
      </c>
      <c r="K7" s="74">
        <v>18000</v>
      </c>
      <c r="L7" s="73"/>
      <c r="M7" s="73"/>
      <c r="N7" s="73"/>
      <c r="O7" s="73"/>
      <c r="P7" s="73"/>
      <c r="Q7" s="73">
        <v>6998</v>
      </c>
      <c r="R7" s="73"/>
      <c r="S7" s="73">
        <v>8791</v>
      </c>
      <c r="T7" s="73">
        <f>SUM(K7:S7)</f>
        <v>33789</v>
      </c>
    </row>
    <row r="8" spans="1:20">
      <c r="B8" t="s">
        <v>141</v>
      </c>
      <c r="K8" s="75">
        <v>406664</v>
      </c>
      <c r="L8" s="73">
        <v>131384</v>
      </c>
      <c r="M8" s="73">
        <v>284617</v>
      </c>
      <c r="N8" s="73">
        <v>410957</v>
      </c>
      <c r="O8" s="73">
        <v>469734</v>
      </c>
      <c r="P8" s="73">
        <v>727864</v>
      </c>
      <c r="Q8" s="73"/>
      <c r="R8" s="73">
        <v>140655</v>
      </c>
      <c r="S8" s="73">
        <v>4054</v>
      </c>
      <c r="T8" s="73">
        <f>SUM(K8:S8)</f>
        <v>2575929</v>
      </c>
    </row>
    <row r="9" spans="1:20">
      <c r="B9" t="s">
        <v>16</v>
      </c>
      <c r="K9" s="73"/>
      <c r="L9" s="73"/>
      <c r="M9" s="73"/>
      <c r="N9" s="73"/>
      <c r="O9" s="73"/>
      <c r="P9" s="73"/>
      <c r="Q9" s="73"/>
      <c r="R9" s="73"/>
      <c r="S9" s="73">
        <v>3376</v>
      </c>
      <c r="T9" s="73">
        <f>SUM(K9:S9)</f>
        <v>3376</v>
      </c>
    </row>
    <row r="10" spans="1:20">
      <c r="B10" t="s">
        <v>142</v>
      </c>
      <c r="K10" s="229">
        <v>15525</v>
      </c>
      <c r="L10" s="73">
        <v>20690</v>
      </c>
      <c r="M10" s="73">
        <v>22959</v>
      </c>
      <c r="N10" s="73">
        <v>17285</v>
      </c>
      <c r="O10" s="73">
        <v>8719</v>
      </c>
      <c r="P10" s="73">
        <v>19924</v>
      </c>
      <c r="Q10" s="73">
        <v>60</v>
      </c>
      <c r="R10" s="73"/>
      <c r="S10" s="73">
        <v>3668</v>
      </c>
      <c r="T10" s="73">
        <f>SUM(K10:S10)</f>
        <v>108830</v>
      </c>
    </row>
    <row r="11" spans="1:20">
      <c r="K11" s="73"/>
      <c r="L11" s="73"/>
      <c r="M11" s="73"/>
      <c r="N11" s="73"/>
      <c r="O11" s="73"/>
      <c r="P11" s="73"/>
      <c r="Q11" s="73"/>
      <c r="R11" s="73"/>
      <c r="S11" s="73"/>
      <c r="T11" s="73"/>
    </row>
    <row r="12" spans="1:20" s="3" customFormat="1">
      <c r="A12" s="2"/>
      <c r="B12" s="2"/>
      <c r="C12" s="2"/>
      <c r="D12" s="2"/>
      <c r="E12" s="2" t="s">
        <v>64</v>
      </c>
      <c r="K12" s="76">
        <f t="shared" ref="K12:T12" si="0">SUM(K6:K10)</f>
        <v>1295801</v>
      </c>
      <c r="L12" s="76">
        <f t="shared" si="0"/>
        <v>1180258</v>
      </c>
      <c r="M12" s="76">
        <f t="shared" si="0"/>
        <v>4498869</v>
      </c>
      <c r="N12" s="76">
        <f t="shared" si="0"/>
        <v>1050150</v>
      </c>
      <c r="O12" s="76">
        <f t="shared" si="0"/>
        <v>2536925</v>
      </c>
      <c r="P12" s="76">
        <f t="shared" si="0"/>
        <v>2020240</v>
      </c>
      <c r="Q12" s="76">
        <f t="shared" si="0"/>
        <v>220087</v>
      </c>
      <c r="R12" s="76">
        <f t="shared" si="0"/>
        <v>140974</v>
      </c>
      <c r="S12" s="76">
        <f t="shared" si="0"/>
        <v>300827</v>
      </c>
      <c r="T12" s="76">
        <f t="shared" si="0"/>
        <v>13244131</v>
      </c>
    </row>
    <row r="13" spans="1:20"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spans="1:20">
      <c r="A14" s="71" t="s">
        <v>143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spans="1:20"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spans="1:20">
      <c r="B16" t="s">
        <v>20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</row>
    <row r="17" spans="1:20">
      <c r="C17" t="s">
        <v>144</v>
      </c>
      <c r="K17" s="77">
        <v>124365</v>
      </c>
      <c r="L17" s="73">
        <v>110779</v>
      </c>
      <c r="M17" s="73">
        <v>188005</v>
      </c>
      <c r="N17" s="73">
        <v>23002</v>
      </c>
      <c r="O17" s="73">
        <v>22806</v>
      </c>
      <c r="P17" s="73">
        <v>56159</v>
      </c>
      <c r="Q17" s="73">
        <v>2798</v>
      </c>
      <c r="R17" s="73">
        <v>140655</v>
      </c>
      <c r="S17" s="73">
        <v>20568</v>
      </c>
      <c r="T17" s="73">
        <f>SUM(K17:S17)</f>
        <v>689137</v>
      </c>
    </row>
    <row r="18" spans="1:20">
      <c r="C18" t="s">
        <v>24</v>
      </c>
      <c r="K18" s="73"/>
      <c r="L18" s="73"/>
      <c r="M18" s="73"/>
      <c r="N18" s="73"/>
      <c r="O18" s="73"/>
      <c r="P18" s="73"/>
      <c r="Q18" s="73">
        <v>36260</v>
      </c>
      <c r="R18" s="73"/>
      <c r="S18" s="73"/>
      <c r="T18" s="73">
        <f>SUM(K18:S18)</f>
        <v>36260</v>
      </c>
    </row>
    <row r="19" spans="1:20">
      <c r="C19" t="s">
        <v>25</v>
      </c>
      <c r="K19" s="78">
        <v>1546</v>
      </c>
      <c r="L19" s="73"/>
      <c r="M19" s="73"/>
      <c r="N19" s="73"/>
      <c r="O19" s="73"/>
      <c r="P19" s="73"/>
      <c r="Q19" s="73"/>
      <c r="R19" s="73"/>
      <c r="S19" s="73">
        <v>1830</v>
      </c>
      <c r="T19" s="73">
        <f>SUM(K19:S19)</f>
        <v>3376</v>
      </c>
    </row>
    <row r="20" spans="1:20">
      <c r="C20" t="s">
        <v>99</v>
      </c>
      <c r="K20" s="78">
        <v>59537</v>
      </c>
      <c r="L20" s="73">
        <v>6467</v>
      </c>
      <c r="M20" s="73"/>
      <c r="N20" s="73"/>
      <c r="O20" s="73"/>
      <c r="P20" s="73"/>
      <c r="Q20" s="73"/>
      <c r="R20" s="73"/>
      <c r="S20" s="73"/>
      <c r="T20" s="73">
        <f>SUM(K20:S20)</f>
        <v>66004</v>
      </c>
    </row>
    <row r="21" spans="1:20">
      <c r="K21" s="73"/>
      <c r="L21" s="73"/>
      <c r="M21" s="73"/>
      <c r="N21" s="73"/>
      <c r="O21" s="73"/>
      <c r="P21" s="73"/>
      <c r="Q21" s="73"/>
      <c r="R21" s="73"/>
      <c r="S21" s="73"/>
      <c r="T21" s="73"/>
    </row>
    <row r="22" spans="1:20" s="5" customFormat="1">
      <c r="B22" s="6"/>
      <c r="C22" s="6"/>
      <c r="D22" s="6"/>
      <c r="E22" s="6" t="s">
        <v>26</v>
      </c>
      <c r="K22" s="79">
        <f>SUM(K17:K20)</f>
        <v>185448</v>
      </c>
      <c r="L22" s="79">
        <f>SUM(L17:L20)</f>
        <v>117246</v>
      </c>
      <c r="M22" s="79">
        <f>SUM(M17:M20)</f>
        <v>188005</v>
      </c>
      <c r="N22" s="79">
        <f>SUM(N17:N21)</f>
        <v>23002</v>
      </c>
      <c r="O22" s="79">
        <f>SUM(O17:O20)</f>
        <v>22806</v>
      </c>
      <c r="P22" s="79">
        <f t="shared" ref="P22:R22" si="1">SUM(P17:P20)</f>
        <v>56159</v>
      </c>
      <c r="Q22" s="79">
        <f t="shared" si="1"/>
        <v>39058</v>
      </c>
      <c r="R22" s="79">
        <f t="shared" si="1"/>
        <v>140655</v>
      </c>
      <c r="S22" s="79">
        <f>SUM(S17:S20)</f>
        <v>22398</v>
      </c>
      <c r="T22" s="79">
        <f>SUM(T17:T20)</f>
        <v>794777</v>
      </c>
    </row>
    <row r="23" spans="1:20">
      <c r="K23" s="73"/>
      <c r="L23" s="73"/>
      <c r="M23" s="73"/>
      <c r="N23" s="73"/>
      <c r="O23" s="73"/>
      <c r="P23" s="73"/>
      <c r="Q23" s="73"/>
      <c r="R23" s="73"/>
      <c r="S23" s="73"/>
      <c r="T23" s="73"/>
    </row>
    <row r="24" spans="1:20">
      <c r="A24" s="71" t="s">
        <v>27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</row>
    <row r="25" spans="1:20">
      <c r="C25" t="s">
        <v>101</v>
      </c>
      <c r="K25" s="85">
        <v>43264</v>
      </c>
      <c r="L25" s="85"/>
      <c r="M25" s="85"/>
      <c r="N25" s="85">
        <v>70453</v>
      </c>
      <c r="O25" s="85">
        <v>80648</v>
      </c>
      <c r="P25" s="85">
        <v>124787</v>
      </c>
      <c r="Q25" s="85"/>
      <c r="R25" s="85"/>
      <c r="S25" s="85"/>
      <c r="T25" s="85">
        <f>SUM(K25:S25)</f>
        <v>319152</v>
      </c>
    </row>
    <row r="26" spans="1:20"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spans="1:20">
      <c r="B27" t="s">
        <v>30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</row>
    <row r="28" spans="1:20">
      <c r="C28" t="s">
        <v>145</v>
      </c>
      <c r="K28" s="80">
        <v>15525</v>
      </c>
      <c r="L28" s="73">
        <v>20690</v>
      </c>
      <c r="M28" s="73">
        <v>22959</v>
      </c>
      <c r="N28" s="73">
        <v>17285</v>
      </c>
      <c r="O28" s="73">
        <v>8719</v>
      </c>
      <c r="P28" s="73">
        <v>19924</v>
      </c>
      <c r="Q28" s="73">
        <v>60</v>
      </c>
      <c r="R28" s="73"/>
      <c r="S28" s="73">
        <v>3668</v>
      </c>
      <c r="T28" s="73">
        <f>SUM(K28:S28)</f>
        <v>108830</v>
      </c>
    </row>
    <row r="29" spans="1:20">
      <c r="C29" t="s">
        <v>129</v>
      </c>
      <c r="K29" s="73"/>
      <c r="L29" s="73"/>
      <c r="M29" s="73"/>
      <c r="N29" s="73"/>
      <c r="O29" s="73"/>
      <c r="P29" s="73"/>
      <c r="Q29" s="73"/>
      <c r="R29" s="73"/>
      <c r="S29" s="73"/>
      <c r="T29" s="73">
        <f>SUM(K29:S29)</f>
        <v>0</v>
      </c>
    </row>
    <row r="30" spans="1:20">
      <c r="D30" t="s">
        <v>146</v>
      </c>
      <c r="K30" s="73"/>
      <c r="L30" s="73"/>
      <c r="M30" s="73"/>
      <c r="N30" s="73"/>
      <c r="O30" s="73"/>
      <c r="P30" s="73"/>
      <c r="Q30" s="73"/>
      <c r="R30" s="73"/>
      <c r="S30" s="73">
        <v>7063</v>
      </c>
      <c r="T30" s="73">
        <f>SUM(K30:S30)</f>
        <v>7063</v>
      </c>
    </row>
    <row r="31" spans="1:20">
      <c r="D31" t="s">
        <v>72</v>
      </c>
      <c r="K31" s="73"/>
      <c r="L31" s="73">
        <v>1042322</v>
      </c>
      <c r="M31" s="73">
        <v>4287905</v>
      </c>
      <c r="N31" s="73">
        <v>939410</v>
      </c>
      <c r="O31" s="73"/>
      <c r="P31" s="73"/>
      <c r="Q31" s="73"/>
      <c r="R31" s="73">
        <v>319</v>
      </c>
      <c r="S31" s="73">
        <v>74541</v>
      </c>
      <c r="T31" s="73">
        <f t="shared" ref="T31:T35" si="2">SUM(K31:S31)</f>
        <v>6344497</v>
      </c>
    </row>
    <row r="32" spans="1:20">
      <c r="D32" t="s">
        <v>147</v>
      </c>
      <c r="K32" s="73"/>
      <c r="L32" s="73"/>
      <c r="M32" s="73"/>
      <c r="N32" s="73"/>
      <c r="O32" s="73">
        <v>2424752</v>
      </c>
      <c r="P32" s="73"/>
      <c r="Q32" s="73">
        <v>180969</v>
      </c>
      <c r="R32" s="73"/>
      <c r="S32" s="73"/>
      <c r="T32" s="73">
        <f t="shared" si="2"/>
        <v>2605721</v>
      </c>
    </row>
    <row r="33" spans="3:20">
      <c r="D33" t="s">
        <v>115</v>
      </c>
      <c r="K33" s="73"/>
      <c r="L33" s="73"/>
      <c r="M33" s="73"/>
      <c r="N33" s="73"/>
      <c r="O33" s="73"/>
      <c r="P33" s="73">
        <v>1819370</v>
      </c>
      <c r="Q33" s="73"/>
      <c r="R33" s="73"/>
      <c r="S33" s="73"/>
      <c r="T33" s="73">
        <f t="shared" si="2"/>
        <v>1819370</v>
      </c>
    </row>
    <row r="34" spans="3:20">
      <c r="D34" t="s">
        <v>45</v>
      </c>
      <c r="K34" s="73"/>
      <c r="L34" s="73"/>
      <c r="M34" s="73"/>
      <c r="N34" s="73"/>
      <c r="O34" s="73"/>
      <c r="P34" s="73"/>
      <c r="Q34" s="73"/>
      <c r="R34" s="73"/>
      <c r="S34" s="73">
        <v>204739</v>
      </c>
      <c r="T34" s="73">
        <f t="shared" si="2"/>
        <v>204739</v>
      </c>
    </row>
    <row r="35" spans="3:20">
      <c r="C35" t="s">
        <v>148</v>
      </c>
      <c r="K35" s="84">
        <v>1051564</v>
      </c>
      <c r="L35" s="73"/>
      <c r="M35" s="73"/>
      <c r="N35" s="73"/>
      <c r="O35" s="73"/>
      <c r="P35" s="73"/>
      <c r="Q35" s="73"/>
      <c r="R35" s="73"/>
      <c r="S35" s="73">
        <v>-11582</v>
      </c>
      <c r="T35" s="73">
        <f t="shared" si="2"/>
        <v>1039982</v>
      </c>
    </row>
    <row r="36" spans="3:20">
      <c r="K36" s="73"/>
      <c r="L36" s="73"/>
      <c r="M36" s="73"/>
      <c r="N36" s="73"/>
      <c r="O36" s="73"/>
      <c r="P36" s="73"/>
      <c r="Q36" s="73"/>
      <c r="R36" s="73"/>
      <c r="S36" s="73"/>
      <c r="T36" s="73"/>
    </row>
    <row r="37" spans="3:20" s="5" customFormat="1">
      <c r="D37" s="6"/>
      <c r="E37" s="6" t="s">
        <v>78</v>
      </c>
      <c r="K37" s="79">
        <f>SUM(K28:K36)</f>
        <v>1067089</v>
      </c>
      <c r="L37" s="79">
        <f t="shared" ref="L37:T37" si="3">SUM(L28:L35)</f>
        <v>1063012</v>
      </c>
      <c r="M37" s="79">
        <f t="shared" si="3"/>
        <v>4310864</v>
      </c>
      <c r="N37" s="79">
        <f t="shared" si="3"/>
        <v>956695</v>
      </c>
      <c r="O37" s="79">
        <f t="shared" si="3"/>
        <v>2433471</v>
      </c>
      <c r="P37" s="79">
        <f t="shared" si="3"/>
        <v>1839294</v>
      </c>
      <c r="Q37" s="79">
        <f t="shared" si="3"/>
        <v>181029</v>
      </c>
      <c r="R37" s="79">
        <f t="shared" si="3"/>
        <v>319</v>
      </c>
      <c r="S37" s="79">
        <f t="shared" si="3"/>
        <v>278429</v>
      </c>
      <c r="T37" s="79">
        <f t="shared" si="3"/>
        <v>12130202</v>
      </c>
    </row>
    <row r="38" spans="3:20">
      <c r="K38" s="73"/>
      <c r="L38" s="73"/>
      <c r="M38" s="73"/>
      <c r="N38" s="73"/>
      <c r="O38" s="73"/>
      <c r="P38" s="73"/>
      <c r="Q38" s="73"/>
      <c r="R38" s="73"/>
      <c r="S38" s="73"/>
      <c r="T38" s="73"/>
    </row>
    <row r="39" spans="3:20" s="7" customFormat="1">
      <c r="D39" s="8"/>
      <c r="E39" s="8" t="s">
        <v>50</v>
      </c>
      <c r="K39" s="81">
        <f>SUM(K37+K25+K22)</f>
        <v>1295801</v>
      </c>
      <c r="L39" s="81">
        <f t="shared" ref="L39:T39" si="4">SUM(L37+L25+L22)</f>
        <v>1180258</v>
      </c>
      <c r="M39" s="81">
        <f t="shared" si="4"/>
        <v>4498869</v>
      </c>
      <c r="N39" s="81">
        <f t="shared" si="4"/>
        <v>1050150</v>
      </c>
      <c r="O39" s="81">
        <f t="shared" si="4"/>
        <v>2536925</v>
      </c>
      <c r="P39" s="81">
        <f t="shared" si="4"/>
        <v>2020240</v>
      </c>
      <c r="Q39" s="81">
        <f t="shared" si="4"/>
        <v>220087</v>
      </c>
      <c r="R39" s="81">
        <f t="shared" si="4"/>
        <v>140974</v>
      </c>
      <c r="S39" s="81">
        <f t="shared" si="4"/>
        <v>300827</v>
      </c>
      <c r="T39" s="81">
        <f t="shared" si="4"/>
        <v>13244131</v>
      </c>
    </row>
  </sheetData>
  <mergeCells count="2">
    <mergeCell ref="D1:K1"/>
    <mergeCell ref="D2:K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T43"/>
  <sheetViews>
    <sheetView topLeftCell="I1" zoomScale="55" zoomScaleNormal="55" zoomScalePageLayoutView="90" workbookViewId="0">
      <selection activeCell="T16" sqref="T16:T17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22.4257812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8" width="16.42578125" customWidth="1"/>
    <col min="19" max="19" width="18" customWidth="1"/>
    <col min="20" max="20" width="17.28515625" customWidth="1"/>
  </cols>
  <sheetData>
    <row r="1" spans="1:20" ht="18.75">
      <c r="D1" s="253" t="s">
        <v>149</v>
      </c>
      <c r="E1" s="253"/>
      <c r="F1" s="253"/>
      <c r="G1" s="253"/>
      <c r="H1" s="253"/>
      <c r="I1" s="253"/>
      <c r="J1" s="253"/>
      <c r="K1" s="253"/>
    </row>
    <row r="2" spans="1:20">
      <c r="D2" s="254" t="s">
        <v>1</v>
      </c>
      <c r="E2" s="254"/>
      <c r="F2" s="254"/>
      <c r="G2" s="254"/>
      <c r="H2" s="254"/>
      <c r="I2" s="254"/>
      <c r="J2" s="254"/>
      <c r="K2" s="254"/>
    </row>
    <row r="4" spans="1:20" ht="45">
      <c r="K4" s="1" t="s">
        <v>2</v>
      </c>
      <c r="L4" s="1" t="s">
        <v>150</v>
      </c>
      <c r="M4" s="1" t="s">
        <v>151</v>
      </c>
      <c r="N4" s="1" t="s">
        <v>152</v>
      </c>
      <c r="O4" s="1" t="s">
        <v>153</v>
      </c>
      <c r="P4" s="1" t="s">
        <v>154</v>
      </c>
      <c r="Q4" s="1" t="s">
        <v>155</v>
      </c>
      <c r="R4" s="1" t="s">
        <v>156</v>
      </c>
      <c r="S4" s="1" t="s">
        <v>58</v>
      </c>
      <c r="T4" s="1" t="s">
        <v>7</v>
      </c>
    </row>
    <row r="5" spans="1:20">
      <c r="A5" t="s">
        <v>8</v>
      </c>
    </row>
    <row r="6" spans="1:20">
      <c r="B6" t="s">
        <v>157</v>
      </c>
      <c r="K6" s="72">
        <v>145177</v>
      </c>
      <c r="L6" s="73">
        <v>1569627</v>
      </c>
      <c r="M6" s="73">
        <v>393160</v>
      </c>
      <c r="N6" s="73">
        <v>4774356</v>
      </c>
      <c r="O6" s="73">
        <v>2121897</v>
      </c>
      <c r="P6" s="73"/>
      <c r="Q6" s="73">
        <v>2634695</v>
      </c>
      <c r="R6" s="73">
        <v>9164133</v>
      </c>
      <c r="S6" s="73">
        <v>4717507</v>
      </c>
      <c r="T6" s="73">
        <f>SUM(K6:S6)</f>
        <v>25520552</v>
      </c>
    </row>
    <row r="7" spans="1:20">
      <c r="B7" t="s">
        <v>60</v>
      </c>
      <c r="K7" s="74">
        <v>1222735</v>
      </c>
      <c r="L7" s="73">
        <v>36204</v>
      </c>
      <c r="M7" s="73">
        <v>968633</v>
      </c>
      <c r="N7" s="73">
        <v>428863</v>
      </c>
      <c r="O7" s="73">
        <v>515610</v>
      </c>
      <c r="P7" s="73">
        <v>531092</v>
      </c>
      <c r="Q7" s="73">
        <v>129309</v>
      </c>
      <c r="R7" s="73"/>
      <c r="S7" s="73">
        <v>2593006</v>
      </c>
      <c r="T7" s="73">
        <f>SUM(K7:S7)</f>
        <v>6425452</v>
      </c>
    </row>
    <row r="8" spans="1:20">
      <c r="B8" t="s">
        <v>158</v>
      </c>
      <c r="K8" s="74">
        <v>107332</v>
      </c>
      <c r="L8" s="73">
        <v>11404</v>
      </c>
      <c r="M8" s="73"/>
      <c r="N8" s="73"/>
      <c r="O8" s="73"/>
      <c r="P8" s="73"/>
      <c r="Q8" s="73"/>
      <c r="R8" s="73"/>
      <c r="S8" s="73"/>
      <c r="T8" s="73">
        <f>SUM(K8:S8)</f>
        <v>118736</v>
      </c>
    </row>
    <row r="9" spans="1:20">
      <c r="B9" t="s">
        <v>62</v>
      </c>
      <c r="K9" s="73"/>
      <c r="L9" s="73"/>
      <c r="M9" s="73">
        <v>54053</v>
      </c>
      <c r="N9" s="73"/>
      <c r="O9" s="73"/>
      <c r="P9" s="73"/>
      <c r="Q9" s="73"/>
      <c r="R9" s="73"/>
      <c r="S9" s="73">
        <v>280629</v>
      </c>
      <c r="T9" s="73">
        <f>SUM(K9:S9)</f>
        <v>334682</v>
      </c>
    </row>
    <row r="10" spans="1:20">
      <c r="B10" t="s">
        <v>159</v>
      </c>
      <c r="K10" s="230">
        <v>226353</v>
      </c>
      <c r="L10" s="73"/>
      <c r="M10" s="73"/>
      <c r="N10" s="73"/>
      <c r="O10" s="73"/>
      <c r="P10" s="73"/>
      <c r="Q10" s="73"/>
      <c r="R10" s="73"/>
      <c r="S10" s="73"/>
      <c r="T10" s="73">
        <f>SUM(K10:S10)</f>
        <v>226353</v>
      </c>
    </row>
    <row r="11" spans="1:20">
      <c r="K11" s="73"/>
      <c r="L11" s="73"/>
      <c r="M11" s="73"/>
      <c r="N11" s="73"/>
      <c r="O11" s="73"/>
      <c r="P11" s="73"/>
      <c r="Q11" s="73"/>
      <c r="R11" s="73"/>
      <c r="S11" s="73"/>
      <c r="T11" s="73"/>
    </row>
    <row r="12" spans="1:20" s="3" customFormat="1">
      <c r="A12" s="2"/>
      <c r="B12" s="2"/>
      <c r="C12" s="2"/>
      <c r="D12" s="2"/>
      <c r="E12" s="2" t="s">
        <v>18</v>
      </c>
      <c r="K12" s="76">
        <f>SUM(K6:K10)</f>
        <v>1701597</v>
      </c>
      <c r="L12" s="76">
        <f>SUM(L6:L10)</f>
        <v>1617235</v>
      </c>
      <c r="M12" s="76">
        <f t="shared" ref="M12:O12" si="0">SUM(M6:M10)</f>
        <v>1415846</v>
      </c>
      <c r="N12" s="76">
        <f t="shared" si="0"/>
        <v>5203219</v>
      </c>
      <c r="O12" s="76">
        <f t="shared" si="0"/>
        <v>2637507</v>
      </c>
      <c r="P12" s="76">
        <f>SUM(P6:P10)</f>
        <v>531092</v>
      </c>
      <c r="Q12" s="76">
        <f>SUM(Q6:Q10)</f>
        <v>2764004</v>
      </c>
      <c r="R12" s="76">
        <f t="shared" ref="R12:T12" si="1">SUM(R6:R10)</f>
        <v>9164133</v>
      </c>
      <c r="S12" s="76">
        <f t="shared" si="1"/>
        <v>7591142</v>
      </c>
      <c r="T12" s="76">
        <f t="shared" si="1"/>
        <v>32625775</v>
      </c>
    </row>
    <row r="13" spans="1:20">
      <c r="K13" s="73"/>
      <c r="L13" s="73"/>
      <c r="M13" s="73"/>
      <c r="N13" s="73"/>
      <c r="O13" s="73"/>
      <c r="P13" s="73"/>
      <c r="Q13" s="73"/>
      <c r="R13" s="73"/>
      <c r="S13" s="73"/>
      <c r="T13" s="73"/>
    </row>
    <row r="14" spans="1:20">
      <c r="A14" s="4" t="s">
        <v>160</v>
      </c>
      <c r="K14" s="73"/>
      <c r="L14" s="73"/>
      <c r="M14" s="73"/>
      <c r="N14" s="73"/>
      <c r="O14" s="73"/>
      <c r="P14" s="73"/>
      <c r="Q14" s="73"/>
      <c r="R14" s="73"/>
      <c r="S14" s="73"/>
      <c r="T14" s="73"/>
    </row>
    <row r="15" spans="1:20">
      <c r="B15" t="s">
        <v>20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spans="1:20">
      <c r="C16" t="s">
        <v>21</v>
      </c>
      <c r="K16" s="77">
        <v>273323</v>
      </c>
      <c r="L16" s="73">
        <v>29583</v>
      </c>
      <c r="M16" s="73">
        <v>20059</v>
      </c>
      <c r="N16" s="73">
        <v>128239</v>
      </c>
      <c r="O16" s="73">
        <v>535</v>
      </c>
      <c r="P16" s="73">
        <v>67905</v>
      </c>
      <c r="Q16" s="73">
        <v>3671</v>
      </c>
      <c r="R16" s="73">
        <v>472197</v>
      </c>
      <c r="S16" s="73">
        <v>103737</v>
      </c>
      <c r="T16" s="73">
        <f>SUM(K16:S16)</f>
        <v>1099249</v>
      </c>
    </row>
    <row r="17" spans="1:20">
      <c r="C17" t="s">
        <v>95</v>
      </c>
      <c r="L17" s="73"/>
      <c r="M17" s="73">
        <v>77583</v>
      </c>
      <c r="N17" s="73"/>
      <c r="O17" s="73"/>
      <c r="P17" s="73"/>
      <c r="Q17" s="73"/>
      <c r="R17" s="73">
        <v>153725</v>
      </c>
      <c r="S17" s="73"/>
      <c r="T17" s="73">
        <f>SUM(K17:S17)</f>
        <v>231308</v>
      </c>
    </row>
    <row r="18" spans="1:20">
      <c r="C18" t="s">
        <v>161</v>
      </c>
      <c r="K18" s="82">
        <v>201087</v>
      </c>
      <c r="L18" s="73"/>
      <c r="M18" s="73"/>
      <c r="N18" s="73"/>
      <c r="O18" s="73"/>
      <c r="P18" s="73"/>
      <c r="Q18" s="73"/>
      <c r="R18" s="73"/>
      <c r="S18" s="73"/>
      <c r="T18" s="73">
        <f>SUM(K18:S18)</f>
        <v>201087</v>
      </c>
    </row>
    <row r="19" spans="1:20">
      <c r="C19" t="s">
        <v>162</v>
      </c>
      <c r="K19" s="73"/>
      <c r="L19" s="73"/>
      <c r="M19" s="73"/>
      <c r="N19" s="73"/>
      <c r="O19" s="73"/>
      <c r="P19" s="73">
        <v>92033</v>
      </c>
      <c r="Q19" s="73"/>
      <c r="R19" s="73"/>
      <c r="S19" s="73">
        <v>26703</v>
      </c>
      <c r="T19" s="73">
        <f>SUM(K19:S19)</f>
        <v>118736</v>
      </c>
    </row>
    <row r="20" spans="1:20">
      <c r="K20" s="73"/>
      <c r="L20" s="73"/>
      <c r="M20" s="73"/>
      <c r="N20" s="73"/>
      <c r="O20" s="73"/>
      <c r="P20" s="73"/>
      <c r="Q20" s="73"/>
      <c r="R20" s="73"/>
      <c r="S20" s="73"/>
      <c r="T20" s="73"/>
    </row>
    <row r="21" spans="1:20" s="5" customFormat="1">
      <c r="B21" s="6"/>
      <c r="C21" s="6"/>
      <c r="D21" s="6"/>
      <c r="E21" s="6" t="s">
        <v>26</v>
      </c>
      <c r="K21" s="79">
        <f t="shared" ref="K21:S21" si="2">SUM(K16:K19)</f>
        <v>474410</v>
      </c>
      <c r="L21" s="79">
        <f t="shared" si="2"/>
        <v>29583</v>
      </c>
      <c r="M21" s="79">
        <f t="shared" si="2"/>
        <v>97642</v>
      </c>
      <c r="N21" s="79">
        <f t="shared" si="2"/>
        <v>128239</v>
      </c>
      <c r="O21" s="79">
        <f t="shared" si="2"/>
        <v>535</v>
      </c>
      <c r="P21" s="79">
        <f t="shared" si="2"/>
        <v>159938</v>
      </c>
      <c r="Q21" s="79">
        <f t="shared" si="2"/>
        <v>3671</v>
      </c>
      <c r="R21" s="79">
        <f t="shared" si="2"/>
        <v>625922</v>
      </c>
      <c r="S21" s="79">
        <f t="shared" si="2"/>
        <v>130440</v>
      </c>
      <c r="T21" s="79">
        <f>SUM(T16:T19)</f>
        <v>1650380</v>
      </c>
    </row>
    <row r="22" spans="1:20">
      <c r="K22" s="73"/>
      <c r="L22" s="73"/>
      <c r="M22" s="73"/>
      <c r="N22" s="73"/>
      <c r="O22" s="73"/>
      <c r="P22" s="73"/>
      <c r="Q22" s="73"/>
      <c r="R22" s="73"/>
      <c r="S22" s="73"/>
      <c r="T22" s="73"/>
    </row>
    <row r="23" spans="1:20">
      <c r="A23" s="71" t="s">
        <v>27</v>
      </c>
      <c r="K23" s="73"/>
      <c r="L23" s="73"/>
      <c r="M23" s="73"/>
      <c r="N23" s="73"/>
      <c r="O23" s="73"/>
      <c r="P23" s="73"/>
      <c r="Q23" s="73"/>
      <c r="R23" s="73"/>
      <c r="S23" s="73"/>
      <c r="T23" s="73"/>
    </row>
    <row r="24" spans="1:20">
      <c r="B24" t="s">
        <v>101</v>
      </c>
      <c r="K24" s="85">
        <v>117403</v>
      </c>
      <c r="L24" s="85"/>
      <c r="M24" s="85">
        <v>57515</v>
      </c>
      <c r="N24" s="85"/>
      <c r="O24" s="85">
        <v>60331</v>
      </c>
      <c r="P24" s="85">
        <v>28866</v>
      </c>
      <c r="Q24" s="85"/>
      <c r="R24" s="85"/>
      <c r="S24" s="85">
        <v>165109</v>
      </c>
      <c r="T24" s="85">
        <f>SUM(K24:S24)</f>
        <v>429224</v>
      </c>
    </row>
    <row r="25" spans="1:20">
      <c r="C25" t="s">
        <v>29</v>
      </c>
      <c r="K25" s="73">
        <f>K24</f>
        <v>117403</v>
      </c>
      <c r="L25" s="73">
        <f t="shared" ref="L25:T25" si="3">L24</f>
        <v>0</v>
      </c>
      <c r="M25" s="73">
        <f t="shared" si="3"/>
        <v>57515</v>
      </c>
      <c r="N25" s="73">
        <f t="shared" si="3"/>
        <v>0</v>
      </c>
      <c r="O25" s="73">
        <f t="shared" si="3"/>
        <v>60331</v>
      </c>
      <c r="P25" s="73">
        <f t="shared" si="3"/>
        <v>28866</v>
      </c>
      <c r="Q25" s="73">
        <f t="shared" si="3"/>
        <v>0</v>
      </c>
      <c r="R25" s="73">
        <f t="shared" si="3"/>
        <v>0</v>
      </c>
      <c r="S25" s="73">
        <f t="shared" si="3"/>
        <v>165109</v>
      </c>
      <c r="T25" s="73">
        <f t="shared" si="3"/>
        <v>429224</v>
      </c>
    </row>
    <row r="26" spans="1:20"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spans="1:20">
      <c r="B27" t="s">
        <v>103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</row>
    <row r="28" spans="1:20">
      <c r="C28" t="s">
        <v>163</v>
      </c>
      <c r="K28" s="73"/>
      <c r="L28" s="73"/>
      <c r="M28" s="73">
        <v>54053</v>
      </c>
      <c r="N28" s="73"/>
      <c r="O28" s="73"/>
      <c r="P28" s="73"/>
      <c r="Q28" s="73"/>
      <c r="R28" s="73"/>
      <c r="S28" s="73">
        <v>280629</v>
      </c>
      <c r="T28" s="73">
        <f>SUM(K28:S28)</f>
        <v>334682</v>
      </c>
    </row>
    <row r="29" spans="1:20">
      <c r="C29" t="s">
        <v>69</v>
      </c>
      <c r="K29" s="73"/>
      <c r="L29" s="73"/>
      <c r="M29" s="73"/>
      <c r="N29" s="73"/>
      <c r="O29" s="73"/>
      <c r="P29" s="73"/>
      <c r="Q29" s="73"/>
      <c r="R29" s="73"/>
      <c r="S29" s="73"/>
      <c r="T29" s="73"/>
    </row>
    <row r="30" spans="1:20">
      <c r="D30" t="s">
        <v>164</v>
      </c>
      <c r="K30" s="73"/>
      <c r="L30" s="73">
        <v>744819</v>
      </c>
      <c r="M30" s="73"/>
      <c r="N30" s="73"/>
      <c r="O30" s="73"/>
      <c r="P30" s="73"/>
      <c r="Q30" s="73"/>
      <c r="R30" s="73"/>
      <c r="S30" s="73"/>
      <c r="T30" s="73">
        <f t="shared" ref="T30:T39" si="4">SUM(K30:S30)</f>
        <v>744819</v>
      </c>
    </row>
    <row r="31" spans="1:20">
      <c r="D31" t="s">
        <v>165</v>
      </c>
      <c r="K31" s="73"/>
      <c r="L31" s="73"/>
      <c r="M31" s="73"/>
      <c r="N31" s="73"/>
      <c r="O31" s="73"/>
      <c r="P31" s="73"/>
      <c r="Q31" s="73"/>
      <c r="R31" s="73"/>
      <c r="S31" s="73">
        <v>1932609</v>
      </c>
      <c r="T31" s="73">
        <f t="shared" si="4"/>
        <v>1932609</v>
      </c>
    </row>
    <row r="32" spans="1:20">
      <c r="D32" t="s">
        <v>72</v>
      </c>
      <c r="K32" s="73"/>
      <c r="L32" s="73">
        <v>842833</v>
      </c>
      <c r="M32" s="73">
        <v>1206636</v>
      </c>
      <c r="N32" s="73"/>
      <c r="O32" s="73"/>
      <c r="P32" s="73"/>
      <c r="Q32" s="73"/>
      <c r="R32" s="73"/>
      <c r="S32" s="73">
        <v>3806866</v>
      </c>
      <c r="T32" s="73">
        <f t="shared" si="4"/>
        <v>5856335</v>
      </c>
    </row>
    <row r="33" spans="3:20">
      <c r="D33" t="s">
        <v>147</v>
      </c>
      <c r="K33" s="73"/>
      <c r="L33" s="73"/>
      <c r="M33" s="73"/>
      <c r="N33" s="73"/>
      <c r="O33" s="73">
        <v>2576641</v>
      </c>
      <c r="P33" s="73"/>
      <c r="Q33" s="73"/>
      <c r="R33" s="73"/>
      <c r="S33" s="73"/>
      <c r="T33" s="73">
        <f t="shared" si="4"/>
        <v>2576641</v>
      </c>
    </row>
    <row r="34" spans="3:20">
      <c r="D34" t="s">
        <v>115</v>
      </c>
      <c r="K34" s="73"/>
      <c r="L34" s="73"/>
      <c r="M34" s="73"/>
      <c r="N34" s="73"/>
      <c r="O34" s="73"/>
      <c r="P34" s="73">
        <v>342288</v>
      </c>
      <c r="Q34" s="73"/>
      <c r="R34" s="73"/>
      <c r="S34" s="73">
        <v>523629</v>
      </c>
      <c r="T34" s="73">
        <f t="shared" si="4"/>
        <v>865917</v>
      </c>
    </row>
    <row r="35" spans="3:20">
      <c r="D35" t="s">
        <v>73</v>
      </c>
      <c r="K35" s="73"/>
      <c r="L35" s="73"/>
      <c r="M35" s="73"/>
      <c r="N35" s="73">
        <v>5074980</v>
      </c>
      <c r="O35" s="73"/>
      <c r="P35" s="73"/>
      <c r="Q35" s="73"/>
      <c r="R35" s="73"/>
      <c r="S35" s="73"/>
      <c r="T35" s="73">
        <f t="shared" si="4"/>
        <v>5074980</v>
      </c>
    </row>
    <row r="36" spans="3:20">
      <c r="D36" t="s">
        <v>71</v>
      </c>
      <c r="K36" s="73"/>
      <c r="L36" s="73"/>
      <c r="M36" s="73"/>
      <c r="N36" s="73"/>
      <c r="O36" s="73"/>
      <c r="P36" s="73"/>
      <c r="Q36" s="73"/>
      <c r="R36" s="73"/>
      <c r="S36" s="73">
        <v>325299</v>
      </c>
      <c r="T36" s="73">
        <f t="shared" si="4"/>
        <v>325299</v>
      </c>
    </row>
    <row r="37" spans="3:20">
      <c r="D37" t="s">
        <v>44</v>
      </c>
      <c r="K37" s="73"/>
      <c r="L37" s="73"/>
      <c r="M37" s="73"/>
      <c r="N37" s="73"/>
      <c r="O37" s="73"/>
      <c r="P37" s="73"/>
      <c r="Q37" s="73">
        <v>2760333</v>
      </c>
      <c r="R37" s="73">
        <v>8538211</v>
      </c>
      <c r="S37" s="73">
        <v>260228</v>
      </c>
      <c r="T37" s="73">
        <f t="shared" si="4"/>
        <v>11558772</v>
      </c>
    </row>
    <row r="38" spans="3:20">
      <c r="D38" t="s">
        <v>74</v>
      </c>
      <c r="K38" s="73"/>
      <c r="L38" s="73"/>
      <c r="M38" s="73"/>
      <c r="N38" s="73"/>
      <c r="O38" s="73"/>
      <c r="P38" s="73"/>
      <c r="Q38" s="73"/>
      <c r="R38" s="73"/>
      <c r="S38" s="73">
        <v>166333</v>
      </c>
      <c r="T38" s="73">
        <f>SUM(K38:S38)</f>
        <v>166333</v>
      </c>
    </row>
    <row r="39" spans="3:20">
      <c r="C39" t="s">
        <v>48</v>
      </c>
      <c r="K39" s="84">
        <v>1109784</v>
      </c>
      <c r="L39" s="73"/>
      <c r="M39" s="73"/>
      <c r="N39" s="73"/>
      <c r="O39" s="73"/>
      <c r="P39" s="73"/>
      <c r="Q39" s="73"/>
      <c r="R39" s="73"/>
      <c r="S39" s="73"/>
      <c r="T39" s="73">
        <f t="shared" si="4"/>
        <v>1109784</v>
      </c>
    </row>
    <row r="40" spans="3:20">
      <c r="K40" s="73"/>
      <c r="L40" s="73"/>
      <c r="M40" s="73"/>
      <c r="N40" s="73"/>
      <c r="O40" s="73"/>
      <c r="P40" s="73"/>
      <c r="Q40" s="73"/>
      <c r="R40" s="73"/>
      <c r="S40" s="73"/>
      <c r="T40" s="73"/>
    </row>
    <row r="41" spans="3:20" s="5" customFormat="1">
      <c r="D41" s="6"/>
      <c r="E41" s="6" t="s">
        <v>78</v>
      </c>
      <c r="K41" s="79">
        <f>SUM(K28:K39)</f>
        <v>1109784</v>
      </c>
      <c r="L41" s="79">
        <f>SUM(L28:L39)</f>
        <v>1587652</v>
      </c>
      <c r="M41" s="79">
        <f>SUM(M28:M39)</f>
        <v>1260689</v>
      </c>
      <c r="N41" s="79">
        <f t="shared" ref="N41:O41" si="5">SUM(N28:N39)</f>
        <v>5074980</v>
      </c>
      <c r="O41" s="79">
        <f t="shared" si="5"/>
        <v>2576641</v>
      </c>
      <c r="P41" s="79">
        <f>SUM(P28:P39)</f>
        <v>342288</v>
      </c>
      <c r="Q41" s="79">
        <f>SUM(Q28:Q39)</f>
        <v>2760333</v>
      </c>
      <c r="R41" s="79">
        <f>SUM(R28:R39)</f>
        <v>8538211</v>
      </c>
      <c r="S41" s="79">
        <f>SUM(S28:S39)</f>
        <v>7295593</v>
      </c>
      <c r="T41" s="79">
        <f>SUM(T28:T39)</f>
        <v>30546171</v>
      </c>
    </row>
    <row r="42" spans="3:20">
      <c r="K42" s="73"/>
      <c r="L42" s="73"/>
      <c r="M42" s="73"/>
      <c r="N42" s="73"/>
      <c r="O42" s="73"/>
      <c r="P42" s="73"/>
      <c r="Q42" s="73"/>
      <c r="R42" s="73"/>
      <c r="S42" s="73"/>
      <c r="T42" s="73"/>
    </row>
    <row r="43" spans="3:20" s="7" customFormat="1">
      <c r="D43" s="8"/>
      <c r="E43" s="8" t="s">
        <v>166</v>
      </c>
      <c r="K43" s="81">
        <f t="shared" ref="K43:T43" si="6">K41+K24+K21</f>
        <v>1701597</v>
      </c>
      <c r="L43" s="81">
        <f t="shared" si="6"/>
        <v>1617235</v>
      </c>
      <c r="M43" s="81">
        <f t="shared" si="6"/>
        <v>1415846</v>
      </c>
      <c r="N43" s="81">
        <f t="shared" si="6"/>
        <v>5203219</v>
      </c>
      <c r="O43" s="81">
        <f t="shared" si="6"/>
        <v>2637507</v>
      </c>
      <c r="P43" s="81">
        <f t="shared" si="6"/>
        <v>531092</v>
      </c>
      <c r="Q43" s="81">
        <f t="shared" si="6"/>
        <v>2764004</v>
      </c>
      <c r="R43" s="81">
        <f t="shared" si="6"/>
        <v>9164133</v>
      </c>
      <c r="S43" s="81">
        <f t="shared" si="6"/>
        <v>7591142</v>
      </c>
      <c r="T43" s="81">
        <f t="shared" si="6"/>
        <v>32625775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31"/>
  <sheetViews>
    <sheetView topLeftCell="D1" zoomScale="55" zoomScaleNormal="55" workbookViewId="0">
      <selection activeCell="L27" sqref="L27"/>
    </sheetView>
  </sheetViews>
  <sheetFormatPr defaultColWidth="8.85546875" defaultRowHeight="15"/>
  <cols>
    <col min="11" max="11" width="15.140625" customWidth="1"/>
    <col min="12" max="12" width="14.42578125" customWidth="1"/>
    <col min="13" max="13" width="16.42578125" customWidth="1"/>
    <col min="14" max="14" width="14.7109375" customWidth="1"/>
    <col min="15" max="15" width="15.7109375" customWidth="1"/>
    <col min="16" max="16" width="14.140625" customWidth="1"/>
  </cols>
  <sheetData>
    <row r="1" spans="1:16" ht="18.75">
      <c r="D1" s="253" t="s">
        <v>167</v>
      </c>
      <c r="E1" s="253"/>
      <c r="F1" s="253"/>
      <c r="G1" s="253"/>
      <c r="H1" s="253"/>
      <c r="I1" s="253"/>
      <c r="J1" s="253"/>
      <c r="K1" s="253"/>
    </row>
    <row r="2" spans="1:16">
      <c r="D2" s="254" t="s">
        <v>118</v>
      </c>
      <c r="E2" s="254"/>
      <c r="F2" s="254"/>
      <c r="G2" s="254"/>
      <c r="H2" s="254"/>
      <c r="I2" s="254"/>
      <c r="J2" s="254"/>
      <c r="K2" s="254"/>
    </row>
    <row r="4" spans="1:16" ht="45">
      <c r="K4" s="1" t="s">
        <v>2</v>
      </c>
      <c r="L4" s="1" t="s">
        <v>168</v>
      </c>
      <c r="M4" s="1" t="s">
        <v>120</v>
      </c>
      <c r="N4" s="1" t="s">
        <v>169</v>
      </c>
      <c r="O4" s="1" t="s">
        <v>6</v>
      </c>
      <c r="P4" s="1" t="s">
        <v>170</v>
      </c>
    </row>
    <row r="5" spans="1:16">
      <c r="A5" t="s">
        <v>8</v>
      </c>
    </row>
    <row r="6" spans="1:16">
      <c r="B6" t="s">
        <v>85</v>
      </c>
      <c r="K6" s="72">
        <v>4817035</v>
      </c>
      <c r="L6" s="73">
        <v>6752352</v>
      </c>
      <c r="M6" s="73">
        <v>3759965</v>
      </c>
      <c r="N6" s="73">
        <v>1249258</v>
      </c>
      <c r="O6" s="73">
        <v>279881</v>
      </c>
      <c r="P6" s="73">
        <f>SUM(K6:O6)</f>
        <v>16858491</v>
      </c>
    </row>
    <row r="7" spans="1:16">
      <c r="B7" t="s">
        <v>60</v>
      </c>
      <c r="K7" s="74">
        <v>1762003</v>
      </c>
      <c r="L7" s="73">
        <v>1885884</v>
      </c>
      <c r="M7" s="73">
        <v>79106</v>
      </c>
      <c r="N7" s="73">
        <v>920773</v>
      </c>
      <c r="O7" s="73">
        <v>6836</v>
      </c>
      <c r="P7" s="73">
        <f>SUM(K7:O7)</f>
        <v>4654602</v>
      </c>
    </row>
    <row r="8" spans="1:16">
      <c r="K8" s="93"/>
      <c r="L8" s="93"/>
      <c r="M8" s="93"/>
      <c r="N8" s="93"/>
      <c r="O8" s="93"/>
      <c r="P8" s="93"/>
    </row>
    <row r="9" spans="1:16">
      <c r="A9" s="2"/>
      <c r="B9" s="2"/>
      <c r="C9" s="2"/>
      <c r="D9" s="2"/>
      <c r="E9" s="2" t="s">
        <v>18</v>
      </c>
      <c r="F9" s="3"/>
      <c r="G9" s="3"/>
      <c r="H9" s="3"/>
      <c r="I9" s="3"/>
      <c r="J9" s="3"/>
      <c r="K9" s="76">
        <f t="shared" ref="K9:P9" si="0">SUM(K6:K7)</f>
        <v>6579038</v>
      </c>
      <c r="L9" s="76">
        <f t="shared" si="0"/>
        <v>8638236</v>
      </c>
      <c r="M9" s="76">
        <f t="shared" si="0"/>
        <v>3839071</v>
      </c>
      <c r="N9" s="76">
        <f t="shared" si="0"/>
        <v>2170031</v>
      </c>
      <c r="O9" s="76">
        <f t="shared" si="0"/>
        <v>286717</v>
      </c>
      <c r="P9" s="76">
        <f t="shared" si="0"/>
        <v>21513093</v>
      </c>
    </row>
    <row r="10" spans="1:16">
      <c r="K10" s="73"/>
      <c r="L10" s="73"/>
      <c r="M10" s="73"/>
      <c r="N10" s="73"/>
      <c r="O10" s="73"/>
      <c r="P10" s="73"/>
    </row>
    <row r="11" spans="1:16">
      <c r="A11" s="4" t="s">
        <v>19</v>
      </c>
      <c r="K11" s="73"/>
      <c r="L11" s="73"/>
      <c r="M11" s="73"/>
      <c r="N11" s="73"/>
      <c r="O11" s="73"/>
      <c r="P11" s="73"/>
    </row>
    <row r="12" spans="1:16">
      <c r="B12" t="s">
        <v>20</v>
      </c>
      <c r="K12" s="73"/>
      <c r="L12" s="73"/>
      <c r="M12" s="73"/>
      <c r="N12" s="73"/>
      <c r="O12" s="73"/>
      <c r="P12" s="73"/>
    </row>
    <row r="13" spans="1:16">
      <c r="C13" t="s">
        <v>21</v>
      </c>
      <c r="K13" s="77">
        <v>92298</v>
      </c>
      <c r="L13" s="73">
        <v>25688</v>
      </c>
      <c r="M13" s="73">
        <v>97995</v>
      </c>
      <c r="N13" s="73"/>
      <c r="O13" s="73">
        <v>600</v>
      </c>
      <c r="P13" s="73">
        <f>SUM(K13:O13)</f>
        <v>216581</v>
      </c>
    </row>
    <row r="14" spans="1:16">
      <c r="C14" t="s">
        <v>171</v>
      </c>
      <c r="K14" s="77">
        <v>9398</v>
      </c>
      <c r="L14" s="73">
        <v>24128</v>
      </c>
      <c r="M14" s="73"/>
      <c r="N14" s="73"/>
      <c r="O14" s="73"/>
      <c r="P14" s="73">
        <f>SUM(K14:O14)</f>
        <v>33526</v>
      </c>
    </row>
    <row r="15" spans="1:16">
      <c r="C15" t="s">
        <v>172</v>
      </c>
      <c r="K15" s="92">
        <v>70000</v>
      </c>
      <c r="L15" s="85"/>
      <c r="M15" s="85"/>
      <c r="N15" s="85"/>
      <c r="O15" s="85"/>
      <c r="P15" s="85">
        <f>SUM(K15:O15)</f>
        <v>70000</v>
      </c>
    </row>
    <row r="16" spans="1:16">
      <c r="K16" s="96"/>
      <c r="L16" s="73"/>
      <c r="M16" s="73"/>
      <c r="N16" s="73"/>
      <c r="O16" s="73"/>
      <c r="P16" s="73"/>
    </row>
    <row r="17" spans="1:16">
      <c r="A17" s="5"/>
      <c r="B17" s="6"/>
      <c r="C17" s="6"/>
      <c r="D17" s="6"/>
      <c r="E17" s="6" t="s">
        <v>26</v>
      </c>
      <c r="F17" s="5"/>
      <c r="G17" s="5"/>
      <c r="H17" s="5"/>
      <c r="I17" s="5"/>
      <c r="J17" s="5"/>
      <c r="K17" s="79">
        <f t="shared" ref="K17:P17" si="1">SUM(K13:K15)</f>
        <v>171696</v>
      </c>
      <c r="L17" s="79">
        <f t="shared" si="1"/>
        <v>49816</v>
      </c>
      <c r="M17" s="79">
        <f t="shared" si="1"/>
        <v>97995</v>
      </c>
      <c r="N17" s="79">
        <f t="shared" si="1"/>
        <v>0</v>
      </c>
      <c r="O17" s="79">
        <f t="shared" si="1"/>
        <v>600</v>
      </c>
      <c r="P17" s="79">
        <f t="shared" si="1"/>
        <v>320107</v>
      </c>
    </row>
    <row r="18" spans="1:16">
      <c r="K18" s="73"/>
      <c r="L18" s="73"/>
      <c r="M18" s="73"/>
      <c r="N18" s="73"/>
      <c r="O18" s="73"/>
      <c r="P18" s="73"/>
    </row>
    <row r="19" spans="1:16">
      <c r="B19" t="s">
        <v>30</v>
      </c>
      <c r="K19" s="73"/>
      <c r="L19" s="73"/>
      <c r="M19" s="73"/>
      <c r="N19" s="73"/>
      <c r="O19" s="73"/>
      <c r="P19" s="73"/>
    </row>
    <row r="20" spans="1:16">
      <c r="C20" t="s">
        <v>173</v>
      </c>
      <c r="K20" s="73"/>
      <c r="L20" s="73"/>
      <c r="M20" s="73"/>
      <c r="N20" s="73"/>
      <c r="O20" s="73">
        <v>16</v>
      </c>
      <c r="P20" s="73">
        <f t="shared" ref="P20:P26" si="2">SUM(K20:O20)</f>
        <v>16</v>
      </c>
    </row>
    <row r="21" spans="1:16">
      <c r="C21" t="s">
        <v>129</v>
      </c>
      <c r="K21" s="73"/>
      <c r="L21" s="73"/>
      <c r="M21" s="73"/>
      <c r="N21" s="73"/>
      <c r="O21" s="73"/>
      <c r="P21" s="73">
        <f t="shared" si="2"/>
        <v>0</v>
      </c>
    </row>
    <row r="22" spans="1:16">
      <c r="D22" t="s">
        <v>71</v>
      </c>
      <c r="K22" s="73"/>
      <c r="L22" s="73"/>
      <c r="M22" s="73"/>
      <c r="N22" s="73"/>
      <c r="O22" s="73">
        <v>175730</v>
      </c>
      <c r="P22" s="73">
        <f t="shared" si="2"/>
        <v>175730</v>
      </c>
    </row>
    <row r="23" spans="1:16">
      <c r="D23" t="s">
        <v>72</v>
      </c>
      <c r="K23" s="73"/>
      <c r="L23" s="73">
        <v>8558420</v>
      </c>
      <c r="M23" s="73">
        <v>3741076</v>
      </c>
      <c r="N23" s="73"/>
      <c r="O23" s="73">
        <v>14471</v>
      </c>
      <c r="P23" s="73">
        <f t="shared" si="2"/>
        <v>12313967</v>
      </c>
    </row>
    <row r="24" spans="1:16">
      <c r="D24" t="s">
        <v>147</v>
      </c>
      <c r="K24" s="73"/>
      <c r="L24" s="73"/>
      <c r="M24" s="73"/>
      <c r="N24" s="73"/>
      <c r="O24" s="73">
        <v>57002</v>
      </c>
      <c r="P24" s="73">
        <f t="shared" si="2"/>
        <v>57002</v>
      </c>
    </row>
    <row r="25" spans="1:16">
      <c r="D25" t="s">
        <v>45</v>
      </c>
      <c r="K25" s="73"/>
      <c r="L25" s="73"/>
      <c r="M25" s="73"/>
      <c r="N25" s="73"/>
      <c r="O25" s="73">
        <v>36521</v>
      </c>
      <c r="P25" s="73">
        <f t="shared" si="2"/>
        <v>36521</v>
      </c>
    </row>
    <row r="26" spans="1:16">
      <c r="C26" t="s">
        <v>130</v>
      </c>
      <c r="K26" s="73"/>
      <c r="L26" s="73"/>
      <c r="M26" s="73"/>
      <c r="N26" s="73">
        <v>2170031</v>
      </c>
      <c r="O26" s="73">
        <v>2377</v>
      </c>
      <c r="P26" s="73">
        <f t="shared" si="2"/>
        <v>2172408</v>
      </c>
    </row>
    <row r="27" spans="1:16">
      <c r="C27" t="s">
        <v>48</v>
      </c>
      <c r="K27" s="84">
        <v>6407342</v>
      </c>
      <c r="L27" s="73"/>
      <c r="M27" s="73"/>
      <c r="N27" s="73"/>
      <c r="O27" s="73"/>
      <c r="P27" s="73">
        <f>SUM(K27:O27)</f>
        <v>6407342</v>
      </c>
    </row>
    <row r="28" spans="1:16">
      <c r="K28" s="93"/>
      <c r="L28" s="93"/>
      <c r="M28" s="93"/>
      <c r="N28" s="93"/>
      <c r="O28" s="93"/>
      <c r="P28" s="93"/>
    </row>
    <row r="29" spans="1:16">
      <c r="A29" s="5"/>
      <c r="B29" s="5"/>
      <c r="C29" s="5"/>
      <c r="D29" s="6"/>
      <c r="E29" s="6" t="s">
        <v>78</v>
      </c>
      <c r="F29" s="5"/>
      <c r="G29" s="5"/>
      <c r="H29" s="5"/>
      <c r="I29" s="5"/>
      <c r="J29" s="5"/>
      <c r="K29" s="79">
        <f>SUM(K21:K27)</f>
        <v>6407342</v>
      </c>
      <c r="L29" s="79">
        <f t="shared" ref="L29:N29" si="3">SUM(L21:L27)</f>
        <v>8558420</v>
      </c>
      <c r="M29" s="79">
        <f t="shared" si="3"/>
        <v>3741076</v>
      </c>
      <c r="N29" s="79">
        <f t="shared" si="3"/>
        <v>2170031</v>
      </c>
      <c r="O29" s="79">
        <f>SUM(O20:O27)</f>
        <v>286117</v>
      </c>
      <c r="P29" s="79">
        <f>SUM(P20:P27)</f>
        <v>21162986</v>
      </c>
    </row>
    <row r="30" spans="1:16">
      <c r="K30" s="73"/>
      <c r="L30" s="73"/>
      <c r="M30" s="73"/>
      <c r="N30" s="73"/>
      <c r="O30" s="73"/>
      <c r="P30" s="73"/>
    </row>
    <row r="31" spans="1:16">
      <c r="A31" s="7"/>
      <c r="B31" s="7"/>
      <c r="C31" s="7"/>
      <c r="D31" s="8"/>
      <c r="E31" s="8" t="s">
        <v>50</v>
      </c>
      <c r="F31" s="7"/>
      <c r="G31" s="7"/>
      <c r="H31" s="7"/>
      <c r="I31" s="7"/>
      <c r="J31" s="7"/>
      <c r="K31" s="81">
        <f>SUM(K29,K17)</f>
        <v>6579038</v>
      </c>
      <c r="L31" s="81">
        <f t="shared" ref="L31:P31" si="4">SUM(L29,L17)</f>
        <v>8608236</v>
      </c>
      <c r="M31" s="81">
        <f t="shared" si="4"/>
        <v>3839071</v>
      </c>
      <c r="N31" s="81">
        <f t="shared" si="4"/>
        <v>2170031</v>
      </c>
      <c r="O31" s="81">
        <f t="shared" si="4"/>
        <v>286717</v>
      </c>
      <c r="P31" s="81">
        <f t="shared" si="4"/>
        <v>21483093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S39"/>
  <sheetViews>
    <sheetView zoomScale="60" zoomScaleNormal="60" zoomScalePageLayoutView="70" workbookViewId="0">
      <selection activeCell="V41" sqref="V41"/>
    </sheetView>
  </sheetViews>
  <sheetFormatPr defaultColWidth="8.85546875" defaultRowHeight="15"/>
  <cols>
    <col min="11" max="11" width="15.28515625" customWidth="1"/>
    <col min="12" max="12" width="15" customWidth="1"/>
    <col min="13" max="13" width="14.42578125" customWidth="1"/>
    <col min="14" max="14" width="16.28515625" customWidth="1"/>
    <col min="15" max="15" width="14.7109375" customWidth="1"/>
    <col min="16" max="16" width="16.85546875" customWidth="1"/>
    <col min="17" max="17" width="15.28515625" customWidth="1"/>
    <col min="18" max="19" width="14.7109375" customWidth="1"/>
  </cols>
  <sheetData>
    <row r="1" spans="1:19" ht="18.75">
      <c r="D1" s="253" t="s">
        <v>174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>
      <c r="P4" s="57"/>
      <c r="Q4" s="57"/>
      <c r="R4" s="57"/>
    </row>
    <row r="5" spans="1:19" ht="45">
      <c r="K5" s="1" t="s">
        <v>52</v>
      </c>
      <c r="L5" s="1" t="s">
        <v>175</v>
      </c>
      <c r="M5" s="1" t="s">
        <v>136</v>
      </c>
      <c r="N5" s="1" t="s">
        <v>176</v>
      </c>
      <c r="O5" s="1" t="s">
        <v>177</v>
      </c>
      <c r="P5" s="1" t="s">
        <v>178</v>
      </c>
      <c r="Q5" s="1" t="s">
        <v>179</v>
      </c>
      <c r="R5" s="1" t="s">
        <v>6</v>
      </c>
      <c r="S5" s="1" t="s">
        <v>7</v>
      </c>
    </row>
    <row r="6" spans="1:19">
      <c r="A6" t="s">
        <v>8</v>
      </c>
    </row>
    <row r="7" spans="1:19">
      <c r="B7" t="s">
        <v>85</v>
      </c>
      <c r="K7" s="72">
        <v>3995100</v>
      </c>
      <c r="L7" s="73">
        <v>4321821</v>
      </c>
      <c r="M7" s="73">
        <v>12346953</v>
      </c>
      <c r="N7" s="73">
        <v>8439777</v>
      </c>
      <c r="O7" s="73">
        <v>3069476</v>
      </c>
      <c r="P7" s="73">
        <v>210716</v>
      </c>
      <c r="Q7" s="73">
        <v>229</v>
      </c>
      <c r="R7" s="73">
        <v>9358163</v>
      </c>
      <c r="S7" s="73">
        <f t="shared" ref="S7:S13" si="0">SUM(K7:R7)</f>
        <v>41742235</v>
      </c>
    </row>
    <row r="8" spans="1:19">
      <c r="B8" t="s">
        <v>10</v>
      </c>
      <c r="L8" s="73"/>
      <c r="M8" s="73"/>
      <c r="N8" s="73">
        <v>1470000</v>
      </c>
      <c r="O8" s="73"/>
      <c r="P8" s="73"/>
      <c r="Q8" s="73"/>
      <c r="R8" s="73">
        <v>1055000</v>
      </c>
      <c r="S8" s="73">
        <f t="shared" si="0"/>
        <v>2525000</v>
      </c>
    </row>
    <row r="9" spans="1:19">
      <c r="B9" t="s">
        <v>60</v>
      </c>
      <c r="K9" s="74">
        <v>2766939</v>
      </c>
      <c r="L9" s="73">
        <v>3234515</v>
      </c>
      <c r="M9" s="73">
        <v>7025554</v>
      </c>
      <c r="N9" s="73">
        <v>972382</v>
      </c>
      <c r="O9" s="73">
        <v>2832702</v>
      </c>
      <c r="P9" s="73"/>
      <c r="Q9" s="73"/>
      <c r="R9" s="73">
        <v>1578845</v>
      </c>
      <c r="S9" s="73">
        <f t="shared" si="0"/>
        <v>18410937</v>
      </c>
    </row>
    <row r="10" spans="1:19">
      <c r="B10" t="s">
        <v>180</v>
      </c>
      <c r="K10" s="95"/>
      <c r="L10" s="73"/>
      <c r="M10" s="73"/>
      <c r="N10" s="73"/>
      <c r="O10" s="73"/>
      <c r="P10" s="73">
        <v>2540249</v>
      </c>
      <c r="Q10" s="73">
        <v>115116</v>
      </c>
      <c r="R10" s="73">
        <v>1722767</v>
      </c>
      <c r="S10" s="73">
        <f t="shared" si="0"/>
        <v>4378132</v>
      </c>
    </row>
    <row r="11" spans="1:19">
      <c r="B11" t="s">
        <v>181</v>
      </c>
      <c r="K11" s="95"/>
      <c r="L11" s="73"/>
      <c r="M11" s="73"/>
      <c r="N11" s="73"/>
      <c r="O11" s="73"/>
      <c r="P11" s="73"/>
      <c r="Q11" s="73">
        <v>11092426</v>
      </c>
      <c r="R11" s="73"/>
      <c r="S11" s="73">
        <f>SUM(K11:R11)</f>
        <v>11092426</v>
      </c>
    </row>
    <row r="12" spans="1:19">
      <c r="B12" t="s">
        <v>16</v>
      </c>
      <c r="K12" s="75">
        <v>76015</v>
      </c>
      <c r="L12" s="73"/>
      <c r="M12" s="73"/>
      <c r="N12" s="73"/>
      <c r="O12" s="73"/>
      <c r="P12" s="73"/>
      <c r="Q12" s="73"/>
      <c r="R12" s="73">
        <v>6373</v>
      </c>
      <c r="S12" s="73">
        <f t="shared" si="0"/>
        <v>82388</v>
      </c>
    </row>
    <row r="13" spans="1:19">
      <c r="B13" t="s">
        <v>182</v>
      </c>
      <c r="K13" s="73"/>
      <c r="L13" s="73"/>
      <c r="M13" s="73"/>
      <c r="N13" s="73"/>
      <c r="O13" s="73"/>
      <c r="P13" s="73">
        <v>8176744</v>
      </c>
      <c r="Q13" s="73"/>
      <c r="R13" s="73"/>
      <c r="S13" s="73">
        <f t="shared" si="0"/>
        <v>8176744</v>
      </c>
    </row>
    <row r="14" spans="1:19">
      <c r="K14" s="93"/>
      <c r="L14" s="93"/>
      <c r="M14" s="93"/>
      <c r="N14" s="93"/>
      <c r="O14" s="93"/>
      <c r="P14" s="93"/>
      <c r="Q14" s="93"/>
      <c r="R14" s="93"/>
      <c r="S14" s="93"/>
    </row>
    <row r="15" spans="1:19">
      <c r="A15" s="2"/>
      <c r="B15" s="2"/>
      <c r="C15" s="2"/>
      <c r="D15" s="2"/>
      <c r="E15" s="2" t="s">
        <v>64</v>
      </c>
      <c r="F15" s="3"/>
      <c r="G15" s="3"/>
      <c r="H15" s="3"/>
      <c r="I15" s="3"/>
      <c r="J15" s="3"/>
      <c r="K15" s="76">
        <f t="shared" ref="K15:S15" si="1">SUM(K7:K13)</f>
        <v>6838054</v>
      </c>
      <c r="L15" s="76">
        <f t="shared" si="1"/>
        <v>7556336</v>
      </c>
      <c r="M15" s="76">
        <f t="shared" si="1"/>
        <v>19372507</v>
      </c>
      <c r="N15" s="76">
        <f t="shared" si="1"/>
        <v>10882159</v>
      </c>
      <c r="O15" s="76">
        <f t="shared" si="1"/>
        <v>5902178</v>
      </c>
      <c r="P15" s="76">
        <f t="shared" si="1"/>
        <v>10927709</v>
      </c>
      <c r="Q15" s="76">
        <f t="shared" si="1"/>
        <v>11207771</v>
      </c>
      <c r="R15" s="76">
        <f t="shared" si="1"/>
        <v>13721148</v>
      </c>
      <c r="S15" s="76">
        <f t="shared" si="1"/>
        <v>86407862</v>
      </c>
    </row>
    <row r="16" spans="1:19"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A17" s="4" t="s">
        <v>183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1:19">
      <c r="B18" t="s">
        <v>20</v>
      </c>
      <c r="K18" s="73"/>
      <c r="L18" s="73"/>
      <c r="M18" s="73"/>
      <c r="N18" s="73"/>
      <c r="O18" s="73"/>
      <c r="P18" s="73"/>
      <c r="Q18" s="73"/>
      <c r="R18" s="73"/>
      <c r="S18" s="73"/>
    </row>
    <row r="19" spans="1:19">
      <c r="C19" t="s">
        <v>21</v>
      </c>
      <c r="K19" s="77">
        <v>313294</v>
      </c>
      <c r="L19" s="73">
        <v>594891</v>
      </c>
      <c r="M19" s="73">
        <v>451210</v>
      </c>
      <c r="N19" s="61">
        <v>394648</v>
      </c>
      <c r="O19" s="73">
        <v>283180</v>
      </c>
      <c r="P19" s="73"/>
      <c r="Q19" s="73"/>
      <c r="R19" s="73">
        <v>473789</v>
      </c>
      <c r="S19" s="73">
        <f>SUM(K19:R19)</f>
        <v>2511012</v>
      </c>
    </row>
    <row r="20" spans="1:19">
      <c r="C20" t="s">
        <v>25</v>
      </c>
      <c r="K20" s="73"/>
      <c r="L20" s="73">
        <v>55782</v>
      </c>
      <c r="M20" s="73"/>
      <c r="N20">
        <v>11300</v>
      </c>
      <c r="O20" s="73"/>
      <c r="P20" s="73"/>
      <c r="Q20" s="73"/>
      <c r="R20" s="73">
        <v>15306</v>
      </c>
      <c r="S20" s="73">
        <f t="shared" ref="S20" si="2">SUM(K20:R20)</f>
        <v>82388</v>
      </c>
    </row>
    <row r="21" spans="1:19">
      <c r="K21" s="93"/>
      <c r="L21" s="93"/>
      <c r="M21" s="93"/>
      <c r="N21" s="94"/>
      <c r="O21" s="93"/>
      <c r="P21" s="93"/>
      <c r="Q21" s="93"/>
      <c r="R21" s="93"/>
      <c r="S21" s="93"/>
    </row>
    <row r="22" spans="1:19">
      <c r="A22" s="5"/>
      <c r="B22" s="6"/>
      <c r="C22" s="6"/>
      <c r="D22" s="6"/>
      <c r="E22" s="6" t="s">
        <v>26</v>
      </c>
      <c r="F22" s="5"/>
      <c r="G22" s="5"/>
      <c r="H22" s="5"/>
      <c r="I22" s="5"/>
      <c r="J22" s="5"/>
      <c r="K22" s="79">
        <f t="shared" ref="K22:S22" si="3">SUM(K19:K20)</f>
        <v>313294</v>
      </c>
      <c r="L22" s="79">
        <f t="shared" si="3"/>
        <v>650673</v>
      </c>
      <c r="M22" s="79">
        <f t="shared" si="3"/>
        <v>451210</v>
      </c>
      <c r="N22" s="79">
        <f t="shared" si="3"/>
        <v>405948</v>
      </c>
      <c r="O22" s="79">
        <f t="shared" si="3"/>
        <v>283180</v>
      </c>
      <c r="P22" s="79">
        <f t="shared" si="3"/>
        <v>0</v>
      </c>
      <c r="Q22" s="79">
        <f t="shared" si="3"/>
        <v>0</v>
      </c>
      <c r="R22" s="79">
        <f t="shared" si="3"/>
        <v>489095</v>
      </c>
      <c r="S22" s="79">
        <f t="shared" si="3"/>
        <v>2593400</v>
      </c>
    </row>
    <row r="23" spans="1:19">
      <c r="K23" s="73"/>
      <c r="L23" s="73"/>
      <c r="M23" s="73"/>
      <c r="N23" s="73"/>
      <c r="O23" s="73"/>
      <c r="P23" s="73"/>
      <c r="Q23" s="73"/>
      <c r="R23" s="73"/>
      <c r="S23" s="73"/>
    </row>
    <row r="24" spans="1:19">
      <c r="A24" s="71" t="s">
        <v>65</v>
      </c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B25" t="s">
        <v>101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C26" t="s">
        <v>184</v>
      </c>
      <c r="K26" s="73">
        <v>1936976</v>
      </c>
      <c r="L26" s="73">
        <v>1966410</v>
      </c>
      <c r="M26" s="73">
        <v>7405923</v>
      </c>
      <c r="N26" s="73"/>
      <c r="O26" s="73">
        <v>2934970</v>
      </c>
      <c r="P26" s="73"/>
      <c r="Q26" s="73"/>
      <c r="R26" s="73">
        <v>812023</v>
      </c>
      <c r="S26" s="73">
        <f>SUM(K26:R26)</f>
        <v>15056302</v>
      </c>
    </row>
    <row r="27" spans="1:19">
      <c r="C27" t="s">
        <v>47</v>
      </c>
      <c r="K27" s="73">
        <v>13218</v>
      </c>
      <c r="L27" s="73">
        <v>177171</v>
      </c>
      <c r="M27" s="73">
        <v>6609</v>
      </c>
      <c r="N27" s="73"/>
      <c r="O27" s="73"/>
      <c r="P27" s="73"/>
      <c r="Q27" s="73"/>
      <c r="R27" s="73">
        <v>35073</v>
      </c>
      <c r="S27" s="73">
        <f>SUM(K27:R27)</f>
        <v>232071</v>
      </c>
    </row>
    <row r="28" spans="1:19">
      <c r="K28" s="93"/>
      <c r="L28" s="93"/>
      <c r="M28" s="93"/>
      <c r="N28" s="93"/>
      <c r="O28" s="93"/>
      <c r="P28" s="93"/>
      <c r="Q28" s="93"/>
      <c r="R28" s="93"/>
      <c r="S28" s="93"/>
    </row>
    <row r="29" spans="1:19">
      <c r="A29" s="5"/>
      <c r="B29" s="6"/>
      <c r="C29" s="6"/>
      <c r="D29" s="6"/>
      <c r="E29" s="6" t="s">
        <v>29</v>
      </c>
      <c r="F29" s="5"/>
      <c r="G29" s="5"/>
      <c r="H29" s="5"/>
      <c r="I29" s="5"/>
      <c r="J29" s="5"/>
      <c r="K29" s="79">
        <f>SUM(K25:K27)</f>
        <v>1950194</v>
      </c>
      <c r="L29" s="79">
        <f t="shared" ref="L29:S29" si="4">SUM(L25:L27)</f>
        <v>2143581</v>
      </c>
      <c r="M29" s="79">
        <f t="shared" si="4"/>
        <v>7412532</v>
      </c>
      <c r="N29" s="79">
        <f t="shared" si="4"/>
        <v>0</v>
      </c>
      <c r="O29" s="79">
        <f t="shared" si="4"/>
        <v>2934970</v>
      </c>
      <c r="P29" s="79">
        <f t="shared" si="4"/>
        <v>0</v>
      </c>
      <c r="Q29" s="79">
        <f t="shared" si="4"/>
        <v>0</v>
      </c>
      <c r="R29" s="79">
        <f t="shared" si="4"/>
        <v>847096</v>
      </c>
      <c r="S29" s="79">
        <f t="shared" si="4"/>
        <v>15288373</v>
      </c>
    </row>
    <row r="30" spans="1:19">
      <c r="K30" s="73"/>
      <c r="L30" s="73"/>
      <c r="M30" s="73"/>
      <c r="N30" s="73"/>
      <c r="O30" s="73"/>
      <c r="P30" s="73"/>
      <c r="Q30" s="73"/>
      <c r="R30" s="73"/>
      <c r="S30" s="73"/>
    </row>
    <row r="31" spans="1:19">
      <c r="B31" t="s">
        <v>30</v>
      </c>
      <c r="K31" s="73"/>
      <c r="L31" s="73"/>
      <c r="M31" s="73"/>
      <c r="N31" s="73"/>
      <c r="O31" s="73"/>
      <c r="P31" s="73"/>
      <c r="Q31" s="73"/>
      <c r="R31" s="73"/>
      <c r="S31" s="73"/>
    </row>
    <row r="32" spans="1:19">
      <c r="C32" t="s">
        <v>145</v>
      </c>
      <c r="K32" s="73"/>
      <c r="L32" s="73"/>
      <c r="M32" s="73"/>
      <c r="N32" s="73"/>
      <c r="O32" s="73"/>
      <c r="P32" s="73">
        <v>8176744</v>
      </c>
      <c r="Q32" s="73"/>
      <c r="R32" s="73"/>
      <c r="S32" s="73">
        <f t="shared" ref="S32:S35" si="5">SUM(K32:R32)</f>
        <v>8176744</v>
      </c>
    </row>
    <row r="33" spans="1:19">
      <c r="C33" t="s">
        <v>129</v>
      </c>
      <c r="K33" s="73"/>
      <c r="L33" s="73"/>
      <c r="M33" s="73">
        <v>9460640</v>
      </c>
      <c r="N33" s="73">
        <v>10324362</v>
      </c>
      <c r="O33" s="73">
        <v>944556</v>
      </c>
      <c r="P33" s="73">
        <v>2750965</v>
      </c>
      <c r="Q33" s="73">
        <v>11207771</v>
      </c>
      <c r="R33" s="73">
        <v>4401935</v>
      </c>
      <c r="S33" s="73">
        <f>SUM(K33:R33)</f>
        <v>39090229</v>
      </c>
    </row>
    <row r="34" spans="1:19">
      <c r="C34" t="s">
        <v>130</v>
      </c>
      <c r="K34" s="91">
        <v>1570876</v>
      </c>
      <c r="L34" s="73">
        <v>4762082</v>
      </c>
      <c r="M34" s="73">
        <v>2048125</v>
      </c>
      <c r="N34" s="73">
        <v>151849</v>
      </c>
      <c r="O34" s="73">
        <v>1739472</v>
      </c>
      <c r="P34" s="73"/>
      <c r="Q34" s="73"/>
      <c r="R34" s="73">
        <v>7983022</v>
      </c>
      <c r="S34" s="73">
        <f t="shared" si="5"/>
        <v>18255426</v>
      </c>
    </row>
    <row r="35" spans="1:19">
      <c r="C35" t="s">
        <v>77</v>
      </c>
      <c r="K35" s="84">
        <v>3003690</v>
      </c>
      <c r="L35" s="73"/>
      <c r="M35" s="73"/>
      <c r="N35" s="73"/>
      <c r="O35" s="73"/>
      <c r="P35" s="73"/>
      <c r="Q35" s="73"/>
      <c r="R35" s="73"/>
      <c r="S35" s="73">
        <f t="shared" si="5"/>
        <v>3003690</v>
      </c>
    </row>
    <row r="36" spans="1:19">
      <c r="K36" s="93"/>
      <c r="L36" s="93"/>
      <c r="M36" s="93"/>
      <c r="N36" s="93"/>
      <c r="O36" s="93"/>
      <c r="P36" s="93"/>
      <c r="Q36" s="93"/>
      <c r="R36" s="93"/>
      <c r="S36" s="93"/>
    </row>
    <row r="37" spans="1:19">
      <c r="A37" s="5"/>
      <c r="B37" s="5"/>
      <c r="C37" s="5"/>
      <c r="D37" s="6"/>
      <c r="E37" s="6" t="s">
        <v>78</v>
      </c>
      <c r="F37" s="5"/>
      <c r="G37" s="5"/>
      <c r="H37" s="5"/>
      <c r="I37" s="5"/>
      <c r="J37" s="5"/>
      <c r="K37" s="79">
        <f t="shared" ref="K37:S37" si="6">SUM(K32:K35)</f>
        <v>4574566</v>
      </c>
      <c r="L37" s="79">
        <f t="shared" si="6"/>
        <v>4762082</v>
      </c>
      <c r="M37" s="79">
        <f t="shared" si="6"/>
        <v>11508765</v>
      </c>
      <c r="N37" s="79">
        <f t="shared" si="6"/>
        <v>10476211</v>
      </c>
      <c r="O37" s="79">
        <f t="shared" si="6"/>
        <v>2684028</v>
      </c>
      <c r="P37" s="79">
        <f t="shared" si="6"/>
        <v>10927709</v>
      </c>
      <c r="Q37" s="79">
        <f t="shared" si="6"/>
        <v>11207771</v>
      </c>
      <c r="R37" s="79">
        <f t="shared" si="6"/>
        <v>12384957</v>
      </c>
      <c r="S37" s="79">
        <f t="shared" si="6"/>
        <v>68526089</v>
      </c>
    </row>
    <row r="38" spans="1:19">
      <c r="K38" s="73"/>
      <c r="L38" s="73"/>
      <c r="M38" s="73"/>
      <c r="N38" s="73"/>
      <c r="O38" s="73"/>
      <c r="P38" s="73"/>
      <c r="Q38" s="73"/>
      <c r="R38" s="73"/>
      <c r="S38" s="73"/>
    </row>
    <row r="39" spans="1:19">
      <c r="A39" s="7"/>
      <c r="B39" s="7"/>
      <c r="C39" s="7"/>
      <c r="D39" s="8"/>
      <c r="E39" s="8" t="s">
        <v>79</v>
      </c>
      <c r="F39" s="7"/>
      <c r="G39" s="7"/>
      <c r="H39" s="7"/>
      <c r="I39" s="7"/>
      <c r="J39" s="7"/>
      <c r="K39" s="81">
        <f>SUM(K22+K29+K37)</f>
        <v>6838054</v>
      </c>
      <c r="L39" s="81">
        <f t="shared" ref="L39:S39" si="7">SUM(L22+L29+L37)</f>
        <v>7556336</v>
      </c>
      <c r="M39" s="81">
        <f t="shared" si="7"/>
        <v>19372507</v>
      </c>
      <c r="N39" s="81">
        <f t="shared" si="7"/>
        <v>10882159</v>
      </c>
      <c r="O39" s="81">
        <f t="shared" si="7"/>
        <v>5902178</v>
      </c>
      <c r="P39" s="81">
        <f t="shared" si="7"/>
        <v>10927709</v>
      </c>
      <c r="Q39" s="81">
        <f t="shared" si="7"/>
        <v>11207771</v>
      </c>
      <c r="R39" s="81">
        <f t="shared" si="7"/>
        <v>13721148</v>
      </c>
      <c r="S39" s="81">
        <f t="shared" si="7"/>
        <v>86407862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60"/>
  <sheetViews>
    <sheetView zoomScaleNormal="100" zoomScalePageLayoutView="80" workbookViewId="0">
      <selection activeCell="S55" sqref="S55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8.4257812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8" width="16.42578125" customWidth="1"/>
    <col min="19" max="19" width="18" customWidth="1"/>
    <col min="20" max="20" width="17.28515625" customWidth="1"/>
  </cols>
  <sheetData>
    <row r="1" spans="1:20" ht="18.75">
      <c r="D1" s="253" t="s">
        <v>185</v>
      </c>
      <c r="E1" s="253"/>
      <c r="F1" s="253"/>
      <c r="G1" s="253"/>
      <c r="H1" s="253"/>
      <c r="I1" s="253"/>
      <c r="J1" s="253"/>
      <c r="K1" s="253"/>
    </row>
    <row r="2" spans="1:20">
      <c r="D2" s="254" t="s">
        <v>1</v>
      </c>
      <c r="E2" s="254"/>
      <c r="F2" s="254"/>
      <c r="G2" s="254"/>
      <c r="H2" s="254"/>
      <c r="I2" s="254"/>
      <c r="J2" s="254"/>
      <c r="K2" s="254"/>
    </row>
    <row r="4" spans="1:20" ht="42.75" customHeight="1">
      <c r="K4" s="1" t="s">
        <v>2</v>
      </c>
      <c r="L4" s="1" t="s">
        <v>186</v>
      </c>
      <c r="M4" s="1" t="s">
        <v>187</v>
      </c>
      <c r="N4" s="1" t="s">
        <v>188</v>
      </c>
      <c r="O4" s="1" t="s">
        <v>189</v>
      </c>
      <c r="P4" s="1" t="s">
        <v>190</v>
      </c>
      <c r="Q4" s="1" t="s">
        <v>191</v>
      </c>
      <c r="R4" s="1" t="s">
        <v>192</v>
      </c>
      <c r="S4" s="1" t="s">
        <v>6</v>
      </c>
      <c r="T4" s="1" t="s">
        <v>7</v>
      </c>
    </row>
    <row r="5" spans="1:20">
      <c r="A5" t="s">
        <v>8</v>
      </c>
    </row>
    <row r="6" spans="1:20">
      <c r="B6" t="s">
        <v>85</v>
      </c>
      <c r="K6" s="72">
        <v>2165963</v>
      </c>
      <c r="L6" s="73">
        <v>31620</v>
      </c>
      <c r="M6" s="73">
        <v>1001500</v>
      </c>
      <c r="N6" s="73">
        <v>684819</v>
      </c>
      <c r="O6" s="73"/>
      <c r="P6" s="73"/>
      <c r="Q6" s="73">
        <v>623277</v>
      </c>
      <c r="R6" s="73"/>
      <c r="S6" s="73">
        <v>168362</v>
      </c>
      <c r="T6" s="73">
        <f>SUM(K6:S6)</f>
        <v>4675541</v>
      </c>
    </row>
    <row r="7" spans="1:20">
      <c r="B7" t="s">
        <v>10</v>
      </c>
      <c r="K7" s="77">
        <v>43345664</v>
      </c>
      <c r="L7" s="73">
        <v>667041</v>
      </c>
      <c r="M7" s="73">
        <v>20981526</v>
      </c>
      <c r="N7" s="73">
        <v>14336882</v>
      </c>
      <c r="O7" s="73"/>
      <c r="P7" s="73"/>
      <c r="Q7" s="73">
        <v>13060286</v>
      </c>
      <c r="R7" s="73"/>
      <c r="S7" s="73">
        <v>24471578</v>
      </c>
      <c r="T7" s="73">
        <f>SUM(K7:S7)</f>
        <v>116862977</v>
      </c>
    </row>
    <row r="8" spans="1:20">
      <c r="B8" t="s">
        <v>193</v>
      </c>
      <c r="K8" s="73"/>
      <c r="L8" s="73"/>
      <c r="M8" s="73"/>
      <c r="N8" s="73"/>
      <c r="O8" s="73"/>
      <c r="P8" s="73"/>
      <c r="Q8" s="73"/>
      <c r="R8" s="73"/>
      <c r="S8" s="73"/>
      <c r="T8" s="73"/>
    </row>
    <row r="9" spans="1:20">
      <c r="C9" t="s">
        <v>87</v>
      </c>
      <c r="K9" s="74">
        <v>6502121</v>
      </c>
      <c r="L9" s="73">
        <v>8255761</v>
      </c>
      <c r="M9" s="73"/>
      <c r="N9" s="73">
        <v>6453859</v>
      </c>
      <c r="O9" s="73"/>
      <c r="P9" s="73">
        <v>2737122</v>
      </c>
      <c r="Q9" s="73"/>
      <c r="R9" s="73">
        <v>5027031</v>
      </c>
      <c r="S9" s="73">
        <v>14267311</v>
      </c>
      <c r="T9" s="73">
        <f t="shared" ref="T9:T16" si="0">SUM(K9:S9)</f>
        <v>43243205</v>
      </c>
    </row>
    <row r="10" spans="1:20">
      <c r="C10" t="s">
        <v>194</v>
      </c>
      <c r="K10" s="73"/>
      <c r="L10" s="73"/>
      <c r="M10" s="73"/>
      <c r="N10" s="73">
        <v>151647</v>
      </c>
      <c r="O10" s="73"/>
      <c r="P10" s="73"/>
      <c r="Q10" s="73"/>
      <c r="R10" s="73"/>
      <c r="S10" s="73"/>
      <c r="T10" s="73">
        <f t="shared" si="0"/>
        <v>151647</v>
      </c>
    </row>
    <row r="11" spans="1:20">
      <c r="C11" t="s">
        <v>47</v>
      </c>
      <c r="K11" s="74">
        <v>9693</v>
      </c>
      <c r="L11" s="73">
        <v>247</v>
      </c>
      <c r="M11" s="73">
        <v>6556</v>
      </c>
      <c r="N11" s="73"/>
      <c r="O11" s="73"/>
      <c r="P11" s="73"/>
      <c r="Q11" s="73"/>
      <c r="R11" s="73"/>
      <c r="S11" s="73">
        <v>174972</v>
      </c>
      <c r="T11" s="73">
        <f t="shared" si="0"/>
        <v>191468</v>
      </c>
    </row>
    <row r="12" spans="1:20">
      <c r="C12" t="s">
        <v>195</v>
      </c>
      <c r="K12" s="74">
        <v>139030</v>
      </c>
      <c r="L12" s="73">
        <v>2030</v>
      </c>
      <c r="M12" s="73">
        <v>64285</v>
      </c>
      <c r="N12" s="73">
        <v>43949</v>
      </c>
      <c r="O12" s="73"/>
      <c r="P12" s="73"/>
      <c r="Q12" s="73">
        <v>40007</v>
      </c>
      <c r="R12" s="73"/>
      <c r="S12" s="73">
        <v>74978</v>
      </c>
      <c r="T12" s="73">
        <f t="shared" si="0"/>
        <v>364279</v>
      </c>
    </row>
    <row r="13" spans="1:20">
      <c r="B13" t="s">
        <v>16</v>
      </c>
      <c r="K13" s="75">
        <v>1202730</v>
      </c>
      <c r="L13" s="73">
        <v>60455</v>
      </c>
      <c r="M13" s="73">
        <v>545051</v>
      </c>
      <c r="N13" s="73">
        <v>428333</v>
      </c>
      <c r="O13" s="73"/>
      <c r="P13" s="73"/>
      <c r="Q13" s="73">
        <v>400320</v>
      </c>
      <c r="R13" s="73"/>
      <c r="S13" s="73">
        <v>1283979</v>
      </c>
      <c r="T13" s="73">
        <f t="shared" si="0"/>
        <v>3920868</v>
      </c>
    </row>
    <row r="14" spans="1:20">
      <c r="B14" t="s">
        <v>61</v>
      </c>
      <c r="K14" s="75">
        <v>194831</v>
      </c>
      <c r="L14" s="73">
        <v>159204</v>
      </c>
      <c r="M14" s="73">
        <v>280350</v>
      </c>
      <c r="N14" s="73">
        <v>934684</v>
      </c>
      <c r="O14" s="73"/>
      <c r="P14" s="73">
        <v>45356</v>
      </c>
      <c r="Q14" s="73"/>
      <c r="R14" s="73">
        <v>81957</v>
      </c>
      <c r="S14" s="73">
        <v>578176</v>
      </c>
      <c r="T14" s="73">
        <f t="shared" si="0"/>
        <v>2274558</v>
      </c>
    </row>
    <row r="15" spans="1:20">
      <c r="B15" t="s">
        <v>196</v>
      </c>
      <c r="K15" s="73"/>
      <c r="L15" s="73"/>
      <c r="M15" s="73"/>
      <c r="N15" s="73">
        <v>115369</v>
      </c>
      <c r="O15" s="73"/>
      <c r="P15" s="73"/>
      <c r="Q15" s="73"/>
      <c r="R15" s="73"/>
      <c r="S15" s="73"/>
      <c r="T15" s="73">
        <f t="shared" si="0"/>
        <v>115369</v>
      </c>
    </row>
    <row r="16" spans="1:20">
      <c r="B16" t="s">
        <v>126</v>
      </c>
      <c r="K16" s="73"/>
      <c r="L16" s="73"/>
      <c r="M16" s="73"/>
      <c r="N16" s="73">
        <v>19512</v>
      </c>
      <c r="O16" s="73"/>
      <c r="P16" s="73"/>
      <c r="Q16" s="73"/>
      <c r="R16" s="73"/>
      <c r="S16" s="73"/>
      <c r="T16" s="73">
        <f t="shared" si="0"/>
        <v>19512</v>
      </c>
    </row>
    <row r="17" spans="1:20">
      <c r="K17" s="93"/>
      <c r="L17" s="93"/>
      <c r="M17" s="93"/>
      <c r="N17" s="93"/>
      <c r="O17" s="93"/>
      <c r="P17" s="93"/>
      <c r="Q17" s="93"/>
      <c r="R17" s="93"/>
      <c r="S17" s="93"/>
      <c r="T17" s="93"/>
    </row>
    <row r="18" spans="1:20" s="3" customFormat="1">
      <c r="A18" s="2"/>
      <c r="B18" s="2"/>
      <c r="C18" s="2"/>
      <c r="D18" s="2"/>
      <c r="E18" s="2" t="s">
        <v>18</v>
      </c>
      <c r="K18" s="76">
        <f t="shared" ref="K18:R18" si="1">SUM(K6:K16)</f>
        <v>53560032</v>
      </c>
      <c r="L18" s="76">
        <f t="shared" si="1"/>
        <v>9176358</v>
      </c>
      <c r="M18" s="76">
        <f t="shared" si="1"/>
        <v>22879268</v>
      </c>
      <c r="N18" s="76">
        <f t="shared" si="1"/>
        <v>23169054</v>
      </c>
      <c r="O18" s="76">
        <f t="shared" si="1"/>
        <v>0</v>
      </c>
      <c r="P18" s="76">
        <f t="shared" si="1"/>
        <v>2782478</v>
      </c>
      <c r="Q18" s="76">
        <f t="shared" si="1"/>
        <v>14123890</v>
      </c>
      <c r="R18" s="76">
        <f t="shared" si="1"/>
        <v>5108988</v>
      </c>
      <c r="S18" s="76">
        <f>SUM(S6:S16)</f>
        <v>41019356</v>
      </c>
      <c r="T18" s="76">
        <f>SUM(T6:T16)</f>
        <v>171819424</v>
      </c>
    </row>
    <row r="19" spans="1:20">
      <c r="K19" s="73"/>
      <c r="L19" s="73"/>
      <c r="M19" s="73"/>
      <c r="N19" s="73"/>
      <c r="O19" s="73"/>
      <c r="P19" s="73"/>
      <c r="Q19" s="73"/>
      <c r="R19" s="73"/>
      <c r="S19" s="73"/>
      <c r="T19" s="73"/>
    </row>
    <row r="20" spans="1:20">
      <c r="A20" s="4" t="s">
        <v>19</v>
      </c>
      <c r="K20" s="73"/>
      <c r="L20" s="73"/>
      <c r="M20" s="73"/>
      <c r="N20" s="73"/>
      <c r="O20" s="73"/>
      <c r="P20" s="73"/>
      <c r="Q20" s="73"/>
      <c r="R20" s="73"/>
      <c r="S20" s="73"/>
      <c r="T20" s="73"/>
    </row>
    <row r="21" spans="1:20">
      <c r="B21" t="s">
        <v>20</v>
      </c>
      <c r="K21" s="73"/>
      <c r="L21" s="73"/>
      <c r="M21" s="73"/>
      <c r="N21" s="73"/>
      <c r="O21" s="73"/>
      <c r="P21" s="73"/>
      <c r="Q21" s="73"/>
      <c r="R21" s="73"/>
      <c r="S21" s="73"/>
      <c r="T21" s="73"/>
    </row>
    <row r="22" spans="1:20">
      <c r="C22" t="s">
        <v>21</v>
      </c>
      <c r="K22" s="77">
        <v>53144</v>
      </c>
      <c r="L22" s="73">
        <v>89303</v>
      </c>
      <c r="M22" s="73">
        <v>167196</v>
      </c>
      <c r="N22" s="73">
        <v>368299</v>
      </c>
      <c r="O22" s="73"/>
      <c r="P22" s="73">
        <v>659281</v>
      </c>
      <c r="Q22" s="73">
        <v>1225550</v>
      </c>
      <c r="R22" s="73"/>
      <c r="S22" s="73">
        <v>411239</v>
      </c>
      <c r="T22" s="73">
        <f t="shared" ref="T22:T28" si="2">SUM(K22:S22)</f>
        <v>2974012</v>
      </c>
    </row>
    <row r="23" spans="1:20">
      <c r="C23" t="s">
        <v>197</v>
      </c>
      <c r="K23" s="77">
        <v>32433</v>
      </c>
      <c r="L23" s="73">
        <v>8945</v>
      </c>
      <c r="M23" s="73">
        <v>16978</v>
      </c>
      <c r="N23" s="73">
        <v>47058</v>
      </c>
      <c r="O23" s="73"/>
      <c r="P23" s="73"/>
      <c r="Q23" s="73"/>
      <c r="R23" s="73"/>
      <c r="S23" s="73">
        <v>117586</v>
      </c>
      <c r="T23" s="73">
        <f t="shared" si="2"/>
        <v>223000</v>
      </c>
    </row>
    <row r="24" spans="1:20">
      <c r="C24" t="s">
        <v>22</v>
      </c>
      <c r="K24" s="73"/>
      <c r="L24" s="73"/>
      <c r="M24" s="73"/>
      <c r="N24" s="73"/>
      <c r="O24" s="73"/>
      <c r="P24" s="73"/>
      <c r="Q24" s="73">
        <v>405543</v>
      </c>
      <c r="R24" s="73"/>
      <c r="S24" s="73"/>
      <c r="T24" s="73">
        <f t="shared" si="2"/>
        <v>405543</v>
      </c>
    </row>
    <row r="25" spans="1:20">
      <c r="C25" t="s">
        <v>25</v>
      </c>
      <c r="K25" s="73"/>
      <c r="L25" s="73"/>
      <c r="M25" s="73"/>
      <c r="N25" s="73"/>
      <c r="O25" s="73"/>
      <c r="P25" s="73">
        <v>1519906</v>
      </c>
      <c r="Q25" s="73"/>
      <c r="R25" s="73">
        <v>2732500</v>
      </c>
      <c r="S25" s="73"/>
      <c r="T25" s="73">
        <f t="shared" si="2"/>
        <v>4252406</v>
      </c>
    </row>
    <row r="26" spans="1:20">
      <c r="C26" t="s">
        <v>24</v>
      </c>
      <c r="K26" s="98">
        <v>34465</v>
      </c>
      <c r="L26" s="73"/>
      <c r="M26" s="73"/>
      <c r="N26" s="73"/>
      <c r="O26" s="73"/>
      <c r="P26" s="73"/>
      <c r="Q26" s="73"/>
      <c r="R26" s="73"/>
      <c r="S26" s="73"/>
      <c r="T26" s="73">
        <f t="shared" si="2"/>
        <v>34465</v>
      </c>
    </row>
    <row r="27" spans="1:20">
      <c r="C27" t="s">
        <v>198</v>
      </c>
      <c r="K27" s="73"/>
      <c r="L27" s="73">
        <v>893500</v>
      </c>
      <c r="M27" s="73"/>
      <c r="N27" s="73"/>
      <c r="O27" s="73"/>
      <c r="P27" s="73"/>
      <c r="Q27" s="73"/>
      <c r="R27" s="73"/>
      <c r="S27" s="73"/>
      <c r="T27" s="73">
        <f t="shared" si="2"/>
        <v>893500</v>
      </c>
    </row>
    <row r="28" spans="1:20">
      <c r="C28" t="s">
        <v>99</v>
      </c>
      <c r="K28" s="78">
        <v>15014</v>
      </c>
      <c r="L28" s="73"/>
      <c r="M28" s="73">
        <v>3460</v>
      </c>
      <c r="N28" s="73">
        <v>7822</v>
      </c>
      <c r="O28" s="73"/>
      <c r="P28" s="73"/>
      <c r="Q28" s="73"/>
      <c r="R28" s="73">
        <v>161984</v>
      </c>
      <c r="S28" s="73">
        <v>94680</v>
      </c>
      <c r="T28" s="73">
        <f t="shared" si="2"/>
        <v>282960</v>
      </c>
    </row>
    <row r="29" spans="1:20">
      <c r="K29" s="93"/>
      <c r="L29" s="93"/>
      <c r="M29" s="93"/>
      <c r="N29" s="93"/>
      <c r="O29" s="93"/>
      <c r="P29" s="93"/>
      <c r="Q29" s="93"/>
      <c r="R29" s="93"/>
      <c r="S29" s="93"/>
      <c r="T29" s="93"/>
    </row>
    <row r="30" spans="1:20" s="5" customFormat="1">
      <c r="B30" s="6"/>
      <c r="C30" s="6"/>
      <c r="D30" s="6"/>
      <c r="E30" s="6" t="s">
        <v>26</v>
      </c>
      <c r="K30" s="79">
        <f t="shared" ref="K30:R30" si="3">SUM(K22:K28)</f>
        <v>135056</v>
      </c>
      <c r="L30" s="79">
        <f t="shared" si="3"/>
        <v>991748</v>
      </c>
      <c r="M30" s="79">
        <f t="shared" si="3"/>
        <v>187634</v>
      </c>
      <c r="N30" s="79">
        <f t="shared" si="3"/>
        <v>423179</v>
      </c>
      <c r="O30" s="79">
        <f t="shared" si="3"/>
        <v>0</v>
      </c>
      <c r="P30" s="79">
        <f t="shared" si="3"/>
        <v>2179187</v>
      </c>
      <c r="Q30" s="79">
        <f t="shared" si="3"/>
        <v>1631093</v>
      </c>
      <c r="R30" s="79">
        <f t="shared" si="3"/>
        <v>2894484</v>
      </c>
      <c r="S30" s="79">
        <f>SUM(S22:S28)</f>
        <v>623505</v>
      </c>
      <c r="T30" s="79">
        <f>SUM(T22:T28)</f>
        <v>9065886</v>
      </c>
    </row>
    <row r="31" spans="1:20">
      <c r="K31" s="73"/>
      <c r="L31" s="73"/>
      <c r="M31" s="73"/>
      <c r="N31" s="73"/>
      <c r="O31" s="73"/>
      <c r="P31" s="73"/>
      <c r="Q31" s="73"/>
      <c r="R31" s="73"/>
      <c r="S31" s="73"/>
      <c r="T31" s="73"/>
    </row>
    <row r="32" spans="1:20">
      <c r="A32" s="71" t="s">
        <v>27</v>
      </c>
      <c r="K32" s="73"/>
      <c r="L32" s="73"/>
      <c r="M32" s="73"/>
      <c r="N32" s="73"/>
      <c r="O32" s="73"/>
      <c r="P32" s="73"/>
      <c r="Q32" s="73"/>
      <c r="R32" s="73"/>
      <c r="S32" s="73"/>
      <c r="T32" s="73"/>
    </row>
    <row r="33" spans="1:20">
      <c r="A33" s="71"/>
      <c r="B33" t="s">
        <v>199</v>
      </c>
      <c r="K33" s="73">
        <v>47879</v>
      </c>
      <c r="L33" s="73">
        <v>62643</v>
      </c>
      <c r="M33" s="73"/>
      <c r="N33" s="73">
        <v>39798</v>
      </c>
      <c r="O33" s="73"/>
      <c r="P33" s="73">
        <v>10584</v>
      </c>
      <c r="Q33" s="73"/>
      <c r="R33" s="73">
        <v>22127</v>
      </c>
      <c r="S33" s="73">
        <v>84863</v>
      </c>
      <c r="T33" s="73">
        <f>SUM(K33:S33)</f>
        <v>267894</v>
      </c>
    </row>
    <row r="34" spans="1:20">
      <c r="B34" t="s">
        <v>200</v>
      </c>
      <c r="K34" s="85"/>
      <c r="L34" s="85"/>
      <c r="M34" s="85"/>
      <c r="N34" s="85">
        <v>56265</v>
      </c>
      <c r="O34" s="85"/>
      <c r="P34" s="85"/>
      <c r="Q34" s="85"/>
      <c r="R34" s="85"/>
      <c r="S34" s="85"/>
      <c r="T34" s="85">
        <f>SUM(K34:S34)</f>
        <v>56265</v>
      </c>
    </row>
    <row r="35" spans="1:20">
      <c r="K35" s="73"/>
      <c r="L35" s="73"/>
      <c r="M35" s="73"/>
      <c r="N35" s="73"/>
      <c r="O35" s="73"/>
      <c r="P35" s="73"/>
      <c r="Q35" s="73"/>
      <c r="R35" s="73"/>
      <c r="S35" s="73"/>
      <c r="T35" s="73"/>
    </row>
    <row r="36" spans="1:20" s="5" customFormat="1">
      <c r="B36" s="6"/>
      <c r="C36" s="6"/>
      <c r="D36" s="6"/>
      <c r="E36" s="6" t="s">
        <v>102</v>
      </c>
      <c r="K36" s="79">
        <f>SUM(K33:K34)</f>
        <v>47879</v>
      </c>
      <c r="L36" s="79">
        <f t="shared" ref="L36:R36" si="4">SUM(L33:L34)</f>
        <v>62643</v>
      </c>
      <c r="M36" s="79">
        <f t="shared" si="4"/>
        <v>0</v>
      </c>
      <c r="N36" s="79">
        <f t="shared" si="4"/>
        <v>96063</v>
      </c>
      <c r="O36" s="79">
        <f t="shared" si="4"/>
        <v>0</v>
      </c>
      <c r="P36" s="79">
        <f t="shared" si="4"/>
        <v>10584</v>
      </c>
      <c r="Q36" s="79">
        <f t="shared" si="4"/>
        <v>0</v>
      </c>
      <c r="R36" s="79">
        <f t="shared" si="4"/>
        <v>22127</v>
      </c>
      <c r="S36" s="79">
        <f>SUM(S33:S34)</f>
        <v>84863</v>
      </c>
      <c r="T36" s="79">
        <f>SUM(T33:T34)</f>
        <v>324159</v>
      </c>
    </row>
    <row r="37" spans="1:20">
      <c r="K37" s="73"/>
      <c r="L37" s="73"/>
      <c r="M37" s="73"/>
      <c r="N37" s="73"/>
      <c r="O37" s="73"/>
      <c r="P37" s="73"/>
      <c r="Q37" s="73"/>
      <c r="R37" s="73"/>
      <c r="S37" s="73"/>
      <c r="T37" s="73"/>
    </row>
    <row r="38" spans="1:20">
      <c r="B38" t="s">
        <v>103</v>
      </c>
      <c r="K38" s="73"/>
      <c r="L38" s="73"/>
      <c r="M38" s="73"/>
      <c r="N38" s="73"/>
      <c r="O38" s="73"/>
      <c r="P38" s="73"/>
      <c r="Q38" s="73"/>
      <c r="R38" s="73"/>
      <c r="S38" s="73"/>
      <c r="T38" s="73"/>
    </row>
    <row r="39" spans="1:20">
      <c r="C39" t="s">
        <v>31</v>
      </c>
      <c r="K39" s="73"/>
      <c r="L39" s="73"/>
      <c r="M39" s="73"/>
      <c r="N39" s="73"/>
      <c r="O39" s="73"/>
      <c r="P39" s="73"/>
      <c r="Q39" s="73"/>
      <c r="R39" s="73"/>
      <c r="S39" s="73"/>
      <c r="T39" s="73"/>
    </row>
    <row r="40" spans="1:20">
      <c r="D40" t="s">
        <v>201</v>
      </c>
      <c r="K40" s="73"/>
      <c r="L40" s="73">
        <v>7419892</v>
      </c>
      <c r="M40" s="73"/>
      <c r="N40" s="73"/>
      <c r="O40" s="73"/>
      <c r="P40" s="73"/>
      <c r="Q40" s="73"/>
      <c r="R40" s="73">
        <v>2164345</v>
      </c>
      <c r="S40" s="73">
        <v>4115816</v>
      </c>
      <c r="T40" s="73">
        <f t="shared" ref="T40:T48" si="5">SUM(K40:S40)</f>
        <v>13700053</v>
      </c>
    </row>
    <row r="41" spans="1:20">
      <c r="D41" t="s">
        <v>147</v>
      </c>
      <c r="K41" s="73"/>
      <c r="L41" s="73"/>
      <c r="M41" s="73"/>
      <c r="N41" s="73"/>
      <c r="O41" s="73"/>
      <c r="P41" s="73"/>
      <c r="Q41" s="73"/>
      <c r="R41" s="73"/>
      <c r="S41" s="73">
        <v>4598423</v>
      </c>
      <c r="T41" s="73">
        <f t="shared" si="5"/>
        <v>4598423</v>
      </c>
    </row>
    <row r="42" spans="1:20">
      <c r="D42" t="s">
        <v>202</v>
      </c>
      <c r="K42" s="73"/>
      <c r="L42" s="73"/>
      <c r="M42" s="73"/>
      <c r="N42" s="73">
        <v>17760128</v>
      </c>
      <c r="O42" s="73"/>
      <c r="P42" s="73"/>
      <c r="Q42" s="73"/>
      <c r="R42" s="73"/>
      <c r="S42" s="73"/>
      <c r="T42" s="73">
        <f t="shared" si="5"/>
        <v>17760128</v>
      </c>
    </row>
    <row r="43" spans="1:20">
      <c r="D43" t="s">
        <v>203</v>
      </c>
      <c r="K43" s="73"/>
      <c r="L43" s="73"/>
      <c r="M43" s="73"/>
      <c r="N43" s="73"/>
      <c r="O43" s="73"/>
      <c r="P43" s="73"/>
      <c r="Q43" s="73"/>
      <c r="R43" s="73"/>
      <c r="S43" s="73">
        <v>8149857</v>
      </c>
      <c r="T43" s="73">
        <f t="shared" si="5"/>
        <v>8149857</v>
      </c>
    </row>
    <row r="44" spans="1:20">
      <c r="D44" t="s">
        <v>73</v>
      </c>
      <c r="K44" s="73"/>
      <c r="L44" s="73"/>
      <c r="M44" s="73">
        <v>21151391</v>
      </c>
      <c r="N44" s="73"/>
      <c r="O44" s="73"/>
      <c r="P44" s="73"/>
      <c r="Q44" s="73"/>
      <c r="R44" s="73"/>
      <c r="S44" s="73"/>
      <c r="T44" s="73">
        <f t="shared" si="5"/>
        <v>21151391</v>
      </c>
    </row>
    <row r="45" spans="1:20">
      <c r="D45" t="s">
        <v>115</v>
      </c>
      <c r="K45" s="73"/>
      <c r="L45" s="73"/>
      <c r="M45" s="73"/>
      <c r="N45" s="73"/>
      <c r="O45" s="73"/>
      <c r="P45" s="73"/>
      <c r="Q45" s="73"/>
      <c r="R45" s="73"/>
      <c r="S45" s="73">
        <v>3114732</v>
      </c>
      <c r="T45" s="73">
        <f t="shared" si="5"/>
        <v>3114732</v>
      </c>
    </row>
    <row r="46" spans="1:20">
      <c r="D46" t="s">
        <v>45</v>
      </c>
      <c r="K46" s="73"/>
      <c r="L46" s="73"/>
      <c r="M46" s="73"/>
      <c r="N46" s="73"/>
      <c r="O46" s="73"/>
      <c r="P46" s="73">
        <v>213504</v>
      </c>
      <c r="Q46" s="73"/>
      <c r="R46" s="73"/>
      <c r="S46" s="73"/>
      <c r="T46" s="73">
        <f t="shared" si="5"/>
        <v>213504</v>
      </c>
    </row>
    <row r="47" spans="1:20">
      <c r="D47" t="s">
        <v>74</v>
      </c>
      <c r="K47" s="73"/>
      <c r="L47" s="73"/>
      <c r="M47" s="73"/>
      <c r="N47" s="73"/>
      <c r="O47" s="73"/>
      <c r="P47" s="73"/>
      <c r="Q47" s="73"/>
      <c r="R47" s="73"/>
      <c r="S47" s="73">
        <v>3161513</v>
      </c>
      <c r="T47" s="73">
        <f t="shared" si="5"/>
        <v>3161513</v>
      </c>
    </row>
    <row r="48" spans="1:20">
      <c r="D48" t="s">
        <v>44</v>
      </c>
      <c r="K48" s="73"/>
      <c r="L48" s="73"/>
      <c r="M48" s="73"/>
      <c r="N48" s="73"/>
      <c r="O48" s="73"/>
      <c r="P48" s="73"/>
      <c r="Q48" s="73">
        <v>12492797</v>
      </c>
      <c r="R48" s="73"/>
      <c r="S48" s="73">
        <v>7164738</v>
      </c>
      <c r="T48" s="73">
        <f t="shared" si="5"/>
        <v>19657535</v>
      </c>
    </row>
    <row r="49" spans="3:20">
      <c r="C49" t="s">
        <v>40</v>
      </c>
      <c r="K49" s="73"/>
      <c r="L49" s="73"/>
      <c r="M49" s="73"/>
      <c r="N49" s="73"/>
      <c r="O49" s="73"/>
      <c r="P49" s="73"/>
      <c r="Q49" s="73"/>
      <c r="R49" s="73"/>
      <c r="S49" s="73"/>
      <c r="T49" s="73"/>
    </row>
    <row r="50" spans="3:20">
      <c r="D50" t="s">
        <v>204</v>
      </c>
      <c r="K50" s="80">
        <v>37568272</v>
      </c>
      <c r="L50" s="73"/>
      <c r="M50" s="73"/>
      <c r="N50" s="73"/>
      <c r="O50" s="73"/>
      <c r="P50" s="73"/>
      <c r="Q50" s="73"/>
      <c r="R50" s="73"/>
      <c r="S50" s="73"/>
      <c r="T50" s="73">
        <f>SUM(K50:S50)</f>
        <v>37568272</v>
      </c>
    </row>
    <row r="51" spans="3:20">
      <c r="D51" t="s">
        <v>45</v>
      </c>
      <c r="K51" s="73"/>
      <c r="L51" s="73"/>
      <c r="M51" s="73"/>
      <c r="N51" s="73"/>
      <c r="O51" s="73"/>
      <c r="P51" s="73"/>
      <c r="Q51" s="73"/>
      <c r="R51" s="73"/>
      <c r="S51" s="73">
        <v>1498895</v>
      </c>
      <c r="T51" s="73">
        <f>SUM(K51:S51)</f>
        <v>1498895</v>
      </c>
    </row>
    <row r="52" spans="3:20">
      <c r="D52" t="s">
        <v>205</v>
      </c>
      <c r="K52" s="80">
        <v>1765245</v>
      </c>
      <c r="L52" s="73">
        <v>702075</v>
      </c>
      <c r="M52" s="73">
        <v>1540243</v>
      </c>
      <c r="N52" s="73">
        <v>4889684</v>
      </c>
      <c r="O52" s="73"/>
      <c r="P52" s="73">
        <v>379203</v>
      </c>
      <c r="Q52" s="73"/>
      <c r="R52" s="73">
        <v>28032</v>
      </c>
      <c r="S52" s="73">
        <v>1635601</v>
      </c>
      <c r="T52" s="73">
        <f>SUM(K52:S52)</f>
        <v>10940083</v>
      </c>
    </row>
    <row r="53" spans="3:20">
      <c r="C53" t="s">
        <v>206</v>
      </c>
      <c r="K53" s="73"/>
      <c r="L53" s="73"/>
      <c r="M53" s="73"/>
      <c r="N53" s="73"/>
      <c r="O53" s="73"/>
      <c r="P53" s="73"/>
      <c r="Q53" s="73"/>
      <c r="R53" s="73"/>
      <c r="S53" s="73"/>
      <c r="T53" s="73"/>
    </row>
    <row r="54" spans="3:20">
      <c r="D54" t="s">
        <v>207</v>
      </c>
      <c r="K54" s="73"/>
      <c r="L54" s="73"/>
      <c r="M54" s="73"/>
      <c r="N54" s="73"/>
      <c r="O54" s="73"/>
      <c r="P54" s="73"/>
      <c r="Q54" s="73"/>
      <c r="R54" s="73"/>
      <c r="S54" s="73">
        <v>7871413</v>
      </c>
      <c r="T54" s="73">
        <f>SUM(K54:S54)</f>
        <v>7871413</v>
      </c>
    </row>
    <row r="55" spans="3:20">
      <c r="D55" t="s">
        <v>208</v>
      </c>
      <c r="K55" s="174">
        <v>600000</v>
      </c>
      <c r="L55" s="73"/>
      <c r="M55" s="73"/>
      <c r="N55" s="73"/>
      <c r="O55" s="73"/>
      <c r="P55" s="73"/>
      <c r="Q55" s="73"/>
      <c r="R55" s="73"/>
      <c r="S55" s="73"/>
      <c r="T55" s="73">
        <f>SUM(K55:S55)</f>
        <v>600000</v>
      </c>
    </row>
    <row r="56" spans="3:20">
      <c r="C56" t="s">
        <v>48</v>
      </c>
      <c r="K56" s="84">
        <v>15443580</v>
      </c>
      <c r="L56" s="73"/>
      <c r="M56" s="73"/>
      <c r="N56" s="73"/>
      <c r="O56" s="73"/>
      <c r="P56" s="73"/>
      <c r="Q56" s="73"/>
      <c r="R56" s="73"/>
      <c r="S56" s="73"/>
      <c r="T56" s="73">
        <f>SUM(K56:S56)</f>
        <v>15443580</v>
      </c>
    </row>
    <row r="57" spans="3:20">
      <c r="K57" s="73"/>
      <c r="L57" s="73"/>
      <c r="M57" s="73"/>
      <c r="N57" s="73"/>
      <c r="O57" s="73"/>
      <c r="P57" s="73"/>
      <c r="Q57" s="73"/>
      <c r="R57" s="73"/>
      <c r="S57" s="73"/>
      <c r="T57" s="73"/>
    </row>
    <row r="58" spans="3:20" s="5" customFormat="1">
      <c r="D58" s="6"/>
      <c r="E58" s="6" t="s">
        <v>78</v>
      </c>
      <c r="K58" s="79">
        <f t="shared" ref="K58:T58" si="6">SUM(K39:K56)</f>
        <v>55377097</v>
      </c>
      <c r="L58" s="79">
        <f t="shared" si="6"/>
        <v>8121967</v>
      </c>
      <c r="M58" s="79">
        <f t="shared" si="6"/>
        <v>22691634</v>
      </c>
      <c r="N58" s="79">
        <f t="shared" si="6"/>
        <v>22649812</v>
      </c>
      <c r="O58" s="79">
        <f t="shared" si="6"/>
        <v>0</v>
      </c>
      <c r="P58" s="79">
        <f t="shared" si="6"/>
        <v>592707</v>
      </c>
      <c r="Q58" s="79">
        <f t="shared" si="6"/>
        <v>12492797</v>
      </c>
      <c r="R58" s="79">
        <f t="shared" si="6"/>
        <v>2192377</v>
      </c>
      <c r="S58" s="79">
        <f t="shared" si="6"/>
        <v>41310988</v>
      </c>
      <c r="T58" s="79">
        <f t="shared" si="6"/>
        <v>165429379</v>
      </c>
    </row>
    <row r="59" spans="3:20">
      <c r="K59" s="73"/>
      <c r="L59" s="73"/>
      <c r="M59" s="73"/>
      <c r="N59" s="73"/>
      <c r="O59" s="73"/>
      <c r="P59" s="73"/>
      <c r="Q59" s="73"/>
      <c r="R59" s="73"/>
      <c r="S59" s="73"/>
      <c r="T59" s="73"/>
    </row>
    <row r="60" spans="3:20" s="7" customFormat="1">
      <c r="D60" s="8"/>
      <c r="E60" s="8" t="s">
        <v>209</v>
      </c>
      <c r="K60" s="81">
        <f t="shared" ref="K60:T60" si="7">K58+K36+K30</f>
        <v>55560032</v>
      </c>
      <c r="L60" s="81">
        <f t="shared" si="7"/>
        <v>9176358</v>
      </c>
      <c r="M60" s="81">
        <f t="shared" si="7"/>
        <v>22879268</v>
      </c>
      <c r="N60" s="81">
        <f t="shared" si="7"/>
        <v>23169054</v>
      </c>
      <c r="O60" s="81">
        <f t="shared" si="7"/>
        <v>0</v>
      </c>
      <c r="P60" s="81">
        <f t="shared" si="7"/>
        <v>2782478</v>
      </c>
      <c r="Q60" s="81">
        <f t="shared" si="7"/>
        <v>14123890</v>
      </c>
      <c r="R60" s="81">
        <f t="shared" si="7"/>
        <v>5108988</v>
      </c>
      <c r="S60" s="81">
        <f t="shared" si="7"/>
        <v>42019356</v>
      </c>
      <c r="T60" s="81">
        <f t="shared" si="7"/>
        <v>174819424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65"/>
  <sheetViews>
    <sheetView topLeftCell="A7" zoomScale="70" zoomScaleNormal="70" workbookViewId="0">
      <selection activeCell="K17" sqref="K17"/>
    </sheetView>
  </sheetViews>
  <sheetFormatPr defaultColWidth="8.85546875" defaultRowHeight="15"/>
  <cols>
    <col min="11" max="11" width="17" customWidth="1"/>
    <col min="12" max="13" width="16.28515625" customWidth="1"/>
    <col min="14" max="14" width="15" customWidth="1"/>
    <col min="15" max="15" width="16.28515625" customWidth="1"/>
    <col min="16" max="16" width="15.42578125" customWidth="1"/>
    <col min="17" max="17" width="15.28515625" customWidth="1"/>
  </cols>
  <sheetData>
    <row r="1" spans="1:17" ht="18.75">
      <c r="D1" s="253" t="s">
        <v>210</v>
      </c>
      <c r="E1" s="253"/>
      <c r="F1" s="253"/>
      <c r="G1" s="253"/>
      <c r="H1" s="253"/>
      <c r="I1" s="253"/>
      <c r="J1" s="253"/>
      <c r="K1" s="253"/>
    </row>
    <row r="2" spans="1:17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7" ht="45">
      <c r="K4" s="1" t="s">
        <v>2</v>
      </c>
      <c r="L4" s="1" t="s">
        <v>211</v>
      </c>
      <c r="M4" s="1" t="s">
        <v>212</v>
      </c>
      <c r="N4" s="1" t="s">
        <v>213</v>
      </c>
      <c r="O4" s="1" t="s">
        <v>214</v>
      </c>
      <c r="P4" s="1" t="s">
        <v>58</v>
      </c>
      <c r="Q4" s="1" t="s">
        <v>7</v>
      </c>
    </row>
    <row r="5" spans="1:17">
      <c r="A5" t="s">
        <v>8</v>
      </c>
    </row>
    <row r="6" spans="1:17">
      <c r="B6" t="s">
        <v>215</v>
      </c>
      <c r="K6" s="72">
        <v>10931817</v>
      </c>
      <c r="L6" s="73">
        <v>4523372</v>
      </c>
      <c r="M6" s="73">
        <v>1232339</v>
      </c>
      <c r="N6" s="73">
        <v>1126793</v>
      </c>
      <c r="O6" s="73">
        <v>21177168</v>
      </c>
      <c r="P6" s="73">
        <v>7630364</v>
      </c>
      <c r="Q6" s="73">
        <f>SUM(K6:P6)</f>
        <v>46621853</v>
      </c>
    </row>
    <row r="7" spans="1:17">
      <c r="B7" t="s">
        <v>10</v>
      </c>
      <c r="K7" s="77">
        <v>56198681</v>
      </c>
      <c r="L7" s="73">
        <v>23764364</v>
      </c>
      <c r="M7" s="73">
        <v>6771928</v>
      </c>
      <c r="N7" s="73">
        <v>6183676</v>
      </c>
      <c r="O7" s="73">
        <v>117512490</v>
      </c>
      <c r="P7" s="73">
        <v>37003077</v>
      </c>
      <c r="Q7" s="73">
        <f>SUM(K7:P7)</f>
        <v>247434216</v>
      </c>
    </row>
    <row r="8" spans="1:17">
      <c r="B8" t="s">
        <v>216</v>
      </c>
      <c r="K8" s="73"/>
      <c r="L8" s="73"/>
      <c r="M8" s="73"/>
      <c r="N8" s="73"/>
      <c r="O8" s="73"/>
      <c r="P8" s="73"/>
      <c r="Q8" s="73"/>
    </row>
    <row r="9" spans="1:17">
      <c r="C9" t="s">
        <v>184</v>
      </c>
      <c r="K9" s="74">
        <v>12319577</v>
      </c>
      <c r="L9" s="73"/>
      <c r="M9" s="73">
        <v>6271772</v>
      </c>
      <c r="N9" s="73">
        <v>10372119</v>
      </c>
      <c r="O9" s="73">
        <v>6296084</v>
      </c>
      <c r="P9" s="73">
        <v>14249394</v>
      </c>
      <c r="Q9" s="73">
        <f t="shared" ref="Q9:Q18" si="0">SUM(K9:P9)</f>
        <v>49508946</v>
      </c>
    </row>
    <row r="10" spans="1:17">
      <c r="C10" t="s">
        <v>217</v>
      </c>
      <c r="K10" s="73"/>
      <c r="L10" s="73">
        <v>1454093</v>
      </c>
      <c r="M10" s="73"/>
      <c r="N10" s="73"/>
      <c r="O10" s="73">
        <v>3180894</v>
      </c>
      <c r="P10" s="73">
        <v>566667</v>
      </c>
      <c r="Q10" s="73">
        <f t="shared" si="0"/>
        <v>5201654</v>
      </c>
    </row>
    <row r="11" spans="1:17">
      <c r="C11" t="s">
        <v>218</v>
      </c>
      <c r="K11" s="74">
        <v>315760</v>
      </c>
      <c r="L11" s="73"/>
      <c r="M11" s="73"/>
      <c r="N11" s="73"/>
      <c r="O11" s="73"/>
      <c r="P11" s="73"/>
      <c r="Q11" s="73">
        <f t="shared" si="0"/>
        <v>315760</v>
      </c>
    </row>
    <row r="12" spans="1:17">
      <c r="B12" t="s">
        <v>219</v>
      </c>
      <c r="K12" s="74">
        <v>98232</v>
      </c>
      <c r="L12" s="73">
        <v>39585</v>
      </c>
      <c r="M12" s="73">
        <v>12418</v>
      </c>
      <c r="N12" s="73">
        <v>11939</v>
      </c>
      <c r="O12" s="73">
        <v>193032</v>
      </c>
      <c r="P12" s="73">
        <v>64767</v>
      </c>
      <c r="Q12" s="73">
        <f t="shared" si="0"/>
        <v>419973</v>
      </c>
    </row>
    <row r="13" spans="1:17">
      <c r="B13" t="s">
        <v>13</v>
      </c>
      <c r="K13" s="74">
        <v>3858732</v>
      </c>
      <c r="L13" s="73">
        <v>50000</v>
      </c>
      <c r="M13" s="73">
        <v>20587</v>
      </c>
      <c r="N13" s="73">
        <v>29</v>
      </c>
      <c r="O13" s="73">
        <v>2000000</v>
      </c>
      <c r="P13" s="73">
        <v>28047</v>
      </c>
      <c r="Q13" s="73">
        <f t="shared" si="0"/>
        <v>5957395</v>
      </c>
    </row>
    <row r="14" spans="1:17">
      <c r="B14" t="s">
        <v>220</v>
      </c>
      <c r="K14" s="74">
        <v>395131</v>
      </c>
      <c r="L14" s="73">
        <v>3780</v>
      </c>
      <c r="M14" s="73">
        <v>242578</v>
      </c>
      <c r="N14" s="73"/>
      <c r="O14" s="73">
        <v>120780</v>
      </c>
      <c r="P14" s="73">
        <v>1952057</v>
      </c>
      <c r="Q14" s="73">
        <f t="shared" si="0"/>
        <v>2714326</v>
      </c>
    </row>
    <row r="15" spans="1:17">
      <c r="B15" t="s">
        <v>16</v>
      </c>
      <c r="K15" s="75">
        <v>524717</v>
      </c>
      <c r="L15" s="73">
        <v>9305</v>
      </c>
      <c r="M15" s="73"/>
      <c r="N15" s="73"/>
      <c r="O15" s="73"/>
      <c r="P15" s="73">
        <v>74639</v>
      </c>
      <c r="Q15" s="73">
        <f t="shared" si="0"/>
        <v>608661</v>
      </c>
    </row>
    <row r="16" spans="1:17">
      <c r="B16" t="s">
        <v>221</v>
      </c>
      <c r="K16" s="74">
        <v>25764</v>
      </c>
      <c r="L16" s="73"/>
      <c r="M16" s="73"/>
      <c r="N16" s="73"/>
      <c r="O16" s="73"/>
      <c r="P16" s="73"/>
      <c r="Q16" s="73">
        <f t="shared" si="0"/>
        <v>25764</v>
      </c>
    </row>
    <row r="17" spans="1:17">
      <c r="B17" t="s">
        <v>142</v>
      </c>
      <c r="K17" s="230">
        <v>1226</v>
      </c>
      <c r="L17" s="73">
        <v>575</v>
      </c>
      <c r="M17" s="73">
        <v>31675</v>
      </c>
      <c r="N17" s="73">
        <v>465</v>
      </c>
      <c r="O17" s="73"/>
      <c r="P17" s="73">
        <v>278562</v>
      </c>
      <c r="Q17" s="73">
        <f t="shared" si="0"/>
        <v>312503</v>
      </c>
    </row>
    <row r="18" spans="1:17">
      <c r="B18" t="s">
        <v>62</v>
      </c>
      <c r="K18" s="73"/>
      <c r="L18" s="73">
        <v>695170</v>
      </c>
      <c r="M18" s="73"/>
      <c r="N18" s="73"/>
      <c r="O18" s="73"/>
      <c r="P18" s="73">
        <v>302877</v>
      </c>
      <c r="Q18" s="73">
        <f t="shared" si="0"/>
        <v>998047</v>
      </c>
    </row>
    <row r="19" spans="1:17">
      <c r="K19" s="93"/>
      <c r="L19" s="93"/>
      <c r="M19" s="93"/>
      <c r="N19" s="93"/>
      <c r="O19" s="93"/>
      <c r="P19" s="93"/>
      <c r="Q19" s="93"/>
    </row>
    <row r="20" spans="1:17">
      <c r="A20" s="2"/>
      <c r="B20" s="2"/>
      <c r="C20" s="2"/>
      <c r="D20" s="2"/>
      <c r="E20" s="2" t="s">
        <v>18</v>
      </c>
      <c r="F20" s="3"/>
      <c r="G20" s="3"/>
      <c r="H20" s="3"/>
      <c r="I20" s="3"/>
      <c r="J20" s="3"/>
      <c r="K20" s="76">
        <f t="shared" ref="K20:Q20" si="1">SUM(K6:K18)</f>
        <v>84669637</v>
      </c>
      <c r="L20" s="76">
        <f t="shared" si="1"/>
        <v>30540244</v>
      </c>
      <c r="M20" s="76">
        <f t="shared" si="1"/>
        <v>14583297</v>
      </c>
      <c r="N20" s="76">
        <f t="shared" si="1"/>
        <v>17695021</v>
      </c>
      <c r="O20" s="76">
        <f t="shared" si="1"/>
        <v>150480448</v>
      </c>
      <c r="P20" s="76">
        <f t="shared" si="1"/>
        <v>62150451</v>
      </c>
      <c r="Q20" s="76">
        <f t="shared" si="1"/>
        <v>360119098</v>
      </c>
    </row>
    <row r="21" spans="1:17">
      <c r="K21" s="73"/>
      <c r="L21" s="73"/>
      <c r="M21" s="73"/>
      <c r="N21" s="73"/>
      <c r="O21" s="73"/>
      <c r="P21" s="73"/>
      <c r="Q21" s="73"/>
    </row>
    <row r="22" spans="1:17">
      <c r="A22" s="4" t="s">
        <v>19</v>
      </c>
      <c r="K22" s="73"/>
      <c r="L22" s="73"/>
      <c r="M22" s="73"/>
      <c r="N22" s="73"/>
      <c r="O22" s="73"/>
      <c r="P22" s="73"/>
      <c r="Q22" s="73"/>
    </row>
    <row r="23" spans="1:17">
      <c r="B23" t="s">
        <v>20</v>
      </c>
      <c r="K23" s="73"/>
      <c r="L23" s="73"/>
      <c r="M23" s="73"/>
      <c r="N23" s="73"/>
      <c r="O23" s="73"/>
      <c r="P23" s="73"/>
      <c r="Q23" s="73"/>
    </row>
    <row r="24" spans="1:17">
      <c r="C24" t="s">
        <v>21</v>
      </c>
      <c r="K24" s="77">
        <v>1653550</v>
      </c>
      <c r="L24" s="73">
        <v>371543</v>
      </c>
      <c r="M24" s="73">
        <v>88725</v>
      </c>
      <c r="N24" s="73">
        <v>195730</v>
      </c>
      <c r="O24" s="73">
        <v>818981</v>
      </c>
      <c r="P24" s="73">
        <v>2621682</v>
      </c>
      <c r="Q24" s="73">
        <f>SUM(K24:P24)</f>
        <v>5750211</v>
      </c>
    </row>
    <row r="25" spans="1:17">
      <c r="C25" t="s">
        <v>197</v>
      </c>
      <c r="K25" s="82">
        <v>351520</v>
      </c>
      <c r="L25" s="73">
        <v>261852</v>
      </c>
      <c r="M25" s="73">
        <v>132532</v>
      </c>
      <c r="N25" s="73">
        <v>162727</v>
      </c>
      <c r="O25" s="73"/>
      <c r="P25" s="73">
        <v>135832</v>
      </c>
      <c r="Q25" s="73">
        <f>SUM(K25:P25)</f>
        <v>1044463</v>
      </c>
    </row>
    <row r="26" spans="1:17">
      <c r="C26" t="s">
        <v>222</v>
      </c>
      <c r="K26" s="77">
        <v>20000</v>
      </c>
      <c r="L26" s="73"/>
      <c r="M26" s="73"/>
      <c r="N26" s="73"/>
      <c r="O26" s="73"/>
      <c r="P26" s="73">
        <v>43080</v>
      </c>
      <c r="Q26" s="73">
        <f>SUM(K26:P26)</f>
        <v>63080</v>
      </c>
    </row>
    <row r="27" spans="1:17">
      <c r="C27" t="s">
        <v>25</v>
      </c>
      <c r="K27" s="78">
        <v>92794</v>
      </c>
      <c r="L27" s="73"/>
      <c r="M27" s="73">
        <v>4009</v>
      </c>
      <c r="N27" s="73"/>
      <c r="O27" s="73">
        <v>4897</v>
      </c>
      <c r="P27" s="73">
        <v>527756</v>
      </c>
      <c r="Q27" s="73">
        <f t="shared" ref="Q27:Q30" si="2">SUM(K27:P27)</f>
        <v>629456</v>
      </c>
    </row>
    <row r="28" spans="1:17">
      <c r="C28" t="s">
        <v>198</v>
      </c>
      <c r="K28" s="78">
        <v>12963</v>
      </c>
      <c r="L28" s="73">
        <v>13228</v>
      </c>
      <c r="M28" s="73"/>
      <c r="N28" s="73"/>
      <c r="O28" s="73"/>
      <c r="P28" s="73">
        <v>34655</v>
      </c>
      <c r="Q28" s="73">
        <f t="shared" si="2"/>
        <v>60846</v>
      </c>
    </row>
    <row r="29" spans="1:17">
      <c r="C29" t="s">
        <v>24</v>
      </c>
      <c r="K29" s="98">
        <v>157739</v>
      </c>
      <c r="L29" s="73"/>
      <c r="M29" s="73"/>
      <c r="N29" s="73"/>
      <c r="O29" s="73">
        <v>2071450</v>
      </c>
      <c r="P29" s="73">
        <v>1152908</v>
      </c>
      <c r="Q29" s="73">
        <f t="shared" si="2"/>
        <v>3382097</v>
      </c>
    </row>
    <row r="30" spans="1:17">
      <c r="C30" t="s">
        <v>22</v>
      </c>
      <c r="L30" s="73"/>
      <c r="M30" s="73"/>
      <c r="N30" s="73"/>
      <c r="O30" s="73">
        <v>248052</v>
      </c>
      <c r="P30" s="73">
        <v>366741</v>
      </c>
      <c r="Q30" s="73">
        <f t="shared" si="2"/>
        <v>614793</v>
      </c>
    </row>
    <row r="31" spans="1:17">
      <c r="C31" t="s">
        <v>128</v>
      </c>
      <c r="K31" s="82">
        <v>89099</v>
      </c>
      <c r="L31" s="73">
        <v>1770</v>
      </c>
      <c r="M31" s="73"/>
      <c r="N31" s="73"/>
      <c r="O31" s="73"/>
      <c r="P31" s="73">
        <v>81668</v>
      </c>
      <c r="Q31" s="73">
        <f>SUM(K31:P31)</f>
        <v>172537</v>
      </c>
    </row>
    <row r="32" spans="1:17">
      <c r="C32" t="s">
        <v>223</v>
      </c>
      <c r="L32" s="61">
        <v>314038</v>
      </c>
      <c r="Q32" s="73">
        <f>SUM(K32:P32)</f>
        <v>314038</v>
      </c>
    </row>
    <row r="33" spans="1:17">
      <c r="K33" s="94"/>
      <c r="L33" s="97"/>
      <c r="M33" s="94"/>
      <c r="N33" s="94"/>
      <c r="O33" s="94"/>
      <c r="P33" s="94"/>
      <c r="Q33" s="97"/>
    </row>
    <row r="34" spans="1:17">
      <c r="A34" s="5"/>
      <c r="B34" s="6"/>
      <c r="C34" s="6"/>
      <c r="D34" s="6"/>
      <c r="E34" s="6" t="s">
        <v>26</v>
      </c>
      <c r="F34" s="5"/>
      <c r="G34" s="5"/>
      <c r="H34" s="5"/>
      <c r="I34" s="5"/>
      <c r="J34" s="5"/>
      <c r="K34" s="79">
        <f>SUM(K24:K31)</f>
        <v>2377665</v>
      </c>
      <c r="L34" s="79">
        <f>SUM(L24:L32)</f>
        <v>962431</v>
      </c>
      <c r="M34" s="79">
        <f>SUM(M24:M32)</f>
        <v>225266</v>
      </c>
      <c r="N34" s="79">
        <f>SUM(N24:N31)</f>
        <v>358457</v>
      </c>
      <c r="O34" s="79">
        <f>SUM(O24:O31)</f>
        <v>3143380</v>
      </c>
      <c r="P34" s="79">
        <f>SUM(P24:P31)</f>
        <v>4964322</v>
      </c>
      <c r="Q34" s="79">
        <f>SUM(Q24:Q32)</f>
        <v>12031521</v>
      </c>
    </row>
    <row r="35" spans="1:17">
      <c r="K35" s="73"/>
      <c r="L35" s="73"/>
      <c r="M35" s="73"/>
      <c r="N35" s="73"/>
      <c r="O35" s="73"/>
      <c r="P35" s="73"/>
      <c r="Q35" s="73"/>
    </row>
    <row r="36" spans="1:17">
      <c r="A36" s="71" t="s">
        <v>27</v>
      </c>
      <c r="K36" s="73"/>
      <c r="L36" s="73"/>
      <c r="M36" s="73"/>
      <c r="N36" s="73"/>
      <c r="O36" s="73"/>
      <c r="P36" s="73"/>
      <c r="Q36" s="73"/>
    </row>
    <row r="37" spans="1:17">
      <c r="A37" s="71"/>
      <c r="C37" t="s">
        <v>224</v>
      </c>
      <c r="K37" s="73">
        <v>12373150</v>
      </c>
      <c r="L37" s="73"/>
      <c r="M37" s="73">
        <v>6314426</v>
      </c>
      <c r="N37" s="73">
        <v>10442515</v>
      </c>
      <c r="O37" s="73">
        <v>6345696</v>
      </c>
      <c r="P37" s="73">
        <v>14343941</v>
      </c>
      <c r="Q37" s="73">
        <f>SUM(K37:P37)</f>
        <v>49819728</v>
      </c>
    </row>
    <row r="38" spans="1:17">
      <c r="C38" t="s">
        <v>101</v>
      </c>
      <c r="K38" s="85"/>
      <c r="L38" s="85">
        <v>105934</v>
      </c>
      <c r="M38" s="85"/>
      <c r="N38" s="85"/>
      <c r="O38" s="85">
        <v>132844</v>
      </c>
      <c r="P38" s="85"/>
      <c r="Q38" s="85">
        <f>SUM(K38:P38)</f>
        <v>238778</v>
      </c>
    </row>
    <row r="39" spans="1:17">
      <c r="K39" s="73"/>
      <c r="L39" s="73"/>
      <c r="M39" s="73"/>
      <c r="N39" s="73"/>
      <c r="O39" s="73"/>
      <c r="P39" s="73"/>
      <c r="Q39" s="73"/>
    </row>
    <row r="40" spans="1:17">
      <c r="A40" s="5"/>
      <c r="B40" s="6"/>
      <c r="C40" s="6"/>
      <c r="D40" s="6"/>
      <c r="E40" s="6" t="s">
        <v>29</v>
      </c>
      <c r="F40" s="5"/>
      <c r="G40" s="5"/>
      <c r="H40" s="5"/>
      <c r="I40" s="5"/>
      <c r="J40" s="5"/>
      <c r="K40" s="79">
        <f>SUM(K37:K38)</f>
        <v>12373150</v>
      </c>
      <c r="L40" s="79">
        <f t="shared" ref="L40:Q40" si="3">SUM(L37:L38)</f>
        <v>105934</v>
      </c>
      <c r="M40" s="79">
        <f t="shared" si="3"/>
        <v>6314426</v>
      </c>
      <c r="N40" s="79">
        <f t="shared" si="3"/>
        <v>10442515</v>
      </c>
      <c r="O40" s="79">
        <f t="shared" si="3"/>
        <v>6478540</v>
      </c>
      <c r="P40" s="79">
        <f t="shared" si="3"/>
        <v>14343941</v>
      </c>
      <c r="Q40" s="79">
        <f t="shared" si="3"/>
        <v>50058506</v>
      </c>
    </row>
    <row r="41" spans="1:17">
      <c r="K41" s="73"/>
      <c r="L41" s="73"/>
      <c r="M41" s="73"/>
      <c r="N41" s="73"/>
      <c r="O41" s="73"/>
      <c r="P41" s="73"/>
      <c r="Q41" s="73"/>
    </row>
    <row r="42" spans="1:17">
      <c r="B42" t="s">
        <v>30</v>
      </c>
      <c r="K42" s="73"/>
      <c r="L42" s="73"/>
      <c r="M42" s="73"/>
      <c r="N42" s="73"/>
      <c r="O42" s="73"/>
      <c r="P42" s="73"/>
      <c r="Q42" s="73"/>
    </row>
    <row r="43" spans="1:17">
      <c r="C43" t="s">
        <v>104</v>
      </c>
      <c r="K43" s="73"/>
      <c r="L43" s="73"/>
      <c r="M43" s="73"/>
      <c r="N43" s="73"/>
      <c r="O43" s="73"/>
      <c r="P43" s="73"/>
      <c r="Q43" s="73"/>
    </row>
    <row r="44" spans="1:17">
      <c r="D44" t="s">
        <v>142</v>
      </c>
      <c r="K44" s="73">
        <v>1226</v>
      </c>
      <c r="L44" s="73">
        <v>575</v>
      </c>
      <c r="M44" s="73">
        <v>31675</v>
      </c>
      <c r="N44" s="73">
        <v>465</v>
      </c>
      <c r="O44" s="73"/>
      <c r="P44" s="73">
        <v>278562</v>
      </c>
      <c r="Q44" s="73">
        <f t="shared" ref="Q44:Q52" si="4">SUM(K44:P44)</f>
        <v>312503</v>
      </c>
    </row>
    <row r="45" spans="1:17">
      <c r="D45" t="s">
        <v>196</v>
      </c>
      <c r="K45" s="73"/>
      <c r="L45" s="73">
        <v>695170</v>
      </c>
      <c r="M45" s="73"/>
      <c r="N45" s="73"/>
      <c r="O45" s="73"/>
      <c r="P45" s="73">
        <v>302877</v>
      </c>
      <c r="Q45" s="73">
        <f t="shared" si="4"/>
        <v>998047</v>
      </c>
    </row>
    <row r="46" spans="1:17">
      <c r="D46" t="s">
        <v>221</v>
      </c>
      <c r="K46" s="80">
        <v>25764</v>
      </c>
      <c r="L46" s="73"/>
      <c r="M46" s="73"/>
      <c r="N46" s="73"/>
      <c r="O46" s="73"/>
      <c r="P46" s="73"/>
      <c r="Q46" s="73">
        <f t="shared" si="4"/>
        <v>25764</v>
      </c>
    </row>
    <row r="47" spans="1:17">
      <c r="C47" t="s">
        <v>69</v>
      </c>
      <c r="K47" s="73"/>
      <c r="L47" s="73"/>
      <c r="M47" s="73"/>
      <c r="N47" s="73"/>
      <c r="O47" s="73"/>
      <c r="P47" s="73"/>
      <c r="Q47" s="73"/>
    </row>
    <row r="48" spans="1:17">
      <c r="D48" t="s">
        <v>225</v>
      </c>
      <c r="K48" s="73"/>
      <c r="L48" s="73">
        <v>28776134</v>
      </c>
      <c r="M48" s="73"/>
      <c r="N48" s="73"/>
      <c r="O48" s="73"/>
      <c r="P48" s="73"/>
      <c r="Q48" s="73">
        <f t="shared" si="4"/>
        <v>28776134</v>
      </c>
    </row>
    <row r="49" spans="1:17">
      <c r="D49" t="s">
        <v>226</v>
      </c>
      <c r="K49" s="73"/>
      <c r="L49" s="73"/>
      <c r="M49" s="73">
        <v>8011930</v>
      </c>
      <c r="N49" s="73"/>
      <c r="O49" s="73"/>
      <c r="P49" s="73"/>
      <c r="Q49" s="73">
        <f>SUM(K49:P49)</f>
        <v>8011930</v>
      </c>
    </row>
    <row r="50" spans="1:17">
      <c r="D50" t="s">
        <v>227</v>
      </c>
      <c r="K50" s="73"/>
      <c r="L50" s="73"/>
      <c r="M50" s="73"/>
      <c r="N50" s="73">
        <v>6893584</v>
      </c>
      <c r="O50" s="73"/>
      <c r="P50" s="73"/>
      <c r="Q50" s="73">
        <f t="shared" si="4"/>
        <v>6893584</v>
      </c>
    </row>
    <row r="51" spans="1:17">
      <c r="D51" t="s">
        <v>228</v>
      </c>
      <c r="K51" s="73"/>
      <c r="L51" s="73"/>
      <c r="M51" s="73"/>
      <c r="N51" s="73"/>
      <c r="O51" s="73">
        <v>140858528</v>
      </c>
      <c r="P51" s="73"/>
      <c r="Q51" s="73">
        <f t="shared" si="4"/>
        <v>140858528</v>
      </c>
    </row>
    <row r="52" spans="1:17">
      <c r="D52" t="s">
        <v>229</v>
      </c>
      <c r="K52" s="73"/>
      <c r="L52" s="73"/>
      <c r="M52" s="73"/>
      <c r="N52" s="73"/>
      <c r="O52" s="73"/>
      <c r="P52" s="73">
        <v>29344902</v>
      </c>
      <c r="Q52" s="73">
        <f t="shared" si="4"/>
        <v>29344902</v>
      </c>
    </row>
    <row r="53" spans="1:17">
      <c r="C53" t="s">
        <v>43</v>
      </c>
      <c r="K53" s="73"/>
      <c r="L53" s="73"/>
      <c r="M53" s="73"/>
      <c r="N53" s="73"/>
      <c r="O53" s="73"/>
      <c r="P53" s="73"/>
      <c r="Q53" s="73"/>
    </row>
    <row r="54" spans="1:17">
      <c r="D54" t="s">
        <v>230</v>
      </c>
      <c r="K54" s="91">
        <v>94602</v>
      </c>
      <c r="L54" s="73"/>
      <c r="M54" s="73"/>
      <c r="N54" s="73"/>
      <c r="O54" s="73"/>
      <c r="P54" s="73">
        <v>0</v>
      </c>
      <c r="Q54" s="73">
        <f>SUM(K54:P54)</f>
        <v>94602</v>
      </c>
    </row>
    <row r="55" spans="1:17">
      <c r="D55" t="s">
        <v>231</v>
      </c>
      <c r="K55" s="91">
        <v>1355829</v>
      </c>
      <c r="L55" s="73"/>
      <c r="M55" s="73"/>
      <c r="N55" s="73"/>
      <c r="O55" s="73"/>
      <c r="P55" s="73"/>
      <c r="Q55" s="73">
        <f t="shared" ref="Q55:Q61" si="5">SUM(K55:P55)</f>
        <v>1355829</v>
      </c>
    </row>
    <row r="56" spans="1:17">
      <c r="D56" t="s">
        <v>232</v>
      </c>
      <c r="K56" s="91">
        <v>548733</v>
      </c>
      <c r="L56" s="73"/>
      <c r="M56" s="73"/>
      <c r="N56" s="73"/>
      <c r="O56" s="73"/>
      <c r="P56" s="73"/>
      <c r="Q56" s="73">
        <f t="shared" si="5"/>
        <v>548733</v>
      </c>
    </row>
    <row r="57" spans="1:17">
      <c r="D57" t="s">
        <v>233</v>
      </c>
      <c r="K57" s="91">
        <v>19264835</v>
      </c>
      <c r="L57" s="73"/>
      <c r="M57" s="73"/>
      <c r="N57" s="73"/>
      <c r="O57" s="73"/>
      <c r="P57" s="73">
        <v>12918446</v>
      </c>
      <c r="Q57" s="73">
        <f t="shared" si="5"/>
        <v>32183281</v>
      </c>
    </row>
    <row r="58" spans="1:17">
      <c r="D58" t="s">
        <v>234</v>
      </c>
      <c r="K58" s="91">
        <v>10500000</v>
      </c>
      <c r="L58" s="73"/>
      <c r="M58" s="73"/>
      <c r="N58" s="73"/>
      <c r="O58" s="73"/>
      <c r="P58" s="73"/>
      <c r="Q58" s="73">
        <f t="shared" si="5"/>
        <v>10500000</v>
      </c>
    </row>
    <row r="59" spans="1:17">
      <c r="D59" t="s">
        <v>235</v>
      </c>
      <c r="K59" s="91">
        <v>3500000</v>
      </c>
      <c r="L59" s="73"/>
      <c r="M59" s="73"/>
      <c r="N59" s="73"/>
      <c r="O59" s="73"/>
      <c r="P59" s="73"/>
      <c r="Q59" s="73">
        <f t="shared" si="5"/>
        <v>3500000</v>
      </c>
    </row>
    <row r="60" spans="1:17">
      <c r="D60" t="s">
        <v>236</v>
      </c>
      <c r="K60" s="91">
        <v>2157523</v>
      </c>
      <c r="L60" s="73"/>
      <c r="M60" s="73"/>
      <c r="N60" s="73"/>
      <c r="O60" s="73"/>
      <c r="P60" s="73"/>
      <c r="Q60" s="73">
        <f t="shared" si="5"/>
        <v>2157523</v>
      </c>
    </row>
    <row r="61" spans="1:17">
      <c r="C61" t="s">
        <v>48</v>
      </c>
      <c r="K61" s="84">
        <v>32470310</v>
      </c>
      <c r="L61" s="73"/>
      <c r="M61" s="73"/>
      <c r="N61" s="73"/>
      <c r="O61" s="73"/>
      <c r="P61" s="73">
        <v>-2599</v>
      </c>
      <c r="Q61" s="73">
        <f t="shared" si="5"/>
        <v>32467711</v>
      </c>
    </row>
    <row r="62" spans="1:17">
      <c r="K62" s="93"/>
      <c r="L62" s="93"/>
      <c r="M62" s="93"/>
      <c r="N62" s="93"/>
      <c r="O62" s="93"/>
      <c r="P62" s="93"/>
      <c r="Q62" s="93"/>
    </row>
    <row r="63" spans="1:17">
      <c r="A63" s="5"/>
      <c r="B63" s="5"/>
      <c r="C63" s="5"/>
      <c r="D63" s="6"/>
      <c r="E63" s="6" t="s">
        <v>49</v>
      </c>
      <c r="F63" s="5"/>
      <c r="G63" s="5"/>
      <c r="H63" s="5"/>
      <c r="I63" s="5"/>
      <c r="J63" s="5"/>
      <c r="K63" s="79">
        <f t="shared" ref="K63:Q63" si="6">SUM(K44:K61)</f>
        <v>69918822</v>
      </c>
      <c r="L63" s="79">
        <f t="shared" si="6"/>
        <v>29471879</v>
      </c>
      <c r="M63" s="79">
        <f t="shared" si="6"/>
        <v>8043605</v>
      </c>
      <c r="N63" s="79">
        <f t="shared" si="6"/>
        <v>6894049</v>
      </c>
      <c r="O63" s="79">
        <f t="shared" si="6"/>
        <v>140858528</v>
      </c>
      <c r="P63" s="79">
        <f t="shared" si="6"/>
        <v>42842188</v>
      </c>
      <c r="Q63" s="79">
        <f t="shared" si="6"/>
        <v>298029071</v>
      </c>
    </row>
    <row r="64" spans="1:17">
      <c r="K64" s="73"/>
      <c r="L64" s="73"/>
      <c r="M64" s="73"/>
      <c r="N64" s="73"/>
      <c r="O64" s="73"/>
      <c r="P64" s="73"/>
      <c r="Q64" s="73"/>
    </row>
    <row r="65" spans="1:17">
      <c r="A65" s="7"/>
      <c r="B65" s="7"/>
      <c r="C65" s="7"/>
      <c r="D65" s="8"/>
      <c r="E65" s="8" t="s">
        <v>50</v>
      </c>
      <c r="F65" s="7"/>
      <c r="G65" s="7"/>
      <c r="H65" s="7"/>
      <c r="I65" s="7"/>
      <c r="J65" s="7"/>
      <c r="K65" s="81">
        <f t="shared" ref="K65:Q65" si="7">SUM(K63,K34,K40)</f>
        <v>84669637</v>
      </c>
      <c r="L65" s="81">
        <f t="shared" si="7"/>
        <v>30540244</v>
      </c>
      <c r="M65" s="81">
        <f t="shared" si="7"/>
        <v>14583297</v>
      </c>
      <c r="N65" s="81">
        <f t="shared" si="7"/>
        <v>17695021</v>
      </c>
      <c r="O65" s="81">
        <f t="shared" si="7"/>
        <v>150480448</v>
      </c>
      <c r="P65" s="81">
        <f t="shared" si="7"/>
        <v>62150451</v>
      </c>
      <c r="Q65" s="81">
        <f t="shared" si="7"/>
        <v>360119098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27"/>
  <sheetViews>
    <sheetView topLeftCell="M1" zoomScale="60" zoomScaleNormal="60" workbookViewId="0">
      <selection activeCell="S23" sqref="S23"/>
    </sheetView>
  </sheetViews>
  <sheetFormatPr defaultColWidth="8.85546875" defaultRowHeight="15"/>
  <cols>
    <col min="11" max="11" width="17.28515625" customWidth="1"/>
    <col min="12" max="13" width="16.42578125" customWidth="1"/>
    <col min="14" max="14" width="21.140625" customWidth="1"/>
    <col min="15" max="15" width="23.42578125" customWidth="1"/>
    <col min="16" max="18" width="17.7109375" customWidth="1"/>
    <col min="19" max="19" width="25.28515625" customWidth="1"/>
    <col min="20" max="20" width="24.28515625" customWidth="1"/>
    <col min="21" max="21" width="23.85546875" customWidth="1"/>
  </cols>
  <sheetData>
    <row r="1" spans="1:19" ht="18.75">
      <c r="D1" s="253" t="s">
        <v>237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9" ht="45">
      <c r="K4" s="1" t="s">
        <v>2</v>
      </c>
      <c r="L4" s="1" t="s">
        <v>168</v>
      </c>
      <c r="M4" s="1" t="s">
        <v>238</v>
      </c>
      <c r="N4" s="1" t="s">
        <v>120</v>
      </c>
      <c r="O4" s="1" t="s">
        <v>239</v>
      </c>
      <c r="P4" s="1" t="s">
        <v>240</v>
      </c>
      <c r="Q4" s="1" t="s">
        <v>241</v>
      </c>
      <c r="R4" s="1" t="s">
        <v>6</v>
      </c>
      <c r="S4" s="1" t="s">
        <v>7</v>
      </c>
    </row>
    <row r="5" spans="1:19">
      <c r="A5" t="s">
        <v>8</v>
      </c>
    </row>
    <row r="6" spans="1:19">
      <c r="B6" t="s">
        <v>215</v>
      </c>
      <c r="K6" s="72">
        <v>1192998</v>
      </c>
      <c r="L6" s="73">
        <v>561744</v>
      </c>
      <c r="M6" s="73">
        <v>794466</v>
      </c>
      <c r="N6" s="73">
        <v>1010200</v>
      </c>
      <c r="O6" s="73">
        <v>2077705</v>
      </c>
      <c r="P6" s="73">
        <v>97678</v>
      </c>
      <c r="Q6" s="73">
        <v>40</v>
      </c>
      <c r="R6" s="73">
        <v>1665610</v>
      </c>
      <c r="S6" s="73">
        <f>SUM(K6:R6)</f>
        <v>7400441</v>
      </c>
    </row>
    <row r="7" spans="1:19">
      <c r="B7" t="s">
        <v>10</v>
      </c>
      <c r="K7" s="77">
        <v>366187</v>
      </c>
      <c r="L7" s="73">
        <v>515816</v>
      </c>
      <c r="M7" s="73">
        <v>308950</v>
      </c>
      <c r="N7" s="73">
        <v>109632</v>
      </c>
      <c r="O7" s="73"/>
      <c r="P7" s="73"/>
      <c r="Q7" s="73"/>
      <c r="R7" s="73"/>
      <c r="S7" s="73">
        <f>SUM(K7:R7)</f>
        <v>1300585</v>
      </c>
    </row>
    <row r="8" spans="1:19">
      <c r="B8" t="s">
        <v>16</v>
      </c>
      <c r="K8" s="75">
        <v>2700</v>
      </c>
      <c r="L8" s="73">
        <v>25652</v>
      </c>
      <c r="M8" s="73"/>
      <c r="N8" s="73"/>
      <c r="O8" s="73"/>
      <c r="P8" s="73"/>
      <c r="Q8" s="73"/>
      <c r="R8" s="73">
        <v>36402</v>
      </c>
      <c r="S8" s="73">
        <f>SUM(K8:R8)</f>
        <v>64754</v>
      </c>
    </row>
    <row r="9" spans="1:19">
      <c r="K9" s="93"/>
      <c r="L9" s="93"/>
      <c r="M9" s="93"/>
      <c r="N9" s="93"/>
      <c r="O9" s="93"/>
      <c r="P9" s="93"/>
      <c r="Q9" s="93"/>
      <c r="R9" s="93"/>
      <c r="S9" s="93"/>
    </row>
    <row r="10" spans="1:19">
      <c r="A10" s="2"/>
      <c r="B10" s="2"/>
      <c r="C10" s="2"/>
      <c r="D10" s="2"/>
      <c r="E10" s="2" t="s">
        <v>18</v>
      </c>
      <c r="F10" s="3"/>
      <c r="G10" s="3"/>
      <c r="H10" s="3"/>
      <c r="I10" s="3"/>
      <c r="J10" s="3"/>
      <c r="K10" s="76">
        <f t="shared" ref="K10:P10" si="0">SUM(K6:K8)</f>
        <v>1561885</v>
      </c>
      <c r="L10" s="76">
        <f t="shared" si="0"/>
        <v>1103212</v>
      </c>
      <c r="M10" s="76">
        <f t="shared" si="0"/>
        <v>1103416</v>
      </c>
      <c r="N10" s="76">
        <f t="shared" si="0"/>
        <v>1119832</v>
      </c>
      <c r="O10" s="76">
        <f t="shared" si="0"/>
        <v>2077705</v>
      </c>
      <c r="P10" s="76">
        <f t="shared" si="0"/>
        <v>97678</v>
      </c>
      <c r="Q10" s="76">
        <f t="shared" ref="Q10:R10" si="1">SUM(Q6:Q8)</f>
        <v>40</v>
      </c>
      <c r="R10" s="76">
        <f t="shared" si="1"/>
        <v>1702012</v>
      </c>
      <c r="S10" s="76">
        <f>SUM(S6:S8)</f>
        <v>8765780</v>
      </c>
    </row>
    <row r="11" spans="1:19">
      <c r="K11" s="73"/>
      <c r="L11" s="73"/>
      <c r="M11" s="73"/>
      <c r="N11" s="73"/>
      <c r="O11" s="73"/>
      <c r="P11" s="73"/>
      <c r="Q11" s="73"/>
      <c r="R11" s="73"/>
      <c r="S11" s="73"/>
    </row>
    <row r="12" spans="1:19">
      <c r="A12" s="4" t="s">
        <v>19</v>
      </c>
      <c r="K12" s="73"/>
      <c r="L12" s="73"/>
      <c r="M12" s="73"/>
      <c r="N12" s="73"/>
      <c r="O12" s="73"/>
      <c r="P12" s="73"/>
      <c r="Q12" s="73"/>
      <c r="R12" s="73"/>
      <c r="S12" s="73"/>
    </row>
    <row r="13" spans="1:19">
      <c r="B13" t="s">
        <v>20</v>
      </c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C14" t="s">
        <v>21</v>
      </c>
      <c r="K14" s="77">
        <v>13881</v>
      </c>
      <c r="L14" s="73">
        <v>31237</v>
      </c>
      <c r="M14" s="73">
        <v>19448</v>
      </c>
      <c r="N14" s="73">
        <v>45919</v>
      </c>
      <c r="O14" s="73">
        <v>260584</v>
      </c>
      <c r="P14" s="73"/>
      <c r="Q14" s="73"/>
      <c r="R14" s="73">
        <v>29588</v>
      </c>
      <c r="S14" s="73">
        <f>SUM(K14:R14)</f>
        <v>400657</v>
      </c>
    </row>
    <row r="15" spans="1:19">
      <c r="C15" t="s">
        <v>242</v>
      </c>
      <c r="K15" s="77">
        <v>10661</v>
      </c>
      <c r="L15" s="73">
        <v>15263</v>
      </c>
      <c r="M15" s="73">
        <v>2241</v>
      </c>
      <c r="N15" s="73"/>
      <c r="O15" s="73"/>
      <c r="P15" s="73"/>
      <c r="Q15" s="73"/>
      <c r="R15" s="73">
        <v>7980</v>
      </c>
      <c r="S15" s="73">
        <f>SUM(K15:R15)</f>
        <v>36145</v>
      </c>
    </row>
    <row r="16" spans="1:19">
      <c r="C16" t="s">
        <v>243</v>
      </c>
      <c r="K16" s="78">
        <v>57698</v>
      </c>
      <c r="L16" s="73"/>
      <c r="M16" s="73"/>
      <c r="N16" s="73"/>
      <c r="O16" s="73"/>
      <c r="P16" s="73"/>
      <c r="Q16" s="73"/>
      <c r="R16" s="73"/>
      <c r="S16" s="73">
        <f t="shared" ref="S16:S17" si="2">SUM(K16:R16)</f>
        <v>57698</v>
      </c>
    </row>
    <row r="17" spans="1:19">
      <c r="C17" t="s">
        <v>25</v>
      </c>
      <c r="K17" s="78">
        <v>62054</v>
      </c>
      <c r="L17" s="73">
        <v>2700</v>
      </c>
      <c r="M17" s="73"/>
      <c r="N17" s="73"/>
      <c r="O17" s="73"/>
      <c r="P17" s="73"/>
      <c r="Q17" s="73"/>
      <c r="R17" s="73"/>
      <c r="S17" s="73">
        <f t="shared" si="2"/>
        <v>64754</v>
      </c>
    </row>
    <row r="18" spans="1:19">
      <c r="K18" s="93"/>
      <c r="L18" s="93"/>
      <c r="M18" s="93"/>
      <c r="N18" s="93"/>
      <c r="O18" s="93"/>
      <c r="P18" s="93"/>
      <c r="Q18" s="93"/>
      <c r="R18" s="93"/>
      <c r="S18" s="93"/>
    </row>
    <row r="19" spans="1:19">
      <c r="A19" s="5"/>
      <c r="B19" s="6"/>
      <c r="C19" s="6"/>
      <c r="D19" s="6"/>
      <c r="E19" s="6" t="s">
        <v>26</v>
      </c>
      <c r="F19" s="5"/>
      <c r="G19" s="5"/>
      <c r="H19" s="5"/>
      <c r="I19" s="5"/>
      <c r="J19" s="5"/>
      <c r="K19" s="79">
        <f t="shared" ref="K19:P19" si="3">SUM(K14:K17)</f>
        <v>144294</v>
      </c>
      <c r="L19" s="79">
        <f t="shared" si="3"/>
        <v>49200</v>
      </c>
      <c r="M19" s="79">
        <f t="shared" si="3"/>
        <v>21689</v>
      </c>
      <c r="N19" s="79">
        <f t="shared" si="3"/>
        <v>45919</v>
      </c>
      <c r="O19" s="79">
        <f t="shared" si="3"/>
        <v>260584</v>
      </c>
      <c r="P19" s="79">
        <f t="shared" si="3"/>
        <v>0</v>
      </c>
      <c r="Q19" s="79">
        <f t="shared" ref="Q19:R19" si="4">SUM(Q14:Q17)</f>
        <v>0</v>
      </c>
      <c r="R19" s="79">
        <f t="shared" si="4"/>
        <v>37568</v>
      </c>
      <c r="S19" s="79">
        <f>SUM(S14:S17)</f>
        <v>559254</v>
      </c>
    </row>
    <row r="20" spans="1:19">
      <c r="K20" s="73"/>
      <c r="L20" s="73"/>
      <c r="M20" s="73"/>
      <c r="N20" s="73"/>
      <c r="O20" s="73"/>
      <c r="P20" s="73"/>
      <c r="Q20" s="73"/>
      <c r="R20" s="73"/>
      <c r="S20" s="73"/>
    </row>
    <row r="21" spans="1:19">
      <c r="B21" t="s">
        <v>30</v>
      </c>
      <c r="K21" s="73"/>
      <c r="L21" s="73"/>
      <c r="M21" s="73"/>
      <c r="N21" s="73"/>
      <c r="O21" s="73"/>
      <c r="P21" s="73"/>
      <c r="Q21" s="73"/>
      <c r="R21" s="73"/>
      <c r="S21" s="73"/>
    </row>
    <row r="22" spans="1:19">
      <c r="C22" t="s">
        <v>77</v>
      </c>
      <c r="K22" s="84">
        <v>1417591</v>
      </c>
      <c r="L22" s="73"/>
      <c r="M22" s="73"/>
      <c r="N22" s="73"/>
      <c r="O22" s="73"/>
      <c r="P22" s="73"/>
      <c r="Q22" s="73"/>
      <c r="R22" s="73"/>
      <c r="S22" s="73">
        <f t="shared" ref="S22" si="5">SUM(K22:P22)</f>
        <v>1417591</v>
      </c>
    </row>
    <row r="23" spans="1:19">
      <c r="C23" t="s">
        <v>244</v>
      </c>
      <c r="K23" s="73"/>
      <c r="L23" s="73">
        <v>1054012</v>
      </c>
      <c r="M23" s="73">
        <v>1081727</v>
      </c>
      <c r="N23" s="73">
        <v>1073913</v>
      </c>
      <c r="O23" s="73">
        <v>1817121</v>
      </c>
      <c r="P23" s="73">
        <v>97678</v>
      </c>
      <c r="Q23" s="73">
        <v>40</v>
      </c>
      <c r="R23" s="73">
        <v>2266638</v>
      </c>
      <c r="S23" s="73">
        <f>SUM(K23:R23)</f>
        <v>7391129</v>
      </c>
    </row>
    <row r="24" spans="1:19">
      <c r="K24" s="93"/>
      <c r="L24" s="93"/>
      <c r="M24" s="93"/>
      <c r="N24" s="93"/>
      <c r="O24" s="93"/>
      <c r="P24" s="93"/>
      <c r="Q24" s="93"/>
      <c r="R24" s="93"/>
      <c r="S24" s="93"/>
    </row>
    <row r="25" spans="1:19">
      <c r="A25" s="5"/>
      <c r="B25" s="5"/>
      <c r="C25" s="5"/>
      <c r="D25" s="6"/>
      <c r="E25" s="6" t="s">
        <v>49</v>
      </c>
      <c r="F25" s="5"/>
      <c r="G25" s="5"/>
      <c r="H25" s="5"/>
      <c r="I25" s="5"/>
      <c r="J25" s="5"/>
      <c r="K25" s="79">
        <f t="shared" ref="K25:P25" si="6">SUM(K22:K23)</f>
        <v>1417591</v>
      </c>
      <c r="L25" s="79">
        <f t="shared" si="6"/>
        <v>1054012</v>
      </c>
      <c r="M25" s="79">
        <f t="shared" si="6"/>
        <v>1081727</v>
      </c>
      <c r="N25" s="79">
        <f t="shared" si="6"/>
        <v>1073913</v>
      </c>
      <c r="O25" s="79">
        <f t="shared" si="6"/>
        <v>1817121</v>
      </c>
      <c r="P25" s="79">
        <f t="shared" si="6"/>
        <v>97678</v>
      </c>
      <c r="Q25" s="79">
        <f t="shared" ref="Q25:R25" si="7">SUM(Q22:Q23)</f>
        <v>40</v>
      </c>
      <c r="R25" s="79">
        <f t="shared" si="7"/>
        <v>2266638</v>
      </c>
      <c r="S25" s="79">
        <f>SUM(S22:S23)</f>
        <v>8808720</v>
      </c>
    </row>
    <row r="26" spans="1:19"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A27" s="7"/>
      <c r="B27" s="7"/>
      <c r="C27" s="7"/>
      <c r="D27" s="8"/>
      <c r="E27" s="8" t="s">
        <v>50</v>
      </c>
      <c r="F27" s="7"/>
      <c r="G27" s="7"/>
      <c r="H27" s="7"/>
      <c r="I27" s="7"/>
      <c r="J27" s="7"/>
      <c r="K27" s="81">
        <f>SUM(K25+K19)</f>
        <v>1561885</v>
      </c>
      <c r="L27" s="81">
        <f t="shared" ref="L27:S27" si="8">SUM(L25+L19)</f>
        <v>1103212</v>
      </c>
      <c r="M27" s="81">
        <f t="shared" si="8"/>
        <v>1103416</v>
      </c>
      <c r="N27" s="81">
        <f t="shared" si="8"/>
        <v>1119832</v>
      </c>
      <c r="O27" s="81">
        <f t="shared" si="8"/>
        <v>2077705</v>
      </c>
      <c r="P27" s="81">
        <f t="shared" si="8"/>
        <v>97678</v>
      </c>
      <c r="Q27" s="81">
        <f t="shared" si="8"/>
        <v>40</v>
      </c>
      <c r="R27" s="81">
        <f t="shared" si="8"/>
        <v>2304206</v>
      </c>
      <c r="S27" s="81">
        <f t="shared" si="8"/>
        <v>9367974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54"/>
  <sheetViews>
    <sheetView topLeftCell="A4" zoomScaleNormal="100" workbookViewId="0">
      <selection activeCell="K21" sqref="K21"/>
    </sheetView>
  </sheetViews>
  <sheetFormatPr defaultColWidth="8.85546875" defaultRowHeight="15"/>
  <cols>
    <col min="11" max="11" width="15.7109375" customWidth="1"/>
    <col min="12" max="12" width="17" customWidth="1"/>
    <col min="13" max="14" width="16.28515625" customWidth="1"/>
    <col min="15" max="15" width="16.42578125" customWidth="1"/>
    <col min="16" max="16" width="16" customWidth="1"/>
  </cols>
  <sheetData>
    <row r="1" spans="1:16" ht="18.75">
      <c r="D1" s="253" t="s">
        <v>245</v>
      </c>
      <c r="E1" s="253"/>
      <c r="F1" s="253"/>
      <c r="G1" s="253"/>
      <c r="H1" s="253"/>
      <c r="I1" s="253"/>
      <c r="J1" s="253"/>
      <c r="K1" s="253"/>
    </row>
    <row r="2" spans="1:16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6" ht="45">
      <c r="K4" s="1" t="s">
        <v>2</v>
      </c>
      <c r="L4" s="1" t="s">
        <v>246</v>
      </c>
      <c r="M4" s="1" t="s">
        <v>247</v>
      </c>
      <c r="N4" s="1" t="s">
        <v>136</v>
      </c>
      <c r="O4" s="1" t="s">
        <v>248</v>
      </c>
      <c r="P4" s="1" t="s">
        <v>249</v>
      </c>
    </row>
    <row r="5" spans="1:16">
      <c r="A5" t="s">
        <v>8</v>
      </c>
    </row>
    <row r="6" spans="1:16">
      <c r="B6" t="s">
        <v>59</v>
      </c>
      <c r="K6" s="72">
        <v>11043177</v>
      </c>
      <c r="L6" s="73">
        <v>401</v>
      </c>
      <c r="M6" s="73">
        <v>100</v>
      </c>
      <c r="N6" s="73">
        <v>1271296</v>
      </c>
      <c r="O6" s="73">
        <v>4260526</v>
      </c>
      <c r="P6" s="73">
        <f>SUM(K6:O6)</f>
        <v>16575500</v>
      </c>
    </row>
    <row r="7" spans="1:16">
      <c r="B7" t="s">
        <v>10</v>
      </c>
      <c r="K7" s="77">
        <v>2209031</v>
      </c>
      <c r="L7" s="73"/>
      <c r="M7" s="73"/>
      <c r="N7" s="73">
        <v>2113254</v>
      </c>
      <c r="O7" s="73">
        <v>7155345</v>
      </c>
      <c r="P7" s="73">
        <f t="shared" ref="P7:P11" si="0">SUM(K7:O7)</f>
        <v>11477630</v>
      </c>
    </row>
    <row r="8" spans="1:16">
      <c r="B8" t="s">
        <v>140</v>
      </c>
      <c r="K8" s="74">
        <v>7299605</v>
      </c>
      <c r="L8" s="73">
        <v>1815429</v>
      </c>
      <c r="M8" s="73">
        <v>566609</v>
      </c>
      <c r="N8" s="73">
        <v>954049</v>
      </c>
      <c r="O8" s="73">
        <v>3282928</v>
      </c>
      <c r="P8" s="73">
        <f t="shared" si="0"/>
        <v>13918620</v>
      </c>
    </row>
    <row r="9" spans="1:16">
      <c r="B9" t="s">
        <v>250</v>
      </c>
      <c r="K9" s="145">
        <v>1793767</v>
      </c>
      <c r="L9" s="73">
        <v>64283</v>
      </c>
      <c r="M9" s="73"/>
      <c r="N9" s="73"/>
      <c r="O9" s="73"/>
      <c r="P9" s="73">
        <f t="shared" si="0"/>
        <v>1858050</v>
      </c>
    </row>
    <row r="10" spans="1:16">
      <c r="B10" t="s">
        <v>47</v>
      </c>
      <c r="K10" s="82">
        <v>72523</v>
      </c>
      <c r="L10" s="73">
        <v>48633</v>
      </c>
      <c r="M10" s="73"/>
      <c r="N10" s="73">
        <v>51933</v>
      </c>
      <c r="O10" s="73">
        <v>24180</v>
      </c>
      <c r="P10" s="73">
        <f t="shared" si="0"/>
        <v>197269</v>
      </c>
    </row>
    <row r="11" spans="1:16">
      <c r="B11" t="s">
        <v>251</v>
      </c>
      <c r="K11" s="74">
        <v>2366061</v>
      </c>
      <c r="L11" s="73">
        <v>234428</v>
      </c>
      <c r="M11" s="73"/>
      <c r="N11" s="73">
        <v>842246</v>
      </c>
      <c r="O11" s="73">
        <v>1798954</v>
      </c>
      <c r="P11" s="73">
        <f t="shared" si="0"/>
        <v>5241689</v>
      </c>
    </row>
    <row r="12" spans="1:16">
      <c r="A12" s="186"/>
      <c r="B12" s="186"/>
      <c r="C12" s="186"/>
      <c r="D12" s="186"/>
      <c r="E12" s="186"/>
      <c r="F12" s="101"/>
      <c r="G12" s="101"/>
      <c r="H12" s="101"/>
      <c r="I12" s="101"/>
      <c r="J12" s="101"/>
      <c r="K12" s="235"/>
      <c r="L12" s="235"/>
      <c r="M12" s="235"/>
      <c r="N12" s="235"/>
      <c r="O12" s="235"/>
      <c r="P12" s="235"/>
    </row>
    <row r="13" spans="1:16">
      <c r="A13" s="71" t="s">
        <v>252</v>
      </c>
      <c r="K13" s="85"/>
      <c r="L13" s="85"/>
      <c r="M13" s="85"/>
      <c r="N13" s="85"/>
      <c r="O13" s="85"/>
      <c r="P13" s="85"/>
    </row>
    <row r="14" spans="1:16">
      <c r="K14" s="73"/>
      <c r="L14" s="73"/>
      <c r="M14" s="73"/>
      <c r="N14" s="73"/>
      <c r="O14" s="73"/>
      <c r="P14" s="73"/>
    </row>
    <row r="15" spans="1:16">
      <c r="A15" s="2"/>
      <c r="B15" s="2"/>
      <c r="C15" s="2"/>
      <c r="D15" s="2"/>
      <c r="E15" s="2" t="s">
        <v>253</v>
      </c>
      <c r="F15" s="3"/>
      <c r="G15" s="3"/>
      <c r="H15" s="3"/>
      <c r="I15" s="3"/>
      <c r="J15" s="3"/>
      <c r="K15" s="76">
        <f>SUM(K6:K11)</f>
        <v>24784164</v>
      </c>
      <c r="L15" s="76">
        <f t="shared" ref="L15:P15" si="1">SUM(L6:L11)</f>
        <v>2163174</v>
      </c>
      <c r="M15" s="76">
        <f t="shared" si="1"/>
        <v>566709</v>
      </c>
      <c r="N15" s="76">
        <f t="shared" si="1"/>
        <v>5232778</v>
      </c>
      <c r="O15" s="76">
        <f t="shared" si="1"/>
        <v>16521933</v>
      </c>
      <c r="P15" s="76">
        <f t="shared" si="1"/>
        <v>49268758</v>
      </c>
    </row>
    <row r="16" spans="1:16">
      <c r="K16" s="73"/>
      <c r="L16" s="73"/>
      <c r="M16" s="73"/>
      <c r="N16" s="73"/>
      <c r="O16" s="73"/>
      <c r="P16" s="73"/>
    </row>
    <row r="17" spans="1:16">
      <c r="A17" s="4" t="s">
        <v>19</v>
      </c>
      <c r="K17" s="73"/>
      <c r="L17" s="73"/>
      <c r="M17" s="73"/>
      <c r="N17" s="73"/>
      <c r="O17" s="73"/>
      <c r="P17" s="73"/>
    </row>
    <row r="18" spans="1:16">
      <c r="B18" t="s">
        <v>20</v>
      </c>
      <c r="K18" s="73"/>
      <c r="L18" s="73"/>
      <c r="M18" s="73"/>
      <c r="N18" s="73"/>
      <c r="O18" s="73"/>
      <c r="P18" s="73"/>
    </row>
    <row r="19" spans="1:16">
      <c r="C19" t="s">
        <v>144</v>
      </c>
      <c r="K19" s="77">
        <v>1171350</v>
      </c>
      <c r="L19" s="73">
        <v>39535</v>
      </c>
      <c r="M19" s="73">
        <v>562446</v>
      </c>
      <c r="N19" s="73">
        <v>68069</v>
      </c>
      <c r="O19" s="73">
        <v>157859</v>
      </c>
      <c r="P19" s="73">
        <f>SUM(K19:O19)</f>
        <v>1999259</v>
      </c>
    </row>
    <row r="20" spans="1:16">
      <c r="C20" t="s">
        <v>243</v>
      </c>
      <c r="K20" s="78">
        <v>2551196</v>
      </c>
      <c r="L20" s="73"/>
      <c r="M20" s="73"/>
      <c r="N20" s="73"/>
      <c r="O20" s="73"/>
      <c r="P20" s="73">
        <f>SUM(K20:O20)</f>
        <v>2551196</v>
      </c>
    </row>
    <row r="21" spans="1:16">
      <c r="C21" t="s">
        <v>24</v>
      </c>
      <c r="K21" s="98">
        <v>7413</v>
      </c>
      <c r="L21" s="73"/>
      <c r="M21" s="73">
        <v>9818</v>
      </c>
      <c r="N21" s="73"/>
      <c r="O21" s="73"/>
      <c r="P21" s="73">
        <f>SUM(K21:O21)</f>
        <v>17231</v>
      </c>
    </row>
    <row r="22" spans="1:16">
      <c r="C22" t="s">
        <v>254</v>
      </c>
      <c r="K22" s="77">
        <v>2871381</v>
      </c>
      <c r="L22" s="73"/>
      <c r="M22" s="73">
        <v>66214</v>
      </c>
      <c r="N22" s="73"/>
      <c r="O22" s="73">
        <v>2304094</v>
      </c>
      <c r="P22" s="73">
        <f>SUM(K22:O22)</f>
        <v>5241689</v>
      </c>
    </row>
    <row r="23" spans="1:16">
      <c r="K23" s="94"/>
      <c r="L23" s="97"/>
      <c r="M23" s="94"/>
      <c r="N23" s="94"/>
      <c r="O23" s="94"/>
      <c r="P23" s="97"/>
    </row>
    <row r="24" spans="1:16">
      <c r="A24" s="5"/>
      <c r="B24" s="6"/>
      <c r="C24" s="6"/>
      <c r="D24" s="6"/>
      <c r="E24" s="6" t="s">
        <v>26</v>
      </c>
      <c r="F24" s="5"/>
      <c r="G24" s="5"/>
      <c r="H24" s="5"/>
      <c r="I24" s="5"/>
      <c r="J24" s="5"/>
      <c r="K24" s="79">
        <f>SUM(K19:K22)</f>
        <v>6601340</v>
      </c>
      <c r="L24" s="79">
        <f>SUM(L19:L22)</f>
        <v>39535</v>
      </c>
      <c r="M24" s="79">
        <f>SUM(M19:M22)</f>
        <v>638478</v>
      </c>
      <c r="N24" s="79"/>
      <c r="O24" s="79">
        <f>SUM(O19:O22)</f>
        <v>2461953</v>
      </c>
      <c r="P24" s="79">
        <f>SUM(P19:P22)</f>
        <v>9809375</v>
      </c>
    </row>
    <row r="25" spans="1:16">
      <c r="K25" s="73"/>
      <c r="L25" s="73"/>
      <c r="M25" s="73"/>
      <c r="N25" s="73"/>
      <c r="O25" s="73"/>
      <c r="P25" s="73"/>
    </row>
    <row r="26" spans="1:16">
      <c r="A26" s="71" t="s">
        <v>27</v>
      </c>
      <c r="K26" s="73">
        <v>1793767</v>
      </c>
      <c r="L26" s="73"/>
      <c r="M26" s="73"/>
      <c r="N26" s="73"/>
      <c r="O26" s="73"/>
      <c r="P26" s="73">
        <f>SUM(K26:O26)</f>
        <v>1793767</v>
      </c>
    </row>
    <row r="27" spans="1:16">
      <c r="K27" s="73"/>
      <c r="L27" s="73"/>
      <c r="M27" s="73"/>
      <c r="N27" s="73"/>
      <c r="O27" s="73"/>
      <c r="P27" s="73"/>
    </row>
    <row r="28" spans="1:16">
      <c r="A28" s="5"/>
      <c r="B28" s="6"/>
      <c r="C28" s="6"/>
      <c r="D28" s="6"/>
      <c r="E28" s="6" t="s">
        <v>29</v>
      </c>
      <c r="F28" s="5"/>
      <c r="G28" s="5"/>
      <c r="H28" s="5"/>
      <c r="I28" s="5"/>
      <c r="J28" s="5"/>
      <c r="K28" s="79">
        <f t="shared" ref="K28:O28" si="2">SUM(K26)</f>
        <v>1793767</v>
      </c>
      <c r="L28" s="79">
        <f t="shared" si="2"/>
        <v>0</v>
      </c>
      <c r="M28" s="79">
        <f t="shared" si="2"/>
        <v>0</v>
      </c>
      <c r="N28" s="79">
        <f t="shared" si="2"/>
        <v>0</v>
      </c>
      <c r="O28" s="79">
        <f t="shared" si="2"/>
        <v>0</v>
      </c>
      <c r="P28" s="79">
        <f>SUM(P26)</f>
        <v>1793767</v>
      </c>
    </row>
    <row r="29" spans="1:16">
      <c r="K29" s="73"/>
      <c r="L29" s="73"/>
      <c r="M29" s="73"/>
      <c r="N29" s="73"/>
      <c r="O29" s="73"/>
      <c r="P29" s="73"/>
    </row>
    <row r="30" spans="1:16">
      <c r="B30" t="s">
        <v>30</v>
      </c>
      <c r="K30" s="73"/>
      <c r="L30" s="73"/>
      <c r="M30" s="73"/>
      <c r="N30" s="73"/>
      <c r="O30" s="73"/>
      <c r="P30" s="73"/>
    </row>
    <row r="31" spans="1:16">
      <c r="C31" t="s">
        <v>104</v>
      </c>
      <c r="K31" s="73"/>
      <c r="L31" s="73"/>
      <c r="M31" s="73"/>
      <c r="N31" s="73"/>
      <c r="O31" s="73"/>
      <c r="P31" s="73"/>
    </row>
    <row r="32" spans="1:16">
      <c r="D32" t="s">
        <v>196</v>
      </c>
      <c r="K32" s="80">
        <v>1793767</v>
      </c>
      <c r="L32" s="73">
        <v>64283</v>
      </c>
      <c r="M32" s="73"/>
      <c r="N32" s="73">
        <v>51933</v>
      </c>
      <c r="O32" s="73"/>
      <c r="P32" s="73">
        <f>SUM(K32:O32)</f>
        <v>1909983</v>
      </c>
    </row>
    <row r="33" spans="3:16">
      <c r="D33" t="s">
        <v>255</v>
      </c>
      <c r="K33" s="80">
        <v>72523</v>
      </c>
      <c r="L33" s="73">
        <v>48633</v>
      </c>
      <c r="M33" s="73"/>
      <c r="N33" s="73"/>
      <c r="O33" s="73">
        <v>24180</v>
      </c>
      <c r="P33" s="73">
        <f>SUM(K33:O33)</f>
        <v>145336</v>
      </c>
    </row>
    <row r="34" spans="3:16">
      <c r="C34" t="s">
        <v>69</v>
      </c>
      <c r="K34" s="73"/>
      <c r="L34" s="73"/>
      <c r="M34" s="73"/>
      <c r="N34" s="73"/>
      <c r="O34" s="73"/>
      <c r="P34" s="73"/>
    </row>
    <row r="35" spans="3:16">
      <c r="D35" t="s">
        <v>70</v>
      </c>
      <c r="K35" s="73"/>
      <c r="L35" s="73"/>
      <c r="M35" s="73"/>
      <c r="N35" s="73"/>
      <c r="O35" s="73">
        <v>48266</v>
      </c>
      <c r="P35" s="73">
        <f>SUM(K35:O35)</f>
        <v>48266</v>
      </c>
    </row>
    <row r="36" spans="3:16">
      <c r="D36" t="s">
        <v>74</v>
      </c>
      <c r="K36" s="73"/>
      <c r="L36" s="73"/>
      <c r="M36" s="73"/>
      <c r="N36" s="73"/>
      <c r="O36" s="73">
        <v>646986</v>
      </c>
      <c r="P36" s="73">
        <f>SUM(K36:O36)</f>
        <v>646986</v>
      </c>
    </row>
    <row r="37" spans="3:16">
      <c r="D37" t="s">
        <v>256</v>
      </c>
      <c r="K37" s="73"/>
      <c r="L37" s="73"/>
      <c r="M37" s="73"/>
      <c r="N37" s="73"/>
      <c r="O37" s="73">
        <v>44880</v>
      </c>
      <c r="P37" s="73">
        <f>SUM(K37:O37)</f>
        <v>44880</v>
      </c>
    </row>
    <row r="38" spans="3:16">
      <c r="C38" t="s">
        <v>257</v>
      </c>
      <c r="K38" s="73"/>
      <c r="L38" s="73"/>
      <c r="M38" s="73"/>
      <c r="N38" s="73"/>
      <c r="O38" s="73"/>
      <c r="P38" s="73"/>
    </row>
    <row r="39" spans="3:16">
      <c r="D39" t="s">
        <v>258</v>
      </c>
      <c r="K39" s="73"/>
      <c r="L39" s="73">
        <v>2010723</v>
      </c>
      <c r="M39" s="73"/>
      <c r="N39" s="73"/>
      <c r="O39" s="73"/>
      <c r="P39" s="73">
        <f t="shared" ref="P39:P46" si="3">SUM(K39:O39)</f>
        <v>2010723</v>
      </c>
    </row>
    <row r="40" spans="3:16">
      <c r="D40" t="s">
        <v>115</v>
      </c>
      <c r="K40" s="73"/>
      <c r="L40" s="73"/>
      <c r="M40" s="73"/>
      <c r="N40" s="73">
        <v>5089637</v>
      </c>
      <c r="O40" s="73"/>
      <c r="P40" s="73">
        <f t="shared" si="3"/>
        <v>5089637</v>
      </c>
    </row>
    <row r="41" spans="3:16">
      <c r="D41" t="s">
        <v>165</v>
      </c>
      <c r="K41" s="73"/>
      <c r="L41" s="73"/>
      <c r="M41" s="73"/>
      <c r="N41" s="73"/>
      <c r="O41" s="73">
        <v>4611317</v>
      </c>
      <c r="P41" s="73">
        <f t="shared" si="3"/>
        <v>4611317</v>
      </c>
    </row>
    <row r="42" spans="3:16">
      <c r="D42" t="s">
        <v>70</v>
      </c>
      <c r="K42" s="73"/>
      <c r="L42" s="73"/>
      <c r="M42" s="73"/>
      <c r="N42" s="73"/>
      <c r="O42" s="73">
        <v>3430605</v>
      </c>
      <c r="P42" s="73">
        <f t="shared" si="3"/>
        <v>3430605</v>
      </c>
    </row>
    <row r="43" spans="3:16">
      <c r="D43" t="s">
        <v>147</v>
      </c>
      <c r="K43" s="73"/>
      <c r="L43" s="73"/>
      <c r="M43" s="73"/>
      <c r="N43" s="73"/>
      <c r="O43" s="73">
        <v>5101344</v>
      </c>
      <c r="P43" s="73">
        <f t="shared" si="3"/>
        <v>5101344</v>
      </c>
    </row>
    <row r="44" spans="3:16">
      <c r="D44" t="s">
        <v>113</v>
      </c>
      <c r="K44" s="91">
        <v>343354</v>
      </c>
      <c r="L44" s="73"/>
      <c r="M44" s="73"/>
      <c r="N44" s="73"/>
      <c r="O44" s="73"/>
      <c r="P44" s="73">
        <f t="shared" si="3"/>
        <v>343354</v>
      </c>
    </row>
    <row r="45" spans="3:16">
      <c r="C45" t="s">
        <v>43</v>
      </c>
      <c r="K45" s="73"/>
      <c r="L45" s="73"/>
      <c r="M45" s="73"/>
      <c r="N45" s="73"/>
      <c r="O45" s="73"/>
      <c r="P45" s="73"/>
    </row>
    <row r="46" spans="3:16">
      <c r="D46" t="s">
        <v>70</v>
      </c>
      <c r="K46" s="73"/>
      <c r="L46" s="73"/>
      <c r="M46" s="73"/>
      <c r="N46" s="73"/>
      <c r="O46" s="73">
        <v>11057</v>
      </c>
      <c r="P46" s="73">
        <f t="shared" si="3"/>
        <v>11057</v>
      </c>
    </row>
    <row r="47" spans="3:16">
      <c r="D47" t="s">
        <v>147</v>
      </c>
      <c r="K47" s="73"/>
      <c r="L47" s="73"/>
      <c r="M47" s="73"/>
      <c r="N47" s="73"/>
      <c r="O47" s="73">
        <v>24648</v>
      </c>
      <c r="P47" s="73">
        <f>SUM(K47:O47)</f>
        <v>24648</v>
      </c>
    </row>
    <row r="48" spans="3:16">
      <c r="D48" t="s">
        <v>165</v>
      </c>
      <c r="K48" s="73"/>
      <c r="L48" s="73"/>
      <c r="M48" s="73"/>
      <c r="N48" s="73"/>
      <c r="O48" s="73">
        <v>116697</v>
      </c>
      <c r="P48" s="73">
        <f>SUM(K48:O48)</f>
        <v>116697</v>
      </c>
    </row>
    <row r="49" spans="1:16">
      <c r="D49" t="s">
        <v>259</v>
      </c>
      <c r="K49" s="73"/>
      <c r="L49" s="73"/>
      <c r="M49" s="73">
        <v>-71769</v>
      </c>
      <c r="N49" s="73"/>
      <c r="O49" s="73"/>
      <c r="P49" s="73">
        <f>SUM(K49:O49)</f>
        <v>-71769</v>
      </c>
    </row>
    <row r="50" spans="1:16">
      <c r="C50" t="s">
        <v>48</v>
      </c>
      <c r="K50" s="84">
        <v>14179413</v>
      </c>
      <c r="L50" s="73"/>
      <c r="M50" s="73"/>
      <c r="N50" s="73">
        <v>23139</v>
      </c>
      <c r="O50" s="73"/>
      <c r="P50" s="73">
        <f>SUM(K50:O50)</f>
        <v>14202552</v>
      </c>
    </row>
    <row r="51" spans="1:16">
      <c r="K51" s="93"/>
      <c r="L51" s="93"/>
      <c r="M51" s="93"/>
      <c r="N51" s="93"/>
      <c r="O51" s="93"/>
      <c r="P51" s="93"/>
    </row>
    <row r="52" spans="1:16">
      <c r="A52" s="5"/>
      <c r="B52" s="5"/>
      <c r="C52" s="5"/>
      <c r="D52" s="6"/>
      <c r="E52" s="6" t="s">
        <v>49</v>
      </c>
      <c r="F52" s="5"/>
      <c r="G52" s="5"/>
      <c r="H52" s="5"/>
      <c r="I52" s="5"/>
      <c r="J52" s="5"/>
      <c r="K52" s="79">
        <f>SUM(K32:K50)</f>
        <v>16389057</v>
      </c>
      <c r="L52" s="79">
        <f>SUM(L32:L50)</f>
        <v>2123639</v>
      </c>
      <c r="M52" s="79">
        <f>SUM(M32:M50)</f>
        <v>-71769</v>
      </c>
      <c r="N52" s="79"/>
      <c r="O52" s="79">
        <f>SUM(O32:O50)</f>
        <v>14059980</v>
      </c>
      <c r="P52" s="79">
        <f>SUM(P32:P50)</f>
        <v>37665616</v>
      </c>
    </row>
    <row r="53" spans="1:16">
      <c r="K53" s="73"/>
      <c r="L53" s="73"/>
      <c r="M53" s="73"/>
      <c r="N53" s="73"/>
      <c r="O53" s="73"/>
      <c r="P53" s="73"/>
    </row>
    <row r="54" spans="1:16">
      <c r="A54" s="7"/>
      <c r="B54" s="7"/>
      <c r="C54" s="7"/>
      <c r="D54" s="8"/>
      <c r="E54" s="8" t="s">
        <v>50</v>
      </c>
      <c r="F54" s="7"/>
      <c r="G54" s="7"/>
      <c r="H54" s="7"/>
      <c r="I54" s="7"/>
      <c r="J54" s="7"/>
      <c r="K54" s="81">
        <f t="shared" ref="K54:O54" si="4">SUM(K24+K28+K52)</f>
        <v>24784164</v>
      </c>
      <c r="L54" s="81">
        <f t="shared" si="4"/>
        <v>2163174</v>
      </c>
      <c r="M54" s="81">
        <f t="shared" si="4"/>
        <v>566709</v>
      </c>
      <c r="N54" s="81">
        <f t="shared" si="4"/>
        <v>0</v>
      </c>
      <c r="O54" s="81">
        <f t="shared" si="4"/>
        <v>16521933</v>
      </c>
      <c r="P54" s="81">
        <f>SUM(P24+P28+P52)</f>
        <v>49268758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S33"/>
  <sheetViews>
    <sheetView zoomScaleNormal="100" workbookViewId="0">
      <selection activeCell="U30" sqref="U30"/>
    </sheetView>
  </sheetViews>
  <sheetFormatPr defaultColWidth="8.85546875" defaultRowHeight="15"/>
  <cols>
    <col min="11" max="11" width="16.42578125" customWidth="1"/>
    <col min="12" max="12" width="16" customWidth="1"/>
    <col min="13" max="13" width="14.7109375" customWidth="1"/>
    <col min="14" max="14" width="14" customWidth="1"/>
    <col min="15" max="15" width="13.42578125" customWidth="1"/>
    <col min="16" max="16" width="12.7109375" customWidth="1"/>
    <col min="17" max="17" width="14.42578125" customWidth="1"/>
    <col min="18" max="18" width="14.85546875" customWidth="1"/>
    <col min="19" max="19" width="14.42578125" customWidth="1"/>
  </cols>
  <sheetData>
    <row r="1" spans="1:19" ht="18.75">
      <c r="D1" s="253" t="s">
        <v>260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>
      <c r="P4" s="57"/>
      <c r="Q4" s="57"/>
      <c r="R4" s="57"/>
    </row>
    <row r="5" spans="1:19" ht="45">
      <c r="K5" s="1" t="s">
        <v>52</v>
      </c>
      <c r="L5" s="1" t="s">
        <v>261</v>
      </c>
      <c r="M5" s="1" t="s">
        <v>262</v>
      </c>
      <c r="N5" s="1" t="s">
        <v>73</v>
      </c>
      <c r="O5" s="1" t="s">
        <v>136</v>
      </c>
      <c r="P5" s="1" t="s">
        <v>263</v>
      </c>
      <c r="Q5" s="1" t="s">
        <v>264</v>
      </c>
      <c r="R5" s="1" t="s">
        <v>6</v>
      </c>
      <c r="S5" s="1" t="s">
        <v>7</v>
      </c>
    </row>
    <row r="6" spans="1:19">
      <c r="A6" t="s">
        <v>8</v>
      </c>
    </row>
    <row r="7" spans="1:19">
      <c r="B7" t="s">
        <v>85</v>
      </c>
      <c r="K7" s="72">
        <v>643284</v>
      </c>
      <c r="L7" s="73">
        <v>93544</v>
      </c>
      <c r="M7" s="73">
        <v>230590</v>
      </c>
      <c r="N7" s="73">
        <v>394127</v>
      </c>
      <c r="O7" s="73">
        <v>281429</v>
      </c>
      <c r="P7" s="73">
        <v>384230</v>
      </c>
      <c r="Q7" s="73"/>
      <c r="R7" s="73">
        <v>119023</v>
      </c>
      <c r="S7" s="73">
        <f t="shared" ref="S7:S11" si="0">SUM(K7:R7)</f>
        <v>2146227</v>
      </c>
    </row>
    <row r="8" spans="1:19">
      <c r="B8" t="s">
        <v>265</v>
      </c>
      <c r="K8" s="73"/>
      <c r="L8" s="73"/>
      <c r="M8" s="73"/>
      <c r="N8" s="73"/>
      <c r="O8" s="73"/>
      <c r="P8" s="73"/>
      <c r="Q8" s="73"/>
      <c r="R8" s="73">
        <v>27472</v>
      </c>
      <c r="S8" s="73">
        <f t="shared" si="0"/>
        <v>27472</v>
      </c>
    </row>
    <row r="9" spans="1:19">
      <c r="B9" t="s">
        <v>266</v>
      </c>
      <c r="K9" s="73"/>
      <c r="L9" s="73"/>
      <c r="M9" s="73"/>
      <c r="N9" s="73"/>
      <c r="O9" s="73"/>
      <c r="P9" s="73"/>
      <c r="Q9" s="73">
        <v>38193</v>
      </c>
      <c r="R9" s="73"/>
      <c r="S9" s="73">
        <f t="shared" si="0"/>
        <v>38193</v>
      </c>
    </row>
    <row r="10" spans="1:19">
      <c r="B10" t="s">
        <v>60</v>
      </c>
      <c r="K10" s="74">
        <v>728877</v>
      </c>
      <c r="L10" s="73">
        <v>70383</v>
      </c>
      <c r="M10" s="73">
        <v>53608</v>
      </c>
      <c r="N10" s="73">
        <v>33505</v>
      </c>
      <c r="O10" s="73">
        <v>328111</v>
      </c>
      <c r="P10" s="73">
        <v>81893</v>
      </c>
      <c r="Q10" s="73">
        <v>120994</v>
      </c>
      <c r="R10" s="73">
        <v>69763</v>
      </c>
      <c r="S10" s="73">
        <f t="shared" si="0"/>
        <v>1487134</v>
      </c>
    </row>
    <row r="11" spans="1:19">
      <c r="B11" t="s">
        <v>126</v>
      </c>
      <c r="K11" s="82">
        <v>34157</v>
      </c>
      <c r="L11" s="73">
        <v>16870</v>
      </c>
      <c r="M11" s="73">
        <v>25655</v>
      </c>
      <c r="N11" s="73"/>
      <c r="O11" s="73"/>
      <c r="P11" s="73">
        <v>2858</v>
      </c>
      <c r="Q11" s="73"/>
      <c r="R11" s="73">
        <v>3786</v>
      </c>
      <c r="S11" s="73">
        <f t="shared" si="0"/>
        <v>83326</v>
      </c>
    </row>
    <row r="12" spans="1:19">
      <c r="K12" s="93"/>
      <c r="L12" s="93"/>
      <c r="M12" s="93"/>
      <c r="N12" s="93"/>
      <c r="O12" s="93"/>
      <c r="P12" s="93"/>
      <c r="Q12" s="93"/>
      <c r="R12" s="93"/>
      <c r="S12" s="93"/>
    </row>
    <row r="13" spans="1:19">
      <c r="A13" s="2"/>
      <c r="B13" s="2"/>
      <c r="C13" s="2"/>
      <c r="D13" s="2"/>
      <c r="E13" s="2" t="s">
        <v>64</v>
      </c>
      <c r="F13" s="3"/>
      <c r="G13" s="3"/>
      <c r="H13" s="3"/>
      <c r="I13" s="3"/>
      <c r="J13" s="3"/>
      <c r="K13" s="76">
        <f>SUM(K7:K11)</f>
        <v>1406318</v>
      </c>
      <c r="L13" s="76">
        <f t="shared" ref="L13:R13" si="1">SUM(L7:L11)</f>
        <v>180797</v>
      </c>
      <c r="M13" s="76">
        <f t="shared" si="1"/>
        <v>309853</v>
      </c>
      <c r="N13" s="76">
        <f t="shared" si="1"/>
        <v>427632</v>
      </c>
      <c r="O13" s="76">
        <f t="shared" si="1"/>
        <v>609540</v>
      </c>
      <c r="P13" s="76">
        <f t="shared" si="1"/>
        <v>468981</v>
      </c>
      <c r="Q13" s="76">
        <f>SUM(Q7:Q11)</f>
        <v>159187</v>
      </c>
      <c r="R13" s="76">
        <f t="shared" si="1"/>
        <v>220044</v>
      </c>
      <c r="S13" s="76">
        <f>SUM(K13:R13)</f>
        <v>3782352</v>
      </c>
    </row>
    <row r="14" spans="1:19"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A15" s="4" t="s">
        <v>183</v>
      </c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B16" t="s">
        <v>20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C17" t="s">
        <v>21</v>
      </c>
      <c r="K17" s="77">
        <v>275889</v>
      </c>
      <c r="L17" s="73">
        <v>16405</v>
      </c>
      <c r="M17" s="73">
        <v>16403</v>
      </c>
      <c r="N17" s="61">
        <v>53004</v>
      </c>
      <c r="O17" s="73">
        <v>19547</v>
      </c>
      <c r="P17" s="73">
        <v>3719</v>
      </c>
      <c r="Q17" s="73">
        <v>252509</v>
      </c>
      <c r="R17" s="73">
        <v>3732</v>
      </c>
      <c r="S17" s="73">
        <f>SUM(K17:R17)</f>
        <v>641208</v>
      </c>
    </row>
    <row r="18" spans="1:19">
      <c r="C18" t="s">
        <v>267</v>
      </c>
      <c r="K18" s="77">
        <v>3126</v>
      </c>
      <c r="L18" s="73">
        <v>5334</v>
      </c>
      <c r="M18" s="73">
        <v>4695</v>
      </c>
      <c r="O18" s="73"/>
      <c r="P18" s="73"/>
      <c r="Q18" s="73"/>
      <c r="R18" s="73">
        <v>2042</v>
      </c>
      <c r="S18" s="73">
        <f>SUM(K18:R18)</f>
        <v>15197</v>
      </c>
    </row>
    <row r="19" spans="1:19">
      <c r="K19" s="93"/>
      <c r="L19" s="93"/>
      <c r="M19" s="93"/>
      <c r="N19" s="93"/>
      <c r="O19" s="93"/>
      <c r="P19" s="93"/>
      <c r="Q19" s="93"/>
      <c r="R19" s="93"/>
      <c r="S19" s="93"/>
    </row>
    <row r="20" spans="1:19">
      <c r="A20" s="5"/>
      <c r="B20" s="6"/>
      <c r="C20" s="6"/>
      <c r="D20" s="6"/>
      <c r="E20" s="6" t="s">
        <v>26</v>
      </c>
      <c r="F20" s="5"/>
      <c r="G20" s="5"/>
      <c r="H20" s="5"/>
      <c r="I20" s="5"/>
      <c r="J20" s="5"/>
      <c r="K20" s="79">
        <f t="shared" ref="K20:S20" si="2">SUM(K17:K18)</f>
        <v>279015</v>
      </c>
      <c r="L20" s="79">
        <f t="shared" si="2"/>
        <v>21739</v>
      </c>
      <c r="M20" s="79">
        <f t="shared" si="2"/>
        <v>21098</v>
      </c>
      <c r="N20" s="79">
        <f t="shared" si="2"/>
        <v>53004</v>
      </c>
      <c r="O20" s="79">
        <f t="shared" si="2"/>
        <v>19547</v>
      </c>
      <c r="P20" s="79">
        <f t="shared" si="2"/>
        <v>3719</v>
      </c>
      <c r="Q20" s="79"/>
      <c r="R20" s="79">
        <f t="shared" si="2"/>
        <v>5774</v>
      </c>
      <c r="S20" s="79">
        <f t="shared" si="2"/>
        <v>656405</v>
      </c>
    </row>
    <row r="21" spans="1:19">
      <c r="K21" s="73"/>
      <c r="L21" s="73"/>
      <c r="M21" s="73"/>
      <c r="N21" s="73"/>
      <c r="O21" s="73"/>
      <c r="P21" s="73"/>
      <c r="Q21" s="73"/>
      <c r="R21" s="73"/>
      <c r="S21" s="73"/>
    </row>
    <row r="22" spans="1:19">
      <c r="A22" s="71" t="s">
        <v>65</v>
      </c>
      <c r="K22" s="73"/>
      <c r="L22" s="73"/>
      <c r="M22" s="73"/>
      <c r="N22" s="73"/>
      <c r="O22" s="73"/>
      <c r="P22" s="73"/>
      <c r="Q22" s="73"/>
      <c r="R22" s="73"/>
      <c r="S22" s="73"/>
    </row>
    <row r="23" spans="1:19">
      <c r="B23" t="s">
        <v>268</v>
      </c>
      <c r="K23" s="73">
        <v>39308</v>
      </c>
      <c r="L23" s="73"/>
      <c r="M23" s="73"/>
      <c r="N23" s="73"/>
      <c r="O23" s="73">
        <v>30472</v>
      </c>
      <c r="P23" s="73">
        <v>7618</v>
      </c>
      <c r="Q23" s="73"/>
      <c r="R23" s="73">
        <v>18659</v>
      </c>
      <c r="S23" s="73">
        <f>SUM(K23:R23)</f>
        <v>96057</v>
      </c>
    </row>
    <row r="24" spans="1:19">
      <c r="K24" s="93"/>
      <c r="L24" s="93"/>
      <c r="M24" s="93"/>
      <c r="N24" s="93"/>
      <c r="O24" s="93"/>
      <c r="P24" s="93"/>
      <c r="Q24" s="93"/>
      <c r="R24" s="93"/>
      <c r="S24" s="93"/>
    </row>
    <row r="25" spans="1:19">
      <c r="A25" s="5"/>
      <c r="B25" s="6"/>
      <c r="C25" s="6"/>
      <c r="D25" s="6"/>
      <c r="E25" s="6" t="s">
        <v>29</v>
      </c>
      <c r="F25" s="5"/>
      <c r="G25" s="5"/>
      <c r="H25" s="5"/>
      <c r="I25" s="5"/>
      <c r="J25" s="5"/>
      <c r="K25" s="79">
        <f t="shared" ref="K25:S25" si="3">SUM(K23:K23)</f>
        <v>39308</v>
      </c>
      <c r="L25" s="79">
        <f t="shared" si="3"/>
        <v>0</v>
      </c>
      <c r="M25" s="79">
        <f t="shared" si="3"/>
        <v>0</v>
      </c>
      <c r="N25" s="79">
        <f t="shared" si="3"/>
        <v>0</v>
      </c>
      <c r="O25" s="79">
        <f t="shared" si="3"/>
        <v>30472</v>
      </c>
      <c r="P25" s="79">
        <f t="shared" si="3"/>
        <v>7618</v>
      </c>
      <c r="Q25" s="79"/>
      <c r="R25" s="79">
        <f t="shared" si="3"/>
        <v>18659</v>
      </c>
      <c r="S25" s="79">
        <f t="shared" si="3"/>
        <v>96057</v>
      </c>
    </row>
    <row r="26" spans="1:19"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B27" t="s">
        <v>30</v>
      </c>
      <c r="K27" s="73"/>
      <c r="L27" s="73"/>
      <c r="M27" s="73"/>
      <c r="N27" s="73"/>
      <c r="O27" s="73"/>
      <c r="P27" s="73"/>
      <c r="Q27" s="73"/>
      <c r="R27" s="73"/>
      <c r="S27" s="73"/>
    </row>
    <row r="28" spans="1:19">
      <c r="C28" t="s">
        <v>129</v>
      </c>
      <c r="K28" s="73"/>
      <c r="L28" s="73">
        <v>159058</v>
      </c>
      <c r="M28" s="73">
        <v>288755</v>
      </c>
      <c r="N28" s="73">
        <v>374628</v>
      </c>
      <c r="O28" s="73">
        <v>559521</v>
      </c>
      <c r="P28" s="73">
        <v>457644</v>
      </c>
      <c r="Q28" s="73"/>
      <c r="R28" s="73">
        <v>195611</v>
      </c>
      <c r="S28" s="73">
        <f>SUM(K28:R28)</f>
        <v>2035217</v>
      </c>
    </row>
    <row r="29" spans="1:19">
      <c r="C29" t="s">
        <v>77</v>
      </c>
      <c r="K29" s="84">
        <v>1087995</v>
      </c>
      <c r="L29" s="73"/>
      <c r="M29" s="73"/>
      <c r="N29" s="73"/>
      <c r="O29" s="73"/>
      <c r="P29" s="73"/>
      <c r="Q29" s="73">
        <v>-93322</v>
      </c>
      <c r="R29" s="73"/>
      <c r="S29" s="73">
        <f t="shared" ref="S29" si="4">SUM(K29:R29)</f>
        <v>994673</v>
      </c>
    </row>
    <row r="30" spans="1:19">
      <c r="K30" s="93"/>
      <c r="L30" s="93"/>
      <c r="M30" s="93"/>
      <c r="N30" s="93"/>
      <c r="O30" s="93"/>
      <c r="P30" s="93"/>
      <c r="Q30" s="93"/>
      <c r="R30" s="93"/>
      <c r="S30" s="93"/>
    </row>
    <row r="31" spans="1:19">
      <c r="A31" s="5"/>
      <c r="B31" s="5"/>
      <c r="C31" s="5"/>
      <c r="D31" s="6"/>
      <c r="E31" s="6" t="s">
        <v>78</v>
      </c>
      <c r="F31" s="5"/>
      <c r="G31" s="5"/>
      <c r="H31" s="5"/>
      <c r="I31" s="5"/>
      <c r="J31" s="5"/>
      <c r="K31" s="79">
        <f t="shared" ref="K31:S31" si="5">SUM(K28:K29)</f>
        <v>1087995</v>
      </c>
      <c r="L31" s="79">
        <f t="shared" si="5"/>
        <v>159058</v>
      </c>
      <c r="M31" s="79">
        <f t="shared" si="5"/>
        <v>288755</v>
      </c>
      <c r="N31" s="79">
        <f t="shared" si="5"/>
        <v>374628</v>
      </c>
      <c r="O31" s="79">
        <f t="shared" si="5"/>
        <v>559521</v>
      </c>
      <c r="P31" s="79">
        <f t="shared" si="5"/>
        <v>457644</v>
      </c>
      <c r="Q31" s="79"/>
      <c r="R31" s="79">
        <f t="shared" si="5"/>
        <v>195611</v>
      </c>
      <c r="S31" s="79">
        <f t="shared" si="5"/>
        <v>3029890</v>
      </c>
    </row>
    <row r="32" spans="1:19">
      <c r="K32" s="73"/>
      <c r="L32" s="73"/>
      <c r="M32" s="73"/>
      <c r="N32" s="73"/>
      <c r="O32" s="73"/>
      <c r="P32" s="73"/>
      <c r="Q32" s="73"/>
      <c r="R32" s="73"/>
      <c r="S32" s="73"/>
    </row>
    <row r="33" spans="1:19">
      <c r="A33" s="7"/>
      <c r="B33" s="7"/>
      <c r="C33" s="7"/>
      <c r="D33" s="8"/>
      <c r="E33" s="8" t="s">
        <v>79</v>
      </c>
      <c r="F33" s="7"/>
      <c r="G33" s="7"/>
      <c r="H33" s="7"/>
      <c r="I33" s="7"/>
      <c r="J33" s="7"/>
      <c r="K33" s="81">
        <f>K20+K25+K31</f>
        <v>1406318</v>
      </c>
      <c r="L33" s="81">
        <f t="shared" ref="L33:S33" si="6">L20+L25+L31</f>
        <v>180797</v>
      </c>
      <c r="M33" s="81">
        <f t="shared" si="6"/>
        <v>309853</v>
      </c>
      <c r="N33" s="81">
        <f t="shared" si="6"/>
        <v>427632</v>
      </c>
      <c r="O33" s="81">
        <f t="shared" si="6"/>
        <v>609540</v>
      </c>
      <c r="P33" s="81">
        <f t="shared" si="6"/>
        <v>468981</v>
      </c>
      <c r="Q33" s="81"/>
      <c r="R33" s="81">
        <f t="shared" si="6"/>
        <v>220044</v>
      </c>
      <c r="S33" s="81">
        <f t="shared" si="6"/>
        <v>3782352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5"/>
  <sheetViews>
    <sheetView topLeftCell="G2" zoomScale="60" zoomScaleNormal="60" zoomScalePageLayoutView="90" workbookViewId="0">
      <selection activeCell="L31" sqref="L31"/>
    </sheetView>
  </sheetViews>
  <sheetFormatPr defaultColWidth="8.85546875" defaultRowHeight="15"/>
  <cols>
    <col min="11" max="11" width="13.85546875" customWidth="1"/>
    <col min="12" max="12" width="12.140625" customWidth="1"/>
    <col min="13" max="13" width="16.5703125" customWidth="1"/>
    <col min="14" max="14" width="11.42578125" customWidth="1"/>
    <col min="15" max="15" width="11.28515625" customWidth="1"/>
    <col min="16" max="16" width="11.42578125" customWidth="1"/>
    <col min="17" max="17" width="16" customWidth="1"/>
    <col min="18" max="18" width="17" customWidth="1"/>
  </cols>
  <sheetData>
    <row r="1" spans="1:18" ht="18.75">
      <c r="D1" s="253" t="s">
        <v>269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P4" s="57"/>
      <c r="Q4" s="57"/>
    </row>
    <row r="5" spans="1:18" ht="45">
      <c r="K5" s="1" t="s">
        <v>52</v>
      </c>
      <c r="L5" s="1" t="s">
        <v>270</v>
      </c>
      <c r="M5" s="1" t="s">
        <v>271</v>
      </c>
      <c r="N5" s="1" t="s">
        <v>272</v>
      </c>
      <c r="O5" s="1" t="s">
        <v>273</v>
      </c>
      <c r="P5" s="1" t="s">
        <v>137</v>
      </c>
      <c r="Q5" s="1" t="s">
        <v>6</v>
      </c>
      <c r="R5" s="1" t="s">
        <v>7</v>
      </c>
    </row>
    <row r="6" spans="1:18">
      <c r="A6" s="86" t="s">
        <v>8</v>
      </c>
    </row>
    <row r="7" spans="1:18">
      <c r="B7" t="s">
        <v>85</v>
      </c>
      <c r="K7" s="72">
        <v>3626950</v>
      </c>
      <c r="L7" s="73">
        <v>91142</v>
      </c>
      <c r="M7" s="73">
        <v>756727</v>
      </c>
      <c r="N7" s="73">
        <v>955910</v>
      </c>
      <c r="O7" s="73">
        <v>76321</v>
      </c>
      <c r="P7" s="73">
        <v>60565</v>
      </c>
      <c r="Q7" s="73">
        <v>1213056</v>
      </c>
      <c r="R7" s="73">
        <f t="shared" ref="R7:R10" si="0">SUM(K7:Q7)</f>
        <v>6780671</v>
      </c>
    </row>
    <row r="8" spans="1:18">
      <c r="B8" t="s">
        <v>10</v>
      </c>
      <c r="K8" s="77">
        <v>434153</v>
      </c>
      <c r="L8" s="73">
        <v>3042</v>
      </c>
      <c r="M8" s="73">
        <v>6252</v>
      </c>
      <c r="N8" s="73">
        <v>344316</v>
      </c>
      <c r="O8" s="73"/>
      <c r="P8" s="73"/>
      <c r="Q8" s="73">
        <v>5781</v>
      </c>
      <c r="R8" s="73">
        <f t="shared" si="0"/>
        <v>793544</v>
      </c>
    </row>
    <row r="9" spans="1:18">
      <c r="B9" t="s">
        <v>60</v>
      </c>
      <c r="K9" s="74">
        <v>657929</v>
      </c>
      <c r="L9" s="73">
        <v>1065213</v>
      </c>
      <c r="M9" s="73">
        <v>744284</v>
      </c>
      <c r="N9" s="73">
        <v>57637</v>
      </c>
      <c r="O9" s="73"/>
      <c r="P9" s="73"/>
      <c r="Q9" s="73">
        <v>713435</v>
      </c>
      <c r="R9" s="73">
        <f t="shared" si="0"/>
        <v>3238498</v>
      </c>
    </row>
    <row r="10" spans="1:18">
      <c r="B10" t="s">
        <v>16</v>
      </c>
      <c r="K10" s="75">
        <v>1094</v>
      </c>
      <c r="L10" s="73"/>
      <c r="M10" s="73"/>
      <c r="N10" s="73"/>
      <c r="O10" s="73"/>
      <c r="P10" s="73"/>
      <c r="Q10" s="73"/>
      <c r="R10" s="73">
        <f t="shared" si="0"/>
        <v>1094</v>
      </c>
    </row>
    <row r="11" spans="1:18">
      <c r="B11" t="s">
        <v>274</v>
      </c>
      <c r="K11" s="75">
        <v>26079</v>
      </c>
      <c r="L11" s="73"/>
      <c r="M11" s="73"/>
      <c r="N11" s="73"/>
      <c r="O11" s="73"/>
      <c r="P11" s="73"/>
      <c r="Q11" s="73"/>
      <c r="R11" s="73">
        <f>SUM(K11:Q11)</f>
        <v>26079</v>
      </c>
    </row>
    <row r="12" spans="1:18">
      <c r="B12" t="s">
        <v>275</v>
      </c>
      <c r="K12" s="82">
        <v>106117</v>
      </c>
      <c r="L12" s="73"/>
      <c r="M12" s="73"/>
      <c r="N12" s="73"/>
      <c r="O12" s="73"/>
      <c r="P12" s="73"/>
      <c r="Q12" s="73"/>
      <c r="R12" s="73">
        <f>SUM(K12:Q12)</f>
        <v>106117</v>
      </c>
    </row>
    <row r="13" spans="1:18">
      <c r="K13" s="93"/>
      <c r="L13" s="93"/>
      <c r="M13" s="93"/>
      <c r="N13" s="93"/>
      <c r="O13" s="93"/>
      <c r="P13" s="93"/>
      <c r="Q13" s="93"/>
      <c r="R13" s="93"/>
    </row>
    <row r="14" spans="1:18">
      <c r="A14" s="2"/>
      <c r="B14" s="2"/>
      <c r="C14" s="2"/>
      <c r="D14" s="2"/>
      <c r="E14" s="2" t="s">
        <v>64</v>
      </c>
      <c r="F14" s="3"/>
      <c r="G14" s="3"/>
      <c r="H14" s="3"/>
      <c r="I14" s="3"/>
      <c r="J14" s="3"/>
      <c r="K14" s="76">
        <f>SUM(K7:K12)</f>
        <v>4852322</v>
      </c>
      <c r="L14" s="76">
        <f t="shared" ref="L14:Q14" si="1">SUM(L7:L12)</f>
        <v>1159397</v>
      </c>
      <c r="M14" s="76">
        <f t="shared" si="1"/>
        <v>1507263</v>
      </c>
      <c r="N14" s="76">
        <f t="shared" si="1"/>
        <v>1357863</v>
      </c>
      <c r="O14" s="76">
        <f t="shared" si="1"/>
        <v>76321</v>
      </c>
      <c r="P14" s="76">
        <f t="shared" si="1"/>
        <v>60565</v>
      </c>
      <c r="Q14" s="76">
        <f t="shared" si="1"/>
        <v>1932272</v>
      </c>
      <c r="R14" s="76">
        <f>SUM(R7:R12)</f>
        <v>10946003</v>
      </c>
    </row>
    <row r="15" spans="1:18">
      <c r="K15" s="73"/>
      <c r="L15" s="73"/>
      <c r="M15" s="73"/>
      <c r="N15" s="73"/>
      <c r="O15" s="73"/>
      <c r="P15" s="73"/>
      <c r="Q15" s="73"/>
      <c r="R15" s="73"/>
    </row>
    <row r="16" spans="1:18">
      <c r="A16" s="4" t="s">
        <v>183</v>
      </c>
      <c r="K16" s="73"/>
      <c r="L16" s="73"/>
      <c r="M16" s="73"/>
      <c r="N16" s="73"/>
      <c r="O16" s="73"/>
      <c r="P16" s="73"/>
      <c r="Q16" s="73"/>
      <c r="R16" s="73"/>
    </row>
    <row r="17" spans="1:18">
      <c r="B17" t="s">
        <v>20</v>
      </c>
      <c r="K17" s="73"/>
      <c r="L17" s="73"/>
      <c r="M17" s="73"/>
      <c r="N17" s="73"/>
      <c r="O17" s="73"/>
      <c r="P17" s="73"/>
      <c r="Q17" s="73"/>
      <c r="R17" s="73"/>
    </row>
    <row r="18" spans="1:18">
      <c r="C18" t="s">
        <v>276</v>
      </c>
      <c r="K18" s="77">
        <v>210775</v>
      </c>
      <c r="L18" s="73">
        <v>148647</v>
      </c>
      <c r="M18" s="73">
        <v>56521</v>
      </c>
      <c r="N18" s="61">
        <v>55004</v>
      </c>
      <c r="O18" s="73">
        <v>24911</v>
      </c>
      <c r="P18" s="73"/>
      <c r="Q18" s="73">
        <v>51778</v>
      </c>
      <c r="R18" s="73">
        <f>SUM(K18:Q18)</f>
        <v>547636</v>
      </c>
    </row>
    <row r="19" spans="1:18">
      <c r="C19" t="s">
        <v>25</v>
      </c>
      <c r="K19" s="73"/>
      <c r="L19" s="73">
        <v>538</v>
      </c>
      <c r="M19" s="73">
        <v>456</v>
      </c>
      <c r="O19" s="73"/>
      <c r="P19" s="73"/>
      <c r="Q19" s="73">
        <v>100</v>
      </c>
      <c r="R19" s="73">
        <f>SUM(K19:Q19)</f>
        <v>1094</v>
      </c>
    </row>
    <row r="20" spans="1:18">
      <c r="C20" t="s">
        <v>243</v>
      </c>
      <c r="K20" s="73"/>
      <c r="L20" s="73"/>
      <c r="M20" s="73"/>
      <c r="N20" s="73"/>
      <c r="O20" s="73"/>
      <c r="P20" s="73">
        <v>14025</v>
      </c>
      <c r="Q20" s="73"/>
      <c r="R20" s="73">
        <f>SUM(K20:Q20)</f>
        <v>14025</v>
      </c>
    </row>
    <row r="21" spans="1:18">
      <c r="K21" s="93"/>
      <c r="L21" s="93"/>
      <c r="M21" s="93"/>
      <c r="N21" s="93"/>
      <c r="O21" s="93"/>
      <c r="P21" s="93"/>
      <c r="Q21" s="93"/>
      <c r="R21" s="93"/>
    </row>
    <row r="22" spans="1:18">
      <c r="A22" s="5"/>
      <c r="B22" s="6"/>
      <c r="C22" s="6"/>
      <c r="D22" s="6"/>
      <c r="E22" s="6" t="s">
        <v>26</v>
      </c>
      <c r="F22" s="5"/>
      <c r="G22" s="5"/>
      <c r="H22" s="5"/>
      <c r="I22" s="5"/>
      <c r="J22" s="5"/>
      <c r="K22" s="79">
        <f>SUM(K18:K20)</f>
        <v>210775</v>
      </c>
      <c r="L22" s="79">
        <f t="shared" ref="L22:R22" si="2">SUM(L18:L20)</f>
        <v>149185</v>
      </c>
      <c r="M22" s="79">
        <f t="shared" si="2"/>
        <v>56977</v>
      </c>
      <c r="N22" s="79">
        <f t="shared" si="2"/>
        <v>55004</v>
      </c>
      <c r="O22" s="79">
        <f t="shared" si="2"/>
        <v>24911</v>
      </c>
      <c r="P22" s="79">
        <f t="shared" si="2"/>
        <v>14025</v>
      </c>
      <c r="Q22" s="79">
        <f t="shared" si="2"/>
        <v>51878</v>
      </c>
      <c r="R22" s="79">
        <f t="shared" si="2"/>
        <v>562755</v>
      </c>
    </row>
    <row r="23" spans="1:18">
      <c r="K23" s="73"/>
      <c r="L23" s="73"/>
      <c r="M23" s="73"/>
      <c r="N23" s="73"/>
      <c r="O23" s="73"/>
      <c r="P23" s="73"/>
      <c r="Q23" s="73"/>
      <c r="R23" s="73"/>
    </row>
    <row r="24" spans="1:18">
      <c r="A24" s="71" t="s">
        <v>65</v>
      </c>
      <c r="K24" s="73"/>
      <c r="L24" s="73"/>
      <c r="M24" s="73"/>
      <c r="N24" s="73"/>
      <c r="O24" s="73"/>
      <c r="P24" s="73"/>
      <c r="Q24" s="73"/>
      <c r="R24" s="73"/>
    </row>
    <row r="25" spans="1:18">
      <c r="B25" t="s">
        <v>277</v>
      </c>
      <c r="K25" s="73">
        <v>43701</v>
      </c>
      <c r="L25" s="73">
        <v>86001</v>
      </c>
      <c r="M25" s="73">
        <v>55024</v>
      </c>
      <c r="N25" s="73"/>
      <c r="O25" s="73"/>
      <c r="P25" s="73">
        <v>15626</v>
      </c>
      <c r="Q25" s="73">
        <v>57089</v>
      </c>
      <c r="R25" s="73">
        <f>SUM(K25:Q25)</f>
        <v>257441</v>
      </c>
    </row>
    <row r="26" spans="1:18">
      <c r="K26" s="93"/>
      <c r="L26" s="93"/>
      <c r="M26" s="93"/>
      <c r="N26" s="93"/>
      <c r="O26" s="93"/>
      <c r="P26" s="93"/>
      <c r="Q26" s="93"/>
      <c r="R26" s="93"/>
    </row>
    <row r="27" spans="1:18">
      <c r="A27" s="5"/>
      <c r="B27" s="6"/>
      <c r="C27" s="6"/>
      <c r="D27" s="6"/>
      <c r="E27" s="6" t="s">
        <v>29</v>
      </c>
      <c r="F27" s="5"/>
      <c r="G27" s="5"/>
      <c r="H27" s="5"/>
      <c r="I27" s="5"/>
      <c r="J27" s="5"/>
      <c r="K27" s="79">
        <f t="shared" ref="K27:R27" si="3">SUM(K25:K25)</f>
        <v>43701</v>
      </c>
      <c r="L27" s="79">
        <f t="shared" si="3"/>
        <v>86001</v>
      </c>
      <c r="M27" s="79">
        <f t="shared" si="3"/>
        <v>55024</v>
      </c>
      <c r="N27" s="79">
        <f t="shared" si="3"/>
        <v>0</v>
      </c>
      <c r="O27" s="79">
        <f t="shared" si="3"/>
        <v>0</v>
      </c>
      <c r="P27" s="79">
        <f t="shared" si="3"/>
        <v>15626</v>
      </c>
      <c r="Q27" s="79">
        <f t="shared" si="3"/>
        <v>57089</v>
      </c>
      <c r="R27" s="79">
        <f t="shared" si="3"/>
        <v>257441</v>
      </c>
    </row>
    <row r="28" spans="1:18">
      <c r="K28" s="73"/>
      <c r="L28" s="73"/>
      <c r="M28" s="73"/>
      <c r="N28" s="73"/>
      <c r="O28" s="73"/>
      <c r="P28" s="73"/>
      <c r="Q28" s="73"/>
      <c r="R28" s="73"/>
    </row>
    <row r="29" spans="1:18">
      <c r="B29" t="s">
        <v>30</v>
      </c>
      <c r="K29" s="73"/>
      <c r="L29" s="73"/>
      <c r="M29" s="73"/>
      <c r="N29" s="73"/>
      <c r="O29" s="73"/>
      <c r="P29" s="73"/>
      <c r="Q29" s="73"/>
      <c r="R29" s="73"/>
    </row>
    <row r="30" spans="1:18">
      <c r="C30" t="s">
        <v>278</v>
      </c>
      <c r="K30" s="80">
        <v>369605</v>
      </c>
      <c r="L30" s="73">
        <v>924211</v>
      </c>
      <c r="M30" s="73">
        <v>1395262</v>
      </c>
      <c r="N30" s="73">
        <v>1302859</v>
      </c>
      <c r="O30" s="73">
        <v>51410</v>
      </c>
      <c r="P30" s="73">
        <v>30914</v>
      </c>
      <c r="Q30" s="73">
        <v>1823305</v>
      </c>
      <c r="R30" s="73">
        <f t="shared" ref="R30:R31" si="4">SUM(K30:Q30)</f>
        <v>5897566</v>
      </c>
    </row>
    <row r="31" spans="1:18">
      <c r="C31" t="s">
        <v>279</v>
      </c>
      <c r="K31" s="84">
        <v>4228241</v>
      </c>
      <c r="L31" s="73"/>
      <c r="M31" s="73"/>
      <c r="N31" s="73"/>
      <c r="O31" s="73"/>
      <c r="P31" s="73"/>
      <c r="Q31" s="73"/>
      <c r="R31" s="73">
        <f t="shared" si="4"/>
        <v>4228241</v>
      </c>
    </row>
    <row r="32" spans="1:18">
      <c r="K32" s="93"/>
      <c r="L32" s="93"/>
      <c r="M32" s="93"/>
      <c r="N32" s="93"/>
      <c r="O32" s="93"/>
      <c r="P32" s="93"/>
      <c r="Q32" s="93"/>
      <c r="R32" s="93"/>
    </row>
    <row r="33" spans="1:18">
      <c r="A33" s="5"/>
      <c r="B33" s="5"/>
      <c r="C33" s="5"/>
      <c r="D33" s="6"/>
      <c r="E33" s="6" t="s">
        <v>78</v>
      </c>
      <c r="F33" s="5"/>
      <c r="G33" s="5"/>
      <c r="H33" s="5"/>
      <c r="I33" s="5"/>
      <c r="J33" s="5"/>
      <c r="K33" s="79">
        <f t="shared" ref="K33:R33" si="5">SUM(K30:K31)</f>
        <v>4597846</v>
      </c>
      <c r="L33" s="79">
        <f t="shared" si="5"/>
        <v>924211</v>
      </c>
      <c r="M33" s="79">
        <f t="shared" si="5"/>
        <v>1395262</v>
      </c>
      <c r="N33" s="79">
        <f t="shared" si="5"/>
        <v>1302859</v>
      </c>
      <c r="O33" s="79">
        <f t="shared" si="5"/>
        <v>51410</v>
      </c>
      <c r="P33" s="79">
        <f t="shared" si="5"/>
        <v>30914</v>
      </c>
      <c r="Q33" s="79">
        <f t="shared" si="5"/>
        <v>1823305</v>
      </c>
      <c r="R33" s="79">
        <f t="shared" si="5"/>
        <v>10125807</v>
      </c>
    </row>
    <row r="34" spans="1:18">
      <c r="K34" s="73"/>
      <c r="L34" s="73"/>
      <c r="M34" s="73"/>
      <c r="N34" s="73"/>
      <c r="O34" s="73"/>
      <c r="P34" s="73"/>
      <c r="Q34" s="73"/>
      <c r="R34" s="73"/>
    </row>
    <row r="35" spans="1:18">
      <c r="A35" s="7"/>
      <c r="B35" s="7"/>
      <c r="C35" s="7"/>
      <c r="D35" s="8"/>
      <c r="E35" s="8" t="s">
        <v>79</v>
      </c>
      <c r="F35" s="7"/>
      <c r="G35" s="7"/>
      <c r="H35" s="7"/>
      <c r="I35" s="7"/>
      <c r="J35" s="7"/>
      <c r="K35" s="81">
        <f>SUM(K22+K27+K33)</f>
        <v>4852322</v>
      </c>
      <c r="L35" s="81">
        <f t="shared" ref="L35:R35" si="6">SUM(L22+L27+L33)</f>
        <v>1159397</v>
      </c>
      <c r="M35" s="81">
        <f t="shared" si="6"/>
        <v>1507263</v>
      </c>
      <c r="N35" s="81">
        <f t="shared" si="6"/>
        <v>1357863</v>
      </c>
      <c r="O35" s="81">
        <f t="shared" si="6"/>
        <v>76321</v>
      </c>
      <c r="P35" s="81">
        <f t="shared" si="6"/>
        <v>60565</v>
      </c>
      <c r="Q35" s="81">
        <f t="shared" si="6"/>
        <v>1932272</v>
      </c>
      <c r="R35" s="81">
        <f t="shared" si="6"/>
        <v>10946003</v>
      </c>
    </row>
  </sheetData>
  <mergeCells count="2">
    <mergeCell ref="D1:K1"/>
    <mergeCell ref="D2:K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Q35"/>
  <sheetViews>
    <sheetView topLeftCell="D20" zoomScale="60" zoomScaleNormal="60" zoomScalePageLayoutView="80" workbookViewId="0">
      <selection activeCell="Q31" sqref="Q31"/>
    </sheetView>
  </sheetViews>
  <sheetFormatPr defaultColWidth="8.85546875" defaultRowHeight="15"/>
  <cols>
    <col min="5" max="5" width="22.42578125" customWidth="1"/>
    <col min="11" max="11" width="15.140625" customWidth="1"/>
    <col min="12" max="12" width="13.7109375" customWidth="1"/>
    <col min="13" max="13" width="15.140625" customWidth="1"/>
    <col min="14" max="14" width="15.28515625" customWidth="1"/>
    <col min="15" max="15" width="17.28515625" customWidth="1"/>
    <col min="16" max="16" width="16.42578125" customWidth="1"/>
    <col min="17" max="17" width="14.28515625" customWidth="1"/>
  </cols>
  <sheetData>
    <row r="1" spans="1:17" ht="18.75">
      <c r="D1" s="253" t="s">
        <v>280</v>
      </c>
      <c r="E1" s="253"/>
      <c r="F1" s="253"/>
      <c r="G1" s="253"/>
      <c r="H1" s="253"/>
      <c r="I1" s="253"/>
      <c r="J1" s="253"/>
      <c r="K1" s="253"/>
    </row>
    <row r="2" spans="1:17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7">
      <c r="D3" s="57"/>
      <c r="E3" s="57"/>
      <c r="F3" s="57"/>
      <c r="G3" s="57"/>
      <c r="H3" s="57"/>
      <c r="I3" s="57"/>
      <c r="J3" s="57"/>
      <c r="K3" s="57"/>
    </row>
    <row r="4" spans="1:17">
      <c r="K4" s="109"/>
      <c r="L4" s="109"/>
      <c r="M4" s="183" t="s">
        <v>281</v>
      </c>
      <c r="N4" s="109"/>
      <c r="O4" s="109"/>
      <c r="P4" s="57"/>
    </row>
    <row r="5" spans="1:17" ht="45">
      <c r="K5" s="1" t="s">
        <v>2</v>
      </c>
      <c r="L5" s="1" t="s">
        <v>282</v>
      </c>
      <c r="M5" s="1" t="s">
        <v>4</v>
      </c>
      <c r="N5" s="1" t="s">
        <v>283</v>
      </c>
      <c r="O5" s="1" t="s">
        <v>284</v>
      </c>
      <c r="P5" s="1" t="s">
        <v>58</v>
      </c>
      <c r="Q5" s="1" t="s">
        <v>249</v>
      </c>
    </row>
    <row r="6" spans="1:17">
      <c r="A6" s="86" t="s">
        <v>8</v>
      </c>
    </row>
    <row r="7" spans="1:17">
      <c r="B7" t="s">
        <v>85</v>
      </c>
      <c r="K7" s="72">
        <v>3045095</v>
      </c>
      <c r="L7" s="73">
        <v>1247237</v>
      </c>
      <c r="M7" s="73">
        <v>2053953</v>
      </c>
      <c r="N7" s="73"/>
      <c r="O7" s="73">
        <v>552356</v>
      </c>
      <c r="P7" s="73">
        <v>997776</v>
      </c>
      <c r="Q7" s="73">
        <f t="shared" ref="Q7:Q13" si="0">SUM(K7:P7)</f>
        <v>7896417</v>
      </c>
    </row>
    <row r="8" spans="1:17">
      <c r="B8" t="s">
        <v>285</v>
      </c>
      <c r="K8" s="73"/>
      <c r="L8" s="73"/>
      <c r="M8" s="73"/>
      <c r="N8" s="73">
        <v>2542427</v>
      </c>
      <c r="O8" s="73"/>
      <c r="P8" s="73"/>
      <c r="Q8" s="73">
        <f t="shared" si="0"/>
        <v>2542427</v>
      </c>
    </row>
    <row r="9" spans="1:17">
      <c r="B9" t="s">
        <v>286</v>
      </c>
      <c r="K9" s="74">
        <v>48252</v>
      </c>
      <c r="L9" s="73">
        <v>25193</v>
      </c>
      <c r="M9" s="73"/>
      <c r="N9" s="73"/>
      <c r="O9" s="73">
        <v>39804</v>
      </c>
      <c r="P9" s="73">
        <v>16718</v>
      </c>
      <c r="Q9" s="73">
        <f t="shared" si="0"/>
        <v>129967</v>
      </c>
    </row>
    <row r="10" spans="1:17">
      <c r="B10" t="s">
        <v>287</v>
      </c>
      <c r="K10" s="74">
        <v>252973</v>
      </c>
      <c r="L10" s="73">
        <v>1114404</v>
      </c>
      <c r="M10" s="73"/>
      <c r="N10" s="73"/>
      <c r="O10" s="73"/>
      <c r="P10" s="73">
        <v>201711</v>
      </c>
      <c r="Q10" s="73">
        <f t="shared" si="0"/>
        <v>1569088</v>
      </c>
    </row>
    <row r="11" spans="1:17">
      <c r="B11" t="s">
        <v>288</v>
      </c>
      <c r="K11" s="73"/>
      <c r="L11" s="73"/>
      <c r="M11" s="73">
        <v>167250</v>
      </c>
      <c r="N11" s="73"/>
      <c r="O11" s="73"/>
      <c r="P11" s="73"/>
      <c r="Q11" s="73">
        <f t="shared" si="0"/>
        <v>167250</v>
      </c>
    </row>
    <row r="12" spans="1:17">
      <c r="B12" t="s">
        <v>289</v>
      </c>
      <c r="K12" s="74">
        <v>183685</v>
      </c>
      <c r="L12" s="73"/>
      <c r="M12" s="73"/>
      <c r="N12" s="73"/>
      <c r="O12" s="73"/>
      <c r="P12" s="73"/>
      <c r="Q12" s="73">
        <f t="shared" si="0"/>
        <v>183685</v>
      </c>
    </row>
    <row r="13" spans="1:17">
      <c r="B13" t="s">
        <v>16</v>
      </c>
      <c r="K13" s="75">
        <v>90748</v>
      </c>
      <c r="L13" s="73">
        <v>9300</v>
      </c>
      <c r="M13" s="73"/>
      <c r="N13" s="73">
        <v>72000</v>
      </c>
      <c r="O13" s="73">
        <v>28000</v>
      </c>
      <c r="P13" s="73">
        <v>49529</v>
      </c>
      <c r="Q13" s="73">
        <f t="shared" si="0"/>
        <v>249577</v>
      </c>
    </row>
    <row r="14" spans="1:17">
      <c r="K14" s="93"/>
      <c r="L14" s="93"/>
      <c r="M14" s="93"/>
      <c r="N14" s="93"/>
      <c r="O14" s="93"/>
      <c r="P14" s="93"/>
      <c r="Q14" s="93"/>
    </row>
    <row r="15" spans="1:17">
      <c r="A15" s="2"/>
      <c r="B15" s="2"/>
      <c r="C15" s="2"/>
      <c r="D15" s="2"/>
      <c r="E15" s="2" t="s">
        <v>64</v>
      </c>
      <c r="F15" s="3"/>
      <c r="G15" s="3"/>
      <c r="H15" s="3"/>
      <c r="I15" s="3"/>
      <c r="J15" s="3"/>
      <c r="K15" s="76">
        <f t="shared" ref="K15:Q15" si="1">SUM(K7:K13)</f>
        <v>3620753</v>
      </c>
      <c r="L15" s="76">
        <f t="shared" si="1"/>
        <v>2396134</v>
      </c>
      <c r="M15" s="76">
        <f t="shared" si="1"/>
        <v>2221203</v>
      </c>
      <c r="N15" s="76">
        <f t="shared" si="1"/>
        <v>2614427</v>
      </c>
      <c r="O15" s="76">
        <f t="shared" si="1"/>
        <v>620160</v>
      </c>
      <c r="P15" s="76">
        <f t="shared" si="1"/>
        <v>1265734</v>
      </c>
      <c r="Q15" s="76">
        <f t="shared" si="1"/>
        <v>12738411</v>
      </c>
    </row>
    <row r="16" spans="1:17">
      <c r="K16" s="73"/>
      <c r="L16" s="73"/>
      <c r="M16" s="73"/>
      <c r="N16" s="73"/>
      <c r="O16" s="73"/>
      <c r="P16" s="73"/>
      <c r="Q16" s="73"/>
    </row>
    <row r="17" spans="1:17">
      <c r="A17" s="4" t="s">
        <v>160</v>
      </c>
      <c r="K17" s="73"/>
      <c r="L17" s="73"/>
      <c r="M17" s="73"/>
      <c r="N17" s="73"/>
      <c r="O17" s="73"/>
      <c r="P17" s="73"/>
      <c r="Q17" s="73"/>
    </row>
    <row r="18" spans="1:17">
      <c r="C18" t="s">
        <v>21</v>
      </c>
      <c r="K18" s="77">
        <v>31115</v>
      </c>
      <c r="L18" s="73">
        <v>1009</v>
      </c>
      <c r="M18" s="73">
        <v>26599</v>
      </c>
      <c r="N18" s="61"/>
      <c r="O18" s="73">
        <v>9547</v>
      </c>
      <c r="P18" s="73">
        <v>148708</v>
      </c>
      <c r="Q18" s="73">
        <f>SUM(K18:P18)</f>
        <v>216978</v>
      </c>
    </row>
    <row r="19" spans="1:17">
      <c r="C19" t="s">
        <v>290</v>
      </c>
      <c r="K19" s="82">
        <v>45503</v>
      </c>
      <c r="L19" s="73">
        <v>25436</v>
      </c>
      <c r="M19" s="73"/>
      <c r="N19" s="61"/>
      <c r="O19" s="73">
        <v>14205</v>
      </c>
      <c r="P19" s="73">
        <v>7181</v>
      </c>
      <c r="Q19" s="73">
        <f t="shared" ref="Q19:Q20" si="2">SUM(K19:P19)</f>
        <v>92325</v>
      </c>
    </row>
    <row r="20" spans="1:17">
      <c r="C20" t="s">
        <v>25</v>
      </c>
      <c r="K20" s="78">
        <v>3729</v>
      </c>
      <c r="L20" s="73"/>
      <c r="M20" s="73">
        <v>245848</v>
      </c>
      <c r="O20" s="73"/>
      <c r="P20" s="73"/>
      <c r="Q20" s="73">
        <f t="shared" si="2"/>
        <v>249577</v>
      </c>
    </row>
    <row r="21" spans="1:17">
      <c r="K21" s="93"/>
      <c r="L21" s="93"/>
      <c r="M21" s="93"/>
      <c r="N21" s="93"/>
      <c r="O21" s="93"/>
      <c r="P21" s="93"/>
      <c r="Q21" s="93"/>
    </row>
    <row r="22" spans="1:17">
      <c r="A22" s="5"/>
      <c r="B22" s="6"/>
      <c r="C22" s="6"/>
      <c r="D22" s="6"/>
      <c r="E22" s="6" t="s">
        <v>26</v>
      </c>
      <c r="F22" s="5"/>
      <c r="G22" s="5"/>
      <c r="H22" s="5"/>
      <c r="I22" s="5"/>
      <c r="J22" s="5"/>
      <c r="K22" s="79">
        <f t="shared" ref="K22:Q22" si="3">SUM(K18:K20)</f>
        <v>80347</v>
      </c>
      <c r="L22" s="79">
        <f t="shared" si="3"/>
        <v>26445</v>
      </c>
      <c r="M22" s="79">
        <f t="shared" si="3"/>
        <v>272447</v>
      </c>
      <c r="N22" s="79">
        <f t="shared" si="3"/>
        <v>0</v>
      </c>
      <c r="O22" s="79">
        <f t="shared" si="3"/>
        <v>23752</v>
      </c>
      <c r="P22" s="79">
        <f t="shared" si="3"/>
        <v>155889</v>
      </c>
      <c r="Q22" s="79">
        <f t="shared" si="3"/>
        <v>558880</v>
      </c>
    </row>
    <row r="23" spans="1:17">
      <c r="K23" s="73"/>
      <c r="L23" s="73"/>
      <c r="M23" s="73"/>
      <c r="N23" s="73"/>
      <c r="O23" s="73"/>
      <c r="P23" s="73"/>
      <c r="Q23" s="73"/>
    </row>
    <row r="24" spans="1:17">
      <c r="A24" s="71" t="s">
        <v>65</v>
      </c>
      <c r="K24" s="73"/>
      <c r="L24" s="73"/>
      <c r="M24" s="73"/>
      <c r="N24" s="73"/>
      <c r="O24" s="73"/>
      <c r="P24" s="73"/>
      <c r="Q24" s="73"/>
    </row>
    <row r="25" spans="1:17">
      <c r="B25" t="s">
        <v>291</v>
      </c>
      <c r="K25" s="73">
        <v>12924</v>
      </c>
      <c r="L25" s="73">
        <v>56933</v>
      </c>
      <c r="M25" s="73"/>
      <c r="N25" s="73"/>
      <c r="O25" s="73"/>
      <c r="P25" s="73">
        <v>10305</v>
      </c>
      <c r="Q25" s="73">
        <f>SUM(K25:P25)</f>
        <v>80162</v>
      </c>
    </row>
    <row r="26" spans="1:17">
      <c r="K26" s="93"/>
      <c r="L26" s="93"/>
      <c r="M26" s="93"/>
      <c r="N26" s="93"/>
      <c r="O26" s="93"/>
      <c r="P26" s="93"/>
      <c r="Q26" s="93"/>
    </row>
    <row r="27" spans="1:17">
      <c r="A27" s="5"/>
      <c r="B27" s="6"/>
      <c r="C27" s="6"/>
      <c r="D27" s="6"/>
      <c r="E27" s="6" t="s">
        <v>29</v>
      </c>
      <c r="F27" s="5"/>
      <c r="G27" s="5"/>
      <c r="H27" s="5"/>
      <c r="I27" s="5"/>
      <c r="J27" s="5"/>
      <c r="K27" s="79">
        <f t="shared" ref="K27:Q27" si="4">SUM(K25:K25)</f>
        <v>12924</v>
      </c>
      <c r="L27" s="79">
        <f t="shared" si="4"/>
        <v>56933</v>
      </c>
      <c r="M27" s="79">
        <f t="shared" si="4"/>
        <v>0</v>
      </c>
      <c r="N27" s="79">
        <f t="shared" si="4"/>
        <v>0</v>
      </c>
      <c r="O27" s="79">
        <f t="shared" si="4"/>
        <v>0</v>
      </c>
      <c r="P27" s="79">
        <f t="shared" si="4"/>
        <v>10305</v>
      </c>
      <c r="Q27" s="79">
        <f t="shared" si="4"/>
        <v>80162</v>
      </c>
    </row>
    <row r="28" spans="1:17">
      <c r="K28" s="73"/>
      <c r="L28" s="73"/>
      <c r="M28" s="73"/>
      <c r="N28" s="73"/>
      <c r="O28" s="73"/>
      <c r="P28" s="73"/>
      <c r="Q28" s="73"/>
    </row>
    <row r="29" spans="1:17">
      <c r="A29" s="86" t="s">
        <v>30</v>
      </c>
      <c r="K29" s="73"/>
      <c r="L29" s="73"/>
      <c r="M29" s="73"/>
      <c r="N29" s="73"/>
      <c r="O29" s="73"/>
      <c r="P29" s="73"/>
      <c r="Q29" s="73"/>
    </row>
    <row r="30" spans="1:17">
      <c r="C30" t="s">
        <v>129</v>
      </c>
      <c r="K30" s="73"/>
      <c r="L30" s="73">
        <v>2312756</v>
      </c>
      <c r="M30" s="73">
        <v>1948756</v>
      </c>
      <c r="N30" s="73">
        <v>2614427</v>
      </c>
      <c r="O30" s="73">
        <v>596408</v>
      </c>
      <c r="P30" s="73">
        <v>1019664</v>
      </c>
      <c r="Q30" s="73">
        <f t="shared" ref="Q30:Q31" si="5">SUM(K30:P30)</f>
        <v>8492011</v>
      </c>
    </row>
    <row r="31" spans="1:17">
      <c r="C31" t="s">
        <v>48</v>
      </c>
      <c r="K31" s="84">
        <v>3527482</v>
      </c>
      <c r="L31" s="73"/>
      <c r="M31" s="73"/>
      <c r="N31" s="73"/>
      <c r="O31" s="73"/>
      <c r="P31" s="73">
        <v>79876</v>
      </c>
      <c r="Q31" s="73">
        <f t="shared" si="5"/>
        <v>3607358</v>
      </c>
    </row>
    <row r="32" spans="1:17">
      <c r="K32" s="93"/>
      <c r="L32" s="93"/>
      <c r="M32" s="93"/>
      <c r="N32" s="93"/>
      <c r="O32" s="93"/>
      <c r="P32" s="93"/>
      <c r="Q32" s="93"/>
    </row>
    <row r="33" spans="1:17">
      <c r="A33" s="5"/>
      <c r="B33" s="5"/>
      <c r="C33" s="5"/>
      <c r="D33" s="6"/>
      <c r="E33" s="6" t="s">
        <v>78</v>
      </c>
      <c r="F33" s="5"/>
      <c r="G33" s="5"/>
      <c r="H33" s="5"/>
      <c r="I33" s="5"/>
      <c r="J33" s="5"/>
      <c r="K33" s="79">
        <f t="shared" ref="K33:Q33" si="6">SUM(K30:K31)</f>
        <v>3527482</v>
      </c>
      <c r="L33" s="79">
        <f t="shared" si="6"/>
        <v>2312756</v>
      </c>
      <c r="M33" s="79">
        <f t="shared" si="6"/>
        <v>1948756</v>
      </c>
      <c r="N33" s="79">
        <f t="shared" si="6"/>
        <v>2614427</v>
      </c>
      <c r="O33" s="79">
        <f t="shared" si="6"/>
        <v>596408</v>
      </c>
      <c r="P33" s="79">
        <f t="shared" si="6"/>
        <v>1099540</v>
      </c>
      <c r="Q33" s="79">
        <f t="shared" si="6"/>
        <v>12099369</v>
      </c>
    </row>
    <row r="34" spans="1:17">
      <c r="K34" s="73"/>
      <c r="L34" s="73"/>
      <c r="M34" s="73"/>
      <c r="N34" s="73"/>
      <c r="O34" s="73"/>
      <c r="P34" s="73"/>
      <c r="Q34" s="73"/>
    </row>
    <row r="35" spans="1:17">
      <c r="A35" s="7"/>
      <c r="B35" s="7"/>
      <c r="C35" s="7"/>
      <c r="D35" s="8"/>
      <c r="E35" s="8" t="s">
        <v>79</v>
      </c>
      <c r="F35" s="7"/>
      <c r="G35" s="7"/>
      <c r="H35" s="7"/>
      <c r="I35" s="7"/>
      <c r="J35" s="7"/>
      <c r="K35" s="81">
        <f t="shared" ref="K35:Q35" si="7">SUM(K22+K27+K33)</f>
        <v>3620753</v>
      </c>
      <c r="L35" s="81">
        <f t="shared" si="7"/>
        <v>2396134</v>
      </c>
      <c r="M35" s="81">
        <f t="shared" si="7"/>
        <v>2221203</v>
      </c>
      <c r="N35" s="81">
        <f t="shared" si="7"/>
        <v>2614427</v>
      </c>
      <c r="O35" s="81">
        <f t="shared" si="7"/>
        <v>620160</v>
      </c>
      <c r="P35" s="81">
        <f t="shared" si="7"/>
        <v>1265734</v>
      </c>
      <c r="Q35" s="81">
        <f t="shared" si="7"/>
        <v>12738411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48"/>
  <sheetViews>
    <sheetView zoomScale="64" zoomScaleNormal="64" workbookViewId="0">
      <selection activeCell="Q44" sqref="Q44"/>
    </sheetView>
  </sheetViews>
  <sheetFormatPr defaultColWidth="8.85546875" defaultRowHeight="15"/>
  <cols>
    <col min="11" max="11" width="15.42578125" customWidth="1"/>
    <col min="12" max="12" width="14.42578125" customWidth="1"/>
    <col min="13" max="13" width="15.42578125" customWidth="1"/>
    <col min="14" max="14" width="14.85546875" customWidth="1"/>
    <col min="15" max="16" width="16" customWidth="1"/>
    <col min="17" max="17" width="15.140625" customWidth="1"/>
    <col min="18" max="18" width="17" customWidth="1"/>
  </cols>
  <sheetData>
    <row r="1" spans="1:18" ht="18.75">
      <c r="D1" s="253" t="s">
        <v>292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8" ht="45">
      <c r="K4" s="1" t="s">
        <v>2</v>
      </c>
      <c r="L4" s="1" t="s">
        <v>53</v>
      </c>
      <c r="M4" s="1" t="s">
        <v>293</v>
      </c>
      <c r="N4" s="1" t="s">
        <v>294</v>
      </c>
      <c r="O4" s="1" t="s">
        <v>295</v>
      </c>
      <c r="P4" s="1" t="s">
        <v>272</v>
      </c>
      <c r="Q4" s="1" t="s">
        <v>6</v>
      </c>
      <c r="R4" s="1" t="s">
        <v>7</v>
      </c>
    </row>
    <row r="5" spans="1:18">
      <c r="A5" t="s">
        <v>8</v>
      </c>
    </row>
    <row r="6" spans="1:18">
      <c r="B6" t="s">
        <v>215</v>
      </c>
      <c r="K6" s="72">
        <v>2168096</v>
      </c>
      <c r="L6" s="73">
        <v>562724</v>
      </c>
      <c r="M6" s="73">
        <v>111109</v>
      </c>
      <c r="N6" s="73">
        <v>145874</v>
      </c>
      <c r="O6" s="73">
        <v>4729998</v>
      </c>
      <c r="P6" s="73">
        <v>3000</v>
      </c>
      <c r="Q6" s="73">
        <v>774183</v>
      </c>
      <c r="R6" s="73">
        <f>SUM(K6:Q6)</f>
        <v>8494984</v>
      </c>
    </row>
    <row r="7" spans="1:18">
      <c r="B7" t="s">
        <v>10</v>
      </c>
      <c r="K7" s="77">
        <v>7150213</v>
      </c>
      <c r="L7" s="73">
        <v>6744260</v>
      </c>
      <c r="M7" s="73">
        <v>10706</v>
      </c>
      <c r="N7" s="73">
        <v>6947617</v>
      </c>
      <c r="O7" s="73"/>
      <c r="P7" s="73"/>
      <c r="Q7" s="73"/>
      <c r="R7" s="73">
        <f>SUM(K7:Q7)</f>
        <v>20852796</v>
      </c>
    </row>
    <row r="8" spans="1:18">
      <c r="B8" t="s">
        <v>296</v>
      </c>
      <c r="K8" s="74">
        <v>4095689</v>
      </c>
      <c r="L8" s="73">
        <v>4234560</v>
      </c>
      <c r="M8" s="73">
        <v>4052326</v>
      </c>
      <c r="N8" s="73">
        <v>121379</v>
      </c>
      <c r="O8" s="73">
        <v>379</v>
      </c>
      <c r="P8" s="73">
        <v>629370</v>
      </c>
      <c r="Q8" s="73">
        <v>77453</v>
      </c>
      <c r="R8" s="73">
        <f>SUM(K8:Q8)</f>
        <v>13211156</v>
      </c>
    </row>
    <row r="9" spans="1:18">
      <c r="B9" t="s">
        <v>62</v>
      </c>
      <c r="K9" s="73"/>
      <c r="L9" s="73"/>
      <c r="M9" s="73"/>
      <c r="N9" s="73">
        <v>26264</v>
      </c>
      <c r="O9" s="73"/>
      <c r="P9" s="73"/>
      <c r="Q9" s="73"/>
      <c r="R9" s="73">
        <f t="shared" ref="R9:R11" si="0">SUM(K9:Q9)</f>
        <v>26264</v>
      </c>
    </row>
    <row r="10" spans="1:18">
      <c r="B10" t="s">
        <v>297</v>
      </c>
      <c r="K10" s="75">
        <v>103000</v>
      </c>
      <c r="L10" s="73">
        <v>92584</v>
      </c>
      <c r="M10" s="73">
        <v>360118</v>
      </c>
      <c r="N10" s="73"/>
      <c r="O10" s="73">
        <v>61722</v>
      </c>
      <c r="P10" s="73"/>
      <c r="Q10" s="73"/>
      <c r="R10" s="73">
        <f t="shared" si="0"/>
        <v>617424</v>
      </c>
    </row>
    <row r="11" spans="1:18">
      <c r="B11" t="s">
        <v>298</v>
      </c>
      <c r="K11" s="73"/>
      <c r="L11" s="73"/>
      <c r="M11" s="73">
        <v>42000</v>
      </c>
      <c r="N11" s="73"/>
      <c r="O11" s="73"/>
      <c r="P11" s="73"/>
      <c r="Q11" s="73"/>
      <c r="R11" s="73">
        <f t="shared" si="0"/>
        <v>42000</v>
      </c>
    </row>
    <row r="12" spans="1:18">
      <c r="K12" s="93"/>
      <c r="L12" s="93"/>
      <c r="M12" s="93"/>
      <c r="N12" s="93"/>
      <c r="O12" s="93"/>
      <c r="P12" s="93"/>
      <c r="Q12" s="93"/>
      <c r="R12" s="93"/>
    </row>
    <row r="13" spans="1:18">
      <c r="A13" s="2"/>
      <c r="B13" s="2"/>
      <c r="C13" s="2"/>
      <c r="D13" s="2"/>
      <c r="E13" s="2" t="s">
        <v>18</v>
      </c>
      <c r="F13" s="3"/>
      <c r="G13" s="3"/>
      <c r="H13" s="3"/>
      <c r="I13" s="3"/>
      <c r="J13" s="3"/>
      <c r="K13" s="76">
        <f>SUM(K6:K11)</f>
        <v>13516998</v>
      </c>
      <c r="L13" s="76">
        <f>SUM(L6:L11)</f>
        <v>11634128</v>
      </c>
      <c r="M13" s="76">
        <f>SUM(M6:M11)</f>
        <v>4576259</v>
      </c>
      <c r="N13" s="76">
        <f>SUM(N6:N11)</f>
        <v>7241134</v>
      </c>
      <c r="O13" s="76">
        <f>SUM(O6:O11)</f>
        <v>4792099</v>
      </c>
      <c r="P13" s="76">
        <f t="shared" ref="P13:Q13" si="1">SUM(P6:P11)</f>
        <v>632370</v>
      </c>
      <c r="Q13" s="76">
        <f t="shared" si="1"/>
        <v>851636</v>
      </c>
      <c r="R13" s="76">
        <f>SUM(R6:R11)</f>
        <v>43244624</v>
      </c>
    </row>
    <row r="14" spans="1:18">
      <c r="K14" s="73"/>
      <c r="L14" s="73"/>
      <c r="M14" s="73"/>
      <c r="N14" s="73"/>
      <c r="O14" s="73"/>
      <c r="P14" s="73"/>
      <c r="Q14" s="73"/>
      <c r="R14" s="73"/>
    </row>
    <row r="15" spans="1:18">
      <c r="A15" s="4" t="s">
        <v>19</v>
      </c>
      <c r="K15" s="73"/>
      <c r="L15" s="73"/>
      <c r="M15" s="73"/>
      <c r="N15" s="73"/>
      <c r="O15" s="73"/>
      <c r="P15" s="73"/>
      <c r="Q15" s="73"/>
      <c r="R15" s="73"/>
    </row>
    <row r="16" spans="1:18">
      <c r="B16" t="s">
        <v>20</v>
      </c>
      <c r="K16" s="73"/>
      <c r="L16" s="73"/>
      <c r="M16" s="73"/>
      <c r="N16" s="73"/>
      <c r="O16" s="73"/>
      <c r="P16" s="73"/>
      <c r="Q16" s="73"/>
      <c r="R16" s="73"/>
    </row>
    <row r="17" spans="1:18">
      <c r="C17" t="s">
        <v>21</v>
      </c>
      <c r="K17" s="77">
        <v>389042</v>
      </c>
      <c r="L17" s="73">
        <v>386303</v>
      </c>
      <c r="M17" s="73">
        <v>377047</v>
      </c>
      <c r="N17" s="73">
        <v>11112</v>
      </c>
      <c r="O17" s="73">
        <v>26107</v>
      </c>
      <c r="P17" s="73">
        <v>12147</v>
      </c>
      <c r="Q17" s="73">
        <v>156789</v>
      </c>
      <c r="R17" s="73">
        <f>SUM(K17:Q17)</f>
        <v>1358547</v>
      </c>
    </row>
    <row r="18" spans="1:18">
      <c r="C18" t="s">
        <v>25</v>
      </c>
      <c r="K18" s="78">
        <v>22496</v>
      </c>
      <c r="L18" s="73">
        <v>29011</v>
      </c>
      <c r="M18" s="73"/>
      <c r="N18" s="73"/>
      <c r="O18" s="73"/>
      <c r="P18" s="73">
        <v>465917</v>
      </c>
      <c r="Q18" s="73">
        <v>100000</v>
      </c>
      <c r="R18" s="73">
        <f t="shared" ref="R18:R21" si="2">SUM(K18:Q18)</f>
        <v>617424</v>
      </c>
    </row>
    <row r="19" spans="1:18">
      <c r="C19" t="s">
        <v>299</v>
      </c>
      <c r="L19" s="73"/>
      <c r="M19" s="73"/>
      <c r="N19" s="73">
        <v>50957</v>
      </c>
      <c r="O19" s="73"/>
      <c r="P19" s="73"/>
      <c r="Q19" s="73"/>
      <c r="R19" s="73">
        <f t="shared" si="2"/>
        <v>50957</v>
      </c>
    </row>
    <row r="20" spans="1:18">
      <c r="C20" t="s">
        <v>300</v>
      </c>
      <c r="F20" t="s">
        <v>301</v>
      </c>
      <c r="L20" s="73"/>
      <c r="M20" s="73"/>
      <c r="N20" s="73"/>
      <c r="O20" s="73"/>
      <c r="P20" s="73">
        <v>154306</v>
      </c>
      <c r="Q20" s="73"/>
      <c r="R20" s="73">
        <f t="shared" si="2"/>
        <v>154306</v>
      </c>
    </row>
    <row r="21" spans="1:18">
      <c r="C21" t="s">
        <v>302</v>
      </c>
      <c r="K21" s="73"/>
      <c r="L21" s="73"/>
      <c r="M21" s="73"/>
      <c r="N21" s="73"/>
      <c r="O21" s="73"/>
      <c r="P21" s="73"/>
      <c r="Q21" s="73">
        <v>18938</v>
      </c>
      <c r="R21" s="73">
        <f t="shared" si="2"/>
        <v>18938</v>
      </c>
    </row>
    <row r="22" spans="1:18">
      <c r="C22" t="s">
        <v>303</v>
      </c>
      <c r="K22" s="82">
        <v>300</v>
      </c>
      <c r="L22" s="73"/>
      <c r="M22" s="73"/>
      <c r="N22" s="73"/>
      <c r="O22" s="73"/>
      <c r="P22" s="73"/>
      <c r="Q22" s="73"/>
      <c r="R22" s="73">
        <f>SUM(K22:Q22)</f>
        <v>300</v>
      </c>
    </row>
    <row r="23" spans="1:18">
      <c r="K23" s="94"/>
      <c r="L23" s="97"/>
      <c r="M23" s="94"/>
      <c r="N23" s="94"/>
      <c r="O23" s="94"/>
      <c r="P23" s="94"/>
      <c r="Q23" s="94"/>
      <c r="R23" s="97"/>
    </row>
    <row r="24" spans="1:18">
      <c r="A24" s="5"/>
      <c r="B24" s="6"/>
      <c r="C24" s="6"/>
      <c r="D24" s="6"/>
      <c r="E24" s="6" t="s">
        <v>26</v>
      </c>
      <c r="F24" s="5"/>
      <c r="G24" s="5"/>
      <c r="H24" s="5"/>
      <c r="I24" s="5"/>
      <c r="J24" s="5"/>
      <c r="K24" s="79">
        <f>SUM(K17:K22)</f>
        <v>411838</v>
      </c>
      <c r="L24" s="79">
        <f>SUM(L17:L22)</f>
        <v>415314</v>
      </c>
      <c r="M24" s="79">
        <f>SUM(M17:M22)</f>
        <v>377047</v>
      </c>
      <c r="N24" s="79">
        <f>SUM(N17:N22)</f>
        <v>62069</v>
      </c>
      <c r="O24" s="79">
        <f>SUM(O17:O22)</f>
        <v>26107</v>
      </c>
      <c r="P24" s="79">
        <f t="shared" ref="P24:Q24" si="3">SUM(P17:P22)</f>
        <v>632370</v>
      </c>
      <c r="Q24" s="79">
        <f t="shared" si="3"/>
        <v>275727</v>
      </c>
      <c r="R24" s="79">
        <f>SUM(R17:R22)</f>
        <v>2200472</v>
      </c>
    </row>
    <row r="25" spans="1:18">
      <c r="K25" s="73"/>
      <c r="L25" s="73"/>
      <c r="M25" s="73"/>
      <c r="N25" s="73"/>
      <c r="O25" s="73"/>
      <c r="P25" s="73"/>
      <c r="Q25" s="73"/>
      <c r="R25" s="73"/>
    </row>
    <row r="26" spans="1:18">
      <c r="A26" s="71" t="s">
        <v>27</v>
      </c>
      <c r="K26" s="73"/>
      <c r="L26" s="73"/>
      <c r="M26" s="73"/>
      <c r="N26" s="73"/>
      <c r="O26" s="73"/>
      <c r="P26" s="73"/>
      <c r="Q26" s="73"/>
      <c r="R26" s="73"/>
    </row>
    <row r="27" spans="1:18">
      <c r="C27" t="s">
        <v>304</v>
      </c>
      <c r="K27" s="85">
        <v>321345</v>
      </c>
      <c r="L27" s="85">
        <v>285935</v>
      </c>
      <c r="M27" s="85">
        <v>268405</v>
      </c>
      <c r="N27" s="85"/>
      <c r="O27" s="85"/>
      <c r="P27" s="85"/>
      <c r="Q27" s="85"/>
      <c r="R27" s="85">
        <f>SUM(K27:Q27)</f>
        <v>875685</v>
      </c>
    </row>
    <row r="28" spans="1:18">
      <c r="K28" s="73"/>
      <c r="L28" s="73"/>
      <c r="M28" s="73"/>
      <c r="N28" s="73"/>
      <c r="O28" s="73"/>
      <c r="P28" s="73"/>
      <c r="Q28" s="73"/>
      <c r="R28" s="73"/>
    </row>
    <row r="29" spans="1:18">
      <c r="A29" s="5"/>
      <c r="B29" s="6"/>
      <c r="C29" s="6"/>
      <c r="D29" s="6"/>
      <c r="E29" s="6" t="s">
        <v>29</v>
      </c>
      <c r="F29" s="5"/>
      <c r="G29" s="5"/>
      <c r="H29" s="5"/>
      <c r="I29" s="5"/>
      <c r="J29" s="5"/>
      <c r="K29" s="79">
        <f>SUM(K27:K27)</f>
        <v>321345</v>
      </c>
      <c r="L29" s="79">
        <f>SUM(L27:L27)</f>
        <v>285935</v>
      </c>
      <c r="M29" s="79">
        <f>SUM(M27:M27)</f>
        <v>268405</v>
      </c>
      <c r="N29" s="79">
        <f>SUM(N27:N27)</f>
        <v>0</v>
      </c>
      <c r="O29" s="79">
        <f>SUM(O27:O27)</f>
        <v>0</v>
      </c>
      <c r="P29" s="79">
        <f t="shared" ref="P29:Q29" si="4">SUM(P27:P27)</f>
        <v>0</v>
      </c>
      <c r="Q29" s="79">
        <f t="shared" si="4"/>
        <v>0</v>
      </c>
      <c r="R29" s="79">
        <f>SUM(R27:R27)</f>
        <v>875685</v>
      </c>
    </row>
    <row r="30" spans="1:18">
      <c r="K30" s="73"/>
      <c r="L30" s="73"/>
      <c r="M30" s="73"/>
      <c r="N30" s="73"/>
      <c r="O30" s="73"/>
      <c r="P30" s="73"/>
      <c r="Q30" s="73"/>
      <c r="R30" s="73"/>
    </row>
    <row r="31" spans="1:18">
      <c r="B31" t="s">
        <v>30</v>
      </c>
      <c r="K31" s="73"/>
      <c r="L31" s="73"/>
      <c r="M31" s="73"/>
      <c r="N31" s="73"/>
      <c r="O31" s="73"/>
      <c r="P31" s="73"/>
      <c r="Q31" s="73"/>
      <c r="R31" s="73"/>
    </row>
    <row r="32" spans="1:18">
      <c r="C32" t="s">
        <v>104</v>
      </c>
      <c r="K32" s="73"/>
      <c r="L32" s="73"/>
      <c r="M32" s="73"/>
      <c r="N32" s="73"/>
      <c r="O32" s="73"/>
      <c r="P32" s="73"/>
      <c r="Q32" s="73"/>
      <c r="R32" s="73"/>
    </row>
    <row r="33" spans="1:18">
      <c r="D33" t="s">
        <v>62</v>
      </c>
      <c r="K33" s="73"/>
      <c r="L33" s="73"/>
      <c r="M33" s="73"/>
      <c r="N33" s="73">
        <v>26264</v>
      </c>
      <c r="O33" s="73"/>
      <c r="P33" s="73"/>
      <c r="Q33" s="73"/>
      <c r="R33" s="73">
        <f t="shared" ref="R33:R44" si="5">SUM(K33:Q33)</f>
        <v>26264</v>
      </c>
    </row>
    <row r="34" spans="1:18">
      <c r="C34" t="s">
        <v>69</v>
      </c>
      <c r="K34" s="73"/>
      <c r="L34" s="73"/>
      <c r="M34" s="73"/>
      <c r="N34" s="73"/>
      <c r="O34" s="73"/>
      <c r="P34" s="73"/>
      <c r="Q34" s="73"/>
      <c r="R34" s="73">
        <f t="shared" si="5"/>
        <v>0</v>
      </c>
    </row>
    <row r="35" spans="1:18">
      <c r="D35" t="s">
        <v>46</v>
      </c>
      <c r="K35" s="73"/>
      <c r="L35" s="73"/>
      <c r="M35" s="73"/>
      <c r="N35" s="73">
        <v>7152801</v>
      </c>
      <c r="O35" s="73"/>
      <c r="P35" s="73"/>
      <c r="Q35" s="73"/>
      <c r="R35" s="73">
        <f t="shared" si="5"/>
        <v>7152801</v>
      </c>
    </row>
    <row r="36" spans="1:18">
      <c r="D36" t="s">
        <v>70</v>
      </c>
      <c r="K36" s="73"/>
      <c r="L36" s="73"/>
      <c r="M36" s="73"/>
      <c r="N36" s="73"/>
      <c r="O36" s="73"/>
      <c r="P36" s="73"/>
      <c r="Q36" s="73">
        <v>487</v>
      </c>
      <c r="R36" s="73">
        <f t="shared" si="5"/>
        <v>487</v>
      </c>
    </row>
    <row r="37" spans="1:18">
      <c r="D37" t="s">
        <v>305</v>
      </c>
      <c r="K37" s="73"/>
      <c r="L37" s="73"/>
      <c r="M37" s="73"/>
      <c r="N37" s="73"/>
      <c r="O37" s="73">
        <v>4765992</v>
      </c>
      <c r="P37" s="73"/>
      <c r="Q37" s="73"/>
      <c r="R37" s="73">
        <f t="shared" si="5"/>
        <v>4765992</v>
      </c>
    </row>
    <row r="38" spans="1:18">
      <c r="D38" t="s">
        <v>306</v>
      </c>
      <c r="K38" s="73"/>
      <c r="L38" s="73"/>
      <c r="M38" s="73">
        <v>3930807</v>
      </c>
      <c r="N38" s="73"/>
      <c r="O38" s="73"/>
      <c r="P38" s="73"/>
      <c r="Q38" s="73"/>
      <c r="R38" s="73">
        <f t="shared" si="5"/>
        <v>3930807</v>
      </c>
    </row>
    <row r="39" spans="1:18">
      <c r="D39" t="s">
        <v>307</v>
      </c>
      <c r="K39" s="73"/>
      <c r="L39" s="73">
        <v>10932879</v>
      </c>
      <c r="M39" s="73"/>
      <c r="N39" s="73"/>
      <c r="O39" s="73"/>
      <c r="P39" s="73"/>
      <c r="Q39" s="73"/>
      <c r="R39" s="73">
        <f t="shared" si="5"/>
        <v>10932879</v>
      </c>
    </row>
    <row r="40" spans="1:18">
      <c r="D40" t="s">
        <v>308</v>
      </c>
      <c r="K40" s="73"/>
      <c r="L40" s="73"/>
      <c r="M40" s="73"/>
      <c r="N40" s="73"/>
      <c r="O40" s="73"/>
      <c r="P40" s="73"/>
      <c r="Q40" s="73">
        <v>72684</v>
      </c>
      <c r="R40" s="73">
        <f t="shared" si="5"/>
        <v>72684</v>
      </c>
    </row>
    <row r="41" spans="1:18">
      <c r="D41" t="s">
        <v>309</v>
      </c>
      <c r="K41" s="73"/>
      <c r="L41" s="73"/>
      <c r="M41" s="73"/>
      <c r="N41" s="73"/>
      <c r="O41" s="73"/>
      <c r="P41" s="73"/>
      <c r="Q41" s="73">
        <v>422295</v>
      </c>
      <c r="R41" s="73">
        <f t="shared" si="5"/>
        <v>422295</v>
      </c>
    </row>
    <row r="42" spans="1:18">
      <c r="C42" t="s">
        <v>43</v>
      </c>
      <c r="K42" s="73"/>
      <c r="L42" s="73"/>
      <c r="M42" s="73"/>
      <c r="N42" s="73"/>
      <c r="O42" s="73"/>
      <c r="P42" s="73"/>
      <c r="Q42" s="73"/>
      <c r="R42" s="73">
        <f t="shared" si="5"/>
        <v>0</v>
      </c>
    </row>
    <row r="43" spans="1:18">
      <c r="D43" t="s">
        <v>310</v>
      </c>
      <c r="K43" s="73"/>
      <c r="L43" s="73"/>
      <c r="M43" s="73"/>
      <c r="N43" s="73"/>
      <c r="O43" s="73"/>
      <c r="P43" s="73"/>
      <c r="Q43" s="73">
        <v>80443</v>
      </c>
      <c r="R43" s="73">
        <f t="shared" si="5"/>
        <v>80443</v>
      </c>
    </row>
    <row r="44" spans="1:18">
      <c r="C44" t="s">
        <v>48</v>
      </c>
      <c r="K44" s="84">
        <v>12783815</v>
      </c>
      <c r="L44" s="73"/>
      <c r="M44" s="73"/>
      <c r="N44" s="73"/>
      <c r="O44" s="73"/>
      <c r="P44" s="73"/>
      <c r="Q44" s="73"/>
      <c r="R44" s="73">
        <f t="shared" si="5"/>
        <v>12783815</v>
      </c>
    </row>
    <row r="45" spans="1:18">
      <c r="K45" s="93"/>
      <c r="L45" s="93"/>
      <c r="M45" s="93"/>
      <c r="N45" s="93"/>
      <c r="O45" s="93"/>
      <c r="P45" s="93"/>
      <c r="Q45" s="93"/>
      <c r="R45" s="93"/>
    </row>
    <row r="46" spans="1:18">
      <c r="A46" s="5"/>
      <c r="B46" s="5"/>
      <c r="C46" s="5"/>
      <c r="D46" s="6"/>
      <c r="E46" s="6" t="s">
        <v>49</v>
      </c>
      <c r="F46" s="5"/>
      <c r="G46" s="5"/>
      <c r="H46" s="5"/>
      <c r="I46" s="5"/>
      <c r="J46" s="5"/>
      <c r="K46" s="79">
        <f t="shared" ref="K46:R46" si="6">SUM(K33:K44)</f>
        <v>12783815</v>
      </c>
      <c r="L46" s="79">
        <f t="shared" si="6"/>
        <v>10932879</v>
      </c>
      <c r="M46" s="79">
        <f t="shared" si="6"/>
        <v>3930807</v>
      </c>
      <c r="N46" s="79">
        <f t="shared" si="6"/>
        <v>7179065</v>
      </c>
      <c r="O46" s="79">
        <f t="shared" si="6"/>
        <v>4765992</v>
      </c>
      <c r="P46" s="79">
        <f t="shared" si="6"/>
        <v>0</v>
      </c>
      <c r="Q46" s="79">
        <f t="shared" si="6"/>
        <v>575909</v>
      </c>
      <c r="R46" s="79">
        <f t="shared" si="6"/>
        <v>40168467</v>
      </c>
    </row>
    <row r="47" spans="1:18">
      <c r="K47" s="73"/>
      <c r="L47" s="73"/>
      <c r="M47" s="73"/>
      <c r="N47" s="73"/>
      <c r="O47" s="73"/>
      <c r="P47" s="73"/>
      <c r="Q47" s="73"/>
      <c r="R47" s="73"/>
    </row>
    <row r="48" spans="1:18">
      <c r="A48" s="7"/>
      <c r="B48" s="7"/>
      <c r="C48" s="7"/>
      <c r="D48" s="8"/>
      <c r="E48" s="8" t="s">
        <v>50</v>
      </c>
      <c r="F48" s="7"/>
      <c r="G48" s="7"/>
      <c r="H48" s="7"/>
      <c r="I48" s="7"/>
      <c r="J48" s="7"/>
      <c r="K48" s="81">
        <f t="shared" ref="K48:R48" si="7">SUM(K46,K24,K29)</f>
        <v>13516998</v>
      </c>
      <c r="L48" s="81">
        <f t="shared" si="7"/>
        <v>11634128</v>
      </c>
      <c r="M48" s="81">
        <f t="shared" si="7"/>
        <v>4576259</v>
      </c>
      <c r="N48" s="81">
        <f t="shared" si="7"/>
        <v>7241134</v>
      </c>
      <c r="O48" s="81">
        <f t="shared" si="7"/>
        <v>4792099</v>
      </c>
      <c r="P48" s="81">
        <f t="shared" si="7"/>
        <v>632370</v>
      </c>
      <c r="Q48" s="81">
        <f t="shared" si="7"/>
        <v>851636</v>
      </c>
      <c r="R48" s="81">
        <f t="shared" si="7"/>
        <v>43244624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49"/>
  <sheetViews>
    <sheetView topLeftCell="A5" zoomScale="84" zoomScaleNormal="84" workbookViewId="0">
      <selection activeCell="O50" sqref="O50"/>
    </sheetView>
  </sheetViews>
  <sheetFormatPr defaultColWidth="8.85546875" defaultRowHeight="15"/>
  <cols>
    <col min="11" max="11" width="15.85546875" customWidth="1"/>
    <col min="12" max="12" width="15.28515625" customWidth="1"/>
    <col min="13" max="15" width="16.42578125" customWidth="1"/>
    <col min="16" max="16" width="16.85546875" customWidth="1"/>
  </cols>
  <sheetData>
    <row r="1" spans="1:16" ht="18.75">
      <c r="D1" s="253" t="s">
        <v>311</v>
      </c>
      <c r="E1" s="253"/>
      <c r="F1" s="253"/>
      <c r="G1" s="253"/>
      <c r="H1" s="253"/>
      <c r="I1" s="253"/>
      <c r="J1" s="253"/>
      <c r="K1" s="253"/>
    </row>
    <row r="2" spans="1:16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6">
      <c r="D3" s="57"/>
      <c r="E3" s="57"/>
      <c r="F3" s="57"/>
      <c r="G3" s="57"/>
      <c r="H3" s="57"/>
      <c r="I3" s="57"/>
      <c r="J3" s="57"/>
      <c r="K3" s="57"/>
    </row>
    <row r="4" spans="1:16">
      <c r="O4" s="57"/>
    </row>
    <row r="5" spans="1:16" ht="45">
      <c r="K5" s="1" t="s">
        <v>2</v>
      </c>
      <c r="L5" s="1" t="s">
        <v>312</v>
      </c>
      <c r="M5" s="1" t="s">
        <v>92</v>
      </c>
      <c r="N5" s="1" t="s">
        <v>313</v>
      </c>
      <c r="O5" s="1" t="s">
        <v>6</v>
      </c>
      <c r="P5" s="1" t="s">
        <v>7</v>
      </c>
    </row>
    <row r="6" spans="1:16">
      <c r="A6" t="s">
        <v>8</v>
      </c>
    </row>
    <row r="7" spans="1:16">
      <c r="B7" t="s">
        <v>314</v>
      </c>
      <c r="K7" s="72">
        <v>29552975</v>
      </c>
      <c r="L7" s="73">
        <v>28706421</v>
      </c>
      <c r="M7" s="73">
        <v>3722634</v>
      </c>
      <c r="N7" s="73">
        <v>55732890</v>
      </c>
      <c r="O7" s="73">
        <v>41188097</v>
      </c>
      <c r="P7" s="73">
        <f t="shared" ref="P7:P18" si="0">SUM(K7:O7)</f>
        <v>158903017</v>
      </c>
    </row>
    <row r="8" spans="1:16">
      <c r="B8" t="s">
        <v>315</v>
      </c>
      <c r="K8" s="77">
        <v>40811250</v>
      </c>
      <c r="L8" s="73">
        <v>39642201</v>
      </c>
      <c r="M8" s="73">
        <v>5140781</v>
      </c>
      <c r="N8" s="73">
        <v>76046568</v>
      </c>
      <c r="O8" s="73">
        <v>40142167</v>
      </c>
      <c r="P8" s="73">
        <f t="shared" si="0"/>
        <v>201782967</v>
      </c>
    </row>
    <row r="9" spans="1:16">
      <c r="B9" t="s">
        <v>316</v>
      </c>
      <c r="K9" s="74">
        <v>6227741</v>
      </c>
      <c r="L9" s="73">
        <v>8851423</v>
      </c>
      <c r="M9" s="73"/>
      <c r="N9" s="73"/>
      <c r="O9" s="73">
        <v>7173814</v>
      </c>
      <c r="P9" s="73">
        <f t="shared" si="0"/>
        <v>22252978</v>
      </c>
    </row>
    <row r="10" spans="1:16">
      <c r="B10" t="s">
        <v>317</v>
      </c>
      <c r="K10" s="74">
        <v>4106161</v>
      </c>
      <c r="L10" s="73"/>
      <c r="M10" s="73"/>
      <c r="N10" s="73"/>
      <c r="O10" s="73"/>
      <c r="P10" s="73">
        <f t="shared" si="0"/>
        <v>4106161</v>
      </c>
    </row>
    <row r="11" spans="1:16">
      <c r="B11" t="s">
        <v>318</v>
      </c>
      <c r="K11" s="74">
        <v>17539310</v>
      </c>
      <c r="L11" s="73"/>
      <c r="M11" s="73"/>
      <c r="N11" s="73">
        <v>2595295</v>
      </c>
      <c r="O11" s="73">
        <v>1652437</v>
      </c>
      <c r="P11" s="73">
        <f t="shared" si="0"/>
        <v>21787042</v>
      </c>
    </row>
    <row r="12" spans="1:16">
      <c r="B12" t="s">
        <v>319</v>
      </c>
      <c r="K12" s="74">
        <v>98251</v>
      </c>
      <c r="L12" s="73"/>
      <c r="M12" s="73"/>
      <c r="N12" s="73"/>
      <c r="O12" s="73"/>
      <c r="P12" s="73">
        <f t="shared" si="0"/>
        <v>98251</v>
      </c>
    </row>
    <row r="13" spans="1:16">
      <c r="B13" t="s">
        <v>320</v>
      </c>
      <c r="K13" s="74">
        <v>1609221</v>
      </c>
      <c r="L13" s="73">
        <v>718</v>
      </c>
      <c r="M13" s="73">
        <v>2642</v>
      </c>
      <c r="N13" s="73">
        <v>60870</v>
      </c>
      <c r="O13" s="73">
        <v>2271963</v>
      </c>
      <c r="P13" s="73">
        <f t="shared" si="0"/>
        <v>3945414</v>
      </c>
    </row>
    <row r="14" spans="1:16">
      <c r="B14" t="s">
        <v>321</v>
      </c>
      <c r="K14" s="74">
        <v>80788</v>
      </c>
      <c r="L14" s="73">
        <v>57925</v>
      </c>
      <c r="M14" s="73">
        <v>6593</v>
      </c>
      <c r="N14" s="73">
        <v>102824</v>
      </c>
      <c r="O14" s="73">
        <v>47178</v>
      </c>
      <c r="P14" s="73">
        <f t="shared" si="0"/>
        <v>295308</v>
      </c>
    </row>
    <row r="15" spans="1:16">
      <c r="B15" t="s">
        <v>322</v>
      </c>
      <c r="J15" s="102"/>
      <c r="K15" s="225">
        <v>9472834</v>
      </c>
      <c r="L15" s="73"/>
      <c r="M15" s="73"/>
      <c r="N15" s="73">
        <v>37818068</v>
      </c>
      <c r="O15" s="73"/>
      <c r="P15" s="73">
        <f t="shared" si="0"/>
        <v>47290902</v>
      </c>
    </row>
    <row r="16" spans="1:16">
      <c r="B16" t="s">
        <v>323</v>
      </c>
      <c r="J16" s="102"/>
      <c r="K16" s="225">
        <v>20961465</v>
      </c>
      <c r="L16" s="73">
        <v>31408708</v>
      </c>
      <c r="M16" s="73">
        <v>6202760</v>
      </c>
      <c r="N16" s="73">
        <v>1828373</v>
      </c>
      <c r="O16" s="73">
        <v>23092159</v>
      </c>
      <c r="P16" s="73">
        <f t="shared" si="0"/>
        <v>83493465</v>
      </c>
    </row>
    <row r="17" spans="1:16">
      <c r="B17" t="s">
        <v>221</v>
      </c>
      <c r="J17" s="102"/>
      <c r="K17" s="102"/>
      <c r="L17" s="73"/>
      <c r="M17" s="73">
        <v>4115590</v>
      </c>
      <c r="N17" s="73"/>
      <c r="O17" s="73"/>
      <c r="P17" s="73">
        <f t="shared" si="0"/>
        <v>4115590</v>
      </c>
    </row>
    <row r="18" spans="1:16">
      <c r="B18" t="s">
        <v>62</v>
      </c>
      <c r="J18" s="102"/>
      <c r="K18" s="145">
        <v>656653</v>
      </c>
      <c r="L18" s="73"/>
      <c r="M18" s="73"/>
      <c r="N18" s="73"/>
      <c r="O18" s="73"/>
      <c r="P18" s="73">
        <f t="shared" si="0"/>
        <v>656653</v>
      </c>
    </row>
    <row r="19" spans="1:16">
      <c r="J19" s="102"/>
      <c r="K19" s="231"/>
      <c r="L19" s="93"/>
      <c r="M19" s="93"/>
      <c r="N19" s="93"/>
      <c r="O19" s="93"/>
      <c r="P19" s="93"/>
    </row>
    <row r="20" spans="1:16">
      <c r="A20" s="2"/>
      <c r="B20" s="2"/>
      <c r="C20" s="2"/>
      <c r="D20" s="2"/>
      <c r="E20" s="2" t="s">
        <v>64</v>
      </c>
      <c r="F20" s="3"/>
      <c r="G20" s="3"/>
      <c r="H20" s="3"/>
      <c r="I20" s="3"/>
      <c r="J20" s="3"/>
      <c r="K20" s="76">
        <f>SUM(K7:K18)</f>
        <v>131116649</v>
      </c>
      <c r="L20" s="76">
        <f t="shared" ref="L20:P20" si="1">SUM(L7:L18)</f>
        <v>108667396</v>
      </c>
      <c r="M20" s="76">
        <f t="shared" si="1"/>
        <v>19191000</v>
      </c>
      <c r="N20" s="76">
        <f t="shared" si="1"/>
        <v>174184888</v>
      </c>
      <c r="O20" s="76">
        <f t="shared" si="1"/>
        <v>115567815</v>
      </c>
      <c r="P20" s="76">
        <f t="shared" si="1"/>
        <v>548727748</v>
      </c>
    </row>
    <row r="21" spans="1:16">
      <c r="K21" s="73"/>
      <c r="L21" s="73"/>
      <c r="M21" s="73"/>
      <c r="N21" s="73"/>
      <c r="O21" s="73"/>
      <c r="P21" s="73"/>
    </row>
    <row r="22" spans="1:16">
      <c r="A22" s="4" t="s">
        <v>183</v>
      </c>
      <c r="K22" s="73"/>
      <c r="L22" s="73"/>
      <c r="M22" s="73"/>
      <c r="N22" s="73"/>
      <c r="O22" s="73"/>
      <c r="P22" s="73"/>
    </row>
    <row r="23" spans="1:16">
      <c r="B23" t="s">
        <v>20</v>
      </c>
      <c r="K23" s="73"/>
      <c r="L23" s="73"/>
      <c r="M23" s="73"/>
      <c r="N23" s="73"/>
      <c r="O23" s="73"/>
      <c r="P23" s="73"/>
    </row>
    <row r="24" spans="1:16">
      <c r="C24" t="s">
        <v>324</v>
      </c>
      <c r="K24" s="77">
        <v>13921373</v>
      </c>
      <c r="L24" s="73">
        <v>1745687</v>
      </c>
      <c r="M24" s="73">
        <v>3690951</v>
      </c>
      <c r="N24" s="61">
        <v>4433058</v>
      </c>
      <c r="O24" s="73">
        <v>2545180</v>
      </c>
      <c r="P24" s="73">
        <f>SUM(K24:O24)</f>
        <v>26336249</v>
      </c>
    </row>
    <row r="25" spans="1:16">
      <c r="C25" t="s">
        <v>325</v>
      </c>
      <c r="K25" s="73"/>
      <c r="L25" s="73">
        <v>27796921</v>
      </c>
      <c r="M25" s="73"/>
      <c r="O25" s="73">
        <v>18075097</v>
      </c>
      <c r="P25" s="73">
        <f t="shared" ref="P25:P29" si="2">SUM(K25:O25)</f>
        <v>45872018</v>
      </c>
    </row>
    <row r="26" spans="1:16">
      <c r="C26" t="s">
        <v>99</v>
      </c>
      <c r="K26" s="78">
        <v>167662</v>
      </c>
      <c r="L26" s="73"/>
      <c r="M26" s="73"/>
      <c r="O26" s="73">
        <v>322767</v>
      </c>
      <c r="P26" s="73">
        <f t="shared" si="2"/>
        <v>490429</v>
      </c>
    </row>
    <row r="27" spans="1:16">
      <c r="C27" t="s">
        <v>326</v>
      </c>
      <c r="K27" s="77">
        <v>2914916</v>
      </c>
      <c r="L27" s="73">
        <v>298014</v>
      </c>
      <c r="M27" s="73">
        <v>218814</v>
      </c>
      <c r="N27">
        <v>4094</v>
      </c>
      <c r="O27" s="73">
        <v>475835</v>
      </c>
      <c r="P27" s="73">
        <f t="shared" si="2"/>
        <v>3911673</v>
      </c>
    </row>
    <row r="28" spans="1:16">
      <c r="C28" t="s">
        <v>24</v>
      </c>
      <c r="K28" s="73"/>
      <c r="L28" s="73"/>
      <c r="M28" s="73">
        <v>697022</v>
      </c>
      <c r="N28">
        <v>398579</v>
      </c>
      <c r="O28" s="73"/>
      <c r="P28" s="73">
        <f t="shared" si="2"/>
        <v>1095601</v>
      </c>
    </row>
    <row r="29" spans="1:16">
      <c r="C29" t="s">
        <v>327</v>
      </c>
      <c r="K29" s="82">
        <v>11142962</v>
      </c>
      <c r="L29" s="73"/>
      <c r="M29" s="73">
        <v>337129</v>
      </c>
      <c r="O29" s="73"/>
      <c r="P29" s="73">
        <f t="shared" si="2"/>
        <v>11480091</v>
      </c>
    </row>
    <row r="30" spans="1:16">
      <c r="K30" s="93"/>
      <c r="L30" s="93"/>
      <c r="M30" s="93"/>
      <c r="N30" s="94"/>
      <c r="O30" s="93"/>
      <c r="P30" s="93"/>
    </row>
    <row r="31" spans="1:16">
      <c r="A31" s="5"/>
      <c r="B31" s="6"/>
      <c r="C31" s="6"/>
      <c r="D31" s="6"/>
      <c r="E31" s="6" t="s">
        <v>26</v>
      </c>
      <c r="F31" s="5"/>
      <c r="G31" s="5"/>
      <c r="H31" s="5"/>
      <c r="I31" s="5"/>
      <c r="J31" s="5"/>
      <c r="K31" s="79">
        <f>SUM(K24:K29)</f>
        <v>28146913</v>
      </c>
      <c r="L31" s="79">
        <f t="shared" ref="L31:P31" si="3">SUM(L24:L30)</f>
        <v>29840622</v>
      </c>
      <c r="M31" s="79">
        <f t="shared" si="3"/>
        <v>4943916</v>
      </c>
      <c r="N31" s="79">
        <f t="shared" si="3"/>
        <v>4835731</v>
      </c>
      <c r="O31" s="79">
        <f t="shared" si="3"/>
        <v>21418879</v>
      </c>
      <c r="P31" s="79">
        <f t="shared" si="3"/>
        <v>89186061</v>
      </c>
    </row>
    <row r="32" spans="1:16">
      <c r="K32" s="73"/>
      <c r="L32" s="73"/>
      <c r="M32" s="73"/>
      <c r="N32" s="73"/>
      <c r="O32" s="73"/>
      <c r="P32" s="73"/>
    </row>
    <row r="33" spans="1:16">
      <c r="A33" s="71" t="s">
        <v>65</v>
      </c>
      <c r="K33" s="73"/>
      <c r="L33" s="73"/>
      <c r="M33" s="73"/>
      <c r="N33" s="73"/>
      <c r="O33" s="73"/>
      <c r="P33" s="73"/>
    </row>
    <row r="34" spans="1:16">
      <c r="B34" t="s">
        <v>328</v>
      </c>
      <c r="K34" s="73">
        <v>552818</v>
      </c>
      <c r="L34" s="73">
        <v>726595</v>
      </c>
      <c r="M34" s="73"/>
      <c r="N34" s="73"/>
      <c r="O34" s="73">
        <v>675093</v>
      </c>
      <c r="P34" s="73">
        <f>SUM(K34:O34)</f>
        <v>1954506</v>
      </c>
    </row>
    <row r="35" spans="1:16">
      <c r="B35" t="s">
        <v>329</v>
      </c>
      <c r="K35" s="73">
        <v>613417</v>
      </c>
      <c r="L35" s="73"/>
      <c r="M35" s="73"/>
      <c r="N35" s="73"/>
      <c r="O35" s="73">
        <v>71042</v>
      </c>
      <c r="P35" s="73">
        <f>SUM(K35:O35)</f>
        <v>684459</v>
      </c>
    </row>
    <row r="36" spans="1:16">
      <c r="B36" t="s">
        <v>330</v>
      </c>
      <c r="K36" s="73"/>
      <c r="L36" s="73"/>
      <c r="M36" s="73">
        <v>668996</v>
      </c>
      <c r="N36" s="73"/>
      <c r="O36" s="73"/>
      <c r="P36" s="73">
        <f>SUM(K36:O36)</f>
        <v>668996</v>
      </c>
    </row>
    <row r="37" spans="1:16">
      <c r="K37" s="93"/>
      <c r="L37" s="93"/>
      <c r="M37" s="93"/>
      <c r="N37" s="93"/>
      <c r="O37" s="93"/>
      <c r="P37" s="93"/>
    </row>
    <row r="38" spans="1:16">
      <c r="A38" s="5"/>
      <c r="B38" s="6"/>
      <c r="C38" s="6"/>
      <c r="D38" s="6"/>
      <c r="E38" s="6" t="s">
        <v>29</v>
      </c>
      <c r="F38" s="5"/>
      <c r="G38" s="5"/>
      <c r="H38" s="5"/>
      <c r="I38" s="5"/>
      <c r="J38" s="5"/>
      <c r="K38" s="79">
        <f>SUM(K34:K36)</f>
        <v>1166235</v>
      </c>
      <c r="L38" s="79">
        <f t="shared" ref="L38:P38" si="4">SUM(L34:L36)</f>
        <v>726595</v>
      </c>
      <c r="M38" s="79">
        <f t="shared" si="4"/>
        <v>668996</v>
      </c>
      <c r="N38" s="79">
        <f t="shared" si="4"/>
        <v>0</v>
      </c>
      <c r="O38" s="79">
        <f t="shared" si="4"/>
        <v>746135</v>
      </c>
      <c r="P38" s="79">
        <f t="shared" si="4"/>
        <v>3307961</v>
      </c>
    </row>
    <row r="39" spans="1:16">
      <c r="K39" s="73"/>
      <c r="L39" s="73"/>
      <c r="M39" s="73"/>
      <c r="N39" s="73"/>
      <c r="O39" s="73"/>
      <c r="P39" s="73"/>
    </row>
    <row r="40" spans="1:16">
      <c r="B40" t="s">
        <v>30</v>
      </c>
      <c r="K40" s="73"/>
      <c r="L40" s="73"/>
      <c r="M40" s="73"/>
      <c r="N40" s="73"/>
      <c r="O40" s="73"/>
      <c r="P40" s="73"/>
    </row>
    <row r="41" spans="1:16">
      <c r="C41" t="s">
        <v>145</v>
      </c>
      <c r="K41" s="80">
        <v>656653</v>
      </c>
      <c r="L41" s="73"/>
      <c r="M41" s="73"/>
      <c r="N41" s="73"/>
      <c r="O41" s="73"/>
      <c r="P41" s="73">
        <f t="shared" ref="P41:P45" si="5">SUM(K41:O41)</f>
        <v>656653</v>
      </c>
    </row>
    <row r="42" spans="1:16">
      <c r="C42" t="s">
        <v>129</v>
      </c>
      <c r="K42" s="80">
        <v>517487</v>
      </c>
      <c r="L42" s="73">
        <v>78100179</v>
      </c>
      <c r="M42" s="73">
        <v>13578088</v>
      </c>
      <c r="N42" s="73">
        <v>145151310</v>
      </c>
      <c r="O42" s="73">
        <v>84686576</v>
      </c>
      <c r="P42" s="73">
        <f t="shared" si="5"/>
        <v>322033640</v>
      </c>
    </row>
    <row r="43" spans="1:16">
      <c r="C43" t="s">
        <v>331</v>
      </c>
      <c r="K43" s="80">
        <v>59144527</v>
      </c>
      <c r="L43" s="73"/>
      <c r="M43" s="73"/>
      <c r="N43" s="73">
        <v>24197847</v>
      </c>
      <c r="O43" s="73">
        <v>8716225</v>
      </c>
      <c r="P43" s="73">
        <f t="shared" si="5"/>
        <v>92058599</v>
      </c>
    </row>
    <row r="44" spans="1:16">
      <c r="C44" t="s">
        <v>130</v>
      </c>
      <c r="K44" s="91">
        <v>28346341</v>
      </c>
      <c r="L44" s="73"/>
      <c r="M44" s="73"/>
      <c r="N44" s="73"/>
      <c r="O44" s="73"/>
      <c r="P44" s="73">
        <f t="shared" si="5"/>
        <v>28346341</v>
      </c>
    </row>
    <row r="45" spans="1:16">
      <c r="C45" t="s">
        <v>77</v>
      </c>
      <c r="K45" s="84">
        <v>13138493</v>
      </c>
      <c r="L45" s="73"/>
      <c r="M45" s="73"/>
      <c r="N45" s="73"/>
      <c r="O45" s="73"/>
      <c r="P45" s="73">
        <f t="shared" si="5"/>
        <v>13138493</v>
      </c>
    </row>
    <row r="46" spans="1:16">
      <c r="K46" s="93"/>
      <c r="L46" s="93"/>
      <c r="M46" s="93"/>
      <c r="N46" s="93"/>
      <c r="O46" s="93"/>
      <c r="P46" s="93"/>
    </row>
    <row r="47" spans="1:16">
      <c r="A47" s="5"/>
      <c r="B47" s="5"/>
      <c r="C47" s="5"/>
      <c r="D47" s="6"/>
      <c r="E47" s="6" t="s">
        <v>78</v>
      </c>
      <c r="F47" s="5"/>
      <c r="G47" s="5"/>
      <c r="H47" s="5"/>
      <c r="I47" s="5"/>
      <c r="J47" s="5"/>
      <c r="K47" s="79">
        <f t="shared" ref="K47:P47" si="6">SUM(K41:K45)</f>
        <v>101803501</v>
      </c>
      <c r="L47" s="79">
        <f t="shared" si="6"/>
        <v>78100179</v>
      </c>
      <c r="M47" s="79">
        <f t="shared" si="6"/>
        <v>13578088</v>
      </c>
      <c r="N47" s="79">
        <f t="shared" si="6"/>
        <v>169349157</v>
      </c>
      <c r="O47" s="79">
        <f t="shared" si="6"/>
        <v>93402801</v>
      </c>
      <c r="P47" s="79">
        <f t="shared" si="6"/>
        <v>456233726</v>
      </c>
    </row>
    <row r="48" spans="1:16">
      <c r="K48" s="73"/>
      <c r="L48" s="73"/>
      <c r="M48" s="73"/>
      <c r="N48" s="73"/>
      <c r="O48" s="73"/>
      <c r="P48" s="73"/>
    </row>
    <row r="49" spans="1:16">
      <c r="A49" s="7"/>
      <c r="B49" s="7"/>
      <c r="C49" s="7"/>
      <c r="D49" s="8"/>
      <c r="E49" s="8" t="s">
        <v>79</v>
      </c>
      <c r="F49" s="7"/>
      <c r="G49" s="7"/>
      <c r="H49" s="7"/>
      <c r="I49" s="7"/>
      <c r="J49" s="7"/>
      <c r="K49" s="81">
        <f t="shared" ref="K49:P49" si="7">SUM(K31+K38+K47)</f>
        <v>131116649</v>
      </c>
      <c r="L49" s="81">
        <f t="shared" si="7"/>
        <v>108667396</v>
      </c>
      <c r="M49" s="81">
        <f t="shared" si="7"/>
        <v>19191000</v>
      </c>
      <c r="N49" s="81">
        <f t="shared" si="7"/>
        <v>174184888</v>
      </c>
      <c r="O49" s="81">
        <f t="shared" si="7"/>
        <v>115567815</v>
      </c>
      <c r="P49" s="81">
        <f t="shared" si="7"/>
        <v>548727748</v>
      </c>
    </row>
  </sheetData>
  <mergeCells count="2">
    <mergeCell ref="D1:K1"/>
    <mergeCell ref="D2:K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A29"/>
  <sheetViews>
    <sheetView zoomScaleNormal="100" workbookViewId="0">
      <selection activeCell="R24" sqref="R24"/>
    </sheetView>
  </sheetViews>
  <sheetFormatPr defaultColWidth="8.85546875" defaultRowHeight="15"/>
  <cols>
    <col min="1" max="1" width="9.42578125" customWidth="1"/>
    <col min="2" max="2" width="3.28515625" customWidth="1"/>
    <col min="3" max="4" width="3.42578125" customWidth="1"/>
    <col min="5" max="5" width="20.4257812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7" width="16.42578125" customWidth="1"/>
    <col min="18" max="18" width="18" customWidth="1"/>
    <col min="19" max="19" width="17.28515625" customWidth="1"/>
  </cols>
  <sheetData>
    <row r="1" spans="1:19" ht="18.75">
      <c r="D1" s="253" t="s">
        <v>332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9" ht="45">
      <c r="K4" s="1" t="s">
        <v>132</v>
      </c>
      <c r="L4" s="1" t="s">
        <v>333</v>
      </c>
      <c r="M4" s="1" t="s">
        <v>334</v>
      </c>
      <c r="N4" s="1" t="s">
        <v>136</v>
      </c>
      <c r="O4" s="1" t="s">
        <v>335</v>
      </c>
      <c r="P4" s="1" t="s">
        <v>135</v>
      </c>
      <c r="Q4" s="1" t="s">
        <v>273</v>
      </c>
      <c r="R4" s="1" t="s">
        <v>336</v>
      </c>
      <c r="S4" s="1" t="s">
        <v>249</v>
      </c>
    </row>
    <row r="5" spans="1:19">
      <c r="A5" s="86" t="s">
        <v>8</v>
      </c>
    </row>
    <row r="6" spans="1:19">
      <c r="B6" t="s">
        <v>215</v>
      </c>
      <c r="K6" s="72">
        <v>173636</v>
      </c>
      <c r="L6" s="73">
        <v>701013</v>
      </c>
      <c r="M6" s="73">
        <v>4545</v>
      </c>
      <c r="N6" s="73">
        <v>136346</v>
      </c>
      <c r="O6" s="73">
        <v>25091</v>
      </c>
      <c r="P6" s="73">
        <v>494493</v>
      </c>
      <c r="Q6" s="73">
        <v>1000</v>
      </c>
      <c r="R6" s="73">
        <v>459622</v>
      </c>
      <c r="S6" s="73">
        <f>SUM(K6:R6)</f>
        <v>1995746</v>
      </c>
    </row>
    <row r="7" spans="1:19">
      <c r="B7" t="s">
        <v>10</v>
      </c>
      <c r="K7" s="73"/>
      <c r="L7" s="73">
        <v>191686</v>
      </c>
      <c r="M7" s="73">
        <v>154475</v>
      </c>
      <c r="N7" s="73">
        <v>211637</v>
      </c>
      <c r="O7" s="73">
        <v>61709</v>
      </c>
      <c r="P7" s="73">
        <v>28789</v>
      </c>
      <c r="Q7" s="73"/>
      <c r="R7" s="73">
        <v>70731</v>
      </c>
      <c r="S7" s="73">
        <f t="shared" ref="S7:S8" si="0">SUM(K7:R7)</f>
        <v>719027</v>
      </c>
    </row>
    <row r="8" spans="1:19">
      <c r="B8" t="s">
        <v>60</v>
      </c>
      <c r="K8" s="74">
        <v>643711</v>
      </c>
      <c r="L8" s="73">
        <v>499843</v>
      </c>
      <c r="M8" s="73">
        <v>393954</v>
      </c>
      <c r="N8" s="73">
        <v>334222</v>
      </c>
      <c r="O8" s="73">
        <v>545162</v>
      </c>
      <c r="P8" s="73">
        <v>192728</v>
      </c>
      <c r="Q8" s="73">
        <v>11723</v>
      </c>
      <c r="R8" s="73">
        <v>286022</v>
      </c>
      <c r="S8" s="73">
        <f t="shared" si="0"/>
        <v>2907365</v>
      </c>
    </row>
    <row r="9" spans="1:19">
      <c r="K9" s="93"/>
      <c r="L9" s="93"/>
      <c r="M9" s="93"/>
      <c r="N9" s="93"/>
      <c r="O9" s="93"/>
      <c r="P9" s="93"/>
      <c r="Q9" s="93"/>
      <c r="R9" s="93"/>
      <c r="S9" s="93"/>
    </row>
    <row r="10" spans="1:19" s="3" customFormat="1">
      <c r="A10" s="2"/>
      <c r="B10" s="2"/>
      <c r="C10" s="2"/>
      <c r="D10" s="2"/>
      <c r="E10" s="2" t="s">
        <v>18</v>
      </c>
      <c r="K10" s="76">
        <f t="shared" ref="K10:R10" si="1">SUM(K6:K8)</f>
        <v>817347</v>
      </c>
      <c r="L10" s="76">
        <f t="shared" si="1"/>
        <v>1392542</v>
      </c>
      <c r="M10" s="76">
        <f t="shared" si="1"/>
        <v>552974</v>
      </c>
      <c r="N10" s="76">
        <f t="shared" si="1"/>
        <v>682205</v>
      </c>
      <c r="O10" s="76">
        <f t="shared" si="1"/>
        <v>631962</v>
      </c>
      <c r="P10" s="76">
        <f t="shared" si="1"/>
        <v>716010</v>
      </c>
      <c r="Q10" s="76">
        <f t="shared" si="1"/>
        <v>12723</v>
      </c>
      <c r="R10" s="76">
        <f t="shared" si="1"/>
        <v>816375</v>
      </c>
      <c r="S10" s="76">
        <f>SUM(K10:R10)</f>
        <v>5622138</v>
      </c>
    </row>
    <row r="11" spans="1:19">
      <c r="K11" s="73"/>
      <c r="L11" s="73"/>
      <c r="M11" s="73"/>
      <c r="N11" s="73"/>
      <c r="O11" s="73"/>
      <c r="P11" s="73"/>
      <c r="Q11" s="73"/>
      <c r="R11" s="73"/>
      <c r="S11" s="73"/>
    </row>
    <row r="12" spans="1:19">
      <c r="A12" s="4" t="s">
        <v>183</v>
      </c>
      <c r="K12" s="73"/>
      <c r="L12" s="73"/>
      <c r="M12" s="73"/>
      <c r="N12" s="73"/>
      <c r="O12" s="73"/>
      <c r="P12" s="73"/>
      <c r="Q12" s="73"/>
      <c r="R12" s="73"/>
      <c r="S12" s="73"/>
    </row>
    <row r="13" spans="1:19">
      <c r="B13" t="s">
        <v>20</v>
      </c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C14" t="s">
        <v>21</v>
      </c>
      <c r="K14" s="77">
        <v>88432</v>
      </c>
      <c r="L14" s="73">
        <v>18098</v>
      </c>
      <c r="M14" s="73">
        <v>4978</v>
      </c>
      <c r="N14" s="73"/>
      <c r="O14" s="73"/>
      <c r="P14" s="73">
        <v>21</v>
      </c>
      <c r="Q14" s="73">
        <v>41</v>
      </c>
      <c r="R14" s="73">
        <v>109</v>
      </c>
      <c r="S14" s="73">
        <f>SUM(K14:R14)</f>
        <v>111679</v>
      </c>
    </row>
    <row r="15" spans="1:19">
      <c r="K15" s="93"/>
      <c r="L15" s="93"/>
      <c r="M15" s="93"/>
      <c r="N15" s="93"/>
      <c r="O15" s="93"/>
      <c r="P15" s="93"/>
      <c r="Q15" s="93"/>
      <c r="R15" s="93"/>
      <c r="S15" s="93"/>
    </row>
    <row r="16" spans="1:19" s="5" customFormat="1">
      <c r="B16" s="6"/>
      <c r="C16" s="6"/>
      <c r="D16" s="6"/>
      <c r="E16" s="6" t="s">
        <v>26</v>
      </c>
      <c r="K16" s="79">
        <f t="shared" ref="K16:P16" si="2">SUM(K14:K14)</f>
        <v>88432</v>
      </c>
      <c r="L16" s="79">
        <f t="shared" si="2"/>
        <v>18098</v>
      </c>
      <c r="M16" s="79">
        <f t="shared" si="2"/>
        <v>4978</v>
      </c>
      <c r="N16" s="79">
        <f t="shared" si="2"/>
        <v>0</v>
      </c>
      <c r="O16" s="79">
        <f t="shared" si="2"/>
        <v>0</v>
      </c>
      <c r="P16" s="79">
        <f t="shared" si="2"/>
        <v>21</v>
      </c>
      <c r="Q16" s="79"/>
      <c r="R16" s="79">
        <f>SUM(R14:R14)</f>
        <v>109</v>
      </c>
      <c r="S16" s="79">
        <f>SUM(S14:S14)</f>
        <v>111679</v>
      </c>
    </row>
    <row r="17" spans="1:27" s="101" customFormat="1">
      <c r="B17" s="186"/>
      <c r="C17" s="186"/>
      <c r="D17" s="186"/>
      <c r="E17" s="186"/>
      <c r="K17" s="159"/>
      <c r="L17" s="159"/>
      <c r="M17" s="159"/>
      <c r="N17" s="159"/>
      <c r="O17" s="159"/>
      <c r="P17" s="159"/>
      <c r="Q17" s="159"/>
      <c r="R17" s="159"/>
      <c r="S17" s="159"/>
    </row>
    <row r="18" spans="1:27" s="101" customFormat="1">
      <c r="A18" s="212" t="s">
        <v>337</v>
      </c>
      <c r="B18" s="186"/>
      <c r="C18" s="186"/>
      <c r="D18" s="186"/>
      <c r="E18" s="186"/>
      <c r="K18" s="159"/>
      <c r="L18" s="159"/>
      <c r="M18" s="159"/>
      <c r="N18" s="159"/>
      <c r="O18" s="159"/>
      <c r="P18" s="159"/>
      <c r="Q18" s="159"/>
      <c r="R18" s="159"/>
      <c r="S18" s="159"/>
    </row>
    <row r="19" spans="1:27" s="101" customFormat="1">
      <c r="B19" s="213" t="s">
        <v>328</v>
      </c>
      <c r="C19" s="186"/>
      <c r="D19" s="186"/>
      <c r="E19" s="186"/>
      <c r="K19" s="214">
        <v>34053</v>
      </c>
      <c r="L19" s="214">
        <v>30733</v>
      </c>
      <c r="M19" s="214">
        <v>36771</v>
      </c>
      <c r="N19" s="214">
        <v>30658</v>
      </c>
      <c r="O19" s="214">
        <v>30733</v>
      </c>
      <c r="P19" s="214">
        <v>17679</v>
      </c>
      <c r="Q19" s="214"/>
      <c r="R19" s="214">
        <v>26573</v>
      </c>
      <c r="S19" s="214">
        <f>SUM(K19:R19)</f>
        <v>207200</v>
      </c>
    </row>
    <row r="20" spans="1:27" s="101" customFormat="1">
      <c r="B20" s="213"/>
      <c r="C20" s="186"/>
      <c r="D20" s="186"/>
      <c r="E20" s="186"/>
      <c r="K20" s="235"/>
      <c r="L20" s="235"/>
      <c r="M20" s="235"/>
      <c r="N20" s="235"/>
      <c r="O20" s="235"/>
      <c r="P20" s="235"/>
      <c r="Q20" s="235"/>
      <c r="R20" s="235"/>
      <c r="S20" s="235"/>
    </row>
    <row r="21" spans="1:27" s="101" customFormat="1">
      <c r="A21" s="5"/>
      <c r="B21" s="6"/>
      <c r="C21" s="6"/>
      <c r="D21" s="6"/>
      <c r="E21" s="6" t="s">
        <v>29</v>
      </c>
      <c r="F21" s="5"/>
      <c r="G21" s="5"/>
      <c r="H21" s="5"/>
      <c r="I21" s="5"/>
      <c r="J21" s="5"/>
      <c r="K21" s="79">
        <f>SUM(K17:K19)</f>
        <v>34053</v>
      </c>
      <c r="L21" s="79">
        <f t="shared" ref="L21:AA21" si="3">SUM(L17:L19)</f>
        <v>30733</v>
      </c>
      <c r="M21" s="79">
        <f t="shared" si="3"/>
        <v>36771</v>
      </c>
      <c r="N21" s="79">
        <f t="shared" si="3"/>
        <v>30658</v>
      </c>
      <c r="O21" s="79">
        <f t="shared" si="3"/>
        <v>30733</v>
      </c>
      <c r="P21" s="79">
        <f t="shared" si="3"/>
        <v>17679</v>
      </c>
      <c r="Q21" s="79"/>
      <c r="R21" s="79">
        <f t="shared" si="3"/>
        <v>26573</v>
      </c>
      <c r="S21" s="79">
        <f t="shared" si="3"/>
        <v>207200</v>
      </c>
      <c r="T21" s="79">
        <f t="shared" si="3"/>
        <v>0</v>
      </c>
      <c r="U21" s="79">
        <f t="shared" si="3"/>
        <v>0</v>
      </c>
      <c r="V21" s="79">
        <f t="shared" si="3"/>
        <v>0</v>
      </c>
      <c r="W21" s="79">
        <f t="shared" si="3"/>
        <v>0</v>
      </c>
      <c r="X21" s="79">
        <f t="shared" si="3"/>
        <v>0</v>
      </c>
      <c r="Y21" s="79">
        <f t="shared" si="3"/>
        <v>0</v>
      </c>
      <c r="Z21" s="79">
        <f t="shared" si="3"/>
        <v>0</v>
      </c>
      <c r="AA21" s="79">
        <f t="shared" si="3"/>
        <v>0</v>
      </c>
    </row>
    <row r="22" spans="1:27">
      <c r="K22" s="73"/>
      <c r="L22" s="73"/>
      <c r="M22" s="73"/>
      <c r="N22" s="73"/>
      <c r="O22" s="73"/>
      <c r="P22" s="73"/>
      <c r="Q22" s="73"/>
      <c r="R22" s="73"/>
      <c r="S22" s="73"/>
    </row>
    <row r="23" spans="1:27">
      <c r="A23" s="86" t="s">
        <v>30</v>
      </c>
      <c r="K23" s="73"/>
      <c r="L23" s="73"/>
      <c r="M23" s="73"/>
      <c r="N23" s="73"/>
      <c r="O23" s="73"/>
      <c r="P23" s="73"/>
      <c r="Q23" s="73"/>
      <c r="R23" s="73"/>
      <c r="S23" s="73"/>
    </row>
    <row r="24" spans="1:27">
      <c r="C24" t="s">
        <v>129</v>
      </c>
      <c r="K24" s="73"/>
      <c r="L24" s="73">
        <v>1343711</v>
      </c>
      <c r="M24" s="73">
        <v>511225</v>
      </c>
      <c r="N24" s="73">
        <v>651547</v>
      </c>
      <c r="O24" s="73">
        <v>601229</v>
      </c>
      <c r="P24" s="73">
        <v>698310</v>
      </c>
      <c r="Q24" s="73">
        <v>12682</v>
      </c>
      <c r="R24" s="73">
        <v>789693</v>
      </c>
      <c r="S24" s="73">
        <f>SUM(K24:R24)</f>
        <v>4608397</v>
      </c>
    </row>
    <row r="25" spans="1:27">
      <c r="C25" t="s">
        <v>48</v>
      </c>
      <c r="K25" s="84">
        <v>694862</v>
      </c>
      <c r="L25" s="73"/>
      <c r="M25" s="73"/>
      <c r="N25" s="73"/>
      <c r="O25" s="73"/>
      <c r="P25" s="73"/>
      <c r="Q25" s="73"/>
      <c r="R25" s="73"/>
      <c r="S25" s="73">
        <f>SUM(K25:R25)</f>
        <v>694862</v>
      </c>
    </row>
    <row r="26" spans="1:27">
      <c r="K26" s="93"/>
      <c r="L26" s="93"/>
      <c r="M26" s="93"/>
      <c r="N26" s="93"/>
      <c r="O26" s="93"/>
      <c r="P26" s="93"/>
      <c r="Q26" s="93"/>
      <c r="R26" s="93"/>
      <c r="S26" s="93"/>
    </row>
    <row r="27" spans="1:27" s="5" customFormat="1">
      <c r="D27" s="6"/>
      <c r="E27" s="6" t="s">
        <v>78</v>
      </c>
      <c r="K27" s="79">
        <f t="shared" ref="K27:S27" si="4">SUM(K24:K25)</f>
        <v>694862</v>
      </c>
      <c r="L27" s="79">
        <f t="shared" si="4"/>
        <v>1343711</v>
      </c>
      <c r="M27" s="79">
        <f t="shared" si="4"/>
        <v>511225</v>
      </c>
      <c r="N27" s="79">
        <f t="shared" si="4"/>
        <v>651547</v>
      </c>
      <c r="O27" s="79">
        <f t="shared" si="4"/>
        <v>601229</v>
      </c>
      <c r="P27" s="79">
        <f t="shared" si="4"/>
        <v>698310</v>
      </c>
      <c r="Q27" s="79"/>
      <c r="R27" s="79">
        <f t="shared" si="4"/>
        <v>789693</v>
      </c>
      <c r="S27" s="79">
        <f t="shared" si="4"/>
        <v>5303259</v>
      </c>
    </row>
    <row r="28" spans="1:27">
      <c r="K28" s="73"/>
      <c r="L28" s="73"/>
      <c r="M28" s="73"/>
      <c r="N28" s="73"/>
      <c r="O28" s="73"/>
      <c r="P28" s="73"/>
      <c r="Q28" s="73"/>
      <c r="R28" s="73"/>
      <c r="S28" s="73"/>
    </row>
    <row r="29" spans="1:27" s="7" customFormat="1">
      <c r="D29" s="8"/>
      <c r="E29" s="8" t="s">
        <v>166</v>
      </c>
      <c r="K29" s="81">
        <f>SUM(K27+K21+K16)</f>
        <v>817347</v>
      </c>
      <c r="L29" s="81">
        <f t="shared" ref="L29:S29" si="5">SUM(L27+L21+L16)</f>
        <v>1392542</v>
      </c>
      <c r="M29" s="81">
        <f t="shared" si="5"/>
        <v>552974</v>
      </c>
      <c r="N29" s="81">
        <f t="shared" si="5"/>
        <v>682205</v>
      </c>
      <c r="O29" s="81">
        <f t="shared" si="5"/>
        <v>631962</v>
      </c>
      <c r="P29" s="81">
        <f t="shared" si="5"/>
        <v>716010</v>
      </c>
      <c r="Q29" s="81"/>
      <c r="R29" s="81">
        <f t="shared" si="5"/>
        <v>816375</v>
      </c>
      <c r="S29" s="81">
        <f t="shared" si="5"/>
        <v>5622138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40"/>
  <sheetViews>
    <sheetView topLeftCell="A19" zoomScaleNormal="100" workbookViewId="0">
      <selection activeCell="K36" sqref="K36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6" width="21" customWidth="1"/>
    <col min="7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8" customWidth="1"/>
    <col min="15" max="15" width="17.28515625" customWidth="1"/>
  </cols>
  <sheetData>
    <row r="1" spans="1:15" ht="18.75">
      <c r="D1" s="253" t="s">
        <v>338</v>
      </c>
      <c r="E1" s="253"/>
      <c r="F1" s="253"/>
      <c r="G1" s="253"/>
      <c r="H1" s="253"/>
      <c r="I1" s="253"/>
      <c r="J1" s="253"/>
      <c r="K1" s="253"/>
    </row>
    <row r="2" spans="1:15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5" ht="45">
      <c r="K4" s="1" t="s">
        <v>2</v>
      </c>
      <c r="L4" s="1" t="s">
        <v>339</v>
      </c>
      <c r="M4" s="1" t="s">
        <v>120</v>
      </c>
      <c r="N4" s="1" t="s">
        <v>6</v>
      </c>
      <c r="O4" s="1" t="s">
        <v>7</v>
      </c>
    </row>
    <row r="5" spans="1:15">
      <c r="A5" s="86" t="s">
        <v>8</v>
      </c>
    </row>
    <row r="6" spans="1:15">
      <c r="B6" t="s">
        <v>85</v>
      </c>
      <c r="K6" s="236">
        <v>425147</v>
      </c>
      <c r="L6" s="236">
        <v>1035134</v>
      </c>
      <c r="M6" s="236">
        <v>2918765</v>
      </c>
      <c r="N6" s="236">
        <v>198560</v>
      </c>
      <c r="O6" s="236">
        <f>SUM(K6:N6)</f>
        <v>4577606</v>
      </c>
    </row>
    <row r="7" spans="1:15">
      <c r="B7" t="s">
        <v>60</v>
      </c>
      <c r="K7" s="73"/>
      <c r="L7" s="73"/>
      <c r="M7" s="73"/>
      <c r="N7" s="73"/>
      <c r="O7" s="236">
        <f t="shared" ref="O7:O8" si="0">SUM(K7:N7)</f>
        <v>0</v>
      </c>
    </row>
    <row r="8" spans="1:15">
      <c r="C8" t="s">
        <v>340</v>
      </c>
      <c r="K8" s="206"/>
      <c r="L8" s="206"/>
      <c r="M8" s="206"/>
      <c r="N8" s="206">
        <v>7527</v>
      </c>
      <c r="O8" s="236">
        <f t="shared" si="0"/>
        <v>7527</v>
      </c>
    </row>
    <row r="9" spans="1:15">
      <c r="C9" t="s">
        <v>341</v>
      </c>
      <c r="K9" s="240">
        <v>456441</v>
      </c>
      <c r="L9" s="236"/>
      <c r="M9" s="236">
        <v>223835</v>
      </c>
      <c r="N9" s="236">
        <v>513248</v>
      </c>
      <c r="O9" s="236">
        <f>SUM(K9:N9)</f>
        <v>1193524</v>
      </c>
    </row>
    <row r="10" spans="1:15">
      <c r="B10" t="s">
        <v>16</v>
      </c>
      <c r="K10" s="241">
        <v>347329</v>
      </c>
      <c r="L10" s="236">
        <v>354614</v>
      </c>
      <c r="M10" s="236">
        <v>1175000</v>
      </c>
      <c r="N10" s="236">
        <v>12566</v>
      </c>
      <c r="O10" s="236">
        <f t="shared" ref="O10:O11" si="1">SUM(K10:N10)</f>
        <v>1889509</v>
      </c>
    </row>
    <row r="11" spans="1:15">
      <c r="B11" t="s">
        <v>342</v>
      </c>
      <c r="K11" s="241">
        <v>25340</v>
      </c>
      <c r="L11" s="236">
        <v>44918</v>
      </c>
      <c r="M11" s="236"/>
      <c r="N11" s="236"/>
      <c r="O11" s="236">
        <f t="shared" si="1"/>
        <v>70258</v>
      </c>
    </row>
    <row r="12" spans="1:15">
      <c r="K12" s="73"/>
      <c r="L12" s="73"/>
      <c r="M12" s="73"/>
      <c r="N12" s="73"/>
      <c r="O12" s="73"/>
    </row>
    <row r="13" spans="1:15" s="3" customFormat="1">
      <c r="A13" s="2"/>
      <c r="B13" s="2"/>
      <c r="C13" s="2"/>
      <c r="D13" s="2"/>
      <c r="E13" s="2" t="s">
        <v>18</v>
      </c>
      <c r="K13" s="238">
        <f>SUM(K6:K11)</f>
        <v>1254257</v>
      </c>
      <c r="L13" s="238">
        <f>SUM(L6:L11)</f>
        <v>1434666</v>
      </c>
      <c r="M13" s="238">
        <f>SUM(M6:M11)</f>
        <v>4317600</v>
      </c>
      <c r="N13" s="238">
        <f>SUM(N6:N11)</f>
        <v>731901</v>
      </c>
      <c r="O13" s="238">
        <f>SUM(O6:O11)</f>
        <v>7738424</v>
      </c>
    </row>
    <row r="14" spans="1:15">
      <c r="K14" s="73"/>
      <c r="L14" s="73"/>
      <c r="M14" s="73"/>
      <c r="N14" s="73"/>
      <c r="O14" s="73"/>
    </row>
    <row r="15" spans="1:15">
      <c r="A15" s="4" t="s">
        <v>19</v>
      </c>
      <c r="K15" s="73"/>
      <c r="L15" s="73"/>
      <c r="M15" s="73"/>
      <c r="N15" s="73"/>
      <c r="O15" s="73"/>
    </row>
    <row r="16" spans="1:15">
      <c r="B16" t="s">
        <v>20</v>
      </c>
      <c r="K16" s="73"/>
      <c r="L16" s="73"/>
      <c r="M16" s="73"/>
      <c r="N16" s="73"/>
      <c r="O16" s="73"/>
    </row>
    <row r="17" spans="1:15">
      <c r="C17" t="s">
        <v>21</v>
      </c>
      <c r="K17" s="207">
        <v>2831</v>
      </c>
      <c r="L17" s="206"/>
      <c r="M17" s="206">
        <v>95386</v>
      </c>
      <c r="N17" s="206"/>
      <c r="O17" s="236">
        <f>SUM(K17:N17)</f>
        <v>98217</v>
      </c>
    </row>
    <row r="18" spans="1:15">
      <c r="C18" t="s">
        <v>25</v>
      </c>
      <c r="K18" s="78">
        <v>18686</v>
      </c>
      <c r="L18" s="206">
        <v>1175000</v>
      </c>
      <c r="M18" s="206">
        <v>16779</v>
      </c>
      <c r="N18" s="236">
        <v>206713</v>
      </c>
      <c r="O18" s="236">
        <f t="shared" ref="O18:O19" si="2">SUM(K18:N18)</f>
        <v>1417178</v>
      </c>
    </row>
    <row r="19" spans="1:15">
      <c r="C19" t="s">
        <v>343</v>
      </c>
      <c r="K19" s="206"/>
      <c r="L19" s="206"/>
      <c r="M19" s="206"/>
      <c r="N19" s="206"/>
      <c r="O19" s="236">
        <f t="shared" si="2"/>
        <v>0</v>
      </c>
    </row>
    <row r="20" spans="1:15">
      <c r="K20" s="73"/>
      <c r="L20" s="73"/>
      <c r="M20" s="73"/>
      <c r="N20" s="73"/>
      <c r="O20" s="73"/>
    </row>
    <row r="21" spans="1:15" s="5" customFormat="1">
      <c r="B21" s="6"/>
      <c r="C21" s="6"/>
      <c r="D21" s="6"/>
      <c r="E21" s="6" t="s">
        <v>26</v>
      </c>
      <c r="K21" s="237">
        <f t="shared" ref="K21:O21" si="3">SUM(K17:K19)</f>
        <v>21517</v>
      </c>
      <c r="L21" s="237">
        <f t="shared" si="3"/>
        <v>1175000</v>
      </c>
      <c r="M21" s="237">
        <f t="shared" si="3"/>
        <v>112165</v>
      </c>
      <c r="N21" s="237">
        <f t="shared" si="3"/>
        <v>206713</v>
      </c>
      <c r="O21" s="237">
        <f t="shared" si="3"/>
        <v>1515395</v>
      </c>
    </row>
    <row r="22" spans="1:15">
      <c r="K22" s="73"/>
      <c r="L22" s="73"/>
      <c r="M22" s="73"/>
      <c r="N22" s="73"/>
      <c r="O22" s="73"/>
    </row>
    <row r="23" spans="1:15">
      <c r="A23" s="86" t="s">
        <v>344</v>
      </c>
      <c r="K23" s="73"/>
      <c r="L23" s="73"/>
      <c r="M23" s="73"/>
      <c r="N23" s="73"/>
      <c r="O23" s="73"/>
    </row>
    <row r="24" spans="1:15">
      <c r="B24" t="s">
        <v>101</v>
      </c>
      <c r="K24" s="242">
        <v>122435</v>
      </c>
      <c r="L24" s="73"/>
      <c r="M24" s="73"/>
      <c r="N24" s="236">
        <v>176283</v>
      </c>
      <c r="O24" s="236">
        <f>SUM(K24:N24)</f>
        <v>298718</v>
      </c>
    </row>
    <row r="25" spans="1:15">
      <c r="K25" s="73"/>
      <c r="L25" s="73"/>
      <c r="M25" s="73"/>
      <c r="N25" s="73"/>
      <c r="O25" s="236">
        <f t="shared" ref="O25:O36" si="4">SUM(K25:N25)</f>
        <v>0</v>
      </c>
    </row>
    <row r="26" spans="1:15">
      <c r="A26" s="86" t="s">
        <v>345</v>
      </c>
      <c r="K26" s="73"/>
      <c r="L26" s="73"/>
      <c r="M26" s="73"/>
      <c r="N26" s="73"/>
      <c r="O26" s="236">
        <f t="shared" si="4"/>
        <v>0</v>
      </c>
    </row>
    <row r="27" spans="1:15">
      <c r="C27" t="s">
        <v>31</v>
      </c>
      <c r="K27" s="73"/>
      <c r="L27" s="73"/>
      <c r="M27" s="73"/>
      <c r="N27" s="73"/>
      <c r="O27" s="236">
        <f t="shared" si="4"/>
        <v>0</v>
      </c>
    </row>
    <row r="28" spans="1:15">
      <c r="D28" t="s">
        <v>346</v>
      </c>
      <c r="K28" s="206"/>
      <c r="L28" s="206"/>
      <c r="M28" s="206"/>
      <c r="N28" s="206">
        <v>522291</v>
      </c>
      <c r="O28" s="236">
        <f t="shared" si="4"/>
        <v>522291</v>
      </c>
    </row>
    <row r="29" spans="1:15">
      <c r="D29" t="s">
        <v>347</v>
      </c>
      <c r="K29" s="243">
        <v>30194</v>
      </c>
      <c r="L29" s="206"/>
      <c r="M29" s="206"/>
      <c r="N29" s="206"/>
      <c r="O29" s="236">
        <f t="shared" si="4"/>
        <v>30194</v>
      </c>
    </row>
    <row r="30" spans="1:15">
      <c r="D30" t="s">
        <v>348</v>
      </c>
      <c r="K30" s="206"/>
      <c r="L30" s="206"/>
      <c r="M30" s="236">
        <v>4205435</v>
      </c>
      <c r="N30" s="206"/>
      <c r="O30" s="236">
        <f t="shared" si="4"/>
        <v>4205435</v>
      </c>
    </row>
    <row r="31" spans="1:15">
      <c r="C31" t="s">
        <v>40</v>
      </c>
      <c r="K31" s="206"/>
      <c r="L31" s="206"/>
      <c r="M31" s="206"/>
      <c r="N31" s="206"/>
      <c r="O31" s="236">
        <f t="shared" si="4"/>
        <v>0</v>
      </c>
    </row>
    <row r="32" spans="1:15">
      <c r="D32" t="s">
        <v>74</v>
      </c>
      <c r="K32" s="206"/>
      <c r="L32" s="206"/>
      <c r="M32" s="206"/>
      <c r="N32" s="206"/>
      <c r="O32" s="236">
        <f t="shared" si="4"/>
        <v>0</v>
      </c>
    </row>
    <row r="33" spans="3:15">
      <c r="D33" t="s">
        <v>349</v>
      </c>
      <c r="K33" s="206"/>
      <c r="L33" s="236">
        <v>259666</v>
      </c>
      <c r="M33" s="206"/>
      <c r="N33" s="206"/>
      <c r="O33" s="236">
        <f t="shared" si="4"/>
        <v>259666</v>
      </c>
    </row>
    <row r="34" spans="3:15">
      <c r="D34" t="s">
        <v>350</v>
      </c>
      <c r="K34" s="206"/>
      <c r="L34" s="206"/>
      <c r="M34" s="206"/>
      <c r="N34" s="236">
        <v>-173386</v>
      </c>
      <c r="O34" s="236">
        <f t="shared" si="4"/>
        <v>-173386</v>
      </c>
    </row>
    <row r="35" spans="3:15">
      <c r="D35" t="s">
        <v>351</v>
      </c>
      <c r="M35" s="206"/>
      <c r="N35" s="206"/>
      <c r="O35" s="236">
        <f t="shared" si="4"/>
        <v>0</v>
      </c>
    </row>
    <row r="36" spans="3:15">
      <c r="C36" t="s">
        <v>48</v>
      </c>
      <c r="K36" s="244">
        <v>1080111</v>
      </c>
      <c r="L36" s="206"/>
      <c r="M36" s="206"/>
      <c r="N36" s="206"/>
      <c r="O36" s="236">
        <f t="shared" si="4"/>
        <v>1080111</v>
      </c>
    </row>
    <row r="37" spans="3:15">
      <c r="K37" s="73"/>
      <c r="L37" s="73"/>
      <c r="M37" s="73"/>
      <c r="N37" s="73"/>
      <c r="O37" s="73"/>
    </row>
    <row r="38" spans="3:15" s="5" customFormat="1">
      <c r="D38" s="6"/>
      <c r="E38" s="6" t="s">
        <v>78</v>
      </c>
      <c r="K38" s="237">
        <f>SUM(K28:K36)</f>
        <v>1110305</v>
      </c>
      <c r="L38" s="237">
        <f t="shared" ref="L38:O38" si="5">SUM(L28:L36)</f>
        <v>259666</v>
      </c>
      <c r="M38" s="237">
        <f t="shared" si="5"/>
        <v>4205435</v>
      </c>
      <c r="N38" s="237">
        <f t="shared" si="5"/>
        <v>348905</v>
      </c>
      <c r="O38" s="237">
        <f t="shared" si="5"/>
        <v>5924311</v>
      </c>
    </row>
    <row r="39" spans="3:15">
      <c r="K39" s="73"/>
      <c r="L39" s="73"/>
      <c r="M39" s="73"/>
      <c r="N39" s="73"/>
      <c r="O39" s="73"/>
    </row>
    <row r="40" spans="3:15" s="7" customFormat="1">
      <c r="D40" s="8"/>
      <c r="E40" s="8" t="s">
        <v>166</v>
      </c>
      <c r="K40" s="239">
        <f>SUM(K38+K24+K21)</f>
        <v>1254257</v>
      </c>
      <c r="L40" s="239">
        <f t="shared" ref="L40:O40" si="6">SUM(L38+L24+L21)</f>
        <v>1434666</v>
      </c>
      <c r="M40" s="239">
        <f t="shared" si="6"/>
        <v>4317600</v>
      </c>
      <c r="N40" s="239">
        <f t="shared" si="6"/>
        <v>731901</v>
      </c>
      <c r="O40" s="239">
        <f t="shared" si="6"/>
        <v>7738424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Q41"/>
  <sheetViews>
    <sheetView topLeftCell="A24" zoomScaleNormal="100" workbookViewId="0">
      <selection activeCell="U37" sqref="U37"/>
    </sheetView>
  </sheetViews>
  <sheetFormatPr defaultColWidth="8.85546875" defaultRowHeight="15"/>
  <cols>
    <col min="2" max="2" width="3.28515625" customWidth="1"/>
    <col min="3" max="3" width="3.42578125" customWidth="1"/>
    <col min="11" max="11" width="14.28515625" customWidth="1"/>
    <col min="12" max="12" width="15.7109375" customWidth="1"/>
    <col min="13" max="13" width="16.85546875" customWidth="1"/>
    <col min="14" max="14" width="12.85546875" customWidth="1"/>
    <col min="15" max="15" width="14.42578125" customWidth="1"/>
    <col min="16" max="17" width="15.42578125" customWidth="1"/>
  </cols>
  <sheetData>
    <row r="1" spans="1:17" ht="18.75">
      <c r="D1" s="253" t="s">
        <v>352</v>
      </c>
      <c r="E1" s="253"/>
      <c r="F1" s="253"/>
      <c r="G1" s="253"/>
      <c r="H1" s="253"/>
      <c r="I1" s="253"/>
      <c r="J1" s="253"/>
      <c r="K1" s="253"/>
    </row>
    <row r="2" spans="1:17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7" ht="60">
      <c r="K4" s="1" t="s">
        <v>52</v>
      </c>
      <c r="L4" s="1" t="s">
        <v>353</v>
      </c>
      <c r="M4" s="1" t="s">
        <v>354</v>
      </c>
      <c r="N4" s="1" t="s">
        <v>355</v>
      </c>
      <c r="O4" s="1" t="s">
        <v>356</v>
      </c>
      <c r="P4" s="1" t="s">
        <v>6</v>
      </c>
      <c r="Q4" s="1" t="s">
        <v>249</v>
      </c>
    </row>
    <row r="5" spans="1:17">
      <c r="A5" s="86" t="s">
        <v>8</v>
      </c>
    </row>
    <row r="6" spans="1:17">
      <c r="B6" t="s">
        <v>139</v>
      </c>
      <c r="K6" s="72">
        <v>836113</v>
      </c>
      <c r="L6" s="73">
        <v>121402</v>
      </c>
      <c r="M6" s="73">
        <v>2014366</v>
      </c>
      <c r="N6" s="73">
        <v>1906042</v>
      </c>
      <c r="O6" s="73">
        <v>1855968</v>
      </c>
      <c r="P6" s="73">
        <v>3242657</v>
      </c>
      <c r="Q6" s="73">
        <f>SUM(K6:P6)</f>
        <v>9976548</v>
      </c>
    </row>
    <row r="7" spans="1:17">
      <c r="B7" t="s">
        <v>140</v>
      </c>
      <c r="K7" s="74">
        <v>3936</v>
      </c>
      <c r="L7" s="73"/>
      <c r="M7" s="73"/>
      <c r="N7" s="73"/>
      <c r="O7" s="73"/>
      <c r="P7" s="73">
        <v>3227</v>
      </c>
      <c r="Q7" s="73">
        <f t="shared" ref="Q7:Q12" si="0">SUM(K7:P7)</f>
        <v>7163</v>
      </c>
    </row>
    <row r="8" spans="1:17">
      <c r="B8" t="s">
        <v>16</v>
      </c>
      <c r="K8" s="75">
        <v>143522</v>
      </c>
      <c r="L8" s="73"/>
      <c r="M8" s="73">
        <v>15590</v>
      </c>
      <c r="N8" s="73"/>
      <c r="O8" s="73"/>
      <c r="P8" s="73"/>
      <c r="Q8" s="73">
        <f t="shared" si="0"/>
        <v>159112</v>
      </c>
    </row>
    <row r="9" spans="1:17">
      <c r="B9" t="s">
        <v>141</v>
      </c>
      <c r="K9" s="75">
        <v>939549</v>
      </c>
      <c r="L9" s="73">
        <v>282304</v>
      </c>
      <c r="M9" s="73">
        <v>2579526</v>
      </c>
      <c r="N9" s="73">
        <v>1255276</v>
      </c>
      <c r="O9" s="73"/>
      <c r="P9" s="73">
        <v>1019049</v>
      </c>
      <c r="Q9" s="73">
        <f t="shared" si="0"/>
        <v>6075704</v>
      </c>
    </row>
    <row r="10" spans="1:17">
      <c r="B10" t="s">
        <v>126</v>
      </c>
      <c r="K10" s="82">
        <v>41456</v>
      </c>
      <c r="L10" s="73"/>
      <c r="M10" s="73"/>
      <c r="N10" s="73"/>
      <c r="O10" s="73"/>
      <c r="P10" s="73">
        <v>5000</v>
      </c>
      <c r="Q10" s="73">
        <f t="shared" si="0"/>
        <v>46456</v>
      </c>
    </row>
    <row r="11" spans="1:17">
      <c r="B11" t="s">
        <v>357</v>
      </c>
      <c r="L11" s="73"/>
      <c r="M11" s="73"/>
      <c r="N11" s="73"/>
      <c r="O11" s="73"/>
      <c r="P11" s="73"/>
      <c r="Q11" s="73">
        <f t="shared" si="0"/>
        <v>0</v>
      </c>
    </row>
    <row r="12" spans="1:17">
      <c r="C12" t="s">
        <v>10</v>
      </c>
      <c r="L12" s="73"/>
      <c r="M12" s="73"/>
      <c r="N12" s="73"/>
      <c r="O12" s="73">
        <v>6973557</v>
      </c>
      <c r="P12" s="73">
        <v>224863</v>
      </c>
      <c r="Q12" s="73">
        <f t="shared" si="0"/>
        <v>7198420</v>
      </c>
    </row>
    <row r="13" spans="1:17">
      <c r="K13" s="93"/>
      <c r="L13" s="93"/>
      <c r="M13" s="93"/>
      <c r="N13" s="93"/>
      <c r="O13" s="93"/>
      <c r="P13" s="93"/>
      <c r="Q13" s="93"/>
    </row>
    <row r="14" spans="1:17">
      <c r="A14" s="2"/>
      <c r="B14" s="2"/>
      <c r="C14" s="2"/>
      <c r="D14" s="2"/>
      <c r="E14" s="2" t="s">
        <v>18</v>
      </c>
      <c r="F14" s="3"/>
      <c r="G14" s="3"/>
      <c r="H14" s="3"/>
      <c r="I14" s="3"/>
      <c r="J14" s="3"/>
      <c r="K14" s="76">
        <f t="shared" ref="K14:O14" si="1">SUM(K6:K12)</f>
        <v>1964576</v>
      </c>
      <c r="L14" s="76">
        <f t="shared" si="1"/>
        <v>403706</v>
      </c>
      <c r="M14" s="76">
        <f t="shared" si="1"/>
        <v>4609482</v>
      </c>
      <c r="N14" s="76">
        <f t="shared" si="1"/>
        <v>3161318</v>
      </c>
      <c r="O14" s="76">
        <f t="shared" si="1"/>
        <v>8829525</v>
      </c>
      <c r="P14" s="76">
        <f>SUM(P6:P12)</f>
        <v>4494796</v>
      </c>
      <c r="Q14" s="76">
        <f>SUM(Q6:Q12)</f>
        <v>23463403</v>
      </c>
    </row>
    <row r="15" spans="1:17">
      <c r="K15" s="73"/>
      <c r="L15" s="73"/>
      <c r="M15" s="73"/>
      <c r="N15" s="73"/>
      <c r="O15" s="73"/>
      <c r="P15" s="73"/>
      <c r="Q15" s="73"/>
    </row>
    <row r="16" spans="1:17">
      <c r="A16" s="4" t="s">
        <v>183</v>
      </c>
      <c r="K16" s="73"/>
      <c r="L16" s="73"/>
      <c r="M16" s="73"/>
      <c r="N16" s="73"/>
      <c r="O16" s="73"/>
      <c r="P16" s="73"/>
      <c r="Q16" s="73"/>
    </row>
    <row r="17" spans="1:17">
      <c r="B17" t="s">
        <v>20</v>
      </c>
      <c r="K17" s="73"/>
      <c r="L17" s="73"/>
      <c r="M17" s="73"/>
      <c r="N17" s="73"/>
      <c r="O17" s="73"/>
      <c r="P17" s="73"/>
      <c r="Q17" s="73"/>
    </row>
    <row r="18" spans="1:17">
      <c r="C18" t="s">
        <v>144</v>
      </c>
      <c r="K18" s="77">
        <v>231625</v>
      </c>
      <c r="L18" s="73">
        <v>243976</v>
      </c>
      <c r="M18" s="73">
        <v>36872</v>
      </c>
      <c r="N18" s="73"/>
      <c r="O18" s="73">
        <v>2256216</v>
      </c>
      <c r="P18" s="73">
        <v>53983</v>
      </c>
      <c r="Q18" s="73">
        <f>SUM(K18:P18)</f>
        <v>2822672</v>
      </c>
    </row>
    <row r="19" spans="1:17">
      <c r="C19" t="s">
        <v>24</v>
      </c>
      <c r="L19" s="73"/>
      <c r="M19" s="73"/>
      <c r="N19" s="73"/>
      <c r="O19" s="73"/>
      <c r="P19" s="73">
        <v>249333</v>
      </c>
      <c r="Q19" s="73">
        <f>SUM(K19:P19)</f>
        <v>249333</v>
      </c>
    </row>
    <row r="20" spans="1:17">
      <c r="C20" t="s">
        <v>25</v>
      </c>
      <c r="K20" s="78">
        <v>15590</v>
      </c>
      <c r="L20" s="73">
        <v>105213</v>
      </c>
      <c r="M20" s="73">
        <v>9365</v>
      </c>
      <c r="N20" s="73"/>
      <c r="O20" s="73">
        <v>8805</v>
      </c>
      <c r="P20" s="73">
        <v>20139</v>
      </c>
      <c r="Q20" s="73">
        <f>SUM(K20:P20)</f>
        <v>159112</v>
      </c>
    </row>
    <row r="21" spans="1:17">
      <c r="C21" t="s">
        <v>358</v>
      </c>
      <c r="K21" s="77">
        <v>300318</v>
      </c>
      <c r="L21" s="73"/>
      <c r="M21" s="73"/>
      <c r="N21" s="73"/>
      <c r="O21" s="73"/>
      <c r="P21" s="73"/>
      <c r="Q21" s="73">
        <f>SUM(K21:P21)</f>
        <v>300318</v>
      </c>
    </row>
    <row r="22" spans="1:17">
      <c r="C22" t="s">
        <v>359</v>
      </c>
      <c r="L22" s="73"/>
      <c r="M22" s="73"/>
      <c r="N22" s="73"/>
      <c r="O22" s="73"/>
      <c r="P22" s="73">
        <v>12297</v>
      </c>
      <c r="Q22" s="73">
        <f>SUM(K22:P22)</f>
        <v>12297</v>
      </c>
    </row>
    <row r="23" spans="1:17">
      <c r="K23" s="93"/>
      <c r="L23" s="93"/>
      <c r="M23" s="93"/>
      <c r="N23" s="93"/>
      <c r="O23" s="93"/>
      <c r="P23" s="93"/>
      <c r="Q23" s="93"/>
    </row>
    <row r="24" spans="1:17">
      <c r="A24" s="5"/>
      <c r="B24" s="6"/>
      <c r="C24" s="6"/>
      <c r="D24" s="6"/>
      <c r="E24" s="6" t="s">
        <v>26</v>
      </c>
      <c r="F24" s="5"/>
      <c r="G24" s="5"/>
      <c r="H24" s="5"/>
      <c r="I24" s="5"/>
      <c r="J24" s="5"/>
      <c r="K24" s="79">
        <f t="shared" ref="K24:M24" si="2">SUM(K18:K22)</f>
        <v>547533</v>
      </c>
      <c r="L24" s="79">
        <f t="shared" si="2"/>
        <v>349189</v>
      </c>
      <c r="M24" s="79">
        <f t="shared" si="2"/>
        <v>46237</v>
      </c>
      <c r="N24" s="79">
        <f>SUM(N18:N22)</f>
        <v>0</v>
      </c>
      <c r="O24" s="79">
        <f t="shared" ref="O24:Q24" si="3">SUM(O18:O22)</f>
        <v>2265021</v>
      </c>
      <c r="P24" s="79">
        <f t="shared" si="3"/>
        <v>335752</v>
      </c>
      <c r="Q24" s="79">
        <f t="shared" si="3"/>
        <v>3543732</v>
      </c>
    </row>
    <row r="25" spans="1:17">
      <c r="A25" s="101"/>
      <c r="B25" s="186"/>
      <c r="C25" s="186"/>
      <c r="D25" s="186"/>
      <c r="E25" s="186"/>
      <c r="F25" s="101"/>
      <c r="G25" s="101"/>
      <c r="H25" s="101"/>
      <c r="I25" s="101"/>
      <c r="J25" s="101"/>
      <c r="K25" s="159"/>
      <c r="L25" s="159"/>
      <c r="M25" s="159"/>
      <c r="N25" s="159"/>
      <c r="O25" s="159"/>
      <c r="P25" s="159"/>
      <c r="Q25" s="159"/>
    </row>
    <row r="26" spans="1:17">
      <c r="K26" s="73"/>
      <c r="L26" s="73"/>
      <c r="M26" s="73"/>
      <c r="N26" s="73"/>
      <c r="O26" s="73"/>
      <c r="P26" s="73"/>
      <c r="Q26" s="73"/>
    </row>
    <row r="27" spans="1:17">
      <c r="A27" s="86" t="s">
        <v>30</v>
      </c>
      <c r="K27" s="73"/>
      <c r="L27" s="73"/>
      <c r="M27" s="73"/>
      <c r="N27" s="73"/>
      <c r="O27" s="73"/>
      <c r="P27" s="73"/>
      <c r="Q27" s="73"/>
    </row>
    <row r="28" spans="1:17">
      <c r="C28" t="s">
        <v>360</v>
      </c>
      <c r="K28" s="73"/>
      <c r="L28" s="73"/>
      <c r="M28" s="73"/>
      <c r="N28" s="73"/>
      <c r="O28" s="73"/>
      <c r="P28" s="73"/>
      <c r="Q28" s="73"/>
    </row>
    <row r="29" spans="1:17">
      <c r="D29" t="s">
        <v>74</v>
      </c>
      <c r="K29" s="73"/>
      <c r="L29" s="73"/>
      <c r="M29" s="73"/>
      <c r="N29" s="73"/>
      <c r="O29" s="73"/>
      <c r="P29" s="73">
        <v>240618</v>
      </c>
      <c r="Q29" s="73">
        <f>SUM(K29:P29)</f>
        <v>240618</v>
      </c>
    </row>
    <row r="30" spans="1:17">
      <c r="D30" t="s">
        <v>72</v>
      </c>
      <c r="L30" s="73"/>
      <c r="M30" s="73"/>
      <c r="N30" s="73"/>
      <c r="O30" s="73">
        <v>6564504</v>
      </c>
      <c r="P30" s="73"/>
      <c r="Q30" s="73">
        <f>SUM(K30:P30)</f>
        <v>6564504</v>
      </c>
    </row>
    <row r="31" spans="1:17">
      <c r="C31" t="s">
        <v>361</v>
      </c>
      <c r="K31" s="73"/>
      <c r="L31" s="73"/>
      <c r="M31" s="73"/>
      <c r="N31" s="73"/>
      <c r="O31" s="73"/>
      <c r="P31" s="73"/>
      <c r="Q31" s="73"/>
    </row>
    <row r="32" spans="1:17">
      <c r="D32" t="s">
        <v>362</v>
      </c>
      <c r="K32" s="73"/>
      <c r="L32" s="73"/>
      <c r="M32" s="73"/>
      <c r="N32" s="73"/>
      <c r="O32" s="73"/>
      <c r="P32" s="73">
        <v>22488</v>
      </c>
      <c r="Q32" s="73">
        <f>SUM(K32:P32)</f>
        <v>22488</v>
      </c>
    </row>
    <row r="33" spans="1:17">
      <c r="D33" t="s">
        <v>72</v>
      </c>
      <c r="K33" s="73"/>
      <c r="L33" s="73">
        <v>54517</v>
      </c>
      <c r="M33" s="73">
        <v>4563245</v>
      </c>
      <c r="N33" s="73"/>
      <c r="O33" s="73"/>
      <c r="P33" s="73">
        <v>2340889</v>
      </c>
      <c r="Q33" s="73">
        <f t="shared" ref="Q33:Q37" si="4">SUM(K33:P33)</f>
        <v>6958651</v>
      </c>
    </row>
    <row r="34" spans="1:17">
      <c r="D34" t="s">
        <v>147</v>
      </c>
      <c r="K34" s="73"/>
      <c r="L34" s="73"/>
      <c r="M34" s="73"/>
      <c r="N34" s="73"/>
      <c r="O34" s="73"/>
      <c r="P34" s="73">
        <v>1666674</v>
      </c>
      <c r="Q34" s="73">
        <f t="shared" si="4"/>
        <v>1666674</v>
      </c>
    </row>
    <row r="35" spans="1:17">
      <c r="D35" t="s">
        <v>115</v>
      </c>
      <c r="K35" s="73"/>
      <c r="L35" s="73"/>
      <c r="M35" s="73"/>
      <c r="N35" s="73">
        <v>3161318</v>
      </c>
      <c r="O35" s="73"/>
      <c r="P35" s="73">
        <v>15</v>
      </c>
      <c r="Q35" s="73">
        <f t="shared" si="4"/>
        <v>3161333</v>
      </c>
    </row>
    <row r="36" spans="1:17">
      <c r="D36" t="s">
        <v>363</v>
      </c>
      <c r="K36" s="73"/>
      <c r="L36" s="73"/>
      <c r="M36" s="73"/>
      <c r="N36" s="73"/>
      <c r="O36" s="73"/>
      <c r="P36" s="73">
        <v>42734</v>
      </c>
      <c r="Q36" s="73">
        <f t="shared" si="4"/>
        <v>42734</v>
      </c>
    </row>
    <row r="37" spans="1:17">
      <c r="C37" t="s">
        <v>148</v>
      </c>
      <c r="K37" s="84">
        <v>1417043</v>
      </c>
      <c r="L37" s="73"/>
      <c r="M37" s="73"/>
      <c r="N37" s="73"/>
      <c r="O37" s="73"/>
      <c r="P37" s="73">
        <v>-154374</v>
      </c>
      <c r="Q37" s="73">
        <f t="shared" si="4"/>
        <v>1262669</v>
      </c>
    </row>
    <row r="38" spans="1:17">
      <c r="K38" s="93"/>
      <c r="L38" s="93"/>
      <c r="M38" s="93"/>
      <c r="N38" s="93"/>
      <c r="O38" s="93"/>
      <c r="P38" s="93"/>
      <c r="Q38" s="93"/>
    </row>
    <row r="39" spans="1:17">
      <c r="A39" s="5"/>
      <c r="B39" s="5"/>
      <c r="C39" s="5"/>
      <c r="D39" s="6"/>
      <c r="E39" s="6" t="s">
        <v>78</v>
      </c>
      <c r="F39" s="5"/>
      <c r="G39" s="5"/>
      <c r="H39" s="5"/>
      <c r="I39" s="5"/>
      <c r="J39" s="5"/>
      <c r="K39" s="79">
        <f t="shared" ref="K39:P39" si="5">SUM(K28:K37)</f>
        <v>1417043</v>
      </c>
      <c r="L39" s="79">
        <f t="shared" si="5"/>
        <v>54517</v>
      </c>
      <c r="M39" s="79">
        <f t="shared" si="5"/>
        <v>4563245</v>
      </c>
      <c r="N39" s="79">
        <f t="shared" si="5"/>
        <v>3161318</v>
      </c>
      <c r="O39" s="79">
        <f t="shared" si="5"/>
        <v>6564504</v>
      </c>
      <c r="P39" s="79">
        <f t="shared" si="5"/>
        <v>4159044</v>
      </c>
      <c r="Q39" s="79">
        <f>SUM(Q28:Q37)</f>
        <v>19919671</v>
      </c>
    </row>
    <row r="40" spans="1:17">
      <c r="K40" s="73"/>
      <c r="L40" s="73"/>
      <c r="M40" s="73"/>
      <c r="N40" s="73"/>
      <c r="O40" s="73"/>
      <c r="P40" s="73"/>
      <c r="Q40" s="73"/>
    </row>
    <row r="41" spans="1:17">
      <c r="A41" s="7"/>
      <c r="B41" s="7"/>
      <c r="C41" s="7"/>
      <c r="D41" s="8"/>
      <c r="E41" s="8" t="s">
        <v>166</v>
      </c>
      <c r="F41" s="7"/>
      <c r="G41" s="7"/>
      <c r="H41" s="7"/>
      <c r="I41" s="7"/>
      <c r="J41" s="7"/>
      <c r="K41" s="81">
        <f t="shared" ref="K41:Q41" si="6">SUM(K39+K24)</f>
        <v>1964576</v>
      </c>
      <c r="L41" s="81">
        <f t="shared" si="6"/>
        <v>403706</v>
      </c>
      <c r="M41" s="81">
        <f t="shared" si="6"/>
        <v>4609482</v>
      </c>
      <c r="N41" s="81">
        <f t="shared" si="6"/>
        <v>3161318</v>
      </c>
      <c r="O41" s="81">
        <f t="shared" si="6"/>
        <v>8829525</v>
      </c>
      <c r="P41" s="81">
        <f t="shared" si="6"/>
        <v>4494796</v>
      </c>
      <c r="Q41" s="81">
        <f t="shared" si="6"/>
        <v>23463403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34"/>
  <sheetViews>
    <sheetView zoomScaleNormal="100" workbookViewId="0">
      <selection activeCell="S21" sqref="S21"/>
    </sheetView>
  </sheetViews>
  <sheetFormatPr defaultColWidth="8.85546875" defaultRowHeight="15"/>
  <cols>
    <col min="11" max="11" width="16" customWidth="1"/>
    <col min="12" max="13" width="16.7109375" customWidth="1"/>
    <col min="14" max="14" width="13.85546875" customWidth="1"/>
    <col min="15" max="15" width="17.42578125" customWidth="1"/>
    <col min="16" max="16" width="16.7109375" customWidth="1"/>
    <col min="17" max="17" width="16.85546875" customWidth="1"/>
    <col min="18" max="18" width="14.85546875" customWidth="1"/>
  </cols>
  <sheetData>
    <row r="1" spans="1:18" ht="18.75">
      <c r="D1" s="253" t="s">
        <v>364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8" ht="45">
      <c r="K4" s="1" t="s">
        <v>132</v>
      </c>
      <c r="L4" s="1" t="s">
        <v>261</v>
      </c>
      <c r="M4" s="1" t="s">
        <v>335</v>
      </c>
      <c r="N4" s="1" t="s">
        <v>365</v>
      </c>
      <c r="O4" s="1" t="s">
        <v>272</v>
      </c>
      <c r="P4" s="1" t="s">
        <v>366</v>
      </c>
      <c r="Q4" s="1" t="s">
        <v>6</v>
      </c>
      <c r="R4" s="1" t="s">
        <v>249</v>
      </c>
    </row>
    <row r="5" spans="1:18">
      <c r="A5" s="86" t="s">
        <v>8</v>
      </c>
    </row>
    <row r="6" spans="1:18">
      <c r="B6" t="s">
        <v>215</v>
      </c>
      <c r="K6" s="72">
        <v>536782</v>
      </c>
      <c r="L6" s="73">
        <v>3284176</v>
      </c>
      <c r="M6" s="73">
        <v>544303</v>
      </c>
      <c r="N6" s="73">
        <v>860062</v>
      </c>
      <c r="O6" s="73">
        <v>1677801</v>
      </c>
      <c r="P6" s="73">
        <v>687</v>
      </c>
      <c r="Q6" s="73">
        <v>2938314</v>
      </c>
      <c r="R6" s="73">
        <f>SUM(K6:Q6)</f>
        <v>9842125</v>
      </c>
    </row>
    <row r="7" spans="1:18">
      <c r="B7" t="s">
        <v>60</v>
      </c>
      <c r="K7" s="74">
        <v>353306</v>
      </c>
      <c r="L7" s="73">
        <v>228677</v>
      </c>
      <c r="M7" s="73">
        <v>965387</v>
      </c>
      <c r="N7" s="73">
        <v>701785</v>
      </c>
      <c r="O7" s="73">
        <v>91222</v>
      </c>
      <c r="P7" s="73">
        <v>5904</v>
      </c>
      <c r="Q7" s="73">
        <v>1218749</v>
      </c>
      <c r="R7" s="73">
        <f>SUM(K7:Q7)</f>
        <v>3565030</v>
      </c>
    </row>
    <row r="8" spans="1:18">
      <c r="B8" t="s">
        <v>16</v>
      </c>
      <c r="K8" s="75">
        <v>83513</v>
      </c>
      <c r="L8" s="73"/>
      <c r="M8" s="73"/>
      <c r="N8" s="73"/>
      <c r="O8" s="73">
        <v>30000</v>
      </c>
      <c r="P8" s="73"/>
      <c r="Q8" s="73"/>
      <c r="R8" s="73">
        <f>SUM(K8:Q8)</f>
        <v>113513</v>
      </c>
    </row>
    <row r="9" spans="1:18">
      <c r="K9" s="73"/>
      <c r="L9" s="73"/>
      <c r="M9" s="73"/>
      <c r="N9" s="73"/>
      <c r="O9" s="73"/>
      <c r="P9" s="73"/>
      <c r="Q9" s="73"/>
      <c r="R9" s="73"/>
    </row>
    <row r="10" spans="1:18">
      <c r="A10" s="2"/>
      <c r="B10" s="2"/>
      <c r="C10" s="2"/>
      <c r="D10" s="2"/>
      <c r="E10" s="2" t="s">
        <v>18</v>
      </c>
      <c r="F10" s="3"/>
      <c r="G10" s="3"/>
      <c r="H10" s="3"/>
      <c r="I10" s="3"/>
      <c r="J10" s="3"/>
      <c r="K10" s="76">
        <f t="shared" ref="K10:R10" si="0">SUM(K6:K8)</f>
        <v>973601</v>
      </c>
      <c r="L10" s="76">
        <f t="shared" si="0"/>
        <v>3512853</v>
      </c>
      <c r="M10" s="76">
        <f t="shared" si="0"/>
        <v>1509690</v>
      </c>
      <c r="N10" s="76">
        <f t="shared" si="0"/>
        <v>1561847</v>
      </c>
      <c r="O10" s="76">
        <f t="shared" si="0"/>
        <v>1799023</v>
      </c>
      <c r="P10" s="76">
        <f t="shared" si="0"/>
        <v>6591</v>
      </c>
      <c r="Q10" s="76">
        <f t="shared" si="0"/>
        <v>4157063</v>
      </c>
      <c r="R10" s="76">
        <f t="shared" si="0"/>
        <v>13520668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>
      <c r="A12" s="4" t="s">
        <v>183</v>
      </c>
      <c r="K12" s="73"/>
      <c r="L12" s="73"/>
      <c r="M12" s="73"/>
      <c r="N12" s="73"/>
      <c r="O12" s="73"/>
      <c r="P12" s="73"/>
      <c r="Q12" s="73"/>
      <c r="R12" s="73"/>
    </row>
    <row r="13" spans="1:18">
      <c r="B13" t="s">
        <v>20</v>
      </c>
      <c r="K13" s="73"/>
      <c r="L13" s="73"/>
      <c r="M13" s="73"/>
      <c r="N13" s="73"/>
      <c r="O13" s="73"/>
      <c r="P13" s="73"/>
      <c r="Q13" s="73"/>
      <c r="R13" s="73"/>
    </row>
    <row r="14" spans="1:18">
      <c r="C14" t="s">
        <v>21</v>
      </c>
      <c r="K14" s="77">
        <v>83779</v>
      </c>
      <c r="L14" s="73">
        <v>86890</v>
      </c>
      <c r="M14" s="73">
        <v>37320</v>
      </c>
      <c r="N14" s="73">
        <v>27205</v>
      </c>
      <c r="O14" s="73">
        <v>103765</v>
      </c>
      <c r="P14" s="73">
        <v>5904</v>
      </c>
      <c r="Q14" s="73">
        <v>65861</v>
      </c>
      <c r="R14" s="73">
        <f>SUM(K14:Q14)</f>
        <v>410724</v>
      </c>
    </row>
    <row r="15" spans="1:18">
      <c r="C15" t="s">
        <v>367</v>
      </c>
      <c r="K15" s="77">
        <v>73784</v>
      </c>
      <c r="L15" s="73"/>
      <c r="M15" s="73"/>
      <c r="N15" s="73"/>
      <c r="O15" s="73"/>
      <c r="P15" s="73"/>
      <c r="Q15" s="73"/>
      <c r="R15" s="73">
        <f>SUM(K15:Q15)</f>
        <v>73784</v>
      </c>
    </row>
    <row r="16" spans="1:18">
      <c r="C16" t="s">
        <v>25</v>
      </c>
      <c r="K16" s="78">
        <v>30000</v>
      </c>
      <c r="L16" s="73"/>
      <c r="M16" s="73"/>
      <c r="N16" s="73"/>
      <c r="O16" s="73">
        <v>50498</v>
      </c>
      <c r="P16" s="73"/>
      <c r="Q16" s="73">
        <v>33015</v>
      </c>
      <c r="R16" s="73">
        <f>SUM(K16:Q16)</f>
        <v>113513</v>
      </c>
    </row>
    <row r="17" spans="1:18">
      <c r="K17" s="73"/>
      <c r="L17" s="73"/>
      <c r="M17" s="73"/>
      <c r="N17" s="73"/>
      <c r="O17" s="73"/>
      <c r="P17" s="73"/>
      <c r="Q17" s="73"/>
      <c r="R17" s="73"/>
    </row>
    <row r="18" spans="1:18">
      <c r="A18" s="5"/>
      <c r="B18" s="6"/>
      <c r="C18" s="6"/>
      <c r="D18" s="6"/>
      <c r="E18" s="6" t="s">
        <v>26</v>
      </c>
      <c r="F18" s="5"/>
      <c r="G18" s="5"/>
      <c r="H18" s="5"/>
      <c r="I18" s="5"/>
      <c r="J18" s="5"/>
      <c r="K18" s="79">
        <f t="shared" ref="K18:N18" si="1">SUM(K14:K15)</f>
        <v>157563</v>
      </c>
      <c r="L18" s="79">
        <f t="shared" si="1"/>
        <v>86890</v>
      </c>
      <c r="M18" s="79">
        <f t="shared" si="1"/>
        <v>37320</v>
      </c>
      <c r="N18" s="79">
        <f t="shared" si="1"/>
        <v>27205</v>
      </c>
      <c r="O18" s="79">
        <f>SUM(O14:O16)</f>
        <v>154263</v>
      </c>
      <c r="P18" s="79">
        <f t="shared" ref="P18:R18" si="2">SUM(P14:P16)</f>
        <v>5904</v>
      </c>
      <c r="Q18" s="79">
        <f t="shared" si="2"/>
        <v>98876</v>
      </c>
      <c r="R18" s="79">
        <f t="shared" si="2"/>
        <v>598021</v>
      </c>
    </row>
    <row r="19" spans="1:18">
      <c r="A19" s="101"/>
      <c r="B19" s="186"/>
      <c r="C19" s="186"/>
      <c r="D19" s="186"/>
      <c r="E19" s="186"/>
      <c r="F19" s="101"/>
      <c r="G19" s="101"/>
      <c r="H19" s="101"/>
      <c r="I19" s="101"/>
      <c r="J19" s="101"/>
      <c r="K19" s="159"/>
      <c r="L19" s="159"/>
      <c r="M19" s="159"/>
      <c r="N19" s="159"/>
      <c r="O19" s="159"/>
      <c r="P19" s="159"/>
      <c r="Q19" s="159"/>
      <c r="R19" s="159"/>
    </row>
    <row r="20" spans="1:18">
      <c r="A20" s="86" t="s">
        <v>368</v>
      </c>
      <c r="K20" s="73"/>
      <c r="L20" s="73"/>
      <c r="M20" s="73"/>
      <c r="N20" s="73"/>
      <c r="O20" s="73"/>
      <c r="P20" s="73"/>
      <c r="Q20" s="73"/>
      <c r="R20" s="73"/>
    </row>
    <row r="21" spans="1:18">
      <c r="C21" t="s">
        <v>129</v>
      </c>
      <c r="K21" s="73"/>
      <c r="L21" s="73"/>
      <c r="M21" s="73"/>
      <c r="N21" s="73"/>
      <c r="O21" s="73"/>
      <c r="P21" s="73"/>
      <c r="Q21" s="73"/>
      <c r="R21" s="73"/>
    </row>
    <row r="22" spans="1:18">
      <c r="D22" t="s">
        <v>369</v>
      </c>
      <c r="K22" s="73"/>
      <c r="L22" s="73"/>
      <c r="M22" s="73"/>
      <c r="N22" s="73"/>
      <c r="O22" s="73"/>
      <c r="P22" s="73"/>
      <c r="Q22" s="73">
        <v>1095564</v>
      </c>
      <c r="R22" s="73">
        <f t="shared" ref="R22:R30" si="3">SUM(K22:Q22)</f>
        <v>1095564</v>
      </c>
    </row>
    <row r="23" spans="1:18">
      <c r="D23" t="s">
        <v>370</v>
      </c>
      <c r="K23" s="73"/>
      <c r="L23" s="73"/>
      <c r="M23" s="73"/>
      <c r="N23" s="73"/>
      <c r="O23" s="73"/>
      <c r="P23" s="73"/>
      <c r="Q23" s="73">
        <v>686197</v>
      </c>
      <c r="R23" s="73">
        <f t="shared" si="3"/>
        <v>686197</v>
      </c>
    </row>
    <row r="24" spans="1:18">
      <c r="D24" t="s">
        <v>115</v>
      </c>
      <c r="K24" s="73"/>
      <c r="L24" s="73"/>
      <c r="M24" s="73"/>
      <c r="N24" s="73"/>
      <c r="O24" s="73"/>
      <c r="P24" s="73"/>
      <c r="Q24" s="73">
        <v>8627</v>
      </c>
      <c r="R24" s="73">
        <f t="shared" si="3"/>
        <v>8627</v>
      </c>
    </row>
    <row r="25" spans="1:18">
      <c r="D25" t="s">
        <v>165</v>
      </c>
      <c r="K25" s="73"/>
      <c r="L25" s="73"/>
      <c r="M25" s="73"/>
      <c r="N25" s="73"/>
      <c r="O25" s="73"/>
      <c r="P25" s="73"/>
      <c r="Q25" s="73">
        <v>607289</v>
      </c>
      <c r="R25" s="73">
        <f t="shared" si="3"/>
        <v>607289</v>
      </c>
    </row>
    <row r="26" spans="1:18">
      <c r="D26" t="s">
        <v>72</v>
      </c>
      <c r="K26" s="73"/>
      <c r="L26" s="73">
        <v>3425963</v>
      </c>
      <c r="M26" s="73">
        <v>1472370</v>
      </c>
      <c r="N26" s="73">
        <v>1534642</v>
      </c>
      <c r="O26" s="73">
        <v>1644760</v>
      </c>
      <c r="P26" s="73"/>
      <c r="Q26" s="73">
        <v>945409</v>
      </c>
      <c r="R26" s="73">
        <f t="shared" si="3"/>
        <v>9023144</v>
      </c>
    </row>
    <row r="27" spans="1:18">
      <c r="D27" t="s">
        <v>45</v>
      </c>
      <c r="K27" s="73"/>
      <c r="L27" s="73"/>
      <c r="M27" s="73"/>
      <c r="N27" s="73"/>
      <c r="O27" s="73"/>
      <c r="P27" s="73"/>
      <c r="Q27" s="73">
        <v>213275</v>
      </c>
      <c r="R27" s="73">
        <f t="shared" si="3"/>
        <v>213275</v>
      </c>
    </row>
    <row r="28" spans="1:18">
      <c r="D28" t="s">
        <v>331</v>
      </c>
      <c r="K28" s="73"/>
      <c r="L28" s="73"/>
      <c r="M28" s="73"/>
      <c r="N28" s="73"/>
      <c r="O28" s="73"/>
      <c r="P28" s="73"/>
      <c r="Q28" s="73">
        <v>31581</v>
      </c>
      <c r="R28" s="73">
        <f t="shared" si="3"/>
        <v>31581</v>
      </c>
    </row>
    <row r="29" spans="1:18">
      <c r="C29" t="s">
        <v>130</v>
      </c>
      <c r="K29" s="73"/>
      <c r="L29" s="73"/>
      <c r="M29" s="73"/>
      <c r="N29" s="73"/>
      <c r="O29" s="73"/>
      <c r="P29" s="73">
        <v>687</v>
      </c>
      <c r="Q29" s="73">
        <v>470245</v>
      </c>
      <c r="R29" s="73">
        <f t="shared" si="3"/>
        <v>470932</v>
      </c>
    </row>
    <row r="30" spans="1:18">
      <c r="C30" t="s">
        <v>48</v>
      </c>
      <c r="K30" s="84">
        <v>786038</v>
      </c>
      <c r="L30" s="73"/>
      <c r="M30" s="73"/>
      <c r="N30" s="73"/>
      <c r="O30" s="73"/>
      <c r="P30" s="73"/>
      <c r="Q30" s="73"/>
      <c r="R30" s="73">
        <f t="shared" si="3"/>
        <v>786038</v>
      </c>
    </row>
    <row r="31" spans="1:18">
      <c r="K31" s="73"/>
      <c r="L31" s="73"/>
      <c r="M31" s="73"/>
      <c r="N31" s="73"/>
      <c r="O31" s="73"/>
      <c r="P31" s="73"/>
      <c r="Q31" s="73"/>
      <c r="R31" s="73"/>
    </row>
    <row r="32" spans="1:18">
      <c r="A32" s="5"/>
      <c r="B32" s="5"/>
      <c r="C32" s="5"/>
      <c r="D32" s="6"/>
      <c r="E32" s="6" t="s">
        <v>78</v>
      </c>
      <c r="F32" s="5"/>
      <c r="G32" s="5"/>
      <c r="H32" s="5"/>
      <c r="I32" s="5"/>
      <c r="J32" s="5"/>
      <c r="K32" s="79">
        <f t="shared" ref="K32:R32" si="4">SUM(K21:K30)</f>
        <v>786038</v>
      </c>
      <c r="L32" s="79">
        <f t="shared" si="4"/>
        <v>3425963</v>
      </c>
      <c r="M32" s="79">
        <f t="shared" si="4"/>
        <v>1472370</v>
      </c>
      <c r="N32" s="79">
        <f t="shared" si="4"/>
        <v>1534642</v>
      </c>
      <c r="O32" s="79">
        <f t="shared" si="4"/>
        <v>1644760</v>
      </c>
      <c r="P32" s="79">
        <f t="shared" si="4"/>
        <v>687</v>
      </c>
      <c r="Q32" s="79">
        <f t="shared" si="4"/>
        <v>4058187</v>
      </c>
      <c r="R32" s="79">
        <f t="shared" si="4"/>
        <v>12922647</v>
      </c>
    </row>
    <row r="33" spans="1:18">
      <c r="K33" s="73"/>
      <c r="L33" s="73"/>
      <c r="M33" s="73"/>
      <c r="N33" s="73"/>
      <c r="O33" s="73"/>
      <c r="P33" s="73"/>
      <c r="Q33" s="73"/>
      <c r="R33" s="73"/>
    </row>
    <row r="34" spans="1:18">
      <c r="A34" s="7"/>
      <c r="B34" s="7"/>
      <c r="C34" s="7"/>
      <c r="D34" s="8"/>
      <c r="E34" s="8" t="s">
        <v>166</v>
      </c>
      <c r="F34" s="7"/>
      <c r="G34" s="7"/>
      <c r="H34" s="7"/>
      <c r="I34" s="7"/>
      <c r="J34" s="7"/>
      <c r="K34" s="81">
        <f>SUM(K32+K18)</f>
        <v>943601</v>
      </c>
      <c r="L34" s="81">
        <f t="shared" ref="L34:R34" si="5">SUM(L32+L18)</f>
        <v>3512853</v>
      </c>
      <c r="M34" s="81">
        <f t="shared" si="5"/>
        <v>1509690</v>
      </c>
      <c r="N34" s="81">
        <f t="shared" si="5"/>
        <v>1561847</v>
      </c>
      <c r="O34" s="81">
        <f t="shared" si="5"/>
        <v>1799023</v>
      </c>
      <c r="P34" s="81">
        <f t="shared" si="5"/>
        <v>6591</v>
      </c>
      <c r="Q34" s="81">
        <f t="shared" si="5"/>
        <v>4157063</v>
      </c>
      <c r="R34" s="81">
        <f t="shared" si="5"/>
        <v>13520668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R34"/>
  <sheetViews>
    <sheetView topLeftCell="A10" zoomScale="96" zoomScaleNormal="96" workbookViewId="0">
      <selection activeCell="X35" sqref="X35"/>
    </sheetView>
  </sheetViews>
  <sheetFormatPr defaultColWidth="8.85546875" defaultRowHeight="15"/>
  <cols>
    <col min="11" max="11" width="18" customWidth="1"/>
    <col min="12" max="13" width="18.42578125" customWidth="1"/>
    <col min="14" max="14" width="16.85546875" customWidth="1"/>
    <col min="15" max="15" width="18.140625" customWidth="1"/>
    <col min="16" max="17" width="17.28515625" customWidth="1"/>
    <col min="18" max="18" width="17.140625" customWidth="1"/>
  </cols>
  <sheetData>
    <row r="1" spans="1:18" ht="18.75">
      <c r="D1" s="253" t="s">
        <v>371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8" ht="45">
      <c r="K4" s="1" t="s">
        <v>2</v>
      </c>
      <c r="L4" s="1" t="s">
        <v>372</v>
      </c>
      <c r="M4" s="1" t="s">
        <v>4</v>
      </c>
      <c r="N4" s="1" t="s">
        <v>373</v>
      </c>
      <c r="O4" s="1" t="s">
        <v>374</v>
      </c>
      <c r="P4" s="1" t="s">
        <v>375</v>
      </c>
      <c r="Q4" s="1" t="s">
        <v>6</v>
      </c>
      <c r="R4" s="1" t="s">
        <v>7</v>
      </c>
    </row>
    <row r="5" spans="1:18">
      <c r="A5" t="s">
        <v>8</v>
      </c>
    </row>
    <row r="6" spans="1:18">
      <c r="B6" t="s">
        <v>215</v>
      </c>
      <c r="K6" s="72">
        <v>269651</v>
      </c>
      <c r="L6" s="73">
        <v>254727</v>
      </c>
      <c r="M6" s="73">
        <v>369430</v>
      </c>
      <c r="N6" s="73">
        <v>74993</v>
      </c>
      <c r="O6" s="73">
        <v>96049</v>
      </c>
      <c r="P6" s="73">
        <v>5115</v>
      </c>
      <c r="Q6" s="73">
        <v>537594</v>
      </c>
      <c r="R6" s="73">
        <f>SUM(K6:Q6)</f>
        <v>1607559</v>
      </c>
    </row>
    <row r="7" spans="1:18">
      <c r="B7" t="s">
        <v>376</v>
      </c>
      <c r="K7" s="74">
        <v>386040</v>
      </c>
      <c r="L7" s="73">
        <v>418451</v>
      </c>
      <c r="M7" s="73">
        <v>212538</v>
      </c>
      <c r="N7" s="73"/>
      <c r="O7" s="73">
        <v>144546</v>
      </c>
      <c r="P7" s="73">
        <v>155706</v>
      </c>
      <c r="Q7" s="73">
        <v>159243</v>
      </c>
      <c r="R7" s="73">
        <f t="shared" ref="R7:R8" si="0">SUM(K7:Q7)</f>
        <v>1476524</v>
      </c>
    </row>
    <row r="8" spans="1:18">
      <c r="B8" t="s">
        <v>377</v>
      </c>
      <c r="K8" s="74">
        <v>138964</v>
      </c>
      <c r="L8" s="73">
        <v>43350</v>
      </c>
      <c r="M8" s="73">
        <v>3016</v>
      </c>
      <c r="N8" s="73"/>
      <c r="O8" s="73">
        <v>479</v>
      </c>
      <c r="P8" s="73"/>
      <c r="Q8" s="73">
        <v>5000</v>
      </c>
      <c r="R8" s="73">
        <f t="shared" si="0"/>
        <v>190809</v>
      </c>
    </row>
    <row r="9" spans="1:18">
      <c r="L9" s="73"/>
      <c r="M9" s="73"/>
      <c r="N9" s="73"/>
      <c r="O9" s="73"/>
      <c r="P9" s="73"/>
      <c r="Q9" s="73"/>
      <c r="R9" s="73"/>
    </row>
    <row r="10" spans="1:18">
      <c r="A10" s="2"/>
      <c r="B10" s="2"/>
      <c r="C10" s="2"/>
      <c r="D10" s="2"/>
      <c r="E10" s="2" t="s">
        <v>18</v>
      </c>
      <c r="F10" s="3"/>
      <c r="G10" s="3"/>
      <c r="H10" s="3"/>
      <c r="I10" s="3"/>
      <c r="J10" s="3"/>
      <c r="K10" s="76">
        <f t="shared" ref="K10:R10" si="1">SUM(K6:K8)</f>
        <v>794655</v>
      </c>
      <c r="L10" s="76">
        <f t="shared" si="1"/>
        <v>716528</v>
      </c>
      <c r="M10" s="76"/>
      <c r="N10" s="76">
        <f t="shared" si="1"/>
        <v>74993</v>
      </c>
      <c r="O10" s="76">
        <f t="shared" si="1"/>
        <v>241074</v>
      </c>
      <c r="P10" s="76">
        <f t="shared" si="1"/>
        <v>160821</v>
      </c>
      <c r="Q10" s="76">
        <f t="shared" si="1"/>
        <v>701837</v>
      </c>
      <c r="R10" s="76">
        <f t="shared" si="1"/>
        <v>3274892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>
      <c r="A12" s="4" t="s">
        <v>19</v>
      </c>
      <c r="K12" s="73"/>
      <c r="L12" s="73"/>
      <c r="M12" s="73"/>
      <c r="N12" s="73"/>
      <c r="O12" s="73"/>
      <c r="P12" s="73"/>
      <c r="Q12" s="73"/>
      <c r="R12" s="73"/>
    </row>
    <row r="13" spans="1:18">
      <c r="B13" t="s">
        <v>20</v>
      </c>
      <c r="K13" s="73"/>
      <c r="L13" s="73"/>
      <c r="M13" s="73"/>
      <c r="N13" s="73"/>
      <c r="O13" s="73"/>
      <c r="P13" s="73"/>
      <c r="Q13" s="73"/>
      <c r="R13" s="73"/>
    </row>
    <row r="14" spans="1:18">
      <c r="C14" t="s">
        <v>21</v>
      </c>
      <c r="K14" s="77">
        <v>145485</v>
      </c>
      <c r="L14" s="73">
        <v>57822</v>
      </c>
      <c r="M14" s="73">
        <v>55273</v>
      </c>
      <c r="N14" s="73">
        <v>74993</v>
      </c>
      <c r="O14" s="73">
        <v>10967</v>
      </c>
      <c r="P14" s="73">
        <v>127473</v>
      </c>
      <c r="Q14" s="73">
        <v>9248</v>
      </c>
      <c r="R14" s="73">
        <f>SUM(K14:Q14)</f>
        <v>481261</v>
      </c>
    </row>
    <row r="15" spans="1:18">
      <c r="C15" t="s">
        <v>378</v>
      </c>
      <c r="L15" s="73"/>
      <c r="M15" s="73"/>
      <c r="N15" s="73"/>
      <c r="O15" s="73"/>
      <c r="P15" s="73">
        <v>32870</v>
      </c>
      <c r="Q15" s="73"/>
      <c r="R15" s="73">
        <f>SUM(K15:Q15)</f>
        <v>32870</v>
      </c>
    </row>
    <row r="16" spans="1:18">
      <c r="C16" t="s">
        <v>379</v>
      </c>
      <c r="K16" s="77">
        <v>5000</v>
      </c>
      <c r="L16" s="73">
        <v>2259</v>
      </c>
      <c r="M16" s="73">
        <v>68735</v>
      </c>
      <c r="N16" s="73"/>
      <c r="O16" s="73">
        <v>71106</v>
      </c>
      <c r="P16" s="73">
        <v>576</v>
      </c>
      <c r="Q16" s="73">
        <v>43133</v>
      </c>
      <c r="R16" s="73">
        <f t="shared" ref="R16" si="2">SUM(K16:Q16)</f>
        <v>190809</v>
      </c>
    </row>
    <row r="17" spans="1:18">
      <c r="K17" s="73"/>
      <c r="L17" s="73"/>
      <c r="M17" s="73"/>
      <c r="N17" s="73"/>
      <c r="O17" s="73"/>
      <c r="P17" s="73"/>
      <c r="Q17" s="73"/>
      <c r="R17" s="73"/>
    </row>
    <row r="18" spans="1:18">
      <c r="A18" s="5"/>
      <c r="B18" s="6"/>
      <c r="C18" s="6"/>
      <c r="D18" s="6"/>
      <c r="E18" s="6" t="s">
        <v>26</v>
      </c>
      <c r="F18" s="5"/>
      <c r="G18" s="5"/>
      <c r="H18" s="5"/>
      <c r="I18" s="5"/>
      <c r="J18" s="5"/>
      <c r="K18" s="79">
        <f t="shared" ref="K18:R18" si="3">SUM(K14:K16)</f>
        <v>150485</v>
      </c>
      <c r="L18" s="79">
        <f t="shared" si="3"/>
        <v>60081</v>
      </c>
      <c r="M18" s="79">
        <f t="shared" si="3"/>
        <v>124008</v>
      </c>
      <c r="N18" s="79">
        <f t="shared" si="3"/>
        <v>74993</v>
      </c>
      <c r="O18" s="79">
        <f t="shared" si="3"/>
        <v>82073</v>
      </c>
      <c r="P18" s="79">
        <f t="shared" si="3"/>
        <v>160919</v>
      </c>
      <c r="Q18" s="79">
        <f t="shared" si="3"/>
        <v>52381</v>
      </c>
      <c r="R18" s="79">
        <f t="shared" si="3"/>
        <v>704940</v>
      </c>
    </row>
    <row r="19" spans="1:18">
      <c r="K19" s="73"/>
      <c r="L19" s="73"/>
      <c r="M19" s="73"/>
      <c r="N19" s="73"/>
      <c r="O19" s="73"/>
      <c r="P19" s="73"/>
      <c r="Q19" s="73"/>
      <c r="R19" s="73"/>
    </row>
    <row r="20" spans="1:18">
      <c r="B20" t="s">
        <v>30</v>
      </c>
      <c r="K20" s="73"/>
      <c r="L20" s="73"/>
      <c r="M20" s="73"/>
      <c r="N20" s="73"/>
      <c r="O20" s="73"/>
      <c r="P20" s="73"/>
      <c r="Q20" s="73"/>
      <c r="R20" s="73"/>
    </row>
    <row r="21" spans="1:18">
      <c r="C21" t="s">
        <v>69</v>
      </c>
      <c r="K21" s="73"/>
      <c r="L21" s="73"/>
      <c r="M21" s="73"/>
      <c r="N21" s="73"/>
      <c r="O21" s="73"/>
      <c r="P21" s="73"/>
      <c r="Q21" s="73"/>
      <c r="R21" s="73"/>
    </row>
    <row r="22" spans="1:18">
      <c r="D22" t="s">
        <v>380</v>
      </c>
      <c r="K22" s="73"/>
      <c r="L22" s="73">
        <v>656447</v>
      </c>
      <c r="M22" s="73">
        <v>460976</v>
      </c>
      <c r="N22" s="73"/>
      <c r="O22" s="73">
        <v>159001</v>
      </c>
      <c r="P22" s="73"/>
      <c r="Q22" s="73">
        <v>456549</v>
      </c>
      <c r="R22" s="73">
        <f t="shared" ref="R22:R24" si="4">SUM(K22:Q22)</f>
        <v>1732973</v>
      </c>
    </row>
    <row r="23" spans="1:18">
      <c r="D23" t="s">
        <v>70</v>
      </c>
      <c r="K23" s="73"/>
      <c r="L23" s="73"/>
      <c r="M23" s="73"/>
      <c r="N23" s="73"/>
      <c r="O23" s="73"/>
      <c r="P23" s="73"/>
      <c r="Q23" s="73">
        <v>30664</v>
      </c>
      <c r="R23" s="73">
        <f t="shared" si="4"/>
        <v>30664</v>
      </c>
    </row>
    <row r="24" spans="1:18">
      <c r="D24" t="s">
        <v>381</v>
      </c>
      <c r="K24" s="73"/>
      <c r="L24" s="73"/>
      <c r="M24" s="73"/>
      <c r="N24" s="73"/>
      <c r="O24" s="73"/>
      <c r="P24" s="73"/>
      <c r="Q24" s="73">
        <v>51728</v>
      </c>
      <c r="R24" s="73">
        <f t="shared" si="4"/>
        <v>51728</v>
      </c>
    </row>
    <row r="25" spans="1:18">
      <c r="C25" t="s">
        <v>382</v>
      </c>
      <c r="K25" s="73"/>
      <c r="L25" s="73"/>
      <c r="M25" s="73"/>
      <c r="N25" s="73"/>
      <c r="O25" s="73"/>
      <c r="P25" s="73"/>
      <c r="Q25" s="73"/>
      <c r="R25" s="73"/>
    </row>
    <row r="26" spans="1:18">
      <c r="D26" t="s">
        <v>380</v>
      </c>
      <c r="K26" s="73"/>
      <c r="L26" s="73"/>
      <c r="M26" s="73"/>
      <c r="N26" s="73"/>
      <c r="O26" s="73"/>
      <c r="P26" s="73"/>
      <c r="Q26" s="73">
        <v>18877</v>
      </c>
      <c r="R26" s="73">
        <f t="shared" ref="R26:R30" si="5">SUM(K26:Q26)</f>
        <v>18877</v>
      </c>
    </row>
    <row r="27" spans="1:18">
      <c r="D27" t="s">
        <v>381</v>
      </c>
      <c r="K27" s="73"/>
      <c r="L27" s="73"/>
      <c r="M27" s="73"/>
      <c r="N27" s="73"/>
      <c r="O27" s="73"/>
      <c r="P27" s="73"/>
      <c r="Q27" s="73">
        <v>711</v>
      </c>
      <c r="R27" s="73">
        <f t="shared" si="5"/>
        <v>711</v>
      </c>
    </row>
    <row r="28" spans="1:18">
      <c r="D28" t="s">
        <v>383</v>
      </c>
      <c r="K28" s="73"/>
      <c r="L28" s="73"/>
      <c r="M28" s="73"/>
      <c r="N28" s="73"/>
      <c r="O28" s="73"/>
      <c r="P28" s="73"/>
      <c r="Q28" s="73">
        <v>605</v>
      </c>
      <c r="R28" s="73">
        <f t="shared" si="5"/>
        <v>605</v>
      </c>
    </row>
    <row r="29" spans="1:18">
      <c r="D29" t="s">
        <v>384</v>
      </c>
      <c r="K29" s="73"/>
      <c r="L29" s="73"/>
      <c r="M29" s="73"/>
      <c r="N29" s="73"/>
      <c r="O29" s="73"/>
      <c r="P29" s="73"/>
      <c r="Q29" s="73">
        <v>96566</v>
      </c>
      <c r="R29" s="73">
        <f t="shared" si="5"/>
        <v>96566</v>
      </c>
    </row>
    <row r="30" spans="1:18">
      <c r="C30" t="s">
        <v>48</v>
      </c>
      <c r="K30" s="84">
        <v>644170</v>
      </c>
      <c r="L30" s="73"/>
      <c r="M30" s="73"/>
      <c r="N30" s="73"/>
      <c r="O30" s="73"/>
      <c r="P30" s="73">
        <v>-98</v>
      </c>
      <c r="Q30" s="73">
        <v>-6244</v>
      </c>
      <c r="R30" s="73">
        <f t="shared" si="5"/>
        <v>637828</v>
      </c>
    </row>
    <row r="31" spans="1:18">
      <c r="L31" s="73"/>
      <c r="M31" s="73"/>
      <c r="N31" s="73"/>
      <c r="O31" s="73"/>
      <c r="P31" s="73"/>
      <c r="Q31" s="73"/>
      <c r="R31" s="73"/>
    </row>
    <row r="32" spans="1:18">
      <c r="A32" s="5"/>
      <c r="B32" s="5"/>
      <c r="C32" s="5"/>
      <c r="D32" s="6"/>
      <c r="E32" s="6" t="s">
        <v>49</v>
      </c>
      <c r="F32" s="5"/>
      <c r="G32" s="5"/>
      <c r="H32" s="5"/>
      <c r="I32" s="5"/>
      <c r="J32" s="5"/>
      <c r="K32" s="79">
        <f t="shared" ref="K32:R32" si="6">SUM(K21:K30)</f>
        <v>644170</v>
      </c>
      <c r="L32" s="79">
        <f t="shared" si="6"/>
        <v>656447</v>
      </c>
      <c r="M32" s="79"/>
      <c r="N32" s="79">
        <f t="shared" si="6"/>
        <v>0</v>
      </c>
      <c r="O32" s="79">
        <f t="shared" si="6"/>
        <v>159001</v>
      </c>
      <c r="P32" s="79">
        <f t="shared" si="6"/>
        <v>-98</v>
      </c>
      <c r="Q32" s="79">
        <f t="shared" si="6"/>
        <v>649456</v>
      </c>
      <c r="R32" s="79">
        <f t="shared" si="6"/>
        <v>2569952</v>
      </c>
    </row>
    <row r="33" spans="1:18">
      <c r="K33" s="73"/>
      <c r="L33" s="73"/>
      <c r="M33" s="73"/>
      <c r="N33" s="73"/>
      <c r="O33" s="73"/>
      <c r="P33" s="73"/>
      <c r="Q33" s="73"/>
      <c r="R33" s="73"/>
    </row>
    <row r="34" spans="1:18">
      <c r="A34" s="7"/>
      <c r="B34" s="7"/>
      <c r="C34" s="7"/>
      <c r="D34" s="8"/>
      <c r="E34" s="8" t="s">
        <v>50</v>
      </c>
      <c r="F34" s="7"/>
      <c r="G34" s="7"/>
      <c r="H34" s="7"/>
      <c r="I34" s="7"/>
      <c r="J34" s="7"/>
      <c r="K34" s="81">
        <f>SUM(K18+K32)</f>
        <v>794655</v>
      </c>
      <c r="L34" s="81">
        <f t="shared" ref="L34:R34" si="7">SUM(L18+L32)</f>
        <v>716528</v>
      </c>
      <c r="M34" s="81"/>
      <c r="N34" s="81">
        <f t="shared" si="7"/>
        <v>74993</v>
      </c>
      <c r="O34" s="81">
        <f t="shared" si="7"/>
        <v>241074</v>
      </c>
      <c r="P34" s="81">
        <f t="shared" si="7"/>
        <v>160821</v>
      </c>
      <c r="Q34" s="81">
        <f t="shared" si="7"/>
        <v>701837</v>
      </c>
      <c r="R34" s="81">
        <f t="shared" si="7"/>
        <v>3274892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S39"/>
  <sheetViews>
    <sheetView topLeftCell="A7" zoomScaleNormal="100" workbookViewId="0">
      <selection activeCell="K24" sqref="K24"/>
    </sheetView>
  </sheetViews>
  <sheetFormatPr defaultColWidth="8.85546875" defaultRowHeight="15"/>
  <cols>
    <col min="11" max="12" width="17.42578125" customWidth="1"/>
    <col min="13" max="13" width="18" customWidth="1"/>
    <col min="14" max="14" width="16.7109375" customWidth="1"/>
    <col min="15" max="15" width="18.28515625" customWidth="1"/>
    <col min="16" max="16" width="18.140625" customWidth="1"/>
    <col min="17" max="17" width="17.7109375" customWidth="1"/>
    <col min="18" max="18" width="18.42578125" customWidth="1"/>
    <col min="19" max="19" width="18.140625" customWidth="1"/>
  </cols>
  <sheetData>
    <row r="1" spans="1:19" ht="18.75">
      <c r="D1" s="253" t="s">
        <v>385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9" ht="45">
      <c r="K4" s="1" t="s">
        <v>52</v>
      </c>
      <c r="L4" s="1" t="s">
        <v>386</v>
      </c>
      <c r="M4" s="1" t="s">
        <v>272</v>
      </c>
      <c r="N4" s="1" t="s">
        <v>387</v>
      </c>
      <c r="O4" s="1" t="s">
        <v>388</v>
      </c>
      <c r="P4" s="1" t="s">
        <v>389</v>
      </c>
      <c r="Q4" s="1" t="s">
        <v>390</v>
      </c>
      <c r="R4" s="1" t="s">
        <v>6</v>
      </c>
      <c r="S4" s="1" t="s">
        <v>249</v>
      </c>
    </row>
    <row r="5" spans="1:19">
      <c r="A5" s="86" t="s">
        <v>8</v>
      </c>
    </row>
    <row r="6" spans="1:19">
      <c r="B6" t="s">
        <v>139</v>
      </c>
      <c r="K6" s="72">
        <v>477849</v>
      </c>
      <c r="L6" s="73">
        <v>6254632</v>
      </c>
      <c r="M6" s="73">
        <v>6599235</v>
      </c>
      <c r="N6" s="73">
        <v>3524048</v>
      </c>
      <c r="O6" s="73">
        <v>4343977</v>
      </c>
      <c r="P6" s="73">
        <v>12450767</v>
      </c>
      <c r="Q6" s="73"/>
      <c r="R6" s="73">
        <v>11485828</v>
      </c>
      <c r="S6" s="73">
        <f>SUM(K6:R6)</f>
        <v>45136336</v>
      </c>
    </row>
    <row r="7" spans="1:19">
      <c r="B7" t="s">
        <v>10</v>
      </c>
      <c r="K7" s="73"/>
      <c r="L7" s="73">
        <v>63081</v>
      </c>
      <c r="M7" s="73"/>
      <c r="N7" s="73"/>
      <c r="O7" s="73"/>
      <c r="P7" s="73"/>
      <c r="Q7" s="73"/>
      <c r="R7" s="73"/>
      <c r="S7" s="73">
        <f t="shared" ref="S7:S11" si="0">SUM(K7:R7)</f>
        <v>63081</v>
      </c>
    </row>
    <row r="8" spans="1:19">
      <c r="B8" t="s">
        <v>140</v>
      </c>
      <c r="K8" s="74">
        <v>1117621</v>
      </c>
      <c r="L8" s="73">
        <v>1946277</v>
      </c>
      <c r="M8" s="73"/>
      <c r="N8" s="73">
        <v>2024759</v>
      </c>
      <c r="O8" s="73">
        <v>1322648</v>
      </c>
      <c r="P8" s="73"/>
      <c r="Q8" s="73"/>
      <c r="R8" s="73">
        <v>1105518</v>
      </c>
      <c r="S8" s="73">
        <f t="shared" si="0"/>
        <v>7516823</v>
      </c>
    </row>
    <row r="9" spans="1:19">
      <c r="B9" t="s">
        <v>16</v>
      </c>
      <c r="K9" s="74">
        <v>315598</v>
      </c>
      <c r="L9" s="73">
        <v>41450</v>
      </c>
      <c r="M9" s="73"/>
      <c r="N9" s="73">
        <v>353762</v>
      </c>
      <c r="O9" s="73">
        <v>95392</v>
      </c>
      <c r="P9" s="73">
        <v>99879</v>
      </c>
      <c r="Q9" s="73"/>
      <c r="R9" s="73">
        <v>319735</v>
      </c>
      <c r="S9" s="73">
        <f t="shared" si="0"/>
        <v>1225816</v>
      </c>
    </row>
    <row r="10" spans="1:19">
      <c r="B10" t="s">
        <v>391</v>
      </c>
      <c r="K10" s="75">
        <v>1816356</v>
      </c>
      <c r="L10" s="73"/>
      <c r="M10" s="73"/>
      <c r="N10" s="73"/>
      <c r="O10" s="73"/>
      <c r="P10" s="73">
        <v>104710</v>
      </c>
      <c r="Q10" s="73"/>
      <c r="R10" s="73"/>
      <c r="S10" s="73">
        <f t="shared" si="0"/>
        <v>1921066</v>
      </c>
    </row>
    <row r="11" spans="1:19">
      <c r="B11" t="s">
        <v>392</v>
      </c>
      <c r="K11" s="75">
        <v>325245</v>
      </c>
      <c r="L11" s="73">
        <v>79330</v>
      </c>
      <c r="M11" s="73">
        <v>170656</v>
      </c>
      <c r="N11" s="73">
        <v>56730</v>
      </c>
      <c r="O11" s="73">
        <v>42557</v>
      </c>
      <c r="P11" s="73">
        <v>1221637</v>
      </c>
      <c r="Q11" s="73">
        <v>228677</v>
      </c>
      <c r="R11" s="73">
        <v>507439</v>
      </c>
      <c r="S11" s="73">
        <f t="shared" si="0"/>
        <v>2632271</v>
      </c>
    </row>
    <row r="12" spans="1:19">
      <c r="L12" s="73"/>
      <c r="M12" s="73"/>
      <c r="N12" s="73"/>
      <c r="O12" s="73"/>
      <c r="P12" s="73"/>
      <c r="Q12" s="73"/>
      <c r="R12" s="73"/>
      <c r="S12" s="73"/>
    </row>
    <row r="13" spans="1:19">
      <c r="A13" s="2"/>
      <c r="B13" s="2"/>
      <c r="C13" s="2"/>
      <c r="D13" s="2"/>
      <c r="E13" s="2" t="s">
        <v>18</v>
      </c>
      <c r="F13" s="3"/>
      <c r="G13" s="3"/>
      <c r="H13" s="3"/>
      <c r="I13" s="3"/>
      <c r="J13" s="3"/>
      <c r="K13" s="76">
        <f t="shared" ref="K13:S13" si="1">SUM(K6:K11)</f>
        <v>4052669</v>
      </c>
      <c r="L13" s="76">
        <f t="shared" si="1"/>
        <v>8384770</v>
      </c>
      <c r="M13" s="76">
        <f t="shared" si="1"/>
        <v>6769891</v>
      </c>
      <c r="N13" s="76">
        <f t="shared" si="1"/>
        <v>5959299</v>
      </c>
      <c r="O13" s="76">
        <f t="shared" si="1"/>
        <v>5804574</v>
      </c>
      <c r="P13" s="76">
        <f t="shared" si="1"/>
        <v>13876993</v>
      </c>
      <c r="Q13" s="76">
        <f t="shared" si="1"/>
        <v>228677</v>
      </c>
      <c r="R13" s="76">
        <f t="shared" si="1"/>
        <v>13418520</v>
      </c>
      <c r="S13" s="76">
        <f t="shared" si="1"/>
        <v>58495393</v>
      </c>
    </row>
    <row r="14" spans="1:19"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A15" s="4" t="s">
        <v>183</v>
      </c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B16" t="s">
        <v>20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C17" t="s">
        <v>21</v>
      </c>
      <c r="K17" s="77">
        <v>289116</v>
      </c>
      <c r="L17" s="73">
        <v>34632</v>
      </c>
      <c r="M17" s="73">
        <v>217387</v>
      </c>
      <c r="N17" s="73">
        <v>59125</v>
      </c>
      <c r="O17" s="73">
        <v>116373</v>
      </c>
      <c r="P17" s="73">
        <v>207287</v>
      </c>
      <c r="Q17" s="73"/>
      <c r="R17" s="73">
        <v>379422</v>
      </c>
      <c r="S17" s="73">
        <f>SUM(K17:R17)</f>
        <v>1303342</v>
      </c>
    </row>
    <row r="18" spans="1:19">
      <c r="C18" t="s">
        <v>393</v>
      </c>
      <c r="K18" s="77">
        <v>86449</v>
      </c>
      <c r="L18" s="73">
        <v>35448</v>
      </c>
      <c r="M18" s="73">
        <v>2923</v>
      </c>
      <c r="N18" s="73">
        <v>7201</v>
      </c>
      <c r="O18" s="73">
        <v>28420</v>
      </c>
      <c r="P18" s="73">
        <v>9341</v>
      </c>
      <c r="Q18" s="73"/>
      <c r="R18" s="73">
        <v>63537</v>
      </c>
      <c r="S18" s="73">
        <f>SUM(K18:R18)</f>
        <v>233319</v>
      </c>
    </row>
    <row r="19" spans="1:19">
      <c r="C19" t="s">
        <v>95</v>
      </c>
      <c r="K19" s="73"/>
      <c r="L19" s="73"/>
      <c r="M19" s="73"/>
      <c r="N19" s="73"/>
      <c r="O19" s="73"/>
      <c r="P19" s="73">
        <v>607134</v>
      </c>
      <c r="Q19" s="73"/>
      <c r="R19" s="73">
        <v>20000</v>
      </c>
      <c r="S19" s="73">
        <f t="shared" ref="S19:S25" si="2">SUM(K19:R19)</f>
        <v>627134</v>
      </c>
    </row>
    <row r="20" spans="1:19">
      <c r="C20" t="s">
        <v>22</v>
      </c>
      <c r="K20" s="73"/>
      <c r="L20" s="73"/>
      <c r="M20" s="73"/>
      <c r="N20" s="73"/>
      <c r="O20" s="73"/>
      <c r="P20" s="73">
        <v>191636</v>
      </c>
      <c r="Q20" s="73"/>
      <c r="R20" s="73">
        <v>41359</v>
      </c>
      <c r="S20" s="73">
        <f t="shared" si="2"/>
        <v>232995</v>
      </c>
    </row>
    <row r="21" spans="1:19">
      <c r="C21" t="s">
        <v>25</v>
      </c>
      <c r="K21" s="78">
        <v>580743</v>
      </c>
      <c r="L21" s="73">
        <v>12816</v>
      </c>
      <c r="M21" s="73">
        <v>31205</v>
      </c>
      <c r="N21" s="73">
        <v>18314</v>
      </c>
      <c r="O21" s="73">
        <v>115524</v>
      </c>
      <c r="P21" s="73">
        <v>125696</v>
      </c>
      <c r="Q21" s="73"/>
      <c r="R21" s="73">
        <v>692901</v>
      </c>
      <c r="S21" s="73">
        <f t="shared" si="2"/>
        <v>1577199</v>
      </c>
    </row>
    <row r="22" spans="1:19">
      <c r="C22" t="s">
        <v>394</v>
      </c>
      <c r="K22" s="78">
        <v>53111</v>
      </c>
      <c r="L22" s="73">
        <v>96284</v>
      </c>
      <c r="M22" s="73"/>
      <c r="N22" s="73">
        <v>99942</v>
      </c>
      <c r="O22" s="73">
        <v>65421</v>
      </c>
      <c r="P22" s="73"/>
      <c r="Q22" s="73"/>
      <c r="R22" s="73">
        <v>49811</v>
      </c>
      <c r="S22" s="73">
        <f t="shared" si="2"/>
        <v>364569</v>
      </c>
    </row>
    <row r="23" spans="1:19">
      <c r="C23" t="s">
        <v>198</v>
      </c>
      <c r="K23" s="78">
        <v>32643</v>
      </c>
      <c r="L23" s="73"/>
      <c r="M23" s="73"/>
      <c r="N23" s="73"/>
      <c r="O23" s="73"/>
      <c r="P23" s="73">
        <v>3993</v>
      </c>
      <c r="Q23" s="73">
        <v>228677</v>
      </c>
      <c r="R23" s="73">
        <v>30991</v>
      </c>
      <c r="S23" s="73">
        <f t="shared" si="2"/>
        <v>296304</v>
      </c>
    </row>
    <row r="24" spans="1:19">
      <c r="C24" t="s">
        <v>24</v>
      </c>
      <c r="K24" s="82">
        <v>6540</v>
      </c>
      <c r="L24" s="73"/>
      <c r="M24" s="73"/>
      <c r="N24" s="73"/>
      <c r="O24" s="73"/>
      <c r="P24" s="73"/>
      <c r="Q24" s="73"/>
      <c r="R24" s="73"/>
      <c r="S24" s="73">
        <f t="shared" si="2"/>
        <v>6540</v>
      </c>
    </row>
    <row r="25" spans="1:19">
      <c r="C25" t="s">
        <v>395</v>
      </c>
      <c r="K25" s="73"/>
      <c r="L25" s="73"/>
      <c r="M25" s="73"/>
      <c r="N25" s="73"/>
      <c r="O25" s="73"/>
      <c r="P25" s="73"/>
      <c r="Q25" s="73"/>
      <c r="R25" s="73">
        <v>83410</v>
      </c>
      <c r="S25" s="73">
        <f t="shared" si="2"/>
        <v>83410</v>
      </c>
    </row>
    <row r="26" spans="1:19"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A27" s="5"/>
      <c r="B27" s="6"/>
      <c r="C27" s="6"/>
      <c r="D27" s="6"/>
      <c r="E27" s="6" t="s">
        <v>26</v>
      </c>
      <c r="F27" s="5"/>
      <c r="G27" s="5"/>
      <c r="H27" s="5"/>
      <c r="I27" s="5"/>
      <c r="J27" s="5"/>
      <c r="K27" s="79">
        <f>SUM(K17:K25)</f>
        <v>1048602</v>
      </c>
      <c r="L27" s="79">
        <f t="shared" ref="L27:S27" si="3">SUM(L17:L25)</f>
        <v>179180</v>
      </c>
      <c r="M27" s="79">
        <f t="shared" si="3"/>
        <v>251515</v>
      </c>
      <c r="N27" s="79">
        <f t="shared" si="3"/>
        <v>184582</v>
      </c>
      <c r="O27" s="79">
        <f t="shared" si="3"/>
        <v>325738</v>
      </c>
      <c r="P27" s="79">
        <f t="shared" si="3"/>
        <v>1145087</v>
      </c>
      <c r="Q27" s="79">
        <f t="shared" si="3"/>
        <v>228677</v>
      </c>
      <c r="R27" s="79">
        <f t="shared" si="3"/>
        <v>1361431</v>
      </c>
      <c r="S27" s="79">
        <f t="shared" si="3"/>
        <v>4724812</v>
      </c>
    </row>
    <row r="28" spans="1:19">
      <c r="A28" s="101"/>
      <c r="B28" s="186"/>
      <c r="C28" s="186"/>
      <c r="D28" s="186"/>
      <c r="E28" s="186"/>
      <c r="F28" s="101"/>
      <c r="G28" s="101"/>
      <c r="H28" s="101"/>
      <c r="I28" s="101"/>
      <c r="J28" s="101"/>
      <c r="K28" s="159"/>
      <c r="L28" s="159"/>
      <c r="M28" s="159"/>
      <c r="N28" s="159"/>
      <c r="O28" s="159"/>
      <c r="P28" s="159"/>
      <c r="Q28" s="159"/>
      <c r="R28" s="159"/>
      <c r="S28" s="159"/>
    </row>
    <row r="29" spans="1:19">
      <c r="K29" s="73"/>
      <c r="L29" s="73"/>
      <c r="M29" s="73"/>
      <c r="N29" s="73"/>
      <c r="O29" s="73"/>
      <c r="P29" s="73"/>
      <c r="Q29" s="73"/>
      <c r="R29" s="73"/>
      <c r="S29" s="73"/>
    </row>
    <row r="30" spans="1:19">
      <c r="A30" s="86" t="s">
        <v>30</v>
      </c>
      <c r="K30" s="73"/>
      <c r="L30" s="73"/>
      <c r="M30" s="73"/>
      <c r="N30" s="73"/>
      <c r="O30" s="73"/>
      <c r="P30" s="73"/>
      <c r="Q30" s="73"/>
      <c r="R30" s="73"/>
      <c r="S30" s="73"/>
    </row>
    <row r="31" spans="1:19">
      <c r="C31" t="s">
        <v>145</v>
      </c>
      <c r="K31" s="73"/>
      <c r="L31" s="73"/>
      <c r="M31" s="73"/>
      <c r="N31" s="73"/>
      <c r="O31" s="73"/>
      <c r="P31" s="73"/>
      <c r="Q31" s="73"/>
      <c r="R31" s="73">
        <v>68863</v>
      </c>
      <c r="S31" s="73">
        <f t="shared" ref="S31:S34" si="4">SUM(K31:R31)</f>
        <v>68863</v>
      </c>
    </row>
    <row r="32" spans="1:19">
      <c r="C32" t="s">
        <v>129</v>
      </c>
      <c r="K32" s="73"/>
      <c r="L32" s="73">
        <v>8205590</v>
      </c>
      <c r="M32" s="73">
        <v>6518376</v>
      </c>
      <c r="N32" s="73">
        <v>5774717</v>
      </c>
      <c r="O32" s="73">
        <v>5478836</v>
      </c>
      <c r="P32" s="73"/>
      <c r="Q32" s="73"/>
      <c r="R32" s="73">
        <v>4058523</v>
      </c>
      <c r="S32" s="73">
        <f t="shared" si="4"/>
        <v>30036042</v>
      </c>
    </row>
    <row r="33" spans="1:19">
      <c r="C33" t="s">
        <v>396</v>
      </c>
      <c r="K33" s="129">
        <v>515153</v>
      </c>
      <c r="L33" s="73"/>
      <c r="M33" s="73"/>
      <c r="N33" s="73"/>
      <c r="O33" s="73"/>
      <c r="P33" s="73"/>
      <c r="Q33" s="73"/>
      <c r="R33" s="73">
        <v>5129318</v>
      </c>
      <c r="S33" s="73">
        <f t="shared" si="4"/>
        <v>5644471</v>
      </c>
    </row>
    <row r="34" spans="1:19">
      <c r="C34" t="s">
        <v>130</v>
      </c>
      <c r="K34" s="190">
        <v>870023</v>
      </c>
      <c r="L34" s="73"/>
      <c r="M34" s="73"/>
      <c r="N34" s="73"/>
      <c r="O34" s="73"/>
      <c r="P34" s="73">
        <v>12731906</v>
      </c>
      <c r="Q34" s="73"/>
      <c r="R34" s="73">
        <v>2800385</v>
      </c>
      <c r="S34" s="73">
        <f t="shared" si="4"/>
        <v>16402314</v>
      </c>
    </row>
    <row r="35" spans="1:19">
      <c r="C35" t="s">
        <v>77</v>
      </c>
      <c r="K35" s="84">
        <v>1618891</v>
      </c>
      <c r="L35" s="73"/>
      <c r="M35" s="73"/>
      <c r="N35" s="73"/>
      <c r="O35" s="73"/>
      <c r="P35" s="73"/>
      <c r="Q35" s="73"/>
      <c r="R35" s="73"/>
      <c r="S35" s="73">
        <f>SUM(K35:R35)</f>
        <v>1618891</v>
      </c>
    </row>
    <row r="36" spans="1:19">
      <c r="L36" s="73"/>
      <c r="M36" s="73"/>
      <c r="N36" s="73"/>
      <c r="O36" s="73"/>
      <c r="P36" s="73"/>
      <c r="Q36" s="73"/>
      <c r="R36" s="73"/>
      <c r="S36" s="73"/>
    </row>
    <row r="37" spans="1:19">
      <c r="A37" s="5"/>
      <c r="B37" s="5"/>
      <c r="C37" s="5"/>
      <c r="D37" s="6"/>
      <c r="E37" s="6" t="s">
        <v>78</v>
      </c>
      <c r="F37" s="5"/>
      <c r="G37" s="5"/>
      <c r="H37" s="5"/>
      <c r="I37" s="5"/>
      <c r="J37" s="5"/>
      <c r="K37" s="79">
        <f t="shared" ref="K37:S37" si="5">SUM(K31:K35)</f>
        <v>3004067</v>
      </c>
      <c r="L37" s="79">
        <f t="shared" si="5"/>
        <v>8205590</v>
      </c>
      <c r="M37" s="79">
        <f t="shared" si="5"/>
        <v>6518376</v>
      </c>
      <c r="N37" s="79">
        <f t="shared" si="5"/>
        <v>5774717</v>
      </c>
      <c r="O37" s="79">
        <f t="shared" si="5"/>
        <v>5478836</v>
      </c>
      <c r="P37" s="79">
        <f t="shared" si="5"/>
        <v>12731906</v>
      </c>
      <c r="Q37" s="79">
        <f t="shared" si="5"/>
        <v>0</v>
      </c>
      <c r="R37" s="79">
        <f t="shared" si="5"/>
        <v>12057089</v>
      </c>
      <c r="S37" s="79">
        <f t="shared" si="5"/>
        <v>53770581</v>
      </c>
    </row>
    <row r="38" spans="1:19">
      <c r="K38" s="73"/>
      <c r="L38" s="73"/>
      <c r="M38" s="73"/>
      <c r="N38" s="73"/>
      <c r="O38" s="73"/>
      <c r="P38" s="73"/>
      <c r="Q38" s="73"/>
      <c r="R38" s="73"/>
      <c r="S38" s="73"/>
    </row>
    <row r="39" spans="1:19">
      <c r="A39" s="7"/>
      <c r="B39" s="7"/>
      <c r="C39" s="7"/>
      <c r="D39" s="8"/>
      <c r="E39" s="8" t="s">
        <v>166</v>
      </c>
      <c r="F39" s="7"/>
      <c r="G39" s="7"/>
      <c r="H39" s="7"/>
      <c r="I39" s="7"/>
      <c r="J39" s="7"/>
      <c r="K39" s="81">
        <f t="shared" ref="K39:S39" si="6">SUM(K37+K27)</f>
        <v>4052669</v>
      </c>
      <c r="L39" s="81">
        <f t="shared" si="6"/>
        <v>8384770</v>
      </c>
      <c r="M39" s="81">
        <f t="shared" si="6"/>
        <v>6769891</v>
      </c>
      <c r="N39" s="81">
        <f t="shared" si="6"/>
        <v>5959299</v>
      </c>
      <c r="O39" s="81">
        <f t="shared" si="6"/>
        <v>5804574</v>
      </c>
      <c r="P39" s="81">
        <f t="shared" si="6"/>
        <v>13876993</v>
      </c>
      <c r="Q39" s="81">
        <f t="shared" si="6"/>
        <v>228677</v>
      </c>
      <c r="R39" s="81">
        <f t="shared" si="6"/>
        <v>13418520</v>
      </c>
      <c r="S39" s="81">
        <f t="shared" si="6"/>
        <v>58495393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U33"/>
  <sheetViews>
    <sheetView zoomScale="82" zoomScaleNormal="82" workbookViewId="0">
      <selection activeCell="U34" sqref="U34"/>
    </sheetView>
  </sheetViews>
  <sheetFormatPr defaultColWidth="8.85546875" defaultRowHeight="15"/>
  <cols>
    <col min="10" max="10" width="20.42578125" customWidth="1"/>
    <col min="11" max="12" width="17.42578125" customWidth="1"/>
    <col min="13" max="13" width="18.28515625" customWidth="1"/>
    <col min="14" max="14" width="18" customWidth="1"/>
    <col min="15" max="15" width="17.7109375" customWidth="1"/>
    <col min="16" max="16" width="19" customWidth="1"/>
    <col min="17" max="17" width="20.42578125" customWidth="1"/>
    <col min="18" max="19" width="18" customWidth="1"/>
    <col min="20" max="20" width="16" customWidth="1"/>
    <col min="21" max="21" width="17" customWidth="1"/>
  </cols>
  <sheetData>
    <row r="1" spans="1:21" ht="18.75">
      <c r="D1" s="253" t="s">
        <v>397</v>
      </c>
      <c r="E1" s="253"/>
      <c r="F1" s="253"/>
      <c r="G1" s="253"/>
      <c r="H1" s="253"/>
      <c r="I1" s="253"/>
      <c r="J1" s="253"/>
      <c r="K1" s="253"/>
    </row>
    <row r="2" spans="1:21">
      <c r="D2" s="254" t="s">
        <v>1</v>
      </c>
      <c r="E2" s="254"/>
      <c r="F2" s="254"/>
      <c r="G2" s="254"/>
      <c r="H2" s="254"/>
      <c r="I2" s="254"/>
      <c r="J2" s="254"/>
      <c r="K2" s="254"/>
    </row>
    <row r="4" spans="1:21" ht="45">
      <c r="K4" s="1" t="s">
        <v>52</v>
      </c>
      <c r="L4" s="1" t="s">
        <v>335</v>
      </c>
      <c r="M4" s="1" t="s">
        <v>398</v>
      </c>
      <c r="N4" s="1" t="s">
        <v>399</v>
      </c>
      <c r="O4" s="1" t="s">
        <v>120</v>
      </c>
      <c r="P4" s="1" t="s">
        <v>400</v>
      </c>
      <c r="Q4" s="1" t="s">
        <v>401</v>
      </c>
      <c r="R4" s="1" t="s">
        <v>176</v>
      </c>
      <c r="S4" s="1" t="s">
        <v>402</v>
      </c>
      <c r="T4" s="1" t="s">
        <v>6</v>
      </c>
      <c r="U4" s="1" t="s">
        <v>7</v>
      </c>
    </row>
    <row r="5" spans="1:21">
      <c r="A5" s="86" t="s">
        <v>8</v>
      </c>
    </row>
    <row r="6" spans="1:21">
      <c r="B6" t="s">
        <v>85</v>
      </c>
      <c r="K6" s="72">
        <v>3957437</v>
      </c>
      <c r="L6" s="73">
        <v>1299609</v>
      </c>
      <c r="M6" s="73">
        <v>862543</v>
      </c>
      <c r="N6" s="73">
        <v>5296856</v>
      </c>
      <c r="O6" s="73">
        <v>4126561</v>
      </c>
      <c r="P6" s="73">
        <v>118618</v>
      </c>
      <c r="Q6" s="73">
        <v>94204</v>
      </c>
      <c r="R6" s="73">
        <v>4713101</v>
      </c>
      <c r="S6" s="73"/>
      <c r="T6" s="73">
        <v>9844351</v>
      </c>
      <c r="U6" s="73">
        <f>SUM(K6:T6)</f>
        <v>30313280</v>
      </c>
    </row>
    <row r="7" spans="1:21">
      <c r="B7" t="s">
        <v>403</v>
      </c>
      <c r="K7" s="74">
        <v>2338133</v>
      </c>
      <c r="L7" s="73">
        <v>2790879</v>
      </c>
      <c r="M7" s="73">
        <v>1654589</v>
      </c>
      <c r="N7" s="73">
        <v>335205</v>
      </c>
      <c r="O7" s="73">
        <v>273195</v>
      </c>
      <c r="P7" s="73">
        <v>384930</v>
      </c>
      <c r="Q7" s="73">
        <v>260213</v>
      </c>
      <c r="R7" s="73">
        <v>163069</v>
      </c>
      <c r="S7" s="73">
        <v>13703</v>
      </c>
      <c r="T7" s="73">
        <v>892940</v>
      </c>
      <c r="U7" s="73">
        <f t="shared" ref="U7:U11" si="0">SUM(K7:T7)</f>
        <v>9106856</v>
      </c>
    </row>
    <row r="8" spans="1:21">
      <c r="B8" t="s">
        <v>142</v>
      </c>
      <c r="K8" s="74">
        <v>1418</v>
      </c>
      <c r="L8" s="73"/>
      <c r="M8" s="73">
        <v>29</v>
      </c>
      <c r="N8" s="73">
        <v>3750</v>
      </c>
      <c r="O8" s="73">
        <v>25</v>
      </c>
      <c r="P8" s="73"/>
      <c r="Q8" s="73"/>
      <c r="R8" s="73"/>
      <c r="S8" s="73"/>
      <c r="T8" s="73"/>
      <c r="U8" s="73">
        <f t="shared" si="0"/>
        <v>5222</v>
      </c>
    </row>
    <row r="9" spans="1:21">
      <c r="B9" t="s">
        <v>404</v>
      </c>
      <c r="K9" s="73"/>
      <c r="L9" s="73"/>
      <c r="M9" s="73"/>
      <c r="N9" s="73"/>
      <c r="O9" s="73"/>
      <c r="P9" s="73"/>
      <c r="Q9" s="73"/>
      <c r="R9" s="73"/>
      <c r="S9" s="73"/>
      <c r="T9" s="73"/>
      <c r="U9" s="73">
        <f t="shared" si="0"/>
        <v>0</v>
      </c>
    </row>
    <row r="10" spans="1:21">
      <c r="B10" t="s">
        <v>405</v>
      </c>
      <c r="K10" s="72">
        <v>100000</v>
      </c>
      <c r="L10" s="73"/>
      <c r="M10" s="73"/>
      <c r="N10" s="73"/>
      <c r="O10" s="73"/>
      <c r="P10" s="73"/>
      <c r="Q10" s="73"/>
      <c r="R10" s="73"/>
      <c r="S10" s="73"/>
      <c r="T10" s="73"/>
      <c r="U10" s="73">
        <f t="shared" si="0"/>
        <v>100000</v>
      </c>
    </row>
    <row r="11" spans="1:21">
      <c r="B11" t="s">
        <v>126</v>
      </c>
      <c r="K11" s="73"/>
      <c r="L11" s="73"/>
      <c r="M11" s="73"/>
      <c r="N11" s="73"/>
      <c r="O11" s="73"/>
      <c r="P11" s="73"/>
      <c r="Q11" s="73"/>
      <c r="R11" s="73"/>
      <c r="S11" s="73">
        <v>1217182</v>
      </c>
      <c r="T11" s="73">
        <v>704</v>
      </c>
      <c r="U11" s="73">
        <f t="shared" si="0"/>
        <v>1217886</v>
      </c>
    </row>
    <row r="12" spans="1:21"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</row>
    <row r="13" spans="1:21">
      <c r="A13" s="2"/>
      <c r="B13" s="2"/>
      <c r="C13" s="2"/>
      <c r="D13" s="2"/>
      <c r="E13" s="2" t="s">
        <v>18</v>
      </c>
      <c r="F13" s="3"/>
      <c r="G13" s="3"/>
      <c r="H13" s="3"/>
      <c r="I13" s="3"/>
      <c r="J13" s="3"/>
      <c r="K13" s="76">
        <f>SUM(K6:K11)</f>
        <v>6396988</v>
      </c>
      <c r="L13" s="76">
        <f t="shared" ref="L13:U13" si="1">SUM(L6:L11)</f>
        <v>4090488</v>
      </c>
      <c r="M13" s="76">
        <f t="shared" si="1"/>
        <v>2517161</v>
      </c>
      <c r="N13" s="76">
        <f t="shared" si="1"/>
        <v>5635811</v>
      </c>
      <c r="O13" s="76">
        <f t="shared" si="1"/>
        <v>4399781</v>
      </c>
      <c r="P13" s="76">
        <f t="shared" si="1"/>
        <v>503548</v>
      </c>
      <c r="Q13" s="76">
        <f t="shared" si="1"/>
        <v>354417</v>
      </c>
      <c r="R13" s="76">
        <f t="shared" si="1"/>
        <v>4876170</v>
      </c>
      <c r="S13" s="76"/>
      <c r="T13" s="76">
        <f t="shared" si="1"/>
        <v>10737995</v>
      </c>
      <c r="U13" s="76">
        <f t="shared" si="1"/>
        <v>40743244</v>
      </c>
    </row>
    <row r="14" spans="1:21">
      <c r="K14" s="73"/>
      <c r="L14" s="73"/>
      <c r="M14" s="73"/>
      <c r="N14" s="73"/>
      <c r="O14" s="73"/>
      <c r="P14" s="73"/>
      <c r="Q14" s="73"/>
      <c r="R14" s="73"/>
      <c r="S14" s="73"/>
      <c r="T14" s="73"/>
      <c r="U14" s="73"/>
    </row>
    <row r="15" spans="1:21">
      <c r="A15" s="4" t="s">
        <v>183</v>
      </c>
      <c r="K15" s="73"/>
      <c r="L15" s="73"/>
      <c r="M15" s="73"/>
      <c r="N15" s="73"/>
      <c r="O15" s="73"/>
      <c r="P15" s="73"/>
      <c r="Q15" s="73"/>
      <c r="R15" s="73"/>
      <c r="S15" s="73"/>
      <c r="T15" s="73"/>
      <c r="U15" s="73"/>
    </row>
    <row r="16" spans="1:21">
      <c r="B16" t="s">
        <v>20</v>
      </c>
      <c r="K16" s="73"/>
      <c r="L16" s="73"/>
      <c r="M16" s="73"/>
      <c r="N16" s="73"/>
      <c r="O16" s="73"/>
      <c r="P16" s="73"/>
      <c r="Q16" s="73"/>
      <c r="R16" s="73"/>
      <c r="S16" s="73"/>
      <c r="T16" s="73"/>
      <c r="U16" s="73"/>
    </row>
    <row r="17" spans="1:21">
      <c r="C17" t="s">
        <v>21</v>
      </c>
      <c r="K17" s="77">
        <v>252394</v>
      </c>
      <c r="L17" s="73">
        <v>10985</v>
      </c>
      <c r="M17" s="73">
        <v>111538</v>
      </c>
      <c r="N17" s="73">
        <v>78428</v>
      </c>
      <c r="O17" s="73">
        <v>259986</v>
      </c>
      <c r="P17" s="73"/>
      <c r="Q17" s="73">
        <v>229923</v>
      </c>
      <c r="R17" s="73">
        <v>1007678</v>
      </c>
      <c r="S17" s="73">
        <v>1217182</v>
      </c>
      <c r="T17" s="73">
        <v>258839</v>
      </c>
      <c r="U17" s="73">
        <f>SUM(K17:T17)</f>
        <v>3426953</v>
      </c>
    </row>
    <row r="18" spans="1:21">
      <c r="C18" t="s">
        <v>25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  <c r="U18" s="73">
        <f t="shared" ref="U18" si="2">SUM(K18:T18)</f>
        <v>0</v>
      </c>
    </row>
    <row r="19" spans="1:21">
      <c r="C19" t="s">
        <v>406</v>
      </c>
      <c r="K19" s="77">
        <v>385986</v>
      </c>
      <c r="L19" s="73">
        <v>150006</v>
      </c>
      <c r="M19" s="73">
        <v>95529</v>
      </c>
      <c r="N19" s="73">
        <v>46600</v>
      </c>
      <c r="O19" s="73">
        <v>8019</v>
      </c>
      <c r="P19" s="73">
        <v>2312</v>
      </c>
      <c r="Q19" s="73">
        <v>25640</v>
      </c>
      <c r="R19" s="73">
        <v>45496</v>
      </c>
      <c r="S19" s="73">
        <v>13703</v>
      </c>
      <c r="T19" s="73">
        <v>112669</v>
      </c>
      <c r="U19" s="73">
        <f>SUM(K19:T19)</f>
        <v>885960</v>
      </c>
    </row>
    <row r="20" spans="1:21">
      <c r="M20" s="73"/>
      <c r="N20" s="73"/>
      <c r="O20" s="73"/>
      <c r="P20" s="73"/>
      <c r="Q20" s="73"/>
      <c r="R20" s="73"/>
      <c r="S20" s="73"/>
      <c r="T20" s="73"/>
      <c r="U20" s="73"/>
    </row>
    <row r="21" spans="1:21">
      <c r="A21" s="5"/>
      <c r="B21" s="6"/>
      <c r="C21" s="6"/>
      <c r="D21" s="6"/>
      <c r="E21" s="6" t="s">
        <v>26</v>
      </c>
      <c r="F21" s="5"/>
      <c r="G21" s="5"/>
      <c r="H21" s="5"/>
      <c r="I21" s="5"/>
      <c r="J21" s="5"/>
      <c r="K21" s="79">
        <f t="shared" ref="K21:T21" si="3">SUM(K17:K19)</f>
        <v>638380</v>
      </c>
      <c r="L21" s="79">
        <f t="shared" si="3"/>
        <v>160991</v>
      </c>
      <c r="M21" s="79">
        <f t="shared" si="3"/>
        <v>207067</v>
      </c>
      <c r="N21" s="79">
        <f t="shared" si="3"/>
        <v>125028</v>
      </c>
      <c r="O21" s="79">
        <f t="shared" si="3"/>
        <v>268005</v>
      </c>
      <c r="P21" s="79">
        <f t="shared" si="3"/>
        <v>2312</v>
      </c>
      <c r="Q21" s="79">
        <f t="shared" si="3"/>
        <v>255563</v>
      </c>
      <c r="R21" s="79">
        <f t="shared" si="3"/>
        <v>1053174</v>
      </c>
      <c r="S21" s="79">
        <f t="shared" si="3"/>
        <v>1230885</v>
      </c>
      <c r="T21" s="79">
        <f t="shared" si="3"/>
        <v>371508</v>
      </c>
      <c r="U21" s="79">
        <f>SUM(K21:T21)</f>
        <v>4312913</v>
      </c>
    </row>
    <row r="22" spans="1:21">
      <c r="A22" s="101"/>
      <c r="B22" s="186"/>
      <c r="C22" s="186"/>
      <c r="D22" s="186"/>
      <c r="E22" s="186"/>
      <c r="F22" s="101"/>
      <c r="G22" s="101"/>
      <c r="H22" s="101"/>
      <c r="I22" s="101"/>
      <c r="J22" s="101"/>
      <c r="K22" s="159"/>
      <c r="L22" s="159"/>
      <c r="M22" s="159"/>
      <c r="N22" s="159"/>
      <c r="O22" s="159"/>
      <c r="P22" s="159"/>
      <c r="Q22" s="159"/>
      <c r="R22" s="159"/>
      <c r="S22" s="159"/>
      <c r="T22" s="159"/>
      <c r="U22" s="159"/>
    </row>
    <row r="23" spans="1:21"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</row>
    <row r="24" spans="1:21">
      <c r="A24" s="86" t="s">
        <v>30</v>
      </c>
      <c r="K24" s="73"/>
      <c r="L24" s="73"/>
      <c r="M24" s="73"/>
      <c r="N24" s="73"/>
      <c r="O24" s="73"/>
      <c r="P24" s="73"/>
      <c r="Q24" s="73"/>
      <c r="R24" s="73"/>
      <c r="S24" s="73"/>
      <c r="T24" s="73"/>
      <c r="U24" s="73"/>
    </row>
    <row r="25" spans="1:21">
      <c r="C25" t="s">
        <v>407</v>
      </c>
      <c r="K25" s="129">
        <v>1418</v>
      </c>
      <c r="L25" s="73"/>
      <c r="M25" s="73">
        <v>29</v>
      </c>
      <c r="N25" s="73">
        <v>3750</v>
      </c>
      <c r="O25" s="73">
        <v>25</v>
      </c>
      <c r="P25" s="73"/>
      <c r="Q25" s="73"/>
      <c r="R25" s="73"/>
      <c r="S25" s="73"/>
      <c r="T25" s="73">
        <v>704</v>
      </c>
      <c r="U25" s="73">
        <f t="shared" ref="U25:U29" si="4">SUM(K25:T25)</f>
        <v>5926</v>
      </c>
    </row>
    <row r="26" spans="1:21">
      <c r="C26" t="s">
        <v>129</v>
      </c>
      <c r="K26" s="129">
        <v>125809</v>
      </c>
      <c r="L26" s="73">
        <v>3929497</v>
      </c>
      <c r="M26" s="73">
        <v>2310065</v>
      </c>
      <c r="N26" s="73">
        <v>5507033</v>
      </c>
      <c r="O26" s="73">
        <v>4131751</v>
      </c>
      <c r="P26" s="73">
        <v>501236</v>
      </c>
      <c r="Q26" s="73">
        <v>98854</v>
      </c>
      <c r="R26" s="73">
        <v>3822996</v>
      </c>
      <c r="S26" s="73"/>
      <c r="T26" s="73">
        <v>7806040</v>
      </c>
      <c r="U26" s="73">
        <f t="shared" si="4"/>
        <v>28233281</v>
      </c>
    </row>
    <row r="27" spans="1:21">
      <c r="C27" t="s">
        <v>331</v>
      </c>
      <c r="K27" s="73"/>
      <c r="L27" s="73"/>
      <c r="M27" s="73"/>
      <c r="N27" s="73"/>
      <c r="O27" s="73"/>
      <c r="P27" s="73"/>
      <c r="Q27" s="73"/>
      <c r="R27" s="73"/>
      <c r="S27" s="73"/>
      <c r="T27" s="73">
        <v>2559743</v>
      </c>
      <c r="U27" s="73">
        <f t="shared" si="4"/>
        <v>2559743</v>
      </c>
    </row>
    <row r="28" spans="1:21">
      <c r="C28" t="s">
        <v>408</v>
      </c>
      <c r="K28" s="73"/>
      <c r="L28" s="73"/>
      <c r="M28" s="73"/>
      <c r="N28" s="73"/>
      <c r="O28" s="73"/>
      <c r="P28" s="73"/>
      <c r="Q28" s="73"/>
      <c r="R28" s="73"/>
      <c r="S28" s="73"/>
      <c r="T28" s="73"/>
      <c r="U28" s="73">
        <f t="shared" si="4"/>
        <v>0</v>
      </c>
    </row>
    <row r="29" spans="1:21">
      <c r="C29" t="s">
        <v>77</v>
      </c>
      <c r="K29" s="84">
        <v>5631381</v>
      </c>
      <c r="L29" s="73"/>
      <c r="M29" s="73"/>
      <c r="N29" s="73"/>
      <c r="O29" s="73"/>
      <c r="P29" s="73"/>
      <c r="Q29" s="73"/>
      <c r="R29" s="73"/>
      <c r="S29" s="73"/>
      <c r="T29" s="73"/>
      <c r="U29" s="73">
        <f t="shared" si="4"/>
        <v>5631381</v>
      </c>
    </row>
    <row r="30" spans="1:21">
      <c r="L30" s="73"/>
      <c r="M30" s="73"/>
      <c r="N30" s="73"/>
      <c r="O30" s="73"/>
      <c r="P30" s="73"/>
      <c r="Q30" s="73"/>
      <c r="R30" s="73"/>
      <c r="S30" s="73"/>
      <c r="T30" s="73"/>
      <c r="U30" s="73"/>
    </row>
    <row r="31" spans="1:21">
      <c r="A31" s="5"/>
      <c r="B31" s="5"/>
      <c r="C31" s="5"/>
      <c r="D31" s="6"/>
      <c r="E31" s="6" t="s">
        <v>78</v>
      </c>
      <c r="F31" s="5"/>
      <c r="G31" s="5"/>
      <c r="H31" s="5"/>
      <c r="I31" s="5"/>
      <c r="J31" s="5"/>
      <c r="K31" s="79">
        <f t="shared" ref="K31:T31" si="5">SUM(K25:K29)</f>
        <v>5758608</v>
      </c>
      <c r="L31" s="79">
        <f t="shared" si="5"/>
        <v>3929497</v>
      </c>
      <c r="M31" s="79">
        <f t="shared" si="5"/>
        <v>2310094</v>
      </c>
      <c r="N31" s="79">
        <f t="shared" si="5"/>
        <v>5510783</v>
      </c>
      <c r="O31" s="79">
        <f t="shared" si="5"/>
        <v>4131776</v>
      </c>
      <c r="P31" s="79">
        <f t="shared" si="5"/>
        <v>501236</v>
      </c>
      <c r="Q31" s="79">
        <f t="shared" si="5"/>
        <v>98854</v>
      </c>
      <c r="R31" s="79">
        <f t="shared" si="5"/>
        <v>3822996</v>
      </c>
      <c r="S31" s="79"/>
      <c r="T31" s="79">
        <f t="shared" si="5"/>
        <v>10366487</v>
      </c>
      <c r="U31" s="79">
        <f>SUM(U25:U29)</f>
        <v>36430331</v>
      </c>
    </row>
    <row r="32" spans="1:21">
      <c r="K32" s="73"/>
      <c r="L32" s="73"/>
      <c r="M32" s="73"/>
      <c r="N32" s="73"/>
      <c r="O32" s="73"/>
      <c r="P32" s="73"/>
      <c r="Q32" s="73"/>
      <c r="R32" s="73"/>
      <c r="S32" s="73"/>
      <c r="T32" s="73"/>
      <c r="U32" s="73"/>
    </row>
    <row r="33" spans="1:21">
      <c r="A33" s="7"/>
      <c r="B33" s="7"/>
      <c r="C33" s="7"/>
      <c r="D33" s="8"/>
      <c r="E33" s="8" t="s">
        <v>166</v>
      </c>
      <c r="F33" s="7"/>
      <c r="G33" s="7"/>
      <c r="H33" s="7"/>
      <c r="I33" s="7"/>
      <c r="J33" s="7"/>
      <c r="K33" s="81">
        <f t="shared" ref="K33:T33" si="6">SUM(K31+K21)</f>
        <v>6396988</v>
      </c>
      <c r="L33" s="81">
        <f t="shared" si="6"/>
        <v>4090488</v>
      </c>
      <c r="M33" s="81">
        <f t="shared" si="6"/>
        <v>2517161</v>
      </c>
      <c r="N33" s="81">
        <f t="shared" si="6"/>
        <v>5635811</v>
      </c>
      <c r="O33" s="81">
        <f t="shared" si="6"/>
        <v>4399781</v>
      </c>
      <c r="P33" s="81">
        <f t="shared" si="6"/>
        <v>503548</v>
      </c>
      <c r="Q33" s="81">
        <f t="shared" si="6"/>
        <v>354417</v>
      </c>
      <c r="R33" s="81">
        <f t="shared" si="6"/>
        <v>4876170</v>
      </c>
      <c r="S33" s="81"/>
      <c r="T33" s="81">
        <f t="shared" si="6"/>
        <v>10737995</v>
      </c>
      <c r="U33" s="81">
        <f>SUM(U31+U21)</f>
        <v>40743244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Q32"/>
  <sheetViews>
    <sheetView zoomScale="91" zoomScaleNormal="91" workbookViewId="0">
      <selection activeCell="P28" sqref="P28"/>
    </sheetView>
  </sheetViews>
  <sheetFormatPr defaultColWidth="8.85546875" defaultRowHeight="15"/>
  <cols>
    <col min="11" max="11" width="17.140625" customWidth="1"/>
    <col min="12" max="12" width="17.85546875" customWidth="1"/>
    <col min="13" max="13" width="18" customWidth="1"/>
    <col min="14" max="15" width="17.42578125" customWidth="1"/>
    <col min="16" max="16" width="17" customWidth="1"/>
    <col min="17" max="17" width="16.7109375" customWidth="1"/>
  </cols>
  <sheetData>
    <row r="1" spans="1:17" ht="18.75">
      <c r="D1" s="253" t="s">
        <v>409</v>
      </c>
      <c r="E1" s="253"/>
      <c r="F1" s="253"/>
      <c r="G1" s="253"/>
      <c r="H1" s="253"/>
      <c r="I1" s="253"/>
      <c r="J1" s="253"/>
      <c r="K1" s="253"/>
    </row>
    <row r="2" spans="1:17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7" ht="30">
      <c r="K4" s="1" t="s">
        <v>52</v>
      </c>
      <c r="L4" s="1" t="s">
        <v>293</v>
      </c>
      <c r="M4" s="1" t="s">
        <v>120</v>
      </c>
      <c r="N4" s="1" t="s">
        <v>136</v>
      </c>
      <c r="O4" s="1" t="s">
        <v>410</v>
      </c>
      <c r="P4" s="1" t="s">
        <v>336</v>
      </c>
      <c r="Q4" s="1" t="s">
        <v>170</v>
      </c>
    </row>
    <row r="5" spans="1:17">
      <c r="A5" t="s">
        <v>8</v>
      </c>
    </row>
    <row r="6" spans="1:17">
      <c r="B6" t="s">
        <v>215</v>
      </c>
      <c r="K6" s="72">
        <v>2421598</v>
      </c>
      <c r="L6" s="73">
        <v>2551690</v>
      </c>
      <c r="M6" s="73">
        <v>869733</v>
      </c>
      <c r="N6" s="73">
        <v>920009</v>
      </c>
      <c r="O6" s="73">
        <v>1858288</v>
      </c>
      <c r="P6" s="73">
        <v>2094230</v>
      </c>
      <c r="Q6" s="73">
        <f>SUM(K6:P6)</f>
        <v>10715548</v>
      </c>
    </row>
    <row r="7" spans="1:17">
      <c r="B7" t="s">
        <v>60</v>
      </c>
      <c r="K7" s="74">
        <v>1328287</v>
      </c>
      <c r="L7" s="73">
        <v>1148265</v>
      </c>
      <c r="M7" s="73">
        <v>348376</v>
      </c>
      <c r="N7" s="73">
        <v>1562072</v>
      </c>
      <c r="O7" s="73">
        <v>1006606</v>
      </c>
      <c r="P7" s="73">
        <v>315162</v>
      </c>
      <c r="Q7" s="73">
        <f>SUM(K7:P7)</f>
        <v>5708768</v>
      </c>
    </row>
    <row r="8" spans="1:17">
      <c r="B8" t="s">
        <v>411</v>
      </c>
      <c r="K8" s="83">
        <v>3206</v>
      </c>
      <c r="L8" s="73"/>
      <c r="M8" s="73"/>
      <c r="N8" s="73">
        <v>40313</v>
      </c>
      <c r="O8" s="73"/>
      <c r="P8" s="73"/>
      <c r="Q8" s="73">
        <f>SUM(K8:P8)</f>
        <v>43519</v>
      </c>
    </row>
    <row r="9" spans="1:17">
      <c r="K9" s="93"/>
      <c r="L9" s="93"/>
      <c r="M9" s="93"/>
      <c r="N9" s="93"/>
      <c r="O9" s="93"/>
      <c r="P9" s="93"/>
      <c r="Q9" s="93"/>
    </row>
    <row r="10" spans="1:17">
      <c r="A10" s="2"/>
      <c r="B10" s="2"/>
      <c r="C10" s="2"/>
      <c r="D10" s="2"/>
      <c r="E10" s="2" t="s">
        <v>18</v>
      </c>
      <c r="F10" s="3"/>
      <c r="G10" s="3"/>
      <c r="H10" s="3"/>
      <c r="I10" s="3"/>
      <c r="J10" s="3"/>
      <c r="K10" s="76">
        <f t="shared" ref="K10:Q10" si="0">SUM(K6:K8)</f>
        <v>3753091</v>
      </c>
      <c r="L10" s="76">
        <f t="shared" si="0"/>
        <v>3699955</v>
      </c>
      <c r="M10" s="76">
        <f t="shared" si="0"/>
        <v>1218109</v>
      </c>
      <c r="N10" s="76">
        <f t="shared" si="0"/>
        <v>2522394</v>
      </c>
      <c r="O10" s="76">
        <f t="shared" si="0"/>
        <v>2864894</v>
      </c>
      <c r="P10" s="76">
        <f t="shared" si="0"/>
        <v>2409392</v>
      </c>
      <c r="Q10" s="76">
        <f t="shared" si="0"/>
        <v>16467835</v>
      </c>
    </row>
    <row r="11" spans="1:17">
      <c r="K11" s="73"/>
      <c r="L11" s="73"/>
      <c r="M11" s="73"/>
      <c r="N11" s="73"/>
      <c r="O11" s="73"/>
      <c r="P11" s="73"/>
      <c r="Q11" s="73"/>
    </row>
    <row r="12" spans="1:17">
      <c r="A12" s="4" t="s">
        <v>19</v>
      </c>
      <c r="K12" s="73"/>
      <c r="L12" s="73"/>
      <c r="M12" s="73"/>
      <c r="N12" s="73"/>
      <c r="O12" s="73"/>
      <c r="P12" s="73"/>
      <c r="Q12" s="73"/>
    </row>
    <row r="13" spans="1:17">
      <c r="B13" t="s">
        <v>20</v>
      </c>
      <c r="K13" s="73"/>
      <c r="L13" s="73"/>
      <c r="M13" s="73"/>
      <c r="N13" s="73"/>
      <c r="O13" s="73"/>
      <c r="P13" s="73"/>
      <c r="Q13" s="73"/>
    </row>
    <row r="14" spans="1:17">
      <c r="C14" t="s">
        <v>276</v>
      </c>
      <c r="K14" s="77">
        <v>116865</v>
      </c>
      <c r="L14" s="73">
        <v>287957</v>
      </c>
      <c r="M14" s="73">
        <v>59872</v>
      </c>
      <c r="N14" s="73">
        <v>12805</v>
      </c>
      <c r="O14" s="73">
        <v>9636</v>
      </c>
      <c r="P14" s="73">
        <v>4566</v>
      </c>
      <c r="Q14" s="73">
        <f>SUM(K14:P14)</f>
        <v>491701</v>
      </c>
    </row>
    <row r="15" spans="1:17">
      <c r="C15" t="s">
        <v>412</v>
      </c>
      <c r="K15" s="82">
        <v>4635</v>
      </c>
      <c r="L15" s="73">
        <v>20686</v>
      </c>
      <c r="M15" s="73"/>
      <c r="N15" s="73"/>
      <c r="O15" s="73"/>
      <c r="P15" s="73"/>
      <c r="Q15" s="73">
        <f>SUM(K15:P15)</f>
        <v>25321</v>
      </c>
    </row>
    <row r="16" spans="1:17">
      <c r="K16" s="94"/>
      <c r="L16" s="97"/>
      <c r="M16" s="94"/>
      <c r="N16" s="94"/>
      <c r="O16" s="94"/>
      <c r="P16" s="94"/>
      <c r="Q16" s="97"/>
    </row>
    <row r="17" spans="1:17">
      <c r="A17" s="5"/>
      <c r="B17" s="6"/>
      <c r="C17" s="6"/>
      <c r="D17" s="6"/>
      <c r="E17" s="6" t="s">
        <v>26</v>
      </c>
      <c r="F17" s="5"/>
      <c r="G17" s="5"/>
      <c r="H17" s="5"/>
      <c r="I17" s="5"/>
      <c r="J17" s="5"/>
      <c r="K17" s="79">
        <f t="shared" ref="K17:Q17" si="1">SUM(K14:K15)</f>
        <v>121500</v>
      </c>
      <c r="L17" s="79">
        <f t="shared" si="1"/>
        <v>308643</v>
      </c>
      <c r="M17" s="79">
        <f t="shared" si="1"/>
        <v>59872</v>
      </c>
      <c r="N17" s="79">
        <f t="shared" si="1"/>
        <v>12805</v>
      </c>
      <c r="O17" s="79">
        <f t="shared" si="1"/>
        <v>9636</v>
      </c>
      <c r="P17" s="79">
        <f t="shared" si="1"/>
        <v>4566</v>
      </c>
      <c r="Q17" s="79">
        <f t="shared" si="1"/>
        <v>517022</v>
      </c>
    </row>
    <row r="18" spans="1:17">
      <c r="K18" s="73"/>
      <c r="L18" s="73"/>
      <c r="M18" s="73"/>
      <c r="N18" s="73"/>
      <c r="O18" s="73"/>
      <c r="P18" s="73"/>
      <c r="Q18" s="73"/>
    </row>
    <row r="19" spans="1:17">
      <c r="A19" s="71" t="s">
        <v>27</v>
      </c>
      <c r="K19" s="73"/>
      <c r="L19" s="73"/>
      <c r="M19" s="73"/>
      <c r="N19" s="73"/>
      <c r="O19" s="73"/>
      <c r="P19" s="73"/>
      <c r="Q19" s="73"/>
    </row>
    <row r="20" spans="1:17">
      <c r="C20" t="s">
        <v>413</v>
      </c>
      <c r="K20" s="85">
        <v>59927</v>
      </c>
      <c r="L20" s="85">
        <v>64400</v>
      </c>
      <c r="M20" s="85"/>
      <c r="N20" s="85">
        <v>55971</v>
      </c>
      <c r="O20" s="85">
        <v>92187</v>
      </c>
      <c r="P20" s="85">
        <v>9877</v>
      </c>
      <c r="Q20" s="85">
        <f>SUM(K20:P20)</f>
        <v>282362</v>
      </c>
    </row>
    <row r="21" spans="1:17">
      <c r="K21" s="73"/>
      <c r="L21" s="73"/>
      <c r="M21" s="73"/>
      <c r="N21" s="73"/>
      <c r="O21" s="73"/>
      <c r="P21" s="73"/>
      <c r="Q21" s="73"/>
    </row>
    <row r="22" spans="1:17">
      <c r="A22" s="5"/>
      <c r="B22" s="6"/>
      <c r="C22" s="6"/>
      <c r="D22" s="6"/>
      <c r="E22" s="6" t="s">
        <v>29</v>
      </c>
      <c r="F22" s="5"/>
      <c r="G22" s="5"/>
      <c r="H22" s="5"/>
      <c r="I22" s="5"/>
      <c r="J22" s="5"/>
      <c r="K22" s="79">
        <f>SUM(K20:K20)</f>
        <v>59927</v>
      </c>
      <c r="L22" s="79">
        <f>SUM(L20:L20)</f>
        <v>64400</v>
      </c>
      <c r="M22" s="79">
        <f>SUM(M20:M20)</f>
        <v>0</v>
      </c>
      <c r="N22" s="79">
        <f>SUM(N20:N20)</f>
        <v>55971</v>
      </c>
      <c r="O22" s="79">
        <f>SUM(O20:O20)</f>
        <v>92187</v>
      </c>
      <c r="P22" s="79">
        <f t="shared" ref="P22" si="2">SUM(P20:P20)</f>
        <v>9877</v>
      </c>
      <c r="Q22" s="79">
        <f>SUM(Q20:Q20)</f>
        <v>282362</v>
      </c>
    </row>
    <row r="23" spans="1:17">
      <c r="K23" s="73"/>
      <c r="L23" s="73"/>
      <c r="M23" s="73"/>
      <c r="N23" s="73"/>
      <c r="O23" s="73"/>
      <c r="P23" s="73"/>
      <c r="Q23" s="73"/>
    </row>
    <row r="24" spans="1:17">
      <c r="B24" t="s">
        <v>30</v>
      </c>
      <c r="K24" s="73"/>
      <c r="L24" s="73"/>
      <c r="M24" s="73"/>
      <c r="N24" s="73"/>
      <c r="O24" s="73"/>
      <c r="P24" s="73"/>
      <c r="Q24" s="73"/>
    </row>
    <row r="25" spans="1:17">
      <c r="C25" t="s">
        <v>414</v>
      </c>
      <c r="K25" s="129">
        <v>3206</v>
      </c>
      <c r="L25" s="73"/>
      <c r="M25" s="73"/>
      <c r="N25" s="73">
        <v>40313</v>
      </c>
      <c r="O25" s="73"/>
      <c r="P25" s="73"/>
      <c r="Q25" s="73">
        <f>SUM(K25:P25)</f>
        <v>43519</v>
      </c>
    </row>
    <row r="26" spans="1:17">
      <c r="C26" t="s">
        <v>244</v>
      </c>
      <c r="K26" s="91">
        <v>50577</v>
      </c>
      <c r="L26" s="73">
        <v>3326912</v>
      </c>
      <c r="M26" s="73">
        <v>1158237</v>
      </c>
      <c r="N26" s="73">
        <v>2413305</v>
      </c>
      <c r="O26" s="73">
        <v>2763071</v>
      </c>
      <c r="P26" s="73">
        <v>2371144</v>
      </c>
      <c r="Q26" s="73">
        <f>SUM(K26:P26)</f>
        <v>12083246</v>
      </c>
    </row>
    <row r="27" spans="1:17">
      <c r="C27" t="s">
        <v>331</v>
      </c>
      <c r="K27" s="129">
        <v>772941</v>
      </c>
      <c r="L27" s="73"/>
      <c r="M27" s="73"/>
      <c r="N27" s="73"/>
      <c r="O27" s="73"/>
      <c r="P27" s="73">
        <v>23805</v>
      </c>
      <c r="Q27" s="73">
        <f>SUM(K27:P27)</f>
        <v>796746</v>
      </c>
    </row>
    <row r="28" spans="1:17">
      <c r="C28" t="s">
        <v>48</v>
      </c>
      <c r="K28" s="84">
        <v>2744940</v>
      </c>
      <c r="L28" s="73"/>
      <c r="M28" s="73"/>
      <c r="N28" s="73"/>
      <c r="O28" s="73"/>
      <c r="P28" s="73"/>
      <c r="Q28" s="73">
        <f>SUM(K28:P28)</f>
        <v>2744940</v>
      </c>
    </row>
    <row r="29" spans="1:17">
      <c r="K29" s="93"/>
      <c r="L29" s="93"/>
      <c r="M29" s="93"/>
      <c r="N29" s="93"/>
      <c r="O29" s="93"/>
      <c r="P29" s="93"/>
      <c r="Q29" s="93"/>
    </row>
    <row r="30" spans="1:17">
      <c r="A30" s="5"/>
      <c r="B30" s="5"/>
      <c r="C30" s="5"/>
      <c r="D30" s="6"/>
      <c r="E30" s="6" t="s">
        <v>49</v>
      </c>
      <c r="F30" s="5"/>
      <c r="G30" s="5"/>
      <c r="H30" s="5"/>
      <c r="I30" s="5"/>
      <c r="J30" s="5"/>
      <c r="K30" s="79">
        <f t="shared" ref="K30:Q30" si="3">SUM(K25:K28)</f>
        <v>3571664</v>
      </c>
      <c r="L30" s="79">
        <f t="shared" si="3"/>
        <v>3326912</v>
      </c>
      <c r="M30" s="79">
        <f t="shared" si="3"/>
        <v>1158237</v>
      </c>
      <c r="N30" s="79">
        <f t="shared" si="3"/>
        <v>2453618</v>
      </c>
      <c r="O30" s="79">
        <f t="shared" si="3"/>
        <v>2763071</v>
      </c>
      <c r="P30" s="79">
        <f t="shared" si="3"/>
        <v>2394949</v>
      </c>
      <c r="Q30" s="79">
        <f t="shared" si="3"/>
        <v>15668451</v>
      </c>
    </row>
    <row r="31" spans="1:17">
      <c r="K31" s="73"/>
      <c r="L31" s="73"/>
      <c r="M31" s="73"/>
      <c r="N31" s="73"/>
      <c r="O31" s="73"/>
      <c r="P31" s="73"/>
      <c r="Q31" s="73"/>
    </row>
    <row r="32" spans="1:17">
      <c r="A32" s="7"/>
      <c r="B32" s="7"/>
      <c r="C32" s="7"/>
      <c r="D32" s="8"/>
      <c r="E32" s="8" t="s">
        <v>50</v>
      </c>
      <c r="F32" s="7"/>
      <c r="G32" s="7"/>
      <c r="H32" s="7"/>
      <c r="I32" s="7"/>
      <c r="J32" s="7"/>
      <c r="K32" s="81">
        <f t="shared" ref="K32:O32" si="4">SUM(K30,K17,K22)</f>
        <v>3753091</v>
      </c>
      <c r="L32" s="81">
        <f t="shared" si="4"/>
        <v>3699955</v>
      </c>
      <c r="M32" s="81">
        <f t="shared" si="4"/>
        <v>1218109</v>
      </c>
      <c r="N32" s="81">
        <f t="shared" si="4"/>
        <v>2522394</v>
      </c>
      <c r="O32" s="81">
        <f t="shared" si="4"/>
        <v>2864894</v>
      </c>
      <c r="P32" s="81">
        <f>SUM(P30,P17,P22)</f>
        <v>2409392</v>
      </c>
      <c r="Q32" s="81">
        <f>SUM(Q30,Q17,Q22)</f>
        <v>16467835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R41"/>
  <sheetViews>
    <sheetView topLeftCell="A4" zoomScaleNormal="100" workbookViewId="0">
      <selection activeCell="K36" sqref="K36"/>
    </sheetView>
  </sheetViews>
  <sheetFormatPr defaultColWidth="8.85546875" defaultRowHeight="15"/>
  <cols>
    <col min="3" max="3" width="3.140625" customWidth="1"/>
    <col min="11" max="11" width="18.42578125" customWidth="1"/>
    <col min="12" max="12" width="18.28515625" customWidth="1"/>
    <col min="13" max="15" width="17.42578125" customWidth="1"/>
    <col min="16" max="16" width="18" customWidth="1"/>
    <col min="17" max="17" width="17.42578125" customWidth="1"/>
    <col min="18" max="18" width="18.42578125" customWidth="1"/>
  </cols>
  <sheetData>
    <row r="1" spans="1:18" ht="18.75">
      <c r="D1" s="253" t="s">
        <v>415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8" ht="45">
      <c r="K4" s="1" t="s">
        <v>2</v>
      </c>
      <c r="L4" s="1" t="s">
        <v>416</v>
      </c>
      <c r="M4" s="1" t="s">
        <v>417</v>
      </c>
      <c r="N4" s="1" t="s">
        <v>418</v>
      </c>
      <c r="O4" s="1" t="s">
        <v>419</v>
      </c>
      <c r="P4" s="1" t="s">
        <v>420</v>
      </c>
      <c r="Q4" s="1" t="s">
        <v>6</v>
      </c>
      <c r="R4" s="1" t="s">
        <v>7</v>
      </c>
    </row>
    <row r="5" spans="1:18">
      <c r="A5" t="s">
        <v>8</v>
      </c>
    </row>
    <row r="6" spans="1:18">
      <c r="B6" t="s">
        <v>215</v>
      </c>
      <c r="K6" s="72">
        <v>6210691</v>
      </c>
      <c r="L6" s="73">
        <v>6191050</v>
      </c>
      <c r="M6" s="73">
        <v>3006</v>
      </c>
      <c r="N6" s="73">
        <v>10634</v>
      </c>
      <c r="O6" s="73">
        <v>2988298</v>
      </c>
      <c r="P6" s="73"/>
      <c r="Q6" s="73">
        <v>6891569</v>
      </c>
      <c r="R6" s="73">
        <f>SUM(K6:Q6)</f>
        <v>22295248</v>
      </c>
    </row>
    <row r="7" spans="1:18">
      <c r="B7" t="s">
        <v>10</v>
      </c>
      <c r="K7" s="77">
        <v>679905</v>
      </c>
      <c r="L7" s="73"/>
      <c r="M7" s="73"/>
      <c r="N7" s="73"/>
      <c r="O7" s="73"/>
      <c r="P7" s="73"/>
      <c r="Q7" s="73">
        <v>1438858</v>
      </c>
      <c r="R7" s="73">
        <f>SUM(K7:Q7)</f>
        <v>2118763</v>
      </c>
    </row>
    <row r="8" spans="1:18">
      <c r="B8" t="s">
        <v>60</v>
      </c>
      <c r="K8" s="74">
        <v>444599</v>
      </c>
      <c r="L8" s="73">
        <v>437930</v>
      </c>
      <c r="M8" s="73">
        <v>121325</v>
      </c>
      <c r="N8" s="73"/>
      <c r="O8" s="73">
        <v>375652</v>
      </c>
      <c r="P8" s="73"/>
      <c r="Q8" s="73">
        <v>195478</v>
      </c>
      <c r="R8" s="73">
        <f>SUM(K8:Q8)</f>
        <v>1574984</v>
      </c>
    </row>
    <row r="9" spans="1:18">
      <c r="B9" t="s">
        <v>297</v>
      </c>
      <c r="K9" s="75">
        <v>361806</v>
      </c>
      <c r="L9" s="73"/>
      <c r="M9" s="73"/>
      <c r="N9" s="73"/>
      <c r="O9" s="73"/>
      <c r="P9" s="73"/>
      <c r="Q9" s="73">
        <v>1321</v>
      </c>
      <c r="R9" s="73">
        <f t="shared" ref="R9:R10" si="0">SUM(K9:Q9)</f>
        <v>363127</v>
      </c>
    </row>
    <row r="10" spans="1:18">
      <c r="B10" t="s">
        <v>421</v>
      </c>
      <c r="K10" s="73"/>
      <c r="L10" s="73">
        <v>1552823</v>
      </c>
      <c r="M10" s="73"/>
      <c r="N10" s="73"/>
      <c r="O10" s="73"/>
      <c r="P10" s="73">
        <v>1097263</v>
      </c>
      <c r="Q10" s="73">
        <v>28367</v>
      </c>
      <c r="R10" s="73">
        <f t="shared" si="0"/>
        <v>2678453</v>
      </c>
    </row>
    <row r="11" spans="1:18">
      <c r="K11" s="93"/>
      <c r="L11" s="93"/>
      <c r="M11" s="93"/>
      <c r="N11" s="93"/>
      <c r="O11" s="93"/>
      <c r="P11" s="93"/>
      <c r="Q11" s="93"/>
      <c r="R11" s="93"/>
    </row>
    <row r="12" spans="1:18">
      <c r="A12" s="2"/>
      <c r="B12" s="2"/>
      <c r="C12" s="2"/>
      <c r="D12" s="2"/>
      <c r="E12" s="2" t="s">
        <v>18</v>
      </c>
      <c r="F12" s="3"/>
      <c r="G12" s="3"/>
      <c r="H12" s="3"/>
      <c r="I12" s="3"/>
      <c r="J12" s="3"/>
      <c r="K12" s="76">
        <f>SUM(K6:K10)</f>
        <v>7697001</v>
      </c>
      <c r="L12" s="76">
        <f>SUM(L6:L10)</f>
        <v>8181803</v>
      </c>
      <c r="M12" s="76">
        <f>SUM(M6:M10)</f>
        <v>124331</v>
      </c>
      <c r="N12" s="76">
        <f>SUM(N6:N10)</f>
        <v>10634</v>
      </c>
      <c r="O12" s="76"/>
      <c r="P12" s="76">
        <f t="shared" ref="P12:Q12" si="1">SUM(P6:P10)</f>
        <v>1097263</v>
      </c>
      <c r="Q12" s="76">
        <f t="shared" si="1"/>
        <v>8555593</v>
      </c>
      <c r="R12" s="76">
        <f>SUM(R6:R10)</f>
        <v>29030575</v>
      </c>
    </row>
    <row r="13" spans="1:18">
      <c r="K13" s="73"/>
      <c r="L13" s="73"/>
      <c r="M13" s="73"/>
      <c r="N13" s="73"/>
      <c r="O13" s="73"/>
      <c r="P13" s="73"/>
      <c r="Q13" s="73"/>
      <c r="R13" s="73"/>
    </row>
    <row r="14" spans="1:18">
      <c r="A14" s="4" t="s">
        <v>19</v>
      </c>
      <c r="K14" s="73"/>
      <c r="L14" s="73"/>
      <c r="M14" s="73"/>
      <c r="N14" s="73"/>
      <c r="O14" s="73"/>
      <c r="P14" s="73"/>
      <c r="Q14" s="73"/>
      <c r="R14" s="73"/>
    </row>
    <row r="15" spans="1:18">
      <c r="B15" t="s">
        <v>20</v>
      </c>
      <c r="K15" s="73"/>
      <c r="L15" s="73"/>
      <c r="M15" s="73"/>
      <c r="N15" s="73"/>
      <c r="O15" s="73"/>
      <c r="P15" s="73"/>
      <c r="Q15" s="73"/>
      <c r="R15" s="73"/>
    </row>
    <row r="16" spans="1:18">
      <c r="C16" t="s">
        <v>144</v>
      </c>
      <c r="K16" s="77">
        <v>185582</v>
      </c>
      <c r="L16" s="73">
        <v>69814</v>
      </c>
      <c r="M16" s="73">
        <v>151438</v>
      </c>
      <c r="N16" s="73">
        <v>153</v>
      </c>
      <c r="O16" s="73"/>
      <c r="P16" s="73"/>
      <c r="Q16" s="73">
        <v>420540</v>
      </c>
      <c r="R16" s="73">
        <f>SUM(K16:Q16)</f>
        <v>827527</v>
      </c>
    </row>
    <row r="17" spans="1:18">
      <c r="C17" t="s">
        <v>95</v>
      </c>
      <c r="K17" s="73"/>
      <c r="L17" s="73"/>
      <c r="M17" s="73"/>
      <c r="N17" s="73"/>
      <c r="O17" s="73"/>
      <c r="P17" s="73"/>
      <c r="Q17" s="73">
        <v>43790</v>
      </c>
      <c r="R17" s="73">
        <f t="shared" ref="R17" si="2">SUM(K17:Q17)</f>
        <v>43790</v>
      </c>
    </row>
    <row r="18" spans="1:18">
      <c r="C18" t="s">
        <v>422</v>
      </c>
      <c r="K18" s="82">
        <v>567800</v>
      </c>
      <c r="L18" s="73"/>
      <c r="M18" s="73"/>
      <c r="N18" s="73"/>
      <c r="O18" s="73"/>
      <c r="P18" s="73"/>
      <c r="Q18" s="73"/>
      <c r="R18" s="73">
        <f>SUM(K18:Q18)</f>
        <v>567800</v>
      </c>
    </row>
    <row r="19" spans="1:18">
      <c r="C19" t="s">
        <v>25</v>
      </c>
      <c r="Q19">
        <v>363127</v>
      </c>
      <c r="R19" s="73">
        <f t="shared" ref="R19" si="3">SUM(K19:Q19)</f>
        <v>363127</v>
      </c>
    </row>
    <row r="20" spans="1:18">
      <c r="K20" s="94"/>
      <c r="L20" s="94"/>
      <c r="M20" s="94"/>
      <c r="N20" s="94"/>
      <c r="O20" s="94"/>
      <c r="P20" s="94"/>
      <c r="Q20" s="94"/>
      <c r="R20" s="93"/>
    </row>
    <row r="21" spans="1:18">
      <c r="A21" s="5"/>
      <c r="B21" s="6"/>
      <c r="C21" s="6"/>
      <c r="D21" s="6"/>
      <c r="E21" s="6" t="s">
        <v>26</v>
      </c>
      <c r="F21" s="5"/>
      <c r="G21" s="5"/>
      <c r="H21" s="5"/>
      <c r="I21" s="5"/>
      <c r="J21" s="5"/>
      <c r="K21" s="79">
        <f>SUM(K16:K19)</f>
        <v>753382</v>
      </c>
      <c r="L21" s="79">
        <f>SUM(L16:L19)</f>
        <v>69814</v>
      </c>
      <c r="M21" s="79">
        <f>SUM(M16:M19)</f>
        <v>151438</v>
      </c>
      <c r="N21" s="79">
        <f>SUM(N16:N19)</f>
        <v>153</v>
      </c>
      <c r="O21" s="79"/>
      <c r="P21" s="79">
        <f>SUM(P16:P19)</f>
        <v>0</v>
      </c>
      <c r="Q21" s="79">
        <f>SUM(Q16:Q19)</f>
        <v>827457</v>
      </c>
      <c r="R21" s="79">
        <f>SUM(R16:R19)</f>
        <v>1802244</v>
      </c>
    </row>
    <row r="22" spans="1:18">
      <c r="K22" s="73"/>
      <c r="L22" s="73"/>
      <c r="M22" s="73"/>
      <c r="N22" s="73"/>
      <c r="O22" s="73"/>
      <c r="P22" s="73"/>
      <c r="Q22" s="73"/>
      <c r="R22" s="73"/>
    </row>
    <row r="23" spans="1:18">
      <c r="A23" s="71" t="s">
        <v>27</v>
      </c>
      <c r="K23" s="73"/>
      <c r="L23" s="73"/>
      <c r="M23" s="73"/>
      <c r="N23" s="73"/>
      <c r="O23" s="73"/>
      <c r="P23" s="73"/>
      <c r="Q23" s="73"/>
      <c r="R23" s="73"/>
    </row>
    <row r="24" spans="1:18">
      <c r="C24" t="s">
        <v>172</v>
      </c>
      <c r="K24" s="85">
        <v>50755</v>
      </c>
      <c r="L24" s="85"/>
      <c r="M24" s="85"/>
      <c r="N24" s="85"/>
      <c r="O24" s="85"/>
      <c r="P24" s="85"/>
      <c r="Q24" s="85">
        <v>126909</v>
      </c>
      <c r="R24" s="85">
        <f>SUM(K24:Q24)</f>
        <v>177664</v>
      </c>
    </row>
    <row r="25" spans="1:18">
      <c r="K25" s="73"/>
      <c r="L25" s="73"/>
      <c r="M25" s="73"/>
      <c r="N25" s="73"/>
      <c r="O25" s="73"/>
      <c r="P25" s="73"/>
      <c r="Q25" s="73"/>
      <c r="R25" s="73"/>
    </row>
    <row r="26" spans="1:18">
      <c r="A26" s="5"/>
      <c r="B26" s="6"/>
      <c r="C26" s="6"/>
      <c r="D26" s="6"/>
      <c r="E26" s="6" t="s">
        <v>29</v>
      </c>
      <c r="F26" s="5"/>
      <c r="G26" s="5"/>
      <c r="H26" s="5"/>
      <c r="I26" s="5"/>
      <c r="J26" s="5"/>
      <c r="K26" s="79">
        <f>SUM(K24:K24)</f>
        <v>50755</v>
      </c>
      <c r="L26" s="79">
        <f>SUM(L24:L24)</f>
        <v>0</v>
      </c>
      <c r="M26" s="79">
        <f>SUM(M24:M24)</f>
        <v>0</v>
      </c>
      <c r="N26" s="79">
        <f>SUM(N24:N24)</f>
        <v>0</v>
      </c>
      <c r="O26" s="79"/>
      <c r="P26" s="79">
        <f t="shared" ref="P26:Q26" si="4">SUM(P24:P24)</f>
        <v>0</v>
      </c>
      <c r="Q26" s="79">
        <f t="shared" si="4"/>
        <v>126909</v>
      </c>
      <c r="R26" s="79">
        <f>SUM(R24:R24)</f>
        <v>177664</v>
      </c>
    </row>
    <row r="27" spans="1:18">
      <c r="K27" s="73"/>
      <c r="L27" s="73"/>
      <c r="M27" s="73"/>
      <c r="N27" s="73"/>
      <c r="O27" s="73"/>
      <c r="P27" s="73"/>
      <c r="Q27" s="73"/>
      <c r="R27" s="73"/>
    </row>
    <row r="28" spans="1:18">
      <c r="B28" t="s">
        <v>30</v>
      </c>
      <c r="K28" s="73"/>
      <c r="L28" s="73"/>
      <c r="M28" s="73"/>
      <c r="N28" s="73"/>
      <c r="O28" s="73"/>
      <c r="P28" s="73"/>
      <c r="Q28" s="73"/>
      <c r="R28" s="73"/>
    </row>
    <row r="29" spans="1:18">
      <c r="C29" t="s">
        <v>69</v>
      </c>
      <c r="K29" s="73"/>
      <c r="L29" s="73"/>
      <c r="M29" s="73"/>
      <c r="N29" s="73"/>
      <c r="O29" s="73"/>
      <c r="P29" s="73"/>
      <c r="Q29" s="73"/>
      <c r="R29" s="73"/>
    </row>
    <row r="30" spans="1:18">
      <c r="D30" t="s">
        <v>165</v>
      </c>
      <c r="K30" s="73"/>
      <c r="L30" s="73"/>
      <c r="M30" s="73"/>
      <c r="N30" s="73"/>
      <c r="O30" s="73">
        <v>3363950</v>
      </c>
      <c r="P30" s="73"/>
      <c r="Q30" s="73">
        <v>3988540</v>
      </c>
      <c r="R30" s="73">
        <f t="shared" ref="R30:R37" si="5">SUM(K30:Q30)</f>
        <v>7352490</v>
      </c>
    </row>
    <row r="31" spans="1:18">
      <c r="D31" t="s">
        <v>72</v>
      </c>
      <c r="K31" s="73"/>
      <c r="L31" s="73">
        <v>6559166</v>
      </c>
      <c r="M31" s="73"/>
      <c r="N31" s="73"/>
      <c r="O31" s="73"/>
      <c r="P31" s="73"/>
      <c r="Q31" s="73">
        <v>2218118</v>
      </c>
      <c r="R31" s="73">
        <f t="shared" si="5"/>
        <v>8777284</v>
      </c>
    </row>
    <row r="32" spans="1:18">
      <c r="D32" t="s">
        <v>147</v>
      </c>
      <c r="K32" s="73"/>
      <c r="L32" s="73"/>
      <c r="M32" s="73"/>
      <c r="N32" s="73">
        <v>10481</v>
      </c>
      <c r="O32" s="73"/>
      <c r="P32" s="73"/>
      <c r="Q32" s="73">
        <v>396963</v>
      </c>
      <c r="R32" s="73">
        <f t="shared" si="5"/>
        <v>407444</v>
      </c>
    </row>
    <row r="33" spans="1:18">
      <c r="D33" t="s">
        <v>74</v>
      </c>
      <c r="K33" s="73"/>
      <c r="L33" s="73">
        <v>1552823</v>
      </c>
      <c r="M33" s="73"/>
      <c r="N33" s="73"/>
      <c r="O33" s="73"/>
      <c r="P33" s="73">
        <v>1097263</v>
      </c>
      <c r="Q33" s="73">
        <v>25414</v>
      </c>
      <c r="R33" s="73">
        <f t="shared" si="5"/>
        <v>2675500</v>
      </c>
    </row>
    <row r="34" spans="1:18">
      <c r="D34" t="s">
        <v>71</v>
      </c>
      <c r="K34" s="73"/>
      <c r="L34" s="73"/>
      <c r="M34" s="73"/>
      <c r="N34" s="73"/>
      <c r="O34" s="73"/>
      <c r="P34" s="73"/>
      <c r="Q34" s="73">
        <v>1503341</v>
      </c>
      <c r="R34" s="73">
        <f t="shared" si="5"/>
        <v>1503341</v>
      </c>
    </row>
    <row r="35" spans="1:18">
      <c r="C35" t="s">
        <v>43</v>
      </c>
      <c r="K35" s="73"/>
      <c r="L35" s="73"/>
      <c r="M35" s="73"/>
      <c r="N35" s="73"/>
      <c r="O35" s="73"/>
      <c r="P35" s="73"/>
      <c r="Q35" s="73"/>
    </row>
    <row r="36" spans="1:18">
      <c r="D36" t="s">
        <v>423</v>
      </c>
      <c r="K36" s="91">
        <v>538003</v>
      </c>
      <c r="L36" s="73"/>
      <c r="M36" s="73"/>
      <c r="N36" s="73"/>
      <c r="O36" s="73"/>
      <c r="P36" s="73"/>
      <c r="Q36" s="73"/>
      <c r="R36" s="73">
        <f t="shared" si="5"/>
        <v>538003</v>
      </c>
    </row>
    <row r="37" spans="1:18">
      <c r="C37" t="s">
        <v>48</v>
      </c>
      <c r="K37" s="84">
        <v>6354861</v>
      </c>
      <c r="L37" s="73"/>
      <c r="M37" s="73">
        <v>-27107</v>
      </c>
      <c r="N37" s="73"/>
      <c r="O37" s="73"/>
      <c r="P37" s="73"/>
      <c r="Q37" s="73">
        <v>-531149</v>
      </c>
      <c r="R37" s="73">
        <f t="shared" si="5"/>
        <v>5796605</v>
      </c>
    </row>
    <row r="38" spans="1:18">
      <c r="K38" s="93"/>
      <c r="L38" s="93"/>
      <c r="M38" s="93"/>
      <c r="N38" s="93"/>
      <c r="O38" s="93"/>
      <c r="P38" s="93"/>
      <c r="Q38" s="93"/>
      <c r="R38" s="93"/>
    </row>
    <row r="39" spans="1:18">
      <c r="A39" s="5"/>
      <c r="B39" s="5"/>
      <c r="C39" s="5"/>
      <c r="D39" s="6"/>
      <c r="E39" s="6" t="s">
        <v>49</v>
      </c>
      <c r="F39" s="5"/>
      <c r="G39" s="5"/>
      <c r="H39" s="5"/>
      <c r="I39" s="5"/>
      <c r="J39" s="5"/>
      <c r="K39" s="79">
        <f t="shared" ref="K39:R39" si="6">SUM(K29:K37)</f>
        <v>6892864</v>
      </c>
      <c r="L39" s="79">
        <f t="shared" si="6"/>
        <v>8111989</v>
      </c>
      <c r="M39" s="79">
        <f t="shared" si="6"/>
        <v>-27107</v>
      </c>
      <c r="N39" s="79">
        <f t="shared" si="6"/>
        <v>10481</v>
      </c>
      <c r="O39" s="79"/>
      <c r="P39" s="79">
        <f t="shared" si="6"/>
        <v>1097263</v>
      </c>
      <c r="Q39" s="79">
        <f t="shared" si="6"/>
        <v>7601227</v>
      </c>
      <c r="R39" s="79">
        <f t="shared" si="6"/>
        <v>27050667</v>
      </c>
    </row>
    <row r="40" spans="1:18">
      <c r="K40" s="73"/>
      <c r="L40" s="73"/>
      <c r="M40" s="73"/>
      <c r="N40" s="73"/>
      <c r="O40" s="73"/>
      <c r="P40" s="73"/>
      <c r="Q40" s="73"/>
      <c r="R40" s="73"/>
    </row>
    <row r="41" spans="1:18">
      <c r="A41" s="7"/>
      <c r="B41" s="7"/>
      <c r="C41" s="7"/>
      <c r="D41" s="8"/>
      <c r="E41" s="8" t="s">
        <v>50</v>
      </c>
      <c r="F41" s="7"/>
      <c r="G41" s="7"/>
      <c r="H41" s="7"/>
      <c r="I41" s="7"/>
      <c r="J41" s="7"/>
      <c r="K41" s="81">
        <f t="shared" ref="K41:R41" si="7">SUM(K39,K21,K26)</f>
        <v>7697001</v>
      </c>
      <c r="L41" s="81">
        <f t="shared" si="7"/>
        <v>8181803</v>
      </c>
      <c r="M41" s="81">
        <f t="shared" si="7"/>
        <v>124331</v>
      </c>
      <c r="N41" s="81">
        <f t="shared" si="7"/>
        <v>10634</v>
      </c>
      <c r="O41" s="81"/>
      <c r="P41" s="81">
        <f t="shared" si="7"/>
        <v>1097263</v>
      </c>
      <c r="Q41" s="81">
        <f t="shared" si="7"/>
        <v>8555593</v>
      </c>
      <c r="R41" s="81">
        <f t="shared" si="7"/>
        <v>29030575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R44"/>
  <sheetViews>
    <sheetView topLeftCell="A10" zoomScale="81" zoomScaleNormal="81" zoomScalePageLayoutView="80" workbookViewId="0">
      <selection activeCell="M25" sqref="M25"/>
    </sheetView>
  </sheetViews>
  <sheetFormatPr defaultColWidth="8.85546875" defaultRowHeight="15"/>
  <cols>
    <col min="5" max="5" width="21.42578125" customWidth="1"/>
    <col min="11" max="11" width="17.28515625" customWidth="1"/>
    <col min="12" max="12" width="18.42578125" customWidth="1"/>
    <col min="13" max="13" width="17.28515625" customWidth="1"/>
    <col min="14" max="14" width="17.85546875" customWidth="1"/>
    <col min="15" max="15" width="18.85546875" customWidth="1"/>
    <col min="16" max="16" width="19.85546875" customWidth="1"/>
    <col min="17" max="17" width="19.42578125" customWidth="1"/>
    <col min="18" max="18" width="17.85546875" customWidth="1"/>
  </cols>
  <sheetData>
    <row r="1" spans="1:18" ht="18.75">
      <c r="D1" s="253" t="s">
        <v>415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Q4" s="57"/>
    </row>
    <row r="5" spans="1:18" ht="45">
      <c r="K5" s="1" t="s">
        <v>2</v>
      </c>
      <c r="L5" s="1" t="s">
        <v>424</v>
      </c>
      <c r="M5" s="1" t="s">
        <v>425</v>
      </c>
      <c r="N5" s="1" t="s">
        <v>136</v>
      </c>
      <c r="O5" s="1" t="s">
        <v>426</v>
      </c>
      <c r="P5" s="1" t="s">
        <v>427</v>
      </c>
      <c r="Q5" s="1" t="s">
        <v>6</v>
      </c>
      <c r="R5" s="1" t="s">
        <v>7</v>
      </c>
    </row>
    <row r="6" spans="1:18">
      <c r="A6" t="s">
        <v>8</v>
      </c>
    </row>
    <row r="7" spans="1:18">
      <c r="B7" t="s">
        <v>85</v>
      </c>
      <c r="K7" s="72">
        <v>12</v>
      </c>
      <c r="L7" s="73"/>
      <c r="M7" s="73"/>
      <c r="N7" s="73"/>
      <c r="O7" s="73">
        <v>690</v>
      </c>
      <c r="P7" s="73"/>
      <c r="Q7" s="73">
        <v>4492</v>
      </c>
      <c r="R7" s="73">
        <f t="shared" ref="R7:R16" si="0">SUM(K7:Q7)</f>
        <v>5194</v>
      </c>
    </row>
    <row r="8" spans="1:18">
      <c r="B8" t="s">
        <v>10</v>
      </c>
      <c r="K8" s="73"/>
      <c r="L8" s="73"/>
      <c r="M8" s="73"/>
      <c r="N8" s="73"/>
      <c r="O8" s="73">
        <v>18758</v>
      </c>
      <c r="P8" s="73">
        <v>15768</v>
      </c>
      <c r="Q8" s="73">
        <v>6707</v>
      </c>
      <c r="R8" s="73">
        <f t="shared" si="0"/>
        <v>41233</v>
      </c>
    </row>
    <row r="9" spans="1:18">
      <c r="B9" t="s">
        <v>428</v>
      </c>
      <c r="K9" s="82">
        <v>17952</v>
      </c>
      <c r="L9" s="73">
        <v>2935</v>
      </c>
      <c r="M9" s="73">
        <v>16128</v>
      </c>
      <c r="N9" s="73">
        <v>32781</v>
      </c>
      <c r="O9" s="73">
        <v>116907</v>
      </c>
      <c r="P9" s="73">
        <v>81578</v>
      </c>
      <c r="Q9" s="73">
        <v>257650</v>
      </c>
      <c r="R9" s="73">
        <f t="shared" si="0"/>
        <v>525931</v>
      </c>
    </row>
    <row r="10" spans="1:18">
      <c r="B10" t="s">
        <v>429</v>
      </c>
      <c r="K10" s="73"/>
      <c r="L10" s="73"/>
      <c r="M10" s="73"/>
      <c r="N10" s="73"/>
      <c r="O10" s="73"/>
      <c r="P10" s="73"/>
      <c r="Q10" s="73"/>
      <c r="R10" s="73">
        <f t="shared" si="0"/>
        <v>0</v>
      </c>
    </row>
    <row r="11" spans="1:18">
      <c r="C11" t="s">
        <v>430</v>
      </c>
      <c r="K11" s="73"/>
      <c r="L11" s="73"/>
      <c r="M11" s="73"/>
      <c r="N11" s="73"/>
      <c r="O11" s="73">
        <v>89</v>
      </c>
      <c r="P11" s="73">
        <v>25</v>
      </c>
      <c r="Q11" s="73">
        <v>12</v>
      </c>
      <c r="R11" s="73">
        <f t="shared" si="0"/>
        <v>126</v>
      </c>
    </row>
    <row r="12" spans="1:18">
      <c r="C12" t="s">
        <v>431</v>
      </c>
      <c r="K12" s="74">
        <v>4169</v>
      </c>
      <c r="L12" s="73"/>
      <c r="M12" s="73">
        <v>38929</v>
      </c>
      <c r="N12" s="73">
        <v>21167</v>
      </c>
      <c r="O12" s="73">
        <v>15966</v>
      </c>
      <c r="P12" s="73"/>
      <c r="Q12" s="73">
        <v>120272</v>
      </c>
      <c r="R12" s="73">
        <f t="shared" si="0"/>
        <v>200503</v>
      </c>
    </row>
    <row r="13" spans="1:18">
      <c r="C13" t="s">
        <v>432</v>
      </c>
      <c r="K13" s="74">
        <v>1033</v>
      </c>
      <c r="L13" s="73">
        <v>1</v>
      </c>
      <c r="M13" s="73">
        <v>1</v>
      </c>
      <c r="N13" s="73"/>
      <c r="O13" s="73"/>
      <c r="P13" s="73"/>
      <c r="Q13" s="73">
        <v>4653</v>
      </c>
      <c r="R13" s="73">
        <f t="shared" si="0"/>
        <v>5688</v>
      </c>
    </row>
    <row r="14" spans="1:18">
      <c r="C14" t="s">
        <v>433</v>
      </c>
      <c r="K14" s="74">
        <v>16860</v>
      </c>
      <c r="L14" s="73">
        <v>15101</v>
      </c>
      <c r="M14" s="73">
        <v>35</v>
      </c>
      <c r="N14" s="73">
        <v>37</v>
      </c>
      <c r="O14" s="73">
        <v>4941</v>
      </c>
      <c r="P14" s="73">
        <v>341</v>
      </c>
      <c r="Q14" s="73">
        <v>24690</v>
      </c>
      <c r="R14" s="73">
        <f t="shared" si="0"/>
        <v>62005</v>
      </c>
    </row>
    <row r="15" spans="1:18">
      <c r="B15" t="s">
        <v>434</v>
      </c>
      <c r="J15" s="102"/>
      <c r="K15" s="95"/>
      <c r="L15" s="73"/>
      <c r="M15" s="73"/>
      <c r="N15" s="73"/>
      <c r="O15" s="73"/>
      <c r="P15" s="73"/>
      <c r="Q15" s="73">
        <v>2089</v>
      </c>
      <c r="R15" s="73">
        <f t="shared" si="0"/>
        <v>2089</v>
      </c>
    </row>
    <row r="16" spans="1:18">
      <c r="B16" t="s">
        <v>435</v>
      </c>
      <c r="J16" s="102"/>
      <c r="K16" s="217">
        <v>856</v>
      </c>
      <c r="L16" s="73"/>
      <c r="M16" s="73"/>
      <c r="N16" s="73"/>
      <c r="O16" s="73"/>
      <c r="P16" s="73"/>
      <c r="Q16" s="73"/>
      <c r="R16" s="73">
        <f t="shared" si="0"/>
        <v>856</v>
      </c>
    </row>
    <row r="17" spans="1:18">
      <c r="J17" s="102"/>
      <c r="K17" s="102"/>
      <c r="L17" s="73"/>
      <c r="M17" s="73"/>
      <c r="N17" s="73"/>
      <c r="O17" s="73"/>
      <c r="P17" s="73"/>
      <c r="Q17" s="73"/>
      <c r="R17" s="73"/>
    </row>
    <row r="18" spans="1:18">
      <c r="A18" s="2"/>
      <c r="B18" s="2"/>
      <c r="C18" s="2"/>
      <c r="D18" s="2"/>
      <c r="E18" s="2" t="s">
        <v>64</v>
      </c>
      <c r="F18" s="3"/>
      <c r="G18" s="3"/>
      <c r="H18" s="3"/>
      <c r="I18" s="3"/>
      <c r="J18" s="3"/>
      <c r="K18" s="76">
        <f>SUM(K7:K16)</f>
        <v>40882</v>
      </c>
      <c r="L18" s="76">
        <f>SUM(L7:L16)</f>
        <v>18037</v>
      </c>
      <c r="M18" s="76">
        <f>SUM(M7:M16)</f>
        <v>55093</v>
      </c>
      <c r="N18" s="76">
        <f>SUM(N7:N16)</f>
        <v>53985</v>
      </c>
      <c r="O18" s="76">
        <f t="shared" ref="O18:P18" si="1">SUM(O7:O16)</f>
        <v>157351</v>
      </c>
      <c r="P18" s="76">
        <f t="shared" si="1"/>
        <v>97712</v>
      </c>
      <c r="Q18" s="76">
        <f>SUM(Q7:Q16)</f>
        <v>420565</v>
      </c>
      <c r="R18" s="76">
        <f>SUM(R7:R16)</f>
        <v>843625</v>
      </c>
    </row>
    <row r="19" spans="1:18">
      <c r="K19" s="73"/>
      <c r="L19" s="73"/>
      <c r="M19" s="73"/>
      <c r="N19" s="73"/>
      <c r="O19" s="73"/>
      <c r="P19" s="73"/>
      <c r="Q19" s="73"/>
      <c r="R19" s="73"/>
    </row>
    <row r="20" spans="1:18">
      <c r="A20" s="4" t="s">
        <v>183</v>
      </c>
      <c r="K20" s="73"/>
      <c r="L20" s="73"/>
      <c r="M20" s="73"/>
      <c r="N20" s="73"/>
      <c r="O20" s="73"/>
      <c r="P20" s="73"/>
      <c r="Q20" s="73"/>
      <c r="R20" s="73"/>
    </row>
    <row r="21" spans="1:18">
      <c r="B21" t="s">
        <v>20</v>
      </c>
      <c r="K21" s="73"/>
      <c r="L21" s="73"/>
      <c r="M21" s="73"/>
      <c r="N21" s="73"/>
      <c r="O21" s="73"/>
      <c r="P21" s="73"/>
      <c r="Q21" s="73"/>
      <c r="R21" s="73"/>
    </row>
    <row r="22" spans="1:18">
      <c r="C22" t="s">
        <v>324</v>
      </c>
      <c r="K22" s="77">
        <v>2257</v>
      </c>
      <c r="L22" s="73">
        <v>2426</v>
      </c>
      <c r="M22" s="73">
        <v>101</v>
      </c>
      <c r="N22" s="61">
        <v>185</v>
      </c>
      <c r="O22" s="61">
        <v>4424</v>
      </c>
      <c r="P22" s="61">
        <v>10914</v>
      </c>
      <c r="Q22" s="73">
        <v>11091</v>
      </c>
      <c r="R22" s="73">
        <f>SUM(K22:Q22)</f>
        <v>31398</v>
      </c>
    </row>
    <row r="23" spans="1:18">
      <c r="C23" t="s">
        <v>222</v>
      </c>
      <c r="K23" s="77">
        <v>25</v>
      </c>
      <c r="L23" s="73">
        <v>167</v>
      </c>
      <c r="M23" s="73"/>
      <c r="Q23" s="73">
        <v>1986</v>
      </c>
      <c r="R23" s="73">
        <f>SUM(K23:Q23)</f>
        <v>2178</v>
      </c>
    </row>
    <row r="24" spans="1:18">
      <c r="C24" t="s">
        <v>99</v>
      </c>
      <c r="K24" s="73"/>
      <c r="L24" s="73">
        <v>7899</v>
      </c>
      <c r="M24" s="73"/>
      <c r="Q24" s="73">
        <v>1072</v>
      </c>
      <c r="R24" s="73">
        <f t="shared" ref="R24:R26" si="2">SUM(K24:Q24)</f>
        <v>8971</v>
      </c>
    </row>
    <row r="25" spans="1:18">
      <c r="C25" t="s">
        <v>436</v>
      </c>
      <c r="K25" s="82">
        <v>72</v>
      </c>
      <c r="L25" s="73"/>
      <c r="M25" s="73"/>
      <c r="Q25" s="73"/>
      <c r="R25" s="73">
        <f t="shared" si="2"/>
        <v>72</v>
      </c>
    </row>
    <row r="26" spans="1:18">
      <c r="C26" t="s">
        <v>437</v>
      </c>
      <c r="K26" s="77">
        <v>6249</v>
      </c>
      <c r="L26" s="73"/>
      <c r="M26" s="73"/>
      <c r="Q26" s="73"/>
      <c r="R26" s="73">
        <f t="shared" si="2"/>
        <v>6249</v>
      </c>
    </row>
    <row r="27" spans="1:18">
      <c r="L27" s="73"/>
      <c r="M27" s="73"/>
      <c r="Q27" s="73"/>
      <c r="R27" s="73"/>
    </row>
    <row r="28" spans="1:18">
      <c r="A28" s="5"/>
      <c r="B28" s="6"/>
      <c r="C28" s="6"/>
      <c r="D28" s="6"/>
      <c r="E28" s="6" t="s">
        <v>26</v>
      </c>
      <c r="F28" s="5"/>
      <c r="G28" s="5"/>
      <c r="H28" s="5"/>
      <c r="I28" s="5"/>
      <c r="J28" s="5"/>
      <c r="K28" s="79">
        <f>SUM(K22:K26)</f>
        <v>8603</v>
      </c>
      <c r="L28" s="79">
        <f>SUM(L22:L26)</f>
        <v>10492</v>
      </c>
      <c r="M28" s="79">
        <f>SUM(M22:M26)</f>
        <v>101</v>
      </c>
      <c r="N28" s="79">
        <f>SUM(N22:N26)</f>
        <v>185</v>
      </c>
      <c r="O28" s="79">
        <f t="shared" ref="O28:P28" si="3">SUM(O22:O26)</f>
        <v>4424</v>
      </c>
      <c r="P28" s="79">
        <f t="shared" si="3"/>
        <v>10914</v>
      </c>
      <c r="Q28" s="79">
        <f>SUM(Q22:Q26)</f>
        <v>14149</v>
      </c>
      <c r="R28" s="79">
        <f>SUM(R22:R26)</f>
        <v>48868</v>
      </c>
    </row>
    <row r="29" spans="1:18">
      <c r="K29" s="73"/>
      <c r="L29" s="73"/>
      <c r="M29" s="73"/>
      <c r="N29" s="73"/>
      <c r="O29" s="73"/>
      <c r="P29" s="73"/>
      <c r="Q29" s="73"/>
      <c r="R29" s="73"/>
    </row>
    <row r="30" spans="1:18">
      <c r="A30" s="71" t="s">
        <v>65</v>
      </c>
      <c r="K30" s="73" t="s">
        <v>438</v>
      </c>
      <c r="L30" s="73"/>
      <c r="M30" s="73"/>
      <c r="N30" s="73"/>
      <c r="O30" s="73"/>
      <c r="P30" s="73"/>
      <c r="Q30" s="73"/>
      <c r="R30" s="73"/>
    </row>
    <row r="31" spans="1:18">
      <c r="B31" t="s">
        <v>328</v>
      </c>
      <c r="K31" s="73">
        <v>4180</v>
      </c>
      <c r="L31" s="73"/>
      <c r="M31" s="73">
        <v>39061</v>
      </c>
      <c r="N31" s="73">
        <v>21220</v>
      </c>
      <c r="O31" s="73">
        <v>16006</v>
      </c>
      <c r="P31" s="73"/>
      <c r="Q31" s="73">
        <v>122600</v>
      </c>
      <c r="R31" s="73">
        <f>SUM(K31:Q31)</f>
        <v>203067</v>
      </c>
    </row>
    <row r="32" spans="1:18">
      <c r="K32" s="73"/>
      <c r="L32" s="73"/>
      <c r="M32" s="73"/>
      <c r="N32" s="73"/>
      <c r="O32" s="73"/>
      <c r="P32" s="73"/>
      <c r="Q32" s="73"/>
      <c r="R32" s="73"/>
    </row>
    <row r="33" spans="1:18">
      <c r="A33" s="5"/>
      <c r="B33" s="6"/>
      <c r="C33" s="6"/>
      <c r="D33" s="6"/>
      <c r="E33" s="6" t="s">
        <v>29</v>
      </c>
      <c r="F33" s="5"/>
      <c r="G33" s="5"/>
      <c r="H33" s="5"/>
      <c r="I33" s="5"/>
      <c r="J33" s="5"/>
      <c r="K33" s="79">
        <f>SUM(K31:K31)</f>
        <v>4180</v>
      </c>
      <c r="L33" s="79">
        <f>SUM(L31:L31)</f>
        <v>0</v>
      </c>
      <c r="M33" s="79">
        <f>SUM(M31:M31)</f>
        <v>39061</v>
      </c>
      <c r="N33" s="79">
        <f>SUM(N31:N31)</f>
        <v>21220</v>
      </c>
      <c r="O33" s="79">
        <f t="shared" ref="O33:P33" si="4">SUM(O31:O31)</f>
        <v>16006</v>
      </c>
      <c r="P33" s="79">
        <f t="shared" si="4"/>
        <v>0</v>
      </c>
      <c r="Q33" s="79">
        <f>SUM(Q31:Q31)</f>
        <v>122600</v>
      </c>
      <c r="R33" s="79">
        <f>SUM(R31:R31)</f>
        <v>203067</v>
      </c>
    </row>
    <row r="34" spans="1:18">
      <c r="K34" s="73"/>
      <c r="L34" s="73"/>
      <c r="M34" s="73"/>
      <c r="N34" s="73"/>
      <c r="O34" s="73"/>
      <c r="P34" s="73"/>
      <c r="Q34" s="73"/>
      <c r="R34" s="73"/>
    </row>
    <row r="35" spans="1:18">
      <c r="B35" t="s">
        <v>30</v>
      </c>
      <c r="K35" s="73"/>
      <c r="L35" s="73"/>
      <c r="M35" s="73"/>
      <c r="N35" s="73"/>
      <c r="O35" s="73"/>
      <c r="P35" s="73"/>
      <c r="Q35" s="73"/>
      <c r="R35" s="73"/>
    </row>
    <row r="36" spans="1:18">
      <c r="C36" t="s">
        <v>145</v>
      </c>
      <c r="K36" s="73"/>
      <c r="L36" s="73"/>
      <c r="M36" s="73"/>
      <c r="N36" s="73"/>
      <c r="O36" s="73"/>
      <c r="P36" s="73"/>
      <c r="Q36" s="73">
        <v>2089</v>
      </c>
      <c r="R36" s="73">
        <f t="shared" ref="R36:R40" si="5">SUM(K36:Q36)</f>
        <v>2089</v>
      </c>
    </row>
    <row r="37" spans="1:18">
      <c r="C37" t="s">
        <v>129</v>
      </c>
      <c r="K37" s="80">
        <v>1683</v>
      </c>
      <c r="L37" s="73">
        <v>7545</v>
      </c>
      <c r="M37" s="73">
        <v>15931</v>
      </c>
      <c r="N37" s="73">
        <v>32580</v>
      </c>
      <c r="O37" s="73">
        <v>136919</v>
      </c>
      <c r="P37" s="73">
        <v>86798</v>
      </c>
      <c r="Q37" s="73">
        <v>190521</v>
      </c>
      <c r="R37" s="73">
        <f t="shared" si="5"/>
        <v>471977</v>
      </c>
    </row>
    <row r="38" spans="1:18">
      <c r="C38" t="s">
        <v>331</v>
      </c>
      <c r="K38" s="80">
        <v>11460</v>
      </c>
      <c r="L38" s="73"/>
      <c r="M38" s="73"/>
      <c r="N38" s="73"/>
      <c r="O38" s="73"/>
      <c r="P38" s="73"/>
      <c r="Q38" s="73">
        <v>91206</v>
      </c>
      <c r="R38" s="73">
        <f t="shared" si="5"/>
        <v>102666</v>
      </c>
    </row>
    <row r="39" spans="1:18">
      <c r="C39" t="s">
        <v>130</v>
      </c>
      <c r="K39" s="73"/>
      <c r="L39" s="73"/>
      <c r="M39" s="73"/>
      <c r="N39" s="73"/>
      <c r="O39" s="73"/>
      <c r="P39" s="73"/>
      <c r="Q39" s="73"/>
      <c r="R39" s="73">
        <f t="shared" si="5"/>
        <v>0</v>
      </c>
    </row>
    <row r="40" spans="1:18">
      <c r="C40" t="s">
        <v>77</v>
      </c>
      <c r="K40" s="84">
        <v>14956</v>
      </c>
      <c r="L40" s="73"/>
      <c r="M40" s="73"/>
      <c r="N40" s="73"/>
      <c r="O40" s="73"/>
      <c r="P40" s="73"/>
      <c r="Q40" s="73"/>
      <c r="R40" s="73">
        <f t="shared" si="5"/>
        <v>14956</v>
      </c>
    </row>
    <row r="41" spans="1:18">
      <c r="K41" s="73"/>
      <c r="L41" s="73"/>
      <c r="M41" s="73"/>
      <c r="N41" s="73"/>
      <c r="O41" s="73"/>
      <c r="P41" s="73"/>
      <c r="Q41" s="73"/>
      <c r="R41" s="73"/>
    </row>
    <row r="42" spans="1:18">
      <c r="A42" s="5"/>
      <c r="B42" s="5"/>
      <c r="C42" s="5"/>
      <c r="D42" s="6"/>
      <c r="E42" s="6" t="s">
        <v>78</v>
      </c>
      <c r="F42" s="5"/>
      <c r="G42" s="5"/>
      <c r="H42" s="5"/>
      <c r="I42" s="5"/>
      <c r="J42" s="5"/>
      <c r="K42" s="79">
        <f t="shared" ref="K42:R42" si="6">SUM(K36:K40)</f>
        <v>28099</v>
      </c>
      <c r="L42" s="79">
        <f t="shared" si="6"/>
        <v>7545</v>
      </c>
      <c r="M42" s="79">
        <f t="shared" si="6"/>
        <v>15931</v>
      </c>
      <c r="N42" s="79">
        <f t="shared" si="6"/>
        <v>32580</v>
      </c>
      <c r="O42" s="79">
        <f t="shared" si="6"/>
        <v>136919</v>
      </c>
      <c r="P42" s="79">
        <f t="shared" si="6"/>
        <v>86798</v>
      </c>
      <c r="Q42" s="79">
        <f t="shared" si="6"/>
        <v>283816</v>
      </c>
      <c r="R42" s="79">
        <f t="shared" si="6"/>
        <v>591688</v>
      </c>
    </row>
    <row r="43" spans="1:18">
      <c r="K43" s="73"/>
      <c r="L43" s="73"/>
      <c r="M43" s="73"/>
      <c r="N43" s="73"/>
      <c r="O43" s="73"/>
      <c r="P43" s="73"/>
      <c r="Q43" s="73"/>
      <c r="R43" s="73"/>
    </row>
    <row r="44" spans="1:18">
      <c r="A44" s="7"/>
      <c r="B44" s="7"/>
      <c r="C44" s="7"/>
      <c r="D44" s="8"/>
      <c r="E44" s="8" t="s">
        <v>79</v>
      </c>
      <c r="F44" s="7"/>
      <c r="G44" s="7"/>
      <c r="H44" s="7"/>
      <c r="I44" s="7"/>
      <c r="J44" s="7"/>
      <c r="K44" s="81">
        <f>SUM(K28+K33+K42)</f>
        <v>40882</v>
      </c>
      <c r="L44" s="81">
        <f>SUM(L28+L33+L42)</f>
        <v>18037</v>
      </c>
      <c r="M44" s="81">
        <f>SUM(M28+M33+M42)</f>
        <v>55093</v>
      </c>
      <c r="N44" s="81">
        <f>SUM(N28+N33+N42)</f>
        <v>53985</v>
      </c>
      <c r="O44" s="81">
        <f t="shared" ref="O44:P44" si="7">SUM(O28+O33+O42)</f>
        <v>157349</v>
      </c>
      <c r="P44" s="81">
        <f t="shared" si="7"/>
        <v>97712</v>
      </c>
      <c r="Q44" s="81">
        <f>SUM(Q28+Q33+Q42)</f>
        <v>420565</v>
      </c>
      <c r="R44" s="81">
        <f>SUM(R28+R33+R42)</f>
        <v>843623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N53"/>
  <sheetViews>
    <sheetView zoomScale="80" zoomScaleNormal="80" workbookViewId="0">
      <selection activeCell="K20" sqref="K20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6.42578125" customWidth="1"/>
    <col min="13" max="13" width="19.42578125" customWidth="1"/>
    <col min="14" max="14" width="19.85546875" bestFit="1" customWidth="1"/>
  </cols>
  <sheetData>
    <row r="1" spans="1:14" ht="18.75">
      <c r="D1" s="253" t="s">
        <v>439</v>
      </c>
      <c r="E1" s="253"/>
      <c r="F1" s="253"/>
      <c r="G1" s="253"/>
      <c r="H1" s="253"/>
      <c r="I1" s="253"/>
      <c r="J1" s="253"/>
      <c r="K1" s="253"/>
    </row>
    <row r="2" spans="1:14">
      <c r="D2" s="254" t="s">
        <v>440</v>
      </c>
      <c r="E2" s="254"/>
      <c r="F2" s="254"/>
      <c r="G2" s="254"/>
      <c r="H2" s="254"/>
      <c r="I2" s="254"/>
      <c r="J2" s="254"/>
      <c r="K2" s="254"/>
    </row>
    <row r="4" spans="1:14" ht="45">
      <c r="K4" s="1" t="s">
        <v>132</v>
      </c>
      <c r="L4" s="1" t="s">
        <v>441</v>
      </c>
      <c r="M4" s="1" t="s">
        <v>6</v>
      </c>
      <c r="N4" s="1" t="s">
        <v>7</v>
      </c>
    </row>
    <row r="5" spans="1:14">
      <c r="A5" t="s">
        <v>8</v>
      </c>
    </row>
    <row r="6" spans="1:14">
      <c r="B6" t="s">
        <v>9</v>
      </c>
      <c r="K6" s="72">
        <v>2387209</v>
      </c>
      <c r="L6" s="73">
        <v>3111488</v>
      </c>
      <c r="M6" s="73">
        <v>12968007</v>
      </c>
      <c r="N6" s="73">
        <f t="shared" ref="N6:N17" si="0">SUM(K6:M6)</f>
        <v>18466704</v>
      </c>
    </row>
    <row r="7" spans="1:14">
      <c r="B7" t="s">
        <v>10</v>
      </c>
      <c r="K7" s="77">
        <v>36563839</v>
      </c>
      <c r="L7" s="73">
        <v>36839001</v>
      </c>
      <c r="M7" s="73">
        <v>182742506</v>
      </c>
      <c r="N7" s="73">
        <f t="shared" si="0"/>
        <v>256145346</v>
      </c>
    </row>
    <row r="8" spans="1:14">
      <c r="B8" t="s">
        <v>86</v>
      </c>
      <c r="K8" s="74">
        <v>1349629</v>
      </c>
      <c r="L8" s="73">
        <v>51544</v>
      </c>
      <c r="M8" s="73">
        <v>775499</v>
      </c>
      <c r="N8" s="73">
        <f t="shared" si="0"/>
        <v>2176672</v>
      </c>
    </row>
    <row r="9" spans="1:14">
      <c r="B9" t="s">
        <v>221</v>
      </c>
      <c r="K9" s="73"/>
      <c r="L9" s="73"/>
      <c r="M9" s="73">
        <v>2577503</v>
      </c>
      <c r="N9" s="73">
        <f t="shared" si="0"/>
        <v>2577503</v>
      </c>
    </row>
    <row r="10" spans="1:14">
      <c r="B10" t="s">
        <v>442</v>
      </c>
      <c r="K10" s="73"/>
      <c r="L10" s="73"/>
      <c r="M10" s="73">
        <v>-59979</v>
      </c>
      <c r="N10" s="73">
        <f t="shared" si="0"/>
        <v>-59979</v>
      </c>
    </row>
    <row r="11" spans="1:14">
      <c r="B11" t="s">
        <v>443</v>
      </c>
      <c r="K11" s="73"/>
      <c r="L11" s="73"/>
      <c r="M11" s="73">
        <v>143880</v>
      </c>
      <c r="N11" s="73">
        <f>SUM(K11:M11)</f>
        <v>143880</v>
      </c>
    </row>
    <row r="12" spans="1:14">
      <c r="B12" t="s">
        <v>444</v>
      </c>
      <c r="K12" s="74">
        <v>35254</v>
      </c>
      <c r="L12" s="73">
        <v>35464</v>
      </c>
      <c r="M12" s="73">
        <v>268870</v>
      </c>
      <c r="N12" s="73">
        <f t="shared" si="0"/>
        <v>339588</v>
      </c>
    </row>
    <row r="13" spans="1:14">
      <c r="B13" t="s">
        <v>16</v>
      </c>
      <c r="K13" s="75">
        <v>3191072</v>
      </c>
      <c r="L13" s="73">
        <v>5603076</v>
      </c>
      <c r="M13" s="73">
        <v>3906770</v>
      </c>
      <c r="N13" s="73">
        <f t="shared" si="0"/>
        <v>12700918</v>
      </c>
    </row>
    <row r="14" spans="1:14">
      <c r="B14" t="s">
        <v>392</v>
      </c>
      <c r="K14" s="75">
        <v>868435</v>
      </c>
      <c r="L14" s="73"/>
      <c r="M14" s="73">
        <v>11742590</v>
      </c>
      <c r="N14" s="73">
        <f t="shared" si="0"/>
        <v>12611025</v>
      </c>
    </row>
    <row r="15" spans="1:14">
      <c r="B15" t="s">
        <v>445</v>
      </c>
      <c r="K15" s="73"/>
      <c r="L15" s="73">
        <v>219311</v>
      </c>
      <c r="M15" s="73">
        <v>36694</v>
      </c>
      <c r="N15" s="73">
        <f>SUM(K15:M15)</f>
        <v>256005</v>
      </c>
    </row>
    <row r="16" spans="1:14">
      <c r="B16" t="s">
        <v>142</v>
      </c>
      <c r="K16" s="83">
        <v>1652</v>
      </c>
      <c r="L16" s="73"/>
      <c r="M16" s="73">
        <v>15162</v>
      </c>
      <c r="N16" s="73">
        <f t="shared" si="0"/>
        <v>16814</v>
      </c>
    </row>
    <row r="17" spans="1:14">
      <c r="B17" t="s">
        <v>446</v>
      </c>
      <c r="K17" s="82">
        <v>775000</v>
      </c>
      <c r="L17" s="73"/>
      <c r="M17" s="73"/>
      <c r="N17" s="73">
        <f t="shared" si="0"/>
        <v>775000</v>
      </c>
    </row>
    <row r="18" spans="1:14">
      <c r="K18" s="73"/>
      <c r="L18" s="73"/>
      <c r="M18" s="73"/>
      <c r="N18" s="73"/>
    </row>
    <row r="19" spans="1:14" s="3" customFormat="1">
      <c r="A19" s="2"/>
      <c r="B19" s="2"/>
      <c r="C19" s="2"/>
      <c r="D19" s="2"/>
      <c r="E19" s="2" t="s">
        <v>18</v>
      </c>
      <c r="K19" s="76">
        <f>SUM(K6:K17)</f>
        <v>45172090</v>
      </c>
      <c r="L19" s="76">
        <f>SUM(L6:L16)</f>
        <v>45859884</v>
      </c>
      <c r="M19" s="76">
        <f>SUM(M6:M18)</f>
        <v>215117502</v>
      </c>
      <c r="N19" s="76">
        <f>SUM(N6:N17)</f>
        <v>306149476</v>
      </c>
    </row>
    <row r="20" spans="1:14">
      <c r="K20" s="73"/>
      <c r="L20" s="73"/>
      <c r="M20" s="73"/>
      <c r="N20" s="73"/>
    </row>
    <row r="21" spans="1:14">
      <c r="A21" s="4" t="s">
        <v>19</v>
      </c>
      <c r="K21" s="73"/>
      <c r="L21" s="73"/>
      <c r="M21" s="73"/>
      <c r="N21" s="73"/>
    </row>
    <row r="22" spans="1:14">
      <c r="B22" t="s">
        <v>20</v>
      </c>
      <c r="K22" s="73"/>
      <c r="L22" s="73"/>
      <c r="M22" s="73"/>
      <c r="N22" s="73"/>
    </row>
    <row r="23" spans="1:14">
      <c r="C23" t="s">
        <v>447</v>
      </c>
      <c r="K23" s="73"/>
      <c r="L23" s="73"/>
      <c r="M23" s="73">
        <v>2965886</v>
      </c>
      <c r="N23" s="73">
        <f t="shared" ref="N23:N32" si="1">SUM(K23:M23)</f>
        <v>2965886</v>
      </c>
    </row>
    <row r="24" spans="1:14">
      <c r="C24" t="s">
        <v>21</v>
      </c>
      <c r="K24" s="77">
        <v>671416</v>
      </c>
      <c r="L24" s="73">
        <v>741636</v>
      </c>
      <c r="M24" s="73">
        <v>1729718</v>
      </c>
      <c r="N24" s="73">
        <f t="shared" si="1"/>
        <v>3142770</v>
      </c>
    </row>
    <row r="25" spans="1:14">
      <c r="C25" t="s">
        <v>448</v>
      </c>
      <c r="K25" s="77">
        <v>926003</v>
      </c>
      <c r="L25" s="73">
        <v>41644</v>
      </c>
      <c r="M25" s="73">
        <v>475497</v>
      </c>
      <c r="N25" s="73">
        <f t="shared" si="1"/>
        <v>1443144</v>
      </c>
    </row>
    <row r="26" spans="1:14">
      <c r="C26" t="s">
        <v>95</v>
      </c>
      <c r="K26" s="73"/>
      <c r="L26" s="73">
        <v>730774</v>
      </c>
      <c r="M26" s="73">
        <v>1854032</v>
      </c>
      <c r="N26" s="73">
        <f t="shared" si="1"/>
        <v>2584806</v>
      </c>
    </row>
    <row r="27" spans="1:14">
      <c r="C27" t="s">
        <v>22</v>
      </c>
      <c r="L27" s="73">
        <v>643281</v>
      </c>
      <c r="M27" s="73">
        <v>759507</v>
      </c>
      <c r="N27" s="73">
        <f t="shared" si="1"/>
        <v>1402788</v>
      </c>
    </row>
    <row r="28" spans="1:14">
      <c r="C28" t="s">
        <v>406</v>
      </c>
      <c r="K28" s="77">
        <v>295789</v>
      </c>
      <c r="L28" s="73"/>
      <c r="M28" s="73">
        <v>146355</v>
      </c>
      <c r="N28" s="73">
        <f t="shared" si="1"/>
        <v>442144</v>
      </c>
    </row>
    <row r="29" spans="1:14">
      <c r="C29" t="s">
        <v>25</v>
      </c>
      <c r="K29" s="78">
        <v>344041</v>
      </c>
      <c r="L29" s="73">
        <v>1310414</v>
      </c>
      <c r="M29" s="73">
        <v>9918774</v>
      </c>
      <c r="N29" s="73">
        <f t="shared" si="1"/>
        <v>11573229</v>
      </c>
    </row>
    <row r="30" spans="1:14">
      <c r="C30" t="s">
        <v>198</v>
      </c>
      <c r="K30" s="78">
        <v>92392</v>
      </c>
      <c r="L30" s="73"/>
      <c r="M30" s="73"/>
      <c r="N30" s="73">
        <f t="shared" si="1"/>
        <v>92392</v>
      </c>
    </row>
    <row r="31" spans="1:14">
      <c r="C31" t="s">
        <v>394</v>
      </c>
      <c r="K31" s="73"/>
      <c r="L31" s="73"/>
      <c r="M31" s="73">
        <v>262270</v>
      </c>
      <c r="N31" s="73">
        <f t="shared" si="1"/>
        <v>262270</v>
      </c>
    </row>
    <row r="32" spans="1:14">
      <c r="C32" t="s">
        <v>24</v>
      </c>
      <c r="K32" s="82">
        <v>2411</v>
      </c>
      <c r="L32" s="73">
        <v>64005</v>
      </c>
      <c r="M32" s="73">
        <v>144007</v>
      </c>
      <c r="N32" s="73">
        <f t="shared" si="1"/>
        <v>210423</v>
      </c>
    </row>
    <row r="33" spans="2:14">
      <c r="K33" s="73"/>
      <c r="L33" s="73"/>
      <c r="M33" s="73"/>
      <c r="N33" s="73"/>
    </row>
    <row r="34" spans="2:14" s="5" customFormat="1">
      <c r="B34" s="6"/>
      <c r="C34" s="6"/>
      <c r="D34" s="6"/>
      <c r="E34" s="6" t="s">
        <v>26</v>
      </c>
      <c r="K34" s="79">
        <f>SUM(K23:K32)</f>
        <v>2332052</v>
      </c>
      <c r="L34" s="79">
        <f>SUM(L23:L32)</f>
        <v>3531754</v>
      </c>
      <c r="M34" s="79">
        <f>SUM(M23:M32)</f>
        <v>18256046</v>
      </c>
      <c r="N34" s="79">
        <f>SUM(N23:N32)</f>
        <v>24119852</v>
      </c>
    </row>
    <row r="35" spans="2:14">
      <c r="K35" s="73"/>
      <c r="L35" s="73"/>
      <c r="M35" s="73"/>
      <c r="N35" s="73"/>
    </row>
    <row r="36" spans="2:14">
      <c r="B36" t="s">
        <v>30</v>
      </c>
      <c r="K36" s="73"/>
      <c r="L36" s="73"/>
      <c r="M36" s="73"/>
      <c r="N36" s="73"/>
    </row>
    <row r="37" spans="2:14">
      <c r="C37" t="s">
        <v>449</v>
      </c>
      <c r="K37" s="73"/>
      <c r="L37" s="73"/>
      <c r="M37" s="73"/>
      <c r="N37" s="73"/>
    </row>
    <row r="38" spans="2:14">
      <c r="D38" t="s">
        <v>196</v>
      </c>
      <c r="K38" s="73"/>
      <c r="L38" s="73">
        <v>219311</v>
      </c>
      <c r="M38" s="73">
        <v>36694</v>
      </c>
      <c r="N38" s="73">
        <f>SUM(K38:M38)</f>
        <v>256005</v>
      </c>
    </row>
    <row r="39" spans="2:14">
      <c r="D39" t="s">
        <v>142</v>
      </c>
      <c r="K39" s="80">
        <v>1652</v>
      </c>
      <c r="L39" s="73"/>
      <c r="M39" s="73">
        <v>15162</v>
      </c>
      <c r="N39" s="73">
        <f t="shared" ref="N39:N49" si="2">SUM(K39:M39)</f>
        <v>16814</v>
      </c>
    </row>
    <row r="40" spans="2:14">
      <c r="C40" t="s">
        <v>450</v>
      </c>
      <c r="K40" s="73"/>
      <c r="L40" s="73"/>
      <c r="M40" s="73"/>
      <c r="N40" s="73">
        <f t="shared" si="2"/>
        <v>0</v>
      </c>
    </row>
    <row r="41" spans="2:14">
      <c r="D41" t="s">
        <v>451</v>
      </c>
      <c r="K41" s="73"/>
      <c r="L41" s="73">
        <v>33380899</v>
      </c>
      <c r="M41" s="73">
        <v>94992348</v>
      </c>
      <c r="N41" s="73">
        <f t="shared" si="2"/>
        <v>128373247</v>
      </c>
    </row>
    <row r="42" spans="2:14">
      <c r="D42" t="s">
        <v>74</v>
      </c>
      <c r="K42" s="73"/>
      <c r="L42" s="73"/>
      <c r="M42" s="73">
        <v>45027523</v>
      </c>
      <c r="N42" s="73">
        <f t="shared" si="2"/>
        <v>45027523</v>
      </c>
    </row>
    <row r="43" spans="2:14">
      <c r="D43" t="s">
        <v>452</v>
      </c>
      <c r="K43" s="73"/>
      <c r="L43" s="73"/>
      <c r="M43" s="73">
        <v>49316239</v>
      </c>
      <c r="N43" s="73">
        <f t="shared" si="2"/>
        <v>49316239</v>
      </c>
    </row>
    <row r="44" spans="2:14">
      <c r="D44" t="s">
        <v>453</v>
      </c>
      <c r="K44" s="73"/>
      <c r="L44" s="73"/>
      <c r="M44" s="73">
        <v>4882793</v>
      </c>
      <c r="N44" s="73">
        <f t="shared" si="2"/>
        <v>4882793</v>
      </c>
    </row>
    <row r="45" spans="2:14">
      <c r="C45" t="s">
        <v>454</v>
      </c>
      <c r="K45" s="73"/>
      <c r="L45" s="73"/>
      <c r="M45" s="73"/>
      <c r="N45" s="73"/>
    </row>
    <row r="46" spans="2:14">
      <c r="D46" t="s">
        <v>455</v>
      </c>
      <c r="K46" s="80">
        <v>670452</v>
      </c>
      <c r="L46" s="73"/>
      <c r="M46" s="73">
        <v>26723</v>
      </c>
      <c r="N46" s="73">
        <f t="shared" si="2"/>
        <v>697175</v>
      </c>
    </row>
    <row r="47" spans="2:14">
      <c r="C47" t="s">
        <v>456</v>
      </c>
      <c r="K47" s="73"/>
      <c r="L47" s="73"/>
      <c r="M47" s="73"/>
      <c r="N47" s="73">
        <f t="shared" si="2"/>
        <v>0</v>
      </c>
    </row>
    <row r="48" spans="2:14">
      <c r="D48" t="s">
        <v>205</v>
      </c>
      <c r="K48" s="190">
        <v>2774438</v>
      </c>
      <c r="L48" s="73">
        <v>8727920</v>
      </c>
      <c r="M48" s="73">
        <v>2563974</v>
      </c>
      <c r="N48" s="73">
        <f t="shared" si="2"/>
        <v>14066332</v>
      </c>
    </row>
    <row r="49" spans="3:14">
      <c r="C49" t="s">
        <v>48</v>
      </c>
      <c r="K49" s="84">
        <v>39393496</v>
      </c>
      <c r="L49" s="73"/>
      <c r="M49" s="73"/>
      <c r="N49" s="73">
        <f t="shared" si="2"/>
        <v>39393496</v>
      </c>
    </row>
    <row r="50" spans="3:14">
      <c r="K50" s="73"/>
      <c r="L50" s="73"/>
      <c r="M50" s="73"/>
      <c r="N50" s="73"/>
    </row>
    <row r="51" spans="3:14" s="5" customFormat="1">
      <c r="D51" s="6"/>
      <c r="E51" s="6" t="s">
        <v>78</v>
      </c>
      <c r="K51" s="79">
        <f>SUM(K38:K49)</f>
        <v>42840038</v>
      </c>
      <c r="L51" s="79">
        <f>SUM(L38:L49)</f>
        <v>42328130</v>
      </c>
      <c r="M51" s="79">
        <f>SUM(M38:M49)</f>
        <v>196861456</v>
      </c>
      <c r="N51" s="79">
        <f>SUM(N37:N49)</f>
        <v>282029624</v>
      </c>
    </row>
    <row r="52" spans="3:14">
      <c r="K52" s="73"/>
      <c r="L52" s="73"/>
      <c r="M52" s="73"/>
      <c r="N52" s="73"/>
    </row>
    <row r="53" spans="3:14" s="7" customFormat="1">
      <c r="D53" s="8"/>
      <c r="E53" s="8" t="s">
        <v>50</v>
      </c>
      <c r="K53" s="81">
        <f>SUM(K51,K34)</f>
        <v>45172090</v>
      </c>
      <c r="L53" s="81">
        <f>SUM(L34,L51)</f>
        <v>45859884</v>
      </c>
      <c r="M53" s="81">
        <f>SUM(M34,M51)</f>
        <v>215117502</v>
      </c>
      <c r="N53" s="81">
        <f>SUM(N34,N51)</f>
        <v>306149476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R44"/>
  <sheetViews>
    <sheetView topLeftCell="A16" zoomScaleNormal="100" zoomScalePageLayoutView="80" workbookViewId="0">
      <selection activeCell="V31" sqref="V31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4" width="16.42578125" customWidth="1"/>
    <col min="15" max="15" width="17.140625" customWidth="1"/>
    <col min="16" max="17" width="19.42578125" customWidth="1"/>
    <col min="18" max="18" width="19.85546875" bestFit="1" customWidth="1"/>
  </cols>
  <sheetData>
    <row r="1" spans="1:18" ht="18.75">
      <c r="D1" s="253" t="s">
        <v>457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K4" s="255"/>
      <c r="L4" s="255"/>
      <c r="M4" s="255"/>
      <c r="N4" s="255"/>
      <c r="O4" s="252" t="s">
        <v>281</v>
      </c>
      <c r="P4" s="252"/>
    </row>
    <row r="5" spans="1:18" ht="30">
      <c r="K5" s="1" t="s">
        <v>132</v>
      </c>
      <c r="L5" s="1" t="s">
        <v>120</v>
      </c>
      <c r="M5" s="1" t="s">
        <v>458</v>
      </c>
      <c r="N5" s="1" t="s">
        <v>459</v>
      </c>
      <c r="O5" s="1" t="s">
        <v>460</v>
      </c>
      <c r="P5" s="1" t="s">
        <v>313</v>
      </c>
      <c r="Q5" s="1" t="s">
        <v>461</v>
      </c>
      <c r="R5" s="1" t="s">
        <v>170</v>
      </c>
    </row>
    <row r="6" spans="1:18">
      <c r="A6" t="s">
        <v>8</v>
      </c>
    </row>
    <row r="7" spans="1:18">
      <c r="B7" t="s">
        <v>85</v>
      </c>
      <c r="K7" s="72">
        <v>2493094</v>
      </c>
      <c r="L7" s="73"/>
      <c r="M7" s="73"/>
      <c r="N7" s="73">
        <v>861297</v>
      </c>
      <c r="O7" s="73">
        <v>6125197</v>
      </c>
      <c r="P7" s="73"/>
      <c r="Q7" s="73">
        <v>8161260</v>
      </c>
      <c r="R7" s="73">
        <f t="shared" ref="R7:R13" si="0">SUM(K7:Q7)</f>
        <v>17640848</v>
      </c>
    </row>
    <row r="8" spans="1:18">
      <c r="B8" t="s">
        <v>10</v>
      </c>
      <c r="K8" s="77">
        <v>28364</v>
      </c>
      <c r="L8" s="73">
        <v>1595639</v>
      </c>
      <c r="M8" s="73">
        <v>110030</v>
      </c>
      <c r="N8" s="73">
        <v>7967465</v>
      </c>
      <c r="O8" s="73"/>
      <c r="P8" s="73"/>
      <c r="Q8" s="73">
        <v>17205246</v>
      </c>
      <c r="R8" s="73">
        <f t="shared" si="0"/>
        <v>26906744</v>
      </c>
    </row>
    <row r="9" spans="1:18">
      <c r="B9" t="s">
        <v>60</v>
      </c>
      <c r="K9" s="74">
        <v>468148</v>
      </c>
      <c r="L9" s="73"/>
      <c r="M9" s="73"/>
      <c r="N9" s="73">
        <v>2</v>
      </c>
      <c r="O9" s="73">
        <v>1975</v>
      </c>
      <c r="P9" s="73"/>
      <c r="Q9" s="73">
        <v>942293</v>
      </c>
      <c r="R9" s="73">
        <f t="shared" si="0"/>
        <v>1412418</v>
      </c>
    </row>
    <row r="10" spans="1:18">
      <c r="B10" t="s">
        <v>141</v>
      </c>
      <c r="K10" s="75">
        <v>5646979</v>
      </c>
      <c r="L10" s="73">
        <v>1516971</v>
      </c>
      <c r="M10" s="73">
        <v>708560</v>
      </c>
      <c r="N10" s="73">
        <v>5762420</v>
      </c>
      <c r="O10" s="73"/>
      <c r="P10" s="73"/>
      <c r="Q10" s="73">
        <v>20063784</v>
      </c>
      <c r="R10" s="73">
        <f t="shared" si="0"/>
        <v>33698714</v>
      </c>
    </row>
    <row r="11" spans="1:18">
      <c r="B11" t="s">
        <v>16</v>
      </c>
      <c r="K11" s="75">
        <v>9218015</v>
      </c>
      <c r="L11" s="73"/>
      <c r="M11" s="73">
        <v>581224</v>
      </c>
      <c r="N11" s="73"/>
      <c r="O11" s="73">
        <v>4999</v>
      </c>
      <c r="P11" s="73">
        <v>2257300</v>
      </c>
      <c r="Q11" s="73">
        <v>7163970</v>
      </c>
      <c r="R11" s="73">
        <f t="shared" si="0"/>
        <v>19225508</v>
      </c>
    </row>
    <row r="12" spans="1:18">
      <c r="B12" t="s">
        <v>462</v>
      </c>
      <c r="K12" s="73"/>
      <c r="L12" s="73"/>
      <c r="M12" s="73"/>
      <c r="N12" s="73"/>
      <c r="O12" s="73"/>
      <c r="P12" s="73"/>
      <c r="Q12" s="73">
        <v>1035138</v>
      </c>
      <c r="R12" s="73">
        <f t="shared" si="0"/>
        <v>1035138</v>
      </c>
    </row>
    <row r="13" spans="1:18">
      <c r="B13" t="s">
        <v>63</v>
      </c>
      <c r="K13" s="83">
        <v>955831</v>
      </c>
      <c r="L13" s="73"/>
      <c r="M13" s="73"/>
      <c r="N13" s="73"/>
      <c r="O13" s="73"/>
      <c r="P13" s="85"/>
      <c r="Q13" s="85"/>
      <c r="R13" s="85">
        <f t="shared" si="0"/>
        <v>955831</v>
      </c>
    </row>
    <row r="14" spans="1:18">
      <c r="K14" s="93"/>
      <c r="L14" s="93"/>
      <c r="M14" s="93"/>
      <c r="N14" s="93"/>
      <c r="O14" s="93"/>
      <c r="P14" s="73"/>
      <c r="Q14" s="73"/>
      <c r="R14" s="73"/>
    </row>
    <row r="15" spans="1:18" s="3" customFormat="1">
      <c r="A15" s="2"/>
      <c r="B15" s="2"/>
      <c r="C15" s="2"/>
      <c r="D15" s="2"/>
      <c r="E15" s="2" t="s">
        <v>64</v>
      </c>
      <c r="K15" s="76">
        <f t="shared" ref="K15:R15" si="1">SUM(K7:K13)</f>
        <v>18810431</v>
      </c>
      <c r="L15" s="76">
        <f t="shared" si="1"/>
        <v>3112610</v>
      </c>
      <c r="M15" s="76">
        <f t="shared" si="1"/>
        <v>1399814</v>
      </c>
      <c r="N15" s="76">
        <f t="shared" si="1"/>
        <v>14591184</v>
      </c>
      <c r="O15" s="76">
        <f t="shared" si="1"/>
        <v>6132171</v>
      </c>
      <c r="P15" s="76">
        <f t="shared" si="1"/>
        <v>2257300</v>
      </c>
      <c r="Q15" s="76">
        <f t="shared" si="1"/>
        <v>54571691</v>
      </c>
      <c r="R15" s="76">
        <f t="shared" si="1"/>
        <v>100875201</v>
      </c>
    </row>
    <row r="16" spans="1:18">
      <c r="K16" s="73"/>
      <c r="L16" s="73"/>
      <c r="M16" s="73"/>
      <c r="N16" s="73"/>
      <c r="O16" s="73"/>
      <c r="P16" s="73"/>
      <c r="Q16" s="73"/>
      <c r="R16" s="73"/>
    </row>
    <row r="17" spans="1:18">
      <c r="A17" s="4" t="s">
        <v>19</v>
      </c>
      <c r="K17" s="73"/>
      <c r="L17" s="73"/>
      <c r="M17" s="73"/>
      <c r="N17" s="73"/>
      <c r="O17" s="73"/>
      <c r="P17" s="73"/>
      <c r="Q17" s="73"/>
      <c r="R17" s="73"/>
    </row>
    <row r="18" spans="1:18">
      <c r="B18" t="s">
        <v>20</v>
      </c>
      <c r="K18" s="73"/>
      <c r="L18" s="73"/>
      <c r="M18" s="73"/>
      <c r="N18" s="73"/>
      <c r="O18" s="73"/>
      <c r="P18" s="73"/>
      <c r="Q18" s="73"/>
      <c r="R18" s="73"/>
    </row>
    <row r="19" spans="1:18">
      <c r="C19" t="s">
        <v>463</v>
      </c>
      <c r="K19" s="77">
        <v>742412</v>
      </c>
      <c r="L19" s="73">
        <v>637824</v>
      </c>
      <c r="M19" s="73">
        <v>3509</v>
      </c>
      <c r="N19" s="73">
        <v>46255</v>
      </c>
      <c r="O19" s="73"/>
      <c r="P19" s="73">
        <v>2211472</v>
      </c>
      <c r="Q19" s="73">
        <v>1573952</v>
      </c>
      <c r="R19" s="73">
        <f t="shared" ref="R19:R24" si="2">SUM(K19:Q19)</f>
        <v>5215424</v>
      </c>
    </row>
    <row r="20" spans="1:18">
      <c r="C20" t="s">
        <v>464</v>
      </c>
      <c r="K20" s="77">
        <v>36225</v>
      </c>
      <c r="L20" s="73"/>
      <c r="M20" s="73"/>
      <c r="N20" s="73"/>
      <c r="O20" s="73"/>
      <c r="P20" s="73">
        <v>111078</v>
      </c>
      <c r="Q20" s="73">
        <v>42345</v>
      </c>
      <c r="R20" s="73">
        <f t="shared" si="2"/>
        <v>189648</v>
      </c>
    </row>
    <row r="21" spans="1:18">
      <c r="C21" t="s">
        <v>465</v>
      </c>
      <c r="K21" s="77">
        <v>196073</v>
      </c>
      <c r="L21" s="73">
        <v>6137</v>
      </c>
      <c r="M21" s="73">
        <v>11399</v>
      </c>
      <c r="N21" s="73">
        <v>113185</v>
      </c>
      <c r="O21" s="73"/>
      <c r="P21" s="73"/>
      <c r="Q21" s="73">
        <v>331272</v>
      </c>
      <c r="R21" s="73">
        <f t="shared" si="2"/>
        <v>658066</v>
      </c>
    </row>
    <row r="22" spans="1:18">
      <c r="C22" t="s">
        <v>25</v>
      </c>
      <c r="K22" s="78">
        <v>13293086</v>
      </c>
      <c r="L22" s="73">
        <v>202</v>
      </c>
      <c r="M22" s="73"/>
      <c r="N22" s="73">
        <v>35790</v>
      </c>
      <c r="O22" s="73"/>
      <c r="P22" s="73"/>
      <c r="Q22" s="73">
        <v>6393257</v>
      </c>
      <c r="R22" s="73">
        <f t="shared" si="2"/>
        <v>19722335</v>
      </c>
    </row>
    <row r="23" spans="1:18">
      <c r="C23" t="s">
        <v>466</v>
      </c>
      <c r="L23" s="73"/>
      <c r="M23" s="73">
        <v>1006500</v>
      </c>
      <c r="N23" s="73"/>
      <c r="O23" s="73"/>
      <c r="P23" s="73"/>
      <c r="Q23" s="73">
        <v>20557</v>
      </c>
      <c r="R23" s="73">
        <f t="shared" si="2"/>
        <v>1027057</v>
      </c>
    </row>
    <row r="24" spans="1:18">
      <c r="C24" t="s">
        <v>467</v>
      </c>
      <c r="K24" s="82">
        <v>4414</v>
      </c>
      <c r="L24" s="73"/>
      <c r="M24" s="73"/>
      <c r="N24" s="73"/>
      <c r="O24" s="73"/>
      <c r="P24" s="85"/>
      <c r="Q24" s="85">
        <v>635207</v>
      </c>
      <c r="R24" s="85">
        <f t="shared" si="2"/>
        <v>639621</v>
      </c>
    </row>
    <row r="25" spans="1:18">
      <c r="K25" s="93"/>
      <c r="L25" s="93"/>
      <c r="M25" s="93"/>
      <c r="N25" s="93"/>
      <c r="O25" s="93"/>
      <c r="P25" s="73"/>
      <c r="Q25" s="73"/>
      <c r="R25" s="73"/>
    </row>
    <row r="26" spans="1:18" s="5" customFormat="1">
      <c r="B26" s="6"/>
      <c r="C26" s="6"/>
      <c r="D26" s="6"/>
      <c r="E26" s="6" t="s">
        <v>26</v>
      </c>
      <c r="K26" s="79">
        <f t="shared" ref="K26:R26" si="3">SUM(K19:K24)</f>
        <v>14272210</v>
      </c>
      <c r="L26" s="79">
        <f t="shared" si="3"/>
        <v>644163</v>
      </c>
      <c r="M26" s="79"/>
      <c r="N26" s="79">
        <f t="shared" si="3"/>
        <v>195230</v>
      </c>
      <c r="O26" s="79">
        <f t="shared" si="3"/>
        <v>0</v>
      </c>
      <c r="P26" s="79">
        <f t="shared" si="3"/>
        <v>2322550</v>
      </c>
      <c r="Q26" s="79">
        <f t="shared" si="3"/>
        <v>8996590</v>
      </c>
      <c r="R26" s="79">
        <f t="shared" si="3"/>
        <v>27452151</v>
      </c>
    </row>
    <row r="27" spans="1:18">
      <c r="K27" s="73"/>
      <c r="L27" s="73"/>
      <c r="M27" s="73"/>
      <c r="N27" s="73"/>
      <c r="O27" s="73"/>
      <c r="P27" s="73"/>
      <c r="Q27" s="73"/>
      <c r="R27" s="73"/>
    </row>
    <row r="28" spans="1:18">
      <c r="B28" t="s">
        <v>30</v>
      </c>
      <c r="K28" s="73"/>
      <c r="L28" s="73"/>
      <c r="M28" s="73"/>
      <c r="N28" s="73"/>
      <c r="O28" s="73"/>
      <c r="P28" s="73"/>
      <c r="Q28" s="73"/>
      <c r="R28" s="73"/>
    </row>
    <row r="29" spans="1:18">
      <c r="C29" t="s">
        <v>468</v>
      </c>
      <c r="K29" s="80">
        <v>955831</v>
      </c>
      <c r="L29" s="73"/>
      <c r="M29" s="73"/>
      <c r="N29" s="73"/>
      <c r="O29" s="73"/>
      <c r="P29" s="73"/>
      <c r="Q29" s="73"/>
      <c r="R29" s="73">
        <f>SUM(K29:Q29)</f>
        <v>955831</v>
      </c>
    </row>
    <row r="30" spans="1:18">
      <c r="C30" t="s">
        <v>69</v>
      </c>
      <c r="K30" s="73"/>
      <c r="L30" s="73"/>
      <c r="M30" s="73"/>
      <c r="N30" s="73"/>
      <c r="O30" s="73"/>
      <c r="P30" s="73"/>
      <c r="Q30" s="73"/>
      <c r="R30" s="73"/>
    </row>
    <row r="31" spans="1:18">
      <c r="D31" t="s">
        <v>44</v>
      </c>
      <c r="K31" s="80">
        <v>1820407</v>
      </c>
      <c r="L31" s="73"/>
      <c r="M31" s="73"/>
      <c r="N31" s="73">
        <v>433269</v>
      </c>
      <c r="O31" s="73"/>
      <c r="P31" s="73"/>
      <c r="Q31" s="73">
        <v>8770639</v>
      </c>
      <c r="R31" s="73">
        <f>SUM(K31:Q31)</f>
        <v>11024315</v>
      </c>
    </row>
    <row r="32" spans="1:18">
      <c r="D32" t="s">
        <v>469</v>
      </c>
      <c r="K32" s="73"/>
      <c r="L32" s="73"/>
      <c r="M32" s="73"/>
      <c r="N32" s="73"/>
      <c r="O32" s="73"/>
      <c r="P32" s="73"/>
      <c r="Q32" s="73">
        <v>3842210</v>
      </c>
      <c r="R32" s="73">
        <f>SUM(K32:Q32)</f>
        <v>3842210</v>
      </c>
    </row>
    <row r="33" spans="3:18">
      <c r="D33" t="s">
        <v>470</v>
      </c>
      <c r="K33" s="73"/>
      <c r="L33" s="73"/>
      <c r="M33" s="73"/>
      <c r="N33" s="73"/>
      <c r="O33" s="73">
        <v>6132171</v>
      </c>
      <c r="P33" s="73"/>
      <c r="Q33" s="73">
        <v>563984</v>
      </c>
      <c r="R33" s="73">
        <f>SUM(K33:Q33)</f>
        <v>6696155</v>
      </c>
    </row>
    <row r="34" spans="3:18">
      <c r="D34" t="s">
        <v>74</v>
      </c>
      <c r="K34" s="73"/>
      <c r="L34" s="73"/>
      <c r="M34" s="73"/>
      <c r="N34" s="73"/>
      <c r="O34" s="73"/>
      <c r="P34" s="73"/>
      <c r="Q34" s="73">
        <v>5955009</v>
      </c>
      <c r="R34" s="73">
        <f>SUM(K34:Q34)</f>
        <v>5955009</v>
      </c>
    </row>
    <row r="35" spans="3:18">
      <c r="C35" t="s">
        <v>471</v>
      </c>
      <c r="K35" s="73"/>
      <c r="L35" s="73"/>
      <c r="M35" s="73"/>
      <c r="N35" s="73"/>
      <c r="O35" s="73"/>
      <c r="P35" s="73"/>
      <c r="Q35" s="73"/>
      <c r="R35" s="73"/>
    </row>
    <row r="36" spans="3:18">
      <c r="D36" t="s">
        <v>165</v>
      </c>
      <c r="K36" s="73"/>
      <c r="L36" s="73"/>
      <c r="M36" s="73">
        <v>378406</v>
      </c>
      <c r="N36" s="73"/>
      <c r="O36" s="73"/>
      <c r="P36" s="73"/>
      <c r="Q36" s="73">
        <v>234259</v>
      </c>
      <c r="R36" s="73">
        <f>SUM(K36:Q36)</f>
        <v>612665</v>
      </c>
    </row>
    <row r="37" spans="3:18">
      <c r="D37" t="s">
        <v>72</v>
      </c>
      <c r="K37" s="73"/>
      <c r="L37" s="73">
        <v>2468447</v>
      </c>
      <c r="M37" s="73"/>
      <c r="N37" s="73"/>
      <c r="O37" s="73"/>
      <c r="P37" s="73"/>
      <c r="Q37" s="73">
        <v>22441149</v>
      </c>
      <c r="R37" s="73">
        <f>SUM(K37:Q37)</f>
        <v>24909596</v>
      </c>
    </row>
    <row r="38" spans="3:18">
      <c r="D38" t="s">
        <v>115</v>
      </c>
      <c r="K38" s="73"/>
      <c r="L38" s="73"/>
      <c r="M38" s="73"/>
      <c r="N38" s="73">
        <v>13962685</v>
      </c>
      <c r="O38" s="73"/>
      <c r="P38" s="73"/>
      <c r="Q38" s="73">
        <v>1837319</v>
      </c>
      <c r="R38" s="73">
        <f>SUM(K38:Q38)</f>
        <v>15800004</v>
      </c>
    </row>
    <row r="39" spans="3:18">
      <c r="D39" t="s">
        <v>472</v>
      </c>
      <c r="K39" s="73"/>
      <c r="L39" s="73"/>
      <c r="M39" s="73"/>
      <c r="N39" s="73"/>
      <c r="O39" s="73"/>
      <c r="P39" s="73"/>
      <c r="Q39" s="73">
        <v>1906379</v>
      </c>
      <c r="R39" s="73">
        <f>SUM(K39:Q39)</f>
        <v>1906379</v>
      </c>
    </row>
    <row r="40" spans="3:18">
      <c r="C40" t="s">
        <v>48</v>
      </c>
      <c r="K40" s="84">
        <v>1761983</v>
      </c>
      <c r="L40" s="73"/>
      <c r="M40" s="73"/>
      <c r="N40" s="73"/>
      <c r="O40" s="73"/>
      <c r="P40" s="85">
        <v>-65250</v>
      </c>
      <c r="Q40" s="85">
        <v>24153</v>
      </c>
      <c r="R40" s="85">
        <f>SUM(K40:Q40)</f>
        <v>1720886</v>
      </c>
    </row>
    <row r="41" spans="3:18">
      <c r="K41" s="93"/>
      <c r="L41" s="93"/>
      <c r="M41" s="93"/>
      <c r="N41" s="93"/>
      <c r="O41" s="93"/>
      <c r="P41" s="73"/>
      <c r="Q41" s="73"/>
      <c r="R41" s="73"/>
    </row>
    <row r="42" spans="3:18" s="5" customFormat="1">
      <c r="D42" s="6"/>
      <c r="E42" s="6" t="s">
        <v>78</v>
      </c>
      <c r="K42" s="79">
        <f>SUM(K29:K41)</f>
        <v>4538221</v>
      </c>
      <c r="L42" s="79">
        <f t="shared" ref="L42:R42" si="4">SUM(L29:L40)</f>
        <v>2468447</v>
      </c>
      <c r="M42" s="79">
        <f t="shared" si="4"/>
        <v>378406</v>
      </c>
      <c r="N42" s="79">
        <f t="shared" si="4"/>
        <v>14395954</v>
      </c>
      <c r="O42" s="79">
        <f t="shared" si="4"/>
        <v>6132171</v>
      </c>
      <c r="P42" s="79">
        <f t="shared" si="4"/>
        <v>-65250</v>
      </c>
      <c r="Q42" s="79">
        <f t="shared" si="4"/>
        <v>45575101</v>
      </c>
      <c r="R42" s="79">
        <f t="shared" si="4"/>
        <v>73423050</v>
      </c>
    </row>
    <row r="43" spans="3:18">
      <c r="K43" s="73"/>
      <c r="L43" s="73"/>
      <c r="M43" s="73"/>
      <c r="N43" s="73"/>
      <c r="O43" s="73"/>
      <c r="P43" s="73"/>
      <c r="Q43" s="73"/>
      <c r="R43" s="73"/>
    </row>
    <row r="44" spans="3:18" s="7" customFormat="1">
      <c r="D44" s="8"/>
      <c r="E44" s="8" t="s">
        <v>50</v>
      </c>
      <c r="K44" s="81">
        <f>SUM(K42,K26)</f>
        <v>18810431</v>
      </c>
      <c r="L44" s="81">
        <f t="shared" ref="L44:R44" si="5">SUM(L26,L42)</f>
        <v>3112610</v>
      </c>
      <c r="M44" s="81">
        <f t="shared" si="5"/>
        <v>378406</v>
      </c>
      <c r="N44" s="81">
        <f t="shared" si="5"/>
        <v>14591184</v>
      </c>
      <c r="O44" s="81">
        <f t="shared" si="5"/>
        <v>6132171</v>
      </c>
      <c r="P44" s="81">
        <f t="shared" si="5"/>
        <v>2257300</v>
      </c>
      <c r="Q44" s="81">
        <f t="shared" si="5"/>
        <v>54571691</v>
      </c>
      <c r="R44" s="81">
        <f t="shared" si="5"/>
        <v>100875201</v>
      </c>
    </row>
  </sheetData>
  <mergeCells count="3">
    <mergeCell ref="D1:K1"/>
    <mergeCell ref="D2:K2"/>
    <mergeCell ref="K4:N4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R32"/>
  <sheetViews>
    <sheetView zoomScale="98" zoomScaleNormal="98" workbookViewId="0">
      <selection activeCell="P38" sqref="P38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28515625" customWidth="1"/>
    <col min="13" max="13" width="14.85546875" customWidth="1"/>
    <col min="14" max="14" width="14.42578125" customWidth="1"/>
    <col min="15" max="16" width="16.42578125" customWidth="1"/>
    <col min="17" max="17" width="18.5703125" customWidth="1"/>
    <col min="18" max="18" width="17.28515625" customWidth="1"/>
  </cols>
  <sheetData>
    <row r="1" spans="1:18" ht="18.75">
      <c r="D1" s="253" t="s">
        <v>473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8" ht="45">
      <c r="K4" s="1" t="s">
        <v>2</v>
      </c>
      <c r="L4" s="1" t="s">
        <v>261</v>
      </c>
      <c r="M4" s="1" t="s">
        <v>474</v>
      </c>
      <c r="N4" s="1" t="s">
        <v>475</v>
      </c>
      <c r="O4" s="1" t="s">
        <v>136</v>
      </c>
      <c r="P4" s="1" t="s">
        <v>273</v>
      </c>
      <c r="Q4" s="1" t="s">
        <v>6</v>
      </c>
      <c r="R4" s="1" t="s">
        <v>7</v>
      </c>
    </row>
    <row r="5" spans="1:18">
      <c r="A5" t="s">
        <v>8</v>
      </c>
    </row>
    <row r="6" spans="1:18">
      <c r="B6" t="s">
        <v>476</v>
      </c>
      <c r="K6" s="72">
        <v>222061</v>
      </c>
      <c r="L6" s="73">
        <v>38941</v>
      </c>
      <c r="M6" s="73">
        <v>43859</v>
      </c>
      <c r="N6" s="73">
        <v>145331</v>
      </c>
      <c r="O6" s="73">
        <v>1427925</v>
      </c>
      <c r="P6" s="73"/>
      <c r="Q6" s="73">
        <v>832535</v>
      </c>
      <c r="R6" s="73">
        <f>SUM(K6:Q6)</f>
        <v>2710652</v>
      </c>
    </row>
    <row r="7" spans="1:18">
      <c r="B7" t="s">
        <v>477</v>
      </c>
      <c r="K7" s="73"/>
      <c r="L7" s="73">
        <v>4283</v>
      </c>
      <c r="M7" s="73"/>
      <c r="N7" s="73">
        <v>3783</v>
      </c>
      <c r="O7" s="73"/>
      <c r="P7" s="73"/>
      <c r="Q7" s="73">
        <v>1785</v>
      </c>
      <c r="R7" s="73">
        <f>SUM(K7:Q7)</f>
        <v>9851</v>
      </c>
    </row>
    <row r="8" spans="1:18">
      <c r="B8" t="s">
        <v>60</v>
      </c>
      <c r="K8" s="74">
        <v>372247</v>
      </c>
      <c r="L8" s="73">
        <v>584719</v>
      </c>
      <c r="M8" s="73">
        <v>454170</v>
      </c>
      <c r="N8" s="73">
        <v>562899</v>
      </c>
      <c r="O8" s="73">
        <v>533568</v>
      </c>
      <c r="P8" s="73">
        <v>5683</v>
      </c>
      <c r="Q8" s="73">
        <v>568104</v>
      </c>
      <c r="R8" s="73">
        <f>SUM(K8:Q8)</f>
        <v>3081390</v>
      </c>
    </row>
    <row r="9" spans="1:18">
      <c r="K9" s="73"/>
      <c r="L9" s="73"/>
      <c r="M9" s="73"/>
      <c r="N9" s="73"/>
      <c r="O9" s="73"/>
      <c r="P9" s="73"/>
      <c r="Q9" s="73"/>
      <c r="R9" s="73"/>
    </row>
    <row r="10" spans="1:18" s="3" customFormat="1">
      <c r="A10" s="2"/>
      <c r="B10" s="2"/>
      <c r="C10" s="2"/>
      <c r="D10" s="2"/>
      <c r="E10" s="2" t="s">
        <v>18</v>
      </c>
      <c r="K10" s="76">
        <f t="shared" ref="K10:R10" si="0">SUM(K6:K8)</f>
        <v>594308</v>
      </c>
      <c r="L10" s="76">
        <f t="shared" si="0"/>
        <v>627943</v>
      </c>
      <c r="M10" s="76">
        <f t="shared" si="0"/>
        <v>498029</v>
      </c>
      <c r="N10" s="76">
        <f t="shared" si="0"/>
        <v>712013</v>
      </c>
      <c r="O10" s="76">
        <f t="shared" si="0"/>
        <v>1961493</v>
      </c>
      <c r="P10" s="76">
        <f t="shared" si="0"/>
        <v>5683</v>
      </c>
      <c r="Q10" s="76">
        <f t="shared" si="0"/>
        <v>1402424</v>
      </c>
      <c r="R10" s="76">
        <f t="shared" si="0"/>
        <v>5801893</v>
      </c>
    </row>
    <row r="11" spans="1:18">
      <c r="K11" s="73"/>
      <c r="L11" s="73"/>
      <c r="M11" s="73"/>
      <c r="N11" s="73"/>
      <c r="O11" s="73"/>
      <c r="P11" s="73"/>
      <c r="Q11" s="73"/>
      <c r="R11" s="73"/>
    </row>
    <row r="12" spans="1:18">
      <c r="A12" s="4" t="s">
        <v>19</v>
      </c>
      <c r="K12" s="73"/>
      <c r="L12" s="73"/>
      <c r="M12" s="73"/>
      <c r="N12" s="73"/>
      <c r="O12" s="73"/>
      <c r="P12" s="73"/>
      <c r="Q12" s="73"/>
      <c r="R12" s="73"/>
    </row>
    <row r="13" spans="1:18">
      <c r="B13" t="s">
        <v>20</v>
      </c>
      <c r="K13" s="73"/>
      <c r="L13" s="73"/>
      <c r="M13" s="73"/>
      <c r="N13" s="73"/>
      <c r="O13" s="73"/>
      <c r="P13" s="73"/>
      <c r="Q13" s="73"/>
      <c r="R13" s="73"/>
    </row>
    <row r="14" spans="1:18">
      <c r="C14" t="s">
        <v>447</v>
      </c>
      <c r="K14" s="73"/>
      <c r="L14" s="73"/>
      <c r="M14" s="73"/>
      <c r="N14" s="73"/>
      <c r="O14" s="73"/>
      <c r="P14" s="73">
        <v>166079</v>
      </c>
      <c r="Q14" s="73"/>
      <c r="R14" s="73">
        <f>SUM(K14:Q14)</f>
        <v>166079</v>
      </c>
    </row>
    <row r="15" spans="1:18">
      <c r="C15" t="s">
        <v>21</v>
      </c>
      <c r="K15" s="77">
        <v>209298</v>
      </c>
      <c r="L15" s="73">
        <v>33278</v>
      </c>
      <c r="M15" s="73">
        <v>34166</v>
      </c>
      <c r="N15" s="73">
        <v>55245</v>
      </c>
      <c r="O15" s="73">
        <v>37977</v>
      </c>
      <c r="P15" s="73">
        <v>14475</v>
      </c>
      <c r="Q15" s="73">
        <v>50079</v>
      </c>
      <c r="R15" s="73">
        <f>SUM(K15:Q15)</f>
        <v>434518</v>
      </c>
    </row>
    <row r="16" spans="1:18">
      <c r="C16" t="s">
        <v>171</v>
      </c>
      <c r="K16" s="77">
        <v>20745</v>
      </c>
      <c r="L16" s="73">
        <v>7837</v>
      </c>
      <c r="M16" s="73">
        <v>1254</v>
      </c>
      <c r="N16" s="73">
        <v>2121</v>
      </c>
      <c r="O16" s="73">
        <v>3442</v>
      </c>
      <c r="P16" s="73">
        <v>3987</v>
      </c>
      <c r="Q16" s="73">
        <v>526</v>
      </c>
      <c r="R16" s="73">
        <f>SUM(K16:Q16)</f>
        <v>39912</v>
      </c>
    </row>
    <row r="17" spans="2:18">
      <c r="K17" s="73"/>
      <c r="L17" s="73"/>
      <c r="M17" s="73"/>
      <c r="N17" s="73"/>
      <c r="O17" s="73"/>
      <c r="P17" s="73"/>
      <c r="Q17" s="73"/>
      <c r="R17" s="73"/>
    </row>
    <row r="18" spans="2:18" s="5" customFormat="1">
      <c r="B18" s="6"/>
      <c r="C18" s="6"/>
      <c r="D18" s="6"/>
      <c r="E18" s="6" t="s">
        <v>26</v>
      </c>
      <c r="K18" s="79">
        <f t="shared" ref="K18:R18" si="1">SUM(K14:K16)</f>
        <v>230043</v>
      </c>
      <c r="L18" s="79">
        <f t="shared" si="1"/>
        <v>41115</v>
      </c>
      <c r="M18" s="79">
        <f t="shared" si="1"/>
        <v>35420</v>
      </c>
      <c r="N18" s="79">
        <f t="shared" si="1"/>
        <v>57366</v>
      </c>
      <c r="O18" s="79">
        <f t="shared" si="1"/>
        <v>41419</v>
      </c>
      <c r="P18" s="79">
        <f t="shared" si="1"/>
        <v>184541</v>
      </c>
      <c r="Q18" s="79">
        <f t="shared" si="1"/>
        <v>50605</v>
      </c>
      <c r="R18" s="79">
        <f t="shared" si="1"/>
        <v>640509</v>
      </c>
    </row>
    <row r="19" spans="2:18">
      <c r="K19" s="73"/>
      <c r="L19" s="73"/>
      <c r="M19" s="73"/>
      <c r="N19" s="73"/>
      <c r="O19" s="73"/>
      <c r="P19" s="73"/>
      <c r="Q19" s="73"/>
      <c r="R19" s="73"/>
    </row>
    <row r="20" spans="2:18">
      <c r="B20" t="s">
        <v>103</v>
      </c>
      <c r="K20" s="73"/>
      <c r="L20" s="73"/>
      <c r="M20" s="73"/>
      <c r="N20" s="73"/>
      <c r="O20" s="73"/>
      <c r="P20" s="73"/>
      <c r="Q20" s="73"/>
      <c r="R20" s="73"/>
    </row>
    <row r="21" spans="2:18">
      <c r="C21" t="s">
        <v>145</v>
      </c>
      <c r="K21" s="73"/>
      <c r="L21" s="73"/>
      <c r="M21" s="73"/>
      <c r="N21" s="73"/>
      <c r="O21" s="73"/>
      <c r="P21" s="73"/>
      <c r="Q21" s="73">
        <v>1785</v>
      </c>
      <c r="R21" s="73">
        <f>SUM(K21:Q21)</f>
        <v>1785</v>
      </c>
    </row>
    <row r="22" spans="2:18">
      <c r="C22" t="s">
        <v>69</v>
      </c>
      <c r="K22" s="73"/>
      <c r="L22" s="73"/>
      <c r="M22" s="73"/>
      <c r="N22" s="73"/>
      <c r="O22" s="73"/>
      <c r="P22" s="73"/>
      <c r="Q22" s="73"/>
      <c r="R22" s="73"/>
    </row>
    <row r="23" spans="2:18">
      <c r="D23" t="s">
        <v>71</v>
      </c>
      <c r="K23" s="73"/>
      <c r="L23" s="73"/>
      <c r="M23" s="73">
        <v>462609</v>
      </c>
      <c r="N23" s="73"/>
      <c r="O23" s="73"/>
      <c r="P23" s="73">
        <v>-178858</v>
      </c>
      <c r="Q23" s="73"/>
      <c r="R23" s="73">
        <f t="shared" ref="R23:R28" si="2">SUM(K23:Q23)</f>
        <v>283751</v>
      </c>
    </row>
    <row r="24" spans="2:18">
      <c r="D24" t="s">
        <v>72</v>
      </c>
      <c r="K24" s="73"/>
      <c r="L24" s="73">
        <v>586828</v>
      </c>
      <c r="M24" s="73"/>
      <c r="N24" s="73">
        <v>654647</v>
      </c>
      <c r="O24" s="73"/>
      <c r="P24" s="73"/>
      <c r="Q24" s="73">
        <v>1045271</v>
      </c>
      <c r="R24" s="73">
        <f t="shared" si="2"/>
        <v>2286746</v>
      </c>
    </row>
    <row r="25" spans="2:18">
      <c r="D25" t="s">
        <v>147</v>
      </c>
      <c r="K25" s="73"/>
      <c r="L25" s="73"/>
      <c r="M25" s="73"/>
      <c r="N25" s="73"/>
      <c r="O25" s="73"/>
      <c r="P25" s="73"/>
      <c r="Q25" s="73">
        <v>220260</v>
      </c>
      <c r="R25" s="73">
        <f t="shared" si="2"/>
        <v>220260</v>
      </c>
    </row>
    <row r="26" spans="2:18">
      <c r="D26" t="s">
        <v>115</v>
      </c>
      <c r="K26" s="73"/>
      <c r="L26" s="73"/>
      <c r="M26" s="73"/>
      <c r="N26" s="73"/>
      <c r="O26" s="73">
        <v>1920074</v>
      </c>
      <c r="P26" s="73"/>
      <c r="Q26" s="73"/>
      <c r="R26" s="73">
        <f t="shared" si="2"/>
        <v>1920074</v>
      </c>
    </row>
    <row r="27" spans="2:18">
      <c r="C27" t="s">
        <v>331</v>
      </c>
      <c r="K27" s="73"/>
      <c r="L27" s="73"/>
      <c r="M27" s="73"/>
      <c r="N27" s="73"/>
      <c r="O27" s="73"/>
      <c r="P27" s="73"/>
      <c r="Q27" s="73">
        <v>84503</v>
      </c>
      <c r="R27" s="73">
        <f t="shared" si="2"/>
        <v>84503</v>
      </c>
    </row>
    <row r="28" spans="2:18">
      <c r="C28" t="s">
        <v>48</v>
      </c>
      <c r="K28" s="84">
        <v>364265</v>
      </c>
      <c r="L28" s="73"/>
      <c r="M28" s="73"/>
      <c r="N28" s="73"/>
      <c r="O28" s="73"/>
      <c r="P28" s="73"/>
      <c r="Q28" s="73"/>
      <c r="R28" s="73">
        <f t="shared" si="2"/>
        <v>364265</v>
      </c>
    </row>
    <row r="29" spans="2:18">
      <c r="K29" s="73"/>
      <c r="L29" s="73"/>
      <c r="M29" s="73"/>
      <c r="N29" s="73"/>
      <c r="O29" s="73"/>
      <c r="P29" s="73"/>
      <c r="Q29" s="73"/>
      <c r="R29" s="73"/>
    </row>
    <row r="30" spans="2:18" s="5" customFormat="1">
      <c r="D30" s="6"/>
      <c r="E30" s="6" t="s">
        <v>478</v>
      </c>
      <c r="K30" s="79">
        <f t="shared" ref="K30:R30" si="3">SUM(K21:K28)</f>
        <v>364265</v>
      </c>
      <c r="L30" s="79">
        <f t="shared" si="3"/>
        <v>586828</v>
      </c>
      <c r="M30" s="79">
        <f t="shared" si="3"/>
        <v>462609</v>
      </c>
      <c r="N30" s="79">
        <f t="shared" si="3"/>
        <v>654647</v>
      </c>
      <c r="O30" s="79">
        <f t="shared" si="3"/>
        <v>1920074</v>
      </c>
      <c r="P30" s="79">
        <f t="shared" si="3"/>
        <v>-178858</v>
      </c>
      <c r="Q30" s="79">
        <f t="shared" si="3"/>
        <v>1351819</v>
      </c>
      <c r="R30" s="79">
        <f t="shared" si="3"/>
        <v>5161384</v>
      </c>
    </row>
    <row r="31" spans="2:18">
      <c r="K31" s="73"/>
      <c r="L31" s="73"/>
      <c r="M31" s="73"/>
      <c r="N31" s="73"/>
      <c r="O31" s="73"/>
      <c r="P31" s="73"/>
      <c r="Q31" s="73"/>
      <c r="R31" s="73"/>
    </row>
    <row r="32" spans="2:18" s="7" customFormat="1">
      <c r="D32" s="8"/>
      <c r="E32" s="8" t="s">
        <v>50</v>
      </c>
      <c r="K32" s="81">
        <f t="shared" ref="K32:R32" si="4">K30+K18</f>
        <v>594308</v>
      </c>
      <c r="L32" s="81">
        <f t="shared" si="4"/>
        <v>627943</v>
      </c>
      <c r="M32" s="81">
        <f t="shared" si="4"/>
        <v>498029</v>
      </c>
      <c r="N32" s="81">
        <f t="shared" si="4"/>
        <v>712013</v>
      </c>
      <c r="O32" s="81">
        <f t="shared" si="4"/>
        <v>1961493</v>
      </c>
      <c r="P32" s="81">
        <f t="shared" si="4"/>
        <v>5683</v>
      </c>
      <c r="Q32" s="81">
        <f t="shared" si="4"/>
        <v>1402424</v>
      </c>
      <c r="R32" s="81">
        <f t="shared" si="4"/>
        <v>5801893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S33"/>
  <sheetViews>
    <sheetView zoomScale="110" zoomScaleNormal="110" workbookViewId="0">
      <selection activeCell="K29" sqref="K29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4" width="19.42578125" customWidth="1"/>
    <col min="15" max="15" width="17.7109375" customWidth="1"/>
    <col min="16" max="16" width="16.42578125" customWidth="1"/>
    <col min="17" max="17" width="15.85546875" customWidth="1"/>
    <col min="18" max="18" width="18.28515625" customWidth="1"/>
    <col min="19" max="19" width="17.42578125" customWidth="1"/>
  </cols>
  <sheetData>
    <row r="1" spans="1:19" ht="18.75">
      <c r="D1" s="253" t="s">
        <v>479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</v>
      </c>
      <c r="E2" s="254"/>
      <c r="F2" s="254"/>
      <c r="G2" s="254"/>
      <c r="H2" s="254"/>
      <c r="I2" s="254"/>
      <c r="J2" s="254"/>
      <c r="K2" s="254"/>
    </row>
    <row r="4" spans="1:19" ht="60">
      <c r="K4" s="1" t="s">
        <v>2</v>
      </c>
      <c r="L4" s="1" t="s">
        <v>480</v>
      </c>
      <c r="M4" s="1" t="s">
        <v>481</v>
      </c>
      <c r="N4" s="1" t="s">
        <v>482</v>
      </c>
      <c r="O4" s="1" t="s">
        <v>187</v>
      </c>
      <c r="P4" s="1" t="s">
        <v>483</v>
      </c>
      <c r="Q4" s="1" t="s">
        <v>484</v>
      </c>
      <c r="R4" s="1" t="s">
        <v>58</v>
      </c>
      <c r="S4" s="1" t="s">
        <v>7</v>
      </c>
    </row>
    <row r="5" spans="1:19">
      <c r="A5" t="s">
        <v>8</v>
      </c>
    </row>
    <row r="6" spans="1:19">
      <c r="B6" t="s">
        <v>85</v>
      </c>
      <c r="K6" s="72">
        <v>1513461</v>
      </c>
      <c r="L6" s="73">
        <v>2226051</v>
      </c>
      <c r="M6" s="73">
        <v>1898122</v>
      </c>
      <c r="N6" s="73">
        <v>276750</v>
      </c>
      <c r="O6" s="73"/>
      <c r="P6" s="73">
        <v>129057</v>
      </c>
      <c r="Q6" s="73">
        <v>450805</v>
      </c>
      <c r="R6" s="73">
        <v>6183346</v>
      </c>
      <c r="S6" s="73">
        <f t="shared" ref="S6:S10" si="0">SUM(K6:R6)</f>
        <v>12677592</v>
      </c>
    </row>
    <row r="7" spans="1:19">
      <c r="B7" t="s">
        <v>10</v>
      </c>
      <c r="K7" s="77">
        <v>2075344</v>
      </c>
      <c r="L7" s="73">
        <v>544826</v>
      </c>
      <c r="M7" s="73">
        <v>1025040</v>
      </c>
      <c r="N7" s="73">
        <v>2446566</v>
      </c>
      <c r="O7" s="73"/>
      <c r="P7" s="73">
        <v>3007391</v>
      </c>
      <c r="Q7" s="73">
        <v>9966830</v>
      </c>
      <c r="R7" s="73">
        <v>3069977</v>
      </c>
      <c r="S7" s="73">
        <f t="shared" si="0"/>
        <v>22135974</v>
      </c>
    </row>
    <row r="8" spans="1:19">
      <c r="B8" t="s">
        <v>60</v>
      </c>
      <c r="K8" s="74">
        <v>1279234</v>
      </c>
      <c r="L8" s="73">
        <v>1792774</v>
      </c>
      <c r="M8" s="73">
        <v>1789202</v>
      </c>
      <c r="N8" s="73">
        <v>1977024</v>
      </c>
      <c r="O8" s="73">
        <v>983413</v>
      </c>
      <c r="P8" s="73">
        <v>1932</v>
      </c>
      <c r="Q8" s="73"/>
      <c r="R8" s="73">
        <v>821117</v>
      </c>
      <c r="S8" s="73">
        <f t="shared" si="0"/>
        <v>8644696</v>
      </c>
    </row>
    <row r="9" spans="1:19">
      <c r="B9" t="s">
        <v>16</v>
      </c>
      <c r="K9" s="75">
        <v>491604</v>
      </c>
      <c r="L9" s="73">
        <v>4714</v>
      </c>
      <c r="M9" s="73">
        <v>4709</v>
      </c>
      <c r="N9" s="73"/>
      <c r="O9" s="73">
        <v>4327</v>
      </c>
      <c r="P9" s="73"/>
      <c r="Q9" s="73"/>
      <c r="R9" s="73">
        <v>1541553</v>
      </c>
      <c r="S9" s="73">
        <f t="shared" si="0"/>
        <v>2046907</v>
      </c>
    </row>
    <row r="10" spans="1:19">
      <c r="B10" t="s">
        <v>485</v>
      </c>
      <c r="K10" s="75">
        <v>297704</v>
      </c>
      <c r="L10" s="73">
        <v>191</v>
      </c>
      <c r="M10" s="73">
        <v>34</v>
      </c>
      <c r="N10" s="73"/>
      <c r="O10" s="73"/>
      <c r="P10" s="73"/>
      <c r="Q10" s="73"/>
      <c r="R10" s="73">
        <v>35857</v>
      </c>
      <c r="S10" s="73">
        <f t="shared" si="0"/>
        <v>333786</v>
      </c>
    </row>
    <row r="11" spans="1:19">
      <c r="B11" t="s">
        <v>62</v>
      </c>
      <c r="K11" s="73"/>
      <c r="L11" s="73">
        <v>11582</v>
      </c>
      <c r="M11" s="73"/>
      <c r="N11" s="73"/>
      <c r="O11" s="73"/>
      <c r="P11" s="73"/>
      <c r="Q11" s="73"/>
      <c r="R11" s="73"/>
      <c r="S11" s="73">
        <f t="shared" ref="S11" si="1">SUM(K11:N11)</f>
        <v>11582</v>
      </c>
    </row>
    <row r="12" spans="1:19">
      <c r="K12" s="73"/>
      <c r="L12" s="73"/>
      <c r="M12" s="73"/>
      <c r="N12" s="73"/>
      <c r="O12" s="73"/>
      <c r="P12" s="73"/>
      <c r="Q12" s="73"/>
      <c r="R12" s="73"/>
      <c r="S12" s="73"/>
    </row>
    <row r="13" spans="1:19" s="3" customFormat="1">
      <c r="E13" s="3" t="s">
        <v>64</v>
      </c>
      <c r="K13" s="76">
        <f t="shared" ref="K13:S13" si="2">SUM(K6:K11)</f>
        <v>5657347</v>
      </c>
      <c r="L13" s="76">
        <f t="shared" si="2"/>
        <v>4580138</v>
      </c>
      <c r="M13" s="76">
        <f t="shared" si="2"/>
        <v>4717107</v>
      </c>
      <c r="N13" s="76">
        <f t="shared" si="2"/>
        <v>4700340</v>
      </c>
      <c r="O13" s="76">
        <f t="shared" si="2"/>
        <v>987740</v>
      </c>
      <c r="P13" s="76">
        <f t="shared" si="2"/>
        <v>3138380</v>
      </c>
      <c r="Q13" s="76">
        <f t="shared" si="2"/>
        <v>10417635</v>
      </c>
      <c r="R13" s="76">
        <f t="shared" si="2"/>
        <v>11651850</v>
      </c>
      <c r="S13" s="76">
        <f t="shared" si="2"/>
        <v>45850537</v>
      </c>
    </row>
    <row r="14" spans="1:19"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A15" s="177" t="s">
        <v>19</v>
      </c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B16" t="s">
        <v>20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2:19">
      <c r="C17" t="s">
        <v>447</v>
      </c>
      <c r="K17" s="73"/>
      <c r="L17" s="73"/>
      <c r="M17" s="73"/>
      <c r="N17" s="73"/>
      <c r="O17" s="73">
        <v>328053</v>
      </c>
      <c r="P17" s="73"/>
      <c r="Q17" s="73"/>
      <c r="R17" s="73">
        <v>166467</v>
      </c>
      <c r="S17" s="73">
        <f>SUM(K17:R17)</f>
        <v>494520</v>
      </c>
    </row>
    <row r="18" spans="2:19">
      <c r="C18" t="s">
        <v>21</v>
      </c>
      <c r="K18" s="77">
        <v>174453</v>
      </c>
      <c r="L18" s="73">
        <v>64976</v>
      </c>
      <c r="M18" s="73">
        <v>460208</v>
      </c>
      <c r="N18" s="73">
        <v>105632</v>
      </c>
      <c r="O18" s="73">
        <v>673802</v>
      </c>
      <c r="P18" s="73"/>
      <c r="Q18" s="73">
        <v>2500</v>
      </c>
      <c r="R18" s="73">
        <v>206129</v>
      </c>
      <c r="S18" s="73">
        <f>SUM(K18:R18)</f>
        <v>1687700</v>
      </c>
    </row>
    <row r="19" spans="2:19">
      <c r="C19" t="s">
        <v>267</v>
      </c>
      <c r="K19" s="77">
        <v>134316</v>
      </c>
      <c r="L19" s="73"/>
      <c r="M19" s="73"/>
      <c r="N19" s="73"/>
      <c r="O19" s="73"/>
      <c r="P19" s="73"/>
      <c r="Q19" s="73"/>
      <c r="R19" s="73"/>
      <c r="S19" s="73">
        <f>SUM(K19:R19)</f>
        <v>134316</v>
      </c>
    </row>
    <row r="20" spans="2:19">
      <c r="C20" t="s">
        <v>243</v>
      </c>
      <c r="K20" s="78">
        <v>520475</v>
      </c>
      <c r="L20" s="73"/>
      <c r="M20" s="73"/>
      <c r="N20" s="73"/>
      <c r="O20" s="73"/>
      <c r="P20" s="73"/>
      <c r="Q20" s="73"/>
      <c r="R20" s="73">
        <v>283022</v>
      </c>
      <c r="S20" s="73">
        <f>SUM(K20:R20)</f>
        <v>803497</v>
      </c>
    </row>
    <row r="21" spans="2:19">
      <c r="C21" t="s">
        <v>25</v>
      </c>
      <c r="K21" s="78">
        <v>1115881</v>
      </c>
      <c r="L21" s="73"/>
      <c r="M21" s="73"/>
      <c r="N21" s="73"/>
      <c r="O21" s="73"/>
      <c r="P21" s="73">
        <v>336880</v>
      </c>
      <c r="Q21" s="73">
        <v>417635</v>
      </c>
      <c r="R21" s="73">
        <v>176511</v>
      </c>
      <c r="S21" s="73">
        <f>SUM(K21:R21)</f>
        <v>2046907</v>
      </c>
    </row>
    <row r="22" spans="2:19">
      <c r="K22" s="73"/>
      <c r="L22" s="73"/>
      <c r="M22" s="73"/>
      <c r="N22" s="73"/>
      <c r="O22" s="73"/>
      <c r="P22" s="73"/>
      <c r="Q22" s="73"/>
      <c r="R22" s="73"/>
      <c r="S22" s="73"/>
    </row>
    <row r="23" spans="2:19" s="5" customFormat="1">
      <c r="E23" s="5" t="s">
        <v>26</v>
      </c>
      <c r="K23" s="79">
        <f t="shared" ref="K23:R23" si="3">SUM(K17:K21)</f>
        <v>1945125</v>
      </c>
      <c r="L23" s="79">
        <f t="shared" si="3"/>
        <v>64976</v>
      </c>
      <c r="M23" s="79">
        <f t="shared" si="3"/>
        <v>460208</v>
      </c>
      <c r="N23" s="79">
        <f t="shared" si="3"/>
        <v>105632</v>
      </c>
      <c r="O23" s="79">
        <f t="shared" si="3"/>
        <v>1001855</v>
      </c>
      <c r="P23" s="79">
        <f t="shared" si="3"/>
        <v>336880</v>
      </c>
      <c r="Q23" s="79">
        <f t="shared" si="3"/>
        <v>420135</v>
      </c>
      <c r="R23" s="79">
        <f t="shared" si="3"/>
        <v>832129</v>
      </c>
      <c r="S23" s="79">
        <f>SUM(S17:S21)</f>
        <v>5166940</v>
      </c>
    </row>
    <row r="24" spans="2:19">
      <c r="K24" s="73"/>
      <c r="L24" s="73"/>
      <c r="M24" s="73"/>
      <c r="N24" s="73"/>
      <c r="O24" s="73"/>
      <c r="Q24" s="73"/>
      <c r="R24" s="73"/>
      <c r="S24" s="73"/>
    </row>
    <row r="25" spans="2:19">
      <c r="B25" t="s">
        <v>30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2:19">
      <c r="C26" t="s">
        <v>145</v>
      </c>
      <c r="L26" s="73">
        <v>11582</v>
      </c>
      <c r="M26" s="73"/>
      <c r="N26" s="73"/>
      <c r="O26" s="73"/>
      <c r="P26" s="73"/>
      <c r="Q26" s="73"/>
      <c r="R26" s="73"/>
      <c r="S26" s="73">
        <f>SUM(K26:R26)</f>
        <v>11582</v>
      </c>
    </row>
    <row r="27" spans="2:19">
      <c r="C27" t="s">
        <v>244</v>
      </c>
      <c r="K27" s="73"/>
      <c r="L27" s="73"/>
      <c r="M27" s="73"/>
      <c r="N27" s="73"/>
      <c r="O27" s="73"/>
      <c r="P27" s="73"/>
      <c r="Q27" s="73"/>
      <c r="R27" s="73">
        <v>540866</v>
      </c>
      <c r="S27" s="73">
        <f>SUM(K27:R27)</f>
        <v>540866</v>
      </c>
    </row>
    <row r="28" spans="2:19">
      <c r="C28" t="s">
        <v>130</v>
      </c>
      <c r="K28" s="201"/>
      <c r="L28" s="73">
        <v>4503580</v>
      </c>
      <c r="M28" s="73">
        <v>4256899</v>
      </c>
      <c r="N28" s="73">
        <v>4594708</v>
      </c>
      <c r="O28" s="73"/>
      <c r="P28" s="73">
        <v>2801500</v>
      </c>
      <c r="Q28" s="73">
        <v>9997500</v>
      </c>
      <c r="R28" s="73">
        <v>10278855</v>
      </c>
      <c r="S28" s="73">
        <f>SUM(K28:R28)</f>
        <v>36433042</v>
      </c>
    </row>
    <row r="29" spans="2:19">
      <c r="C29" t="s">
        <v>48</v>
      </c>
      <c r="K29" s="84">
        <v>3712222</v>
      </c>
      <c r="L29" s="73"/>
      <c r="M29" s="73"/>
      <c r="N29" s="73"/>
      <c r="O29" s="73">
        <v>-14115</v>
      </c>
      <c r="P29" s="73"/>
      <c r="Q29" s="73"/>
      <c r="R29" s="73"/>
      <c r="S29" s="73">
        <f>SUM(K29:R29)</f>
        <v>3698107</v>
      </c>
    </row>
    <row r="30" spans="2:19">
      <c r="K30" s="73"/>
      <c r="L30" s="73"/>
      <c r="M30" s="73"/>
      <c r="N30" s="73"/>
      <c r="O30" s="73"/>
      <c r="P30" s="73"/>
      <c r="Q30" s="73"/>
      <c r="R30" s="73"/>
      <c r="S30" s="73"/>
    </row>
    <row r="31" spans="2:19" s="5" customFormat="1">
      <c r="E31" s="5" t="s">
        <v>486</v>
      </c>
      <c r="K31" s="79">
        <f>SUM(K26:K30)</f>
        <v>3712222</v>
      </c>
      <c r="L31" s="79">
        <f t="shared" ref="L31:R31" si="4">SUM(L26:L29)</f>
        <v>4515162</v>
      </c>
      <c r="M31" s="79">
        <f t="shared" si="4"/>
        <v>4256899</v>
      </c>
      <c r="N31" s="79">
        <f t="shared" si="4"/>
        <v>4594708</v>
      </c>
      <c r="O31" s="79">
        <f t="shared" si="4"/>
        <v>-14115</v>
      </c>
      <c r="P31" s="79">
        <f t="shared" si="4"/>
        <v>2801500</v>
      </c>
      <c r="Q31" s="79">
        <f t="shared" si="4"/>
        <v>9997500</v>
      </c>
      <c r="R31" s="79">
        <f t="shared" si="4"/>
        <v>10819721</v>
      </c>
      <c r="S31" s="79">
        <f>SUM(S25:S29)</f>
        <v>40683597</v>
      </c>
    </row>
    <row r="32" spans="2:19">
      <c r="K32" s="73"/>
      <c r="L32" s="73"/>
      <c r="M32" s="73"/>
      <c r="N32" s="73"/>
      <c r="O32" s="73"/>
      <c r="P32" s="73"/>
      <c r="Q32" s="73"/>
      <c r="R32" s="73"/>
      <c r="S32" s="73"/>
    </row>
    <row r="33" spans="5:19" s="7" customFormat="1">
      <c r="E33" s="7" t="s">
        <v>487</v>
      </c>
      <c r="K33" s="81">
        <f t="shared" ref="K33:S33" si="5">K31+K23</f>
        <v>5657347</v>
      </c>
      <c r="L33" s="81">
        <f t="shared" si="5"/>
        <v>4580138</v>
      </c>
      <c r="M33" s="81">
        <f t="shared" si="5"/>
        <v>4717107</v>
      </c>
      <c r="N33" s="81">
        <f t="shared" si="5"/>
        <v>4700340</v>
      </c>
      <c r="O33" s="81">
        <f t="shared" si="5"/>
        <v>987740</v>
      </c>
      <c r="P33" s="81">
        <f t="shared" si="5"/>
        <v>3138380</v>
      </c>
      <c r="Q33" s="81">
        <f t="shared" si="5"/>
        <v>10417635</v>
      </c>
      <c r="R33" s="81">
        <f t="shared" si="5"/>
        <v>11651850</v>
      </c>
      <c r="S33" s="81">
        <f t="shared" si="5"/>
        <v>45850537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Q59"/>
  <sheetViews>
    <sheetView topLeftCell="A35" zoomScale="90" zoomScaleNormal="90" zoomScalePageLayoutView="60" workbookViewId="0">
      <selection activeCell="U48" sqref="U48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6" width="19.42578125" customWidth="1"/>
    <col min="17" max="17" width="19.85546875" bestFit="1" customWidth="1"/>
  </cols>
  <sheetData>
    <row r="1" spans="1:17" ht="18.75">
      <c r="D1" s="253" t="s">
        <v>488</v>
      </c>
      <c r="E1" s="253"/>
      <c r="F1" s="253"/>
      <c r="G1" s="253"/>
      <c r="H1" s="253"/>
      <c r="I1" s="253"/>
      <c r="J1" s="253"/>
      <c r="K1" s="253"/>
    </row>
    <row r="2" spans="1:17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7">
      <c r="D3" s="57"/>
      <c r="E3" s="57"/>
      <c r="F3" s="57"/>
      <c r="G3" s="57"/>
      <c r="H3" s="57"/>
      <c r="I3" s="57"/>
      <c r="J3" s="57"/>
      <c r="K3" s="57"/>
    </row>
    <row r="4" spans="1:17">
      <c r="K4" s="256" t="s">
        <v>281</v>
      </c>
      <c r="L4" s="256"/>
      <c r="M4" s="256"/>
    </row>
    <row r="5" spans="1:17" ht="43.5" customHeight="1">
      <c r="K5" s="111" t="s">
        <v>489</v>
      </c>
      <c r="L5" s="111" t="s">
        <v>490</v>
      </c>
      <c r="M5" s="111" t="s">
        <v>491</v>
      </c>
      <c r="N5" s="111" t="s">
        <v>293</v>
      </c>
      <c r="O5" s="111" t="s">
        <v>492</v>
      </c>
      <c r="P5" s="111" t="s">
        <v>493</v>
      </c>
      <c r="Q5" s="111" t="s">
        <v>7</v>
      </c>
    </row>
    <row r="6" spans="1:17">
      <c r="A6" s="86" t="s">
        <v>8</v>
      </c>
    </row>
    <row r="7" spans="1:17">
      <c r="B7" t="s">
        <v>85</v>
      </c>
      <c r="K7" s="72">
        <v>53486</v>
      </c>
      <c r="L7" s="73">
        <v>2827050</v>
      </c>
      <c r="M7" s="73"/>
      <c r="N7" s="73">
        <v>4649898</v>
      </c>
      <c r="O7" s="73"/>
      <c r="P7" s="73">
        <v>3416796</v>
      </c>
      <c r="Q7" s="73">
        <f>SUM(K7:P7)</f>
        <v>10947230</v>
      </c>
    </row>
    <row r="8" spans="1:17">
      <c r="B8" t="s">
        <v>494</v>
      </c>
      <c r="K8" s="72">
        <v>3206017</v>
      </c>
      <c r="L8" s="73"/>
      <c r="M8" s="73"/>
      <c r="N8" s="73"/>
      <c r="O8" s="73"/>
      <c r="P8" s="73"/>
      <c r="Q8" s="73">
        <f>SUM(K8:P8)</f>
        <v>3206017</v>
      </c>
    </row>
    <row r="9" spans="1:17">
      <c r="B9" t="s">
        <v>10</v>
      </c>
      <c r="K9" s="226">
        <v>71276</v>
      </c>
      <c r="L9" s="73">
        <v>3069876</v>
      </c>
      <c r="M9" s="73"/>
      <c r="N9" s="73">
        <v>268927</v>
      </c>
      <c r="O9" s="73"/>
      <c r="P9" s="73"/>
      <c r="Q9" s="73">
        <f>SUM(K9:P9)</f>
        <v>3410079</v>
      </c>
    </row>
    <row r="10" spans="1:17">
      <c r="B10" t="s">
        <v>495</v>
      </c>
      <c r="K10" s="74">
        <v>522803</v>
      </c>
      <c r="L10" s="73">
        <v>70</v>
      </c>
      <c r="M10" s="73">
        <v>3317</v>
      </c>
      <c r="N10" s="73">
        <v>364</v>
      </c>
      <c r="O10" s="73"/>
      <c r="P10" s="73">
        <v>488782</v>
      </c>
      <c r="Q10" s="73">
        <f>SUM(K10:P10)</f>
        <v>1015336</v>
      </c>
    </row>
    <row r="11" spans="1:17">
      <c r="B11" t="s">
        <v>357</v>
      </c>
      <c r="K11" s="73"/>
      <c r="L11" s="73"/>
      <c r="M11" s="73"/>
      <c r="N11" s="73"/>
      <c r="O11" s="73"/>
      <c r="P11" s="73"/>
      <c r="Q11" s="73"/>
    </row>
    <row r="12" spans="1:17">
      <c r="C12" t="s">
        <v>59</v>
      </c>
      <c r="K12" s="72">
        <v>97896</v>
      </c>
      <c r="L12" s="73"/>
      <c r="M12" s="73"/>
      <c r="N12" s="73"/>
      <c r="O12" s="73">
        <v>3405391</v>
      </c>
      <c r="P12" s="73">
        <v>3311766</v>
      </c>
      <c r="Q12" s="73">
        <f t="shared" ref="Q12:Q17" si="0">SUM(K12:P12)</f>
        <v>6815053</v>
      </c>
    </row>
    <row r="13" spans="1:17">
      <c r="B13" t="s">
        <v>496</v>
      </c>
      <c r="K13" s="73"/>
      <c r="L13" s="73"/>
      <c r="M13" s="73">
        <v>15947</v>
      </c>
      <c r="N13" s="73">
        <v>215812</v>
      </c>
      <c r="O13" s="73"/>
      <c r="P13" s="73"/>
      <c r="Q13" s="73">
        <f t="shared" si="0"/>
        <v>231759</v>
      </c>
    </row>
    <row r="14" spans="1:17">
      <c r="B14" t="s">
        <v>17</v>
      </c>
      <c r="K14" s="73"/>
      <c r="L14" s="73"/>
      <c r="M14" s="73"/>
      <c r="N14" s="73"/>
      <c r="O14" s="73"/>
      <c r="P14" s="73">
        <v>116846</v>
      </c>
      <c r="Q14" s="73">
        <f t="shared" si="0"/>
        <v>116846</v>
      </c>
    </row>
    <row r="15" spans="1:17">
      <c r="B15" t="s">
        <v>16</v>
      </c>
      <c r="K15" s="75">
        <v>4026470</v>
      </c>
      <c r="L15" s="73"/>
      <c r="M15" s="73"/>
      <c r="N15" s="73">
        <v>1388509</v>
      </c>
      <c r="O15" s="73"/>
      <c r="P15" s="73"/>
      <c r="Q15" s="73">
        <f t="shared" si="0"/>
        <v>5414979</v>
      </c>
    </row>
    <row r="16" spans="1:17">
      <c r="B16" t="s">
        <v>61</v>
      </c>
      <c r="K16" s="75">
        <v>1467200</v>
      </c>
      <c r="L16" s="73">
        <v>1001405</v>
      </c>
      <c r="M16" s="73">
        <v>760671</v>
      </c>
      <c r="N16" s="73">
        <v>4739168</v>
      </c>
      <c r="O16" s="73"/>
      <c r="P16" s="73">
        <v>3612117</v>
      </c>
      <c r="Q16" s="73">
        <f t="shared" si="0"/>
        <v>11580561</v>
      </c>
    </row>
    <row r="17" spans="1:17">
      <c r="B17" t="s">
        <v>497</v>
      </c>
      <c r="K17" s="82">
        <v>3431708</v>
      </c>
      <c r="L17" s="73">
        <v>300000</v>
      </c>
      <c r="M17" s="73"/>
      <c r="N17" s="73"/>
      <c r="O17" s="85"/>
      <c r="P17" s="85"/>
      <c r="Q17" s="73">
        <f t="shared" si="0"/>
        <v>3731708</v>
      </c>
    </row>
    <row r="18" spans="1:17">
      <c r="K18" s="93"/>
      <c r="L18" s="93"/>
      <c r="M18" s="93"/>
      <c r="N18" s="93"/>
      <c r="O18" s="73"/>
      <c r="P18" s="73"/>
      <c r="Q18" s="93"/>
    </row>
    <row r="19" spans="1:17" s="3" customFormat="1">
      <c r="A19" s="2"/>
      <c r="B19" s="2"/>
      <c r="C19" s="2"/>
      <c r="D19" s="2"/>
      <c r="E19" s="2" t="s">
        <v>64</v>
      </c>
      <c r="K19" s="76">
        <f t="shared" ref="K19:Q19" si="1">SUM(K7:K17)</f>
        <v>12876856</v>
      </c>
      <c r="L19" s="76">
        <f t="shared" si="1"/>
        <v>7198401</v>
      </c>
      <c r="M19" s="76">
        <f t="shared" si="1"/>
        <v>779935</v>
      </c>
      <c r="N19" s="76">
        <f t="shared" si="1"/>
        <v>11262678</v>
      </c>
      <c r="O19" s="76">
        <f t="shared" si="1"/>
        <v>3405391</v>
      </c>
      <c r="P19" s="76">
        <f t="shared" si="1"/>
        <v>10946307</v>
      </c>
      <c r="Q19" s="76">
        <f t="shared" si="1"/>
        <v>46469568</v>
      </c>
    </row>
    <row r="20" spans="1:17">
      <c r="K20" s="73"/>
      <c r="L20" s="73"/>
      <c r="M20" s="73"/>
      <c r="N20" s="73"/>
      <c r="O20" s="73"/>
      <c r="P20" s="73"/>
      <c r="Q20" s="73"/>
    </row>
    <row r="21" spans="1:17">
      <c r="A21" s="4" t="s">
        <v>19</v>
      </c>
      <c r="K21" s="73"/>
      <c r="L21" s="73"/>
      <c r="M21" s="73"/>
      <c r="N21" s="73"/>
      <c r="O21" s="73"/>
      <c r="P21" s="73"/>
      <c r="Q21" s="73"/>
    </row>
    <row r="22" spans="1:17">
      <c r="B22" s="86" t="s">
        <v>20</v>
      </c>
      <c r="K22" s="73"/>
      <c r="L22" s="73"/>
      <c r="M22" s="73"/>
      <c r="N22" s="73"/>
      <c r="O22" s="73"/>
      <c r="P22" s="73"/>
      <c r="Q22" s="73"/>
    </row>
    <row r="23" spans="1:17">
      <c r="C23" t="s">
        <v>498</v>
      </c>
      <c r="K23" s="77">
        <v>301132</v>
      </c>
      <c r="L23" s="73">
        <v>20943</v>
      </c>
      <c r="M23" s="73">
        <v>213007</v>
      </c>
      <c r="N23" s="73">
        <v>474302</v>
      </c>
      <c r="O23" s="73"/>
      <c r="P23" s="73">
        <v>1209273</v>
      </c>
      <c r="Q23" s="73">
        <f t="shared" ref="Q23:Q30" si="2">SUM(K23:P23)</f>
        <v>2218657</v>
      </c>
    </row>
    <row r="24" spans="1:17">
      <c r="C24" t="s">
        <v>499</v>
      </c>
      <c r="K24" s="73"/>
      <c r="L24" s="73"/>
      <c r="M24" s="73">
        <v>2064910</v>
      </c>
      <c r="N24" s="73"/>
      <c r="O24" s="73"/>
      <c r="P24" s="73">
        <v>1141107</v>
      </c>
      <c r="Q24" s="73">
        <f t="shared" si="2"/>
        <v>3206017</v>
      </c>
    </row>
    <row r="25" spans="1:17">
      <c r="C25" t="s">
        <v>500</v>
      </c>
      <c r="K25" s="77">
        <v>237941</v>
      </c>
      <c r="L25" s="73">
        <v>45536</v>
      </c>
      <c r="M25" s="73">
        <v>36493</v>
      </c>
      <c r="N25" s="73">
        <v>238487</v>
      </c>
      <c r="O25" s="73"/>
      <c r="P25" s="73">
        <v>19542</v>
      </c>
      <c r="Q25" s="73">
        <f t="shared" si="2"/>
        <v>577999</v>
      </c>
    </row>
    <row r="26" spans="1:17">
      <c r="C26" t="s">
        <v>198</v>
      </c>
      <c r="K26" s="73"/>
      <c r="L26" s="73"/>
      <c r="M26" s="73"/>
      <c r="N26" s="73"/>
      <c r="O26" s="73"/>
      <c r="P26" s="73">
        <v>142562</v>
      </c>
      <c r="Q26" s="73">
        <f t="shared" si="2"/>
        <v>142562</v>
      </c>
    </row>
    <row r="27" spans="1:17">
      <c r="C27" t="s">
        <v>99</v>
      </c>
      <c r="K27" s="78">
        <v>255886</v>
      </c>
      <c r="L27" s="73">
        <v>47467</v>
      </c>
      <c r="M27" s="73">
        <v>60856</v>
      </c>
      <c r="N27" s="73">
        <v>125407</v>
      </c>
      <c r="O27" s="73"/>
      <c r="P27" s="73">
        <v>620664</v>
      </c>
      <c r="Q27" s="73">
        <f t="shared" si="2"/>
        <v>1110280</v>
      </c>
    </row>
    <row r="28" spans="1:17">
      <c r="C28" t="s">
        <v>25</v>
      </c>
      <c r="K28" s="78">
        <v>837948</v>
      </c>
      <c r="L28" s="73">
        <v>227549</v>
      </c>
      <c r="M28" s="73">
        <v>2624842</v>
      </c>
      <c r="N28" s="73">
        <v>1303434</v>
      </c>
      <c r="O28" s="73"/>
      <c r="P28" s="73">
        <v>398823</v>
      </c>
      <c r="Q28" s="73">
        <f t="shared" si="2"/>
        <v>5392596</v>
      </c>
    </row>
    <row r="29" spans="1:17">
      <c r="C29" t="s">
        <v>24</v>
      </c>
      <c r="K29" s="98">
        <v>19700</v>
      </c>
      <c r="L29" s="73"/>
      <c r="M29" s="73"/>
      <c r="N29" s="73"/>
      <c r="O29" s="73"/>
      <c r="P29" s="73"/>
      <c r="Q29" s="73">
        <f t="shared" si="2"/>
        <v>19700</v>
      </c>
    </row>
    <row r="30" spans="1:17">
      <c r="C30" t="s">
        <v>501</v>
      </c>
      <c r="K30" s="73"/>
      <c r="L30" s="73"/>
      <c r="M30" s="73">
        <v>3731708</v>
      </c>
      <c r="N30" s="73"/>
      <c r="O30" s="85"/>
      <c r="P30" s="85"/>
      <c r="Q30" s="85">
        <f t="shared" si="2"/>
        <v>3731708</v>
      </c>
    </row>
    <row r="31" spans="1:17">
      <c r="K31" s="93"/>
      <c r="L31" s="93"/>
      <c r="M31" s="93"/>
      <c r="N31" s="93"/>
      <c r="O31" s="73"/>
      <c r="P31" s="73"/>
      <c r="Q31" s="73"/>
    </row>
    <row r="32" spans="1:17" s="5" customFormat="1">
      <c r="B32" s="6"/>
      <c r="C32" s="6"/>
      <c r="D32" s="6"/>
      <c r="E32" s="6" t="s">
        <v>26</v>
      </c>
      <c r="K32" s="79">
        <f>SUM(K23:K30)</f>
        <v>1652607</v>
      </c>
      <c r="L32" s="79">
        <f>SUM(L23:L30)</f>
        <v>341495</v>
      </c>
      <c r="M32" s="79">
        <f>SUM(M23:M30)</f>
        <v>8731816</v>
      </c>
      <c r="N32" s="79">
        <f>SUM(N23:N30)</f>
        <v>2141630</v>
      </c>
      <c r="O32" s="79">
        <f t="shared" ref="O32:P32" si="3">SUM(O23:O30)</f>
        <v>0</v>
      </c>
      <c r="P32" s="79">
        <f t="shared" si="3"/>
        <v>3531971</v>
      </c>
      <c r="Q32" s="79">
        <f>SUM(Q23:Q30)</f>
        <v>16399519</v>
      </c>
    </row>
    <row r="33" spans="2:17">
      <c r="K33" s="73"/>
      <c r="L33" s="73"/>
      <c r="M33" s="73"/>
      <c r="N33" s="73"/>
      <c r="O33" s="73"/>
      <c r="P33" s="73"/>
      <c r="Q33" s="73"/>
    </row>
    <row r="34" spans="2:17">
      <c r="B34" s="86" t="s">
        <v>30</v>
      </c>
      <c r="K34" s="73"/>
      <c r="L34" s="73"/>
      <c r="M34" s="73"/>
      <c r="N34" s="73"/>
      <c r="O34" s="73"/>
      <c r="P34" s="73"/>
      <c r="Q34" s="73"/>
    </row>
    <row r="35" spans="2:17">
      <c r="C35" t="s">
        <v>502</v>
      </c>
      <c r="K35" s="73"/>
      <c r="L35" s="73"/>
      <c r="M35" s="73"/>
      <c r="N35" s="73"/>
      <c r="O35" s="73"/>
      <c r="P35" s="73"/>
      <c r="Q35" s="73"/>
    </row>
    <row r="36" spans="2:17">
      <c r="D36" t="s">
        <v>62</v>
      </c>
      <c r="K36" s="73"/>
      <c r="L36" s="73"/>
      <c r="M36" s="73">
        <v>15947</v>
      </c>
      <c r="N36" s="73">
        <v>215812</v>
      </c>
      <c r="O36" s="73"/>
      <c r="P36" s="73"/>
      <c r="Q36" s="73">
        <f>SUM(K36:P36)</f>
        <v>231759</v>
      </c>
    </row>
    <row r="37" spans="2:17">
      <c r="D37" t="s">
        <v>503</v>
      </c>
      <c r="K37" s="80">
        <v>3431708</v>
      </c>
      <c r="L37" s="73">
        <v>300000</v>
      </c>
      <c r="M37" s="73"/>
      <c r="N37" s="73"/>
      <c r="O37" s="73"/>
      <c r="P37" s="73"/>
      <c r="Q37" s="73">
        <f>SUM(K37:P37)</f>
        <v>3731708</v>
      </c>
    </row>
    <row r="38" spans="2:17">
      <c r="C38" t="s">
        <v>31</v>
      </c>
      <c r="K38" s="73"/>
      <c r="L38" s="73"/>
      <c r="M38" s="73"/>
      <c r="N38" s="73"/>
      <c r="O38" s="73"/>
      <c r="P38" s="73"/>
      <c r="Q38" s="73"/>
    </row>
    <row r="39" spans="2:17">
      <c r="D39" t="s">
        <v>381</v>
      </c>
      <c r="K39" s="73"/>
      <c r="L39" s="73"/>
      <c r="M39" s="73"/>
      <c r="N39" s="73"/>
      <c r="O39" s="73"/>
      <c r="P39" s="73">
        <v>945547</v>
      </c>
      <c r="Q39" s="73">
        <f>SUM(K39:P39)</f>
        <v>945547</v>
      </c>
    </row>
    <row r="40" spans="2:17">
      <c r="D40" t="s">
        <v>504</v>
      </c>
      <c r="K40" s="73"/>
      <c r="L40" s="73"/>
      <c r="M40" s="73"/>
      <c r="N40" s="73"/>
      <c r="O40" s="73"/>
      <c r="P40" s="73">
        <v>36532</v>
      </c>
      <c r="Q40" s="73">
        <f>SUM(K40:P40)</f>
        <v>36532</v>
      </c>
    </row>
    <row r="41" spans="2:17">
      <c r="D41" t="s">
        <v>505</v>
      </c>
      <c r="K41" s="73"/>
      <c r="L41" s="73"/>
      <c r="M41" s="73"/>
      <c r="N41" s="73"/>
      <c r="O41" s="73"/>
      <c r="P41" s="73">
        <v>42800</v>
      </c>
      <c r="Q41" s="73">
        <f>SUM(K41:P41)</f>
        <v>42800</v>
      </c>
    </row>
    <row r="42" spans="2:17">
      <c r="D42" t="s">
        <v>74</v>
      </c>
      <c r="K42" s="73"/>
      <c r="L42" s="73"/>
      <c r="M42" s="73"/>
      <c r="N42" s="73"/>
      <c r="O42" s="73">
        <v>3405391</v>
      </c>
      <c r="P42" s="73">
        <v>4292485</v>
      </c>
      <c r="Q42" s="73">
        <f>SUM(K42:P42)</f>
        <v>7697876</v>
      </c>
    </row>
    <row r="43" spans="2:17">
      <c r="D43" t="s">
        <v>506</v>
      </c>
      <c r="K43" s="80">
        <v>97896</v>
      </c>
      <c r="L43" s="73"/>
      <c r="M43" s="73"/>
      <c r="N43" s="73"/>
      <c r="O43" s="73"/>
      <c r="P43" s="73"/>
      <c r="Q43" s="73">
        <f>SUM(K43:P43)</f>
        <v>97896</v>
      </c>
    </row>
    <row r="44" spans="2:17">
      <c r="C44" t="s">
        <v>257</v>
      </c>
      <c r="K44" s="73"/>
      <c r="L44" s="73"/>
      <c r="M44" s="73"/>
      <c r="N44" s="73"/>
      <c r="O44" s="73"/>
      <c r="P44" s="73"/>
      <c r="Q44" s="73"/>
    </row>
    <row r="45" spans="2:17">
      <c r="D45" t="s">
        <v>381</v>
      </c>
      <c r="K45" s="73"/>
      <c r="L45" s="73"/>
      <c r="M45" s="73"/>
      <c r="N45" s="73">
        <v>467590</v>
      </c>
      <c r="O45" s="73"/>
      <c r="P45" s="73"/>
      <c r="Q45" s="73">
        <f>SUM(K45:P45)</f>
        <v>467590</v>
      </c>
    </row>
    <row r="46" spans="2:17">
      <c r="D46" t="s">
        <v>507</v>
      </c>
      <c r="K46" s="73"/>
      <c r="L46" s="73"/>
      <c r="M46" s="73"/>
      <c r="N46" s="73">
        <v>448367</v>
      </c>
      <c r="O46" s="73"/>
      <c r="P46" s="73"/>
      <c r="Q46" s="73">
        <f>SUM(K46:P46)</f>
        <v>448367</v>
      </c>
    </row>
    <row r="47" spans="2:17">
      <c r="D47" t="s">
        <v>508</v>
      </c>
      <c r="K47" s="174">
        <v>22500</v>
      </c>
      <c r="L47" s="73"/>
      <c r="M47" s="73"/>
      <c r="N47" s="73"/>
      <c r="O47" s="73"/>
      <c r="P47" s="73"/>
      <c r="Q47" s="73">
        <f>SUM(K47:P47)</f>
        <v>22500</v>
      </c>
    </row>
    <row r="48" spans="2:17">
      <c r="D48" t="s">
        <v>113</v>
      </c>
      <c r="K48" s="174">
        <v>15233</v>
      </c>
      <c r="L48" s="73"/>
      <c r="M48" s="73"/>
      <c r="N48" s="73"/>
      <c r="O48" s="73"/>
      <c r="P48" s="73"/>
      <c r="Q48" s="73">
        <f>SUM(K48:P48)</f>
        <v>15233</v>
      </c>
    </row>
    <row r="49" spans="3:17">
      <c r="C49" t="s">
        <v>206</v>
      </c>
      <c r="K49" s="73"/>
      <c r="L49" s="73"/>
      <c r="M49" s="73"/>
      <c r="N49" s="73"/>
      <c r="O49" s="73"/>
      <c r="P49" s="73"/>
      <c r="Q49" s="73"/>
    </row>
    <row r="50" spans="3:17">
      <c r="D50" t="s">
        <v>509</v>
      </c>
      <c r="K50" s="73"/>
      <c r="L50" s="73"/>
      <c r="M50" s="73"/>
      <c r="N50" s="73"/>
      <c r="O50" s="73"/>
      <c r="P50" s="73">
        <v>7140</v>
      </c>
      <c r="Q50" s="73">
        <f t="shared" ref="Q50:Q55" si="4">SUM(K50:P50)</f>
        <v>7140</v>
      </c>
    </row>
    <row r="51" spans="3:17">
      <c r="D51" t="s">
        <v>510</v>
      </c>
      <c r="K51" s="73"/>
      <c r="L51" s="73"/>
      <c r="M51" s="73"/>
      <c r="N51" s="73"/>
      <c r="O51" s="73"/>
      <c r="P51" s="73">
        <v>1840571</v>
      </c>
      <c r="Q51" s="73">
        <f t="shared" si="4"/>
        <v>1840571</v>
      </c>
    </row>
    <row r="52" spans="3:17">
      <c r="D52" t="s">
        <v>511</v>
      </c>
      <c r="K52" s="73"/>
      <c r="L52" s="73">
        <v>6556906</v>
      </c>
      <c r="M52" s="73"/>
      <c r="N52" s="73"/>
      <c r="O52" s="73"/>
      <c r="P52" s="73"/>
      <c r="Q52" s="73">
        <f t="shared" si="4"/>
        <v>6556906</v>
      </c>
    </row>
    <row r="53" spans="3:17">
      <c r="D53" t="s">
        <v>512</v>
      </c>
      <c r="K53" s="73"/>
      <c r="L53" s="73"/>
      <c r="M53" s="73"/>
      <c r="N53" s="73">
        <v>7989279</v>
      </c>
      <c r="O53" s="73"/>
      <c r="P53" s="73"/>
      <c r="Q53" s="73">
        <f t="shared" si="4"/>
        <v>7989279</v>
      </c>
    </row>
    <row r="54" spans="3:17">
      <c r="D54" t="s">
        <v>113</v>
      </c>
      <c r="K54" s="174">
        <v>248113</v>
      </c>
      <c r="L54" s="73"/>
      <c r="M54" s="73"/>
      <c r="N54" s="73"/>
      <c r="O54" s="73"/>
      <c r="P54" s="73">
        <v>153844</v>
      </c>
      <c r="Q54" s="73">
        <f t="shared" si="4"/>
        <v>401957</v>
      </c>
    </row>
    <row r="55" spans="3:17">
      <c r="C55" t="s">
        <v>48</v>
      </c>
      <c r="K55" s="84">
        <v>7408799</v>
      </c>
      <c r="L55" s="73"/>
      <c r="M55" s="73">
        <v>-7967828</v>
      </c>
      <c r="N55" s="73"/>
      <c r="O55" s="85"/>
      <c r="P55" s="85">
        <v>95417</v>
      </c>
      <c r="Q55" s="85">
        <f t="shared" si="4"/>
        <v>-463612</v>
      </c>
    </row>
    <row r="56" spans="3:17">
      <c r="K56" s="93"/>
      <c r="L56" s="93"/>
      <c r="M56" s="93"/>
      <c r="N56" s="93"/>
      <c r="O56" s="73"/>
      <c r="P56" s="73"/>
      <c r="Q56" s="73"/>
    </row>
    <row r="57" spans="3:17" s="5" customFormat="1">
      <c r="D57" s="6"/>
      <c r="E57" s="6" t="s">
        <v>513</v>
      </c>
      <c r="K57" s="79">
        <f>SUM(K35:K56)</f>
        <v>11224249</v>
      </c>
      <c r="L57" s="79">
        <f>SUM(L36:L55)</f>
        <v>6856906</v>
      </c>
      <c r="M57" s="79">
        <f>SUM(M35:M55)</f>
        <v>-7951881</v>
      </c>
      <c r="N57" s="79">
        <f>SUM(N36:N55)</f>
        <v>9121048</v>
      </c>
      <c r="O57" s="79">
        <f>SUM(O36:O55)</f>
        <v>3405391</v>
      </c>
      <c r="P57" s="79">
        <f>SUM(P36:P55)</f>
        <v>7414336</v>
      </c>
      <c r="Q57" s="79">
        <f>SUM(Q36:Q55)</f>
        <v>30070049</v>
      </c>
    </row>
    <row r="58" spans="3:17">
      <c r="K58" s="73"/>
      <c r="L58" s="73"/>
      <c r="M58" s="73"/>
      <c r="N58" s="73"/>
      <c r="O58" s="73"/>
      <c r="P58" s="73"/>
      <c r="Q58" s="73"/>
    </row>
    <row r="59" spans="3:17" s="7" customFormat="1">
      <c r="D59" s="8"/>
      <c r="E59" s="8" t="s">
        <v>514</v>
      </c>
      <c r="K59" s="81">
        <f>SUM(K57,K32)</f>
        <v>12876856</v>
      </c>
      <c r="L59" s="81">
        <f t="shared" ref="L59:Q59" si="5">SUM(L32,L57)</f>
        <v>7198401</v>
      </c>
      <c r="M59" s="81">
        <f t="shared" si="5"/>
        <v>779935</v>
      </c>
      <c r="N59" s="81">
        <f t="shared" si="5"/>
        <v>11262678</v>
      </c>
      <c r="O59" s="81">
        <f t="shared" si="5"/>
        <v>3405391</v>
      </c>
      <c r="P59" s="81">
        <f t="shared" si="5"/>
        <v>10946307</v>
      </c>
      <c r="Q59" s="81">
        <f t="shared" si="5"/>
        <v>46469568</v>
      </c>
    </row>
  </sheetData>
  <mergeCells count="3">
    <mergeCell ref="D1:K1"/>
    <mergeCell ref="D2:K2"/>
    <mergeCell ref="K4:M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S36"/>
  <sheetViews>
    <sheetView topLeftCell="A5" zoomScale="60" zoomScaleNormal="60" workbookViewId="0">
      <selection activeCell="K27" sqref="K27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4" width="17" customWidth="1"/>
    <col min="15" max="15" width="16.7109375" customWidth="1"/>
    <col min="16" max="17" width="13.7109375" customWidth="1"/>
    <col min="18" max="18" width="18.42578125" customWidth="1"/>
    <col min="19" max="19" width="18.140625" customWidth="1"/>
  </cols>
  <sheetData>
    <row r="1" spans="1:19" ht="18.75">
      <c r="D1" s="253" t="s">
        <v>515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>
      <c r="P4" s="57"/>
      <c r="Q4" s="57"/>
    </row>
    <row r="5" spans="1:19" ht="45">
      <c r="K5" s="1" t="s">
        <v>2</v>
      </c>
      <c r="L5" s="1" t="s">
        <v>136</v>
      </c>
      <c r="M5" s="1" t="s">
        <v>516</v>
      </c>
      <c r="N5" s="1" t="s">
        <v>135</v>
      </c>
      <c r="O5" s="1" t="s">
        <v>517</v>
      </c>
      <c r="P5" s="1" t="s">
        <v>518</v>
      </c>
      <c r="Q5" s="1" t="s">
        <v>519</v>
      </c>
      <c r="R5" s="1" t="s">
        <v>6</v>
      </c>
      <c r="S5" s="1" t="s">
        <v>170</v>
      </c>
    </row>
    <row r="6" spans="1:19">
      <c r="A6" t="s">
        <v>8</v>
      </c>
    </row>
    <row r="7" spans="1:19">
      <c r="B7" t="s">
        <v>85</v>
      </c>
      <c r="K7" s="72">
        <v>173630</v>
      </c>
      <c r="L7" s="73">
        <v>619289</v>
      </c>
      <c r="M7" s="73">
        <v>834855</v>
      </c>
      <c r="N7" s="73">
        <v>1093174</v>
      </c>
      <c r="O7" s="73">
        <v>29909</v>
      </c>
      <c r="P7" s="73">
        <v>2833723</v>
      </c>
      <c r="Q7" s="73">
        <v>226147</v>
      </c>
      <c r="R7" s="73">
        <v>385311</v>
      </c>
      <c r="S7" s="73">
        <f>SUM(K7:R7)</f>
        <v>6196038</v>
      </c>
    </row>
    <row r="8" spans="1:19">
      <c r="B8" t="s">
        <v>10</v>
      </c>
      <c r="K8" s="73"/>
      <c r="L8" s="73">
        <v>321097</v>
      </c>
      <c r="M8" s="73"/>
      <c r="N8" s="73"/>
      <c r="O8" s="73"/>
      <c r="P8" s="73">
        <v>2055945</v>
      </c>
      <c r="Q8" s="73">
        <v>676590</v>
      </c>
      <c r="R8" s="73"/>
      <c r="S8" s="73">
        <f>SUM(K8:R8)</f>
        <v>3053632</v>
      </c>
    </row>
    <row r="9" spans="1:19">
      <c r="B9" t="s">
        <v>60</v>
      </c>
      <c r="K9" s="74">
        <v>626868</v>
      </c>
      <c r="L9" s="73">
        <v>557576</v>
      </c>
      <c r="M9" s="73">
        <v>519937</v>
      </c>
      <c r="N9" s="73">
        <v>274027</v>
      </c>
      <c r="O9" s="73">
        <v>1762330</v>
      </c>
      <c r="P9" s="73">
        <v>1448431</v>
      </c>
      <c r="Q9" s="73">
        <v>329681</v>
      </c>
      <c r="R9" s="73">
        <v>40144</v>
      </c>
      <c r="S9" s="73">
        <f>SUM(K9:R9)</f>
        <v>5558994</v>
      </c>
    </row>
    <row r="10" spans="1:19">
      <c r="B10" t="s">
        <v>251</v>
      </c>
      <c r="K10" s="74">
        <v>387487</v>
      </c>
      <c r="L10" s="73"/>
      <c r="M10" s="73">
        <v>411006</v>
      </c>
      <c r="N10" s="73">
        <v>40</v>
      </c>
      <c r="O10" s="73"/>
      <c r="P10" s="73">
        <v>235315</v>
      </c>
      <c r="Q10" s="73"/>
      <c r="R10" s="73"/>
      <c r="S10" s="73">
        <f>SUM(K10:R10)</f>
        <v>1033848</v>
      </c>
    </row>
    <row r="11" spans="1:19">
      <c r="K11" s="73"/>
      <c r="L11" s="73"/>
      <c r="M11" s="73"/>
      <c r="N11" s="73"/>
      <c r="O11" s="73"/>
      <c r="P11" s="73"/>
      <c r="Q11" s="73"/>
      <c r="R11" s="73"/>
      <c r="S11" s="73"/>
    </row>
    <row r="12" spans="1:19" s="3" customFormat="1">
      <c r="A12" s="2"/>
      <c r="B12" s="2"/>
      <c r="C12" s="2"/>
      <c r="D12" s="2"/>
      <c r="E12" s="2" t="s">
        <v>64</v>
      </c>
      <c r="K12" s="76">
        <f t="shared" ref="K12:S12" si="0">SUM(K7:K10)</f>
        <v>1187985</v>
      </c>
      <c r="L12" s="76">
        <f t="shared" si="0"/>
        <v>1497962</v>
      </c>
      <c r="M12" s="76">
        <f t="shared" si="0"/>
        <v>1765798</v>
      </c>
      <c r="N12" s="76">
        <f t="shared" si="0"/>
        <v>1367241</v>
      </c>
      <c r="O12" s="76">
        <f t="shared" si="0"/>
        <v>1792239</v>
      </c>
      <c r="P12" s="76">
        <f t="shared" si="0"/>
        <v>6573414</v>
      </c>
      <c r="Q12" s="76">
        <f t="shared" si="0"/>
        <v>1232418</v>
      </c>
      <c r="R12" s="76">
        <f t="shared" si="0"/>
        <v>425455</v>
      </c>
      <c r="S12" s="76">
        <f t="shared" si="0"/>
        <v>15842512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A14" s="4" t="s">
        <v>19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B15" t="s">
        <v>20</v>
      </c>
      <c r="K15" s="73"/>
      <c r="L15" s="73"/>
      <c r="M15" s="73"/>
      <c r="N15" s="73"/>
      <c r="O15" s="73"/>
      <c r="P15" s="73"/>
      <c r="Q15" s="73"/>
      <c r="R15" s="73"/>
      <c r="S15" s="73">
        <f t="shared" ref="S15:S16" si="1">SUM(K15:R15)</f>
        <v>0</v>
      </c>
    </row>
    <row r="16" spans="1:19">
      <c r="C16" t="s">
        <v>276</v>
      </c>
      <c r="K16" s="77">
        <v>239938</v>
      </c>
      <c r="L16" s="73">
        <v>19879</v>
      </c>
      <c r="M16" s="73">
        <v>4086</v>
      </c>
      <c r="N16">
        <v>599</v>
      </c>
      <c r="O16" s="73">
        <v>35729</v>
      </c>
      <c r="P16" s="73">
        <v>54082</v>
      </c>
      <c r="Q16" s="73"/>
      <c r="R16" s="73">
        <v>51823</v>
      </c>
      <c r="S16" s="73">
        <f t="shared" si="1"/>
        <v>406136</v>
      </c>
    </row>
    <row r="17" spans="2:19">
      <c r="C17" t="s">
        <v>254</v>
      </c>
      <c r="K17" s="77">
        <v>234582</v>
      </c>
      <c r="L17" s="73"/>
      <c r="M17" s="73"/>
      <c r="O17" s="73">
        <v>411006</v>
      </c>
      <c r="P17" s="73"/>
      <c r="Q17" s="73"/>
      <c r="R17" s="73">
        <v>388260</v>
      </c>
      <c r="S17" s="73">
        <f>SUM(K17:R17)</f>
        <v>1033848</v>
      </c>
    </row>
    <row r="18" spans="2:19">
      <c r="K18" s="73"/>
      <c r="L18" s="73"/>
      <c r="M18" s="73"/>
      <c r="N18" s="73"/>
      <c r="O18" s="73"/>
      <c r="P18" s="73"/>
      <c r="Q18" s="73"/>
      <c r="R18" s="73"/>
      <c r="S18" s="73"/>
    </row>
    <row r="19" spans="2:19" s="5" customFormat="1">
      <c r="B19" s="6"/>
      <c r="C19" s="6"/>
      <c r="D19" s="6"/>
      <c r="E19" s="6" t="s">
        <v>26</v>
      </c>
      <c r="K19" s="79">
        <f t="shared" ref="K19:S19" si="2">SUM(K16:K17)</f>
        <v>474520</v>
      </c>
      <c r="L19" s="79">
        <f t="shared" si="2"/>
        <v>19879</v>
      </c>
      <c r="M19" s="79">
        <f t="shared" si="2"/>
        <v>4086</v>
      </c>
      <c r="N19" s="79">
        <f t="shared" si="2"/>
        <v>599</v>
      </c>
      <c r="O19" s="79">
        <f t="shared" si="2"/>
        <v>446735</v>
      </c>
      <c r="P19" s="79">
        <f t="shared" si="2"/>
        <v>54082</v>
      </c>
      <c r="Q19" s="79">
        <f t="shared" si="2"/>
        <v>0</v>
      </c>
      <c r="R19" s="79">
        <f t="shared" si="2"/>
        <v>440083</v>
      </c>
      <c r="S19" s="79">
        <f t="shared" si="2"/>
        <v>1439984</v>
      </c>
    </row>
    <row r="20" spans="2:19">
      <c r="K20" s="73"/>
      <c r="L20" s="73"/>
      <c r="M20" s="73"/>
      <c r="N20" s="73"/>
      <c r="O20" s="73"/>
      <c r="P20" s="73"/>
      <c r="Q20" s="73"/>
      <c r="R20" s="73"/>
      <c r="S20" s="73"/>
    </row>
    <row r="21" spans="2:19">
      <c r="B21" t="s">
        <v>30</v>
      </c>
      <c r="K21" s="73"/>
      <c r="L21" s="73"/>
      <c r="M21" s="73"/>
      <c r="N21" s="73"/>
      <c r="O21" s="73"/>
      <c r="P21" s="73"/>
      <c r="Q21" s="73"/>
      <c r="R21" s="73"/>
      <c r="S21" s="73"/>
    </row>
    <row r="22" spans="2:19">
      <c r="C22" t="s">
        <v>129</v>
      </c>
      <c r="K22" s="73"/>
      <c r="L22" s="73">
        <v>1478083</v>
      </c>
      <c r="M22" s="73">
        <v>1761712</v>
      </c>
      <c r="N22" s="73">
        <v>1366642</v>
      </c>
      <c r="O22" s="73">
        <v>1345504</v>
      </c>
      <c r="P22" s="73">
        <v>6519332</v>
      </c>
      <c r="Q22" s="73">
        <v>1232418</v>
      </c>
      <c r="R22" s="73">
        <v>-14628</v>
      </c>
      <c r="S22" s="73">
        <f>SUM(K22:R22)</f>
        <v>13689063</v>
      </c>
    </row>
    <row r="23" spans="2:19">
      <c r="C23" t="s">
        <v>48</v>
      </c>
      <c r="K23" s="84">
        <v>713465</v>
      </c>
      <c r="L23" s="73"/>
      <c r="M23" s="73"/>
      <c r="N23" s="73"/>
      <c r="O23" s="73"/>
      <c r="P23" s="73"/>
      <c r="Q23" s="73"/>
      <c r="R23" s="73"/>
      <c r="S23" s="73">
        <f>SUM(K23:R23)</f>
        <v>713465</v>
      </c>
    </row>
    <row r="24" spans="2:19">
      <c r="K24" s="73"/>
      <c r="L24" s="73"/>
      <c r="M24" s="73"/>
      <c r="N24" s="73"/>
      <c r="O24" s="73"/>
      <c r="P24" s="73"/>
      <c r="Q24" s="73"/>
      <c r="R24" s="73"/>
      <c r="S24" s="73"/>
    </row>
    <row r="25" spans="2:19" s="5" customFormat="1">
      <c r="D25" s="6"/>
      <c r="E25" s="6" t="s">
        <v>49</v>
      </c>
      <c r="K25" s="79">
        <f>SUM(K22:K24)</f>
        <v>713465</v>
      </c>
      <c r="L25" s="79">
        <f t="shared" ref="L25:S25" si="3">SUM(L22:L23)</f>
        <v>1478083</v>
      </c>
      <c r="M25" s="79">
        <f t="shared" si="3"/>
        <v>1761712</v>
      </c>
      <c r="N25" s="79">
        <f t="shared" si="3"/>
        <v>1366642</v>
      </c>
      <c r="O25" s="79">
        <f t="shared" si="3"/>
        <v>1345504</v>
      </c>
      <c r="P25" s="79">
        <f t="shared" si="3"/>
        <v>6519332</v>
      </c>
      <c r="Q25" s="79">
        <f t="shared" si="3"/>
        <v>1232418</v>
      </c>
      <c r="R25" s="79">
        <f t="shared" si="3"/>
        <v>-14628</v>
      </c>
      <c r="S25" s="79">
        <f t="shared" si="3"/>
        <v>14402528</v>
      </c>
    </row>
    <row r="26" spans="2:19">
      <c r="K26" s="73"/>
      <c r="L26" s="73"/>
      <c r="M26" s="73"/>
      <c r="N26" s="73"/>
      <c r="O26" s="73"/>
      <c r="P26" s="73"/>
      <c r="Q26" s="73"/>
      <c r="R26" s="73"/>
      <c r="S26" s="73"/>
    </row>
    <row r="27" spans="2:19" s="7" customFormat="1">
      <c r="D27" s="8"/>
      <c r="E27" s="8" t="s">
        <v>50</v>
      </c>
      <c r="K27" s="81">
        <f>K25+K19</f>
        <v>1187985</v>
      </c>
      <c r="L27" s="81">
        <f t="shared" ref="L27:S27" si="4">L25+L19</f>
        <v>1497962</v>
      </c>
      <c r="M27" s="81">
        <f t="shared" si="4"/>
        <v>1765798</v>
      </c>
      <c r="N27" s="81">
        <f t="shared" si="4"/>
        <v>1367241</v>
      </c>
      <c r="O27" s="81">
        <f t="shared" si="4"/>
        <v>1792239</v>
      </c>
      <c r="P27" s="81">
        <f t="shared" si="4"/>
        <v>6573414</v>
      </c>
      <c r="Q27" s="81">
        <f t="shared" si="4"/>
        <v>1232418</v>
      </c>
      <c r="R27" s="81">
        <f t="shared" si="4"/>
        <v>425455</v>
      </c>
      <c r="S27" s="81">
        <f t="shared" si="4"/>
        <v>15842512</v>
      </c>
    </row>
    <row r="31" spans="2:19">
      <c r="S31" s="175"/>
    </row>
    <row r="36" spans="19:19">
      <c r="S36" s="176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S41"/>
  <sheetViews>
    <sheetView topLeftCell="A12" zoomScale="60" zoomScaleNormal="60" workbookViewId="0">
      <selection activeCell="K23" sqref="K23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29.28515625" customWidth="1"/>
    <col min="11" max="11" width="16.28515625" customWidth="1"/>
    <col min="12" max="12" width="19.28515625" customWidth="1"/>
    <col min="13" max="17" width="19.42578125" customWidth="1"/>
    <col min="18" max="18" width="18.42578125" customWidth="1"/>
    <col min="19" max="19" width="18.140625" customWidth="1"/>
  </cols>
  <sheetData>
    <row r="1" spans="1:19" ht="18.75">
      <c r="D1" s="253" t="s">
        <v>520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 ht="36.75" customHeight="1">
      <c r="O4" s="57"/>
      <c r="P4" s="57"/>
    </row>
    <row r="5" spans="1:19" ht="45">
      <c r="K5" s="111" t="s">
        <v>52</v>
      </c>
      <c r="L5" s="111" t="s">
        <v>168</v>
      </c>
      <c r="M5" s="111" t="s">
        <v>335</v>
      </c>
      <c r="N5" s="111" t="s">
        <v>521</v>
      </c>
      <c r="O5" s="111" t="s">
        <v>120</v>
      </c>
      <c r="P5" s="111" t="s">
        <v>135</v>
      </c>
      <c r="Q5" s="111" t="s">
        <v>273</v>
      </c>
      <c r="R5" s="111" t="s">
        <v>6</v>
      </c>
      <c r="S5" s="111" t="s">
        <v>7</v>
      </c>
    </row>
    <row r="6" spans="1:19">
      <c r="A6" s="86" t="s">
        <v>8</v>
      </c>
    </row>
    <row r="7" spans="1:19">
      <c r="B7" t="s">
        <v>59</v>
      </c>
      <c r="K7" s="73"/>
      <c r="L7" s="73">
        <v>797336</v>
      </c>
      <c r="M7" s="73">
        <v>1200524</v>
      </c>
      <c r="N7" s="73"/>
      <c r="O7" s="73">
        <v>1640237</v>
      </c>
      <c r="P7" s="73">
        <v>726746</v>
      </c>
      <c r="Q7" s="73"/>
      <c r="R7" s="73">
        <v>314477</v>
      </c>
      <c r="S7" s="73">
        <f>SUM(K7:R7)</f>
        <v>4679320</v>
      </c>
    </row>
    <row r="8" spans="1:19">
      <c r="B8" t="s">
        <v>10</v>
      </c>
      <c r="K8" s="77">
        <v>25000</v>
      </c>
      <c r="L8" s="73">
        <v>100000</v>
      </c>
      <c r="M8" s="73">
        <v>375000</v>
      </c>
      <c r="N8" s="73"/>
      <c r="O8" s="73"/>
      <c r="P8" s="73">
        <v>25000</v>
      </c>
      <c r="Q8" s="73"/>
      <c r="R8" s="73">
        <v>15000</v>
      </c>
      <c r="S8" s="73">
        <f>SUM(K8:R8)</f>
        <v>540000</v>
      </c>
    </row>
    <row r="9" spans="1:19">
      <c r="B9" t="s">
        <v>60</v>
      </c>
      <c r="K9" s="74">
        <v>616047</v>
      </c>
      <c r="L9" s="73">
        <v>799851</v>
      </c>
      <c r="M9" s="73">
        <v>353297</v>
      </c>
      <c r="N9" s="73">
        <v>224444</v>
      </c>
      <c r="O9" s="73"/>
      <c r="P9" s="73">
        <v>138551</v>
      </c>
      <c r="Q9" s="73">
        <v>8749</v>
      </c>
      <c r="R9" s="73">
        <v>82022</v>
      </c>
      <c r="S9" s="73">
        <f>SUM(K9:R9)</f>
        <v>2222961</v>
      </c>
    </row>
    <row r="10" spans="1:19">
      <c r="B10" t="s">
        <v>522</v>
      </c>
      <c r="K10" s="73"/>
      <c r="L10" s="73"/>
      <c r="M10" s="73">
        <v>1962</v>
      </c>
      <c r="N10" s="73"/>
      <c r="O10" s="73">
        <v>9402</v>
      </c>
      <c r="P10" s="73"/>
      <c r="Q10" s="73"/>
      <c r="R10" s="73"/>
      <c r="S10" s="73">
        <f>SUM(K10:R10)</f>
        <v>11364</v>
      </c>
    </row>
    <row r="11" spans="1:19">
      <c r="K11" s="73"/>
      <c r="L11" s="73"/>
      <c r="M11" s="73"/>
      <c r="N11" s="73"/>
      <c r="O11" s="73"/>
      <c r="P11" s="73"/>
      <c r="Q11" s="73"/>
      <c r="R11" s="73"/>
      <c r="S11" s="73"/>
    </row>
    <row r="12" spans="1:19" s="3" customFormat="1">
      <c r="A12" s="2"/>
      <c r="B12" s="2"/>
      <c r="C12" s="2"/>
      <c r="D12" s="2"/>
      <c r="E12" s="2" t="s">
        <v>64</v>
      </c>
      <c r="K12" s="76">
        <f t="shared" ref="K12:S12" si="0">SUM(K7:K10)</f>
        <v>641047</v>
      </c>
      <c r="L12" s="76">
        <f t="shared" si="0"/>
        <v>1697187</v>
      </c>
      <c r="M12" s="76">
        <f t="shared" si="0"/>
        <v>1930783</v>
      </c>
      <c r="N12" s="76">
        <f t="shared" si="0"/>
        <v>224444</v>
      </c>
      <c r="O12" s="76">
        <f t="shared" si="0"/>
        <v>1649639</v>
      </c>
      <c r="P12" s="76">
        <f t="shared" si="0"/>
        <v>890297</v>
      </c>
      <c r="Q12" s="76">
        <f t="shared" si="0"/>
        <v>8749</v>
      </c>
      <c r="R12" s="76">
        <f t="shared" si="0"/>
        <v>411499</v>
      </c>
      <c r="S12" s="76">
        <f t="shared" si="0"/>
        <v>7453645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A14" s="4" t="s">
        <v>160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C15" t="s">
        <v>523</v>
      </c>
      <c r="K15" s="82">
        <v>1516047</v>
      </c>
      <c r="L15" s="73"/>
      <c r="N15" s="73">
        <v>296672</v>
      </c>
      <c r="O15" s="73"/>
      <c r="P15" s="73"/>
      <c r="Q15">
        <v>377155</v>
      </c>
      <c r="R15" s="73"/>
      <c r="S15" s="73">
        <f>SUM(K15:R15)</f>
        <v>2189874</v>
      </c>
    </row>
    <row r="16" spans="1:19">
      <c r="C16" t="s">
        <v>21</v>
      </c>
      <c r="K16" s="77">
        <v>135161</v>
      </c>
      <c r="L16" s="73">
        <v>22652</v>
      </c>
      <c r="M16">
        <v>1572</v>
      </c>
      <c r="N16" s="73">
        <v>14781</v>
      </c>
      <c r="O16" s="73">
        <v>4846</v>
      </c>
      <c r="P16" s="73">
        <v>393</v>
      </c>
      <c r="Q16" s="73">
        <v>352</v>
      </c>
      <c r="R16" s="73">
        <v>3943</v>
      </c>
      <c r="S16" s="73">
        <f>SUM(K16:R16)</f>
        <v>183700</v>
      </c>
    </row>
    <row r="17" spans="1:19">
      <c r="C17" t="s">
        <v>524</v>
      </c>
      <c r="K17" s="82">
        <v>40297</v>
      </c>
      <c r="L17" s="73"/>
      <c r="N17" s="73"/>
      <c r="O17" s="73"/>
      <c r="P17" s="73"/>
      <c r="Q17">
        <v>5818</v>
      </c>
      <c r="R17" s="73"/>
      <c r="S17" s="73">
        <f>SUM(K17:R17)</f>
        <v>46115</v>
      </c>
    </row>
    <row r="18" spans="1:19">
      <c r="C18" t="s">
        <v>25</v>
      </c>
      <c r="K18" s="78">
        <v>9402</v>
      </c>
      <c r="L18" s="73">
        <v>1962</v>
      </c>
      <c r="N18" s="73"/>
      <c r="O18" s="73"/>
      <c r="P18" s="73"/>
      <c r="Q18" s="73"/>
      <c r="R18" s="73"/>
      <c r="S18" s="73">
        <f>SUM(K18:R18)</f>
        <v>11364</v>
      </c>
    </row>
    <row r="19" spans="1:19">
      <c r="K19" s="73"/>
      <c r="L19" s="73"/>
      <c r="M19" s="73"/>
      <c r="N19" s="73"/>
      <c r="O19" s="73"/>
      <c r="P19" s="73"/>
      <c r="Q19" s="73"/>
      <c r="R19" s="73"/>
      <c r="S19" s="73"/>
    </row>
    <row r="20" spans="1:19" s="5" customFormat="1">
      <c r="B20" s="6"/>
      <c r="C20" s="6"/>
      <c r="D20" s="6"/>
      <c r="E20" s="6" t="s">
        <v>26</v>
      </c>
      <c r="K20" s="79">
        <f>SUM(K15:K18)</f>
        <v>1700907</v>
      </c>
      <c r="L20" s="79">
        <f t="shared" ref="L20:N20" si="1">SUM(L15:L18)</f>
        <v>24614</v>
      </c>
      <c r="M20" s="79">
        <f t="shared" si="1"/>
        <v>1572</v>
      </c>
      <c r="N20" s="79">
        <f t="shared" si="1"/>
        <v>311453</v>
      </c>
      <c r="O20" s="79">
        <f>SUM(O15:O18)</f>
        <v>4846</v>
      </c>
      <c r="P20" s="79">
        <f>SUM(P15:P18)</f>
        <v>393</v>
      </c>
      <c r="Q20" s="79">
        <f>SUM(Q15:Q18)</f>
        <v>383325</v>
      </c>
      <c r="R20" s="79">
        <f>SUM(R15:R18)</f>
        <v>3943</v>
      </c>
      <c r="S20" s="79">
        <f>SUM(S15:S18)</f>
        <v>2431053</v>
      </c>
    </row>
    <row r="21" spans="1:19">
      <c r="K21" s="73"/>
      <c r="L21" s="73"/>
      <c r="M21" s="73"/>
      <c r="N21" s="73"/>
      <c r="O21" s="73"/>
      <c r="P21" s="73"/>
      <c r="Q21" s="73"/>
      <c r="R21" s="73"/>
      <c r="S21" s="73"/>
    </row>
    <row r="22" spans="1:19">
      <c r="A22" s="71" t="s">
        <v>27</v>
      </c>
      <c r="K22" s="73"/>
      <c r="L22" s="73"/>
      <c r="M22" s="73"/>
      <c r="N22" s="73"/>
      <c r="O22" s="73"/>
      <c r="P22" s="73"/>
      <c r="Q22" s="73"/>
      <c r="R22" s="73"/>
      <c r="S22" s="73"/>
    </row>
    <row r="23" spans="1:19">
      <c r="C23" t="s">
        <v>184</v>
      </c>
      <c r="K23" s="85">
        <v>524600</v>
      </c>
      <c r="L23" s="85">
        <v>773100</v>
      </c>
      <c r="M23" s="85">
        <v>353304</v>
      </c>
      <c r="N23" s="85">
        <v>224448</v>
      </c>
      <c r="O23" s="85"/>
      <c r="P23" s="85">
        <v>138553</v>
      </c>
      <c r="Q23" s="85"/>
      <c r="R23" s="85">
        <v>78976</v>
      </c>
      <c r="S23" s="85">
        <f>SUM(K23:R23)</f>
        <v>2092981</v>
      </c>
    </row>
    <row r="24" spans="1:19"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B25" s="86" t="s">
        <v>30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C26" t="s">
        <v>525</v>
      </c>
      <c r="K26" s="73"/>
      <c r="L26" s="73">
        <v>899473</v>
      </c>
      <c r="M26" s="73">
        <v>1575907</v>
      </c>
      <c r="N26" s="73"/>
      <c r="O26" s="73">
        <v>1644793</v>
      </c>
      <c r="P26" s="73">
        <v>751351</v>
      </c>
      <c r="Q26" s="73"/>
      <c r="R26" s="73">
        <v>328580</v>
      </c>
      <c r="S26" s="73">
        <f>SUM(K26:R26)</f>
        <v>5200104</v>
      </c>
    </row>
    <row r="27" spans="1:19">
      <c r="C27" t="s">
        <v>526</v>
      </c>
      <c r="K27" s="73"/>
      <c r="L27" s="73"/>
      <c r="M27" s="73"/>
      <c r="N27" s="73">
        <v>-311457</v>
      </c>
      <c r="O27" s="73"/>
      <c r="P27" s="73"/>
      <c r="Q27" s="73">
        <v>-374576</v>
      </c>
      <c r="R27" s="73"/>
      <c r="S27" s="73">
        <f>SUM(K27:R27)</f>
        <v>-686033</v>
      </c>
    </row>
    <row r="28" spans="1:19">
      <c r="C28" t="s">
        <v>148</v>
      </c>
      <c r="K28" s="84">
        <v>-1584460</v>
      </c>
      <c r="L28" s="73"/>
      <c r="M28" s="73"/>
      <c r="N28" s="73"/>
      <c r="O28" s="73"/>
      <c r="P28" s="73"/>
      <c r="Q28" s="73"/>
      <c r="R28" s="73"/>
      <c r="S28" s="73">
        <f>SUM(K28:R28)</f>
        <v>-1584460</v>
      </c>
    </row>
    <row r="29" spans="1:19">
      <c r="K29" s="73"/>
      <c r="L29" s="73"/>
      <c r="M29" s="73"/>
      <c r="N29" s="73"/>
      <c r="O29" s="73"/>
      <c r="P29" s="73"/>
      <c r="Q29" s="73"/>
      <c r="R29" s="73"/>
      <c r="S29" s="73"/>
    </row>
    <row r="30" spans="1:19" s="5" customFormat="1">
      <c r="D30" s="6"/>
      <c r="E30" s="6" t="s">
        <v>78</v>
      </c>
      <c r="K30" s="79">
        <f>SUM(K26:K29)</f>
        <v>-1584460</v>
      </c>
      <c r="L30" s="79">
        <f t="shared" ref="L30:S30" si="2">SUM(L26:L28)</f>
        <v>899473</v>
      </c>
      <c r="M30" s="79">
        <f t="shared" si="2"/>
        <v>1575907</v>
      </c>
      <c r="N30" s="79">
        <f t="shared" si="2"/>
        <v>-311457</v>
      </c>
      <c r="O30" s="79">
        <f t="shared" si="2"/>
        <v>1644793</v>
      </c>
      <c r="P30" s="79">
        <f t="shared" si="2"/>
        <v>751351</v>
      </c>
      <c r="Q30" s="79">
        <f t="shared" si="2"/>
        <v>-374576</v>
      </c>
      <c r="R30" s="79">
        <f t="shared" si="2"/>
        <v>328580</v>
      </c>
      <c r="S30" s="79">
        <f t="shared" si="2"/>
        <v>2929611</v>
      </c>
    </row>
    <row r="31" spans="1:19">
      <c r="K31" s="73"/>
      <c r="L31" s="73"/>
      <c r="M31" s="73"/>
      <c r="N31" s="73"/>
      <c r="O31" s="73"/>
      <c r="P31" s="73"/>
      <c r="Q31" s="73"/>
      <c r="R31" s="73"/>
      <c r="S31" s="73"/>
    </row>
    <row r="32" spans="1:19" s="7" customFormat="1">
      <c r="D32" s="8"/>
      <c r="E32" s="8" t="s">
        <v>166</v>
      </c>
      <c r="K32" s="81">
        <f>K30+K23+K20</f>
        <v>641047</v>
      </c>
      <c r="L32" s="81">
        <f t="shared" ref="L32:S32" si="3">L30+L23+L20</f>
        <v>1697187</v>
      </c>
      <c r="M32" s="81">
        <f t="shared" si="3"/>
        <v>1930783</v>
      </c>
      <c r="N32" s="81">
        <f t="shared" si="3"/>
        <v>224444</v>
      </c>
      <c r="O32" s="81">
        <f t="shared" si="3"/>
        <v>1649639</v>
      </c>
      <c r="P32" s="81">
        <f>P30+P23+P20</f>
        <v>890297</v>
      </c>
      <c r="Q32" s="81">
        <f t="shared" si="3"/>
        <v>8749</v>
      </c>
      <c r="R32" s="81">
        <f t="shared" si="3"/>
        <v>411499</v>
      </c>
      <c r="S32" s="81">
        <f t="shared" si="3"/>
        <v>7453645</v>
      </c>
    </row>
    <row r="36" spans="19:19">
      <c r="S36" s="175"/>
    </row>
    <row r="41" spans="19:19">
      <c r="S41" s="176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S38"/>
  <sheetViews>
    <sheetView workbookViewId="0">
      <selection activeCell="K20" sqref="K20:S20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7" width="16.28515625" customWidth="1"/>
    <col min="18" max="18" width="14.85546875" customWidth="1"/>
    <col min="19" max="19" width="18.140625" customWidth="1"/>
  </cols>
  <sheetData>
    <row r="1" spans="1:19" ht="18.75">
      <c r="D1" s="253" t="s">
        <v>527</v>
      </c>
      <c r="E1" s="253"/>
      <c r="F1" s="253"/>
      <c r="G1" s="253"/>
      <c r="H1" s="253"/>
      <c r="I1" s="253"/>
      <c r="J1" s="253"/>
      <c r="K1" s="253"/>
      <c r="L1" s="251"/>
      <c r="M1" s="251"/>
      <c r="N1" s="251"/>
      <c r="O1" s="251"/>
      <c r="P1" s="251"/>
      <c r="Q1" s="251"/>
    </row>
    <row r="2" spans="1:19">
      <c r="D2" s="254" t="s">
        <v>528</v>
      </c>
      <c r="E2" s="254"/>
      <c r="F2" s="254"/>
      <c r="G2" s="254"/>
      <c r="H2" s="254"/>
      <c r="I2" s="254"/>
      <c r="J2" s="254"/>
      <c r="K2" s="254"/>
      <c r="L2" s="57"/>
      <c r="M2" s="57"/>
      <c r="N2" s="57"/>
      <c r="O2" s="57"/>
      <c r="P2" s="57"/>
      <c r="Q2" s="57"/>
    </row>
    <row r="3" spans="1:19"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</row>
    <row r="4" spans="1:19">
      <c r="K4" s="178"/>
      <c r="L4" s="178"/>
      <c r="M4" s="178"/>
      <c r="N4" s="245" t="s">
        <v>281</v>
      </c>
      <c r="O4" s="178"/>
      <c r="P4" s="178"/>
      <c r="Q4" s="178"/>
    </row>
    <row r="5" spans="1:19" ht="42.75" customHeight="1">
      <c r="K5" s="111" t="s">
        <v>2</v>
      </c>
      <c r="L5" s="111" t="s">
        <v>481</v>
      </c>
      <c r="M5" s="111" t="s">
        <v>4</v>
      </c>
      <c r="N5" s="111" t="s">
        <v>529</v>
      </c>
      <c r="O5" s="111" t="s">
        <v>530</v>
      </c>
      <c r="P5" s="111" t="s">
        <v>531</v>
      </c>
      <c r="Q5" s="111" t="s">
        <v>189</v>
      </c>
      <c r="R5" s="111" t="s">
        <v>532</v>
      </c>
      <c r="S5" s="111" t="s">
        <v>7</v>
      </c>
    </row>
    <row r="6" spans="1:19">
      <c r="A6" s="86" t="s">
        <v>8</v>
      </c>
    </row>
    <row r="7" spans="1:19">
      <c r="B7" t="s">
        <v>85</v>
      </c>
      <c r="K7" s="72">
        <v>822299</v>
      </c>
      <c r="L7">
        <v>896589</v>
      </c>
      <c r="M7">
        <v>1503822</v>
      </c>
      <c r="N7">
        <v>1601596</v>
      </c>
      <c r="O7">
        <v>363265</v>
      </c>
      <c r="P7">
        <v>1457572</v>
      </c>
      <c r="Q7">
        <v>113419</v>
      </c>
      <c r="R7" s="73">
        <v>1564919</v>
      </c>
      <c r="S7" s="73">
        <f>SUM(K7:R7)</f>
        <v>8323481</v>
      </c>
    </row>
    <row r="8" spans="1:19">
      <c r="B8" t="s">
        <v>533</v>
      </c>
      <c r="K8" s="74">
        <v>948256</v>
      </c>
      <c r="L8">
        <v>1157580</v>
      </c>
      <c r="M8">
        <v>286173</v>
      </c>
      <c r="N8">
        <v>1923182</v>
      </c>
      <c r="O8">
        <v>3668</v>
      </c>
      <c r="P8">
        <v>7834188</v>
      </c>
      <c r="R8" s="73">
        <v>913562</v>
      </c>
      <c r="S8" s="73">
        <f>SUM(K8:R8)</f>
        <v>13066609</v>
      </c>
    </row>
    <row r="9" spans="1:19">
      <c r="B9" t="s">
        <v>522</v>
      </c>
      <c r="K9" s="99"/>
      <c r="R9" s="73">
        <v>5595</v>
      </c>
      <c r="S9" s="73">
        <f>SUM(K9:R9)</f>
        <v>5595</v>
      </c>
    </row>
    <row r="10" spans="1:19">
      <c r="K10" s="73"/>
      <c r="L10" s="73"/>
      <c r="M10" s="73"/>
      <c r="N10" s="73"/>
      <c r="O10" s="73"/>
      <c r="P10" s="73"/>
      <c r="Q10" s="73"/>
      <c r="R10" s="73"/>
      <c r="S10" s="73"/>
    </row>
    <row r="11" spans="1:19" s="3" customFormat="1">
      <c r="A11" s="2"/>
      <c r="B11" s="2"/>
      <c r="C11" s="2"/>
      <c r="D11" s="2"/>
      <c r="E11" s="2" t="s">
        <v>64</v>
      </c>
      <c r="K11" s="76">
        <f>SUM(K7:K9)</f>
        <v>1770555</v>
      </c>
      <c r="L11" s="76">
        <f t="shared" ref="L11:S11" si="0">SUM(L7:L9)</f>
        <v>2054169</v>
      </c>
      <c r="M11" s="76">
        <f t="shared" si="0"/>
        <v>1789995</v>
      </c>
      <c r="N11" s="76">
        <f t="shared" si="0"/>
        <v>3524778</v>
      </c>
      <c r="O11" s="76">
        <f t="shared" si="0"/>
        <v>366933</v>
      </c>
      <c r="P11" s="76">
        <f t="shared" si="0"/>
        <v>9291760</v>
      </c>
      <c r="Q11" s="76">
        <f t="shared" si="0"/>
        <v>113419</v>
      </c>
      <c r="R11" s="76">
        <f t="shared" si="0"/>
        <v>2484076</v>
      </c>
      <c r="S11" s="76">
        <f t="shared" si="0"/>
        <v>21395685</v>
      </c>
    </row>
    <row r="12" spans="1:19">
      <c r="K12" s="73"/>
      <c r="L12" s="73"/>
      <c r="M12" s="73"/>
      <c r="N12" s="73"/>
      <c r="O12" s="73"/>
      <c r="P12" s="73"/>
      <c r="Q12" s="73"/>
      <c r="R12" s="73"/>
      <c r="S12" s="73"/>
    </row>
    <row r="13" spans="1:19">
      <c r="A13" s="4" t="s">
        <v>534</v>
      </c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C14" t="s">
        <v>447</v>
      </c>
      <c r="K14" s="73"/>
      <c r="L14" s="73"/>
      <c r="M14" s="73"/>
      <c r="N14" s="73"/>
      <c r="O14" s="73"/>
      <c r="P14" s="73"/>
      <c r="Q14" s="73"/>
      <c r="R14" s="73">
        <v>5846</v>
      </c>
      <c r="S14" s="73">
        <f>SUM(K14:R14)</f>
        <v>5846</v>
      </c>
    </row>
    <row r="15" spans="1:19">
      <c r="C15" t="s">
        <v>21</v>
      </c>
      <c r="K15" s="77">
        <v>342905</v>
      </c>
      <c r="L15" s="73">
        <v>98496</v>
      </c>
      <c r="M15" s="73"/>
      <c r="N15" s="73">
        <v>119223</v>
      </c>
      <c r="O15" s="73">
        <v>124430</v>
      </c>
      <c r="P15" s="73">
        <v>12271</v>
      </c>
      <c r="Q15" s="73"/>
      <c r="R15" s="73">
        <v>33937</v>
      </c>
      <c r="S15" s="73">
        <f>SUM(K15:R15)</f>
        <v>731262</v>
      </c>
    </row>
    <row r="16" spans="1:19">
      <c r="C16" t="s">
        <v>535</v>
      </c>
      <c r="L16">
        <v>7761</v>
      </c>
      <c r="M16" s="73"/>
      <c r="N16" s="73">
        <v>2263</v>
      </c>
      <c r="O16" s="73">
        <v>7164</v>
      </c>
      <c r="P16" s="73">
        <v>1507</v>
      </c>
      <c r="Q16" s="73">
        <v>4441</v>
      </c>
      <c r="R16" s="73">
        <v>11243</v>
      </c>
      <c r="S16" s="73">
        <f>SUM(K16:R16)</f>
        <v>34379</v>
      </c>
    </row>
    <row r="17" spans="2:19">
      <c r="C17" t="s">
        <v>99</v>
      </c>
      <c r="K17" s="73"/>
      <c r="L17" s="73"/>
      <c r="M17" s="73"/>
      <c r="N17" s="73"/>
      <c r="O17" s="73"/>
      <c r="P17" s="73"/>
      <c r="Q17" s="73"/>
      <c r="R17" s="73">
        <v>774223</v>
      </c>
      <c r="S17" s="73">
        <f>SUM(K17:R17)</f>
        <v>774223</v>
      </c>
    </row>
    <row r="18" spans="2:19">
      <c r="C18" t="s">
        <v>25</v>
      </c>
      <c r="L18" s="73"/>
      <c r="M18" s="73"/>
      <c r="N18" s="73"/>
      <c r="O18" s="73"/>
      <c r="P18" s="73"/>
      <c r="Q18" s="73"/>
      <c r="R18" s="73">
        <v>5595</v>
      </c>
      <c r="S18" s="73">
        <f>SUM(K18:R18)</f>
        <v>5595</v>
      </c>
    </row>
    <row r="19" spans="2:19">
      <c r="K19" s="73"/>
      <c r="L19" s="73"/>
      <c r="M19" s="73"/>
      <c r="N19" s="73"/>
      <c r="O19" s="73"/>
      <c r="P19" s="73"/>
      <c r="Q19" s="73"/>
      <c r="R19" s="73"/>
      <c r="S19" s="73"/>
    </row>
    <row r="20" spans="2:19" s="5" customFormat="1">
      <c r="B20" s="6"/>
      <c r="C20" s="6"/>
      <c r="D20" s="6"/>
      <c r="E20" s="6" t="s">
        <v>26</v>
      </c>
      <c r="K20" s="79">
        <f>SUM(K14:K18)</f>
        <v>342905</v>
      </c>
      <c r="L20" s="79">
        <f t="shared" ref="L20:S20" si="1">SUM(L14:L18)</f>
        <v>106257</v>
      </c>
      <c r="M20" s="79">
        <f t="shared" si="1"/>
        <v>0</v>
      </c>
      <c r="N20" s="79">
        <f t="shared" si="1"/>
        <v>121486</v>
      </c>
      <c r="O20" s="79">
        <f t="shared" si="1"/>
        <v>131594</v>
      </c>
      <c r="P20" s="79">
        <f t="shared" si="1"/>
        <v>13778</v>
      </c>
      <c r="Q20" s="79">
        <f t="shared" si="1"/>
        <v>4441</v>
      </c>
      <c r="R20" s="79">
        <f t="shared" si="1"/>
        <v>830844</v>
      </c>
      <c r="S20" s="79">
        <f t="shared" si="1"/>
        <v>1551305</v>
      </c>
    </row>
    <row r="21" spans="2:19">
      <c r="K21" s="73"/>
      <c r="L21" s="73"/>
      <c r="M21" s="73"/>
      <c r="N21" s="73"/>
      <c r="O21" s="73"/>
      <c r="P21" s="73"/>
      <c r="Q21" s="73"/>
      <c r="R21" s="73"/>
      <c r="S21" s="73"/>
    </row>
    <row r="22" spans="2:19">
      <c r="B22" s="86" t="s">
        <v>30</v>
      </c>
      <c r="K22" s="73"/>
      <c r="L22" s="73"/>
      <c r="M22" s="73"/>
      <c r="N22" s="73"/>
      <c r="O22" s="73"/>
      <c r="P22" s="73"/>
      <c r="Q22" s="73"/>
      <c r="R22" s="73"/>
      <c r="S22" s="73"/>
    </row>
    <row r="23" spans="2:19">
      <c r="C23" t="s">
        <v>536</v>
      </c>
      <c r="K23" s="73"/>
      <c r="L23" s="73"/>
      <c r="M23" s="73"/>
      <c r="N23" s="73"/>
      <c r="O23" s="73"/>
      <c r="P23" s="73"/>
      <c r="Q23" s="73"/>
      <c r="R23" s="73"/>
      <c r="S23" s="73">
        <f t="shared" ref="S23:S25" si="2">SUM(K23:R23)</f>
        <v>0</v>
      </c>
    </row>
    <row r="24" spans="2:19">
      <c r="D24" t="s">
        <v>129</v>
      </c>
      <c r="K24" s="73"/>
      <c r="L24" s="73">
        <v>1947912</v>
      </c>
      <c r="M24" s="73">
        <v>1789995</v>
      </c>
      <c r="N24" s="73">
        <v>3403292</v>
      </c>
      <c r="O24" s="73">
        <v>235339</v>
      </c>
      <c r="P24" s="73">
        <v>2227212</v>
      </c>
      <c r="Q24" s="73">
        <v>108978</v>
      </c>
      <c r="R24" s="73">
        <v>2310225</v>
      </c>
      <c r="S24" s="73">
        <f t="shared" si="2"/>
        <v>12022953</v>
      </c>
    </row>
    <row r="25" spans="2:19">
      <c r="D25" t="s">
        <v>48</v>
      </c>
      <c r="K25" s="84">
        <v>1427650</v>
      </c>
      <c r="L25" s="73"/>
      <c r="M25" s="73"/>
      <c r="N25" s="73"/>
      <c r="O25" s="73"/>
      <c r="P25" s="73"/>
      <c r="Q25" s="73"/>
      <c r="R25" s="73">
        <v>-656993</v>
      </c>
      <c r="S25" s="73">
        <f t="shared" si="2"/>
        <v>770657</v>
      </c>
    </row>
    <row r="26" spans="2:19">
      <c r="K26" s="73"/>
      <c r="L26" s="73"/>
      <c r="M26" s="73"/>
      <c r="N26" s="73"/>
      <c r="O26" s="73"/>
      <c r="P26" s="73"/>
      <c r="Q26" s="73"/>
      <c r="R26" s="73"/>
      <c r="S26" s="73"/>
    </row>
    <row r="27" spans="2:19" s="5" customFormat="1">
      <c r="D27" s="6"/>
      <c r="E27" s="6" t="s">
        <v>78</v>
      </c>
      <c r="K27" s="79">
        <f>SUM(K23:K25)</f>
        <v>1427650</v>
      </c>
      <c r="L27" s="79">
        <f t="shared" ref="L27:S27" si="3">SUM(L23:L25)</f>
        <v>1947912</v>
      </c>
      <c r="M27" s="79">
        <f t="shared" si="3"/>
        <v>1789995</v>
      </c>
      <c r="N27" s="79">
        <f t="shared" si="3"/>
        <v>3403292</v>
      </c>
      <c r="O27" s="79">
        <f t="shared" si="3"/>
        <v>235339</v>
      </c>
      <c r="P27" s="79">
        <f t="shared" si="3"/>
        <v>2227212</v>
      </c>
      <c r="Q27" s="79">
        <f t="shared" si="3"/>
        <v>108978</v>
      </c>
      <c r="R27" s="79">
        <f t="shared" si="3"/>
        <v>1653232</v>
      </c>
      <c r="S27" s="79">
        <f t="shared" si="3"/>
        <v>12793610</v>
      </c>
    </row>
    <row r="28" spans="2:19">
      <c r="K28" s="73"/>
      <c r="L28" s="73"/>
      <c r="M28" s="73"/>
      <c r="N28" s="73"/>
      <c r="O28" s="73"/>
      <c r="P28" s="73"/>
      <c r="Q28" s="73"/>
      <c r="R28" s="73"/>
      <c r="S28" s="73"/>
    </row>
    <row r="29" spans="2:19" s="7" customFormat="1">
      <c r="D29" s="8"/>
      <c r="E29" s="8" t="s">
        <v>50</v>
      </c>
      <c r="K29" s="81">
        <f>K27+K20</f>
        <v>1770555</v>
      </c>
      <c r="L29" s="81">
        <f t="shared" ref="L29:S29" si="4">L27+L20</f>
        <v>2054169</v>
      </c>
      <c r="M29" s="81">
        <f t="shared" si="4"/>
        <v>1789995</v>
      </c>
      <c r="N29" s="81">
        <f t="shared" si="4"/>
        <v>3524778</v>
      </c>
      <c r="O29" s="81">
        <f t="shared" si="4"/>
        <v>366933</v>
      </c>
      <c r="P29" s="81">
        <f t="shared" si="4"/>
        <v>2240990</v>
      </c>
      <c r="Q29" s="81">
        <f t="shared" si="4"/>
        <v>113419</v>
      </c>
      <c r="R29" s="81">
        <f t="shared" si="4"/>
        <v>2484076</v>
      </c>
      <c r="S29" s="81">
        <f t="shared" si="4"/>
        <v>14344915</v>
      </c>
    </row>
    <row r="33" spans="19:19">
      <c r="S33" s="175"/>
    </row>
    <row r="38" spans="19:19">
      <c r="S38" s="176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S48"/>
  <sheetViews>
    <sheetView topLeftCell="A4" zoomScale="90" zoomScaleNormal="90" zoomScalePageLayoutView="70" workbookViewId="0">
      <selection activeCell="S44" sqref="S44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18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8" width="19.42578125" customWidth="1"/>
    <col min="19" max="19" width="19.85546875" bestFit="1" customWidth="1"/>
  </cols>
  <sheetData>
    <row r="1" spans="1:19" ht="18.75">
      <c r="D1" s="253" t="s">
        <v>537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9">
      <c r="D3" s="57"/>
      <c r="E3" s="57"/>
      <c r="F3" s="57"/>
      <c r="G3" s="57"/>
      <c r="H3" s="57"/>
      <c r="I3" s="57" t="s">
        <v>538</v>
      </c>
      <c r="J3" s="57"/>
      <c r="K3" s="57"/>
    </row>
    <row r="4" spans="1:19" ht="36.75" customHeight="1"/>
    <row r="5" spans="1:19" ht="45">
      <c r="K5" s="111" t="s">
        <v>2</v>
      </c>
      <c r="L5" s="111" t="s">
        <v>539</v>
      </c>
      <c r="M5" s="111" t="s">
        <v>540</v>
      </c>
      <c r="N5" s="111" t="s">
        <v>541</v>
      </c>
      <c r="O5" s="111" t="s">
        <v>542</v>
      </c>
      <c r="P5" s="111" t="s">
        <v>313</v>
      </c>
      <c r="Q5" s="111" t="s">
        <v>543</v>
      </c>
      <c r="R5" s="111" t="s">
        <v>336</v>
      </c>
      <c r="S5" s="111" t="s">
        <v>7</v>
      </c>
    </row>
    <row r="6" spans="1:19">
      <c r="A6" s="86" t="s">
        <v>8</v>
      </c>
    </row>
    <row r="7" spans="1:19">
      <c r="B7" t="s">
        <v>85</v>
      </c>
      <c r="K7" s="72">
        <v>54520</v>
      </c>
      <c r="L7" s="73"/>
      <c r="M7" s="73">
        <v>12097</v>
      </c>
      <c r="N7" s="73"/>
      <c r="O7" s="73">
        <v>303</v>
      </c>
      <c r="P7" s="73">
        <v>24314</v>
      </c>
      <c r="Q7" s="73">
        <v>49</v>
      </c>
      <c r="R7" s="73">
        <v>40199</v>
      </c>
      <c r="S7" s="73">
        <f t="shared" ref="S7:S19" si="0">SUM(K7:R7)</f>
        <v>131482</v>
      </c>
    </row>
    <row r="8" spans="1:19">
      <c r="B8" t="s">
        <v>10</v>
      </c>
      <c r="K8" s="77">
        <v>768</v>
      </c>
      <c r="L8" s="73"/>
      <c r="M8" s="73"/>
      <c r="N8" s="73"/>
      <c r="O8" s="73">
        <v>76351</v>
      </c>
      <c r="P8" s="73">
        <v>141071</v>
      </c>
      <c r="Q8" s="73"/>
      <c r="R8" s="73">
        <v>8918</v>
      </c>
      <c r="S8" s="73">
        <f t="shared" si="0"/>
        <v>227108</v>
      </c>
    </row>
    <row r="9" spans="1:19">
      <c r="B9" t="s">
        <v>544</v>
      </c>
      <c r="K9" s="73"/>
      <c r="L9" s="73"/>
      <c r="M9" s="73"/>
      <c r="N9" s="73"/>
      <c r="O9" s="73"/>
      <c r="P9" s="73"/>
      <c r="Q9" s="73"/>
      <c r="R9" s="73"/>
      <c r="S9" s="73">
        <f t="shared" si="0"/>
        <v>0</v>
      </c>
    </row>
    <row r="10" spans="1:19">
      <c r="C10" t="s">
        <v>217</v>
      </c>
      <c r="K10" s="74">
        <v>18319</v>
      </c>
      <c r="L10" s="73"/>
      <c r="M10" s="73"/>
      <c r="N10" s="73"/>
      <c r="O10" s="73"/>
      <c r="P10" s="73"/>
      <c r="Q10" s="73"/>
      <c r="R10" s="73"/>
      <c r="S10" s="73">
        <f t="shared" si="0"/>
        <v>18319</v>
      </c>
    </row>
    <row r="11" spans="1:19">
      <c r="C11" t="s">
        <v>184</v>
      </c>
      <c r="K11" s="74">
        <v>2195</v>
      </c>
      <c r="L11" s="73"/>
      <c r="M11" s="73"/>
      <c r="N11" s="73"/>
      <c r="O11" s="73">
        <v>1118</v>
      </c>
      <c r="P11" s="73"/>
      <c r="Q11" s="73"/>
      <c r="R11" s="73">
        <v>160</v>
      </c>
      <c r="S11" s="73">
        <f>SUM(K11:R11)</f>
        <v>3473</v>
      </c>
    </row>
    <row r="12" spans="1:19">
      <c r="C12" t="s">
        <v>218</v>
      </c>
      <c r="K12" s="74">
        <v>6662</v>
      </c>
      <c r="L12" s="73"/>
      <c r="M12" s="73"/>
      <c r="N12" s="73"/>
      <c r="O12" s="73"/>
      <c r="P12" s="73"/>
      <c r="Q12" s="73"/>
      <c r="R12" s="73"/>
      <c r="S12" s="73">
        <f t="shared" si="0"/>
        <v>6662</v>
      </c>
    </row>
    <row r="13" spans="1:19">
      <c r="C13" t="s">
        <v>340</v>
      </c>
      <c r="K13" s="74">
        <v>13342</v>
      </c>
      <c r="L13" s="73">
        <v>170</v>
      </c>
      <c r="M13" s="73"/>
      <c r="N13" s="73"/>
      <c r="O13" s="73"/>
      <c r="P13" s="73">
        <v>6</v>
      </c>
      <c r="Q13" s="73"/>
      <c r="R13" s="73">
        <v>1927</v>
      </c>
      <c r="S13" s="73">
        <f t="shared" si="0"/>
        <v>15445</v>
      </c>
    </row>
    <row r="14" spans="1:19">
      <c r="C14" t="s">
        <v>545</v>
      </c>
      <c r="K14" s="73"/>
      <c r="L14" s="73"/>
      <c r="M14" s="73">
        <v>542</v>
      </c>
      <c r="N14" s="73"/>
      <c r="O14" s="73"/>
      <c r="P14" s="73"/>
      <c r="Q14" s="73"/>
      <c r="R14" s="73"/>
      <c r="S14" s="73">
        <f t="shared" si="0"/>
        <v>542</v>
      </c>
    </row>
    <row r="15" spans="1:19">
      <c r="B15" t="s">
        <v>16</v>
      </c>
      <c r="K15" s="75">
        <v>19790</v>
      </c>
      <c r="L15" s="73">
        <v>261</v>
      </c>
      <c r="M15" s="73"/>
      <c r="N15" s="73">
        <v>3935</v>
      </c>
      <c r="O15" s="73"/>
      <c r="P15" s="73"/>
      <c r="Q15" s="73">
        <v>101</v>
      </c>
      <c r="R15" s="73">
        <v>1</v>
      </c>
      <c r="S15" s="73">
        <f t="shared" si="0"/>
        <v>24088</v>
      </c>
    </row>
    <row r="16" spans="1:19">
      <c r="B16" t="s">
        <v>61</v>
      </c>
      <c r="K16" s="75">
        <v>2188</v>
      </c>
      <c r="L16" s="73">
        <v>4716</v>
      </c>
      <c r="M16" s="73"/>
      <c r="N16" s="73">
        <v>6230</v>
      </c>
      <c r="O16" s="73"/>
      <c r="P16" s="73">
        <v>19019</v>
      </c>
      <c r="Q16" s="73">
        <v>2891</v>
      </c>
      <c r="R16" s="73">
        <v>4805</v>
      </c>
      <c r="S16" s="73">
        <f t="shared" si="0"/>
        <v>39849</v>
      </c>
    </row>
    <row r="17" spans="1:19">
      <c r="B17" t="s">
        <v>17</v>
      </c>
      <c r="K17" s="75">
        <v>1413</v>
      </c>
      <c r="L17" s="73"/>
      <c r="M17" s="73"/>
      <c r="N17" s="73"/>
      <c r="O17" s="73"/>
      <c r="P17" s="73">
        <v>9792</v>
      </c>
      <c r="Q17" s="73"/>
      <c r="R17" s="73"/>
      <c r="S17" s="73">
        <f t="shared" si="0"/>
        <v>11205</v>
      </c>
    </row>
    <row r="18" spans="1:19">
      <c r="B18" t="s">
        <v>546</v>
      </c>
      <c r="K18" s="75">
        <v>2</v>
      </c>
      <c r="L18" s="73"/>
      <c r="M18" s="73"/>
      <c r="N18" s="73"/>
      <c r="O18" s="73"/>
      <c r="P18" s="73"/>
      <c r="Q18" s="73"/>
      <c r="R18" s="73"/>
      <c r="S18" s="73">
        <f t="shared" si="0"/>
        <v>2</v>
      </c>
    </row>
    <row r="19" spans="1:19">
      <c r="B19" t="s">
        <v>126</v>
      </c>
      <c r="K19" s="82">
        <v>3</v>
      </c>
      <c r="L19" s="73"/>
      <c r="M19" s="73"/>
      <c r="N19" s="73">
        <v>26</v>
      </c>
      <c r="O19" s="73"/>
      <c r="P19" s="73"/>
      <c r="Q19" s="73"/>
      <c r="R19" s="73">
        <v>228</v>
      </c>
      <c r="S19" s="73">
        <f t="shared" si="0"/>
        <v>257</v>
      </c>
    </row>
    <row r="20" spans="1:19">
      <c r="K20" s="73"/>
      <c r="L20" s="73"/>
      <c r="M20" s="73"/>
      <c r="N20" s="73"/>
      <c r="O20" s="73"/>
      <c r="P20" s="73"/>
      <c r="Q20" s="73"/>
      <c r="R20" s="73"/>
      <c r="S20" s="73"/>
    </row>
    <row r="21" spans="1:19" s="3" customFormat="1">
      <c r="E21" s="3" t="s">
        <v>64</v>
      </c>
      <c r="K21" s="76">
        <f>SUM(K7:K20)</f>
        <v>119202</v>
      </c>
      <c r="L21" s="76">
        <f t="shared" ref="L21:S21" si="1">SUM(L7:L19)</f>
        <v>5147</v>
      </c>
      <c r="M21" s="76">
        <f t="shared" si="1"/>
        <v>12639</v>
      </c>
      <c r="N21" s="76">
        <f t="shared" si="1"/>
        <v>10191</v>
      </c>
      <c r="O21" s="76">
        <f t="shared" si="1"/>
        <v>77772</v>
      </c>
      <c r="P21" s="76">
        <f t="shared" si="1"/>
        <v>194202</v>
      </c>
      <c r="Q21" s="76">
        <f t="shared" si="1"/>
        <v>3041</v>
      </c>
      <c r="R21" s="76">
        <f t="shared" si="1"/>
        <v>56238</v>
      </c>
      <c r="S21" s="76">
        <f t="shared" si="1"/>
        <v>478432</v>
      </c>
    </row>
    <row r="22" spans="1:19">
      <c r="K22" s="73"/>
      <c r="L22" s="73"/>
      <c r="M22" s="73"/>
      <c r="N22" s="73"/>
      <c r="O22" s="73"/>
      <c r="P22" s="73"/>
      <c r="Q22" s="73"/>
      <c r="R22" s="73"/>
      <c r="S22" s="73"/>
    </row>
    <row r="23" spans="1:19">
      <c r="A23" s="177" t="s">
        <v>160</v>
      </c>
      <c r="K23" s="73"/>
      <c r="L23" s="73"/>
      <c r="M23" s="73"/>
      <c r="N23" s="73"/>
      <c r="O23" s="73"/>
      <c r="P23" s="73"/>
      <c r="Q23" s="73"/>
      <c r="R23" s="73"/>
      <c r="S23" s="73"/>
    </row>
    <row r="24" spans="1:19">
      <c r="C24" t="s">
        <v>21</v>
      </c>
      <c r="K24" s="77">
        <v>37398</v>
      </c>
      <c r="L24" s="73">
        <v>4086</v>
      </c>
      <c r="M24" s="73">
        <v>471</v>
      </c>
      <c r="N24" s="73">
        <v>14625</v>
      </c>
      <c r="O24" s="73"/>
      <c r="P24" s="73">
        <v>28565</v>
      </c>
      <c r="Q24" s="73">
        <v>8525</v>
      </c>
      <c r="R24" s="73">
        <v>6720</v>
      </c>
      <c r="S24" s="73">
        <f t="shared" ref="S24:S29" si="2">SUM(K24:R24)</f>
        <v>100390</v>
      </c>
    </row>
    <row r="25" spans="1:19">
      <c r="C25" t="s">
        <v>547</v>
      </c>
      <c r="K25" s="73"/>
      <c r="L25" s="73"/>
      <c r="M25" s="73"/>
      <c r="N25" s="73"/>
      <c r="O25" s="73"/>
      <c r="P25" s="73">
        <v>3483</v>
      </c>
      <c r="Q25" s="73"/>
      <c r="R25" s="73"/>
      <c r="S25" s="73">
        <f t="shared" si="2"/>
        <v>3483</v>
      </c>
    </row>
    <row r="26" spans="1:19">
      <c r="C26" t="s">
        <v>393</v>
      </c>
      <c r="K26" s="73"/>
      <c r="L26" s="73">
        <v>149</v>
      </c>
      <c r="M26" s="73">
        <v>4</v>
      </c>
      <c r="N26" s="73">
        <v>235</v>
      </c>
      <c r="O26" s="73"/>
      <c r="P26" s="73"/>
      <c r="Q26" s="73">
        <v>121</v>
      </c>
      <c r="R26" s="73">
        <v>284</v>
      </c>
      <c r="S26" s="73">
        <f t="shared" si="2"/>
        <v>793</v>
      </c>
    </row>
    <row r="27" spans="1:19">
      <c r="C27" t="s">
        <v>25</v>
      </c>
      <c r="K27" s="78">
        <v>1</v>
      </c>
      <c r="L27" s="73">
        <v>6786</v>
      </c>
      <c r="M27" s="73"/>
      <c r="N27" s="73">
        <v>8913</v>
      </c>
      <c r="O27" s="73"/>
      <c r="P27" s="73">
        <v>3935</v>
      </c>
      <c r="Q27" s="73">
        <v>3198</v>
      </c>
      <c r="R27" s="73">
        <v>1255</v>
      </c>
      <c r="S27" s="73">
        <f t="shared" si="2"/>
        <v>24088</v>
      </c>
    </row>
    <row r="28" spans="1:19">
      <c r="C28" t="s">
        <v>99</v>
      </c>
      <c r="K28" s="78">
        <v>1185</v>
      </c>
      <c r="L28" s="73">
        <v>17</v>
      </c>
      <c r="M28" s="73"/>
      <c r="N28" s="73"/>
      <c r="O28" s="73"/>
      <c r="P28" s="73"/>
      <c r="Q28" s="73"/>
      <c r="R28" s="73">
        <v>688</v>
      </c>
      <c r="S28" s="73">
        <f t="shared" si="2"/>
        <v>1890</v>
      </c>
    </row>
    <row r="29" spans="1:19">
      <c r="C29" t="s">
        <v>198</v>
      </c>
      <c r="K29" s="82">
        <v>44</v>
      </c>
      <c r="L29" s="73"/>
      <c r="M29" s="73"/>
      <c r="N29" s="73"/>
      <c r="O29" s="73"/>
      <c r="P29" s="73">
        <v>172</v>
      </c>
      <c r="Q29" s="73"/>
      <c r="R29" s="73"/>
      <c r="S29" s="73">
        <f t="shared" si="2"/>
        <v>216</v>
      </c>
    </row>
    <row r="30" spans="1:19">
      <c r="C30" t="s">
        <v>548</v>
      </c>
      <c r="K30" s="73"/>
      <c r="L30" s="73"/>
      <c r="M30" s="73"/>
      <c r="N30" s="73"/>
      <c r="O30" s="73"/>
      <c r="P30" s="73"/>
      <c r="Q30" s="73"/>
      <c r="R30" s="73">
        <v>2</v>
      </c>
      <c r="S30" s="73">
        <f>SUM(K30:R30)</f>
        <v>2</v>
      </c>
    </row>
    <row r="31" spans="1:19">
      <c r="K31" s="73"/>
      <c r="L31" s="73"/>
      <c r="M31" s="73"/>
      <c r="N31" s="73"/>
      <c r="O31" s="73"/>
      <c r="P31" s="73"/>
      <c r="Q31" s="73"/>
      <c r="R31" s="73"/>
      <c r="S31" s="73"/>
    </row>
    <row r="32" spans="1:19" s="5" customFormat="1">
      <c r="E32" s="5" t="s">
        <v>26</v>
      </c>
      <c r="K32" s="79">
        <f>SUM(K24:K30)</f>
        <v>38628</v>
      </c>
      <c r="L32" s="79">
        <f>SUM(L24:L30)</f>
        <v>11038</v>
      </c>
      <c r="M32" s="79">
        <f>SUM(M24:M29)</f>
        <v>475</v>
      </c>
      <c r="N32" s="79">
        <f>SUM(N24:N30)</f>
        <v>23773</v>
      </c>
      <c r="O32" s="79">
        <f>SUM(O24:O30)</f>
        <v>0</v>
      </c>
      <c r="P32" s="79">
        <f>SUM(P24:P31)</f>
        <v>36155</v>
      </c>
      <c r="Q32" s="79">
        <f>SUM(Q24:Q30)</f>
        <v>11844</v>
      </c>
      <c r="R32" s="79">
        <f>SUM(R24:R30)</f>
        <v>8949</v>
      </c>
      <c r="S32" s="79">
        <f>SUM(S24:S30)</f>
        <v>130862</v>
      </c>
    </row>
    <row r="33" spans="1:19">
      <c r="K33" s="73"/>
      <c r="L33" s="73"/>
      <c r="M33" s="73"/>
      <c r="N33" s="73"/>
      <c r="O33" s="73"/>
      <c r="P33" s="73"/>
      <c r="Q33" s="73"/>
      <c r="R33" s="73"/>
      <c r="S33" s="73"/>
    </row>
    <row r="34" spans="1:19">
      <c r="A34" s="71" t="s">
        <v>27</v>
      </c>
      <c r="K34" s="73"/>
      <c r="L34" s="73"/>
      <c r="M34" s="73"/>
      <c r="N34" s="73"/>
      <c r="O34" s="73"/>
      <c r="P34" s="73"/>
      <c r="Q34" s="73"/>
      <c r="R34" s="73"/>
      <c r="S34" s="73"/>
    </row>
    <row r="35" spans="1:19">
      <c r="C35" t="s">
        <v>101</v>
      </c>
      <c r="K35" s="73">
        <v>5001</v>
      </c>
      <c r="L35" s="73">
        <v>2529</v>
      </c>
      <c r="M35" s="73"/>
      <c r="N35" s="73">
        <v>557</v>
      </c>
      <c r="O35" s="73">
        <v>2502</v>
      </c>
      <c r="P35" s="73">
        <v>19951</v>
      </c>
      <c r="Q35" s="73">
        <v>1131</v>
      </c>
      <c r="R35" s="73">
        <v>3095</v>
      </c>
      <c r="S35" s="73">
        <f>SUM(K35:R35)</f>
        <v>34766</v>
      </c>
    </row>
    <row r="36" spans="1:19">
      <c r="S36" s="73"/>
    </row>
    <row r="37" spans="1:19" s="5" customFormat="1">
      <c r="E37" s="5" t="s">
        <v>549</v>
      </c>
      <c r="K37" s="79">
        <f>SUM(K35)</f>
        <v>5001</v>
      </c>
      <c r="L37" s="79">
        <f t="shared" ref="L37:S37" si="3">SUM(L35)</f>
        <v>2529</v>
      </c>
      <c r="M37" s="79">
        <f t="shared" si="3"/>
        <v>0</v>
      </c>
      <c r="N37" s="79">
        <f t="shared" si="3"/>
        <v>557</v>
      </c>
      <c r="O37" s="79">
        <f t="shared" si="3"/>
        <v>2502</v>
      </c>
      <c r="P37" s="79">
        <f t="shared" si="3"/>
        <v>19951</v>
      </c>
      <c r="Q37" s="79">
        <f t="shared" si="3"/>
        <v>1131</v>
      </c>
      <c r="R37" s="79">
        <f t="shared" si="3"/>
        <v>3095</v>
      </c>
      <c r="S37" s="79">
        <f t="shared" si="3"/>
        <v>34766</v>
      </c>
    </row>
    <row r="38" spans="1:19">
      <c r="K38" s="73"/>
      <c r="L38" s="73"/>
      <c r="M38" s="73"/>
      <c r="N38" s="73"/>
      <c r="O38" s="73"/>
      <c r="P38" s="73"/>
      <c r="Q38" s="73"/>
      <c r="R38" s="73"/>
      <c r="S38" s="73"/>
    </row>
    <row r="39" spans="1:19">
      <c r="B39" s="86" t="s">
        <v>30</v>
      </c>
      <c r="K39" s="73"/>
      <c r="L39" s="73"/>
      <c r="M39" s="73"/>
      <c r="N39" s="73"/>
      <c r="O39" s="73"/>
      <c r="P39" s="73"/>
      <c r="Q39" s="73"/>
      <c r="R39" s="73"/>
      <c r="S39" s="73"/>
    </row>
    <row r="40" spans="1:19">
      <c r="C40" t="s">
        <v>145</v>
      </c>
      <c r="K40" s="73"/>
      <c r="L40" s="73"/>
      <c r="M40" s="73">
        <v>542</v>
      </c>
      <c r="N40" s="73"/>
      <c r="O40" s="73"/>
      <c r="P40" s="73"/>
      <c r="Q40" s="73"/>
      <c r="R40" s="73">
        <v>1094</v>
      </c>
      <c r="S40" s="73">
        <f>SUM(K40:R40)</f>
        <v>1636</v>
      </c>
    </row>
    <row r="41" spans="1:19">
      <c r="C41" t="s">
        <v>244</v>
      </c>
      <c r="K41" s="80">
        <v>250</v>
      </c>
      <c r="L41" s="73">
        <v>535</v>
      </c>
      <c r="M41" s="73">
        <v>11622</v>
      </c>
      <c r="N41" s="73"/>
      <c r="O41" s="73">
        <v>75270</v>
      </c>
      <c r="P41" s="73">
        <v>38167</v>
      </c>
      <c r="Q41" s="73"/>
      <c r="R41" s="73">
        <v>13649</v>
      </c>
      <c r="S41" s="73">
        <f>SUM(K41:R41)</f>
        <v>139493</v>
      </c>
    </row>
    <row r="42" spans="1:19">
      <c r="C42" t="s">
        <v>331</v>
      </c>
      <c r="K42" s="80">
        <v>2080</v>
      </c>
      <c r="L42" s="73"/>
      <c r="M42" s="73"/>
      <c r="N42" s="73"/>
      <c r="O42" s="73"/>
      <c r="P42" s="73">
        <v>99929</v>
      </c>
      <c r="Q42" s="73"/>
      <c r="R42" s="73">
        <v>33291</v>
      </c>
      <c r="S42" s="73">
        <f t="shared" ref="S42:S44" si="4">SUM(K42:R42)</f>
        <v>135300</v>
      </c>
    </row>
    <row r="43" spans="1:19">
      <c r="C43" t="s">
        <v>130</v>
      </c>
      <c r="K43" s="179">
        <v>38196</v>
      </c>
      <c r="L43" s="73"/>
      <c r="M43" s="73"/>
      <c r="N43" s="73"/>
      <c r="O43" s="73"/>
      <c r="P43" s="73"/>
      <c r="Q43" s="73"/>
      <c r="R43" s="73">
        <v>308</v>
      </c>
      <c r="S43" s="73">
        <f t="shared" si="4"/>
        <v>38504</v>
      </c>
    </row>
    <row r="44" spans="1:19">
      <c r="C44" t="s">
        <v>48</v>
      </c>
      <c r="K44" s="84">
        <v>35047</v>
      </c>
      <c r="L44" s="73">
        <v>-8955</v>
      </c>
      <c r="M44" s="73"/>
      <c r="N44" s="73">
        <v>-14139</v>
      </c>
      <c r="O44" s="73"/>
      <c r="P44" s="73"/>
      <c r="Q44" s="73">
        <v>-9934</v>
      </c>
      <c r="R44" s="73">
        <v>-4148</v>
      </c>
      <c r="S44" s="73">
        <f t="shared" si="4"/>
        <v>-2129</v>
      </c>
    </row>
    <row r="45" spans="1:19">
      <c r="K45" s="73"/>
      <c r="L45" s="73"/>
      <c r="M45" s="73"/>
      <c r="N45" s="73"/>
      <c r="O45" s="73"/>
      <c r="P45" s="73"/>
      <c r="Q45" s="73"/>
      <c r="R45" s="73"/>
      <c r="S45" s="73"/>
    </row>
    <row r="46" spans="1:19" s="5" customFormat="1">
      <c r="E46" s="5" t="s">
        <v>78</v>
      </c>
      <c r="K46" s="79">
        <f>SUM(K40:K45)</f>
        <v>75573</v>
      </c>
      <c r="L46" s="79">
        <f>SUM(L41:L44)</f>
        <v>-8420</v>
      </c>
      <c r="M46" s="79">
        <f>SUM(M40:M44)</f>
        <v>12164</v>
      </c>
      <c r="N46" s="79">
        <f>SUM(N41:N44)</f>
        <v>-14139</v>
      </c>
      <c r="O46" s="79">
        <f>SUM(O40:O44)</f>
        <v>75270</v>
      </c>
      <c r="P46" s="79">
        <f>SUM(P40:P44)</f>
        <v>138096</v>
      </c>
      <c r="Q46" s="79">
        <f>SUM(Q40:Q44)</f>
        <v>-9934</v>
      </c>
      <c r="R46" s="79">
        <f>SUM(R40:R44)</f>
        <v>44194</v>
      </c>
      <c r="S46" s="79">
        <f>SUM(S39:S44)</f>
        <v>312804</v>
      </c>
    </row>
    <row r="47" spans="1:19">
      <c r="K47" s="73"/>
      <c r="L47" s="73"/>
      <c r="M47" s="73"/>
      <c r="N47" s="73"/>
      <c r="O47" s="73"/>
      <c r="P47" s="73"/>
      <c r="Q47" s="73"/>
      <c r="R47" s="73"/>
      <c r="S47" s="73"/>
    </row>
    <row r="48" spans="1:19" s="7" customFormat="1">
      <c r="E48" s="7" t="s">
        <v>550</v>
      </c>
      <c r="K48" s="81">
        <f>SUM(K46+K32+K37)</f>
        <v>119202</v>
      </c>
      <c r="L48" s="81">
        <f t="shared" ref="L48:S48" si="5">SUM(L46+L32+L37)</f>
        <v>5147</v>
      </c>
      <c r="M48" s="81">
        <f t="shared" si="5"/>
        <v>12639</v>
      </c>
      <c r="N48" s="81">
        <f t="shared" si="5"/>
        <v>10191</v>
      </c>
      <c r="O48" s="81">
        <f t="shared" si="5"/>
        <v>77772</v>
      </c>
      <c r="P48" s="81">
        <f t="shared" si="5"/>
        <v>194202</v>
      </c>
      <c r="Q48" s="81">
        <f t="shared" si="5"/>
        <v>3041</v>
      </c>
      <c r="R48" s="81">
        <f t="shared" si="5"/>
        <v>56238</v>
      </c>
      <c r="S48" s="81">
        <f t="shared" si="5"/>
        <v>478432</v>
      </c>
    </row>
  </sheetData>
  <mergeCells count="2">
    <mergeCell ref="D1:K1"/>
    <mergeCell ref="D2:K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R42"/>
  <sheetViews>
    <sheetView zoomScale="60" zoomScaleNormal="60" zoomScalePageLayoutView="60" workbookViewId="0">
      <selection activeCell="O21" sqref="O21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4" width="16.42578125" customWidth="1"/>
    <col min="15" max="16" width="19.7109375" customWidth="1"/>
    <col min="17" max="17" width="18" customWidth="1"/>
    <col min="18" max="18" width="17.7109375" customWidth="1"/>
  </cols>
  <sheetData>
    <row r="1" spans="1:18" ht="18.75">
      <c r="D1" s="263" t="s">
        <v>551</v>
      </c>
      <c r="E1" s="263"/>
      <c r="F1" s="263"/>
      <c r="G1" s="263"/>
      <c r="H1" s="263"/>
      <c r="I1" s="263"/>
      <c r="J1" s="263"/>
      <c r="K1" s="26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8" ht="51" customHeight="1">
      <c r="K3" s="256" t="s">
        <v>281</v>
      </c>
      <c r="L3" s="256"/>
      <c r="M3" s="256"/>
      <c r="Q3" s="184" t="s">
        <v>552</v>
      </c>
    </row>
    <row r="4" spans="1:18">
      <c r="K4" s="57"/>
      <c r="L4" s="182"/>
      <c r="M4" s="182"/>
      <c r="N4" s="183" t="s">
        <v>553</v>
      </c>
      <c r="O4" s="109"/>
      <c r="P4" s="109"/>
    </row>
    <row r="5" spans="1:18" ht="45">
      <c r="K5" s="1" t="s">
        <v>554</v>
      </c>
      <c r="L5" s="1" t="s">
        <v>555</v>
      </c>
      <c r="M5" s="1" t="s">
        <v>556</v>
      </c>
      <c r="N5" s="1" t="s">
        <v>557</v>
      </c>
      <c r="O5" s="1" t="s">
        <v>558</v>
      </c>
      <c r="P5" s="1" t="s">
        <v>559</v>
      </c>
      <c r="Q5" s="1" t="s">
        <v>493</v>
      </c>
      <c r="R5" s="1" t="s">
        <v>249</v>
      </c>
    </row>
    <row r="6" spans="1:18">
      <c r="A6" t="s">
        <v>8</v>
      </c>
    </row>
    <row r="7" spans="1:18">
      <c r="B7" t="s">
        <v>85</v>
      </c>
      <c r="K7" s="72">
        <v>5154347</v>
      </c>
      <c r="L7" s="73">
        <v>5275474</v>
      </c>
      <c r="M7" s="73">
        <v>6680989</v>
      </c>
      <c r="N7" s="73">
        <v>2725167</v>
      </c>
      <c r="O7" s="73">
        <v>5056771</v>
      </c>
      <c r="P7" s="73">
        <v>193285</v>
      </c>
      <c r="Q7" s="73">
        <v>18694885</v>
      </c>
      <c r="R7" s="73">
        <f>SUM(K7:Q7)</f>
        <v>43780918</v>
      </c>
    </row>
    <row r="8" spans="1:18">
      <c r="B8" t="s">
        <v>10</v>
      </c>
      <c r="K8" s="77">
        <v>1248000</v>
      </c>
      <c r="L8" s="73">
        <v>1000000</v>
      </c>
      <c r="M8" s="73">
        <v>4000000</v>
      </c>
      <c r="N8" s="73">
        <v>2000000</v>
      </c>
      <c r="O8" s="73">
        <v>1000000</v>
      </c>
      <c r="P8" s="73"/>
      <c r="Q8" s="73">
        <v>7000000</v>
      </c>
      <c r="R8" s="73">
        <f>SUM(K8:Q8)</f>
        <v>16248000</v>
      </c>
    </row>
    <row r="9" spans="1:18">
      <c r="B9" t="s">
        <v>560</v>
      </c>
      <c r="L9" s="73"/>
      <c r="M9" s="73"/>
      <c r="N9" s="73"/>
      <c r="O9" s="73"/>
      <c r="P9" s="73"/>
      <c r="Q9" s="73"/>
      <c r="R9" s="73"/>
    </row>
    <row r="10" spans="1:18">
      <c r="C10" t="s">
        <v>87</v>
      </c>
      <c r="K10" s="74">
        <v>2931644</v>
      </c>
      <c r="L10" s="73"/>
      <c r="M10" s="73">
        <v>9199172</v>
      </c>
      <c r="N10" s="73">
        <v>7000422</v>
      </c>
      <c r="O10" s="73">
        <v>8621724</v>
      </c>
      <c r="P10" s="73"/>
      <c r="Q10" s="73">
        <v>4488983</v>
      </c>
      <c r="R10" s="73">
        <f t="shared" ref="R10:R17" si="0">SUM(K10:Q10)</f>
        <v>32241945</v>
      </c>
    </row>
    <row r="11" spans="1:18">
      <c r="C11" t="s">
        <v>217</v>
      </c>
      <c r="K11" s="73"/>
      <c r="L11" s="73">
        <v>1266766</v>
      </c>
      <c r="M11" s="73">
        <v>1268864</v>
      </c>
      <c r="N11" s="73"/>
      <c r="O11" s="73"/>
      <c r="P11" s="73"/>
      <c r="Q11" s="73"/>
      <c r="R11" s="73">
        <f t="shared" si="0"/>
        <v>2535630</v>
      </c>
    </row>
    <row r="12" spans="1:18">
      <c r="C12" t="s">
        <v>561</v>
      </c>
      <c r="K12" s="73"/>
      <c r="L12" s="73">
        <v>7050</v>
      </c>
      <c r="M12" s="73"/>
      <c r="N12" s="73"/>
      <c r="O12" s="73"/>
      <c r="P12" s="73"/>
      <c r="Q12" s="73">
        <v>178067</v>
      </c>
      <c r="R12" s="73">
        <f t="shared" si="0"/>
        <v>185117</v>
      </c>
    </row>
    <row r="13" spans="1:18">
      <c r="C13" t="s">
        <v>13</v>
      </c>
      <c r="K13" s="74">
        <v>460968</v>
      </c>
      <c r="L13" s="73">
        <v>49615</v>
      </c>
      <c r="M13" s="73">
        <v>5049</v>
      </c>
      <c r="N13" s="73">
        <v>2771</v>
      </c>
      <c r="O13" s="73">
        <v>82625</v>
      </c>
      <c r="P13" s="73"/>
      <c r="Q13" s="73">
        <v>378518</v>
      </c>
      <c r="R13" s="73">
        <f t="shared" si="0"/>
        <v>979546</v>
      </c>
    </row>
    <row r="14" spans="1:18">
      <c r="B14" t="s">
        <v>16</v>
      </c>
      <c r="K14" s="75">
        <v>612708</v>
      </c>
      <c r="L14" s="73"/>
      <c r="M14" s="73"/>
      <c r="N14" s="73"/>
      <c r="O14" s="73"/>
      <c r="P14" s="73"/>
      <c r="Q14" s="73">
        <v>13902</v>
      </c>
      <c r="R14" s="73">
        <f t="shared" si="0"/>
        <v>626610</v>
      </c>
    </row>
    <row r="15" spans="1:18">
      <c r="B15" t="s">
        <v>61</v>
      </c>
      <c r="K15" s="75">
        <v>433488</v>
      </c>
      <c r="L15" s="73">
        <v>55880</v>
      </c>
      <c r="M15" s="73">
        <v>780980</v>
      </c>
      <c r="N15" s="73">
        <v>116587</v>
      </c>
      <c r="O15" s="73">
        <v>461077</v>
      </c>
      <c r="P15" s="73">
        <v>1401159</v>
      </c>
      <c r="Q15" s="73">
        <v>2187508</v>
      </c>
      <c r="R15" s="73">
        <f t="shared" si="0"/>
        <v>5436679</v>
      </c>
    </row>
    <row r="16" spans="1:18">
      <c r="B16" t="s">
        <v>562</v>
      </c>
      <c r="K16" s="83">
        <v>45</v>
      </c>
      <c r="L16" s="73"/>
      <c r="M16" s="73"/>
      <c r="N16" s="73">
        <v>200</v>
      </c>
      <c r="O16" s="73"/>
      <c r="P16" s="73"/>
      <c r="Q16" s="73">
        <v>334066</v>
      </c>
      <c r="R16" s="73">
        <f t="shared" si="0"/>
        <v>334311</v>
      </c>
    </row>
    <row r="17" spans="1:18">
      <c r="B17" t="s">
        <v>196</v>
      </c>
      <c r="K17" s="180">
        <v>2341</v>
      </c>
      <c r="L17" s="73">
        <v>201168</v>
      </c>
      <c r="M17" s="73"/>
      <c r="N17" s="73"/>
      <c r="O17" s="85">
        <v>98634</v>
      </c>
      <c r="P17" s="85"/>
      <c r="Q17" s="85">
        <v>266402</v>
      </c>
      <c r="R17" s="85">
        <f t="shared" si="0"/>
        <v>568545</v>
      </c>
    </row>
    <row r="18" spans="1:18">
      <c r="K18" s="93"/>
      <c r="L18" s="93"/>
      <c r="M18" s="93"/>
      <c r="N18" s="93"/>
      <c r="O18" s="73"/>
      <c r="P18" s="73"/>
      <c r="Q18" s="73"/>
      <c r="R18" s="73"/>
    </row>
    <row r="19" spans="1:18" s="3" customFormat="1">
      <c r="A19" s="2"/>
      <c r="B19" s="2"/>
      <c r="C19" s="2"/>
      <c r="D19" s="2"/>
      <c r="E19" s="2" t="s">
        <v>64</v>
      </c>
      <c r="K19" s="76">
        <f>SUM(K7:K17)</f>
        <v>10843541</v>
      </c>
      <c r="L19" s="76">
        <f>SUM(L7:L17)</f>
        <v>7855953</v>
      </c>
      <c r="M19" s="76">
        <f>SUM(M7:M17)</f>
        <v>21935054</v>
      </c>
      <c r="N19" s="76">
        <f>SUM(N7:N17)</f>
        <v>11845147</v>
      </c>
      <c r="O19" s="76">
        <f t="shared" ref="O19:Q19" si="1">SUM(O7:O17)</f>
        <v>15320831</v>
      </c>
      <c r="P19" s="76">
        <f>SUM(P7:P17)</f>
        <v>1594444</v>
      </c>
      <c r="Q19" s="76">
        <f t="shared" si="1"/>
        <v>33542331</v>
      </c>
      <c r="R19" s="76">
        <f>SUM(R7:R17)</f>
        <v>102937301</v>
      </c>
    </row>
    <row r="20" spans="1:18">
      <c r="K20" s="73"/>
      <c r="L20" s="73"/>
      <c r="M20" s="73"/>
      <c r="N20" s="73"/>
      <c r="O20" s="73"/>
      <c r="P20" s="73"/>
      <c r="Q20" s="73"/>
      <c r="R20" s="73"/>
    </row>
    <row r="21" spans="1:18">
      <c r="A21" s="4" t="s">
        <v>563</v>
      </c>
      <c r="K21" s="73"/>
      <c r="L21" s="73"/>
      <c r="M21" s="73"/>
      <c r="N21" s="73"/>
      <c r="O21" s="73"/>
      <c r="P21" s="73"/>
      <c r="Q21" s="73"/>
      <c r="R21" s="73"/>
    </row>
    <row r="22" spans="1:18">
      <c r="B22" t="s">
        <v>20</v>
      </c>
      <c r="K22" s="73"/>
      <c r="L22" s="73"/>
      <c r="M22" s="73"/>
      <c r="N22" s="73"/>
      <c r="O22" s="73"/>
      <c r="P22" s="73"/>
      <c r="Q22" s="73"/>
      <c r="R22" s="73"/>
    </row>
    <row r="23" spans="1:18">
      <c r="C23" t="s">
        <v>463</v>
      </c>
      <c r="K23" s="77">
        <v>925141</v>
      </c>
      <c r="L23" s="73">
        <v>475149</v>
      </c>
      <c r="M23" s="73">
        <v>1126259</v>
      </c>
      <c r="N23" s="73">
        <v>396593</v>
      </c>
      <c r="O23" s="73">
        <v>875876</v>
      </c>
      <c r="P23" s="73">
        <v>1451613</v>
      </c>
      <c r="Q23" s="73">
        <v>1523198</v>
      </c>
      <c r="R23" s="73">
        <f>SUM(K23:Q23)</f>
        <v>6773829</v>
      </c>
    </row>
    <row r="24" spans="1:18">
      <c r="C24" t="s">
        <v>25</v>
      </c>
      <c r="K24" s="78">
        <v>13901</v>
      </c>
      <c r="L24" s="73"/>
      <c r="M24" s="73"/>
      <c r="N24" s="73"/>
      <c r="O24" s="73"/>
      <c r="P24" s="73"/>
      <c r="Q24" s="73">
        <v>557136</v>
      </c>
      <c r="R24" s="73">
        <f>SUM(K24:Q24)</f>
        <v>571037</v>
      </c>
    </row>
    <row r="25" spans="1:18">
      <c r="C25" t="s">
        <v>564</v>
      </c>
      <c r="K25" s="98">
        <v>343438</v>
      </c>
      <c r="L25" s="73">
        <v>27555</v>
      </c>
      <c r="M25" s="73"/>
      <c r="N25" s="73"/>
      <c r="O25" s="73"/>
      <c r="P25" s="73"/>
      <c r="Q25" s="73">
        <v>67631</v>
      </c>
      <c r="R25" s="73">
        <f>SUM(K25:Q25)</f>
        <v>438624</v>
      </c>
    </row>
    <row r="26" spans="1:18">
      <c r="C26" t="s">
        <v>565</v>
      </c>
      <c r="K26" s="82">
        <v>2970</v>
      </c>
      <c r="L26" s="73">
        <v>225504</v>
      </c>
      <c r="M26" s="73"/>
      <c r="N26" s="73"/>
      <c r="O26" s="85">
        <v>1399</v>
      </c>
      <c r="P26" s="85"/>
      <c r="Q26" s="85">
        <v>12700</v>
      </c>
      <c r="R26" s="85">
        <f>SUM(K26:Q26)</f>
        <v>242573</v>
      </c>
    </row>
    <row r="27" spans="1:18">
      <c r="K27" s="93"/>
      <c r="L27" s="93"/>
      <c r="M27" s="93"/>
      <c r="N27" s="93"/>
      <c r="O27" s="73"/>
      <c r="P27" s="73"/>
      <c r="Q27" s="73"/>
      <c r="R27" s="73"/>
    </row>
    <row r="28" spans="1:18" s="5" customFormat="1">
      <c r="B28" s="6"/>
      <c r="C28" s="6"/>
      <c r="D28" s="6"/>
      <c r="E28" s="6" t="s">
        <v>26</v>
      </c>
      <c r="K28" s="79">
        <f>SUM(K23:K26)</f>
        <v>1285450</v>
      </c>
      <c r="L28" s="79">
        <f t="shared" ref="L28:R28" si="2">SUM(L23:L26)</f>
        <v>728208</v>
      </c>
      <c r="M28" s="79">
        <f t="shared" si="2"/>
        <v>1126259</v>
      </c>
      <c r="N28" s="79">
        <f t="shared" si="2"/>
        <v>396593</v>
      </c>
      <c r="O28" s="79">
        <f t="shared" si="2"/>
        <v>877275</v>
      </c>
      <c r="P28" s="79">
        <f>SUM(P23:P26)</f>
        <v>1451613</v>
      </c>
      <c r="Q28" s="79">
        <f t="shared" si="2"/>
        <v>2160665</v>
      </c>
      <c r="R28" s="79">
        <f t="shared" si="2"/>
        <v>8026063</v>
      </c>
    </row>
    <row r="29" spans="1:18">
      <c r="K29" s="73"/>
      <c r="L29" s="73"/>
      <c r="M29" s="73"/>
      <c r="N29" s="73"/>
      <c r="O29" s="73"/>
      <c r="P29" s="73"/>
      <c r="Q29" s="73"/>
      <c r="R29" s="73"/>
    </row>
    <row r="30" spans="1:18">
      <c r="B30" t="s">
        <v>566</v>
      </c>
      <c r="K30" s="73"/>
      <c r="L30" s="73"/>
      <c r="M30" s="73"/>
      <c r="N30" s="73"/>
      <c r="O30" s="73"/>
      <c r="P30" s="73"/>
      <c r="Q30" s="73"/>
      <c r="R30" s="73"/>
    </row>
    <row r="31" spans="1:18">
      <c r="C31" t="s">
        <v>567</v>
      </c>
      <c r="K31" s="73"/>
      <c r="L31" s="73"/>
      <c r="M31" s="73"/>
      <c r="N31" s="73"/>
      <c r="O31" s="73"/>
      <c r="P31" s="73"/>
      <c r="Q31" s="73"/>
      <c r="R31" s="73"/>
    </row>
    <row r="32" spans="1:18">
      <c r="C32" t="s">
        <v>502</v>
      </c>
      <c r="K32" s="73"/>
      <c r="L32" s="73"/>
      <c r="M32" s="73"/>
      <c r="N32" s="73"/>
      <c r="O32" s="73"/>
      <c r="P32" s="73"/>
      <c r="Q32" s="73"/>
      <c r="R32" s="73"/>
    </row>
    <row r="33" spans="3:18">
      <c r="D33" t="s">
        <v>562</v>
      </c>
      <c r="K33" s="80">
        <v>45</v>
      </c>
      <c r="L33" s="73"/>
      <c r="M33" s="73"/>
      <c r="N33" s="73">
        <v>200</v>
      </c>
      <c r="O33" s="73"/>
      <c r="P33" s="73"/>
      <c r="Q33" s="73">
        <v>334066</v>
      </c>
      <c r="R33" s="73">
        <f>SUM(K33:Q33)</f>
        <v>334311</v>
      </c>
    </row>
    <row r="34" spans="3:18">
      <c r="D34" t="s">
        <v>196</v>
      </c>
      <c r="K34" s="80">
        <v>2341</v>
      </c>
      <c r="L34" s="73">
        <v>201168</v>
      </c>
      <c r="M34" s="73"/>
      <c r="N34" s="73"/>
      <c r="O34" s="73">
        <v>98634</v>
      </c>
      <c r="P34" s="73"/>
      <c r="Q34" s="73">
        <v>266402</v>
      </c>
      <c r="R34" s="73">
        <f>SUM(K34:Q34)</f>
        <v>568545</v>
      </c>
    </row>
    <row r="35" spans="3:18">
      <c r="C35" t="s">
        <v>568</v>
      </c>
      <c r="K35" s="73"/>
      <c r="L35" s="73"/>
      <c r="M35" s="73"/>
      <c r="N35" s="73"/>
      <c r="O35" s="73"/>
      <c r="P35" s="73"/>
      <c r="Q35" s="73"/>
      <c r="R35" s="73"/>
    </row>
    <row r="36" spans="3:18">
      <c r="D36" t="s">
        <v>129</v>
      </c>
      <c r="K36" s="73"/>
      <c r="L36" s="73">
        <v>6926577</v>
      </c>
      <c r="M36" s="73">
        <v>20808795</v>
      </c>
      <c r="N36" s="73">
        <v>11448354</v>
      </c>
      <c r="O36" s="73">
        <v>14344922</v>
      </c>
      <c r="P36" s="73">
        <v>142831</v>
      </c>
      <c r="Q36" s="73">
        <v>20323618</v>
      </c>
      <c r="R36" s="73">
        <f>SUM(K36:Q36)</f>
        <v>73995097</v>
      </c>
    </row>
    <row r="37" spans="3:18">
      <c r="D37" t="s">
        <v>331</v>
      </c>
      <c r="K37" s="80">
        <v>4375647</v>
      </c>
      <c r="L37" s="73"/>
      <c r="M37" s="73"/>
      <c r="N37" s="73"/>
      <c r="O37" s="73"/>
      <c r="P37" s="73"/>
      <c r="Q37" s="73">
        <v>10457580</v>
      </c>
      <c r="R37" s="73">
        <f>SUM(K37:Q37)</f>
        <v>14833227</v>
      </c>
    </row>
    <row r="38" spans="3:18">
      <c r="D38" t="s">
        <v>48</v>
      </c>
      <c r="K38" s="84">
        <v>5180058</v>
      </c>
      <c r="L38" s="73"/>
      <c r="M38" s="73"/>
      <c r="N38" s="73"/>
      <c r="O38" s="85"/>
      <c r="P38" s="85"/>
      <c r="Q38" s="85"/>
      <c r="R38" s="85">
        <f>SUM(K38:Q38)</f>
        <v>5180058</v>
      </c>
    </row>
    <row r="39" spans="3:18">
      <c r="K39" s="93"/>
      <c r="L39" s="93"/>
      <c r="M39" s="93"/>
      <c r="N39" s="93"/>
      <c r="O39" s="73"/>
      <c r="P39" s="73"/>
      <c r="Q39" s="73"/>
      <c r="R39" s="73"/>
    </row>
    <row r="40" spans="3:18" s="5" customFormat="1">
      <c r="D40" s="6"/>
      <c r="E40" s="6" t="s">
        <v>78</v>
      </c>
      <c r="K40" s="79">
        <f>SUM(K32:K39)</f>
        <v>9558091</v>
      </c>
      <c r="L40" s="79">
        <f t="shared" ref="L40:R40" si="3">SUM(L33:L38)</f>
        <v>7127745</v>
      </c>
      <c r="M40" s="79">
        <f t="shared" si="3"/>
        <v>20808795</v>
      </c>
      <c r="N40" s="79">
        <f t="shared" si="3"/>
        <v>11448554</v>
      </c>
      <c r="O40" s="79">
        <f t="shared" si="3"/>
        <v>14443556</v>
      </c>
      <c r="P40" s="79">
        <f>SUM(P33:P38)</f>
        <v>142831</v>
      </c>
      <c r="Q40" s="79">
        <f t="shared" si="3"/>
        <v>31381666</v>
      </c>
      <c r="R40" s="79">
        <f t="shared" si="3"/>
        <v>94911238</v>
      </c>
    </row>
    <row r="41" spans="3:18">
      <c r="K41" s="73"/>
      <c r="L41" s="73"/>
      <c r="M41" s="73"/>
      <c r="N41" s="73"/>
      <c r="O41" s="73"/>
      <c r="P41" s="73"/>
      <c r="Q41" s="73"/>
      <c r="R41" s="73"/>
    </row>
    <row r="42" spans="3:18" s="7" customFormat="1">
      <c r="D42" s="8"/>
      <c r="E42" s="8" t="s">
        <v>569</v>
      </c>
      <c r="K42" s="81">
        <f>SUM(K40,K28)</f>
        <v>10843541</v>
      </c>
      <c r="L42" s="81">
        <f t="shared" ref="L42:R42" si="4">SUM(L28,L40)</f>
        <v>7855953</v>
      </c>
      <c r="M42" s="81">
        <f t="shared" si="4"/>
        <v>21935054</v>
      </c>
      <c r="N42" s="81">
        <f t="shared" si="4"/>
        <v>11845147</v>
      </c>
      <c r="O42" s="81">
        <f t="shared" si="4"/>
        <v>15320831</v>
      </c>
      <c r="P42" s="81">
        <f t="shared" si="4"/>
        <v>1594444</v>
      </c>
      <c r="Q42" s="81">
        <f t="shared" si="4"/>
        <v>33542331</v>
      </c>
      <c r="R42" s="81">
        <f t="shared" si="4"/>
        <v>102937301</v>
      </c>
    </row>
  </sheetData>
  <mergeCells count="3">
    <mergeCell ref="D1:K1"/>
    <mergeCell ref="D2:K2"/>
    <mergeCell ref="K3:M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P48"/>
  <sheetViews>
    <sheetView zoomScale="80" zoomScaleNormal="80" zoomScalePageLayoutView="80" workbookViewId="0">
      <selection activeCell="K35" sqref="K35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2" width="16.42578125" customWidth="1"/>
    <col min="13" max="14" width="19.42578125" customWidth="1"/>
    <col min="15" max="15" width="17.7109375" customWidth="1"/>
    <col min="16" max="16" width="17.42578125" customWidth="1"/>
  </cols>
  <sheetData>
    <row r="1" spans="1:16" ht="18.75">
      <c r="D1" s="253" t="s">
        <v>570</v>
      </c>
      <c r="E1" s="253"/>
      <c r="F1" s="253"/>
      <c r="G1" s="253"/>
      <c r="H1" s="253"/>
      <c r="I1" s="253"/>
      <c r="J1" s="253"/>
      <c r="K1" s="253"/>
    </row>
    <row r="2" spans="1:16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6">
      <c r="D3" s="57"/>
      <c r="E3" s="57"/>
      <c r="F3" s="57"/>
      <c r="G3" s="57"/>
      <c r="H3" s="57"/>
      <c r="I3" s="57"/>
      <c r="J3" s="57"/>
      <c r="K3" s="57"/>
    </row>
    <row r="4" spans="1:16" ht="36.75" customHeight="1"/>
    <row r="5" spans="1:16" ht="45">
      <c r="K5" s="1" t="s">
        <v>2</v>
      </c>
      <c r="L5" s="1" t="s">
        <v>571</v>
      </c>
      <c r="M5" s="1" t="s">
        <v>572</v>
      </c>
      <c r="N5" s="1" t="s">
        <v>573</v>
      </c>
      <c r="O5" s="1" t="s">
        <v>6</v>
      </c>
      <c r="P5" s="1" t="s">
        <v>7</v>
      </c>
    </row>
    <row r="6" spans="1:16">
      <c r="A6" t="s">
        <v>8</v>
      </c>
    </row>
    <row r="7" spans="1:16">
      <c r="B7" t="s">
        <v>85</v>
      </c>
      <c r="K7" s="72">
        <v>8952201</v>
      </c>
      <c r="L7" s="73"/>
      <c r="M7" s="73">
        <v>42803900</v>
      </c>
      <c r="N7" s="73">
        <v>23603161</v>
      </c>
      <c r="O7" s="73">
        <v>31208628</v>
      </c>
      <c r="P7" s="73">
        <f>SUM(K7:O7)</f>
        <v>106567890</v>
      </c>
    </row>
    <row r="8" spans="1:16">
      <c r="B8" t="s">
        <v>10</v>
      </c>
      <c r="K8" s="77">
        <v>1497</v>
      </c>
      <c r="L8" s="73"/>
      <c r="M8" s="73"/>
      <c r="N8" s="73"/>
      <c r="O8" s="73">
        <v>1606</v>
      </c>
      <c r="P8" s="73">
        <f>SUM(K8:O8)</f>
        <v>3103</v>
      </c>
    </row>
    <row r="9" spans="1:16">
      <c r="B9" t="s">
        <v>574</v>
      </c>
      <c r="K9" s="74">
        <v>11209554</v>
      </c>
      <c r="L9" s="73">
        <v>39236353</v>
      </c>
      <c r="M9" s="73"/>
      <c r="N9" s="73"/>
      <c r="O9" s="73">
        <v>15048067</v>
      </c>
      <c r="P9" s="73">
        <f>SUM(K9:O9)</f>
        <v>65493974</v>
      </c>
    </row>
    <row r="10" spans="1:16">
      <c r="B10" t="s">
        <v>16</v>
      </c>
      <c r="K10" s="75">
        <v>24266587</v>
      </c>
      <c r="L10" s="73"/>
      <c r="M10" s="73"/>
      <c r="N10" s="73">
        <v>4000</v>
      </c>
      <c r="O10" s="73">
        <v>167005</v>
      </c>
      <c r="P10" s="73">
        <f>SUM(K10:O10)</f>
        <v>24437592</v>
      </c>
    </row>
    <row r="11" spans="1:16">
      <c r="B11" t="s">
        <v>142</v>
      </c>
      <c r="K11" s="83">
        <v>1199944</v>
      </c>
      <c r="L11" s="73"/>
      <c r="M11" s="73"/>
      <c r="N11" s="73"/>
      <c r="O11" s="73"/>
      <c r="P11" s="73">
        <f>SUM(K11:O11)</f>
        <v>1199944</v>
      </c>
    </row>
    <row r="12" spans="1:16">
      <c r="B12" t="s">
        <v>575</v>
      </c>
      <c r="K12" s="82">
        <v>2073727</v>
      </c>
      <c r="L12" s="73"/>
      <c r="M12" s="73"/>
      <c r="N12" s="73"/>
      <c r="O12" s="73"/>
      <c r="P12" s="73">
        <f>SUM(K12:N12)</f>
        <v>2073727</v>
      </c>
    </row>
    <row r="13" spans="1:16">
      <c r="K13" s="73"/>
      <c r="L13" s="73"/>
      <c r="M13" s="73"/>
      <c r="N13" s="73"/>
      <c r="O13" s="73"/>
      <c r="P13" s="73"/>
    </row>
    <row r="14" spans="1:16" s="3" customFormat="1">
      <c r="A14" s="2"/>
      <c r="B14" s="2"/>
      <c r="C14" s="2"/>
      <c r="D14" s="2"/>
      <c r="E14" s="2" t="s">
        <v>64</v>
      </c>
      <c r="K14" s="76">
        <f t="shared" ref="K14:P14" si="0">SUM(K7:K12)</f>
        <v>47703510</v>
      </c>
      <c r="L14" s="76">
        <f t="shared" si="0"/>
        <v>39236353</v>
      </c>
      <c r="M14" s="76">
        <f t="shared" si="0"/>
        <v>42803900</v>
      </c>
      <c r="N14" s="76">
        <f t="shared" si="0"/>
        <v>23607161</v>
      </c>
      <c r="O14" s="76">
        <f t="shared" si="0"/>
        <v>46425306</v>
      </c>
      <c r="P14" s="76">
        <f t="shared" si="0"/>
        <v>199776230</v>
      </c>
    </row>
    <row r="15" spans="1:16">
      <c r="K15" s="73"/>
      <c r="L15" s="73"/>
      <c r="M15" s="73"/>
      <c r="N15" s="73"/>
      <c r="O15" s="73"/>
      <c r="P15" s="73"/>
    </row>
    <row r="16" spans="1:16">
      <c r="A16" s="4" t="s">
        <v>19</v>
      </c>
      <c r="K16" s="73"/>
      <c r="L16" s="73"/>
      <c r="M16" s="73"/>
      <c r="N16" s="73"/>
      <c r="O16" s="73"/>
      <c r="P16" s="73"/>
    </row>
    <row r="17" spans="1:16">
      <c r="B17" t="s">
        <v>20</v>
      </c>
      <c r="K17" s="73"/>
      <c r="L17" s="73"/>
      <c r="M17" s="73"/>
      <c r="N17" s="73"/>
      <c r="O17" s="73"/>
      <c r="P17" s="73"/>
    </row>
    <row r="18" spans="1:16">
      <c r="C18" t="s">
        <v>276</v>
      </c>
      <c r="K18" s="77">
        <v>3541344</v>
      </c>
      <c r="L18" s="73">
        <v>3326407</v>
      </c>
      <c r="M18">
        <v>150791</v>
      </c>
      <c r="N18" s="73">
        <v>317429</v>
      </c>
      <c r="O18" s="73">
        <v>6265711</v>
      </c>
      <c r="P18" s="73">
        <f t="shared" ref="P18:P23" si="1">SUM(K18:O18)</f>
        <v>13601682</v>
      </c>
    </row>
    <row r="19" spans="1:16">
      <c r="C19" t="s">
        <v>576</v>
      </c>
      <c r="K19" s="77">
        <v>695854</v>
      </c>
      <c r="L19" s="73"/>
      <c r="N19" s="73"/>
      <c r="O19" s="73">
        <v>389838</v>
      </c>
      <c r="P19" s="73">
        <f t="shared" si="1"/>
        <v>1085692</v>
      </c>
    </row>
    <row r="20" spans="1:16">
      <c r="C20" t="s">
        <v>564</v>
      </c>
      <c r="L20" s="73">
        <v>11382905</v>
      </c>
      <c r="N20" s="73"/>
      <c r="O20" s="73"/>
      <c r="P20" s="73">
        <f t="shared" si="1"/>
        <v>11382905</v>
      </c>
    </row>
    <row r="21" spans="1:16">
      <c r="C21" t="s">
        <v>577</v>
      </c>
      <c r="K21" s="78">
        <v>35075</v>
      </c>
      <c r="L21" s="73"/>
      <c r="N21" s="73"/>
      <c r="O21" s="73">
        <v>255</v>
      </c>
      <c r="P21" s="73">
        <f t="shared" si="1"/>
        <v>35330</v>
      </c>
    </row>
    <row r="22" spans="1:16">
      <c r="C22" t="s">
        <v>25</v>
      </c>
      <c r="K22" s="78">
        <v>106828</v>
      </c>
      <c r="L22" s="73">
        <v>20566129</v>
      </c>
      <c r="M22">
        <v>25872</v>
      </c>
      <c r="N22" s="73">
        <v>4000</v>
      </c>
      <c r="O22" s="73">
        <v>3734763</v>
      </c>
      <c r="P22" s="73">
        <f t="shared" si="1"/>
        <v>24437592</v>
      </c>
    </row>
    <row r="23" spans="1:16">
      <c r="C23" t="s">
        <v>47</v>
      </c>
      <c r="K23" s="82">
        <v>581953</v>
      </c>
      <c r="L23" s="73"/>
      <c r="N23" s="73"/>
      <c r="O23" s="73">
        <v>381686</v>
      </c>
      <c r="P23" s="73">
        <f t="shared" si="1"/>
        <v>963639</v>
      </c>
    </row>
    <row r="24" spans="1:16">
      <c r="K24" s="73"/>
      <c r="L24" s="73"/>
      <c r="M24" s="73"/>
      <c r="N24" s="73"/>
      <c r="O24" s="73"/>
      <c r="P24" s="73"/>
    </row>
    <row r="25" spans="1:16" s="5" customFormat="1">
      <c r="B25" s="6"/>
      <c r="C25" s="6"/>
      <c r="D25" s="6"/>
      <c r="E25" s="6" t="s">
        <v>26</v>
      </c>
      <c r="K25" s="79">
        <f>SUM(K18:K23)</f>
        <v>4961054</v>
      </c>
      <c r="L25" s="79">
        <f>SUM(L18:L23)</f>
        <v>35275441</v>
      </c>
      <c r="M25" s="79">
        <f>SUM(M18:M24)</f>
        <v>176663</v>
      </c>
      <c r="N25" s="79">
        <f>SUM(N18:N23)</f>
        <v>321429</v>
      </c>
      <c r="O25" s="79">
        <f>SUM(O18:O23)</f>
        <v>10772253</v>
      </c>
      <c r="P25" s="79">
        <f>SUM(P18:P23)</f>
        <v>51506840</v>
      </c>
    </row>
    <row r="26" spans="1:16">
      <c r="K26" s="73"/>
      <c r="L26" s="73"/>
      <c r="M26" s="73"/>
      <c r="N26" s="73"/>
      <c r="O26" s="73"/>
      <c r="P26" s="73"/>
    </row>
    <row r="27" spans="1:16">
      <c r="A27" s="71" t="s">
        <v>65</v>
      </c>
      <c r="K27" s="73"/>
      <c r="L27" s="73"/>
      <c r="M27" s="73"/>
      <c r="N27" s="73"/>
      <c r="O27" s="73"/>
      <c r="P27" s="73"/>
    </row>
    <row r="28" spans="1:16">
      <c r="C28" t="s">
        <v>172</v>
      </c>
      <c r="K28" s="85">
        <v>3806309</v>
      </c>
      <c r="L28" s="85"/>
      <c r="M28" s="85"/>
      <c r="N28" s="85"/>
      <c r="O28" s="85">
        <v>14702469</v>
      </c>
      <c r="P28" s="85">
        <f>SUM(K28:O28)</f>
        <v>18508778</v>
      </c>
    </row>
    <row r="29" spans="1:16">
      <c r="K29" s="73"/>
      <c r="L29" s="73"/>
      <c r="M29" s="73"/>
      <c r="N29" s="73"/>
      <c r="O29" s="73"/>
      <c r="P29" s="73"/>
    </row>
    <row r="30" spans="1:16">
      <c r="B30" t="s">
        <v>30</v>
      </c>
      <c r="K30" s="73"/>
      <c r="L30" s="73"/>
      <c r="M30" s="73"/>
      <c r="N30" s="73"/>
      <c r="O30" s="73"/>
      <c r="P30" s="73"/>
    </row>
    <row r="31" spans="1:16">
      <c r="C31" t="s">
        <v>407</v>
      </c>
      <c r="K31" s="80">
        <v>3270464</v>
      </c>
      <c r="L31" s="73"/>
      <c r="M31" s="73"/>
      <c r="N31" s="73"/>
      <c r="O31" s="73"/>
      <c r="P31" s="73">
        <f>SUM(K31:O31)</f>
        <v>3270464</v>
      </c>
    </row>
    <row r="32" spans="1:16">
      <c r="C32" t="s">
        <v>129</v>
      </c>
      <c r="K32" s="80">
        <v>2161809</v>
      </c>
      <c r="L32" s="73">
        <v>3960912</v>
      </c>
      <c r="M32" s="73">
        <v>42627237</v>
      </c>
      <c r="N32" s="73">
        <v>23285732</v>
      </c>
      <c r="O32" s="73">
        <v>27860563</v>
      </c>
      <c r="P32" s="73">
        <f>SUM(K32:O32)</f>
        <v>99896253</v>
      </c>
    </row>
    <row r="33" spans="3:16">
      <c r="C33" t="s">
        <v>331</v>
      </c>
      <c r="K33" s="80">
        <v>28403308</v>
      </c>
      <c r="L33" s="73"/>
      <c r="M33" s="73"/>
      <c r="N33" s="73"/>
      <c r="O33" s="73"/>
      <c r="P33" s="73">
        <f>SUM(K33:O33)</f>
        <v>28403308</v>
      </c>
    </row>
    <row r="34" spans="3:16">
      <c r="C34" t="s">
        <v>130</v>
      </c>
      <c r="K34" s="91">
        <v>919993</v>
      </c>
      <c r="L34" s="73"/>
      <c r="M34" s="73"/>
      <c r="N34" s="73"/>
      <c r="O34" s="73">
        <v>3075</v>
      </c>
      <c r="P34" s="73">
        <f>SUM(K34:O34)</f>
        <v>923068</v>
      </c>
    </row>
    <row r="35" spans="3:16">
      <c r="C35" t="s">
        <v>578</v>
      </c>
      <c r="K35" s="84">
        <v>4180573</v>
      </c>
      <c r="L35" s="73"/>
      <c r="M35" s="73"/>
      <c r="N35" s="73"/>
      <c r="O35" s="73">
        <v>-6913054</v>
      </c>
      <c r="P35" s="73">
        <f>SUM(K35:O35)</f>
        <v>-2732481</v>
      </c>
    </row>
    <row r="36" spans="3:16">
      <c r="K36" s="73"/>
      <c r="L36" s="73"/>
      <c r="M36" s="73"/>
      <c r="N36" s="73"/>
      <c r="O36" s="73"/>
      <c r="P36" s="73"/>
    </row>
    <row r="37" spans="3:16" s="5" customFormat="1">
      <c r="D37" s="6"/>
      <c r="E37" s="6" t="s">
        <v>78</v>
      </c>
      <c r="K37" s="79">
        <f>SUM(K31:K35)</f>
        <v>38936147</v>
      </c>
      <c r="L37" s="79">
        <f t="shared" ref="L37:O37" si="2">SUM(L31:L35)</f>
        <v>3960912</v>
      </c>
      <c r="M37" s="79">
        <f t="shared" si="2"/>
        <v>42627237</v>
      </c>
      <c r="N37" s="79">
        <f t="shared" si="2"/>
        <v>23285732</v>
      </c>
      <c r="O37" s="79">
        <f t="shared" si="2"/>
        <v>20950584</v>
      </c>
      <c r="P37" s="79">
        <f>SUM(P31:P35)</f>
        <v>129760612</v>
      </c>
    </row>
    <row r="38" spans="3:16">
      <c r="K38" s="73"/>
      <c r="L38" s="73"/>
      <c r="M38" s="73"/>
      <c r="N38" s="73"/>
      <c r="O38" s="73"/>
      <c r="P38" s="73"/>
    </row>
    <row r="39" spans="3:16" s="7" customFormat="1">
      <c r="D39" s="8"/>
      <c r="E39" s="8" t="s">
        <v>50</v>
      </c>
      <c r="K39" s="81">
        <f>SUM(K37,K25,K28)</f>
        <v>47703510</v>
      </c>
      <c r="L39" s="81">
        <f t="shared" ref="L39:P39" si="3">SUM(L37,L25,L28)</f>
        <v>39236353</v>
      </c>
      <c r="M39" s="81">
        <f t="shared" si="3"/>
        <v>42803900</v>
      </c>
      <c r="N39" s="81">
        <f t="shared" si="3"/>
        <v>23607161</v>
      </c>
      <c r="O39" s="81">
        <f t="shared" si="3"/>
        <v>46425306</v>
      </c>
      <c r="P39" s="81">
        <f t="shared" si="3"/>
        <v>199776230</v>
      </c>
    </row>
    <row r="43" spans="3:16">
      <c r="P43" s="175"/>
    </row>
    <row r="48" spans="3:16">
      <c r="P48" s="176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S45"/>
  <sheetViews>
    <sheetView zoomScaleNormal="100" workbookViewId="0">
      <selection activeCell="S32" sqref="S32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7" width="19.42578125" customWidth="1"/>
    <col min="18" max="18" width="17.7109375" customWidth="1"/>
    <col min="19" max="19" width="17.42578125" customWidth="1"/>
  </cols>
  <sheetData>
    <row r="1" spans="1:19" ht="18.75">
      <c r="D1" s="253" t="s">
        <v>579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9">
      <c r="D3" s="57"/>
      <c r="E3" s="57"/>
      <c r="F3" s="57"/>
      <c r="G3" s="57"/>
      <c r="H3" s="57"/>
      <c r="I3" s="57"/>
      <c r="J3" s="57"/>
      <c r="K3" s="57"/>
    </row>
    <row r="4" spans="1:19" ht="45">
      <c r="K4" s="1" t="s">
        <v>52</v>
      </c>
      <c r="L4" s="1" t="s">
        <v>580</v>
      </c>
      <c r="M4" s="1" t="s">
        <v>339</v>
      </c>
      <c r="N4" s="1" t="s">
        <v>581</v>
      </c>
      <c r="O4" s="1" t="s">
        <v>582</v>
      </c>
      <c r="P4" s="1" t="s">
        <v>583</v>
      </c>
      <c r="Q4" s="1" t="s">
        <v>584</v>
      </c>
      <c r="R4" s="1" t="s">
        <v>6</v>
      </c>
      <c r="S4" s="1" t="s">
        <v>7</v>
      </c>
    </row>
    <row r="5" spans="1:19">
      <c r="A5" t="s">
        <v>8</v>
      </c>
    </row>
    <row r="6" spans="1:19">
      <c r="B6" t="s">
        <v>85</v>
      </c>
      <c r="K6" s="72">
        <v>14821</v>
      </c>
      <c r="L6" s="73">
        <v>94268</v>
      </c>
      <c r="M6" s="73">
        <v>2800</v>
      </c>
      <c r="N6" s="73">
        <v>2492877</v>
      </c>
      <c r="O6" s="73">
        <v>1871</v>
      </c>
      <c r="P6" s="73">
        <v>554475</v>
      </c>
      <c r="Q6" s="73">
        <v>61260</v>
      </c>
      <c r="R6" s="73">
        <v>94108</v>
      </c>
      <c r="S6" s="73">
        <f t="shared" ref="S6:S12" si="0">SUM(K6:R6)</f>
        <v>3316480</v>
      </c>
    </row>
    <row r="7" spans="1:19">
      <c r="B7" t="s">
        <v>10</v>
      </c>
      <c r="K7" s="73"/>
      <c r="L7" s="73"/>
      <c r="M7" s="73"/>
      <c r="N7" s="73">
        <v>141853</v>
      </c>
      <c r="O7" s="73"/>
      <c r="P7" s="73"/>
      <c r="Q7" s="73"/>
      <c r="R7" s="73"/>
      <c r="S7" s="73">
        <f t="shared" si="0"/>
        <v>141853</v>
      </c>
    </row>
    <row r="8" spans="1:19">
      <c r="B8" t="s">
        <v>86</v>
      </c>
      <c r="K8" s="74">
        <v>1459366</v>
      </c>
      <c r="L8" s="73">
        <v>98323</v>
      </c>
      <c r="M8" s="73"/>
      <c r="N8" s="73">
        <v>1657405</v>
      </c>
      <c r="O8" s="73">
        <v>20169</v>
      </c>
      <c r="P8" s="73"/>
      <c r="Q8" s="73">
        <v>168074</v>
      </c>
      <c r="R8" s="73">
        <v>63868</v>
      </c>
      <c r="S8" s="73">
        <f t="shared" si="0"/>
        <v>3467205</v>
      </c>
    </row>
    <row r="9" spans="1:19">
      <c r="B9" t="s">
        <v>61</v>
      </c>
      <c r="K9" s="75">
        <v>343340</v>
      </c>
      <c r="L9" s="73">
        <v>213305</v>
      </c>
      <c r="M9" s="73">
        <v>24079</v>
      </c>
      <c r="N9" s="73"/>
      <c r="O9" s="73"/>
      <c r="P9" s="73"/>
      <c r="Q9" s="73">
        <v>1411</v>
      </c>
      <c r="R9" s="73">
        <v>15488</v>
      </c>
      <c r="S9" s="73">
        <f t="shared" si="0"/>
        <v>597623</v>
      </c>
    </row>
    <row r="10" spans="1:19">
      <c r="B10" t="s">
        <v>16</v>
      </c>
      <c r="K10" s="75">
        <v>1908524</v>
      </c>
      <c r="L10" s="73"/>
      <c r="M10" s="73"/>
      <c r="N10" s="73"/>
      <c r="O10" s="73"/>
      <c r="P10" s="73">
        <v>891000</v>
      </c>
      <c r="Q10" s="73">
        <v>1700000</v>
      </c>
      <c r="R10" s="73">
        <v>290000</v>
      </c>
      <c r="S10" s="73">
        <f t="shared" si="0"/>
        <v>4789524</v>
      </c>
    </row>
    <row r="11" spans="1:19">
      <c r="B11" t="s">
        <v>142</v>
      </c>
      <c r="K11" s="83">
        <v>110525</v>
      </c>
      <c r="L11" s="73"/>
      <c r="M11" s="73"/>
      <c r="N11" s="73"/>
      <c r="O11" s="73"/>
      <c r="P11" s="73"/>
      <c r="Q11" s="73"/>
      <c r="R11" s="73"/>
      <c r="S11" s="73">
        <f t="shared" si="0"/>
        <v>110525</v>
      </c>
    </row>
    <row r="12" spans="1:19">
      <c r="B12" t="s">
        <v>126</v>
      </c>
      <c r="K12" s="82">
        <v>14213</v>
      </c>
      <c r="L12" s="73">
        <v>709</v>
      </c>
      <c r="M12" s="73"/>
      <c r="N12" s="73"/>
      <c r="O12" s="73"/>
      <c r="P12" s="73"/>
      <c r="Q12" s="73"/>
      <c r="R12" s="73">
        <v>615</v>
      </c>
      <c r="S12" s="73">
        <f t="shared" si="0"/>
        <v>15537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 s="3" customFormat="1">
      <c r="A14" s="2"/>
      <c r="B14" s="2"/>
      <c r="C14" s="2"/>
      <c r="D14" s="2"/>
      <c r="E14" s="2" t="s">
        <v>64</v>
      </c>
      <c r="K14" s="76">
        <f t="shared" ref="K14:S14" si="1">SUM(K6:K12)</f>
        <v>3850789</v>
      </c>
      <c r="L14" s="76">
        <f t="shared" si="1"/>
        <v>406605</v>
      </c>
      <c r="M14" s="76">
        <f t="shared" si="1"/>
        <v>26879</v>
      </c>
      <c r="N14" s="76">
        <f t="shared" si="1"/>
        <v>4292135</v>
      </c>
      <c r="O14" s="76">
        <f t="shared" si="1"/>
        <v>22040</v>
      </c>
      <c r="P14" s="76">
        <f t="shared" si="1"/>
        <v>1445475</v>
      </c>
      <c r="Q14" s="76">
        <f t="shared" si="1"/>
        <v>1930745</v>
      </c>
      <c r="R14" s="76">
        <f t="shared" si="1"/>
        <v>464079</v>
      </c>
      <c r="S14" s="76">
        <f t="shared" si="1"/>
        <v>12438747</v>
      </c>
    </row>
    <row r="15" spans="1:19"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A16" s="4" t="s">
        <v>143</v>
      </c>
      <c r="K16" s="73"/>
      <c r="L16" s="73"/>
      <c r="M16" s="73"/>
      <c r="N16" s="73"/>
      <c r="O16" s="73"/>
      <c r="P16" s="73"/>
      <c r="Q16" s="73"/>
      <c r="R16" s="73"/>
      <c r="S16" s="73"/>
    </row>
    <row r="17" spans="1:19">
      <c r="B17" t="s">
        <v>20</v>
      </c>
      <c r="K17" s="73"/>
      <c r="L17" s="73"/>
      <c r="M17" s="73"/>
      <c r="N17" s="73"/>
      <c r="O17" s="73"/>
      <c r="P17" s="73"/>
      <c r="Q17" s="73"/>
      <c r="R17" s="73"/>
      <c r="S17" s="73"/>
    </row>
    <row r="18" spans="1:19">
      <c r="C18" t="s">
        <v>463</v>
      </c>
      <c r="K18" s="77">
        <v>344002</v>
      </c>
      <c r="L18" s="73">
        <v>248692</v>
      </c>
      <c r="M18" s="73">
        <v>18101</v>
      </c>
      <c r="N18">
        <v>140389</v>
      </c>
      <c r="O18" s="73">
        <v>17031</v>
      </c>
      <c r="P18" s="73">
        <v>950383</v>
      </c>
      <c r="Q18" s="73"/>
      <c r="R18" s="73">
        <v>31612</v>
      </c>
      <c r="S18" s="73">
        <f>SUM(K18:R18)</f>
        <v>1750210</v>
      </c>
    </row>
    <row r="19" spans="1:19">
      <c r="C19" t="s">
        <v>99</v>
      </c>
      <c r="K19" s="78">
        <v>519937</v>
      </c>
      <c r="L19" s="73"/>
      <c r="M19" s="73"/>
      <c r="O19" s="73"/>
      <c r="P19" s="73"/>
      <c r="Q19" s="73"/>
      <c r="R19" s="73"/>
      <c r="S19" s="73">
        <f>SUM(K19:R19)</f>
        <v>519937</v>
      </c>
    </row>
    <row r="20" spans="1:19">
      <c r="C20" t="s">
        <v>25</v>
      </c>
      <c r="K20" s="78">
        <v>2881000</v>
      </c>
      <c r="L20" s="73">
        <v>142000</v>
      </c>
      <c r="M20" s="73">
        <v>5000</v>
      </c>
      <c r="O20" s="73">
        <v>781000</v>
      </c>
      <c r="P20" s="73"/>
      <c r="Q20" s="73"/>
      <c r="R20" s="73">
        <v>36000</v>
      </c>
      <c r="S20" s="73">
        <f>SUM(K20:R20)</f>
        <v>3845000</v>
      </c>
    </row>
    <row r="21" spans="1:19">
      <c r="K21" s="73"/>
      <c r="L21" s="73"/>
      <c r="M21" s="73"/>
      <c r="N21" s="73"/>
      <c r="O21" s="73"/>
      <c r="P21" s="73"/>
      <c r="Q21" s="73"/>
      <c r="R21" s="73"/>
      <c r="S21" s="73"/>
    </row>
    <row r="22" spans="1:19" s="5" customFormat="1">
      <c r="B22" s="6"/>
      <c r="C22" s="6"/>
      <c r="D22" s="6"/>
      <c r="E22" s="6" t="s">
        <v>26</v>
      </c>
      <c r="K22" s="79">
        <f>SUM(K18:K20)</f>
        <v>3744939</v>
      </c>
      <c r="L22" s="79">
        <f>SUM(L18:L20)</f>
        <v>390692</v>
      </c>
      <c r="M22" s="79">
        <f>SUM(M18:M20)</f>
        <v>23101</v>
      </c>
      <c r="N22" s="79">
        <f>SUM(N18:N21)</f>
        <v>140389</v>
      </c>
      <c r="O22" s="79">
        <f>SUM(O18:O20)</f>
        <v>798031</v>
      </c>
      <c r="P22" s="79">
        <f>SUM(P18:P20)</f>
        <v>950383</v>
      </c>
      <c r="Q22" s="79">
        <f>SUM(Q18:Q20)</f>
        <v>0</v>
      </c>
      <c r="R22" s="79">
        <f>SUM(R18:R20)</f>
        <v>67612</v>
      </c>
      <c r="S22" s="79">
        <f>SUM(S18:S20)</f>
        <v>6115147</v>
      </c>
    </row>
    <row r="23" spans="1:19">
      <c r="K23" s="73"/>
      <c r="L23" s="73"/>
      <c r="M23" s="73"/>
      <c r="N23" s="73"/>
      <c r="O23" s="73"/>
      <c r="P23" s="73"/>
      <c r="Q23" s="73"/>
      <c r="R23" s="73"/>
      <c r="S23" s="73"/>
    </row>
    <row r="24" spans="1:19">
      <c r="A24" s="71" t="s">
        <v>65</v>
      </c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C25" t="s">
        <v>585</v>
      </c>
      <c r="K25" s="85">
        <v>22863</v>
      </c>
      <c r="L25" s="85"/>
      <c r="M25" s="85"/>
      <c r="N25" s="85"/>
      <c r="O25" s="85"/>
      <c r="P25" s="85"/>
      <c r="Q25" s="85"/>
      <c r="R25" s="85"/>
      <c r="S25" s="85">
        <f>SUM(K25:R25)</f>
        <v>22863</v>
      </c>
    </row>
    <row r="26" spans="1:19">
      <c r="K26" s="73"/>
      <c r="L26" s="73"/>
      <c r="M26" s="73"/>
      <c r="N26" s="73"/>
      <c r="O26" s="73"/>
      <c r="P26" s="73"/>
      <c r="Q26" s="73"/>
      <c r="R26" s="73"/>
      <c r="S26" s="73"/>
    </row>
    <row r="27" spans="1:19">
      <c r="B27" t="s">
        <v>30</v>
      </c>
      <c r="K27" s="73"/>
      <c r="L27" s="73"/>
      <c r="M27" s="73"/>
      <c r="N27" s="73"/>
      <c r="O27" s="73"/>
      <c r="P27" s="73"/>
      <c r="Q27" s="73"/>
      <c r="R27" s="73"/>
      <c r="S27" s="73"/>
    </row>
    <row r="28" spans="1:19">
      <c r="C28" t="s">
        <v>145</v>
      </c>
      <c r="K28" s="80">
        <v>110525</v>
      </c>
      <c r="L28" s="73"/>
      <c r="M28" s="73"/>
      <c r="N28" s="73"/>
      <c r="O28" s="73"/>
      <c r="P28" s="73"/>
      <c r="Q28" s="73"/>
      <c r="R28" s="73"/>
      <c r="S28" s="73">
        <f>SUM(K28:R28)</f>
        <v>110525</v>
      </c>
    </row>
    <row r="29" spans="1:19">
      <c r="C29" t="s">
        <v>129</v>
      </c>
      <c r="K29" s="90"/>
      <c r="L29" s="73"/>
      <c r="M29" s="73"/>
      <c r="N29" s="73">
        <v>4151746</v>
      </c>
      <c r="O29" s="73"/>
      <c r="P29" s="73">
        <v>495092</v>
      </c>
      <c r="Q29" s="73">
        <v>1930745</v>
      </c>
      <c r="R29" s="73"/>
      <c r="S29" s="73">
        <f>SUM(K29:R29)</f>
        <v>6577583</v>
      </c>
    </row>
    <row r="30" spans="1:19">
      <c r="C30" t="s">
        <v>331</v>
      </c>
      <c r="L30" s="73">
        <v>15913</v>
      </c>
      <c r="M30" s="73">
        <v>3778</v>
      </c>
      <c r="N30" s="73"/>
      <c r="O30" s="73"/>
      <c r="P30" s="73"/>
      <c r="Q30" s="73"/>
      <c r="R30" s="73">
        <v>396467</v>
      </c>
      <c r="S30" s="73">
        <f>SUM(K30:R30)</f>
        <v>416158</v>
      </c>
    </row>
    <row r="31" spans="1:19">
      <c r="C31" t="s">
        <v>130</v>
      </c>
      <c r="L31" s="73"/>
      <c r="M31" s="73"/>
      <c r="N31" s="73"/>
      <c r="O31" s="73"/>
      <c r="P31" s="73"/>
      <c r="Q31" s="73"/>
      <c r="R31" s="73"/>
      <c r="S31" s="73"/>
    </row>
    <row r="32" spans="1:19">
      <c r="C32" t="s">
        <v>48</v>
      </c>
      <c r="K32" s="84">
        <v>-27538</v>
      </c>
      <c r="L32" s="73"/>
      <c r="M32" s="73"/>
      <c r="N32" s="73"/>
      <c r="O32" s="73">
        <v>-775991</v>
      </c>
      <c r="P32" s="73"/>
      <c r="Q32" s="73"/>
      <c r="R32" s="73"/>
      <c r="S32" s="73">
        <f>SUM(K32:R32)</f>
        <v>-803529</v>
      </c>
    </row>
    <row r="33" spans="4:19">
      <c r="K33" s="73"/>
      <c r="L33" s="73"/>
      <c r="M33" s="73"/>
      <c r="N33" s="73"/>
      <c r="O33" s="73"/>
      <c r="P33" s="73"/>
      <c r="Q33" s="73"/>
      <c r="R33" s="73"/>
      <c r="S33" s="73"/>
    </row>
    <row r="34" spans="4:19" s="5" customFormat="1">
      <c r="D34" s="6"/>
      <c r="E34" s="6" t="s">
        <v>78</v>
      </c>
      <c r="K34" s="79">
        <f>SUM(K28:K33)</f>
        <v>82987</v>
      </c>
      <c r="L34" s="79">
        <f t="shared" ref="L34:S34" si="2">SUM(L28:L33)</f>
        <v>15913</v>
      </c>
      <c r="M34" s="79">
        <f t="shared" si="2"/>
        <v>3778</v>
      </c>
      <c r="N34" s="79">
        <f t="shared" si="2"/>
        <v>4151746</v>
      </c>
      <c r="O34" s="79">
        <f t="shared" si="2"/>
        <v>-775991</v>
      </c>
      <c r="P34" s="79">
        <f t="shared" si="2"/>
        <v>495092</v>
      </c>
      <c r="Q34" s="79">
        <f t="shared" si="2"/>
        <v>1930745</v>
      </c>
      <c r="R34" s="79">
        <f t="shared" si="2"/>
        <v>396467</v>
      </c>
      <c r="S34" s="79">
        <f t="shared" si="2"/>
        <v>6300737</v>
      </c>
    </row>
    <row r="35" spans="4:19">
      <c r="K35" s="73"/>
      <c r="L35" s="73"/>
      <c r="M35" s="73"/>
      <c r="N35" s="73"/>
      <c r="O35" s="73"/>
      <c r="P35" s="73"/>
      <c r="Q35" s="73"/>
      <c r="R35" s="73"/>
      <c r="S35" s="73"/>
    </row>
    <row r="36" spans="4:19" s="7" customFormat="1">
      <c r="D36" s="8"/>
      <c r="E36" s="8" t="s">
        <v>50</v>
      </c>
      <c r="K36" s="81">
        <f t="shared" ref="K36:S36" si="3">SUM(K34,K22,K25)</f>
        <v>3850789</v>
      </c>
      <c r="L36" s="81">
        <f t="shared" si="3"/>
        <v>406605</v>
      </c>
      <c r="M36" s="81">
        <f t="shared" si="3"/>
        <v>26879</v>
      </c>
      <c r="N36" s="81">
        <f t="shared" si="3"/>
        <v>4292135</v>
      </c>
      <c r="O36" s="81">
        <f t="shared" si="3"/>
        <v>22040</v>
      </c>
      <c r="P36" s="81">
        <f t="shared" si="3"/>
        <v>1445475</v>
      </c>
      <c r="Q36" s="81">
        <f t="shared" si="3"/>
        <v>1930745</v>
      </c>
      <c r="R36" s="81">
        <f t="shared" si="3"/>
        <v>464079</v>
      </c>
      <c r="S36" s="81">
        <f t="shared" si="3"/>
        <v>12438747</v>
      </c>
    </row>
    <row r="40" spans="4:19">
      <c r="S40" s="175"/>
    </row>
    <row r="45" spans="4:19">
      <c r="S45" s="176"/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P36"/>
  <sheetViews>
    <sheetView zoomScale="90" zoomScaleNormal="90" zoomScalePageLayoutView="90" workbookViewId="0">
      <selection activeCell="R10" sqref="R10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4" width="19.42578125" customWidth="1"/>
    <col min="15" max="15" width="18.28515625" customWidth="1"/>
    <col min="16" max="16" width="18" customWidth="1"/>
    <col min="17" max="17" width="18.28515625" customWidth="1"/>
  </cols>
  <sheetData>
    <row r="1" spans="1:16" ht="18.75">
      <c r="D1" s="253" t="s">
        <v>586</v>
      </c>
      <c r="E1" s="253"/>
      <c r="F1" s="253"/>
      <c r="G1" s="253"/>
      <c r="H1" s="253"/>
      <c r="I1" s="253"/>
      <c r="J1" s="253"/>
      <c r="K1" s="253"/>
    </row>
    <row r="2" spans="1:16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6">
      <c r="D3" s="57"/>
      <c r="E3" s="57"/>
      <c r="F3" s="57"/>
      <c r="G3" s="57"/>
      <c r="H3" s="57"/>
      <c r="I3" s="57"/>
      <c r="J3" s="57"/>
      <c r="K3" s="254"/>
      <c r="L3" s="254"/>
      <c r="M3" s="254"/>
      <c r="N3" s="254"/>
      <c r="O3" s="57"/>
    </row>
    <row r="4" spans="1:16" ht="15" customHeight="1">
      <c r="K4" s="181"/>
      <c r="L4" s="181"/>
      <c r="M4" s="181"/>
      <c r="N4" s="181"/>
      <c r="O4" s="181"/>
    </row>
    <row r="5" spans="1:16" ht="45">
      <c r="K5" s="1" t="s">
        <v>2</v>
      </c>
      <c r="L5" s="1" t="s">
        <v>587</v>
      </c>
      <c r="M5" s="1" t="s">
        <v>588</v>
      </c>
      <c r="N5" s="1" t="s">
        <v>6</v>
      </c>
      <c r="O5" s="1" t="s">
        <v>589</v>
      </c>
      <c r="P5" s="1" t="s">
        <v>590</v>
      </c>
    </row>
    <row r="6" spans="1:16">
      <c r="A6" t="s">
        <v>8</v>
      </c>
    </row>
    <row r="7" spans="1:16">
      <c r="B7" t="s">
        <v>85</v>
      </c>
      <c r="K7" s="72">
        <v>1909591</v>
      </c>
      <c r="L7" s="73">
        <v>1560163</v>
      </c>
      <c r="M7" s="73">
        <v>4361195</v>
      </c>
      <c r="N7" s="73">
        <v>35216501</v>
      </c>
      <c r="O7" s="73">
        <v>43047450</v>
      </c>
      <c r="P7" s="73">
        <v>51085465</v>
      </c>
    </row>
    <row r="8" spans="1:16">
      <c r="B8" t="s">
        <v>60</v>
      </c>
      <c r="K8" s="74">
        <v>2609074</v>
      </c>
      <c r="L8" s="73">
        <v>386242</v>
      </c>
      <c r="M8" s="73">
        <v>4751553</v>
      </c>
      <c r="N8" s="73">
        <v>14992118</v>
      </c>
      <c r="O8" s="73">
        <f t="shared" ref="O8:O10" si="0">SUM(K8:N8)</f>
        <v>22738987</v>
      </c>
      <c r="P8" s="73">
        <v>22832720</v>
      </c>
    </row>
    <row r="9" spans="1:16">
      <c r="B9" t="s">
        <v>251</v>
      </c>
      <c r="K9" s="74">
        <v>312290</v>
      </c>
      <c r="L9" s="73"/>
      <c r="M9" s="73"/>
      <c r="N9" s="73">
        <v>3529</v>
      </c>
      <c r="O9" s="73">
        <f t="shared" si="0"/>
        <v>315819</v>
      </c>
      <c r="P9" s="73">
        <v>128739</v>
      </c>
    </row>
    <row r="10" spans="1:16">
      <c r="B10" t="s">
        <v>47</v>
      </c>
      <c r="K10" s="73"/>
      <c r="L10" s="73"/>
      <c r="M10" s="73"/>
      <c r="N10" s="73"/>
      <c r="O10" s="73">
        <f t="shared" si="0"/>
        <v>0</v>
      </c>
      <c r="P10" s="73">
        <v>516</v>
      </c>
    </row>
    <row r="11" spans="1:16">
      <c r="K11" s="73"/>
      <c r="L11" s="73"/>
      <c r="M11" s="73"/>
      <c r="N11" s="73"/>
      <c r="O11" s="73"/>
      <c r="P11" s="73"/>
    </row>
    <row r="12" spans="1:16" s="3" customFormat="1">
      <c r="A12" s="2"/>
      <c r="B12" s="2"/>
      <c r="C12" s="2"/>
      <c r="D12" s="2"/>
      <c r="E12" s="2" t="s">
        <v>64</v>
      </c>
      <c r="K12" s="76">
        <f>SUM(K7:K10)</f>
        <v>4830955</v>
      </c>
      <c r="L12" s="76">
        <f>SUM(L7:L9)</f>
        <v>1946405</v>
      </c>
      <c r="M12" s="76">
        <f>SUM(M7:M9)</f>
        <v>9112748</v>
      </c>
      <c r="N12" s="76">
        <f>SUM(N7:N10)</f>
        <v>50212148</v>
      </c>
      <c r="O12" s="76">
        <f>SUM(O7:O9)</f>
        <v>66102256</v>
      </c>
      <c r="P12" s="76">
        <f>SUM(P7:P10)</f>
        <v>74047440</v>
      </c>
    </row>
    <row r="13" spans="1:16">
      <c r="K13" s="73"/>
      <c r="L13" s="73"/>
      <c r="M13" s="73"/>
      <c r="N13" s="73"/>
      <c r="O13" s="73"/>
      <c r="P13" s="73"/>
    </row>
    <row r="14" spans="1:16">
      <c r="A14" s="4" t="s">
        <v>19</v>
      </c>
      <c r="K14" s="73"/>
      <c r="L14" s="73"/>
      <c r="M14" s="73"/>
      <c r="N14" s="73"/>
      <c r="O14" s="73"/>
      <c r="P14" s="73"/>
    </row>
    <row r="15" spans="1:16">
      <c r="B15" t="s">
        <v>20</v>
      </c>
      <c r="K15" s="73"/>
      <c r="L15" s="73"/>
      <c r="M15" s="73"/>
      <c r="N15" s="73"/>
      <c r="O15" s="73"/>
      <c r="P15" s="73"/>
    </row>
    <row r="16" spans="1:16">
      <c r="C16" t="s">
        <v>21</v>
      </c>
      <c r="K16" s="77">
        <v>91830</v>
      </c>
      <c r="L16" s="73">
        <v>60900</v>
      </c>
      <c r="M16" s="73">
        <v>29787</v>
      </c>
      <c r="N16" s="73">
        <v>483563</v>
      </c>
      <c r="O16" s="73">
        <f>SUM(K16:N16)</f>
        <v>666080</v>
      </c>
      <c r="P16" s="73">
        <v>916265</v>
      </c>
    </row>
    <row r="17" spans="2:16">
      <c r="C17" t="s">
        <v>254</v>
      </c>
      <c r="K17" s="77">
        <v>208472</v>
      </c>
      <c r="L17" s="73"/>
      <c r="M17" s="73"/>
      <c r="N17" s="73">
        <v>107346</v>
      </c>
      <c r="O17" s="73">
        <f>SUM(K17:N17)</f>
        <v>315818</v>
      </c>
      <c r="P17" s="73">
        <v>128740</v>
      </c>
    </row>
    <row r="18" spans="2:16">
      <c r="C18" t="s">
        <v>172</v>
      </c>
      <c r="K18" s="73"/>
      <c r="L18" s="73"/>
      <c r="M18" s="73"/>
      <c r="N18" s="73">
        <v>715461</v>
      </c>
      <c r="O18" s="73">
        <f>SUM(K18:N18)</f>
        <v>715461</v>
      </c>
      <c r="P18" s="73">
        <v>632212</v>
      </c>
    </row>
    <row r="19" spans="2:16">
      <c r="K19" s="73"/>
      <c r="L19" s="73"/>
      <c r="M19" s="73"/>
      <c r="N19" s="73"/>
      <c r="O19" s="73"/>
      <c r="P19" s="73"/>
    </row>
    <row r="20" spans="2:16" s="5" customFormat="1">
      <c r="B20" s="6"/>
      <c r="C20" s="6"/>
      <c r="D20" s="6"/>
      <c r="E20" s="6" t="s">
        <v>26</v>
      </c>
      <c r="K20" s="79">
        <f t="shared" ref="K20:P20" si="1">SUM(K16:K18)</f>
        <v>300302</v>
      </c>
      <c r="L20" s="79">
        <f t="shared" si="1"/>
        <v>60900</v>
      </c>
      <c r="M20" s="79">
        <f t="shared" si="1"/>
        <v>29787</v>
      </c>
      <c r="N20" s="79">
        <f t="shared" si="1"/>
        <v>1306370</v>
      </c>
      <c r="O20" s="79">
        <f t="shared" si="1"/>
        <v>1697359</v>
      </c>
      <c r="P20" s="79">
        <f t="shared" si="1"/>
        <v>1677217</v>
      </c>
    </row>
    <row r="21" spans="2:16">
      <c r="K21" s="73"/>
      <c r="L21" s="73"/>
      <c r="M21" s="73"/>
      <c r="N21" s="73"/>
      <c r="O21" s="73"/>
      <c r="P21" s="73"/>
    </row>
    <row r="22" spans="2:16">
      <c r="B22" t="s">
        <v>30</v>
      </c>
      <c r="K22" s="73"/>
      <c r="L22" s="73"/>
      <c r="M22" s="73"/>
      <c r="N22" s="73"/>
      <c r="O22" s="73"/>
      <c r="P22" s="73"/>
    </row>
    <row r="23" spans="2:16">
      <c r="C23" t="s">
        <v>591</v>
      </c>
      <c r="K23" s="73"/>
      <c r="L23" s="73"/>
      <c r="M23" s="73"/>
      <c r="N23" s="73"/>
      <c r="O23" s="73"/>
      <c r="P23" s="73"/>
    </row>
    <row r="24" spans="2:16">
      <c r="D24" t="s">
        <v>70</v>
      </c>
      <c r="K24" s="73"/>
      <c r="L24" s="73"/>
      <c r="M24" s="73"/>
      <c r="N24" s="73">
        <v>228410</v>
      </c>
      <c r="O24" s="73">
        <f t="shared" ref="O24:O32" si="2">SUM(K24:N24)</f>
        <v>228410</v>
      </c>
      <c r="P24" s="73">
        <v>178151</v>
      </c>
    </row>
    <row r="25" spans="2:16">
      <c r="D25" t="s">
        <v>71</v>
      </c>
      <c r="K25" s="185"/>
      <c r="L25" s="73"/>
      <c r="M25" s="73"/>
      <c r="N25" s="73">
        <v>78449</v>
      </c>
      <c r="O25" s="73">
        <f t="shared" si="2"/>
        <v>78449</v>
      </c>
      <c r="P25" s="73">
        <v>179091</v>
      </c>
    </row>
    <row r="26" spans="2:16">
      <c r="D26" t="s">
        <v>165</v>
      </c>
      <c r="K26" s="80">
        <v>216077</v>
      </c>
      <c r="L26" s="73"/>
      <c r="M26" s="73">
        <v>9082961</v>
      </c>
      <c r="N26" s="73">
        <v>12757016</v>
      </c>
      <c r="O26" s="73">
        <f t="shared" si="2"/>
        <v>22056054</v>
      </c>
      <c r="P26" s="73">
        <v>21061886</v>
      </c>
    </row>
    <row r="27" spans="2:16">
      <c r="D27" t="s">
        <v>72</v>
      </c>
      <c r="K27" s="73"/>
      <c r="L27" s="73">
        <v>1885505</v>
      </c>
      <c r="M27" s="73"/>
      <c r="N27" s="73">
        <v>16319049</v>
      </c>
      <c r="O27" s="73">
        <v>18204553</v>
      </c>
      <c r="P27" s="73">
        <v>17126733</v>
      </c>
    </row>
    <row r="28" spans="2:16">
      <c r="D28" t="s">
        <v>147</v>
      </c>
      <c r="K28" s="73"/>
      <c r="L28" s="73"/>
      <c r="M28" s="73"/>
      <c r="N28" s="73">
        <v>3891517</v>
      </c>
      <c r="O28" s="73">
        <f t="shared" si="2"/>
        <v>3891517</v>
      </c>
      <c r="P28" s="73">
        <v>4102147</v>
      </c>
    </row>
    <row r="29" spans="2:16">
      <c r="D29" t="s">
        <v>115</v>
      </c>
      <c r="K29" s="73"/>
      <c r="L29" s="73"/>
      <c r="M29" s="73"/>
      <c r="N29" s="73">
        <v>12104730</v>
      </c>
      <c r="O29" s="73">
        <f t="shared" si="2"/>
        <v>12104730</v>
      </c>
      <c r="P29" s="73">
        <v>21484034</v>
      </c>
    </row>
    <row r="30" spans="2:16">
      <c r="D30" t="s">
        <v>74</v>
      </c>
      <c r="K30" s="73"/>
      <c r="L30" s="73"/>
      <c r="M30" s="73"/>
      <c r="N30" s="73">
        <v>3526607</v>
      </c>
      <c r="O30" s="73">
        <f t="shared" si="2"/>
        <v>3526607</v>
      </c>
      <c r="P30" s="73">
        <v>3296487</v>
      </c>
    </row>
    <row r="31" spans="2:16">
      <c r="D31" t="s">
        <v>592</v>
      </c>
      <c r="K31" s="80">
        <v>1094516</v>
      </c>
      <c r="L31" s="73"/>
      <c r="M31" s="73"/>
      <c r="N31" s="73"/>
      <c r="O31" s="73">
        <f t="shared" si="2"/>
        <v>1094516</v>
      </c>
      <c r="P31" s="73">
        <v>1266984</v>
      </c>
    </row>
    <row r="32" spans="2:16">
      <c r="C32" t="s">
        <v>48</v>
      </c>
      <c r="K32" s="84">
        <v>3220060</v>
      </c>
      <c r="L32" s="73"/>
      <c r="M32" s="73"/>
      <c r="N32" s="73"/>
      <c r="O32" s="73">
        <f t="shared" si="2"/>
        <v>3220060</v>
      </c>
      <c r="P32" s="73">
        <v>3674712</v>
      </c>
    </row>
    <row r="33" spans="4:16">
      <c r="K33" s="73"/>
      <c r="L33" s="73"/>
      <c r="M33" s="73"/>
      <c r="N33" s="73"/>
      <c r="O33" s="73"/>
      <c r="P33" s="73"/>
    </row>
    <row r="34" spans="4:16" s="5" customFormat="1">
      <c r="D34" s="6"/>
      <c r="E34" s="6" t="s">
        <v>78</v>
      </c>
      <c r="K34" s="79">
        <f>SUM(K23:K32)</f>
        <v>4530653</v>
      </c>
      <c r="L34" s="79">
        <f>SUM(L23:L32)</f>
        <v>1885505</v>
      </c>
      <c r="M34" s="79">
        <f>SUM(M23:M32)</f>
        <v>9082961</v>
      </c>
      <c r="N34" s="79">
        <f>SUM(N23:N32)</f>
        <v>48905778</v>
      </c>
      <c r="O34" s="79">
        <f>SUM(O23:O32)</f>
        <v>64404896</v>
      </c>
      <c r="P34" s="79">
        <f>SUM(P23:P33)</f>
        <v>72370225</v>
      </c>
    </row>
    <row r="35" spans="4:16">
      <c r="K35" s="73"/>
      <c r="L35" s="73"/>
      <c r="M35" s="73"/>
      <c r="N35" s="73"/>
      <c r="O35" s="73"/>
      <c r="P35" s="73"/>
    </row>
    <row r="36" spans="4:16" s="7" customFormat="1">
      <c r="D36" s="8"/>
      <c r="E36" s="8" t="s">
        <v>50</v>
      </c>
      <c r="K36" s="81">
        <f>SUM(K34,K20)</f>
        <v>4830955</v>
      </c>
      <c r="L36" s="81">
        <f>SUM(L20,L34)</f>
        <v>1946405</v>
      </c>
      <c r="M36" s="81">
        <f>SUM(M20,M34)</f>
        <v>9112748</v>
      </c>
      <c r="N36" s="81">
        <f>SUM(N20,N34)</f>
        <v>50212148</v>
      </c>
      <c r="O36" s="81">
        <f>SUM(O20,O34)</f>
        <v>66102255</v>
      </c>
      <c r="P36" s="81">
        <f>SUM(P20+P34)</f>
        <v>74047442</v>
      </c>
    </row>
  </sheetData>
  <mergeCells count="3">
    <mergeCell ref="D1:K1"/>
    <mergeCell ref="D2:K2"/>
    <mergeCell ref="K3:N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AI47"/>
  <sheetViews>
    <sheetView zoomScale="80" zoomScaleNormal="80" zoomScalePageLayoutView="70" workbookViewId="0">
      <selection activeCell="R47" sqref="R47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8.28515625" customWidth="1"/>
    <col min="11" max="11" width="16.28515625" customWidth="1"/>
    <col min="12" max="13" width="16.42578125" customWidth="1"/>
    <col min="14" max="14" width="17.140625" customWidth="1"/>
    <col min="15" max="15" width="14.42578125" customWidth="1"/>
    <col min="16" max="17" width="18.42578125" customWidth="1"/>
    <col min="18" max="18" width="19.85546875" bestFit="1" customWidth="1"/>
  </cols>
  <sheetData>
    <row r="1" spans="1:35" ht="18.75">
      <c r="D1" s="253" t="s">
        <v>593</v>
      </c>
      <c r="E1" s="253"/>
      <c r="F1" s="253"/>
      <c r="G1" s="253"/>
      <c r="H1" s="253"/>
      <c r="I1" s="253"/>
      <c r="J1" s="253"/>
      <c r="K1" s="253"/>
    </row>
    <row r="2" spans="1:35">
      <c r="D2" s="254" t="s">
        <v>1</v>
      </c>
      <c r="E2" s="254"/>
      <c r="F2" s="254"/>
      <c r="G2" s="254"/>
      <c r="H2" s="254"/>
      <c r="I2" s="254"/>
      <c r="J2" s="254"/>
      <c r="K2" s="254"/>
    </row>
    <row r="3" spans="1:35">
      <c r="D3" s="57"/>
      <c r="E3" s="57"/>
      <c r="F3" s="57"/>
      <c r="G3" s="57"/>
      <c r="H3" s="57"/>
      <c r="I3" s="57"/>
      <c r="J3" s="57"/>
      <c r="K3" s="57"/>
    </row>
    <row r="4" spans="1:35" ht="45">
      <c r="K4" s="1" t="s">
        <v>2</v>
      </c>
      <c r="L4" s="1" t="s">
        <v>4</v>
      </c>
      <c r="M4" s="1" t="s">
        <v>594</v>
      </c>
      <c r="N4" s="1" t="s">
        <v>482</v>
      </c>
      <c r="O4" s="1" t="s">
        <v>595</v>
      </c>
      <c r="P4" s="1" t="s">
        <v>596</v>
      </c>
      <c r="Q4" s="1" t="s">
        <v>597</v>
      </c>
      <c r="R4" s="1" t="s">
        <v>170</v>
      </c>
    </row>
    <row r="5" spans="1:35">
      <c r="A5" s="86" t="s">
        <v>8</v>
      </c>
    </row>
    <row r="6" spans="1:35">
      <c r="B6" t="s">
        <v>59</v>
      </c>
      <c r="K6" s="72">
        <v>4544578</v>
      </c>
      <c r="L6" s="73">
        <v>3784134</v>
      </c>
      <c r="M6" s="73">
        <v>1488364</v>
      </c>
      <c r="N6" s="73">
        <v>2742348</v>
      </c>
      <c r="O6" s="73">
        <v>1201866</v>
      </c>
      <c r="P6" s="73">
        <v>1596157</v>
      </c>
      <c r="Q6" s="73">
        <v>2353954</v>
      </c>
      <c r="R6" s="73">
        <f>SUM(K6:Q6)</f>
        <v>17711401</v>
      </c>
    </row>
    <row r="7" spans="1:35">
      <c r="B7" t="s">
        <v>10</v>
      </c>
      <c r="K7" s="77">
        <v>2497396</v>
      </c>
      <c r="L7" s="73">
        <v>5540008</v>
      </c>
      <c r="M7" s="73">
        <v>6755315</v>
      </c>
      <c r="N7" s="73">
        <v>650878</v>
      </c>
      <c r="O7" s="73"/>
      <c r="P7" s="73"/>
      <c r="Q7" s="73">
        <v>240629</v>
      </c>
      <c r="R7" s="73">
        <f>SUM(K7:Q7)</f>
        <v>15684226</v>
      </c>
    </row>
    <row r="8" spans="1:35">
      <c r="B8" t="s">
        <v>60</v>
      </c>
      <c r="K8" s="74">
        <v>923493</v>
      </c>
      <c r="L8" s="73">
        <v>259477</v>
      </c>
      <c r="M8" s="73">
        <v>185685</v>
      </c>
      <c r="N8" s="73">
        <v>1641190</v>
      </c>
      <c r="O8" s="73">
        <v>10908</v>
      </c>
      <c r="P8" s="73">
        <v>706737</v>
      </c>
      <c r="Q8" s="73">
        <v>958053</v>
      </c>
      <c r="R8" s="73">
        <f>SUM(K8:Q8)</f>
        <v>4685543</v>
      </c>
    </row>
    <row r="9" spans="1:35">
      <c r="B9" t="s">
        <v>16</v>
      </c>
      <c r="K9" s="75">
        <v>3221</v>
      </c>
      <c r="L9" s="73"/>
      <c r="M9" s="73"/>
      <c r="N9" s="73"/>
      <c r="O9" s="73"/>
      <c r="P9" s="73"/>
      <c r="Q9" s="73"/>
      <c r="R9" s="73">
        <f>SUM(K9:Q9)</f>
        <v>3221</v>
      </c>
    </row>
    <row r="10" spans="1:35">
      <c r="B10" t="s">
        <v>255</v>
      </c>
      <c r="K10" s="83">
        <v>11785</v>
      </c>
      <c r="L10" s="73"/>
      <c r="M10" s="73">
        <v>5326</v>
      </c>
      <c r="N10" s="73"/>
      <c r="O10" s="85"/>
      <c r="P10" s="85">
        <v>3128</v>
      </c>
      <c r="Q10" s="85"/>
      <c r="R10" s="85">
        <f>SUM(K10:P10)</f>
        <v>20239</v>
      </c>
    </row>
    <row r="11" spans="1:35">
      <c r="K11" s="93"/>
      <c r="L11" s="93"/>
      <c r="M11" s="93"/>
      <c r="N11" s="93"/>
      <c r="O11" s="73"/>
      <c r="P11" s="73"/>
      <c r="Q11" s="73"/>
      <c r="R11" s="73"/>
    </row>
    <row r="12" spans="1:35" s="3" customFormat="1">
      <c r="A12" s="2"/>
      <c r="B12" s="2"/>
      <c r="C12" s="2"/>
      <c r="D12" s="2"/>
      <c r="E12" s="2" t="s">
        <v>64</v>
      </c>
      <c r="K12" s="76">
        <f t="shared" ref="K12:R12" si="0">SUM(K6:K10)</f>
        <v>7980473</v>
      </c>
      <c r="L12" s="76">
        <f t="shared" si="0"/>
        <v>9583619</v>
      </c>
      <c r="M12" s="76">
        <f t="shared" si="0"/>
        <v>8434690</v>
      </c>
      <c r="N12" s="76">
        <f t="shared" si="0"/>
        <v>5034416</v>
      </c>
      <c r="O12" s="76">
        <f t="shared" si="0"/>
        <v>1212774</v>
      </c>
      <c r="P12" s="76">
        <f t="shared" si="0"/>
        <v>2306022</v>
      </c>
      <c r="Q12" s="76">
        <f t="shared" si="0"/>
        <v>3552636</v>
      </c>
      <c r="R12" s="76">
        <f t="shared" si="0"/>
        <v>38104630</v>
      </c>
    </row>
    <row r="13" spans="1:35">
      <c r="K13" s="73"/>
      <c r="L13" s="73"/>
      <c r="M13" s="73"/>
      <c r="N13" s="73"/>
      <c r="O13" s="73"/>
      <c r="P13" s="73"/>
      <c r="Q13" s="73"/>
      <c r="R13" s="73"/>
    </row>
    <row r="14" spans="1:35">
      <c r="A14" s="71" t="s">
        <v>598</v>
      </c>
      <c r="K14" s="73"/>
      <c r="L14" s="73"/>
      <c r="M14" s="73"/>
      <c r="N14" s="73"/>
      <c r="O14" s="73"/>
      <c r="P14" s="73"/>
      <c r="Q14" s="73"/>
      <c r="R14" s="73"/>
    </row>
    <row r="15" spans="1:35">
      <c r="K15" s="73"/>
      <c r="L15" s="73"/>
      <c r="M15" s="73"/>
      <c r="N15" s="73"/>
      <c r="O15" s="73"/>
      <c r="P15" s="73"/>
      <c r="Q15" s="73"/>
      <c r="R15" s="73"/>
    </row>
    <row r="16" spans="1:35">
      <c r="A16" s="2"/>
      <c r="B16" s="2"/>
      <c r="C16" s="2"/>
      <c r="D16" s="2"/>
      <c r="E16" s="2" t="s">
        <v>599</v>
      </c>
      <c r="F16" s="3"/>
      <c r="G16" s="3"/>
      <c r="H16" s="3"/>
      <c r="I16" s="3"/>
      <c r="J16" s="3"/>
      <c r="K16" s="76">
        <f>SUM(K12)</f>
        <v>7980473</v>
      </c>
      <c r="L16" s="76">
        <f t="shared" ref="L16:R16" si="1">SUM(L12)</f>
        <v>9583619</v>
      </c>
      <c r="M16" s="76">
        <f t="shared" si="1"/>
        <v>8434690</v>
      </c>
      <c r="N16" s="76">
        <f t="shared" si="1"/>
        <v>5034416</v>
      </c>
      <c r="O16" s="76">
        <f t="shared" si="1"/>
        <v>1212774</v>
      </c>
      <c r="P16" s="76">
        <f t="shared" si="1"/>
        <v>2306022</v>
      </c>
      <c r="Q16" s="76">
        <f t="shared" si="1"/>
        <v>3552636</v>
      </c>
      <c r="R16" s="76">
        <f t="shared" si="1"/>
        <v>38104630</v>
      </c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186"/>
      <c r="B17" s="186"/>
      <c r="C17" s="186"/>
      <c r="D17" s="186"/>
      <c r="E17" s="186"/>
      <c r="F17" s="101"/>
      <c r="G17" s="101"/>
      <c r="H17" s="101"/>
      <c r="I17" s="101"/>
      <c r="J17" s="101"/>
      <c r="K17" s="159"/>
      <c r="L17" s="159"/>
      <c r="M17" s="159"/>
      <c r="N17" s="159"/>
      <c r="O17" s="159"/>
      <c r="P17" s="159"/>
      <c r="Q17" s="159"/>
      <c r="R17" s="159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</row>
    <row r="18" spans="1:35">
      <c r="A18" s="186"/>
      <c r="B18" s="186"/>
      <c r="C18" s="186"/>
      <c r="D18" s="186"/>
      <c r="E18" s="186"/>
      <c r="F18" s="101"/>
      <c r="G18" s="101"/>
      <c r="H18" s="101"/>
      <c r="I18" s="101"/>
      <c r="J18" s="101"/>
      <c r="K18" s="159"/>
      <c r="L18" s="159"/>
      <c r="M18" s="159"/>
      <c r="N18" s="159"/>
      <c r="O18" s="159"/>
      <c r="P18" s="159"/>
      <c r="Q18" s="159"/>
      <c r="R18" s="159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</row>
    <row r="19" spans="1:35">
      <c r="A19" s="4" t="s">
        <v>534</v>
      </c>
      <c r="K19" s="73"/>
      <c r="L19" s="73"/>
      <c r="M19" s="73"/>
      <c r="N19" s="73"/>
      <c r="O19" s="73"/>
      <c r="P19" s="73"/>
      <c r="Q19" s="73"/>
      <c r="R19" s="73"/>
    </row>
    <row r="20" spans="1:35">
      <c r="A20" s="4"/>
      <c r="C20" t="s">
        <v>463</v>
      </c>
      <c r="K20" s="77">
        <v>167431</v>
      </c>
      <c r="L20" s="73"/>
      <c r="M20" s="73">
        <v>24519</v>
      </c>
      <c r="N20" s="73">
        <v>66781</v>
      </c>
      <c r="O20" s="73">
        <v>360933</v>
      </c>
      <c r="P20" s="73">
        <v>123477</v>
      </c>
      <c r="Q20" s="73">
        <v>38910</v>
      </c>
      <c r="R20" s="73">
        <f>SUM(K20:Q20)</f>
        <v>782051</v>
      </c>
    </row>
    <row r="21" spans="1:35">
      <c r="C21" t="s">
        <v>25</v>
      </c>
      <c r="L21" s="73"/>
      <c r="M21" s="73"/>
      <c r="N21" s="85"/>
      <c r="O21" s="85"/>
      <c r="P21" s="85"/>
      <c r="Q21" s="85">
        <v>3221</v>
      </c>
      <c r="R21" s="73">
        <f>SUM(K21:Q21)</f>
        <v>3221</v>
      </c>
    </row>
    <row r="22" spans="1:35">
      <c r="K22" s="93"/>
      <c r="L22" s="93"/>
      <c r="M22" s="93"/>
      <c r="N22" s="73"/>
      <c r="O22" s="73"/>
      <c r="P22" s="73"/>
      <c r="Q22" s="73"/>
      <c r="R22" s="73"/>
    </row>
    <row r="23" spans="1:35" s="5" customFormat="1">
      <c r="B23" s="6"/>
      <c r="C23" s="6"/>
      <c r="D23" s="6"/>
      <c r="E23" s="6" t="s">
        <v>26</v>
      </c>
      <c r="K23" s="79">
        <f t="shared" ref="K23:Q23" si="2">SUM(K21:K21)</f>
        <v>0</v>
      </c>
      <c r="L23" s="79">
        <f t="shared" si="2"/>
        <v>0</v>
      </c>
      <c r="M23" s="79">
        <f t="shared" si="2"/>
        <v>0</v>
      </c>
      <c r="N23" s="79">
        <f t="shared" si="2"/>
        <v>0</v>
      </c>
      <c r="O23" s="79">
        <f t="shared" si="2"/>
        <v>0</v>
      </c>
      <c r="P23" s="79">
        <f t="shared" si="2"/>
        <v>0</v>
      </c>
      <c r="Q23" s="79">
        <f t="shared" si="2"/>
        <v>3221</v>
      </c>
      <c r="R23" s="79">
        <f>SUM(R20:R21)</f>
        <v>785272</v>
      </c>
    </row>
    <row r="24" spans="1:35">
      <c r="K24" s="73"/>
      <c r="L24" s="73"/>
      <c r="M24" s="73"/>
      <c r="N24" s="73"/>
      <c r="O24" s="73"/>
      <c r="P24" s="73"/>
      <c r="Q24" s="73"/>
      <c r="R24" s="73"/>
    </row>
    <row r="25" spans="1:35">
      <c r="A25" s="71" t="s">
        <v>27</v>
      </c>
      <c r="K25" s="85">
        <v>45666</v>
      </c>
      <c r="L25" s="85"/>
      <c r="M25" s="85"/>
      <c r="N25" s="85">
        <v>93482</v>
      </c>
      <c r="O25" s="85"/>
      <c r="P25" s="85">
        <v>40143</v>
      </c>
      <c r="Q25" s="85">
        <v>26669</v>
      </c>
      <c r="R25" s="85">
        <f>SUM(K25:Q25)</f>
        <v>205960</v>
      </c>
    </row>
    <row r="26" spans="1:35">
      <c r="K26" s="73"/>
      <c r="L26" s="73"/>
      <c r="M26" s="73"/>
      <c r="N26" s="73"/>
      <c r="O26" s="73"/>
      <c r="P26" s="73"/>
      <c r="Q26" s="73"/>
      <c r="R26" s="73"/>
    </row>
    <row r="27" spans="1:35">
      <c r="B27" s="86" t="s">
        <v>30</v>
      </c>
      <c r="K27" s="73"/>
      <c r="L27" s="73"/>
      <c r="M27" s="73"/>
      <c r="N27" s="73"/>
      <c r="O27" s="73"/>
      <c r="P27" s="73"/>
      <c r="Q27" s="73"/>
      <c r="R27" s="73"/>
    </row>
    <row r="28" spans="1:35">
      <c r="C28" t="s">
        <v>104</v>
      </c>
      <c r="K28" s="73"/>
      <c r="L28" s="73"/>
      <c r="M28" s="73"/>
      <c r="N28" s="73"/>
      <c r="O28" s="73"/>
      <c r="P28" s="73"/>
      <c r="Q28" s="73"/>
      <c r="R28" s="73"/>
    </row>
    <row r="29" spans="1:35">
      <c r="D29" t="s">
        <v>255</v>
      </c>
      <c r="K29" s="80">
        <v>11785</v>
      </c>
      <c r="L29" s="73"/>
      <c r="M29" s="73">
        <v>5326</v>
      </c>
      <c r="N29" s="73"/>
      <c r="O29" s="73"/>
      <c r="P29" s="73">
        <v>3128</v>
      </c>
      <c r="Q29" s="73"/>
      <c r="R29" s="73">
        <f>SUM(K29:P29)</f>
        <v>20239</v>
      </c>
    </row>
    <row r="30" spans="1:35">
      <c r="C30" t="s">
        <v>568</v>
      </c>
      <c r="K30" s="73"/>
      <c r="L30" s="73"/>
      <c r="M30" s="73"/>
      <c r="N30" s="73"/>
      <c r="O30" s="73"/>
      <c r="P30" s="73"/>
      <c r="Q30" s="73"/>
      <c r="R30" s="73"/>
    </row>
    <row r="31" spans="1:35">
      <c r="C31" t="s">
        <v>69</v>
      </c>
      <c r="K31" s="73"/>
      <c r="L31" s="73"/>
      <c r="M31" s="73"/>
      <c r="N31" s="73"/>
      <c r="O31" s="73"/>
      <c r="P31" s="73"/>
      <c r="Q31" s="73"/>
      <c r="R31" s="73"/>
    </row>
    <row r="32" spans="1:35">
      <c r="D32" t="s">
        <v>600</v>
      </c>
      <c r="K32" s="73"/>
      <c r="L32" s="73"/>
      <c r="M32" s="73"/>
      <c r="N32" s="73">
        <v>4874153</v>
      </c>
      <c r="O32" s="73"/>
      <c r="P32" s="73"/>
      <c r="Q32" s="73">
        <v>2292400</v>
      </c>
      <c r="R32" s="73">
        <f t="shared" ref="R32:R43" si="3">SUM(K32:Q32)</f>
        <v>7166553</v>
      </c>
    </row>
    <row r="33" spans="3:18">
      <c r="D33" t="s">
        <v>601</v>
      </c>
      <c r="K33" s="73"/>
      <c r="L33" s="73"/>
      <c r="M33" s="73">
        <v>5744400</v>
      </c>
      <c r="N33" s="73"/>
      <c r="O33" s="73"/>
      <c r="P33" s="73"/>
      <c r="Q33" s="73"/>
      <c r="R33" s="73">
        <f t="shared" si="3"/>
        <v>5744400</v>
      </c>
    </row>
    <row r="34" spans="3:18">
      <c r="D34" t="s">
        <v>602</v>
      </c>
      <c r="K34" s="73"/>
      <c r="L34" s="73"/>
      <c r="M34" s="73"/>
      <c r="N34" s="73"/>
      <c r="O34" s="73"/>
      <c r="P34" s="73"/>
      <c r="Q34" s="73">
        <v>200499</v>
      </c>
      <c r="R34" s="73">
        <f t="shared" si="3"/>
        <v>200499</v>
      </c>
    </row>
    <row r="35" spans="3:18">
      <c r="D35" t="s">
        <v>470</v>
      </c>
      <c r="K35" s="73"/>
      <c r="L35" s="73"/>
      <c r="M35" s="73"/>
      <c r="N35" s="73"/>
      <c r="O35" s="73"/>
      <c r="P35" s="73"/>
      <c r="Q35" s="73">
        <v>455932</v>
      </c>
      <c r="R35" s="73">
        <f t="shared" si="3"/>
        <v>455932</v>
      </c>
    </row>
    <row r="36" spans="3:18">
      <c r="C36" t="s">
        <v>75</v>
      </c>
      <c r="K36" s="73"/>
      <c r="L36" s="73"/>
      <c r="M36" s="73"/>
      <c r="N36" s="73"/>
      <c r="O36" s="73"/>
      <c r="P36" s="73"/>
      <c r="Q36" s="73"/>
      <c r="R36" s="73"/>
    </row>
    <row r="37" spans="3:18">
      <c r="D37" t="s">
        <v>603</v>
      </c>
      <c r="K37" s="73"/>
      <c r="L37" s="73"/>
      <c r="M37" s="73"/>
      <c r="N37" s="73"/>
      <c r="O37" s="73"/>
      <c r="P37" s="73"/>
      <c r="Q37" s="73">
        <v>95314</v>
      </c>
      <c r="R37" s="73">
        <f t="shared" si="3"/>
        <v>95314</v>
      </c>
    </row>
    <row r="38" spans="3:18">
      <c r="D38" t="s">
        <v>604</v>
      </c>
      <c r="K38" s="73"/>
      <c r="L38" s="73"/>
      <c r="M38" s="73">
        <v>2660445</v>
      </c>
      <c r="N38" s="73"/>
      <c r="O38" s="73"/>
      <c r="P38" s="73"/>
      <c r="Q38" s="73"/>
      <c r="R38" s="73">
        <f t="shared" si="3"/>
        <v>2660445</v>
      </c>
    </row>
    <row r="39" spans="3:18">
      <c r="D39" t="s">
        <v>605</v>
      </c>
      <c r="K39" s="73"/>
      <c r="L39" s="73"/>
      <c r="M39" s="73"/>
      <c r="N39" s="73"/>
      <c r="O39" s="73">
        <v>851841</v>
      </c>
      <c r="P39" s="73"/>
      <c r="Q39" s="73">
        <v>336634</v>
      </c>
      <c r="R39" s="73">
        <f t="shared" si="3"/>
        <v>1188475</v>
      </c>
    </row>
    <row r="40" spans="3:18">
      <c r="D40" t="s">
        <v>606</v>
      </c>
      <c r="K40" s="73"/>
      <c r="L40" s="73"/>
      <c r="M40" s="73"/>
      <c r="N40" s="73"/>
      <c r="O40" s="73"/>
      <c r="P40" s="73">
        <v>2139274</v>
      </c>
      <c r="Q40" s="73"/>
      <c r="R40" s="73">
        <f t="shared" si="3"/>
        <v>2139274</v>
      </c>
    </row>
    <row r="41" spans="3:18">
      <c r="D41" t="s">
        <v>607</v>
      </c>
      <c r="K41" s="73"/>
      <c r="L41" s="73">
        <v>9583619</v>
      </c>
      <c r="M41" s="73"/>
      <c r="N41" s="73"/>
      <c r="O41" s="73"/>
      <c r="P41" s="73"/>
      <c r="Q41" s="73"/>
      <c r="R41" s="73">
        <f t="shared" si="3"/>
        <v>9583619</v>
      </c>
    </row>
    <row r="42" spans="3:18">
      <c r="D42" t="s">
        <v>608</v>
      </c>
      <c r="K42" s="73"/>
      <c r="L42" s="73"/>
      <c r="M42" s="73"/>
      <c r="N42" s="73"/>
      <c r="O42" s="73"/>
      <c r="P42" s="73"/>
      <c r="Q42" s="73">
        <v>103057</v>
      </c>
      <c r="R42" s="73">
        <f t="shared" si="3"/>
        <v>103057</v>
      </c>
    </row>
    <row r="43" spans="3:18">
      <c r="C43" t="s">
        <v>48</v>
      </c>
      <c r="K43" s="84">
        <v>7755591</v>
      </c>
      <c r="L43" s="73"/>
      <c r="M43" s="73"/>
      <c r="N43" s="73"/>
      <c r="O43" s="85"/>
      <c r="P43" s="85"/>
      <c r="Q43" s="85"/>
      <c r="R43" s="85">
        <f t="shared" si="3"/>
        <v>7755591</v>
      </c>
    </row>
    <row r="44" spans="3:18">
      <c r="K44" s="93"/>
      <c r="L44" s="93"/>
      <c r="M44" s="93"/>
      <c r="N44" s="93"/>
      <c r="O44" s="73"/>
      <c r="P44" s="73"/>
      <c r="Q44" s="73"/>
      <c r="R44" s="73"/>
    </row>
    <row r="45" spans="3:18" s="5" customFormat="1">
      <c r="D45" s="6"/>
      <c r="E45" s="6" t="s">
        <v>78</v>
      </c>
      <c r="K45" s="79">
        <f>SUM(K29:K44)</f>
        <v>7767376</v>
      </c>
      <c r="L45" s="79">
        <f t="shared" ref="L45:Q45" si="4">SUM(L29:L43)</f>
        <v>9583619</v>
      </c>
      <c r="M45" s="79">
        <f t="shared" si="4"/>
        <v>8410171</v>
      </c>
      <c r="N45" s="79">
        <f t="shared" si="4"/>
        <v>4874153</v>
      </c>
      <c r="O45" s="79">
        <f t="shared" si="4"/>
        <v>851841</v>
      </c>
      <c r="P45" s="79">
        <f t="shared" si="4"/>
        <v>2142402</v>
      </c>
      <c r="Q45" s="79">
        <f t="shared" si="4"/>
        <v>3483836</v>
      </c>
      <c r="R45" s="79">
        <f>SUM(R29:R43)</f>
        <v>37113398</v>
      </c>
    </row>
    <row r="46" spans="3:18">
      <c r="K46" s="73"/>
      <c r="L46" s="73"/>
      <c r="M46" s="73"/>
      <c r="N46" s="73"/>
      <c r="O46" s="73"/>
      <c r="P46" s="73"/>
      <c r="Q46" s="73"/>
      <c r="R46" s="73"/>
    </row>
    <row r="47" spans="3:18" s="7" customFormat="1">
      <c r="D47" s="8"/>
      <c r="E47" s="8" t="s">
        <v>609</v>
      </c>
      <c r="K47" s="81">
        <f>K45+K25+K23</f>
        <v>7813042</v>
      </c>
      <c r="L47" s="81">
        <f t="shared" ref="L47:Q47" si="5">L45+L25+L23</f>
        <v>9583619</v>
      </c>
      <c r="M47" s="81">
        <f t="shared" si="5"/>
        <v>8410171</v>
      </c>
      <c r="N47" s="81">
        <f t="shared" si="5"/>
        <v>4967635</v>
      </c>
      <c r="O47" s="81">
        <f t="shared" si="5"/>
        <v>851841</v>
      </c>
      <c r="P47" s="81">
        <f t="shared" si="5"/>
        <v>2182545</v>
      </c>
      <c r="Q47" s="81">
        <f t="shared" si="5"/>
        <v>3513726</v>
      </c>
      <c r="R47" s="81">
        <f>R45+R25+R23</f>
        <v>38104630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Q36"/>
  <sheetViews>
    <sheetView zoomScale="90" zoomScaleNormal="90" zoomScalePageLayoutView="80" workbookViewId="0">
      <selection activeCell="Q30" sqref="Q30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2" width="16.42578125" customWidth="1"/>
    <col min="13" max="13" width="13.85546875" customWidth="1"/>
    <col min="14" max="14" width="17.7109375" customWidth="1"/>
    <col min="15" max="15" width="17.28515625" customWidth="1"/>
    <col min="16" max="16" width="17.7109375" customWidth="1"/>
    <col min="17" max="17" width="17.42578125" customWidth="1"/>
  </cols>
  <sheetData>
    <row r="1" spans="1:17" ht="18.75">
      <c r="D1" s="253" t="s">
        <v>610</v>
      </c>
      <c r="E1" s="253"/>
      <c r="F1" s="253"/>
      <c r="G1" s="253"/>
      <c r="H1" s="253"/>
      <c r="I1" s="253"/>
      <c r="J1" s="253"/>
      <c r="K1" s="253"/>
    </row>
    <row r="2" spans="1:17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7">
      <c r="D3" s="57"/>
      <c r="E3" s="57"/>
      <c r="F3" s="57"/>
      <c r="G3" s="57"/>
      <c r="H3" s="57"/>
      <c r="I3" s="57"/>
      <c r="J3" s="57"/>
      <c r="K3" s="57"/>
    </row>
    <row r="5" spans="1:17" ht="45">
      <c r="K5" s="1" t="s">
        <v>52</v>
      </c>
      <c r="L5" s="1" t="s">
        <v>313</v>
      </c>
      <c r="M5" s="1" t="s">
        <v>168</v>
      </c>
      <c r="N5" s="1" t="s">
        <v>335</v>
      </c>
      <c r="O5" s="1" t="s">
        <v>136</v>
      </c>
      <c r="P5" s="1" t="s">
        <v>6</v>
      </c>
      <c r="Q5" s="1" t="s">
        <v>7</v>
      </c>
    </row>
    <row r="6" spans="1:17">
      <c r="A6" s="71" t="s">
        <v>611</v>
      </c>
    </row>
    <row r="7" spans="1:17">
      <c r="B7" t="s">
        <v>59</v>
      </c>
      <c r="K7" s="72">
        <v>1890719</v>
      </c>
      <c r="L7" s="73"/>
      <c r="M7" s="73">
        <v>675597</v>
      </c>
      <c r="N7" s="73">
        <v>1298649</v>
      </c>
      <c r="O7" s="73">
        <v>3595569</v>
      </c>
      <c r="P7" s="73">
        <v>706100</v>
      </c>
      <c r="Q7" s="73">
        <f>SUM(K7:P7)</f>
        <v>8166634</v>
      </c>
    </row>
    <row r="8" spans="1:17">
      <c r="B8" t="s">
        <v>60</v>
      </c>
      <c r="K8" s="74">
        <v>1175915</v>
      </c>
      <c r="L8" s="73">
        <v>6578</v>
      </c>
      <c r="M8" s="73">
        <v>21885</v>
      </c>
      <c r="N8" s="73"/>
      <c r="O8" s="73">
        <v>1354736</v>
      </c>
      <c r="P8" s="73">
        <v>239210</v>
      </c>
      <c r="Q8" s="73">
        <f>SUM(K8:P8)</f>
        <v>2798324</v>
      </c>
    </row>
    <row r="9" spans="1:17">
      <c r="K9" s="73"/>
      <c r="L9" s="73"/>
      <c r="M9" s="73"/>
      <c r="N9" s="73"/>
      <c r="O9" s="73"/>
      <c r="P9" s="73"/>
      <c r="Q9" s="73"/>
    </row>
    <row r="10" spans="1:17" s="3" customFormat="1">
      <c r="A10" s="2"/>
      <c r="B10" s="2"/>
      <c r="C10" s="2"/>
      <c r="D10" s="2"/>
      <c r="E10" s="2" t="s">
        <v>64</v>
      </c>
      <c r="K10" s="76">
        <f t="shared" ref="K10:Q10" si="0">SUM(K7:K8)</f>
        <v>3066634</v>
      </c>
      <c r="L10" s="76">
        <f t="shared" si="0"/>
        <v>6578</v>
      </c>
      <c r="M10" s="76">
        <f t="shared" si="0"/>
        <v>697482</v>
      </c>
      <c r="N10" s="76">
        <f t="shared" si="0"/>
        <v>1298649</v>
      </c>
      <c r="O10" s="76">
        <f t="shared" si="0"/>
        <v>4950305</v>
      </c>
      <c r="P10" s="76">
        <f t="shared" si="0"/>
        <v>945310</v>
      </c>
      <c r="Q10" s="76">
        <f t="shared" si="0"/>
        <v>10964958</v>
      </c>
    </row>
    <row r="11" spans="1:17">
      <c r="K11" s="73"/>
      <c r="L11" s="73"/>
      <c r="M11" s="73"/>
      <c r="N11" s="73"/>
      <c r="O11" s="73"/>
      <c r="P11" s="73"/>
      <c r="Q11" s="73"/>
    </row>
    <row r="12" spans="1:17">
      <c r="A12" s="4" t="s">
        <v>160</v>
      </c>
      <c r="K12" s="73"/>
      <c r="L12" s="73"/>
      <c r="M12" s="73"/>
      <c r="N12" s="73"/>
      <c r="O12" s="73"/>
      <c r="P12" s="73"/>
      <c r="Q12" s="73"/>
    </row>
    <row r="13" spans="1:17">
      <c r="C13" t="s">
        <v>21</v>
      </c>
      <c r="K13" s="77">
        <v>30184</v>
      </c>
      <c r="L13" s="73">
        <v>6578</v>
      </c>
      <c r="M13" s="73">
        <v>155276</v>
      </c>
      <c r="N13">
        <v>16845</v>
      </c>
      <c r="O13" s="73">
        <v>17914</v>
      </c>
      <c r="P13" s="73">
        <v>23586</v>
      </c>
      <c r="Q13" s="73">
        <f>SUM(K13:P13)</f>
        <v>250383</v>
      </c>
    </row>
    <row r="14" spans="1:17">
      <c r="C14" t="s">
        <v>524</v>
      </c>
      <c r="K14" s="82">
        <v>61306</v>
      </c>
      <c r="L14" s="73"/>
      <c r="M14" s="73"/>
      <c r="O14" s="73"/>
      <c r="P14" s="73"/>
      <c r="Q14" s="73">
        <f>SUM(K14:P14)</f>
        <v>61306</v>
      </c>
    </row>
    <row r="15" spans="1:17">
      <c r="K15" s="73"/>
      <c r="L15" s="73"/>
      <c r="M15" s="73"/>
      <c r="N15" s="73"/>
      <c r="O15" s="73"/>
      <c r="P15" s="73"/>
      <c r="Q15" s="73"/>
    </row>
    <row r="16" spans="1:17" s="5" customFormat="1">
      <c r="B16" s="6"/>
      <c r="C16" s="6"/>
      <c r="D16" s="6"/>
      <c r="E16" s="6" t="s">
        <v>26</v>
      </c>
      <c r="K16" s="79">
        <f>SUM(K13:K14)</f>
        <v>91490</v>
      </c>
      <c r="L16" s="79">
        <f>SUM(L13:L14)</f>
        <v>6578</v>
      </c>
      <c r="M16" s="79">
        <f>SUM(M13:M14)</f>
        <v>155276</v>
      </c>
      <c r="N16" s="79">
        <f>SUM(N13:N15)</f>
        <v>16845</v>
      </c>
      <c r="O16" s="79">
        <f>SUM(O13:O14)</f>
        <v>17914</v>
      </c>
      <c r="P16" s="79">
        <f>SUM(P13:P14)</f>
        <v>23586</v>
      </c>
      <c r="Q16" s="79">
        <f>SUM(Q13:Q14)</f>
        <v>311689</v>
      </c>
    </row>
    <row r="17" spans="1:17">
      <c r="K17" s="73"/>
      <c r="L17" s="73"/>
      <c r="M17" s="73"/>
      <c r="N17" s="73"/>
      <c r="O17" s="73"/>
      <c r="P17" s="73"/>
      <c r="Q17" s="73"/>
    </row>
    <row r="18" spans="1:17">
      <c r="A18" s="71" t="s">
        <v>65</v>
      </c>
      <c r="K18" s="73"/>
      <c r="L18" s="73"/>
      <c r="M18" s="73"/>
      <c r="N18" s="73"/>
      <c r="O18" s="73"/>
      <c r="P18" s="73"/>
      <c r="Q18" s="73"/>
    </row>
    <row r="19" spans="1:17">
      <c r="C19" t="s">
        <v>184</v>
      </c>
      <c r="K19" s="85">
        <v>1108210</v>
      </c>
      <c r="L19" s="85"/>
      <c r="M19" s="85"/>
      <c r="N19" s="85"/>
      <c r="O19" s="85">
        <v>1354736</v>
      </c>
      <c r="P19" s="85">
        <v>237638</v>
      </c>
      <c r="Q19" s="85">
        <f>SUM(K19:P19)</f>
        <v>2700584</v>
      </c>
    </row>
    <row r="20" spans="1:17">
      <c r="K20" s="73"/>
      <c r="L20" s="73"/>
      <c r="M20" s="73"/>
      <c r="N20" s="73"/>
      <c r="O20" s="73"/>
      <c r="P20" s="73"/>
      <c r="Q20" s="73"/>
    </row>
    <row r="21" spans="1:17">
      <c r="B21" t="s">
        <v>612</v>
      </c>
      <c r="K21" s="73"/>
      <c r="L21" s="73"/>
      <c r="M21" s="73"/>
      <c r="N21" s="73"/>
      <c r="O21" s="73"/>
      <c r="P21" s="73"/>
      <c r="Q21" s="73"/>
    </row>
    <row r="22" spans="1:17">
      <c r="C22" t="s">
        <v>525</v>
      </c>
      <c r="K22" s="90"/>
      <c r="L22" s="73"/>
      <c r="M22" s="73">
        <v>542206</v>
      </c>
      <c r="N22" s="73">
        <v>1281804</v>
      </c>
      <c r="O22" s="73">
        <v>3577655</v>
      </c>
      <c r="P22" s="73">
        <v>684086</v>
      </c>
      <c r="Q22" s="73">
        <f>SUM(K22:P22)</f>
        <v>6085751</v>
      </c>
    </row>
    <row r="23" spans="1:17">
      <c r="C23" t="s">
        <v>148</v>
      </c>
      <c r="K23" s="84">
        <v>1866934</v>
      </c>
      <c r="L23" s="73"/>
      <c r="M23" s="73"/>
      <c r="N23" s="73"/>
      <c r="O23" s="73"/>
      <c r="P23" s="73"/>
      <c r="Q23" s="73">
        <f>SUM(K23:P23)</f>
        <v>1866934</v>
      </c>
    </row>
    <row r="24" spans="1:17">
      <c r="K24" s="73"/>
      <c r="L24" s="73"/>
      <c r="M24" s="73"/>
      <c r="N24" s="73"/>
      <c r="O24" s="73"/>
      <c r="P24" s="73"/>
      <c r="Q24" s="73"/>
    </row>
    <row r="25" spans="1:17" s="5" customFormat="1">
      <c r="D25" s="6"/>
      <c r="E25" s="6" t="s">
        <v>49</v>
      </c>
      <c r="K25" s="79">
        <f>SUM(K22:K24)</f>
        <v>1866934</v>
      </c>
      <c r="L25" s="79">
        <f t="shared" ref="L25:P25" si="1">SUM(L22:L23)</f>
        <v>0</v>
      </c>
      <c r="M25" s="79">
        <f t="shared" si="1"/>
        <v>542206</v>
      </c>
      <c r="N25" s="79">
        <f t="shared" si="1"/>
        <v>1281804</v>
      </c>
      <c r="O25" s="79">
        <f t="shared" si="1"/>
        <v>3577655</v>
      </c>
      <c r="P25" s="79">
        <f t="shared" si="1"/>
        <v>684086</v>
      </c>
      <c r="Q25" s="79">
        <f>SUM(Q22:Q23)</f>
        <v>7952685</v>
      </c>
    </row>
    <row r="26" spans="1:17">
      <c r="K26" s="73"/>
      <c r="L26" s="73"/>
      <c r="M26" s="73"/>
      <c r="N26" s="73"/>
      <c r="O26" s="73"/>
      <c r="P26" s="73"/>
      <c r="Q26" s="73"/>
    </row>
    <row r="27" spans="1:17" s="7" customFormat="1">
      <c r="D27" s="8"/>
      <c r="E27" s="8" t="s">
        <v>166</v>
      </c>
      <c r="K27" s="81">
        <f t="shared" ref="K27:P27" si="2">SUM(K25,K16,K19)</f>
        <v>3066634</v>
      </c>
      <c r="L27" s="81">
        <f t="shared" si="2"/>
        <v>6578</v>
      </c>
      <c r="M27" s="81">
        <f>SUM(M25,M16,M19)</f>
        <v>697482</v>
      </c>
      <c r="N27" s="81">
        <f t="shared" si="2"/>
        <v>1298649</v>
      </c>
      <c r="O27" s="81">
        <f>SUM(O25,O16,O19)</f>
        <v>4950305</v>
      </c>
      <c r="P27" s="81">
        <f t="shared" si="2"/>
        <v>945310</v>
      </c>
      <c r="Q27" s="81">
        <f>SUM(Q25,Q16,Q19)</f>
        <v>10964958</v>
      </c>
    </row>
    <row r="31" spans="1:17">
      <c r="Q31" s="175"/>
    </row>
    <row r="36" spans="17:17">
      <c r="Q36" s="176"/>
    </row>
  </sheetData>
  <mergeCells count="2">
    <mergeCell ref="D1:K1"/>
    <mergeCell ref="D2:K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T25"/>
  <sheetViews>
    <sheetView topLeftCell="A4" zoomScale="90" zoomScaleNormal="90" zoomScalePageLayoutView="80" workbookViewId="0">
      <selection activeCell="T42" sqref="T42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7" width="16.42578125" customWidth="1"/>
    <col min="18" max="18" width="17.7109375" customWidth="1"/>
    <col min="19" max="19" width="18" customWidth="1"/>
    <col min="20" max="20" width="18.28515625" customWidth="1"/>
  </cols>
  <sheetData>
    <row r="1" spans="1:20" ht="18.75">
      <c r="D1" s="253" t="s">
        <v>613</v>
      </c>
      <c r="E1" s="253"/>
      <c r="F1" s="253"/>
      <c r="G1" s="253"/>
      <c r="H1" s="253"/>
      <c r="I1" s="253"/>
      <c r="J1" s="253"/>
      <c r="K1" s="253"/>
    </row>
    <row r="2" spans="1:20">
      <c r="D2" s="254" t="s">
        <v>1</v>
      </c>
      <c r="E2" s="254"/>
      <c r="F2" s="254"/>
      <c r="G2" s="254"/>
      <c r="H2" s="254"/>
      <c r="I2" s="254"/>
      <c r="J2" s="254"/>
      <c r="K2" s="254"/>
    </row>
    <row r="3" spans="1:20">
      <c r="D3" s="57"/>
      <c r="E3" s="57"/>
      <c r="F3" s="57"/>
      <c r="G3" s="57"/>
      <c r="H3" s="57"/>
      <c r="I3" s="57"/>
      <c r="J3" s="57"/>
      <c r="K3" s="254"/>
      <c r="L3" s="254"/>
      <c r="M3" s="254"/>
      <c r="N3" s="254"/>
      <c r="O3" s="254"/>
      <c r="P3" s="254"/>
      <c r="Q3" s="254"/>
      <c r="R3" s="254"/>
    </row>
    <row r="4" spans="1:20" ht="17.25">
      <c r="K4" s="181"/>
      <c r="L4" s="181"/>
      <c r="M4" s="181"/>
      <c r="N4" s="181"/>
      <c r="O4" s="181"/>
      <c r="P4" s="181"/>
      <c r="Q4" s="181"/>
      <c r="R4" s="181"/>
      <c r="S4" s="264" t="s">
        <v>170</v>
      </c>
      <c r="T4" s="264"/>
    </row>
    <row r="5" spans="1:20" ht="45">
      <c r="K5" s="1" t="s">
        <v>2</v>
      </c>
      <c r="L5" s="1" t="s">
        <v>614</v>
      </c>
      <c r="M5" s="1" t="s">
        <v>4</v>
      </c>
      <c r="N5" s="1" t="s">
        <v>417</v>
      </c>
      <c r="O5" s="1" t="s">
        <v>615</v>
      </c>
      <c r="P5" s="1" t="s">
        <v>616</v>
      </c>
      <c r="Q5" s="1" t="s">
        <v>490</v>
      </c>
      <c r="R5" s="1" t="s">
        <v>6</v>
      </c>
      <c r="S5" s="1">
        <v>2015</v>
      </c>
      <c r="T5" s="205">
        <v>2014</v>
      </c>
    </row>
    <row r="6" spans="1:20">
      <c r="A6" s="86" t="s">
        <v>8</v>
      </c>
    </row>
    <row r="7" spans="1:20">
      <c r="B7" t="s">
        <v>85</v>
      </c>
      <c r="K7" s="72">
        <v>5759098</v>
      </c>
      <c r="L7" s="73">
        <v>597391</v>
      </c>
      <c r="M7" s="73">
        <v>544129</v>
      </c>
      <c r="N7" s="73"/>
      <c r="O7" s="73">
        <v>42280</v>
      </c>
      <c r="P7" s="73">
        <v>84196</v>
      </c>
      <c r="Q7" s="73">
        <v>1811737</v>
      </c>
      <c r="R7" s="73">
        <v>1427255</v>
      </c>
      <c r="S7" s="73">
        <f>SUM(K7:R7)</f>
        <v>10266086</v>
      </c>
      <c r="T7" s="73">
        <v>9360736</v>
      </c>
    </row>
    <row r="8" spans="1:20">
      <c r="B8" t="s">
        <v>60</v>
      </c>
      <c r="K8" s="74">
        <v>1047889</v>
      </c>
      <c r="L8" s="73">
        <v>26158</v>
      </c>
      <c r="M8" s="73">
        <v>21685</v>
      </c>
      <c r="N8" s="73">
        <v>11211</v>
      </c>
      <c r="O8" s="73">
        <v>327848</v>
      </c>
      <c r="P8" s="73">
        <v>152680</v>
      </c>
      <c r="Q8" s="73">
        <v>175491</v>
      </c>
      <c r="R8" s="73">
        <v>1883838</v>
      </c>
      <c r="S8" s="73">
        <f>SUM(K8:R8)</f>
        <v>3646800</v>
      </c>
      <c r="T8" s="73">
        <v>3889321</v>
      </c>
    </row>
    <row r="9" spans="1:20">
      <c r="B9" t="s">
        <v>158</v>
      </c>
      <c r="K9" s="74">
        <v>81433</v>
      </c>
      <c r="L9" s="73"/>
      <c r="M9" s="73"/>
      <c r="N9" s="73"/>
      <c r="O9" s="73"/>
      <c r="P9" s="73"/>
      <c r="Q9" s="73"/>
      <c r="R9" s="73"/>
      <c r="S9" s="73">
        <f>SUM(K9:R9)</f>
        <v>81433</v>
      </c>
      <c r="T9">
        <v>53535</v>
      </c>
    </row>
    <row r="10" spans="1:20">
      <c r="K10" s="93"/>
      <c r="L10" s="93"/>
      <c r="M10" s="93"/>
      <c r="N10" s="93"/>
      <c r="O10" s="93"/>
      <c r="P10" s="93"/>
      <c r="Q10" s="93"/>
      <c r="R10" s="93"/>
      <c r="S10" s="93"/>
      <c r="T10" s="94"/>
    </row>
    <row r="11" spans="1:20" s="3" customFormat="1">
      <c r="A11" s="2"/>
      <c r="B11" s="2"/>
      <c r="C11" s="2"/>
      <c r="D11" s="2"/>
      <c r="E11" s="2" t="s">
        <v>64</v>
      </c>
      <c r="K11" s="76">
        <f t="shared" ref="K11:R11" si="0">SUM(K7:K9)</f>
        <v>6888420</v>
      </c>
      <c r="L11" s="76">
        <f t="shared" si="0"/>
        <v>623549</v>
      </c>
      <c r="M11" s="76">
        <f t="shared" si="0"/>
        <v>565814</v>
      </c>
      <c r="N11" s="76">
        <f t="shared" si="0"/>
        <v>11211</v>
      </c>
      <c r="O11" s="76">
        <f t="shared" si="0"/>
        <v>370128</v>
      </c>
      <c r="P11" s="76">
        <f t="shared" si="0"/>
        <v>236876</v>
      </c>
      <c r="Q11" s="76">
        <f t="shared" si="0"/>
        <v>1987228</v>
      </c>
      <c r="R11" s="76">
        <f t="shared" si="0"/>
        <v>3311093</v>
      </c>
      <c r="S11" s="76">
        <f>SUM(S7:S9)</f>
        <v>13994319</v>
      </c>
      <c r="T11" s="76">
        <f>SUM(T7:T9)</f>
        <v>13303592</v>
      </c>
    </row>
    <row r="12" spans="1:20">
      <c r="K12" s="73"/>
      <c r="L12" s="73"/>
      <c r="M12" s="73"/>
      <c r="N12" s="73"/>
      <c r="O12" s="73"/>
      <c r="P12" s="73"/>
      <c r="Q12" s="73"/>
      <c r="R12" s="73"/>
      <c r="S12" s="73"/>
    </row>
    <row r="13" spans="1:20">
      <c r="A13" s="187" t="s">
        <v>617</v>
      </c>
      <c r="K13" s="73"/>
      <c r="L13" s="73"/>
      <c r="M13" s="73"/>
      <c r="N13" s="73"/>
      <c r="O13" s="73"/>
      <c r="P13" s="73"/>
      <c r="Q13" s="73"/>
      <c r="R13" s="73"/>
      <c r="S13" s="73"/>
    </row>
    <row r="14" spans="1:20">
      <c r="C14" t="s">
        <v>144</v>
      </c>
      <c r="K14" s="77">
        <v>60994</v>
      </c>
      <c r="L14" s="73">
        <v>12260</v>
      </c>
      <c r="M14" s="73">
        <v>41336</v>
      </c>
      <c r="N14" s="73">
        <v>28614</v>
      </c>
      <c r="O14" s="73">
        <v>22729</v>
      </c>
      <c r="P14" s="73">
        <v>13435</v>
      </c>
      <c r="Q14" s="73">
        <v>6572</v>
      </c>
      <c r="R14" s="73">
        <v>203130</v>
      </c>
      <c r="S14" s="73">
        <f>SUM(K14:R14)</f>
        <v>389070</v>
      </c>
      <c r="T14" s="73">
        <v>477050</v>
      </c>
    </row>
    <row r="15" spans="1:20">
      <c r="C15" t="s">
        <v>254</v>
      </c>
      <c r="L15" s="73"/>
      <c r="M15" s="73"/>
      <c r="N15" s="73">
        <v>31302</v>
      </c>
      <c r="O15" s="73"/>
      <c r="P15" s="73"/>
      <c r="Q15" s="73"/>
      <c r="R15" s="73">
        <v>50131</v>
      </c>
      <c r="S15" s="73">
        <f>SUM(K15:R15)</f>
        <v>81433</v>
      </c>
      <c r="T15">
        <v>53535</v>
      </c>
    </row>
    <row r="16" spans="1:20">
      <c r="K16" s="93"/>
      <c r="L16" s="93"/>
      <c r="M16" s="93"/>
      <c r="N16" s="93"/>
      <c r="O16" s="93"/>
      <c r="P16" s="93"/>
      <c r="Q16" s="93"/>
      <c r="R16" s="93"/>
      <c r="S16" s="93"/>
      <c r="T16" s="93"/>
    </row>
    <row r="17" spans="1:20" s="5" customFormat="1">
      <c r="B17" s="6"/>
      <c r="C17" s="6"/>
      <c r="D17" s="6"/>
      <c r="E17" s="6" t="s">
        <v>26</v>
      </c>
      <c r="K17" s="79">
        <f>SUM(K14:K15)</f>
        <v>60994</v>
      </c>
      <c r="L17" s="79">
        <f>SUM(L14:L15)</f>
        <v>12260</v>
      </c>
      <c r="M17" s="79">
        <f t="shared" ref="M17:O17" si="1">SUM(M14:M15)</f>
        <v>41336</v>
      </c>
      <c r="N17" s="79">
        <f t="shared" si="1"/>
        <v>59916</v>
      </c>
      <c r="O17" s="79">
        <f t="shared" si="1"/>
        <v>22729</v>
      </c>
      <c r="P17" s="79">
        <f t="shared" ref="P17:R17" si="2">SUM(P14:P15)</f>
        <v>13435</v>
      </c>
      <c r="Q17" s="79">
        <f t="shared" si="2"/>
        <v>6572</v>
      </c>
      <c r="R17" s="79">
        <f t="shared" si="2"/>
        <v>253261</v>
      </c>
      <c r="S17" s="79">
        <f>SUM(S14:S15)</f>
        <v>470503</v>
      </c>
      <c r="T17" s="79">
        <f>SUM(T14:T15)</f>
        <v>530585</v>
      </c>
    </row>
    <row r="18" spans="1:20">
      <c r="K18" s="73"/>
      <c r="L18" s="73"/>
      <c r="M18" s="73"/>
      <c r="N18" s="73"/>
      <c r="O18" s="73"/>
      <c r="P18" s="73"/>
      <c r="Q18" s="73"/>
      <c r="R18" s="73"/>
      <c r="S18" s="73"/>
    </row>
    <row r="19" spans="1:20">
      <c r="A19" s="86" t="s">
        <v>30</v>
      </c>
      <c r="K19" s="73"/>
      <c r="L19" s="73"/>
      <c r="M19" s="73"/>
      <c r="N19" s="73"/>
      <c r="O19" s="73"/>
      <c r="P19" s="73"/>
      <c r="Q19" s="73"/>
      <c r="R19" s="73"/>
      <c r="S19" s="73"/>
    </row>
    <row r="20" spans="1:20">
      <c r="C20" t="s">
        <v>618</v>
      </c>
      <c r="K20" s="73"/>
      <c r="L20" s="73">
        <v>611289</v>
      </c>
      <c r="M20" s="73">
        <v>524478</v>
      </c>
      <c r="N20" s="73">
        <v>-48704</v>
      </c>
      <c r="O20" s="73">
        <v>347398</v>
      </c>
      <c r="P20" s="73">
        <v>223442</v>
      </c>
      <c r="Q20" s="73">
        <v>1980656</v>
      </c>
      <c r="R20" s="73">
        <v>3107538</v>
      </c>
      <c r="S20" s="73">
        <f>SUM(K20:R20)</f>
        <v>6746097</v>
      </c>
      <c r="T20" s="73">
        <v>7002730</v>
      </c>
    </row>
    <row r="21" spans="1:20">
      <c r="C21" t="s">
        <v>77</v>
      </c>
      <c r="K21" s="84">
        <v>6827425</v>
      </c>
      <c r="L21" s="73"/>
      <c r="M21" s="73"/>
      <c r="N21" s="73"/>
      <c r="O21" s="73"/>
      <c r="P21" s="73"/>
      <c r="Q21" s="73"/>
      <c r="R21" s="73">
        <v>-49706</v>
      </c>
      <c r="S21" s="73">
        <f>SUM(K21:R21)</f>
        <v>6777719</v>
      </c>
      <c r="T21">
        <v>5770277</v>
      </c>
    </row>
    <row r="22" spans="1:20">
      <c r="K22" s="73"/>
      <c r="L22" s="73"/>
      <c r="M22" s="73"/>
      <c r="N22" s="73"/>
      <c r="O22" s="73"/>
      <c r="P22" s="73"/>
      <c r="Q22" s="73"/>
      <c r="R22" s="73"/>
      <c r="S22" s="73"/>
    </row>
    <row r="23" spans="1:20" s="5" customFormat="1">
      <c r="D23" s="6"/>
      <c r="E23" s="6" t="s">
        <v>49</v>
      </c>
      <c r="K23" s="79">
        <f>SUM(K20:K21)</f>
        <v>6827425</v>
      </c>
      <c r="L23" s="79">
        <f t="shared" ref="L23:P23" si="3">SUM(L20:L21)</f>
        <v>611289</v>
      </c>
      <c r="M23" s="79">
        <f t="shared" si="3"/>
        <v>524478</v>
      </c>
      <c r="N23" s="79">
        <f t="shared" si="3"/>
        <v>-48704</v>
      </c>
      <c r="O23" s="79">
        <f t="shared" si="3"/>
        <v>347398</v>
      </c>
      <c r="P23" s="79">
        <f t="shared" si="3"/>
        <v>223442</v>
      </c>
      <c r="Q23" s="79">
        <f t="shared" ref="Q23:R23" si="4">SUM(Q20:Q21)</f>
        <v>1980656</v>
      </c>
      <c r="R23" s="79">
        <f t="shared" si="4"/>
        <v>3057832</v>
      </c>
      <c r="S23" s="79">
        <f>SUM(S20:S22)</f>
        <v>13523816</v>
      </c>
      <c r="T23" s="79">
        <f>SUM(T20:T22)</f>
        <v>12773007</v>
      </c>
    </row>
    <row r="24" spans="1:20">
      <c r="K24" s="73"/>
      <c r="L24" s="73"/>
      <c r="M24" s="73"/>
      <c r="N24" s="73"/>
      <c r="O24" s="73"/>
      <c r="P24" s="73"/>
      <c r="Q24" s="73"/>
      <c r="R24" s="73"/>
      <c r="S24" s="73"/>
    </row>
    <row r="25" spans="1:20" s="7" customFormat="1">
      <c r="D25" s="8"/>
      <c r="E25" s="8" t="s">
        <v>619</v>
      </c>
      <c r="K25" s="81">
        <f>SUM(K17+K23)</f>
        <v>6888419</v>
      </c>
      <c r="L25" s="81">
        <f t="shared" ref="L25:T25" si="5">SUM(L17+L23)</f>
        <v>623549</v>
      </c>
      <c r="M25" s="81">
        <f t="shared" si="5"/>
        <v>565814</v>
      </c>
      <c r="N25" s="81">
        <f t="shared" si="5"/>
        <v>11212</v>
      </c>
      <c r="O25" s="81">
        <f t="shared" si="5"/>
        <v>370127</v>
      </c>
      <c r="P25" s="81">
        <f t="shared" si="5"/>
        <v>236877</v>
      </c>
      <c r="Q25" s="81">
        <f t="shared" si="5"/>
        <v>1987228</v>
      </c>
      <c r="R25" s="81">
        <f t="shared" si="5"/>
        <v>3311093</v>
      </c>
      <c r="S25" s="81">
        <f t="shared" si="5"/>
        <v>13994319</v>
      </c>
      <c r="T25" s="81">
        <f t="shared" si="5"/>
        <v>13303592</v>
      </c>
    </row>
  </sheetData>
  <mergeCells count="4">
    <mergeCell ref="D1:K1"/>
    <mergeCell ref="D2:K2"/>
    <mergeCell ref="K3:R3"/>
    <mergeCell ref="S4:T4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92D050"/>
  </sheetPr>
  <dimension ref="A1:R60"/>
  <sheetViews>
    <sheetView zoomScaleNormal="100" zoomScalePageLayoutView="70" workbookViewId="0">
      <selection activeCell="O19" sqref="O19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6.4257812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4" width="16.42578125" customWidth="1"/>
    <col min="15" max="16" width="18.140625" customWidth="1"/>
    <col min="17" max="17" width="18.28515625" customWidth="1"/>
  </cols>
  <sheetData>
    <row r="1" spans="1:18" ht="18.75">
      <c r="D1" s="253" t="s">
        <v>620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8" ht="16.5" customHeight="1">
      <c r="D3" s="57"/>
      <c r="E3" s="57"/>
      <c r="F3" s="57"/>
      <c r="G3" s="57"/>
      <c r="H3" s="57"/>
      <c r="I3" s="57"/>
      <c r="J3" s="57"/>
      <c r="K3" s="254"/>
      <c r="L3" s="254"/>
      <c r="M3" s="254"/>
      <c r="N3" s="57"/>
    </row>
    <row r="4" spans="1:18" ht="15" customHeight="1">
      <c r="K4" s="181"/>
      <c r="L4" s="191"/>
      <c r="M4" s="191" t="s">
        <v>553</v>
      </c>
      <c r="N4" s="191"/>
    </row>
    <row r="5" spans="1:18" ht="45">
      <c r="K5" s="1" t="s">
        <v>2</v>
      </c>
      <c r="L5" s="1" t="s">
        <v>621</v>
      </c>
      <c r="M5" s="1" t="s">
        <v>622</v>
      </c>
      <c r="N5" s="1" t="s">
        <v>623</v>
      </c>
      <c r="O5" s="1" t="s">
        <v>624</v>
      </c>
      <c r="P5" s="1" t="s">
        <v>249</v>
      </c>
    </row>
    <row r="6" spans="1:18">
      <c r="A6" s="86" t="s">
        <v>8</v>
      </c>
    </row>
    <row r="7" spans="1:18">
      <c r="B7" t="s">
        <v>85</v>
      </c>
      <c r="K7" s="72">
        <v>9448931</v>
      </c>
      <c r="L7" s="73">
        <v>5866225</v>
      </c>
      <c r="M7" s="73">
        <v>4920930</v>
      </c>
      <c r="N7" s="73">
        <v>626745</v>
      </c>
      <c r="O7" s="73">
        <v>14733094</v>
      </c>
      <c r="P7" s="73">
        <f>SUM(K7:O7)</f>
        <v>35595925</v>
      </c>
    </row>
    <row r="8" spans="1:18">
      <c r="B8" t="s">
        <v>625</v>
      </c>
      <c r="K8" s="77">
        <v>3650500</v>
      </c>
      <c r="L8" s="73"/>
      <c r="M8" s="73"/>
      <c r="N8" s="73"/>
      <c r="O8" s="73"/>
      <c r="P8" s="73">
        <f t="shared" ref="P8:P16" si="0">SUM(K8:O8)</f>
        <v>3650500</v>
      </c>
    </row>
    <row r="9" spans="1:18">
      <c r="B9" t="s">
        <v>560</v>
      </c>
      <c r="K9" s="73"/>
      <c r="L9" s="73"/>
      <c r="M9" s="73"/>
      <c r="N9" s="73"/>
      <c r="O9" s="73"/>
      <c r="P9" s="73">
        <f t="shared" si="0"/>
        <v>0</v>
      </c>
    </row>
    <row r="10" spans="1:18">
      <c r="C10" t="s">
        <v>88</v>
      </c>
      <c r="K10" s="74">
        <v>1632582</v>
      </c>
      <c r="L10" s="73"/>
      <c r="M10" s="73"/>
      <c r="N10" s="73"/>
      <c r="O10" s="73">
        <v>545374</v>
      </c>
      <c r="P10" s="73">
        <f t="shared" si="0"/>
        <v>2177956</v>
      </c>
    </row>
    <row r="11" spans="1:18">
      <c r="C11" t="s">
        <v>184</v>
      </c>
      <c r="K11" s="74">
        <v>853113</v>
      </c>
      <c r="L11" s="73"/>
      <c r="M11" s="73"/>
      <c r="N11" s="73">
        <v>8527076</v>
      </c>
      <c r="O11" s="73">
        <v>3425920</v>
      </c>
      <c r="P11" s="73">
        <f t="shared" si="0"/>
        <v>12806109</v>
      </c>
    </row>
    <row r="12" spans="1:18">
      <c r="C12" t="s">
        <v>626</v>
      </c>
      <c r="K12" s="74">
        <v>123670</v>
      </c>
      <c r="L12" s="73"/>
      <c r="M12" s="73"/>
      <c r="N12" s="73"/>
      <c r="O12" s="73"/>
      <c r="P12" s="73">
        <f t="shared" si="0"/>
        <v>123670</v>
      </c>
    </row>
    <row r="13" spans="1:18">
      <c r="C13" t="s">
        <v>433</v>
      </c>
      <c r="K13" s="74">
        <v>2911489</v>
      </c>
      <c r="L13" s="73">
        <v>3814259</v>
      </c>
      <c r="M13" s="73">
        <v>14987892</v>
      </c>
      <c r="N13" s="73">
        <v>8798</v>
      </c>
      <c r="O13" s="73">
        <v>3424000</v>
      </c>
      <c r="P13" s="73">
        <f t="shared" si="0"/>
        <v>25146438</v>
      </c>
    </row>
    <row r="14" spans="1:18">
      <c r="C14" t="s">
        <v>47</v>
      </c>
      <c r="K14" s="74">
        <v>355611</v>
      </c>
      <c r="L14" s="73"/>
      <c r="M14" s="73"/>
      <c r="N14" s="73">
        <v>800</v>
      </c>
      <c r="O14" s="73">
        <v>433295</v>
      </c>
      <c r="P14" s="73">
        <f>SUM(K14:O14)</f>
        <v>789706</v>
      </c>
    </row>
    <row r="15" spans="1:18">
      <c r="B15" t="s">
        <v>16</v>
      </c>
      <c r="K15" s="75">
        <v>6068350</v>
      </c>
      <c r="L15" s="73">
        <v>475000</v>
      </c>
      <c r="M15" s="73">
        <v>12450962</v>
      </c>
      <c r="N15" s="73"/>
      <c r="O15" s="73">
        <v>3123788</v>
      </c>
      <c r="P15" s="73">
        <f t="shared" si="0"/>
        <v>22118100</v>
      </c>
      <c r="Q15" s="233" t="s">
        <v>627</v>
      </c>
      <c r="R15" s="233"/>
    </row>
    <row r="16" spans="1:18">
      <c r="B16" t="s">
        <v>628</v>
      </c>
      <c r="K16" s="83">
        <v>109215</v>
      </c>
      <c r="L16" s="73"/>
      <c r="M16" s="73"/>
      <c r="N16" s="73">
        <v>21887</v>
      </c>
      <c r="O16" s="73">
        <v>112122</v>
      </c>
      <c r="P16" s="73">
        <f t="shared" si="0"/>
        <v>243224</v>
      </c>
    </row>
    <row r="17" spans="1:16">
      <c r="K17" s="73"/>
      <c r="L17" s="73"/>
      <c r="M17" s="73"/>
      <c r="N17" s="73"/>
      <c r="O17" s="73"/>
      <c r="P17" s="73"/>
    </row>
    <row r="18" spans="1:16" s="3" customFormat="1">
      <c r="A18" s="2"/>
      <c r="B18" s="2"/>
      <c r="C18" s="2"/>
      <c r="D18" s="2"/>
      <c r="E18" s="2" t="s">
        <v>64</v>
      </c>
      <c r="K18" s="76">
        <f>SUM(K7:K16)</f>
        <v>25153461</v>
      </c>
      <c r="L18" s="76">
        <f>SUM(L7:L16)</f>
        <v>10155484</v>
      </c>
      <c r="M18" s="76">
        <f t="shared" ref="M18:P18" si="1">SUM(M7:M16)</f>
        <v>32359784</v>
      </c>
      <c r="N18" s="76">
        <f t="shared" si="1"/>
        <v>9185306</v>
      </c>
      <c r="O18" s="232">
        <f>SUM(O7:O16)</f>
        <v>25797593</v>
      </c>
      <c r="P18" s="234">
        <f t="shared" si="1"/>
        <v>102651628</v>
      </c>
    </row>
    <row r="19" spans="1:16">
      <c r="K19" s="73"/>
      <c r="L19" s="73"/>
      <c r="M19" s="73"/>
      <c r="N19" s="73"/>
      <c r="O19" s="73"/>
      <c r="P19" s="73"/>
    </row>
    <row r="20" spans="1:16">
      <c r="A20" s="4" t="s">
        <v>19</v>
      </c>
      <c r="K20" s="73"/>
      <c r="L20" s="73"/>
      <c r="M20" s="73"/>
      <c r="N20" s="73"/>
      <c r="O20" s="73"/>
      <c r="P20" s="73"/>
    </row>
    <row r="21" spans="1:16">
      <c r="C21" t="s">
        <v>21</v>
      </c>
      <c r="K21" s="77">
        <v>3612256</v>
      </c>
      <c r="L21" s="73">
        <v>1226983</v>
      </c>
      <c r="M21" s="73">
        <v>8290609</v>
      </c>
      <c r="N21" s="73">
        <v>325543</v>
      </c>
      <c r="O21" s="73">
        <v>4007538</v>
      </c>
      <c r="P21" s="73">
        <f>SUM(K21:O21)</f>
        <v>17462929</v>
      </c>
    </row>
    <row r="22" spans="1:16">
      <c r="C22" t="s">
        <v>22</v>
      </c>
      <c r="K22" s="77">
        <v>21091</v>
      </c>
      <c r="L22" s="73"/>
      <c r="M22" s="73">
        <v>1910685</v>
      </c>
      <c r="N22" s="73"/>
      <c r="O22" s="73">
        <v>502682</v>
      </c>
      <c r="P22" s="73">
        <f>SUM(K22:O22)</f>
        <v>2434458</v>
      </c>
    </row>
    <row r="23" spans="1:16">
      <c r="C23" t="s">
        <v>629</v>
      </c>
      <c r="K23" s="77">
        <v>287740</v>
      </c>
      <c r="L23" s="73">
        <v>10618</v>
      </c>
      <c r="M23" s="73"/>
      <c r="N23" s="73">
        <v>539220</v>
      </c>
      <c r="O23" s="73">
        <v>229888</v>
      </c>
      <c r="P23" s="73">
        <f t="shared" ref="P23:P26" si="2">SUM(K23:O23)</f>
        <v>1067466</v>
      </c>
    </row>
    <row r="24" spans="1:16">
      <c r="C24" t="s">
        <v>25</v>
      </c>
      <c r="K24" s="78">
        <v>6346958</v>
      </c>
      <c r="L24" s="73">
        <v>662370</v>
      </c>
      <c r="M24" s="73">
        <v>12721220</v>
      </c>
      <c r="N24" s="73">
        <v>3354755</v>
      </c>
      <c r="O24" s="73">
        <v>4573910</v>
      </c>
      <c r="P24" s="73">
        <f t="shared" si="2"/>
        <v>27659213</v>
      </c>
    </row>
    <row r="25" spans="1:16">
      <c r="C25" t="s">
        <v>630</v>
      </c>
      <c r="K25" s="78">
        <v>69188</v>
      </c>
      <c r="L25" s="73"/>
      <c r="M25" s="73"/>
      <c r="N25" s="73"/>
      <c r="O25" s="73"/>
      <c r="P25" s="73">
        <f t="shared" si="2"/>
        <v>69188</v>
      </c>
    </row>
    <row r="26" spans="1:16">
      <c r="C26" t="s">
        <v>631</v>
      </c>
      <c r="K26" s="82">
        <v>771048</v>
      </c>
      <c r="L26" s="73"/>
      <c r="M26" s="73"/>
      <c r="N26" s="73">
        <v>1444614</v>
      </c>
      <c r="O26" s="73"/>
      <c r="P26" s="73">
        <f t="shared" si="2"/>
        <v>2215662</v>
      </c>
    </row>
    <row r="27" spans="1:16">
      <c r="K27" s="73"/>
      <c r="L27" s="73"/>
      <c r="M27" s="73"/>
      <c r="N27" s="73"/>
      <c r="O27" s="73"/>
      <c r="P27" s="73"/>
    </row>
    <row r="28" spans="1:16" s="5" customFormat="1">
      <c r="B28" s="6"/>
      <c r="C28" s="6"/>
      <c r="D28" s="6"/>
      <c r="E28" s="6" t="s">
        <v>26</v>
      </c>
      <c r="K28" s="79">
        <f t="shared" ref="K28:P28" si="3">SUM(K21:K26)</f>
        <v>11108281</v>
      </c>
      <c r="L28" s="79">
        <f t="shared" si="3"/>
        <v>1899971</v>
      </c>
      <c r="M28" s="79">
        <f t="shared" si="3"/>
        <v>22922514</v>
      </c>
      <c r="N28" s="79">
        <f t="shared" si="3"/>
        <v>5664132</v>
      </c>
      <c r="O28" s="79">
        <f t="shared" si="3"/>
        <v>9314018</v>
      </c>
      <c r="P28" s="79">
        <f t="shared" si="3"/>
        <v>50908916</v>
      </c>
    </row>
    <row r="29" spans="1:16">
      <c r="K29" s="73"/>
      <c r="L29" s="73"/>
      <c r="M29" s="73"/>
      <c r="N29" s="73"/>
      <c r="O29" s="73"/>
      <c r="P29" s="73"/>
    </row>
    <row r="30" spans="1:16">
      <c r="A30" s="86" t="s">
        <v>632</v>
      </c>
      <c r="K30" s="73"/>
      <c r="L30" s="73"/>
      <c r="M30" s="73"/>
      <c r="N30" s="73"/>
      <c r="O30" s="73"/>
      <c r="P30" s="73"/>
    </row>
    <row r="31" spans="1:16">
      <c r="B31" t="s">
        <v>585</v>
      </c>
      <c r="K31" s="85">
        <v>3788526</v>
      </c>
      <c r="L31" s="85">
        <v>8255513</v>
      </c>
      <c r="M31" s="85">
        <v>11400045</v>
      </c>
      <c r="N31" s="85">
        <v>108518</v>
      </c>
      <c r="O31" s="85">
        <v>2822941</v>
      </c>
      <c r="P31" s="85">
        <f>SUM(K31:O31)</f>
        <v>26375543</v>
      </c>
    </row>
    <row r="32" spans="1:16">
      <c r="B32" s="86"/>
      <c r="E32" t="s">
        <v>29</v>
      </c>
      <c r="K32" s="73"/>
      <c r="L32" s="73"/>
      <c r="M32" s="73"/>
      <c r="N32" s="73"/>
      <c r="O32" s="73"/>
      <c r="P32" s="73">
        <f t="shared" ref="P32" si="4">SUM(P31)</f>
        <v>26375543</v>
      </c>
    </row>
    <row r="33" spans="2:16">
      <c r="K33" s="73"/>
      <c r="L33" s="73"/>
      <c r="M33" s="73"/>
      <c r="N33" s="73"/>
      <c r="O33" s="73"/>
      <c r="P33" s="73"/>
    </row>
    <row r="34" spans="2:16">
      <c r="B34" s="86" t="s">
        <v>30</v>
      </c>
      <c r="K34" s="73"/>
      <c r="L34" s="73"/>
      <c r="M34" s="73"/>
      <c r="N34" s="73"/>
      <c r="O34" s="73"/>
      <c r="P34" s="73"/>
    </row>
    <row r="35" spans="2:16">
      <c r="C35" t="s">
        <v>633</v>
      </c>
      <c r="K35" s="73"/>
      <c r="L35" s="73"/>
      <c r="M35" s="73"/>
      <c r="N35" s="73"/>
      <c r="O35" s="73"/>
      <c r="P35" s="73"/>
    </row>
    <row r="36" spans="2:16">
      <c r="D36" t="s">
        <v>142</v>
      </c>
      <c r="K36" s="80">
        <v>109215</v>
      </c>
      <c r="L36" s="73"/>
      <c r="M36" s="73"/>
      <c r="N36" s="73">
        <v>21887</v>
      </c>
      <c r="O36" s="73">
        <v>112122</v>
      </c>
      <c r="P36" s="73">
        <f>SUM(K36:O36)</f>
        <v>243224</v>
      </c>
    </row>
    <row r="37" spans="2:16">
      <c r="C37" t="s">
        <v>129</v>
      </c>
      <c r="K37" s="73"/>
      <c r="L37" s="73"/>
      <c r="M37" s="73"/>
      <c r="N37" s="73"/>
      <c r="O37" s="73"/>
      <c r="P37" s="73"/>
    </row>
    <row r="38" spans="2:16">
      <c r="D38" t="s">
        <v>634</v>
      </c>
      <c r="K38" s="80">
        <v>91185</v>
      </c>
      <c r="L38" s="73"/>
      <c r="M38" s="73"/>
      <c r="N38" s="73"/>
      <c r="O38" s="73"/>
      <c r="P38" s="73">
        <f>SUM(K38:O38)</f>
        <v>91185</v>
      </c>
    </row>
    <row r="39" spans="2:16">
      <c r="D39" t="s">
        <v>74</v>
      </c>
      <c r="K39" s="73"/>
      <c r="L39" s="73"/>
      <c r="M39" s="73"/>
      <c r="N39" s="73"/>
      <c r="O39" s="73">
        <v>3561965</v>
      </c>
      <c r="P39" s="73">
        <f>SUM(K39:O39)</f>
        <v>3561965</v>
      </c>
    </row>
    <row r="40" spans="2:16">
      <c r="D40" t="s">
        <v>635</v>
      </c>
      <c r="K40" s="80">
        <v>3658868</v>
      </c>
      <c r="L40" s="73"/>
      <c r="M40" s="73"/>
      <c r="N40" s="73"/>
      <c r="O40" s="73">
        <v>2156863</v>
      </c>
      <c r="P40" s="73">
        <f t="shared" ref="P40:P49" si="5">SUM(K40:O40)</f>
        <v>5815731</v>
      </c>
    </row>
    <row r="41" spans="2:16">
      <c r="D41" t="s">
        <v>636</v>
      </c>
      <c r="K41" s="73"/>
      <c r="L41" s="73"/>
      <c r="M41" s="73"/>
      <c r="N41" s="73"/>
      <c r="O41" s="73">
        <v>332098</v>
      </c>
      <c r="P41" s="73">
        <f t="shared" si="5"/>
        <v>332098</v>
      </c>
    </row>
    <row r="42" spans="2:16">
      <c r="D42" t="s">
        <v>110</v>
      </c>
      <c r="K42" s="73"/>
      <c r="L42" s="73"/>
      <c r="M42" s="73"/>
      <c r="N42" s="73"/>
      <c r="O42" s="73">
        <v>124127</v>
      </c>
      <c r="P42" s="73">
        <f t="shared" si="5"/>
        <v>124127</v>
      </c>
    </row>
    <row r="43" spans="2:16">
      <c r="D43" t="s">
        <v>637</v>
      </c>
      <c r="K43" s="73"/>
      <c r="L43" s="73"/>
      <c r="M43" s="73"/>
      <c r="N43" s="73"/>
      <c r="O43" s="73">
        <v>818972</v>
      </c>
      <c r="P43" s="73">
        <f t="shared" si="5"/>
        <v>818972</v>
      </c>
    </row>
    <row r="44" spans="2:16">
      <c r="D44" t="s">
        <v>638</v>
      </c>
      <c r="K44" s="73"/>
      <c r="L44" s="73"/>
      <c r="M44" s="73"/>
      <c r="N44" s="73"/>
      <c r="O44" s="73">
        <v>558059</v>
      </c>
      <c r="P44" s="73">
        <f t="shared" si="5"/>
        <v>558059</v>
      </c>
    </row>
    <row r="45" spans="2:16">
      <c r="D45" t="s">
        <v>639</v>
      </c>
      <c r="K45" s="73"/>
      <c r="L45" s="73"/>
      <c r="M45" s="73"/>
      <c r="N45" s="73"/>
      <c r="O45" s="73">
        <v>262616</v>
      </c>
      <c r="P45" s="73">
        <f t="shared" si="5"/>
        <v>262616</v>
      </c>
    </row>
    <row r="46" spans="2:16">
      <c r="D46" t="s">
        <v>640</v>
      </c>
      <c r="K46" s="73"/>
      <c r="L46" s="73"/>
      <c r="M46" s="73"/>
      <c r="N46" s="73"/>
      <c r="O46" s="73">
        <v>15819</v>
      </c>
      <c r="P46" s="73">
        <f t="shared" si="5"/>
        <v>15819</v>
      </c>
    </row>
    <row r="47" spans="2:16">
      <c r="D47" t="s">
        <v>165</v>
      </c>
      <c r="K47" s="73"/>
      <c r="L47" s="73"/>
      <c r="M47" s="73"/>
      <c r="N47" s="73">
        <v>3099269</v>
      </c>
      <c r="O47" s="73"/>
      <c r="P47" s="73">
        <f t="shared" si="5"/>
        <v>3099269</v>
      </c>
    </row>
    <row r="48" spans="2:16">
      <c r="D48" t="s">
        <v>641</v>
      </c>
      <c r="K48" s="73"/>
      <c r="L48" s="73"/>
      <c r="M48" s="73"/>
      <c r="N48" s="73"/>
      <c r="O48" s="73">
        <v>313966</v>
      </c>
      <c r="P48" s="73">
        <f t="shared" si="5"/>
        <v>313966</v>
      </c>
    </row>
    <row r="49" spans="3:16">
      <c r="D49" t="s">
        <v>642</v>
      </c>
      <c r="K49" s="80">
        <v>242815</v>
      </c>
      <c r="L49" s="73"/>
      <c r="M49" s="73"/>
      <c r="N49" s="73"/>
      <c r="O49" s="73"/>
      <c r="P49" s="73">
        <f t="shared" si="5"/>
        <v>242815</v>
      </c>
    </row>
    <row r="50" spans="3:16">
      <c r="C50" t="s">
        <v>643</v>
      </c>
      <c r="K50" s="73"/>
      <c r="L50" s="73"/>
      <c r="M50" s="73"/>
      <c r="N50" s="73"/>
      <c r="O50" s="73"/>
      <c r="P50" s="73"/>
    </row>
    <row r="51" spans="3:16">
      <c r="D51" t="s">
        <v>641</v>
      </c>
      <c r="K51" s="73"/>
      <c r="L51" s="73"/>
      <c r="M51" s="73"/>
      <c r="N51" s="73"/>
      <c r="O51" s="73">
        <v>956564</v>
      </c>
      <c r="P51" s="73">
        <f>SUM(K51:O51)</f>
        <v>956564</v>
      </c>
    </row>
    <row r="52" spans="3:16">
      <c r="C52" t="s">
        <v>408</v>
      </c>
      <c r="K52" s="73"/>
      <c r="L52" s="73"/>
      <c r="M52" s="73"/>
      <c r="N52" s="73"/>
      <c r="O52" s="73"/>
    </row>
    <row r="53" spans="3:16">
      <c r="D53" t="s">
        <v>644</v>
      </c>
      <c r="K53" s="80">
        <v>5421492</v>
      </c>
      <c r="L53" s="73"/>
      <c r="M53" s="73"/>
      <c r="N53" s="73"/>
      <c r="O53" s="73"/>
      <c r="P53" s="73">
        <f>SUM(K53:O53)</f>
        <v>5421492</v>
      </c>
    </row>
    <row r="54" spans="3:16">
      <c r="D54" t="s">
        <v>641</v>
      </c>
      <c r="K54" s="73"/>
      <c r="L54" s="73"/>
      <c r="M54" s="73"/>
      <c r="N54" s="73">
        <v>291500</v>
      </c>
      <c r="O54" s="73">
        <v>294025</v>
      </c>
      <c r="P54" s="73">
        <f>SUM(K54:O54)</f>
        <v>585525</v>
      </c>
    </row>
    <row r="55" spans="3:16">
      <c r="D55" t="s">
        <v>645</v>
      </c>
      <c r="K55" s="73"/>
      <c r="L55" s="73"/>
      <c r="M55" s="73"/>
      <c r="N55" s="73"/>
      <c r="O55" s="73">
        <v>5778189</v>
      </c>
      <c r="P55" s="73">
        <f>SUM(K55:O55)</f>
        <v>5778189</v>
      </c>
    </row>
    <row r="56" spans="3:16">
      <c r="C56" t="s">
        <v>48</v>
      </c>
      <c r="K56" s="84">
        <v>733079</v>
      </c>
      <c r="L56" s="73"/>
      <c r="M56" s="73">
        <v>-1962775</v>
      </c>
      <c r="N56" s="73"/>
      <c r="O56" s="73">
        <v>-1584751</v>
      </c>
      <c r="P56" s="73">
        <f>SUM(K56:O56)</f>
        <v>-2814447</v>
      </c>
    </row>
    <row r="57" spans="3:16">
      <c r="K57" s="73"/>
      <c r="L57" s="73"/>
      <c r="M57" s="73"/>
      <c r="N57" s="73"/>
      <c r="O57" s="73"/>
      <c r="P57" s="73"/>
    </row>
    <row r="58" spans="3:16" s="5" customFormat="1">
      <c r="D58" s="6"/>
      <c r="E58" s="6" t="s">
        <v>78</v>
      </c>
      <c r="K58" s="79">
        <f>SUM(K36:K56)</f>
        <v>10256654</v>
      </c>
      <c r="L58" s="79">
        <f>SUM(L37:L56)</f>
        <v>0</v>
      </c>
      <c r="M58" s="79">
        <f>SUM(M37:M56)</f>
        <v>-1962775</v>
      </c>
      <c r="N58" s="79">
        <f>SUM(N36:N56)</f>
        <v>3412656</v>
      </c>
      <c r="O58" s="79">
        <f>SUM(O36:O56)</f>
        <v>13700634</v>
      </c>
      <c r="P58" s="79">
        <f>SUM(P36:P57)</f>
        <v>25407169</v>
      </c>
    </row>
    <row r="59" spans="3:16">
      <c r="K59" s="73"/>
      <c r="L59" s="73"/>
      <c r="M59" s="73"/>
      <c r="N59" s="73"/>
      <c r="O59" s="73"/>
      <c r="P59" s="73"/>
    </row>
    <row r="60" spans="3:16" s="7" customFormat="1">
      <c r="D60" s="8"/>
      <c r="E60" s="8" t="s">
        <v>646</v>
      </c>
      <c r="K60" s="81">
        <f t="shared" ref="K60:P60" si="6">SUM(K58,K28,K31)</f>
        <v>25153461</v>
      </c>
      <c r="L60" s="81">
        <f t="shared" si="6"/>
        <v>10155484</v>
      </c>
      <c r="M60" s="81">
        <f t="shared" si="6"/>
        <v>32359784</v>
      </c>
      <c r="N60" s="81">
        <f t="shared" si="6"/>
        <v>9185306</v>
      </c>
      <c r="O60" s="81">
        <f t="shared" si="6"/>
        <v>25837593</v>
      </c>
      <c r="P60" s="81">
        <f t="shared" si="6"/>
        <v>102691628</v>
      </c>
    </row>
  </sheetData>
  <mergeCells count="3">
    <mergeCell ref="D1:K1"/>
    <mergeCell ref="D2:K2"/>
    <mergeCell ref="K3:M3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P47"/>
  <sheetViews>
    <sheetView topLeftCell="A10" zoomScale="90" zoomScaleNormal="90" zoomScalePageLayoutView="70" workbookViewId="0">
      <selection activeCell="U53" sqref="U53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6" width="19.42578125" customWidth="1"/>
  </cols>
  <sheetData>
    <row r="1" spans="1:16" ht="18.75">
      <c r="D1" s="253" t="s">
        <v>647</v>
      </c>
      <c r="E1" s="253"/>
      <c r="F1" s="253"/>
      <c r="G1" s="253"/>
      <c r="H1" s="253"/>
      <c r="I1" s="253"/>
      <c r="J1" s="253"/>
      <c r="K1" s="253"/>
    </row>
    <row r="2" spans="1:16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6" ht="29.25" customHeight="1">
      <c r="D3" s="57"/>
      <c r="E3" s="57"/>
      <c r="F3" s="57"/>
      <c r="G3" s="57"/>
      <c r="H3" s="57"/>
      <c r="I3" s="57"/>
      <c r="J3" s="57"/>
      <c r="K3" s="86"/>
      <c r="L3" s="86"/>
      <c r="M3" s="86"/>
      <c r="N3" s="86"/>
      <c r="O3" s="86"/>
      <c r="P3" s="86"/>
    </row>
    <row r="4" spans="1:16" ht="28.5" customHeight="1">
      <c r="K4" s="181"/>
      <c r="L4" s="188"/>
      <c r="M4" s="188"/>
      <c r="N4" s="188"/>
      <c r="O4" s="188"/>
      <c r="P4" s="188"/>
    </row>
    <row r="5" spans="1:16" ht="45">
      <c r="K5" s="1" t="s">
        <v>2</v>
      </c>
      <c r="L5" s="1" t="s">
        <v>648</v>
      </c>
      <c r="M5" s="1" t="s">
        <v>649</v>
      </c>
      <c r="N5" s="1" t="s">
        <v>650</v>
      </c>
      <c r="O5" s="1" t="s">
        <v>58</v>
      </c>
      <c r="P5" s="1" t="s">
        <v>7</v>
      </c>
    </row>
    <row r="6" spans="1:16">
      <c r="A6" s="86" t="s">
        <v>8</v>
      </c>
    </row>
    <row r="7" spans="1:16">
      <c r="B7" t="s">
        <v>651</v>
      </c>
      <c r="K7" s="72">
        <v>1124023</v>
      </c>
      <c r="L7" s="73">
        <v>515257</v>
      </c>
      <c r="M7" s="73"/>
      <c r="N7" s="189">
        <v>320</v>
      </c>
      <c r="O7" s="73">
        <v>27032</v>
      </c>
      <c r="P7" s="73">
        <f>SUM(K7:O7)</f>
        <v>1666632</v>
      </c>
    </row>
    <row r="8" spans="1:16">
      <c r="B8" t="s">
        <v>10</v>
      </c>
      <c r="K8" s="77">
        <v>36694669</v>
      </c>
      <c r="L8" s="73">
        <v>30870991</v>
      </c>
      <c r="M8" s="73"/>
      <c r="N8" s="189">
        <v>4057276</v>
      </c>
      <c r="O8" s="73">
        <v>9146417</v>
      </c>
      <c r="P8" s="73">
        <f>SUM(K8:O8)</f>
        <v>80769353</v>
      </c>
    </row>
    <row r="9" spans="1:16">
      <c r="B9" t="s">
        <v>140</v>
      </c>
      <c r="K9" s="73"/>
      <c r="L9" s="73"/>
      <c r="M9" s="73"/>
      <c r="N9" s="189"/>
      <c r="O9" s="73"/>
      <c r="P9" s="73"/>
    </row>
    <row r="10" spans="1:16">
      <c r="C10" t="s">
        <v>87</v>
      </c>
      <c r="K10" s="74">
        <v>3862375</v>
      </c>
      <c r="L10" s="73">
        <v>7237380</v>
      </c>
      <c r="M10" s="73">
        <v>4873650</v>
      </c>
      <c r="N10" s="189">
        <v>2680515</v>
      </c>
      <c r="O10" s="73">
        <v>7417140</v>
      </c>
      <c r="P10" s="73">
        <f t="shared" ref="P10:P17" si="0">SUM(K10:O10)</f>
        <v>26071060</v>
      </c>
    </row>
    <row r="11" spans="1:16">
      <c r="C11" t="s">
        <v>217</v>
      </c>
      <c r="K11" s="74">
        <v>1338062</v>
      </c>
      <c r="L11" s="73">
        <v>1529211</v>
      </c>
      <c r="M11" s="73"/>
      <c r="N11" s="189"/>
      <c r="O11" s="73"/>
      <c r="P11" s="73">
        <f t="shared" si="0"/>
        <v>2867273</v>
      </c>
    </row>
    <row r="12" spans="1:16">
      <c r="C12" t="s">
        <v>340</v>
      </c>
      <c r="K12" s="74">
        <v>427</v>
      </c>
      <c r="L12" s="73"/>
      <c r="M12" s="73"/>
      <c r="N12" s="189"/>
      <c r="O12" s="73"/>
      <c r="P12" s="73">
        <f t="shared" si="0"/>
        <v>427</v>
      </c>
    </row>
    <row r="13" spans="1:16">
      <c r="C13" t="s">
        <v>47</v>
      </c>
      <c r="K13" s="74">
        <v>405486</v>
      </c>
      <c r="L13" s="73">
        <v>80287</v>
      </c>
      <c r="M13" s="73"/>
      <c r="N13" s="189"/>
      <c r="O13" s="73">
        <v>35357</v>
      </c>
      <c r="P13" s="73">
        <f t="shared" si="0"/>
        <v>521130</v>
      </c>
    </row>
    <row r="14" spans="1:16">
      <c r="B14" t="s">
        <v>16</v>
      </c>
      <c r="K14" s="75">
        <v>6925</v>
      </c>
      <c r="L14" s="73">
        <v>50636</v>
      </c>
      <c r="M14" s="73">
        <v>3569261</v>
      </c>
      <c r="N14" s="189"/>
      <c r="O14" s="73">
        <v>1951716</v>
      </c>
      <c r="P14" s="73">
        <f t="shared" si="0"/>
        <v>5578538</v>
      </c>
    </row>
    <row r="15" spans="1:16">
      <c r="B15" t="s">
        <v>61</v>
      </c>
      <c r="K15" s="75">
        <v>868931</v>
      </c>
      <c r="L15" s="73">
        <v>2906022</v>
      </c>
      <c r="M15" s="73"/>
      <c r="N15" s="189"/>
      <c r="O15" s="73">
        <v>1668340</v>
      </c>
      <c r="P15" s="73">
        <f t="shared" si="0"/>
        <v>5443293</v>
      </c>
    </row>
    <row r="16" spans="1:16">
      <c r="B16" t="s">
        <v>652</v>
      </c>
      <c r="K16" s="83">
        <v>449093</v>
      </c>
      <c r="L16" s="73">
        <v>1200</v>
      </c>
      <c r="M16" s="73"/>
      <c r="N16" s="189"/>
      <c r="O16" s="73">
        <v>24654</v>
      </c>
      <c r="P16" s="73">
        <f t="shared" si="0"/>
        <v>474947</v>
      </c>
    </row>
    <row r="17" spans="1:16">
      <c r="B17" t="s">
        <v>126</v>
      </c>
      <c r="K17" s="82">
        <v>2095</v>
      </c>
      <c r="L17" s="73">
        <v>1125</v>
      </c>
      <c r="M17" s="73"/>
      <c r="N17" s="189"/>
      <c r="O17" s="73">
        <v>1050</v>
      </c>
      <c r="P17" s="73">
        <f t="shared" si="0"/>
        <v>4270</v>
      </c>
    </row>
    <row r="18" spans="1:16">
      <c r="K18" s="73"/>
      <c r="L18" s="73"/>
      <c r="M18" s="73"/>
      <c r="N18" s="73"/>
      <c r="O18" s="73"/>
      <c r="P18" s="73"/>
    </row>
    <row r="19" spans="1:16" s="3" customFormat="1">
      <c r="A19" s="2"/>
      <c r="B19" s="2"/>
      <c r="C19" s="2"/>
      <c r="D19" s="2"/>
      <c r="E19" s="2" t="s">
        <v>64</v>
      </c>
      <c r="K19" s="76">
        <f t="shared" ref="K19:P19" si="1">SUM(K7:K17)</f>
        <v>44752086</v>
      </c>
      <c r="L19" s="76">
        <f t="shared" si="1"/>
        <v>43192109</v>
      </c>
      <c r="M19" s="76">
        <f t="shared" si="1"/>
        <v>8442911</v>
      </c>
      <c r="N19" s="76">
        <f t="shared" si="1"/>
        <v>6738111</v>
      </c>
      <c r="O19" s="76">
        <f t="shared" si="1"/>
        <v>20271706</v>
      </c>
      <c r="P19" s="76">
        <f t="shared" si="1"/>
        <v>123396923</v>
      </c>
    </row>
    <row r="20" spans="1:16">
      <c r="K20" s="73"/>
      <c r="L20" s="73"/>
      <c r="M20" s="73"/>
      <c r="N20" s="73"/>
      <c r="O20" s="73"/>
      <c r="P20" s="73"/>
    </row>
    <row r="21" spans="1:16">
      <c r="A21" s="4" t="s">
        <v>19</v>
      </c>
      <c r="K21" s="73"/>
      <c r="L21" s="73"/>
      <c r="M21" s="73"/>
      <c r="N21" s="73"/>
      <c r="O21" s="73"/>
      <c r="P21" s="73"/>
    </row>
    <row r="22" spans="1:16">
      <c r="B22" t="s">
        <v>20</v>
      </c>
      <c r="K22" s="73"/>
      <c r="L22" s="73"/>
      <c r="M22" s="73"/>
      <c r="N22" s="73"/>
      <c r="O22" s="73"/>
      <c r="P22" s="73"/>
    </row>
    <row r="23" spans="1:16">
      <c r="D23" t="s">
        <v>21</v>
      </c>
      <c r="K23" s="77">
        <v>2260493</v>
      </c>
      <c r="L23" s="73">
        <v>1967067</v>
      </c>
      <c r="M23" s="73"/>
      <c r="N23" s="73"/>
      <c r="O23" s="73">
        <v>1203528</v>
      </c>
      <c r="P23" s="73">
        <f t="shared" ref="P23:P28" si="2">SUM(K23:O23)</f>
        <v>5431088</v>
      </c>
    </row>
    <row r="24" spans="1:16">
      <c r="D24" t="s">
        <v>95</v>
      </c>
      <c r="L24" s="73">
        <v>267309</v>
      </c>
      <c r="M24" s="73"/>
      <c r="N24" s="73"/>
      <c r="O24" s="73">
        <v>55919</v>
      </c>
      <c r="P24" s="73">
        <f t="shared" si="2"/>
        <v>323228</v>
      </c>
    </row>
    <row r="25" spans="1:16">
      <c r="D25" t="s">
        <v>25</v>
      </c>
      <c r="K25" s="78">
        <v>1920861</v>
      </c>
      <c r="L25" s="73">
        <v>30814</v>
      </c>
      <c r="M25" s="73"/>
      <c r="N25" s="73"/>
      <c r="O25" s="73">
        <v>3626863</v>
      </c>
      <c r="P25" s="73">
        <f t="shared" si="2"/>
        <v>5578538</v>
      </c>
    </row>
    <row r="26" spans="1:16">
      <c r="D26" t="s">
        <v>198</v>
      </c>
      <c r="K26" s="73"/>
      <c r="L26" s="73"/>
      <c r="M26" s="73"/>
      <c r="N26" s="73"/>
      <c r="O26" s="73">
        <v>3829</v>
      </c>
      <c r="P26" s="73">
        <f t="shared" si="2"/>
        <v>3829</v>
      </c>
    </row>
    <row r="27" spans="1:16">
      <c r="D27" t="s">
        <v>99</v>
      </c>
      <c r="K27" s="78">
        <v>105297</v>
      </c>
      <c r="L27" s="73">
        <v>109925</v>
      </c>
      <c r="M27" s="73"/>
      <c r="N27" s="73"/>
      <c r="O27" s="73">
        <v>269729</v>
      </c>
      <c r="P27" s="73">
        <f t="shared" si="2"/>
        <v>484951</v>
      </c>
    </row>
    <row r="28" spans="1:16">
      <c r="D28" t="s">
        <v>128</v>
      </c>
      <c r="K28" s="82">
        <v>693821</v>
      </c>
      <c r="L28" s="73">
        <v>313694</v>
      </c>
      <c r="M28" s="73"/>
      <c r="N28" s="73"/>
      <c r="O28" s="73">
        <v>136675</v>
      </c>
      <c r="P28" s="73">
        <f t="shared" si="2"/>
        <v>1144190</v>
      </c>
    </row>
    <row r="29" spans="1:16">
      <c r="K29" s="73"/>
      <c r="L29" s="73"/>
      <c r="M29" s="73"/>
      <c r="N29" s="73"/>
      <c r="O29" s="73"/>
      <c r="P29" s="73"/>
    </row>
    <row r="30" spans="1:16" s="5" customFormat="1">
      <c r="B30" s="6"/>
      <c r="C30" s="6"/>
      <c r="D30" s="6"/>
      <c r="E30" s="6" t="s">
        <v>26</v>
      </c>
      <c r="K30" s="79">
        <f>SUM(K23:K28)</f>
        <v>4980472</v>
      </c>
      <c r="L30" s="79">
        <f>SUM(L23:L28)</f>
        <v>2688809</v>
      </c>
      <c r="M30" s="79">
        <f t="shared" ref="M30:N30" si="3">SUM(M23:M28)</f>
        <v>0</v>
      </c>
      <c r="N30" s="79">
        <f t="shared" si="3"/>
        <v>0</v>
      </c>
      <c r="O30" s="79">
        <f>SUM(O23:O28)</f>
        <v>5296543</v>
      </c>
      <c r="P30" s="79">
        <f>SUM(P23:P28)</f>
        <v>12965824</v>
      </c>
    </row>
    <row r="31" spans="1:16">
      <c r="K31" s="73"/>
      <c r="L31" s="73"/>
      <c r="M31" s="73"/>
      <c r="N31" s="73"/>
      <c r="O31" s="73"/>
      <c r="P31" s="73"/>
    </row>
    <row r="32" spans="1:16">
      <c r="A32" s="71" t="s">
        <v>27</v>
      </c>
      <c r="K32" s="73"/>
      <c r="L32" s="73"/>
      <c r="M32" s="73"/>
      <c r="N32" s="73"/>
      <c r="O32" s="73"/>
      <c r="P32" s="73"/>
    </row>
    <row r="33" spans="2:16">
      <c r="D33" t="s">
        <v>503</v>
      </c>
      <c r="K33" s="73">
        <v>4018537</v>
      </c>
      <c r="L33" s="73">
        <v>7282527</v>
      </c>
      <c r="M33" s="73">
        <v>4873650</v>
      </c>
      <c r="N33" s="73">
        <v>2680515</v>
      </c>
      <c r="O33" s="73">
        <v>7421978</v>
      </c>
      <c r="P33" s="73">
        <f>SUM(K33:O33)</f>
        <v>26277207</v>
      </c>
    </row>
    <row r="34" spans="2:16">
      <c r="D34" t="s">
        <v>585</v>
      </c>
      <c r="K34" s="73"/>
      <c r="L34" s="73">
        <v>1524067</v>
      </c>
      <c r="M34" s="73"/>
      <c r="N34" s="73"/>
      <c r="O34" s="73"/>
      <c r="P34" s="73">
        <f>SUM(K34:O34)</f>
        <v>1524067</v>
      </c>
    </row>
    <row r="35" spans="2:16">
      <c r="K35" s="73"/>
      <c r="L35" s="73"/>
      <c r="M35" s="73"/>
      <c r="N35" s="73"/>
      <c r="O35" s="73"/>
      <c r="P35" s="73"/>
    </row>
    <row r="36" spans="2:16" s="5" customFormat="1">
      <c r="B36" s="6"/>
      <c r="C36" s="6"/>
      <c r="D36" s="6"/>
      <c r="E36" s="6" t="s">
        <v>549</v>
      </c>
      <c r="K36" s="79">
        <f>SUM(K33:K34)</f>
        <v>4018537</v>
      </c>
      <c r="L36" s="79">
        <f>SUM(L33:L34)</f>
        <v>8806594</v>
      </c>
      <c r="M36" s="79">
        <f t="shared" ref="M36:P36" si="4">SUM(M33:M34)</f>
        <v>4873650</v>
      </c>
      <c r="N36" s="79">
        <f t="shared" si="4"/>
        <v>2680515</v>
      </c>
      <c r="O36" s="79">
        <f t="shared" si="4"/>
        <v>7421978</v>
      </c>
      <c r="P36" s="79">
        <f t="shared" si="4"/>
        <v>27801274</v>
      </c>
    </row>
    <row r="37" spans="2:16">
      <c r="K37" s="73"/>
      <c r="L37" s="73"/>
      <c r="M37" s="73"/>
      <c r="N37" s="73"/>
      <c r="O37" s="73"/>
      <c r="P37" s="73"/>
    </row>
    <row r="38" spans="2:16">
      <c r="B38" t="s">
        <v>30</v>
      </c>
      <c r="K38" s="73"/>
      <c r="L38" s="73"/>
      <c r="M38" s="73"/>
      <c r="N38" s="73"/>
      <c r="O38" s="73"/>
      <c r="P38" s="73"/>
    </row>
    <row r="39" spans="2:16">
      <c r="C39" t="s">
        <v>633</v>
      </c>
      <c r="K39" s="80">
        <v>449093</v>
      </c>
      <c r="L39" s="73">
        <v>1200</v>
      </c>
      <c r="M39" s="73"/>
      <c r="N39" s="73"/>
      <c r="O39" s="73">
        <v>24654</v>
      </c>
      <c r="P39" s="73">
        <f>SUM(K39:O39)</f>
        <v>474947</v>
      </c>
    </row>
    <row r="40" spans="2:16">
      <c r="C40" t="s">
        <v>129</v>
      </c>
      <c r="K40" s="80">
        <v>718977</v>
      </c>
      <c r="L40" s="73">
        <v>28679452</v>
      </c>
      <c r="M40" s="73">
        <v>3569261</v>
      </c>
      <c r="N40" s="73">
        <v>4057596</v>
      </c>
      <c r="O40" s="73">
        <v>5317012</v>
      </c>
      <c r="P40" s="73">
        <f>SUM(K40:O40)</f>
        <v>42342298</v>
      </c>
    </row>
    <row r="41" spans="2:16">
      <c r="C41" t="s">
        <v>653</v>
      </c>
      <c r="K41" s="80">
        <v>12381828</v>
      </c>
      <c r="L41" s="73">
        <v>3016054</v>
      </c>
      <c r="M41" s="73"/>
      <c r="N41" s="73"/>
      <c r="O41" s="73">
        <v>2191497</v>
      </c>
      <c r="P41" s="73">
        <f>SUM(K41:O41)</f>
        <v>17589379</v>
      </c>
    </row>
    <row r="42" spans="2:16">
      <c r="C42" t="s">
        <v>130</v>
      </c>
      <c r="K42" s="190">
        <v>27758632</v>
      </c>
      <c r="L42" s="73"/>
      <c r="M42" s="73"/>
      <c r="N42" s="73"/>
      <c r="O42" s="73">
        <v>22377</v>
      </c>
      <c r="P42" s="73">
        <f>SUM(K42:O42)</f>
        <v>27781009</v>
      </c>
    </row>
    <row r="43" spans="2:16">
      <c r="C43" t="s">
        <v>48</v>
      </c>
      <c r="K43" s="84">
        <v>-2555453</v>
      </c>
      <c r="L43" s="73"/>
      <c r="M43" s="73"/>
      <c r="N43" s="73"/>
      <c r="O43" s="73">
        <v>-2355</v>
      </c>
      <c r="P43" s="73">
        <f>SUM(K43:O43)</f>
        <v>-2557808</v>
      </c>
    </row>
    <row r="44" spans="2:16">
      <c r="K44" s="73"/>
      <c r="L44" s="73"/>
      <c r="M44" s="73"/>
      <c r="N44" s="73"/>
      <c r="O44" s="73"/>
      <c r="P44" s="73"/>
    </row>
    <row r="45" spans="2:16" s="5" customFormat="1">
      <c r="D45" s="6"/>
      <c r="E45" s="6" t="s">
        <v>49</v>
      </c>
      <c r="K45" s="79">
        <f t="shared" ref="K45:P45" si="5">SUM(K39:K43)</f>
        <v>38753077</v>
      </c>
      <c r="L45" s="79">
        <f t="shared" si="5"/>
        <v>31696706</v>
      </c>
      <c r="M45" s="79">
        <f t="shared" si="5"/>
        <v>3569261</v>
      </c>
      <c r="N45" s="79">
        <f t="shared" si="5"/>
        <v>4057596</v>
      </c>
      <c r="O45" s="79">
        <f t="shared" si="5"/>
        <v>7553185</v>
      </c>
      <c r="P45" s="79">
        <f t="shared" si="5"/>
        <v>85629825</v>
      </c>
    </row>
    <row r="46" spans="2:16">
      <c r="K46" s="73"/>
      <c r="L46" s="73"/>
      <c r="M46" s="73"/>
      <c r="N46" s="73"/>
      <c r="O46" s="73"/>
      <c r="P46" s="73"/>
    </row>
    <row r="47" spans="2:16" s="7" customFormat="1">
      <c r="D47" s="8"/>
      <c r="E47" s="8" t="s">
        <v>50</v>
      </c>
      <c r="K47" s="81">
        <f t="shared" ref="K47:P47" si="6">SUM(K45,K30,K36)</f>
        <v>47752086</v>
      </c>
      <c r="L47" s="81">
        <f t="shared" si="6"/>
        <v>43192109</v>
      </c>
      <c r="M47" s="81">
        <f t="shared" si="6"/>
        <v>8442911</v>
      </c>
      <c r="N47" s="81">
        <f t="shared" si="6"/>
        <v>6738111</v>
      </c>
      <c r="O47" s="81">
        <f t="shared" si="6"/>
        <v>20271706</v>
      </c>
      <c r="P47" s="81">
        <f t="shared" si="6"/>
        <v>126396923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R29"/>
  <sheetViews>
    <sheetView zoomScaleNormal="100" workbookViewId="0">
      <selection activeCell="T25" sqref="T25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6.42578125" customWidth="1"/>
    <col min="13" max="13" width="15.28515625" customWidth="1"/>
    <col min="14" max="16" width="19" customWidth="1"/>
    <col min="17" max="17" width="18.42578125" customWidth="1"/>
    <col min="18" max="18" width="17.7109375" customWidth="1"/>
  </cols>
  <sheetData>
    <row r="1" spans="1:18" ht="18.75">
      <c r="D1" s="253" t="s">
        <v>654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8">
      <c r="D3" s="57"/>
      <c r="E3" s="57"/>
      <c r="F3" s="57"/>
      <c r="G3" s="57"/>
      <c r="H3" s="57"/>
      <c r="I3" s="57"/>
      <c r="J3" s="57"/>
      <c r="K3" s="57"/>
    </row>
    <row r="4" spans="1:18">
      <c r="K4" s="109"/>
      <c r="L4" s="265" t="s">
        <v>281</v>
      </c>
      <c r="M4" s="265"/>
      <c r="N4" s="265"/>
      <c r="O4" s="183"/>
      <c r="P4" s="183"/>
      <c r="Q4" s="218" t="s">
        <v>532</v>
      </c>
    </row>
    <row r="5" spans="1:18" ht="45">
      <c r="K5" s="1" t="s">
        <v>2</v>
      </c>
      <c r="L5" s="1" t="s">
        <v>655</v>
      </c>
      <c r="M5" s="1" t="s">
        <v>53</v>
      </c>
      <c r="N5" s="1" t="s">
        <v>4</v>
      </c>
      <c r="O5" s="1" t="s">
        <v>656</v>
      </c>
      <c r="P5" s="1" t="s">
        <v>657</v>
      </c>
      <c r="Q5" s="1" t="s">
        <v>6</v>
      </c>
      <c r="R5" s="1" t="s">
        <v>7</v>
      </c>
    </row>
    <row r="6" spans="1:18">
      <c r="A6" t="s">
        <v>8</v>
      </c>
    </row>
    <row r="7" spans="1:18">
      <c r="B7" t="s">
        <v>476</v>
      </c>
      <c r="K7" s="72">
        <v>118204</v>
      </c>
      <c r="L7" s="73">
        <v>2417350</v>
      </c>
      <c r="M7" s="73">
        <v>52288</v>
      </c>
      <c r="N7" s="73">
        <v>901302</v>
      </c>
      <c r="O7" s="73"/>
      <c r="P7" s="73"/>
      <c r="Q7" s="73">
        <v>2642325</v>
      </c>
      <c r="R7" s="73">
        <f>SUM(K7:Q7)</f>
        <v>6131469</v>
      </c>
    </row>
    <row r="8" spans="1:18">
      <c r="B8" t="s">
        <v>10</v>
      </c>
      <c r="K8" s="73"/>
      <c r="L8" s="73"/>
      <c r="M8" s="73"/>
      <c r="N8" s="73"/>
      <c r="O8" s="73"/>
      <c r="P8" s="73"/>
      <c r="Q8" s="73">
        <v>154282</v>
      </c>
      <c r="R8" s="73">
        <f>SUM(K8:Q8)</f>
        <v>154282</v>
      </c>
    </row>
    <row r="9" spans="1:18">
      <c r="B9" t="s">
        <v>140</v>
      </c>
      <c r="K9" s="74">
        <v>397130</v>
      </c>
      <c r="L9" s="73">
        <v>575401</v>
      </c>
      <c r="M9" s="73">
        <v>54258</v>
      </c>
      <c r="N9" s="73">
        <v>54258</v>
      </c>
      <c r="O9" s="73">
        <v>8444</v>
      </c>
      <c r="P9" s="73">
        <v>48831</v>
      </c>
      <c r="Q9" s="73">
        <v>1372129</v>
      </c>
      <c r="R9" s="73">
        <f>SUM(K9:Q9)</f>
        <v>2510451</v>
      </c>
    </row>
    <row r="10" spans="1:18">
      <c r="B10" t="s">
        <v>16</v>
      </c>
      <c r="K10" s="75">
        <v>79351</v>
      </c>
      <c r="L10" s="73"/>
      <c r="M10" s="73"/>
      <c r="N10" s="73"/>
      <c r="O10" s="73"/>
      <c r="P10" s="73"/>
      <c r="Q10" s="73"/>
      <c r="R10" s="73">
        <f>SUM(K10:Q10)</f>
        <v>79351</v>
      </c>
    </row>
    <row r="11" spans="1:18">
      <c r="B11" t="s">
        <v>180</v>
      </c>
      <c r="K11" s="73"/>
      <c r="L11" s="73"/>
      <c r="M11" s="73"/>
      <c r="N11" s="73"/>
      <c r="O11" s="73">
        <v>1</v>
      </c>
      <c r="P11" s="73">
        <v>1</v>
      </c>
      <c r="Q11" s="73">
        <v>393910</v>
      </c>
      <c r="R11" s="73">
        <f>SUM(K11:Q11)</f>
        <v>393912</v>
      </c>
    </row>
    <row r="12" spans="1:18">
      <c r="K12" s="73"/>
      <c r="L12" s="73"/>
      <c r="M12" s="73"/>
      <c r="N12" s="73"/>
      <c r="O12" s="73"/>
      <c r="P12" s="73"/>
      <c r="Q12" s="73"/>
      <c r="R12" s="73"/>
    </row>
    <row r="13" spans="1:18" s="3" customFormat="1">
      <c r="A13" s="2"/>
      <c r="B13" s="2"/>
      <c r="C13" s="2"/>
      <c r="D13" s="2"/>
      <c r="E13" s="2" t="s">
        <v>18</v>
      </c>
      <c r="K13" s="76">
        <f t="shared" ref="K13:P13" si="0">SUM(K7:K12)</f>
        <v>594685</v>
      </c>
      <c r="L13" s="76">
        <f t="shared" si="0"/>
        <v>2992751</v>
      </c>
      <c r="M13" s="76">
        <f t="shared" si="0"/>
        <v>106546</v>
      </c>
      <c r="N13" s="76">
        <f t="shared" si="0"/>
        <v>955560</v>
      </c>
      <c r="O13" s="76">
        <f t="shared" si="0"/>
        <v>8445</v>
      </c>
      <c r="P13" s="76">
        <f t="shared" si="0"/>
        <v>48832</v>
      </c>
      <c r="Q13" s="76">
        <f>SUM(Q7:Q12)</f>
        <v>4562646</v>
      </c>
      <c r="R13" s="76">
        <f>SUM(R7:R11)</f>
        <v>9269465</v>
      </c>
    </row>
    <row r="14" spans="1:18">
      <c r="K14" s="73"/>
      <c r="L14" s="73"/>
      <c r="M14" s="73"/>
      <c r="N14" s="73"/>
      <c r="O14" s="73"/>
      <c r="P14" s="73"/>
      <c r="Q14" s="73"/>
      <c r="R14" s="73"/>
    </row>
    <row r="15" spans="1:18">
      <c r="A15" s="4" t="s">
        <v>19</v>
      </c>
      <c r="K15" s="73"/>
      <c r="L15" s="73"/>
      <c r="M15" s="73"/>
      <c r="N15" s="73"/>
      <c r="O15" s="73"/>
      <c r="P15" s="73"/>
      <c r="Q15" s="73"/>
      <c r="R15" s="73"/>
    </row>
    <row r="16" spans="1:18">
      <c r="B16" t="s">
        <v>20</v>
      </c>
      <c r="K16" s="73"/>
      <c r="L16" s="73"/>
      <c r="M16" s="73"/>
      <c r="N16" s="73"/>
      <c r="O16" s="73"/>
      <c r="P16" s="73"/>
      <c r="Q16" s="73"/>
      <c r="R16" s="73"/>
    </row>
    <row r="17" spans="2:18">
      <c r="C17" t="s">
        <v>21</v>
      </c>
      <c r="K17" s="77">
        <v>73272</v>
      </c>
      <c r="L17" s="73">
        <v>201844</v>
      </c>
      <c r="M17" s="73">
        <v>255</v>
      </c>
      <c r="N17" s="73"/>
      <c r="O17" s="73">
        <v>55550</v>
      </c>
      <c r="P17" s="73">
        <v>49471</v>
      </c>
      <c r="Q17" s="73">
        <v>67318</v>
      </c>
      <c r="R17" s="73">
        <f>SUM(K17:Q17)</f>
        <v>447710</v>
      </c>
    </row>
    <row r="18" spans="2:18">
      <c r="C18" t="s">
        <v>658</v>
      </c>
      <c r="K18" s="82">
        <v>3944</v>
      </c>
      <c r="L18" s="73">
        <v>16783</v>
      </c>
      <c r="M18" s="73"/>
      <c r="N18" s="73"/>
      <c r="O18" s="73"/>
      <c r="P18" s="73"/>
      <c r="Q18" s="73">
        <v>42606</v>
      </c>
      <c r="R18" s="73">
        <f>SUM(K18:Q18)</f>
        <v>63333</v>
      </c>
    </row>
    <row r="19" spans="2:18">
      <c r="C19" t="s">
        <v>25</v>
      </c>
      <c r="K19" s="73"/>
      <c r="L19" s="73"/>
      <c r="M19" s="73"/>
      <c r="N19" s="73"/>
      <c r="O19" s="73">
        <v>17536</v>
      </c>
      <c r="P19" s="73">
        <v>33422</v>
      </c>
      <c r="Q19" s="73">
        <v>28393</v>
      </c>
      <c r="R19" s="73">
        <f>SUM(K19:Q19)</f>
        <v>79351</v>
      </c>
    </row>
    <row r="20" spans="2:18">
      <c r="K20" s="73"/>
      <c r="L20" s="73"/>
      <c r="M20" s="73"/>
      <c r="N20" s="73"/>
      <c r="O20" s="73"/>
      <c r="P20" s="73"/>
      <c r="Q20" s="73"/>
      <c r="R20" s="73"/>
    </row>
    <row r="21" spans="2:18" s="5" customFormat="1">
      <c r="B21" s="6"/>
      <c r="C21" s="6"/>
      <c r="D21" s="6"/>
      <c r="E21" s="6" t="s">
        <v>26</v>
      </c>
      <c r="K21" s="79">
        <f t="shared" ref="K21:R21" si="1">SUM(K17:K19)</f>
        <v>77216</v>
      </c>
      <c r="L21" s="79">
        <f t="shared" si="1"/>
        <v>218627</v>
      </c>
      <c r="M21" s="79">
        <f t="shared" si="1"/>
        <v>255</v>
      </c>
      <c r="N21" s="79">
        <f t="shared" si="1"/>
        <v>0</v>
      </c>
      <c r="O21" s="79">
        <f t="shared" si="1"/>
        <v>73086</v>
      </c>
      <c r="P21" s="79">
        <f t="shared" si="1"/>
        <v>82893</v>
      </c>
      <c r="Q21" s="79">
        <f t="shared" si="1"/>
        <v>138317</v>
      </c>
      <c r="R21" s="79">
        <f t="shared" si="1"/>
        <v>590394</v>
      </c>
    </row>
    <row r="22" spans="2:18">
      <c r="K22" s="73"/>
      <c r="L22" s="73"/>
      <c r="M22" s="73"/>
      <c r="N22" s="73"/>
      <c r="O22" s="73"/>
      <c r="P22" s="73"/>
      <c r="Q22" s="73"/>
      <c r="R22" s="73"/>
    </row>
    <row r="23" spans="2:18">
      <c r="B23" t="s">
        <v>30</v>
      </c>
      <c r="K23" s="73"/>
      <c r="L23" s="73"/>
      <c r="M23" s="73"/>
      <c r="N23" s="73"/>
      <c r="O23" s="73"/>
      <c r="P23" s="73"/>
      <c r="Q23" s="73"/>
      <c r="R23" s="73"/>
    </row>
    <row r="24" spans="2:18">
      <c r="C24" t="s">
        <v>129</v>
      </c>
      <c r="K24" s="73"/>
      <c r="L24" s="73">
        <v>2774124</v>
      </c>
      <c r="M24" s="73">
        <v>106291</v>
      </c>
      <c r="N24" s="73">
        <v>955560</v>
      </c>
      <c r="O24" s="73"/>
      <c r="P24" s="73"/>
      <c r="Q24" s="73">
        <v>4440992</v>
      </c>
      <c r="R24" s="73">
        <f>SUM(K24:Q24)</f>
        <v>8276967</v>
      </c>
    </row>
    <row r="25" spans="2:18">
      <c r="C25" t="s">
        <v>48</v>
      </c>
      <c r="K25" s="84">
        <v>517469</v>
      </c>
      <c r="L25" s="73"/>
      <c r="M25" s="73"/>
      <c r="N25" s="73"/>
      <c r="O25" s="73">
        <v>-64641</v>
      </c>
      <c r="P25" s="73">
        <v>-34061</v>
      </c>
      <c r="Q25" s="73">
        <v>-16663</v>
      </c>
      <c r="R25" s="73">
        <f>SUM(K25:Q25)</f>
        <v>402104</v>
      </c>
    </row>
    <row r="26" spans="2:18">
      <c r="K26" s="73"/>
      <c r="L26" s="73"/>
      <c r="M26" s="73"/>
      <c r="N26" s="73"/>
      <c r="O26" s="73"/>
      <c r="P26" s="73"/>
      <c r="Q26" s="73"/>
      <c r="R26" s="73"/>
    </row>
    <row r="27" spans="2:18" s="5" customFormat="1">
      <c r="D27" s="6"/>
      <c r="E27" s="6" t="s">
        <v>659</v>
      </c>
      <c r="K27" s="79">
        <f t="shared" ref="K27:R27" si="2">SUM(K24:K25)</f>
        <v>517469</v>
      </c>
      <c r="L27" s="79">
        <f t="shared" si="2"/>
        <v>2774124</v>
      </c>
      <c r="M27" s="79">
        <f t="shared" si="2"/>
        <v>106291</v>
      </c>
      <c r="N27" s="79">
        <f t="shared" si="2"/>
        <v>955560</v>
      </c>
      <c r="O27" s="79">
        <f t="shared" si="2"/>
        <v>-64641</v>
      </c>
      <c r="P27" s="79"/>
      <c r="Q27" s="79">
        <f t="shared" si="2"/>
        <v>4424329</v>
      </c>
      <c r="R27" s="79">
        <f t="shared" si="2"/>
        <v>8679071</v>
      </c>
    </row>
    <row r="28" spans="2:18">
      <c r="K28" s="73"/>
      <c r="L28" s="73"/>
      <c r="M28" s="73"/>
      <c r="N28" s="73"/>
      <c r="O28" s="73"/>
      <c r="P28" s="73"/>
      <c r="Q28" s="73"/>
      <c r="R28" s="73"/>
    </row>
    <row r="29" spans="2:18" s="7" customFormat="1">
      <c r="D29" s="8"/>
      <c r="E29" s="8" t="s">
        <v>50</v>
      </c>
      <c r="K29" s="81">
        <f>SUM(K27,K21)</f>
        <v>594685</v>
      </c>
      <c r="L29" s="81">
        <f>SUM(L21,L27)</f>
        <v>2992751</v>
      </c>
      <c r="M29" s="81">
        <f>SUM(M21,M27)</f>
        <v>106546</v>
      </c>
      <c r="N29" s="81">
        <f>SUM(N21+N27)</f>
        <v>955560</v>
      </c>
      <c r="O29" s="81">
        <f>SUM(O21+O27)</f>
        <v>8445</v>
      </c>
      <c r="P29" s="81"/>
      <c r="Q29" s="81">
        <f>SUM(Q21,Q27)</f>
        <v>4562646</v>
      </c>
      <c r="R29" s="81">
        <f>SUM(R21,R27)</f>
        <v>9269465</v>
      </c>
    </row>
  </sheetData>
  <mergeCells count="3">
    <mergeCell ref="D1:K1"/>
    <mergeCell ref="D2:K2"/>
    <mergeCell ref="L4:N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Q49"/>
  <sheetViews>
    <sheetView topLeftCell="A7" zoomScale="90" zoomScaleNormal="90" zoomScalePageLayoutView="80" workbookViewId="0">
      <selection activeCell="M49" sqref="M49:O49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2" width="16.42578125" customWidth="1"/>
    <col min="13" max="15" width="19.42578125" customWidth="1"/>
    <col min="16" max="16" width="18.42578125" customWidth="1"/>
    <col min="17" max="17" width="18" customWidth="1"/>
    <col min="18" max="18" width="18.28515625" customWidth="1"/>
  </cols>
  <sheetData>
    <row r="1" spans="1:17" ht="18.75">
      <c r="D1" s="253" t="s">
        <v>660</v>
      </c>
      <c r="E1" s="253"/>
      <c r="F1" s="253"/>
      <c r="G1" s="253"/>
      <c r="H1" s="253"/>
      <c r="I1" s="253"/>
      <c r="J1" s="253"/>
      <c r="K1" s="253"/>
    </row>
    <row r="2" spans="1:17">
      <c r="D2" s="254" t="s">
        <v>1</v>
      </c>
      <c r="E2" s="254"/>
      <c r="F2" s="254"/>
      <c r="G2" s="254"/>
      <c r="H2" s="254"/>
      <c r="I2" s="254"/>
      <c r="J2" s="254"/>
      <c r="K2" s="254"/>
    </row>
    <row r="3" spans="1:17" ht="29.25" customHeight="1">
      <c r="D3" s="57"/>
      <c r="E3" s="57"/>
      <c r="F3" s="57"/>
      <c r="G3" s="57"/>
      <c r="H3" s="57"/>
      <c r="I3" s="57"/>
      <c r="J3" s="57"/>
      <c r="K3" s="254"/>
      <c r="L3" s="254"/>
      <c r="M3" s="254"/>
      <c r="N3" s="57"/>
      <c r="O3" s="57"/>
    </row>
    <row r="4" spans="1:17" ht="15" customHeight="1">
      <c r="K4" s="181"/>
      <c r="L4" s="181"/>
      <c r="M4" s="181"/>
      <c r="N4" s="181"/>
      <c r="O4" s="181"/>
    </row>
    <row r="5" spans="1:17" ht="60">
      <c r="K5" s="1" t="s">
        <v>132</v>
      </c>
      <c r="L5" s="1" t="s">
        <v>661</v>
      </c>
      <c r="M5" s="1" t="s">
        <v>662</v>
      </c>
      <c r="N5" s="1" t="s">
        <v>246</v>
      </c>
      <c r="O5" s="1" t="s">
        <v>663</v>
      </c>
      <c r="P5" s="1" t="s">
        <v>58</v>
      </c>
      <c r="Q5" s="1" t="s">
        <v>7</v>
      </c>
    </row>
    <row r="6" spans="1:17">
      <c r="A6" s="86" t="s">
        <v>8</v>
      </c>
    </row>
    <row r="7" spans="1:17">
      <c r="B7" t="s">
        <v>85</v>
      </c>
      <c r="K7" s="72">
        <v>3680718</v>
      </c>
      <c r="L7" s="73">
        <v>1303863</v>
      </c>
      <c r="M7" s="73">
        <v>1384104</v>
      </c>
      <c r="N7" s="73">
        <v>460409</v>
      </c>
      <c r="O7" s="73">
        <v>7132</v>
      </c>
      <c r="P7" s="73">
        <v>10364231</v>
      </c>
      <c r="Q7" s="73">
        <f t="shared" ref="Q7:Q12" si="0">SUM(K7:P7)</f>
        <v>17200457</v>
      </c>
    </row>
    <row r="8" spans="1:17">
      <c r="B8" t="s">
        <v>10</v>
      </c>
      <c r="K8" s="77">
        <v>2709554</v>
      </c>
      <c r="L8" s="73">
        <v>3243105</v>
      </c>
      <c r="M8" s="73">
        <v>3011572</v>
      </c>
      <c r="N8" s="73">
        <v>1206783</v>
      </c>
      <c r="O8" s="73"/>
      <c r="P8" s="73">
        <v>8708487</v>
      </c>
      <c r="Q8" s="73">
        <f t="shared" si="0"/>
        <v>18879501</v>
      </c>
    </row>
    <row r="9" spans="1:17">
      <c r="B9" t="s">
        <v>574</v>
      </c>
      <c r="K9" s="74">
        <v>4968364</v>
      </c>
      <c r="L9" s="73">
        <v>2989445</v>
      </c>
      <c r="M9" s="73">
        <v>1653686</v>
      </c>
      <c r="N9" s="73">
        <v>2851738</v>
      </c>
      <c r="O9" s="73">
        <v>1595979</v>
      </c>
      <c r="P9" s="73">
        <v>7319333</v>
      </c>
      <c r="Q9" s="73">
        <f t="shared" si="0"/>
        <v>21378545</v>
      </c>
    </row>
    <row r="10" spans="1:17">
      <c r="B10" t="s">
        <v>16</v>
      </c>
      <c r="K10" s="75">
        <v>67784</v>
      </c>
      <c r="L10" s="73">
        <v>1142369</v>
      </c>
      <c r="M10" s="73">
        <v>122</v>
      </c>
      <c r="N10" s="73"/>
      <c r="O10" s="73"/>
      <c r="P10" s="73">
        <v>752480</v>
      </c>
      <c r="Q10" s="73">
        <f t="shared" si="0"/>
        <v>1962755</v>
      </c>
    </row>
    <row r="11" spans="1:17">
      <c r="B11" t="s">
        <v>142</v>
      </c>
      <c r="L11" s="73"/>
      <c r="M11" s="73"/>
      <c r="N11" s="73"/>
      <c r="O11" s="73"/>
      <c r="P11" s="73">
        <v>16476</v>
      </c>
      <c r="Q11" s="73">
        <f t="shared" si="0"/>
        <v>16476</v>
      </c>
    </row>
    <row r="12" spans="1:17">
      <c r="B12" t="s">
        <v>496</v>
      </c>
      <c r="K12" s="180">
        <v>36691</v>
      </c>
      <c r="L12" s="73"/>
      <c r="M12" s="73"/>
      <c r="N12" s="73"/>
      <c r="O12" s="73"/>
      <c r="P12" s="73"/>
      <c r="Q12" s="73">
        <f t="shared" si="0"/>
        <v>36691</v>
      </c>
    </row>
    <row r="13" spans="1:17">
      <c r="K13" s="73"/>
      <c r="L13" s="73"/>
      <c r="M13" s="73"/>
      <c r="N13" s="73"/>
      <c r="O13" s="73"/>
      <c r="P13" s="73"/>
      <c r="Q13" s="73"/>
    </row>
    <row r="14" spans="1:17" s="3" customFormat="1">
      <c r="A14" s="2"/>
      <c r="B14" s="2"/>
      <c r="C14" s="2"/>
      <c r="D14" s="2"/>
      <c r="E14" s="2" t="s">
        <v>64</v>
      </c>
      <c r="K14" s="76">
        <f>SUM(K7:K12)</f>
        <v>11463111</v>
      </c>
      <c r="L14" s="76">
        <f>SUM(L7:L10)</f>
        <v>8678782</v>
      </c>
      <c r="M14" s="76">
        <f>SUM(M7:M10)</f>
        <v>6049484</v>
      </c>
      <c r="N14" s="76">
        <f t="shared" ref="N14:O14" si="1">SUM(N7:N10)</f>
        <v>4518930</v>
      </c>
      <c r="O14" s="76">
        <f t="shared" si="1"/>
        <v>1603111</v>
      </c>
      <c r="P14" s="76">
        <f>SUM(P7:P11)</f>
        <v>27161007</v>
      </c>
      <c r="Q14" s="76">
        <f>SUM(Q7:Q12)</f>
        <v>59474425</v>
      </c>
    </row>
    <row r="15" spans="1:17">
      <c r="K15" s="73"/>
      <c r="L15" s="73"/>
      <c r="M15" s="73"/>
      <c r="N15" s="73"/>
      <c r="O15" s="73"/>
      <c r="P15" s="73"/>
      <c r="Q15" s="73"/>
    </row>
    <row r="16" spans="1:17">
      <c r="A16" s="4" t="s">
        <v>19</v>
      </c>
      <c r="K16" s="73"/>
      <c r="L16" s="73"/>
      <c r="M16" s="73"/>
      <c r="N16" s="73"/>
      <c r="O16" s="73"/>
      <c r="P16" s="73"/>
      <c r="Q16" s="73"/>
    </row>
    <row r="17" spans="2:17">
      <c r="B17" t="s">
        <v>20</v>
      </c>
      <c r="K17" s="73"/>
      <c r="L17" s="73"/>
      <c r="M17" s="73"/>
      <c r="N17" s="73"/>
      <c r="O17" s="73"/>
      <c r="P17" s="73"/>
      <c r="Q17" s="73"/>
    </row>
    <row r="18" spans="2:17">
      <c r="C18" t="s">
        <v>21</v>
      </c>
      <c r="K18" s="77">
        <v>969681</v>
      </c>
      <c r="L18" s="73">
        <v>199205</v>
      </c>
      <c r="M18" s="73">
        <v>151122</v>
      </c>
      <c r="N18" s="73">
        <v>119888</v>
      </c>
      <c r="O18" s="73">
        <v>602747</v>
      </c>
      <c r="P18" s="73">
        <v>1173622</v>
      </c>
      <c r="Q18" s="73">
        <f>SUM(K18:P18)</f>
        <v>3216265</v>
      </c>
    </row>
    <row r="19" spans="2:17">
      <c r="C19" t="s">
        <v>664</v>
      </c>
      <c r="K19" s="77">
        <v>553993</v>
      </c>
      <c r="L19" s="73">
        <v>12163</v>
      </c>
      <c r="M19" s="73">
        <v>8512</v>
      </c>
      <c r="N19" s="73">
        <v>22760</v>
      </c>
      <c r="O19" s="73"/>
      <c r="P19" s="73">
        <v>38263</v>
      </c>
      <c r="Q19" s="73">
        <f>SUM(K19:P19)</f>
        <v>635691</v>
      </c>
    </row>
    <row r="20" spans="2:17">
      <c r="C20" t="s">
        <v>25</v>
      </c>
      <c r="K20" s="78">
        <v>32316</v>
      </c>
      <c r="L20" s="73"/>
      <c r="M20" s="73"/>
      <c r="N20" s="73">
        <v>472147</v>
      </c>
      <c r="O20" s="73">
        <v>1282172</v>
      </c>
      <c r="P20" s="73">
        <v>250589</v>
      </c>
      <c r="Q20" s="73">
        <f>SUM(K20:P20)</f>
        <v>2037224</v>
      </c>
    </row>
    <row r="21" spans="2:17">
      <c r="C21" t="s">
        <v>393</v>
      </c>
      <c r="K21" s="78">
        <v>59386</v>
      </c>
      <c r="L21" s="73">
        <v>12036</v>
      </c>
      <c r="M21" s="73">
        <v>5298</v>
      </c>
      <c r="N21" s="73">
        <v>20900</v>
      </c>
      <c r="O21" s="73"/>
      <c r="P21" s="73">
        <v>68507</v>
      </c>
      <c r="Q21" s="73">
        <f>SUM(K21:P21)</f>
        <v>166127</v>
      </c>
    </row>
    <row r="22" spans="2:17">
      <c r="C22" t="s">
        <v>128</v>
      </c>
      <c r="K22" s="73"/>
      <c r="L22" s="73"/>
      <c r="M22" s="73"/>
      <c r="N22" s="73"/>
      <c r="O22" s="73"/>
      <c r="P22" s="73">
        <v>61456</v>
      </c>
      <c r="Q22" s="73">
        <f>SUM(K22:P22)</f>
        <v>61456</v>
      </c>
    </row>
    <row r="23" spans="2:17">
      <c r="K23" s="73"/>
      <c r="L23" s="73"/>
      <c r="M23" s="73"/>
      <c r="N23" s="73"/>
      <c r="O23" s="73"/>
      <c r="P23" s="73"/>
      <c r="Q23" s="73"/>
    </row>
    <row r="24" spans="2:17" s="5" customFormat="1">
      <c r="B24" s="6"/>
      <c r="C24" s="6"/>
      <c r="D24" s="6"/>
      <c r="E24" s="6" t="s">
        <v>26</v>
      </c>
      <c r="K24" s="79">
        <f t="shared" ref="K24:Q24" si="2">SUM(K18:K22)</f>
        <v>1615376</v>
      </c>
      <c r="L24" s="79">
        <f t="shared" si="2"/>
        <v>223404</v>
      </c>
      <c r="M24" s="79">
        <f t="shared" si="2"/>
        <v>164932</v>
      </c>
      <c r="N24" s="79">
        <f t="shared" si="2"/>
        <v>635695</v>
      </c>
      <c r="O24" s="79">
        <f t="shared" si="2"/>
        <v>1884919</v>
      </c>
      <c r="P24" s="79">
        <f t="shared" si="2"/>
        <v>1592437</v>
      </c>
      <c r="Q24" s="79">
        <f t="shared" si="2"/>
        <v>6116763</v>
      </c>
    </row>
    <row r="25" spans="2:17">
      <c r="K25" s="73"/>
      <c r="L25" s="73"/>
      <c r="M25" s="73"/>
      <c r="N25" s="73"/>
      <c r="O25" s="73"/>
      <c r="P25" s="73"/>
      <c r="Q25" s="73"/>
    </row>
    <row r="26" spans="2:17">
      <c r="B26" s="86" t="s">
        <v>30</v>
      </c>
      <c r="K26" s="73"/>
      <c r="L26" s="73"/>
      <c r="M26" s="73"/>
      <c r="N26" s="73"/>
      <c r="O26" s="73"/>
      <c r="P26" s="73"/>
      <c r="Q26" s="73"/>
    </row>
    <row r="27" spans="2:17">
      <c r="C27" t="s">
        <v>665</v>
      </c>
      <c r="K27" s="80">
        <v>36691</v>
      </c>
      <c r="L27" s="73"/>
      <c r="M27" s="73"/>
      <c r="N27" s="73"/>
      <c r="O27" s="73"/>
      <c r="P27" s="73">
        <v>16476</v>
      </c>
      <c r="Q27" s="73">
        <f>SUM(K27:P27)</f>
        <v>53167</v>
      </c>
    </row>
    <row r="28" spans="2:17">
      <c r="C28" t="s">
        <v>666</v>
      </c>
      <c r="K28" s="73"/>
      <c r="L28" s="73"/>
      <c r="M28" s="73"/>
      <c r="N28" s="73"/>
      <c r="O28" s="73"/>
      <c r="P28" s="73"/>
      <c r="Q28" s="73"/>
    </row>
    <row r="29" spans="2:17">
      <c r="D29" t="s">
        <v>115</v>
      </c>
      <c r="K29" s="73"/>
      <c r="L29" s="73"/>
      <c r="M29" s="73"/>
      <c r="N29" s="73"/>
      <c r="O29" s="73"/>
      <c r="P29" s="73">
        <v>7043866</v>
      </c>
      <c r="Q29" s="73">
        <f t="shared" ref="Q29:Q37" si="3">SUM(K29:P29)</f>
        <v>7043866</v>
      </c>
    </row>
    <row r="30" spans="2:17">
      <c r="D30" t="s">
        <v>74</v>
      </c>
      <c r="K30" s="73"/>
      <c r="L30" s="73"/>
      <c r="M30" s="73"/>
      <c r="N30" s="73"/>
      <c r="O30" s="73"/>
      <c r="P30" s="73">
        <v>1529209</v>
      </c>
      <c r="Q30" s="73">
        <f t="shared" si="3"/>
        <v>1529209</v>
      </c>
    </row>
    <row r="31" spans="2:17">
      <c r="D31" t="s">
        <v>44</v>
      </c>
      <c r="K31" s="73"/>
      <c r="L31" s="73"/>
      <c r="M31" s="73"/>
      <c r="N31" s="73"/>
      <c r="O31" s="73"/>
      <c r="P31" s="73">
        <v>898744</v>
      </c>
      <c r="Q31" s="73">
        <f t="shared" si="3"/>
        <v>898744</v>
      </c>
    </row>
    <row r="32" spans="2:17">
      <c r="D32" t="s">
        <v>147</v>
      </c>
      <c r="K32" s="80">
        <v>5685398</v>
      </c>
      <c r="L32" s="73"/>
      <c r="M32" s="73"/>
      <c r="N32" s="73"/>
      <c r="O32" s="73"/>
      <c r="P32" s="73">
        <v>1572203</v>
      </c>
      <c r="Q32" s="73">
        <f t="shared" si="3"/>
        <v>7257601</v>
      </c>
    </row>
    <row r="33" spans="3:17">
      <c r="D33" t="s">
        <v>667</v>
      </c>
      <c r="K33" s="73"/>
      <c r="L33" s="73"/>
      <c r="M33" s="73"/>
      <c r="N33" s="73">
        <v>3913778</v>
      </c>
      <c r="O33" s="73"/>
      <c r="P33" s="73">
        <v>1543151</v>
      </c>
      <c r="Q33" s="73">
        <f t="shared" si="3"/>
        <v>5456929</v>
      </c>
    </row>
    <row r="34" spans="3:17">
      <c r="D34" t="s">
        <v>165</v>
      </c>
      <c r="K34" s="73"/>
      <c r="L34" s="73"/>
      <c r="M34" s="73">
        <v>5884552</v>
      </c>
      <c r="N34" s="73"/>
      <c r="O34" s="73"/>
      <c r="P34" s="73">
        <v>8921467</v>
      </c>
      <c r="Q34" s="73">
        <f t="shared" si="3"/>
        <v>14806019</v>
      </c>
    </row>
    <row r="35" spans="3:17">
      <c r="D35" t="s">
        <v>73</v>
      </c>
      <c r="K35" s="73"/>
      <c r="L35" s="73"/>
      <c r="M35" s="73"/>
      <c r="N35" s="73"/>
      <c r="O35" s="73"/>
      <c r="P35" s="73">
        <v>3305887</v>
      </c>
      <c r="Q35" s="73">
        <f t="shared" si="3"/>
        <v>3305887</v>
      </c>
    </row>
    <row r="36" spans="3:17">
      <c r="D36" t="s">
        <v>668</v>
      </c>
      <c r="K36" s="73"/>
      <c r="L36" s="73">
        <v>8455378</v>
      </c>
      <c r="M36" s="73"/>
      <c r="N36" s="73"/>
      <c r="O36" s="73"/>
      <c r="P36" s="73"/>
      <c r="Q36" s="73">
        <f t="shared" si="3"/>
        <v>8455378</v>
      </c>
    </row>
    <row r="37" spans="3:17">
      <c r="D37" t="s">
        <v>113</v>
      </c>
      <c r="K37" s="73"/>
      <c r="L37" s="73"/>
      <c r="M37" s="73"/>
      <c r="N37" s="73"/>
      <c r="O37" s="73"/>
      <c r="P37" s="73">
        <v>5904</v>
      </c>
      <c r="Q37" s="73">
        <f t="shared" si="3"/>
        <v>5904</v>
      </c>
    </row>
    <row r="38" spans="3:17">
      <c r="C38" t="s">
        <v>669</v>
      </c>
      <c r="K38" s="73"/>
      <c r="L38" s="73"/>
      <c r="M38" s="73"/>
      <c r="N38" s="73"/>
      <c r="O38" s="73"/>
      <c r="P38" s="73"/>
    </row>
    <row r="39" spans="3:17">
      <c r="D39" t="s">
        <v>70</v>
      </c>
      <c r="K39" s="73"/>
      <c r="L39" s="73"/>
      <c r="M39" s="73"/>
      <c r="N39" s="73"/>
      <c r="O39" s="73"/>
      <c r="P39" s="73">
        <v>656497</v>
      </c>
      <c r="Q39" s="73">
        <f>SUM(K39:P39)</f>
        <v>656497</v>
      </c>
    </row>
    <row r="40" spans="3:17">
      <c r="D40" t="s">
        <v>667</v>
      </c>
      <c r="K40" s="73"/>
      <c r="L40" s="73"/>
      <c r="M40" s="73"/>
      <c r="N40" s="73"/>
      <c r="O40" s="73"/>
      <c r="P40" s="73">
        <v>45618</v>
      </c>
      <c r="Q40" s="73">
        <f>SUM(K40:P40)</f>
        <v>45618</v>
      </c>
    </row>
    <row r="41" spans="3:17">
      <c r="D41" t="s">
        <v>670</v>
      </c>
      <c r="K41" s="73"/>
      <c r="L41" s="73"/>
      <c r="M41" s="73"/>
      <c r="N41" s="73"/>
      <c r="O41" s="73"/>
      <c r="P41" s="73">
        <v>69572</v>
      </c>
      <c r="Q41" s="73">
        <f>SUM(K41:P41)</f>
        <v>69572</v>
      </c>
    </row>
    <row r="42" spans="3:17">
      <c r="C42" t="s">
        <v>671</v>
      </c>
      <c r="K42" s="73"/>
      <c r="L42" s="73"/>
      <c r="M42" s="73"/>
      <c r="N42" s="73"/>
      <c r="O42" s="73"/>
      <c r="P42" s="73"/>
    </row>
    <row r="43" spans="3:17">
      <c r="D43" t="s">
        <v>147</v>
      </c>
      <c r="K43" s="73"/>
      <c r="L43" s="73"/>
      <c r="M43" s="73"/>
      <c r="N43" s="73"/>
      <c r="O43" s="73"/>
      <c r="P43" s="73">
        <v>20843</v>
      </c>
      <c r="Q43" s="73">
        <f>SUM(K43:P43)</f>
        <v>20843</v>
      </c>
    </row>
    <row r="44" spans="3:17">
      <c r="D44" t="s">
        <v>113</v>
      </c>
      <c r="K44" s="73"/>
      <c r="L44" s="73"/>
      <c r="M44" s="73"/>
      <c r="N44" s="73"/>
      <c r="O44" s="73"/>
      <c r="P44" s="73">
        <v>44295</v>
      </c>
      <c r="Q44" s="73">
        <f>SUM(K44:P44)</f>
        <v>44295</v>
      </c>
    </row>
    <row r="45" spans="3:17">
      <c r="C45" t="s">
        <v>48</v>
      </c>
      <c r="K45" s="84">
        <v>4125646</v>
      </c>
      <c r="L45" s="73"/>
      <c r="M45" s="73"/>
      <c r="N45" s="73"/>
      <c r="O45" s="73">
        <v>-281808</v>
      </c>
      <c r="P45" s="73">
        <v>-105162</v>
      </c>
      <c r="Q45" s="73">
        <f>SUM(K45:P45)</f>
        <v>3738676</v>
      </c>
    </row>
    <row r="46" spans="3:17">
      <c r="K46" s="73"/>
      <c r="L46" s="73"/>
      <c r="M46" s="73"/>
      <c r="N46" s="73"/>
      <c r="O46" s="73"/>
      <c r="P46" s="73"/>
      <c r="Q46" s="73"/>
    </row>
    <row r="47" spans="3:17" s="5" customFormat="1">
      <c r="D47" s="6"/>
      <c r="E47" s="6" t="s">
        <v>78</v>
      </c>
      <c r="K47" s="79">
        <f>SUM(K27:K45)</f>
        <v>9847735</v>
      </c>
      <c r="L47" s="79">
        <f>SUM(L28:L45)</f>
        <v>8455378</v>
      </c>
      <c r="M47" s="79">
        <f>SUM(M28:M45)</f>
        <v>5884552</v>
      </c>
      <c r="N47" s="79">
        <f t="shared" ref="N47:O47" si="4">SUM(N28:N45)</f>
        <v>3913778</v>
      </c>
      <c r="O47" s="79">
        <f t="shared" si="4"/>
        <v>-281808</v>
      </c>
      <c r="P47" s="79">
        <f>SUM(P27:P45)</f>
        <v>25568570</v>
      </c>
      <c r="Q47" s="79">
        <f>SUM(Q27:Q46)</f>
        <v>53388205</v>
      </c>
    </row>
    <row r="48" spans="3:17">
      <c r="K48" s="73"/>
      <c r="L48" s="73"/>
      <c r="M48" s="73"/>
      <c r="N48" s="73"/>
      <c r="O48" s="73"/>
      <c r="P48" s="73"/>
      <c r="Q48" s="73"/>
    </row>
    <row r="49" spans="4:17" s="7" customFormat="1">
      <c r="D49" s="8"/>
      <c r="E49" s="8" t="s">
        <v>50</v>
      </c>
      <c r="K49" s="81">
        <f>SUM(K47,K24)</f>
        <v>11463111</v>
      </c>
      <c r="L49" s="81">
        <f>SUM(L24,L47)</f>
        <v>8678782</v>
      </c>
      <c r="M49" s="81">
        <f>SUM(M24,M47)</f>
        <v>6049484</v>
      </c>
      <c r="N49" s="81">
        <f t="shared" ref="N49:O49" si="5">SUM(N24,N47)</f>
        <v>4549473</v>
      </c>
      <c r="O49" s="81">
        <f t="shared" si="5"/>
        <v>1603111</v>
      </c>
      <c r="P49" s="81">
        <f>SUM(P47+P24)</f>
        <v>27161007</v>
      </c>
      <c r="Q49" s="81">
        <f>SUM(Q24+Q47)</f>
        <v>59504968</v>
      </c>
    </row>
  </sheetData>
  <mergeCells count="3">
    <mergeCell ref="D1:K1"/>
    <mergeCell ref="D2:K2"/>
    <mergeCell ref="K3:M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T40"/>
  <sheetViews>
    <sheetView topLeftCell="A7" zoomScaleNormal="100" workbookViewId="0">
      <selection activeCell="A27" sqref="A27:XFD30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7.42578125" customWidth="1"/>
    <col min="11" max="11" width="16.28515625" customWidth="1"/>
    <col min="12" max="13" width="16.42578125" customWidth="1"/>
    <col min="14" max="18" width="19" customWidth="1"/>
    <col min="19" max="19" width="19.42578125" customWidth="1"/>
    <col min="20" max="20" width="19.85546875" bestFit="1" customWidth="1"/>
  </cols>
  <sheetData>
    <row r="1" spans="1:20" ht="18.75">
      <c r="D1" s="253" t="s">
        <v>672</v>
      </c>
      <c r="E1" s="253"/>
      <c r="F1" s="253"/>
      <c r="G1" s="253"/>
      <c r="H1" s="253"/>
      <c r="I1" s="253"/>
      <c r="J1" s="253"/>
      <c r="K1" s="253"/>
    </row>
    <row r="2" spans="1:20">
      <c r="D2" s="254" t="s">
        <v>1</v>
      </c>
      <c r="E2" s="254"/>
      <c r="F2" s="254"/>
      <c r="G2" s="254"/>
      <c r="H2" s="254"/>
      <c r="I2" s="254"/>
      <c r="J2" s="254"/>
      <c r="K2" s="254"/>
    </row>
    <row r="4" spans="1:20" ht="45">
      <c r="K4" s="1" t="s">
        <v>52</v>
      </c>
      <c r="L4" s="1" t="s">
        <v>673</v>
      </c>
      <c r="M4" s="1" t="s">
        <v>339</v>
      </c>
      <c r="N4" s="1" t="s">
        <v>674</v>
      </c>
      <c r="O4" s="1" t="s">
        <v>675</v>
      </c>
      <c r="P4" s="1" t="s">
        <v>676</v>
      </c>
      <c r="Q4" s="1" t="s">
        <v>677</v>
      </c>
      <c r="R4" s="1" t="s">
        <v>678</v>
      </c>
      <c r="S4" s="1" t="s">
        <v>624</v>
      </c>
      <c r="T4" s="1" t="s">
        <v>7</v>
      </c>
    </row>
    <row r="5" spans="1:20">
      <c r="A5" s="86" t="s">
        <v>8</v>
      </c>
    </row>
    <row r="6" spans="1:20">
      <c r="B6" t="s">
        <v>85</v>
      </c>
      <c r="K6" s="72">
        <v>666991</v>
      </c>
      <c r="L6" s="73">
        <v>3993201</v>
      </c>
      <c r="M6" s="73">
        <v>1488984</v>
      </c>
      <c r="N6" s="73">
        <v>6315091</v>
      </c>
      <c r="O6" s="73">
        <v>12024796</v>
      </c>
      <c r="P6" s="73">
        <v>12318607</v>
      </c>
      <c r="Q6" s="73">
        <v>5482645</v>
      </c>
      <c r="R6" s="73"/>
      <c r="S6" s="73">
        <v>31081121</v>
      </c>
      <c r="T6" s="73">
        <f t="shared" ref="T6:T14" si="0">SUM(K6:S6)</f>
        <v>73371436</v>
      </c>
    </row>
    <row r="7" spans="1:20">
      <c r="B7" t="s">
        <v>679</v>
      </c>
      <c r="K7" s="73"/>
      <c r="L7" s="73"/>
      <c r="M7" s="73"/>
      <c r="N7" s="73"/>
      <c r="O7" s="73"/>
      <c r="P7" s="73"/>
      <c r="Q7" s="73"/>
      <c r="R7" s="73"/>
      <c r="S7" s="73"/>
      <c r="T7" s="73">
        <f t="shared" si="0"/>
        <v>0</v>
      </c>
    </row>
    <row r="8" spans="1:20">
      <c r="C8" t="s">
        <v>340</v>
      </c>
      <c r="K8" s="74">
        <v>130358</v>
      </c>
      <c r="L8" s="73"/>
      <c r="M8" s="73"/>
      <c r="N8" s="73"/>
      <c r="O8" s="73"/>
      <c r="P8" s="73"/>
      <c r="Q8" s="73">
        <v>29789</v>
      </c>
      <c r="R8" s="73"/>
      <c r="S8" s="73">
        <v>258042</v>
      </c>
      <c r="T8" s="73">
        <f t="shared" si="0"/>
        <v>418189</v>
      </c>
    </row>
    <row r="9" spans="1:20">
      <c r="C9" t="s">
        <v>87</v>
      </c>
      <c r="K9" s="74">
        <v>2139726</v>
      </c>
      <c r="L9" s="73"/>
      <c r="M9" s="73"/>
      <c r="N9" s="73">
        <v>5254722</v>
      </c>
      <c r="O9" s="73"/>
      <c r="P9" s="73"/>
      <c r="Q9" s="73"/>
      <c r="R9" s="73"/>
      <c r="S9" s="73">
        <v>4548120</v>
      </c>
      <c r="T9" s="73">
        <f t="shared" si="0"/>
        <v>11942568</v>
      </c>
    </row>
    <row r="10" spans="1:20">
      <c r="C10" t="s">
        <v>88</v>
      </c>
      <c r="K10" s="74">
        <v>15648</v>
      </c>
      <c r="L10" s="73">
        <v>1787890</v>
      </c>
      <c r="M10" s="73">
        <v>709863</v>
      </c>
      <c r="N10" s="73"/>
      <c r="O10" s="73"/>
      <c r="P10" s="73"/>
      <c r="Q10" s="73">
        <v>946485</v>
      </c>
      <c r="R10" s="73"/>
      <c r="S10" s="73">
        <v>709863</v>
      </c>
      <c r="T10" s="73">
        <f t="shared" si="0"/>
        <v>4169749</v>
      </c>
    </row>
    <row r="11" spans="1:20">
      <c r="C11" t="s">
        <v>47</v>
      </c>
      <c r="K11" s="82">
        <v>254</v>
      </c>
      <c r="L11" s="73"/>
      <c r="M11" s="73">
        <v>85313</v>
      </c>
      <c r="N11" s="73"/>
      <c r="O11" s="73"/>
      <c r="P11" s="73"/>
      <c r="Q11" s="73"/>
      <c r="R11" s="73"/>
      <c r="S11" s="73">
        <v>108731</v>
      </c>
      <c r="T11" s="73">
        <f t="shared" si="0"/>
        <v>194298</v>
      </c>
    </row>
    <row r="12" spans="1:20">
      <c r="B12" t="s">
        <v>16</v>
      </c>
      <c r="K12" s="75">
        <v>781583</v>
      </c>
      <c r="L12" s="73">
        <v>2029607</v>
      </c>
      <c r="M12" s="73">
        <v>1422032</v>
      </c>
      <c r="N12" s="73"/>
      <c r="O12" s="73">
        <v>331178</v>
      </c>
      <c r="P12" s="73"/>
      <c r="Q12" s="73">
        <v>159697</v>
      </c>
      <c r="R12" s="73"/>
      <c r="S12" s="73">
        <v>887970</v>
      </c>
      <c r="T12" s="73">
        <f t="shared" si="0"/>
        <v>5612067</v>
      </c>
    </row>
    <row r="13" spans="1:20">
      <c r="B13" t="s">
        <v>61</v>
      </c>
      <c r="K13" s="75">
        <v>49319</v>
      </c>
      <c r="L13" s="73"/>
      <c r="M13" s="73">
        <v>52890</v>
      </c>
      <c r="N13" s="73"/>
      <c r="O13" s="73"/>
      <c r="P13" s="73">
        <v>521559</v>
      </c>
      <c r="Q13" s="73">
        <v>3528</v>
      </c>
      <c r="R13" s="73">
        <v>1743463</v>
      </c>
      <c r="S13" s="73">
        <v>1611485</v>
      </c>
      <c r="T13" s="73">
        <f t="shared" si="0"/>
        <v>3982244</v>
      </c>
    </row>
    <row r="14" spans="1:20">
      <c r="B14" t="s">
        <v>142</v>
      </c>
      <c r="K14" s="83">
        <v>49838</v>
      </c>
      <c r="L14" s="73"/>
      <c r="M14" s="73">
        <v>71466</v>
      </c>
      <c r="N14" s="73"/>
      <c r="O14" s="73"/>
      <c r="P14" s="73"/>
      <c r="Q14" s="73"/>
      <c r="R14" s="73"/>
      <c r="S14" s="73">
        <v>351054</v>
      </c>
      <c r="T14" s="73">
        <f t="shared" si="0"/>
        <v>472358</v>
      </c>
    </row>
    <row r="15" spans="1:20"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spans="1:20" s="3" customFormat="1">
      <c r="A16" s="2"/>
      <c r="B16" s="2"/>
      <c r="C16" s="2"/>
      <c r="D16" s="2"/>
      <c r="E16" s="2" t="s">
        <v>18</v>
      </c>
      <c r="K16" s="76">
        <f>SUM(K6:K14)</f>
        <v>3833717</v>
      </c>
      <c r="L16" s="76">
        <f>SUM(L6:L14)</f>
        <v>7810698</v>
      </c>
      <c r="M16" s="76">
        <f>SUM(M6:M14)</f>
        <v>3830548</v>
      </c>
      <c r="N16" s="76">
        <f>SUM(N6:N14)</f>
        <v>11569813</v>
      </c>
      <c r="O16" s="76">
        <f>SUM(O6:O14)</f>
        <v>12355974</v>
      </c>
      <c r="P16" s="76">
        <f>SUM(P6)</f>
        <v>12318607</v>
      </c>
      <c r="Q16" s="76">
        <f t="shared" ref="Q16:R16" si="1">SUM(Q6)</f>
        <v>5482645</v>
      </c>
      <c r="R16" s="76">
        <f t="shared" si="1"/>
        <v>0</v>
      </c>
      <c r="S16" s="76">
        <f>SUM(S6:S15)</f>
        <v>39556386</v>
      </c>
      <c r="T16" s="76">
        <f>SUM(T6:T14)</f>
        <v>100162909</v>
      </c>
    </row>
    <row r="17" spans="1:20">
      <c r="K17" s="73"/>
      <c r="L17" s="73"/>
      <c r="M17" s="73"/>
      <c r="N17" s="73"/>
      <c r="O17" s="73"/>
      <c r="P17" s="73"/>
      <c r="Q17" s="73"/>
      <c r="R17" s="73"/>
      <c r="S17" s="73"/>
      <c r="T17" s="73"/>
    </row>
    <row r="18" spans="1:20">
      <c r="A18" s="4" t="s">
        <v>19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</row>
    <row r="19" spans="1:20">
      <c r="B19" t="s">
        <v>20</v>
      </c>
      <c r="K19" s="73"/>
      <c r="L19" s="73"/>
      <c r="M19" s="73"/>
      <c r="N19" s="73"/>
      <c r="O19" s="73"/>
      <c r="P19" s="73"/>
      <c r="Q19" s="73"/>
      <c r="R19" s="73"/>
      <c r="S19" s="73"/>
      <c r="T19" s="73"/>
    </row>
    <row r="20" spans="1:20">
      <c r="C20" t="s">
        <v>276</v>
      </c>
      <c r="K20" s="77">
        <v>933731</v>
      </c>
      <c r="L20" s="73"/>
      <c r="M20" s="73">
        <v>898767</v>
      </c>
      <c r="N20" s="73"/>
      <c r="O20" s="73">
        <v>204879</v>
      </c>
      <c r="P20" s="73">
        <v>776827</v>
      </c>
      <c r="Q20" s="73">
        <v>218013</v>
      </c>
      <c r="R20" s="73">
        <v>205178</v>
      </c>
      <c r="S20" s="73">
        <v>1463277</v>
      </c>
      <c r="T20" s="73">
        <f>SUM(K20:S20)</f>
        <v>4700672</v>
      </c>
    </row>
    <row r="21" spans="1:20">
      <c r="C21" t="s">
        <v>95</v>
      </c>
      <c r="K21" s="73"/>
      <c r="L21" s="73"/>
      <c r="M21" s="73">
        <v>51219</v>
      </c>
      <c r="N21" s="73"/>
      <c r="O21" s="73">
        <v>129908</v>
      </c>
      <c r="P21" s="73">
        <v>106978</v>
      </c>
      <c r="Q21" s="73"/>
      <c r="R21" s="73">
        <v>1350129</v>
      </c>
      <c r="S21" s="73">
        <v>396593</v>
      </c>
      <c r="T21" s="73">
        <f>SUM(K21:S21)</f>
        <v>2034827</v>
      </c>
    </row>
    <row r="22" spans="1:20">
      <c r="C22" t="s">
        <v>25</v>
      </c>
      <c r="K22" s="78">
        <v>656236</v>
      </c>
      <c r="L22" s="73">
        <v>100000</v>
      </c>
      <c r="M22" s="73">
        <v>32262</v>
      </c>
      <c r="N22" s="73"/>
      <c r="O22" s="73"/>
      <c r="P22" s="73">
        <v>1437</v>
      </c>
      <c r="Q22" s="73">
        <v>63217</v>
      </c>
      <c r="R22" s="73">
        <v>167534</v>
      </c>
      <c r="S22" s="73">
        <v>1774480</v>
      </c>
      <c r="T22" s="73">
        <f>SUM(K22:S22)</f>
        <v>2795166</v>
      </c>
    </row>
    <row r="23" spans="1:20">
      <c r="C23" t="s">
        <v>128</v>
      </c>
      <c r="K23" s="73"/>
      <c r="L23" s="73"/>
      <c r="M23" s="73"/>
      <c r="N23" s="73"/>
      <c r="O23" s="73"/>
      <c r="P23" s="73"/>
      <c r="Q23" s="73"/>
      <c r="R23" s="73"/>
      <c r="S23" s="73">
        <v>33935</v>
      </c>
      <c r="T23" s="73">
        <f>SUM(K23:S23)</f>
        <v>33935</v>
      </c>
    </row>
    <row r="24" spans="1:20">
      <c r="K24" s="73"/>
      <c r="L24" s="73"/>
      <c r="M24" s="73"/>
      <c r="N24" s="73"/>
      <c r="O24" s="73"/>
      <c r="P24" s="73"/>
      <c r="Q24" s="73"/>
      <c r="R24" s="73"/>
      <c r="S24" s="73"/>
      <c r="T24" s="73"/>
    </row>
    <row r="25" spans="1:20" s="5" customFormat="1">
      <c r="B25" s="6"/>
      <c r="C25" s="6"/>
      <c r="D25" s="6"/>
      <c r="E25" s="6" t="s">
        <v>26</v>
      </c>
      <c r="K25" s="79">
        <f>SUM(K20:K23)</f>
        <v>1589967</v>
      </c>
      <c r="L25" s="79">
        <f>SUM(L20:L22)</f>
        <v>100000</v>
      </c>
      <c r="M25" s="79">
        <f>SUM(M20:M22)</f>
        <v>982248</v>
      </c>
      <c r="N25" s="79">
        <f>SUM(N20:N22)</f>
        <v>0</v>
      </c>
      <c r="O25" s="79">
        <f>SUM(O20:O22)</f>
        <v>334787</v>
      </c>
      <c r="P25" s="79">
        <f>SUM(P20:P23)</f>
        <v>885242</v>
      </c>
      <c r="Q25" s="79">
        <f t="shared" ref="Q25:R25" si="2">SUM(Q20:Q23)</f>
        <v>281230</v>
      </c>
      <c r="R25" s="79">
        <f t="shared" si="2"/>
        <v>1722841</v>
      </c>
      <c r="S25" s="79">
        <f>SUM(S20:S23)</f>
        <v>3668285</v>
      </c>
      <c r="T25" s="79">
        <f>SUM(T20:T23)</f>
        <v>9564600</v>
      </c>
    </row>
    <row r="26" spans="1:20">
      <c r="K26" s="73"/>
      <c r="L26" s="73"/>
      <c r="M26" s="73"/>
      <c r="N26" s="73"/>
      <c r="O26" s="73"/>
      <c r="P26" s="73"/>
      <c r="Q26" s="73"/>
      <c r="R26" s="73"/>
      <c r="S26" s="73"/>
      <c r="T26" s="73"/>
    </row>
    <row r="27" spans="1:20">
      <c r="A27" s="71" t="s">
        <v>27</v>
      </c>
      <c r="K27" s="73"/>
      <c r="L27" s="73"/>
      <c r="M27" s="73"/>
      <c r="N27" s="73"/>
      <c r="O27" s="73"/>
      <c r="P27" s="73"/>
      <c r="Q27" s="73"/>
      <c r="R27" s="73"/>
      <c r="S27" s="73"/>
      <c r="T27" s="73"/>
    </row>
    <row r="28" spans="1:20">
      <c r="C28" t="s">
        <v>101</v>
      </c>
      <c r="K28" s="73">
        <v>40223</v>
      </c>
      <c r="L28" s="73"/>
      <c r="M28" s="73">
        <v>15034</v>
      </c>
      <c r="N28" s="73"/>
      <c r="O28" s="73"/>
      <c r="P28" s="73">
        <v>521559</v>
      </c>
      <c r="Q28" s="73"/>
      <c r="R28" s="73">
        <v>1464310</v>
      </c>
      <c r="S28" s="73">
        <v>975108</v>
      </c>
      <c r="T28" s="73">
        <f>SUM(K28:S28)</f>
        <v>3016234</v>
      </c>
    </row>
    <row r="29" spans="1:20">
      <c r="K29" s="73"/>
      <c r="L29" s="73"/>
      <c r="M29" s="73"/>
      <c r="N29" s="73"/>
      <c r="O29" s="73"/>
      <c r="P29" s="73"/>
      <c r="Q29" s="73"/>
      <c r="R29" s="73"/>
      <c r="S29" s="73"/>
      <c r="T29" s="73"/>
    </row>
    <row r="30" spans="1:20" s="5" customFormat="1">
      <c r="B30" s="6"/>
      <c r="C30" s="6"/>
      <c r="D30" s="6"/>
      <c r="E30" s="6" t="s">
        <v>549</v>
      </c>
      <c r="K30" s="79">
        <f>K28</f>
        <v>40223</v>
      </c>
      <c r="L30" s="79">
        <f>SUM(L28)</f>
        <v>0</v>
      </c>
      <c r="M30" s="79">
        <f t="shared" ref="M30:T30" si="3">SUM(M28)</f>
        <v>15034</v>
      </c>
      <c r="N30" s="79">
        <f t="shared" si="3"/>
        <v>0</v>
      </c>
      <c r="O30" s="79">
        <f t="shared" si="3"/>
        <v>0</v>
      </c>
      <c r="P30" s="79"/>
      <c r="Q30" s="79"/>
      <c r="R30" s="79"/>
      <c r="S30" s="79">
        <f t="shared" si="3"/>
        <v>975108</v>
      </c>
      <c r="T30" s="79">
        <f t="shared" si="3"/>
        <v>3016234</v>
      </c>
    </row>
    <row r="31" spans="1:20">
      <c r="K31" s="73"/>
      <c r="L31" s="73"/>
      <c r="M31" s="73"/>
      <c r="N31" s="73"/>
      <c r="O31" s="73"/>
      <c r="P31" s="73"/>
      <c r="Q31" s="73"/>
      <c r="R31" s="73"/>
      <c r="S31" s="73"/>
      <c r="T31" s="73"/>
    </row>
    <row r="32" spans="1:20">
      <c r="B32" t="s">
        <v>30</v>
      </c>
      <c r="K32" s="73"/>
      <c r="L32" s="73"/>
      <c r="M32" s="73"/>
      <c r="N32" s="73"/>
      <c r="O32" s="73"/>
      <c r="P32" s="73"/>
      <c r="Q32" s="73"/>
      <c r="R32" s="73"/>
      <c r="S32" s="73"/>
      <c r="T32" s="73"/>
    </row>
    <row r="33" spans="3:20">
      <c r="C33" t="s">
        <v>680</v>
      </c>
      <c r="K33" s="80">
        <v>49838</v>
      </c>
      <c r="L33" s="73"/>
      <c r="M33" s="73">
        <v>71466</v>
      </c>
      <c r="N33" s="73"/>
      <c r="O33" s="73"/>
      <c r="P33" s="73"/>
      <c r="Q33" s="73"/>
      <c r="R33" s="73"/>
      <c r="S33" s="73">
        <v>351054</v>
      </c>
      <c r="T33" s="73">
        <f>SUM(K33:S33)</f>
        <v>472358</v>
      </c>
    </row>
    <row r="34" spans="3:20">
      <c r="C34" t="s">
        <v>129</v>
      </c>
      <c r="K34" s="73"/>
      <c r="L34" s="73">
        <v>7710698</v>
      </c>
      <c r="M34" s="73">
        <v>2761800</v>
      </c>
      <c r="N34" s="73">
        <v>11569813</v>
      </c>
      <c r="O34" s="73"/>
      <c r="P34" s="73"/>
      <c r="Q34" s="73"/>
      <c r="R34" s="73"/>
      <c r="S34" s="73">
        <v>15736235</v>
      </c>
      <c r="T34" s="73">
        <f>SUM(K34:S34)</f>
        <v>37778546</v>
      </c>
    </row>
    <row r="35" spans="3:20">
      <c r="C35" t="s">
        <v>331</v>
      </c>
      <c r="K35" s="73"/>
      <c r="L35" s="73"/>
      <c r="M35" s="73"/>
      <c r="N35" s="73"/>
      <c r="O35" s="73">
        <v>12021187</v>
      </c>
      <c r="P35" s="73">
        <v>11433365</v>
      </c>
      <c r="Q35" s="73">
        <v>6340914</v>
      </c>
      <c r="R35" s="73">
        <v>-1443688</v>
      </c>
      <c r="S35" s="73">
        <v>18825704</v>
      </c>
      <c r="T35" s="73">
        <f t="shared" ref="T35:T36" si="4">SUM(K35:S35)</f>
        <v>47177482</v>
      </c>
    </row>
    <row r="36" spans="3:20">
      <c r="C36" t="s">
        <v>48</v>
      </c>
      <c r="K36" s="84">
        <v>2153689</v>
      </c>
      <c r="L36" s="73"/>
      <c r="M36" s="73"/>
      <c r="N36" s="73"/>
      <c r="O36" s="73"/>
      <c r="P36" s="73"/>
      <c r="Q36" s="73"/>
      <c r="R36" s="73"/>
      <c r="S36" s="73"/>
      <c r="T36" s="73">
        <f t="shared" si="4"/>
        <v>2153689</v>
      </c>
    </row>
    <row r="37" spans="3:20">
      <c r="K37" s="73"/>
      <c r="L37" s="73"/>
      <c r="M37" s="73"/>
      <c r="N37" s="73"/>
      <c r="O37" s="73"/>
      <c r="P37" s="73"/>
      <c r="Q37" s="73"/>
      <c r="R37" s="73"/>
      <c r="S37" s="73"/>
      <c r="T37" s="73"/>
    </row>
    <row r="38" spans="3:20" s="5" customFormat="1">
      <c r="D38" s="6"/>
      <c r="E38" s="6" t="s">
        <v>78</v>
      </c>
      <c r="K38" s="79">
        <f>SUM(K33:K36)</f>
        <v>2203527</v>
      </c>
      <c r="L38" s="79">
        <f t="shared" ref="L38:S38" si="5">SUM(L33:L36)</f>
        <v>7710698</v>
      </c>
      <c r="M38" s="79">
        <f t="shared" si="5"/>
        <v>2833266</v>
      </c>
      <c r="N38" s="79">
        <f t="shared" si="5"/>
        <v>11569813</v>
      </c>
      <c r="O38" s="79">
        <f t="shared" si="5"/>
        <v>12021187</v>
      </c>
      <c r="P38" s="79">
        <f>SUM(P33:P36)</f>
        <v>11433365</v>
      </c>
      <c r="Q38" s="79">
        <f t="shared" ref="Q38:R38" si="6">SUM(Q33:Q36)</f>
        <v>6340914</v>
      </c>
      <c r="R38" s="79">
        <f t="shared" si="6"/>
        <v>-1443688</v>
      </c>
      <c r="S38" s="79">
        <f t="shared" si="5"/>
        <v>34912993</v>
      </c>
      <c r="T38" s="79">
        <f>SUM(T33:T36)</f>
        <v>87582075</v>
      </c>
    </row>
    <row r="39" spans="3:20">
      <c r="K39" s="73"/>
      <c r="L39" s="73"/>
      <c r="M39" s="73"/>
      <c r="N39" s="73"/>
      <c r="O39" s="73"/>
      <c r="P39" s="73"/>
      <c r="Q39" s="73"/>
      <c r="R39" s="73"/>
      <c r="S39" s="73"/>
      <c r="T39" s="73"/>
    </row>
    <row r="40" spans="3:20" s="7" customFormat="1">
      <c r="D40" s="8"/>
      <c r="E40" s="8" t="s">
        <v>609</v>
      </c>
      <c r="K40" s="81">
        <f>SUM(K38,K25,K30)</f>
        <v>3833717</v>
      </c>
      <c r="L40" s="81">
        <f t="shared" ref="L40:T40" si="7">SUM(L38,L25,L30)</f>
        <v>7810698</v>
      </c>
      <c r="M40" s="81">
        <f t="shared" si="7"/>
        <v>3830548</v>
      </c>
      <c r="N40" s="81">
        <f t="shared" si="7"/>
        <v>11569813</v>
      </c>
      <c r="O40" s="81">
        <f t="shared" si="7"/>
        <v>12355974</v>
      </c>
      <c r="P40" s="81">
        <f>SUM(P25+P30+P38)</f>
        <v>12318607</v>
      </c>
      <c r="Q40" s="81">
        <f t="shared" ref="Q40:R40" si="8">SUM(Q25+Q30+Q38)</f>
        <v>6622144</v>
      </c>
      <c r="R40" s="81">
        <f t="shared" si="8"/>
        <v>279153</v>
      </c>
      <c r="S40" s="81">
        <f t="shared" si="7"/>
        <v>39556386</v>
      </c>
      <c r="T40" s="81">
        <f t="shared" si="7"/>
        <v>100162909</v>
      </c>
    </row>
  </sheetData>
  <mergeCells count="2">
    <mergeCell ref="D1:K1"/>
    <mergeCell ref="D2:K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U56"/>
  <sheetViews>
    <sheetView topLeftCell="A7" zoomScale="80" zoomScaleNormal="80" zoomScalePageLayoutView="80" workbookViewId="0">
      <selection activeCell="Q59" sqref="Q59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3" width="16.42578125" customWidth="1"/>
    <col min="14" max="14" width="17.28515625" customWidth="1"/>
    <col min="15" max="18" width="19" customWidth="1"/>
    <col min="19" max="19" width="19.42578125" customWidth="1"/>
    <col min="20" max="20" width="19.85546875" bestFit="1" customWidth="1"/>
  </cols>
  <sheetData>
    <row r="1" spans="1:20" ht="18.75">
      <c r="D1" s="253" t="s">
        <v>681</v>
      </c>
      <c r="E1" s="253"/>
      <c r="F1" s="253"/>
      <c r="G1" s="253"/>
      <c r="H1" s="253"/>
      <c r="I1" s="253"/>
      <c r="J1" s="253"/>
      <c r="K1" s="253"/>
    </row>
    <row r="2" spans="1:20">
      <c r="D2" s="254" t="s">
        <v>1</v>
      </c>
      <c r="E2" s="254"/>
      <c r="F2" s="254"/>
      <c r="G2" s="254"/>
      <c r="H2" s="254"/>
      <c r="I2" s="254"/>
      <c r="J2" s="254"/>
      <c r="K2" s="254"/>
    </row>
    <row r="4" spans="1:20" ht="45">
      <c r="K4" s="1" t="s">
        <v>2</v>
      </c>
      <c r="L4" s="1" t="s">
        <v>682</v>
      </c>
      <c r="M4" s="1" t="s">
        <v>683</v>
      </c>
      <c r="N4" s="1" t="s">
        <v>684</v>
      </c>
      <c r="O4" s="1" t="s">
        <v>685</v>
      </c>
      <c r="P4" s="1" t="s">
        <v>686</v>
      </c>
      <c r="Q4" s="1" t="s">
        <v>687</v>
      </c>
      <c r="R4" s="1" t="s">
        <v>688</v>
      </c>
      <c r="S4" s="1" t="s">
        <v>6</v>
      </c>
      <c r="T4" s="1" t="s">
        <v>7</v>
      </c>
    </row>
    <row r="5" spans="1:20">
      <c r="A5" s="86" t="s">
        <v>8</v>
      </c>
    </row>
    <row r="6" spans="1:20">
      <c r="B6" t="s">
        <v>139</v>
      </c>
      <c r="K6" s="72">
        <v>191320</v>
      </c>
      <c r="L6" s="73">
        <v>69740</v>
      </c>
      <c r="M6" s="73">
        <v>17398</v>
      </c>
      <c r="N6" s="73">
        <v>3771</v>
      </c>
      <c r="O6" s="73">
        <v>3617</v>
      </c>
      <c r="P6" s="73"/>
      <c r="Q6" s="73"/>
      <c r="R6" s="73"/>
      <c r="S6" s="73">
        <v>653527</v>
      </c>
      <c r="T6" s="73">
        <f t="shared" ref="T6:T14" si="0">SUM(K6:S6)</f>
        <v>939373</v>
      </c>
    </row>
    <row r="7" spans="1:20">
      <c r="B7" t="s">
        <v>689</v>
      </c>
      <c r="K7" s="73"/>
      <c r="L7" s="73"/>
      <c r="M7" s="73"/>
      <c r="N7" s="73"/>
      <c r="O7" s="73"/>
      <c r="P7" s="73">
        <v>792691</v>
      </c>
      <c r="Q7" s="73">
        <v>2045141</v>
      </c>
      <c r="R7" s="73">
        <v>14</v>
      </c>
      <c r="S7" s="73"/>
      <c r="T7" s="73">
        <f t="shared" si="0"/>
        <v>2837846</v>
      </c>
    </row>
    <row r="8" spans="1:20">
      <c r="B8" t="s">
        <v>690</v>
      </c>
      <c r="K8" s="74">
        <v>2519392</v>
      </c>
      <c r="L8" s="73">
        <v>147308</v>
      </c>
      <c r="M8" s="73">
        <v>1382396</v>
      </c>
      <c r="N8" s="73">
        <v>20832</v>
      </c>
      <c r="O8" s="73">
        <v>125432</v>
      </c>
      <c r="P8" s="73">
        <v>589459</v>
      </c>
      <c r="Q8" s="73"/>
      <c r="R8" s="73"/>
      <c r="S8" s="73">
        <v>1601523</v>
      </c>
      <c r="T8" s="73">
        <f t="shared" si="0"/>
        <v>6386342</v>
      </c>
    </row>
    <row r="9" spans="1:20">
      <c r="B9" t="s">
        <v>142</v>
      </c>
      <c r="K9" s="83">
        <v>25877</v>
      </c>
      <c r="L9" s="73">
        <v>15967</v>
      </c>
      <c r="M9" s="73">
        <v>4190</v>
      </c>
      <c r="N9" s="73">
        <v>796</v>
      </c>
      <c r="O9" s="73"/>
      <c r="P9" s="73"/>
      <c r="Q9" s="73">
        <v>213038</v>
      </c>
      <c r="R9" s="73"/>
      <c r="S9" s="73"/>
      <c r="T9" s="73">
        <f t="shared" si="0"/>
        <v>259868</v>
      </c>
    </row>
    <row r="10" spans="1:20">
      <c r="B10" t="s">
        <v>691</v>
      </c>
      <c r="K10" s="73"/>
      <c r="L10" s="73"/>
      <c r="M10" s="73"/>
      <c r="N10" s="73"/>
      <c r="O10" s="73"/>
      <c r="P10" s="73"/>
      <c r="Q10" s="73">
        <v>28604186</v>
      </c>
      <c r="R10" s="73"/>
      <c r="S10" s="73"/>
      <c r="T10" s="73">
        <f t="shared" si="0"/>
        <v>28604186</v>
      </c>
    </row>
    <row r="11" spans="1:20">
      <c r="B11" t="s">
        <v>16</v>
      </c>
      <c r="K11" s="75">
        <v>562732</v>
      </c>
      <c r="L11" s="73">
        <v>104</v>
      </c>
      <c r="M11" s="73">
        <v>15425</v>
      </c>
      <c r="N11" s="73"/>
      <c r="O11" s="73">
        <v>4910</v>
      </c>
      <c r="P11" s="73">
        <v>130000</v>
      </c>
      <c r="Q11" s="73"/>
      <c r="R11" s="73"/>
      <c r="S11" s="73">
        <v>293864</v>
      </c>
      <c r="T11" s="73">
        <f t="shared" si="0"/>
        <v>1007035</v>
      </c>
    </row>
    <row r="12" spans="1:20">
      <c r="B12" t="s">
        <v>692</v>
      </c>
      <c r="K12" s="75">
        <v>42602</v>
      </c>
      <c r="L12" s="73">
        <v>251331</v>
      </c>
      <c r="M12" s="73"/>
      <c r="N12" s="73">
        <v>6854</v>
      </c>
      <c r="O12" s="73"/>
      <c r="P12" s="73"/>
      <c r="Q12" s="73"/>
      <c r="R12" s="73"/>
      <c r="S12" s="73"/>
      <c r="T12" s="73">
        <f t="shared" si="0"/>
        <v>300787</v>
      </c>
    </row>
    <row r="13" spans="1:20">
      <c r="B13" t="s">
        <v>17</v>
      </c>
      <c r="K13" s="75">
        <v>12272</v>
      </c>
      <c r="L13" s="73"/>
      <c r="M13" s="73"/>
      <c r="N13" s="73"/>
      <c r="O13" s="73"/>
      <c r="P13" s="73"/>
      <c r="Q13" s="73"/>
      <c r="R13" s="73"/>
      <c r="S13" s="73"/>
      <c r="T13" s="73">
        <f t="shared" si="0"/>
        <v>12272</v>
      </c>
    </row>
    <row r="14" spans="1:20">
      <c r="B14" t="s">
        <v>61</v>
      </c>
      <c r="K14" s="75">
        <v>120589</v>
      </c>
      <c r="L14" s="73">
        <v>9346</v>
      </c>
      <c r="M14" s="73"/>
      <c r="N14" s="73"/>
      <c r="O14" s="73"/>
      <c r="P14" s="73"/>
      <c r="Q14" s="73"/>
      <c r="R14" s="73"/>
      <c r="S14" s="73"/>
      <c r="T14" s="73">
        <f t="shared" si="0"/>
        <v>129935</v>
      </c>
    </row>
    <row r="15" spans="1:20">
      <c r="K15" s="73"/>
      <c r="L15" s="73"/>
      <c r="M15" s="73"/>
      <c r="N15" s="73"/>
      <c r="O15" s="73"/>
      <c r="P15" s="73"/>
      <c r="Q15" s="73"/>
      <c r="R15" s="73"/>
      <c r="S15" s="73"/>
      <c r="T15" s="73"/>
    </row>
    <row r="16" spans="1:20" s="3" customFormat="1">
      <c r="A16" s="2"/>
      <c r="B16" s="2"/>
      <c r="C16" s="2"/>
      <c r="D16" s="2"/>
      <c r="E16" s="2" t="s">
        <v>18</v>
      </c>
      <c r="K16" s="76">
        <f t="shared" ref="K16:R16" si="1">SUM(K6:K14)</f>
        <v>3474784</v>
      </c>
      <c r="L16" s="76">
        <f t="shared" si="1"/>
        <v>493796</v>
      </c>
      <c r="M16" s="76">
        <f t="shared" si="1"/>
        <v>1419409</v>
      </c>
      <c r="N16" s="76">
        <f t="shared" si="1"/>
        <v>32253</v>
      </c>
      <c r="O16" s="76">
        <f t="shared" si="1"/>
        <v>133959</v>
      </c>
      <c r="P16" s="76">
        <f t="shared" si="1"/>
        <v>1512150</v>
      </c>
      <c r="Q16" s="76">
        <f t="shared" si="1"/>
        <v>30862365</v>
      </c>
      <c r="R16" s="76">
        <f t="shared" si="1"/>
        <v>14</v>
      </c>
      <c r="S16" s="76">
        <f>SUM(S6:S15)</f>
        <v>2548914</v>
      </c>
      <c r="T16" s="76">
        <f>SUM(T6:T14)</f>
        <v>40477644</v>
      </c>
    </row>
    <row r="17" spans="1:20">
      <c r="K17" s="73"/>
      <c r="L17" s="73"/>
      <c r="M17" s="73"/>
      <c r="N17" s="73"/>
      <c r="O17" s="73"/>
      <c r="P17" s="73"/>
      <c r="Q17" s="73"/>
      <c r="R17" s="73"/>
      <c r="S17" s="73"/>
      <c r="T17" s="73"/>
    </row>
    <row r="18" spans="1:20">
      <c r="A18" s="4" t="s">
        <v>19</v>
      </c>
      <c r="K18" s="73"/>
      <c r="L18" s="73"/>
      <c r="M18" s="73"/>
      <c r="N18" s="73"/>
      <c r="O18" s="73"/>
      <c r="P18" s="73"/>
      <c r="Q18" s="73"/>
      <c r="R18" s="73"/>
      <c r="S18" s="73"/>
      <c r="T18" s="73"/>
    </row>
    <row r="19" spans="1:20">
      <c r="B19" t="s">
        <v>20</v>
      </c>
      <c r="K19" s="73"/>
      <c r="L19" s="73"/>
      <c r="M19" s="73"/>
      <c r="N19" s="73"/>
      <c r="O19" s="73"/>
      <c r="P19" s="73"/>
      <c r="Q19" s="73"/>
      <c r="R19" s="73"/>
      <c r="S19" s="73"/>
      <c r="T19" s="73"/>
    </row>
    <row r="20" spans="1:20">
      <c r="C20" t="s">
        <v>21</v>
      </c>
      <c r="K20" s="77">
        <v>414771</v>
      </c>
      <c r="L20" s="73"/>
      <c r="M20" s="73">
        <v>46026</v>
      </c>
      <c r="N20" s="73">
        <v>78296</v>
      </c>
      <c r="O20" s="73">
        <v>125432</v>
      </c>
      <c r="P20" s="73">
        <v>3426</v>
      </c>
      <c r="Q20" s="73">
        <v>4194363</v>
      </c>
      <c r="R20" s="73"/>
      <c r="S20" s="73">
        <v>247936</v>
      </c>
      <c r="T20" s="73">
        <f t="shared" ref="T20:T22" si="2">SUM(K20:S20)</f>
        <v>5110250</v>
      </c>
    </row>
    <row r="21" spans="1:20">
      <c r="C21" t="s">
        <v>693</v>
      </c>
      <c r="L21" s="73"/>
      <c r="M21" s="73"/>
      <c r="N21" s="73">
        <v>6091</v>
      </c>
      <c r="O21" s="73"/>
      <c r="P21" s="73"/>
      <c r="Q21" s="73"/>
      <c r="R21" s="73"/>
      <c r="S21" s="73"/>
      <c r="T21" s="73">
        <f t="shared" si="2"/>
        <v>6091</v>
      </c>
    </row>
    <row r="22" spans="1:20">
      <c r="C22" t="s">
        <v>694</v>
      </c>
      <c r="K22" s="77">
        <v>411873</v>
      </c>
      <c r="L22" s="73"/>
      <c r="M22" s="73"/>
      <c r="N22" s="73">
        <v>13018</v>
      </c>
      <c r="O22" s="73"/>
      <c r="P22" s="73"/>
      <c r="Q22" s="73"/>
      <c r="R22" s="73"/>
      <c r="S22" s="73"/>
      <c r="T22" s="73">
        <f t="shared" si="2"/>
        <v>424891</v>
      </c>
    </row>
    <row r="23" spans="1:20">
      <c r="C23" t="s">
        <v>24</v>
      </c>
      <c r="K23" s="98">
        <v>1300</v>
      </c>
      <c r="L23" s="73"/>
      <c r="M23" s="73"/>
      <c r="N23" s="73">
        <v>4037</v>
      </c>
      <c r="O23" s="73"/>
      <c r="P23" s="73"/>
      <c r="Q23" s="73"/>
      <c r="R23" s="73"/>
      <c r="S23" s="73"/>
      <c r="T23" s="73">
        <f>SUM(K23:S23)</f>
        <v>5337</v>
      </c>
    </row>
    <row r="24" spans="1:20">
      <c r="C24" t="s">
        <v>695</v>
      </c>
      <c r="K24" s="78">
        <v>106926</v>
      </c>
      <c r="L24" s="73"/>
      <c r="M24" s="73"/>
      <c r="N24" s="73"/>
      <c r="O24" s="73"/>
      <c r="P24" s="73"/>
      <c r="Q24" s="73"/>
      <c r="R24" s="73"/>
      <c r="S24" s="73"/>
      <c r="T24" s="73">
        <f>SUM(K24:S24)</f>
        <v>106926</v>
      </c>
    </row>
    <row r="25" spans="1:20">
      <c r="C25" t="s">
        <v>25</v>
      </c>
      <c r="K25" s="78">
        <v>123540</v>
      </c>
      <c r="L25" s="73">
        <v>291178</v>
      </c>
      <c r="M25" s="73">
        <v>241022</v>
      </c>
      <c r="N25" s="73">
        <v>82542</v>
      </c>
      <c r="O25" s="73"/>
      <c r="P25" s="73"/>
      <c r="Q25" s="73"/>
      <c r="R25" s="73"/>
      <c r="S25" s="73">
        <v>268753</v>
      </c>
      <c r="T25" s="73">
        <f>SUM(K25:S25)</f>
        <v>1007035</v>
      </c>
    </row>
    <row r="26" spans="1:20">
      <c r="C26" t="s">
        <v>198</v>
      </c>
      <c r="K26" s="78">
        <v>6389</v>
      </c>
      <c r="L26" s="73"/>
      <c r="M26" s="73"/>
      <c r="N26" s="73"/>
      <c r="O26" s="73"/>
      <c r="P26" s="73"/>
      <c r="Q26" s="73"/>
      <c r="R26" s="73"/>
      <c r="S26" s="73"/>
      <c r="T26" s="73">
        <f>SUM(K26:S26)</f>
        <v>6389</v>
      </c>
    </row>
    <row r="27" spans="1:20">
      <c r="K27" s="73"/>
      <c r="L27" s="73"/>
      <c r="M27" s="73"/>
      <c r="N27" s="73"/>
      <c r="O27" s="73"/>
      <c r="P27" s="73"/>
      <c r="Q27" s="73"/>
      <c r="R27" s="73"/>
      <c r="S27" s="73"/>
      <c r="T27" s="73"/>
    </row>
    <row r="28" spans="1:20" s="5" customFormat="1">
      <c r="B28" s="6"/>
      <c r="C28" s="6"/>
      <c r="D28" s="6"/>
      <c r="E28" s="6" t="s">
        <v>26</v>
      </c>
      <c r="K28" s="79">
        <f>SUM(K20:K26)</f>
        <v>1064799</v>
      </c>
      <c r="L28" s="79">
        <f t="shared" ref="L28:S28" si="3">SUM(L20:L26)</f>
        <v>291178</v>
      </c>
      <c r="M28" s="79">
        <f t="shared" si="3"/>
        <v>287048</v>
      </c>
      <c r="N28" s="79">
        <f t="shared" si="3"/>
        <v>183984</v>
      </c>
      <c r="O28" s="79">
        <f t="shared" si="3"/>
        <v>125432</v>
      </c>
      <c r="P28" s="79">
        <f t="shared" si="3"/>
        <v>3426</v>
      </c>
      <c r="Q28" s="79">
        <f t="shared" si="3"/>
        <v>4194363</v>
      </c>
      <c r="R28" s="79">
        <f t="shared" si="3"/>
        <v>0</v>
      </c>
      <c r="S28" s="79">
        <f t="shared" si="3"/>
        <v>516689</v>
      </c>
      <c r="T28" s="79">
        <f>SUM(T20:T26)</f>
        <v>6666919</v>
      </c>
    </row>
    <row r="29" spans="1:20" s="101" customFormat="1">
      <c r="B29" s="186"/>
      <c r="C29" s="186"/>
      <c r="D29" s="186"/>
      <c r="E29" s="186"/>
      <c r="K29" s="159"/>
      <c r="L29" s="159"/>
      <c r="M29" s="159"/>
      <c r="N29" s="159"/>
      <c r="O29" s="159"/>
      <c r="P29" s="159"/>
      <c r="Q29" s="159"/>
      <c r="R29" s="159"/>
      <c r="S29" s="159"/>
      <c r="T29" s="159"/>
    </row>
    <row r="30" spans="1:20">
      <c r="A30" s="71" t="s">
        <v>27</v>
      </c>
      <c r="K30" s="73"/>
      <c r="L30" s="73"/>
      <c r="M30" s="73"/>
      <c r="N30" s="73"/>
      <c r="O30" s="73"/>
      <c r="P30" s="73"/>
      <c r="Q30" s="73"/>
      <c r="R30" s="73"/>
      <c r="S30" s="73"/>
      <c r="T30" s="73"/>
    </row>
    <row r="31" spans="1:20">
      <c r="K31" s="73">
        <v>57604</v>
      </c>
      <c r="L31" s="73"/>
      <c r="M31" s="73">
        <v>39307</v>
      </c>
      <c r="N31" s="73"/>
      <c r="O31" s="73"/>
      <c r="P31" s="73"/>
      <c r="Q31" s="73"/>
      <c r="R31" s="73"/>
      <c r="S31" s="73">
        <v>52517</v>
      </c>
      <c r="T31" s="73">
        <f>SUM(K31:S31)</f>
        <v>149428</v>
      </c>
    </row>
    <row r="32" spans="1:20">
      <c r="K32" s="73"/>
      <c r="L32" s="73"/>
      <c r="M32" s="73"/>
      <c r="N32" s="73"/>
      <c r="O32" s="73"/>
      <c r="P32" s="73"/>
      <c r="Q32" s="73"/>
      <c r="R32" s="73"/>
      <c r="S32" s="73"/>
      <c r="T32" s="73"/>
    </row>
    <row r="33" spans="2:21" s="5" customFormat="1">
      <c r="B33" s="6"/>
      <c r="C33" s="6"/>
      <c r="D33" s="6"/>
      <c r="E33" s="6" t="s">
        <v>549</v>
      </c>
      <c r="K33" s="79">
        <f>K31</f>
        <v>57604</v>
      </c>
      <c r="L33" s="79">
        <f>SUM(L31)</f>
        <v>0</v>
      </c>
      <c r="M33" s="79">
        <f t="shared" ref="M33:T33" si="4">SUM(M31)</f>
        <v>39307</v>
      </c>
      <c r="N33" s="79">
        <f t="shared" si="4"/>
        <v>0</v>
      </c>
      <c r="O33" s="79">
        <f t="shared" si="4"/>
        <v>0</v>
      </c>
      <c r="P33" s="79"/>
      <c r="Q33" s="79"/>
      <c r="R33" s="79"/>
      <c r="S33" s="79">
        <f t="shared" si="4"/>
        <v>52517</v>
      </c>
      <c r="T33" s="79">
        <f t="shared" si="4"/>
        <v>149428</v>
      </c>
    </row>
    <row r="34" spans="2:21" s="101" customFormat="1">
      <c r="B34" s="186"/>
      <c r="C34" s="186"/>
      <c r="D34" s="186"/>
      <c r="E34" s="186"/>
      <c r="K34" s="159"/>
      <c r="L34" s="159"/>
      <c r="M34" s="159"/>
      <c r="N34" s="159"/>
      <c r="O34" s="159"/>
      <c r="P34" s="159"/>
      <c r="Q34" s="159"/>
      <c r="R34" s="159"/>
      <c r="S34" s="159"/>
      <c r="T34" s="159"/>
    </row>
    <row r="35" spans="2:21">
      <c r="C35" t="s">
        <v>31</v>
      </c>
      <c r="K35" s="73"/>
      <c r="L35" s="73"/>
      <c r="M35" s="73"/>
      <c r="N35" s="73"/>
      <c r="O35" s="73"/>
      <c r="P35" s="73"/>
      <c r="Q35" s="73"/>
      <c r="R35" s="73"/>
      <c r="S35" s="73"/>
    </row>
    <row r="36" spans="2:21">
      <c r="C36" t="s">
        <v>104</v>
      </c>
      <c r="K36" s="73"/>
      <c r="L36" s="73"/>
      <c r="M36" s="73"/>
      <c r="N36" s="73"/>
      <c r="O36" s="73"/>
      <c r="P36" s="73"/>
      <c r="Q36" s="73"/>
      <c r="R36" s="73"/>
      <c r="S36" s="73"/>
    </row>
    <row r="37" spans="2:21">
      <c r="D37" t="s">
        <v>696</v>
      </c>
      <c r="K37" s="80">
        <v>25877</v>
      </c>
      <c r="L37" s="73">
        <v>15967</v>
      </c>
      <c r="M37" s="73">
        <v>4190</v>
      </c>
      <c r="N37" s="73"/>
      <c r="O37" s="73"/>
      <c r="P37" s="73"/>
      <c r="Q37" s="73">
        <v>213038</v>
      </c>
      <c r="R37" s="73"/>
      <c r="S37" s="73"/>
      <c r="T37" s="73">
        <f t="shared" ref="T37:T52" si="5">SUM(K37:S37)</f>
        <v>259072</v>
      </c>
    </row>
    <row r="38" spans="2:21">
      <c r="C38" t="s">
        <v>31</v>
      </c>
      <c r="L38" s="73"/>
      <c r="M38" s="73"/>
      <c r="N38" s="73"/>
      <c r="O38" s="73"/>
      <c r="P38" s="73"/>
      <c r="Q38" s="73"/>
      <c r="R38" s="73"/>
      <c r="S38" s="73"/>
      <c r="T38" s="73"/>
      <c r="U38" s="73"/>
    </row>
    <row r="39" spans="2:21">
      <c r="D39" t="s">
        <v>71</v>
      </c>
      <c r="L39" s="73"/>
      <c r="M39" s="73"/>
      <c r="N39" s="73"/>
      <c r="O39" s="73"/>
      <c r="P39" s="73"/>
      <c r="Q39" s="73"/>
      <c r="R39" s="73"/>
      <c r="S39" s="73">
        <v>21718</v>
      </c>
      <c r="T39" s="73">
        <f t="shared" si="5"/>
        <v>21718</v>
      </c>
    </row>
    <row r="40" spans="2:21">
      <c r="D40" t="s">
        <v>72</v>
      </c>
      <c r="L40" s="73"/>
      <c r="M40" s="73"/>
      <c r="N40" s="73"/>
      <c r="O40" s="73"/>
      <c r="P40" s="73"/>
      <c r="Q40" s="73"/>
      <c r="R40" s="73"/>
      <c r="S40" s="73">
        <v>1521987</v>
      </c>
      <c r="T40" s="73">
        <f t="shared" si="5"/>
        <v>1521987</v>
      </c>
    </row>
    <row r="41" spans="2:21">
      <c r="D41" t="s">
        <v>697</v>
      </c>
      <c r="K41" s="80">
        <v>247612</v>
      </c>
      <c r="L41" s="73"/>
      <c r="M41" s="73"/>
      <c r="N41" s="73"/>
      <c r="O41" s="73"/>
      <c r="P41" s="73"/>
      <c r="Q41" s="73"/>
      <c r="R41" s="73"/>
      <c r="S41" s="73"/>
      <c r="T41" s="73">
        <f t="shared" si="5"/>
        <v>247612</v>
      </c>
    </row>
    <row r="42" spans="2:21">
      <c r="D42" t="s">
        <v>698</v>
      </c>
      <c r="K42" s="80">
        <v>29192</v>
      </c>
      <c r="L42" s="73"/>
      <c r="M42" s="73"/>
      <c r="N42" s="73"/>
      <c r="O42" s="73"/>
      <c r="P42" s="73"/>
      <c r="Q42" s="73"/>
      <c r="R42" s="73"/>
      <c r="S42" s="73"/>
      <c r="T42" s="73">
        <f t="shared" si="5"/>
        <v>29192</v>
      </c>
    </row>
    <row r="43" spans="2:21">
      <c r="D43" t="s">
        <v>165</v>
      </c>
      <c r="L43" s="73"/>
      <c r="M43" s="73"/>
      <c r="N43" s="73"/>
      <c r="O43" s="73"/>
      <c r="R43" s="73"/>
      <c r="S43" s="73">
        <v>474354</v>
      </c>
      <c r="T43" s="73">
        <f t="shared" si="5"/>
        <v>474354</v>
      </c>
    </row>
    <row r="44" spans="2:21">
      <c r="D44" t="s">
        <v>147</v>
      </c>
      <c r="L44" s="73"/>
      <c r="M44" s="73">
        <v>1088864</v>
      </c>
      <c r="N44" s="73"/>
      <c r="O44" s="73"/>
      <c r="P44" s="73"/>
      <c r="Q44" s="73"/>
      <c r="R44" s="73"/>
      <c r="S44" s="73"/>
      <c r="T44" s="73">
        <f t="shared" si="5"/>
        <v>1088864</v>
      </c>
    </row>
    <row r="45" spans="2:21">
      <c r="D45" t="s">
        <v>699</v>
      </c>
      <c r="L45" s="73"/>
      <c r="M45" s="73"/>
      <c r="N45" s="73"/>
      <c r="O45" s="73"/>
      <c r="P45" s="73">
        <v>1508724</v>
      </c>
      <c r="Q45" s="73">
        <v>26454964</v>
      </c>
      <c r="R45" s="73"/>
      <c r="S45" s="73"/>
      <c r="T45" s="73">
        <f t="shared" si="5"/>
        <v>27963688</v>
      </c>
    </row>
    <row r="46" spans="2:21">
      <c r="D46" t="s">
        <v>74</v>
      </c>
      <c r="L46" s="73"/>
      <c r="M46" s="73"/>
      <c r="N46" s="73"/>
      <c r="O46" s="73"/>
      <c r="P46" s="73"/>
      <c r="Q46" s="73"/>
      <c r="R46" s="73">
        <v>14</v>
      </c>
      <c r="S46" s="73">
        <v>30690</v>
      </c>
      <c r="T46" s="73">
        <f>SUM(K46:S46)</f>
        <v>30704</v>
      </c>
    </row>
    <row r="47" spans="2:21">
      <c r="C47" t="s">
        <v>40</v>
      </c>
      <c r="K47" s="73"/>
      <c r="L47" s="73"/>
      <c r="M47" s="73"/>
      <c r="N47" s="73"/>
      <c r="O47" s="73"/>
      <c r="P47" s="73"/>
      <c r="Q47" s="73"/>
      <c r="R47" s="73"/>
      <c r="S47" s="73"/>
      <c r="T47" s="73">
        <f t="shared" si="5"/>
        <v>0</v>
      </c>
    </row>
    <row r="48" spans="2:21">
      <c r="D48" t="s">
        <v>700</v>
      </c>
      <c r="K48" s="80">
        <v>167363</v>
      </c>
      <c r="L48" s="73"/>
      <c r="M48" s="73"/>
      <c r="N48" s="73"/>
      <c r="O48" s="73"/>
      <c r="P48" s="73"/>
      <c r="Q48" s="73"/>
      <c r="R48" s="73"/>
      <c r="S48" s="73"/>
      <c r="T48" s="73">
        <f t="shared" si="5"/>
        <v>167363</v>
      </c>
    </row>
    <row r="49" spans="3:20">
      <c r="C49" t="s">
        <v>701</v>
      </c>
      <c r="K49" s="73"/>
      <c r="L49" s="73"/>
      <c r="M49" s="73"/>
      <c r="N49" s="73"/>
      <c r="O49" s="73"/>
      <c r="P49" s="73"/>
      <c r="Q49" s="73"/>
      <c r="R49" s="73"/>
      <c r="S49" s="73"/>
      <c r="T49" s="73">
        <f t="shared" si="5"/>
        <v>0</v>
      </c>
    </row>
    <row r="50" spans="3:20">
      <c r="D50" t="s">
        <v>72</v>
      </c>
      <c r="K50" s="190">
        <v>198751</v>
      </c>
      <c r="L50" s="73"/>
      <c r="M50" s="73"/>
      <c r="N50" s="73"/>
      <c r="O50" s="73"/>
      <c r="P50" s="73"/>
      <c r="Q50" s="73"/>
      <c r="R50" s="73"/>
      <c r="S50" s="73"/>
      <c r="T50" s="73">
        <f t="shared" si="5"/>
        <v>198751</v>
      </c>
    </row>
    <row r="51" spans="3:20">
      <c r="D51" t="s">
        <v>165</v>
      </c>
      <c r="K51" s="190">
        <v>75788</v>
      </c>
      <c r="L51" s="73"/>
      <c r="M51" s="73"/>
      <c r="N51" s="73"/>
      <c r="O51" s="73"/>
      <c r="P51" s="73"/>
      <c r="Q51" s="73"/>
      <c r="R51" s="73"/>
      <c r="S51" s="73"/>
      <c r="T51" s="73">
        <f t="shared" si="5"/>
        <v>75788</v>
      </c>
    </row>
    <row r="52" spans="3:20">
      <c r="C52" t="s">
        <v>48</v>
      </c>
      <c r="K52" s="84">
        <v>1607798</v>
      </c>
      <c r="L52" s="73">
        <v>186651</v>
      </c>
      <c r="M52" s="73"/>
      <c r="N52" s="73">
        <v>-151731</v>
      </c>
      <c r="O52" s="73">
        <v>8527</v>
      </c>
      <c r="P52" s="73"/>
      <c r="Q52" s="73"/>
      <c r="R52" s="73"/>
      <c r="S52" s="73">
        <v>-69041</v>
      </c>
      <c r="T52" s="73">
        <f t="shared" si="5"/>
        <v>1582204</v>
      </c>
    </row>
    <row r="53" spans="3:20">
      <c r="K53" s="73"/>
      <c r="L53" s="73"/>
      <c r="M53" s="73"/>
      <c r="N53" s="73"/>
      <c r="O53" s="73"/>
      <c r="P53" s="73"/>
      <c r="Q53" s="73"/>
      <c r="R53" s="73"/>
      <c r="S53" s="73"/>
    </row>
    <row r="54" spans="3:20" s="5" customFormat="1">
      <c r="D54" s="6"/>
      <c r="E54" s="6" t="s">
        <v>78</v>
      </c>
      <c r="K54" s="79">
        <f t="shared" ref="K54:S54" si="6">SUM(K37:K52)</f>
        <v>2352381</v>
      </c>
      <c r="L54" s="79">
        <f t="shared" si="6"/>
        <v>202618</v>
      </c>
      <c r="M54" s="79">
        <f t="shared" si="6"/>
        <v>1093054</v>
      </c>
      <c r="N54" s="79">
        <f t="shared" si="6"/>
        <v>-151731</v>
      </c>
      <c r="O54" s="79">
        <f t="shared" si="6"/>
        <v>8527</v>
      </c>
      <c r="P54" s="79">
        <f t="shared" si="6"/>
        <v>1508724</v>
      </c>
      <c r="Q54" s="79">
        <f t="shared" si="6"/>
        <v>26668002</v>
      </c>
      <c r="R54" s="79">
        <f t="shared" si="6"/>
        <v>14</v>
      </c>
      <c r="S54" s="79">
        <f t="shared" si="6"/>
        <v>1979708</v>
      </c>
      <c r="T54" s="79">
        <f>SUM(T37:T52)</f>
        <v>33661297</v>
      </c>
    </row>
    <row r="55" spans="3:20">
      <c r="K55" s="73"/>
      <c r="L55" s="73"/>
      <c r="M55" s="73"/>
      <c r="N55" s="73"/>
      <c r="O55" s="73"/>
      <c r="P55" s="73"/>
      <c r="Q55" s="73"/>
      <c r="R55" s="73"/>
      <c r="S55" s="73"/>
      <c r="T55" s="73"/>
    </row>
    <row r="56" spans="3:20" s="7" customFormat="1">
      <c r="D56" s="8"/>
      <c r="E56" s="8" t="s">
        <v>50</v>
      </c>
      <c r="K56" s="81">
        <f t="shared" ref="K56:S56" si="7">SUM(K28+K33+K54)</f>
        <v>3474784</v>
      </c>
      <c r="L56" s="81">
        <f t="shared" si="7"/>
        <v>493796</v>
      </c>
      <c r="M56" s="81">
        <f t="shared" si="7"/>
        <v>1419409</v>
      </c>
      <c r="N56" s="81">
        <f t="shared" si="7"/>
        <v>32253</v>
      </c>
      <c r="O56" s="81">
        <f t="shared" si="7"/>
        <v>133959</v>
      </c>
      <c r="P56" s="81">
        <f t="shared" si="7"/>
        <v>1512150</v>
      </c>
      <c r="Q56" s="81">
        <f t="shared" si="7"/>
        <v>30862365</v>
      </c>
      <c r="R56" s="81">
        <f t="shared" si="7"/>
        <v>14</v>
      </c>
      <c r="S56" s="81">
        <f t="shared" si="7"/>
        <v>2548914</v>
      </c>
      <c r="T56" s="81">
        <f>SUM(T28+T33+T54)</f>
        <v>40477644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S52"/>
  <sheetViews>
    <sheetView topLeftCell="M4" zoomScale="60" zoomScaleNormal="60" zoomScalePageLayoutView="80" workbookViewId="0">
      <selection activeCell="Q55" sqref="Q55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20.7109375" customWidth="1"/>
    <col min="11" max="11" width="16.28515625" customWidth="1"/>
    <col min="12" max="13" width="16.42578125" customWidth="1"/>
    <col min="14" max="16" width="19.42578125" customWidth="1"/>
    <col min="17" max="17" width="16.85546875" customWidth="1"/>
    <col min="18" max="18" width="17.42578125" customWidth="1"/>
    <col min="19" max="19" width="17" customWidth="1"/>
    <col min="20" max="20" width="18.28515625" customWidth="1"/>
  </cols>
  <sheetData>
    <row r="1" spans="1:19" ht="18.75">
      <c r="D1" s="253" t="s">
        <v>702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703</v>
      </c>
      <c r="E2" s="254"/>
      <c r="F2" s="254"/>
      <c r="G2" s="254"/>
      <c r="H2" s="254"/>
      <c r="I2" s="254"/>
      <c r="J2" s="254"/>
      <c r="K2" s="254"/>
    </row>
    <row r="3" spans="1:19" ht="29.25" customHeight="1">
      <c r="D3" s="57"/>
      <c r="E3" s="57"/>
      <c r="F3" s="57"/>
      <c r="G3" s="57"/>
      <c r="H3" s="57"/>
      <c r="I3" s="57"/>
      <c r="J3" s="57"/>
      <c r="K3" s="254"/>
      <c r="L3" s="254"/>
      <c r="M3" s="254"/>
      <c r="N3" s="254"/>
    </row>
    <row r="4" spans="1:19" ht="15" customHeight="1">
      <c r="K4" s="181"/>
      <c r="L4" s="181"/>
      <c r="M4" s="181"/>
      <c r="N4" s="181"/>
    </row>
    <row r="5" spans="1:19" ht="45">
      <c r="K5" s="1" t="s">
        <v>2</v>
      </c>
      <c r="L5" s="1" t="s">
        <v>704</v>
      </c>
      <c r="M5" s="1" t="s">
        <v>705</v>
      </c>
      <c r="N5" s="1" t="s">
        <v>188</v>
      </c>
      <c r="O5" s="1" t="s">
        <v>706</v>
      </c>
      <c r="P5" s="1" t="s">
        <v>480</v>
      </c>
      <c r="Q5" s="1" t="s">
        <v>191</v>
      </c>
      <c r="R5" s="1" t="s">
        <v>58</v>
      </c>
      <c r="S5" s="1" t="s">
        <v>7</v>
      </c>
    </row>
    <row r="6" spans="1:19">
      <c r="A6" s="86" t="s">
        <v>8</v>
      </c>
    </row>
    <row r="7" spans="1:19">
      <c r="B7" t="s">
        <v>85</v>
      </c>
      <c r="K7" s="72">
        <v>4829757</v>
      </c>
      <c r="L7" s="73">
        <v>12201682</v>
      </c>
      <c r="M7" s="73">
        <v>10873707</v>
      </c>
      <c r="N7" s="73"/>
      <c r="O7" s="73">
        <v>135954</v>
      </c>
      <c r="P7" s="73">
        <v>576710</v>
      </c>
      <c r="Q7" s="73"/>
      <c r="R7" s="73">
        <v>1043508</v>
      </c>
      <c r="S7" s="73">
        <f>SUM(K7:R7)</f>
        <v>29661318</v>
      </c>
    </row>
    <row r="8" spans="1:19">
      <c r="B8" t="s">
        <v>60</v>
      </c>
      <c r="K8" s="74">
        <v>931074</v>
      </c>
      <c r="L8" s="73">
        <v>434626</v>
      </c>
      <c r="M8" s="73"/>
      <c r="N8" s="73">
        <v>5010534</v>
      </c>
      <c r="O8" s="73">
        <v>1496317</v>
      </c>
      <c r="P8" s="73"/>
      <c r="Q8" s="73"/>
      <c r="R8" s="73">
        <v>4493713</v>
      </c>
      <c r="S8" s="73">
        <f>SUM(K8:R8)</f>
        <v>12366264</v>
      </c>
    </row>
    <row r="9" spans="1:19">
      <c r="B9" t="s">
        <v>707</v>
      </c>
      <c r="K9" s="75">
        <v>78022</v>
      </c>
      <c r="L9" s="73">
        <v>244764</v>
      </c>
      <c r="M9" s="73">
        <v>108266</v>
      </c>
      <c r="N9" s="73"/>
      <c r="O9" s="73"/>
      <c r="P9" s="73"/>
      <c r="Q9" s="73"/>
      <c r="R9" s="73"/>
      <c r="S9" s="73">
        <f>SUM(K9:R9)</f>
        <v>431052</v>
      </c>
    </row>
    <row r="10" spans="1:19">
      <c r="B10" t="s">
        <v>16</v>
      </c>
      <c r="K10" s="73"/>
      <c r="L10" s="73"/>
      <c r="M10" s="73"/>
      <c r="N10" s="73">
        <v>6576474</v>
      </c>
      <c r="O10" s="73">
        <v>4827657</v>
      </c>
      <c r="P10" s="73"/>
      <c r="Q10" s="73"/>
      <c r="R10" s="73">
        <v>8873911</v>
      </c>
      <c r="S10" s="73">
        <f>SUM(K10:R10)</f>
        <v>20278042</v>
      </c>
    </row>
    <row r="11" spans="1:19">
      <c r="K11" s="73"/>
      <c r="L11" s="73"/>
      <c r="M11" s="73"/>
      <c r="N11" s="73"/>
      <c r="O11" s="73"/>
      <c r="P11" s="73"/>
      <c r="Q11" s="73"/>
      <c r="R11" s="73"/>
      <c r="S11" s="73"/>
    </row>
    <row r="12" spans="1:19" s="3" customFormat="1">
      <c r="A12" s="2"/>
      <c r="B12" s="2"/>
      <c r="C12" s="2"/>
      <c r="D12" s="2"/>
      <c r="E12" s="2" t="s">
        <v>64</v>
      </c>
      <c r="K12" s="76">
        <f>SUM(K7:K10)</f>
        <v>5838853</v>
      </c>
      <c r="L12" s="76">
        <f>SUM(L7:L10)</f>
        <v>12881072</v>
      </c>
      <c r="M12" s="76">
        <f>SUM(M7:M10)</f>
        <v>10981973</v>
      </c>
      <c r="N12" s="76">
        <f>SUM(N7:N10)</f>
        <v>11587008</v>
      </c>
      <c r="O12" s="76">
        <f t="shared" ref="O12:P12" si="0">SUM(O7:O10)</f>
        <v>6459928</v>
      </c>
      <c r="P12" s="76">
        <f t="shared" si="0"/>
        <v>576710</v>
      </c>
      <c r="Q12" s="76">
        <f>SUM(Q7:Q10)</f>
        <v>0</v>
      </c>
      <c r="R12" s="76">
        <f>SUM(R7:R10)</f>
        <v>14411132</v>
      </c>
      <c r="S12" s="76">
        <f>SUM(S7:S10)</f>
        <v>62736676</v>
      </c>
    </row>
    <row r="13" spans="1:19">
      <c r="K13" s="73"/>
      <c r="L13" s="73"/>
      <c r="M13" s="73"/>
      <c r="N13" s="73"/>
      <c r="O13" s="73"/>
      <c r="P13" s="73"/>
      <c r="Q13" s="73"/>
      <c r="R13" s="73"/>
      <c r="S13" s="73"/>
    </row>
    <row r="14" spans="1:19">
      <c r="A14" s="4" t="s">
        <v>183</v>
      </c>
      <c r="K14" s="73"/>
      <c r="L14" s="73"/>
      <c r="M14" s="73"/>
      <c r="N14" s="73"/>
      <c r="O14" s="73"/>
      <c r="P14" s="73"/>
      <c r="Q14" s="73"/>
      <c r="R14" s="73"/>
      <c r="S14" s="73"/>
    </row>
    <row r="15" spans="1:19">
      <c r="B15" t="s">
        <v>20</v>
      </c>
      <c r="K15" s="73"/>
      <c r="L15" s="73"/>
      <c r="M15" s="73"/>
      <c r="N15" s="73"/>
      <c r="O15" s="73"/>
      <c r="P15" s="73"/>
      <c r="Q15" s="73"/>
      <c r="R15" s="73"/>
      <c r="S15" s="73"/>
    </row>
    <row r="16" spans="1:19">
      <c r="C16" t="s">
        <v>21</v>
      </c>
      <c r="K16" s="77">
        <v>149347</v>
      </c>
      <c r="L16" s="73">
        <v>7100</v>
      </c>
      <c r="M16" s="73">
        <v>12659</v>
      </c>
      <c r="N16" s="73">
        <v>58346</v>
      </c>
      <c r="O16" s="73"/>
      <c r="P16" s="73"/>
      <c r="Q16" s="73">
        <v>74013</v>
      </c>
      <c r="R16" s="73">
        <v>346280</v>
      </c>
      <c r="S16" s="73">
        <f>SUM(K16:R16)</f>
        <v>647745</v>
      </c>
    </row>
    <row r="17" spans="1:19">
      <c r="C17" t="s">
        <v>197</v>
      </c>
      <c r="K17" s="77">
        <v>31534</v>
      </c>
      <c r="L17" s="73"/>
      <c r="M17" s="73">
        <v>670</v>
      </c>
      <c r="N17" s="73">
        <v>45672</v>
      </c>
      <c r="O17" s="73"/>
      <c r="P17" s="73"/>
      <c r="Q17" s="73"/>
      <c r="R17" s="73">
        <v>51319</v>
      </c>
      <c r="S17" s="73">
        <f t="shared" ref="S17:S21" si="1">SUM(K17:R17)</f>
        <v>129195</v>
      </c>
    </row>
    <row r="18" spans="1:19">
      <c r="C18" t="s">
        <v>564</v>
      </c>
      <c r="K18" s="73"/>
      <c r="L18" s="73"/>
      <c r="M18" s="73">
        <v>28084</v>
      </c>
      <c r="N18" s="73"/>
      <c r="O18" s="73"/>
      <c r="P18" s="73"/>
      <c r="Q18" s="73"/>
      <c r="R18" s="73"/>
      <c r="S18" s="73">
        <f t="shared" si="1"/>
        <v>28084</v>
      </c>
    </row>
    <row r="19" spans="1:19">
      <c r="C19" t="s">
        <v>25</v>
      </c>
      <c r="K19" s="78">
        <v>2253184</v>
      </c>
      <c r="L19" s="73">
        <v>4160415</v>
      </c>
      <c r="M19" s="73">
        <v>5167579</v>
      </c>
      <c r="N19" s="73"/>
      <c r="O19" s="73"/>
      <c r="P19" s="73">
        <v>3378375</v>
      </c>
      <c r="Q19" s="73">
        <v>1541805</v>
      </c>
      <c r="R19" s="73">
        <v>3428338</v>
      </c>
      <c r="S19" s="73">
        <f t="shared" si="1"/>
        <v>19929696</v>
      </c>
    </row>
    <row r="20" spans="1:19">
      <c r="C20" t="s">
        <v>708</v>
      </c>
      <c r="K20" s="73"/>
      <c r="L20" s="73"/>
      <c r="M20" s="73"/>
      <c r="N20" s="73"/>
      <c r="O20" s="73"/>
      <c r="P20" s="73"/>
      <c r="Q20" s="73"/>
      <c r="R20" s="73">
        <v>89704</v>
      </c>
      <c r="S20" s="73">
        <f t="shared" si="1"/>
        <v>89704</v>
      </c>
    </row>
    <row r="21" spans="1:19">
      <c r="C21" t="s">
        <v>128</v>
      </c>
      <c r="K21" s="82">
        <v>133007</v>
      </c>
      <c r="L21" s="73"/>
      <c r="M21" s="73"/>
      <c r="N21" s="73"/>
      <c r="O21" s="73"/>
      <c r="P21" s="73"/>
      <c r="Q21" s="73"/>
      <c r="R21" s="73"/>
      <c r="S21" s="73">
        <f t="shared" si="1"/>
        <v>133007</v>
      </c>
    </row>
    <row r="22" spans="1:19">
      <c r="K22" s="73"/>
      <c r="L22" s="73"/>
      <c r="M22" s="73"/>
      <c r="N22" s="73"/>
      <c r="O22" s="73"/>
      <c r="P22" s="73"/>
      <c r="Q22" s="73"/>
      <c r="R22" s="73"/>
      <c r="S22" s="73"/>
    </row>
    <row r="23" spans="1:19" s="5" customFormat="1">
      <c r="B23" s="6"/>
      <c r="C23" s="6"/>
      <c r="D23" s="6"/>
      <c r="E23" s="6" t="s">
        <v>26</v>
      </c>
      <c r="K23" s="79">
        <f t="shared" ref="K23:S23" si="2">SUM(K16:K21)</f>
        <v>2567072</v>
      </c>
      <c r="L23" s="79">
        <f t="shared" si="2"/>
        <v>4167515</v>
      </c>
      <c r="M23" s="79">
        <f t="shared" si="2"/>
        <v>5208992</v>
      </c>
      <c r="N23" s="79">
        <f t="shared" si="2"/>
        <v>104018</v>
      </c>
      <c r="O23" s="79">
        <f t="shared" si="2"/>
        <v>0</v>
      </c>
      <c r="P23" s="79">
        <f t="shared" si="2"/>
        <v>3378375</v>
      </c>
      <c r="Q23" s="79">
        <f t="shared" si="2"/>
        <v>1615818</v>
      </c>
      <c r="R23" s="79">
        <f t="shared" si="2"/>
        <v>3915641</v>
      </c>
      <c r="S23" s="79">
        <f t="shared" si="2"/>
        <v>20957431</v>
      </c>
    </row>
    <row r="24" spans="1:19">
      <c r="K24" s="73"/>
      <c r="L24" s="73"/>
      <c r="M24" s="73"/>
      <c r="N24" s="73"/>
      <c r="O24" s="73"/>
      <c r="P24" s="73"/>
      <c r="Q24" s="73"/>
      <c r="R24" s="73"/>
      <c r="S24" s="73"/>
    </row>
    <row r="25" spans="1:19">
      <c r="A25" s="71" t="s">
        <v>709</v>
      </c>
      <c r="K25" s="73"/>
      <c r="L25" s="73"/>
      <c r="M25" s="73"/>
      <c r="N25" s="73"/>
      <c r="O25" s="73"/>
      <c r="P25" s="73"/>
      <c r="Q25" s="73"/>
      <c r="R25" s="73"/>
      <c r="S25" s="73"/>
    </row>
    <row r="26" spans="1:19">
      <c r="C26" t="s">
        <v>585</v>
      </c>
      <c r="K26" s="85"/>
      <c r="L26" s="85"/>
      <c r="M26" s="85"/>
      <c r="N26" s="85"/>
      <c r="O26" s="85"/>
      <c r="P26" s="85"/>
      <c r="Q26" s="85"/>
      <c r="R26" s="85"/>
      <c r="S26" s="85">
        <f>SUM(K26:R26)</f>
        <v>0</v>
      </c>
    </row>
    <row r="27" spans="1:19">
      <c r="K27" s="73"/>
      <c r="L27" s="73"/>
      <c r="M27" s="73"/>
      <c r="N27" s="73"/>
      <c r="O27" s="73"/>
      <c r="P27" s="73"/>
      <c r="Q27" s="73"/>
      <c r="R27" s="73"/>
      <c r="S27" s="73"/>
    </row>
    <row r="28" spans="1:19">
      <c r="B28" t="s">
        <v>103</v>
      </c>
      <c r="K28" s="73"/>
      <c r="L28" s="73"/>
      <c r="M28" s="73"/>
      <c r="N28" s="73"/>
      <c r="O28" s="73"/>
      <c r="P28" s="73"/>
      <c r="Q28" s="73"/>
      <c r="R28" s="73"/>
      <c r="S28" s="73"/>
    </row>
    <row r="29" spans="1:19">
      <c r="C29" t="s">
        <v>31</v>
      </c>
      <c r="K29" s="73"/>
      <c r="L29" s="73"/>
      <c r="M29" s="73"/>
      <c r="N29" s="73"/>
      <c r="O29" s="73"/>
      <c r="P29" s="73"/>
      <c r="Q29" s="73"/>
      <c r="R29" s="73"/>
      <c r="S29" s="73"/>
    </row>
    <row r="30" spans="1:19">
      <c r="D30" t="s">
        <v>710</v>
      </c>
      <c r="K30" s="73"/>
      <c r="L30" s="73">
        <v>8713557</v>
      </c>
      <c r="M30" s="73">
        <v>5772981</v>
      </c>
      <c r="N30" s="73"/>
      <c r="O30" s="73"/>
      <c r="P30" s="73"/>
      <c r="Q30" s="73"/>
      <c r="R30" s="73"/>
      <c r="S30" s="73">
        <f>SUM(K30:R30)</f>
        <v>14486538</v>
      </c>
    </row>
    <row r="31" spans="1:19">
      <c r="D31" t="s">
        <v>71</v>
      </c>
      <c r="K31" s="73"/>
      <c r="L31" s="73"/>
      <c r="M31" s="73"/>
      <c r="N31" s="73"/>
      <c r="O31" s="73"/>
      <c r="P31" s="73"/>
      <c r="Q31" s="73"/>
      <c r="R31" s="73">
        <v>60432</v>
      </c>
      <c r="S31" s="73">
        <f>SUM(K31:R31)</f>
        <v>60432</v>
      </c>
    </row>
    <row r="32" spans="1:19">
      <c r="D32" t="s">
        <v>72</v>
      </c>
      <c r="K32" s="73"/>
      <c r="L32" s="73"/>
      <c r="M32" s="73"/>
      <c r="N32" s="73">
        <v>11482990</v>
      </c>
      <c r="O32" s="73"/>
      <c r="P32" s="73"/>
      <c r="Q32" s="73"/>
      <c r="R32" s="73">
        <v>609684</v>
      </c>
      <c r="S32" s="73">
        <f>SUM(K32:R32)</f>
        <v>12092674</v>
      </c>
    </row>
    <row r="33" spans="3:19">
      <c r="D33" t="s">
        <v>165</v>
      </c>
      <c r="K33" s="73"/>
      <c r="L33" s="73"/>
      <c r="M33" s="73"/>
      <c r="N33" s="73"/>
      <c r="O33" s="73"/>
      <c r="P33" s="73"/>
      <c r="Q33" s="73"/>
      <c r="R33" s="73">
        <v>3650014</v>
      </c>
      <c r="S33" s="73">
        <f>SUM(K33:R33)</f>
        <v>3650014</v>
      </c>
    </row>
    <row r="34" spans="3:19">
      <c r="D34" t="s">
        <v>115</v>
      </c>
      <c r="K34" s="73"/>
      <c r="L34" s="73"/>
      <c r="M34" s="73"/>
      <c r="N34" s="73"/>
      <c r="O34" s="73"/>
      <c r="P34" s="73"/>
      <c r="Q34" s="73"/>
      <c r="R34" s="73">
        <v>390218</v>
      </c>
      <c r="S34" s="73">
        <f>SUM(K34:R34)</f>
        <v>390218</v>
      </c>
    </row>
    <row r="35" spans="3:19">
      <c r="D35" t="s">
        <v>45</v>
      </c>
      <c r="K35" s="73"/>
      <c r="L35" s="73"/>
      <c r="M35" s="73"/>
      <c r="N35" s="73"/>
      <c r="O35" s="73"/>
      <c r="P35" s="73"/>
      <c r="Q35" s="73"/>
      <c r="R35" s="73">
        <v>1721262</v>
      </c>
      <c r="S35" s="73">
        <f t="shared" ref="S35:S47" si="3">SUM(K35:R35)</f>
        <v>1721262</v>
      </c>
    </row>
    <row r="36" spans="3:19">
      <c r="D36" t="s">
        <v>147</v>
      </c>
      <c r="K36" s="73"/>
      <c r="L36" s="73"/>
      <c r="M36" s="73"/>
      <c r="N36" s="73"/>
      <c r="O36" s="73"/>
      <c r="P36" s="73"/>
      <c r="Q36" s="73"/>
      <c r="R36" s="73">
        <v>586402</v>
      </c>
      <c r="S36" s="73">
        <f>SUM(K36:R36)</f>
        <v>586402</v>
      </c>
    </row>
    <row r="37" spans="3:19">
      <c r="D37" t="s">
        <v>74</v>
      </c>
      <c r="K37" s="73"/>
      <c r="L37" s="73"/>
      <c r="M37" s="73"/>
      <c r="N37" s="73"/>
      <c r="O37" s="73">
        <v>6459928</v>
      </c>
      <c r="P37" s="73"/>
      <c r="Q37" s="73"/>
      <c r="R37" s="73">
        <v>143322</v>
      </c>
      <c r="S37" s="73">
        <f t="shared" si="3"/>
        <v>6603250</v>
      </c>
    </row>
    <row r="38" spans="3:19">
      <c r="D38" t="s">
        <v>641</v>
      </c>
      <c r="K38" s="73"/>
      <c r="L38" s="73"/>
      <c r="M38" s="73"/>
      <c r="N38" s="73"/>
      <c r="O38" s="73"/>
      <c r="P38" s="73"/>
      <c r="Q38" s="73"/>
      <c r="R38" s="73"/>
      <c r="S38" s="73">
        <f t="shared" si="3"/>
        <v>0</v>
      </c>
    </row>
    <row r="39" spans="3:19">
      <c r="C39" t="s">
        <v>257</v>
      </c>
      <c r="K39" s="73"/>
      <c r="L39" s="73"/>
      <c r="M39" s="73"/>
      <c r="N39" s="73"/>
      <c r="O39" s="73"/>
      <c r="P39" s="73"/>
      <c r="Q39" s="73"/>
      <c r="R39" s="73"/>
      <c r="S39" s="73"/>
    </row>
    <row r="40" spans="3:19">
      <c r="D40" t="s">
        <v>71</v>
      </c>
      <c r="K40" s="73"/>
      <c r="L40" s="73"/>
      <c r="M40" s="73"/>
      <c r="N40" s="73"/>
      <c r="O40" s="73"/>
      <c r="P40" s="73"/>
      <c r="Q40" s="73"/>
      <c r="R40" s="73">
        <v>342048</v>
      </c>
      <c r="S40" s="73">
        <f t="shared" si="3"/>
        <v>342048</v>
      </c>
    </row>
    <row r="41" spans="3:19">
      <c r="D41" t="s">
        <v>72</v>
      </c>
      <c r="K41" s="73"/>
      <c r="L41" s="73"/>
      <c r="M41" s="73"/>
      <c r="N41" s="73"/>
      <c r="O41" s="73"/>
      <c r="P41" s="73"/>
      <c r="Q41" s="73"/>
      <c r="R41" s="73">
        <v>286686</v>
      </c>
      <c r="S41" s="73">
        <f t="shared" si="3"/>
        <v>286686</v>
      </c>
    </row>
    <row r="42" spans="3:19">
      <c r="D42" t="s">
        <v>165</v>
      </c>
      <c r="K42" s="73"/>
      <c r="L42" s="73"/>
      <c r="M42" s="73"/>
      <c r="N42" s="73"/>
      <c r="O42" s="73"/>
      <c r="P42" s="73"/>
      <c r="Q42" s="73"/>
      <c r="R42" s="73"/>
      <c r="S42" s="73">
        <f t="shared" si="3"/>
        <v>0</v>
      </c>
    </row>
    <row r="43" spans="3:19">
      <c r="D43" t="s">
        <v>45</v>
      </c>
      <c r="K43" s="73"/>
      <c r="L43" s="73"/>
      <c r="M43" s="73"/>
      <c r="N43" s="73"/>
      <c r="O43" s="73"/>
      <c r="P43" s="73"/>
      <c r="Q43" s="73"/>
      <c r="R43" s="73">
        <v>190298</v>
      </c>
      <c r="S43" s="73">
        <f t="shared" si="3"/>
        <v>190298</v>
      </c>
    </row>
    <row r="44" spans="3:19">
      <c r="D44" t="s">
        <v>147</v>
      </c>
      <c r="K44" s="73"/>
      <c r="L44" s="73"/>
      <c r="M44" s="73"/>
      <c r="N44" s="73"/>
      <c r="O44" s="73"/>
      <c r="P44" s="73"/>
      <c r="Q44" s="73"/>
      <c r="R44" s="73">
        <v>43500</v>
      </c>
      <c r="S44" s="73">
        <f t="shared" si="3"/>
        <v>43500</v>
      </c>
    </row>
    <row r="45" spans="3:19">
      <c r="C45" t="s">
        <v>206</v>
      </c>
      <c r="K45" s="73"/>
      <c r="L45" s="73"/>
      <c r="M45" s="73"/>
      <c r="N45" s="73"/>
      <c r="O45" s="73"/>
      <c r="P45" s="73"/>
      <c r="Q45" s="73"/>
      <c r="R45" s="73"/>
      <c r="S45" s="73">
        <f t="shared" si="3"/>
        <v>0</v>
      </c>
    </row>
    <row r="46" spans="3:19">
      <c r="D46" t="s">
        <v>45</v>
      </c>
      <c r="K46" s="73"/>
      <c r="L46" s="73"/>
      <c r="M46" s="73"/>
      <c r="N46" s="73"/>
      <c r="O46" s="73"/>
      <c r="P46" s="73"/>
      <c r="Q46" s="73"/>
      <c r="R46" s="73">
        <v>1626778</v>
      </c>
      <c r="S46" s="73">
        <f t="shared" si="3"/>
        <v>1626778</v>
      </c>
    </row>
    <row r="47" spans="3:19">
      <c r="D47" t="s">
        <v>74</v>
      </c>
      <c r="K47" s="73"/>
      <c r="L47" s="73"/>
      <c r="M47" s="73"/>
      <c r="N47" s="73"/>
      <c r="O47" s="73"/>
      <c r="P47" s="73"/>
      <c r="Q47" s="73"/>
      <c r="R47" s="73">
        <v>19794</v>
      </c>
      <c r="S47" s="73">
        <f t="shared" si="3"/>
        <v>19794</v>
      </c>
    </row>
    <row r="48" spans="3:19">
      <c r="C48" t="s">
        <v>48</v>
      </c>
      <c r="K48" s="84">
        <v>3271781</v>
      </c>
      <c r="L48" s="73"/>
      <c r="M48" s="73"/>
      <c r="N48" s="73"/>
      <c r="O48" s="73"/>
      <c r="P48" s="73">
        <v>-2801665</v>
      </c>
      <c r="Q48" s="73">
        <v>-1615818</v>
      </c>
      <c r="R48" s="73">
        <v>825053</v>
      </c>
      <c r="S48" s="73">
        <f>SUM(K48:R48)</f>
        <v>-320649</v>
      </c>
    </row>
    <row r="49" spans="4:19">
      <c r="K49" s="73"/>
      <c r="L49" s="73"/>
      <c r="M49" s="73"/>
      <c r="N49" s="73"/>
      <c r="O49" s="73"/>
      <c r="P49" s="73"/>
      <c r="Q49" s="73"/>
      <c r="R49" s="73"/>
      <c r="S49" s="73"/>
    </row>
    <row r="50" spans="4:19" s="5" customFormat="1">
      <c r="D50" s="6"/>
      <c r="E50" s="6" t="s">
        <v>78</v>
      </c>
      <c r="K50" s="79">
        <f t="shared" ref="K50:R50" si="4">SUM(K29:K48)</f>
        <v>3271781</v>
      </c>
      <c r="L50" s="79">
        <f t="shared" si="4"/>
        <v>8713557</v>
      </c>
      <c r="M50" s="79">
        <f t="shared" si="4"/>
        <v>5772981</v>
      </c>
      <c r="N50" s="79">
        <f t="shared" si="4"/>
        <v>11482990</v>
      </c>
      <c r="O50" s="79">
        <f t="shared" si="4"/>
        <v>6459928</v>
      </c>
      <c r="P50" s="79">
        <f t="shared" si="4"/>
        <v>-2801665</v>
      </c>
      <c r="Q50" s="79">
        <f t="shared" si="4"/>
        <v>-1615818</v>
      </c>
      <c r="R50" s="79">
        <f t="shared" si="4"/>
        <v>10495491</v>
      </c>
      <c r="S50" s="79">
        <f>SUM(S29:S48)</f>
        <v>41779245</v>
      </c>
    </row>
    <row r="51" spans="4:19">
      <c r="K51" s="73"/>
      <c r="L51" s="73"/>
      <c r="M51" s="73"/>
      <c r="N51" s="73"/>
      <c r="O51" s="73"/>
      <c r="P51" s="73"/>
      <c r="Q51" s="73"/>
      <c r="R51" s="73"/>
      <c r="S51" s="73"/>
    </row>
    <row r="52" spans="4:19" s="7" customFormat="1">
      <c r="D52" s="8"/>
      <c r="E52" s="8" t="s">
        <v>50</v>
      </c>
      <c r="K52" s="81">
        <f>SUM(K23+K50)</f>
        <v>5838853</v>
      </c>
      <c r="L52" s="81">
        <f t="shared" ref="L52:S52" si="5">SUM(L50,L23,L26)</f>
        <v>12881072</v>
      </c>
      <c r="M52" s="81">
        <f t="shared" si="5"/>
        <v>10981973</v>
      </c>
      <c r="N52" s="81">
        <f t="shared" si="5"/>
        <v>11587008</v>
      </c>
      <c r="O52" s="81">
        <f t="shared" si="5"/>
        <v>6459928</v>
      </c>
      <c r="P52" s="81">
        <f t="shared" si="5"/>
        <v>576710</v>
      </c>
      <c r="Q52" s="81">
        <f t="shared" si="5"/>
        <v>0</v>
      </c>
      <c r="R52" s="81">
        <f t="shared" si="5"/>
        <v>14411132</v>
      </c>
      <c r="S52" s="81">
        <f t="shared" si="5"/>
        <v>62736676</v>
      </c>
    </row>
  </sheetData>
  <mergeCells count="3">
    <mergeCell ref="D1:K1"/>
    <mergeCell ref="D2:K2"/>
    <mergeCell ref="K3:N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R49"/>
  <sheetViews>
    <sheetView zoomScale="50" zoomScaleNormal="50" workbookViewId="0">
      <selection activeCell="Q58" sqref="Q58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3.140625" customWidth="1"/>
    <col min="12" max="13" width="16.42578125" customWidth="1"/>
    <col min="14" max="14" width="16.140625" customWidth="1"/>
    <col min="15" max="15" width="13.140625" customWidth="1"/>
    <col min="16" max="16" width="19.42578125" customWidth="1"/>
    <col min="17" max="17" width="14.42578125" customWidth="1"/>
    <col min="18" max="18" width="13.85546875" customWidth="1"/>
  </cols>
  <sheetData>
    <row r="1" spans="1:18" ht="18.75">
      <c r="D1" s="253" t="s">
        <v>711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703</v>
      </c>
      <c r="E2" s="254"/>
      <c r="F2" s="254"/>
      <c r="G2" s="254"/>
      <c r="H2" s="254"/>
      <c r="I2" s="254"/>
      <c r="J2" s="254"/>
      <c r="K2" s="254"/>
    </row>
    <row r="3" spans="1:18" ht="12" customHeight="1">
      <c r="D3" s="57"/>
      <c r="E3" s="57"/>
      <c r="F3" s="57"/>
      <c r="G3" s="57"/>
      <c r="H3" s="57"/>
      <c r="I3" s="57"/>
      <c r="J3" s="57"/>
      <c r="K3" s="254"/>
      <c r="L3" s="254"/>
      <c r="M3" s="254"/>
      <c r="N3" s="254"/>
      <c r="O3" s="202"/>
      <c r="P3" s="202"/>
      <c r="Q3" s="202"/>
    </row>
    <row r="4" spans="1:18" ht="15" customHeight="1">
      <c r="K4" s="181"/>
      <c r="L4" s="181"/>
      <c r="M4" s="181"/>
      <c r="N4" s="181"/>
      <c r="O4" s="181"/>
    </row>
    <row r="5" spans="1:18" ht="60">
      <c r="K5" s="1" t="s">
        <v>2</v>
      </c>
      <c r="L5" s="1" t="s">
        <v>712</v>
      </c>
      <c r="M5" s="1" t="s">
        <v>713</v>
      </c>
      <c r="N5" s="200" t="s">
        <v>714</v>
      </c>
      <c r="O5" s="200" t="s">
        <v>715</v>
      </c>
      <c r="P5" s="200" t="s">
        <v>716</v>
      </c>
      <c r="Q5" s="200" t="s">
        <v>6</v>
      </c>
      <c r="R5" s="200" t="s">
        <v>7</v>
      </c>
    </row>
    <row r="6" spans="1:18">
      <c r="A6" t="s">
        <v>8</v>
      </c>
      <c r="N6" s="201"/>
      <c r="O6" s="201"/>
      <c r="P6" s="201"/>
      <c r="Q6" s="201"/>
    </row>
    <row r="7" spans="1:18">
      <c r="B7" t="s">
        <v>85</v>
      </c>
      <c r="L7" s="73">
        <v>123</v>
      </c>
      <c r="M7" s="73"/>
      <c r="N7" s="90"/>
      <c r="O7" s="90">
        <v>235</v>
      </c>
      <c r="P7" s="90">
        <v>1</v>
      </c>
      <c r="Q7" s="220">
        <v>1706201</v>
      </c>
      <c r="R7" s="102">
        <f>SUM(K7:Q7)</f>
        <v>1706560</v>
      </c>
    </row>
    <row r="8" spans="1:18">
      <c r="B8" t="s">
        <v>10</v>
      </c>
      <c r="K8" s="73"/>
      <c r="L8" s="73">
        <v>2710814</v>
      </c>
      <c r="M8" s="73">
        <v>1307498</v>
      </c>
      <c r="N8" s="90">
        <v>1502859</v>
      </c>
      <c r="O8" s="90"/>
      <c r="P8" s="90">
        <v>2581509</v>
      </c>
      <c r="Q8" s="220">
        <v>2497135</v>
      </c>
      <c r="R8" s="102">
        <f>SUM(K8:Q8)</f>
        <v>10599815</v>
      </c>
    </row>
    <row r="9" spans="1:18">
      <c r="B9" t="s">
        <v>717</v>
      </c>
      <c r="K9" s="73"/>
      <c r="L9" s="73"/>
      <c r="M9" s="73"/>
      <c r="N9" s="90"/>
      <c r="O9" s="90"/>
      <c r="P9" s="90"/>
      <c r="Q9" s="220"/>
      <c r="R9" s="220"/>
    </row>
    <row r="10" spans="1:18">
      <c r="C10" t="s">
        <v>718</v>
      </c>
      <c r="K10" s="74">
        <v>449501</v>
      </c>
      <c r="L10" s="73">
        <v>107999</v>
      </c>
      <c r="M10" s="73">
        <v>203765</v>
      </c>
      <c r="N10" s="90"/>
      <c r="O10" s="90"/>
      <c r="P10" s="90"/>
      <c r="Q10" s="220">
        <v>133851</v>
      </c>
      <c r="R10" s="102">
        <f t="shared" ref="R10:R11" si="0">SUM(K10:Q10)</f>
        <v>895116</v>
      </c>
    </row>
    <row r="11" spans="1:18">
      <c r="B11" t="s">
        <v>17</v>
      </c>
      <c r="K11" s="75">
        <v>1601018</v>
      </c>
      <c r="L11" s="73"/>
      <c r="M11" s="73">
        <v>41357</v>
      </c>
      <c r="N11" s="90"/>
      <c r="O11" s="90"/>
      <c r="P11" s="90">
        <v>641246</v>
      </c>
      <c r="Q11" s="220"/>
      <c r="R11" s="102">
        <f t="shared" si="0"/>
        <v>2283621</v>
      </c>
    </row>
    <row r="12" spans="1:18">
      <c r="B12" t="s">
        <v>61</v>
      </c>
      <c r="K12" s="75">
        <v>3050405</v>
      </c>
      <c r="L12" s="73">
        <v>1049937</v>
      </c>
      <c r="M12" s="73">
        <v>476265</v>
      </c>
      <c r="N12" s="90">
        <v>1148176</v>
      </c>
      <c r="O12" s="90">
        <v>1000696</v>
      </c>
      <c r="P12" s="90"/>
      <c r="Q12" s="220">
        <v>1362352</v>
      </c>
      <c r="R12" s="102">
        <f>SUM(K12:Q12)</f>
        <v>8087831</v>
      </c>
    </row>
    <row r="13" spans="1:18">
      <c r="B13" t="s">
        <v>16</v>
      </c>
      <c r="L13" s="73">
        <v>137</v>
      </c>
      <c r="M13" s="73"/>
      <c r="N13" s="90"/>
      <c r="O13" s="90"/>
      <c r="P13" s="90"/>
      <c r="Q13" s="220"/>
      <c r="R13" s="102">
        <f>SUM(K13:Q13)</f>
        <v>137</v>
      </c>
    </row>
    <row r="14" spans="1:18">
      <c r="B14" t="s">
        <v>546</v>
      </c>
      <c r="L14" s="73"/>
      <c r="M14" s="73"/>
      <c r="N14" s="90"/>
      <c r="O14" s="90"/>
      <c r="P14" s="90"/>
      <c r="Q14" s="220">
        <v>3566818</v>
      </c>
      <c r="R14" s="102">
        <f>SUM(K14:Q14)</f>
        <v>3566818</v>
      </c>
    </row>
    <row r="15" spans="1:18">
      <c r="B15" t="s">
        <v>126</v>
      </c>
      <c r="L15" s="73"/>
      <c r="M15" s="73"/>
      <c r="N15" s="90"/>
      <c r="O15" s="90"/>
      <c r="P15" s="90"/>
      <c r="Q15" s="220">
        <v>4220</v>
      </c>
      <c r="R15" s="102">
        <f>SUM(K15:Q15)</f>
        <v>4220</v>
      </c>
    </row>
    <row r="16" spans="1:18">
      <c r="K16" s="93"/>
      <c r="L16" s="93"/>
      <c r="M16" s="93"/>
      <c r="N16" s="219"/>
      <c r="O16" s="219"/>
      <c r="P16" s="219"/>
      <c r="Q16" s="221"/>
      <c r="R16" s="151"/>
    </row>
    <row r="17" spans="1:18" s="3" customFormat="1">
      <c r="A17" s="2"/>
      <c r="B17" s="2"/>
      <c r="C17" s="2"/>
      <c r="D17" s="2"/>
      <c r="E17" s="2" t="s">
        <v>64</v>
      </c>
      <c r="K17" s="76">
        <f t="shared" ref="K17:R17" si="1">SUM(K7:K15)</f>
        <v>5100924</v>
      </c>
      <c r="L17" s="76">
        <f t="shared" si="1"/>
        <v>3869010</v>
      </c>
      <c r="M17" s="76">
        <f t="shared" si="1"/>
        <v>2028885</v>
      </c>
      <c r="N17" s="76">
        <f t="shared" si="1"/>
        <v>2651035</v>
      </c>
      <c r="O17" s="76">
        <f t="shared" si="1"/>
        <v>1000931</v>
      </c>
      <c r="P17" s="76">
        <f t="shared" si="1"/>
        <v>3222756</v>
      </c>
      <c r="Q17" s="222">
        <f t="shared" si="1"/>
        <v>9270577</v>
      </c>
      <c r="R17" s="222">
        <f t="shared" si="1"/>
        <v>27144118</v>
      </c>
    </row>
    <row r="18" spans="1:18">
      <c r="K18" s="73"/>
      <c r="L18" s="73"/>
      <c r="M18" s="73"/>
      <c r="N18" s="73"/>
      <c r="O18" s="73"/>
      <c r="P18" s="73"/>
      <c r="Q18" s="102"/>
      <c r="R18" s="102"/>
    </row>
    <row r="19" spans="1:18">
      <c r="A19" s="4" t="s">
        <v>160</v>
      </c>
      <c r="K19" s="73"/>
      <c r="L19" s="73"/>
      <c r="M19" s="73"/>
      <c r="N19" s="73"/>
      <c r="O19" s="73"/>
      <c r="P19" s="73"/>
    </row>
    <row r="20" spans="1:18">
      <c r="C20" t="s">
        <v>719</v>
      </c>
      <c r="K20" s="77">
        <v>343181</v>
      </c>
      <c r="L20" s="73">
        <v>157410</v>
      </c>
      <c r="M20" s="73">
        <v>188218</v>
      </c>
      <c r="N20" s="73"/>
      <c r="O20" s="73"/>
      <c r="P20" s="73">
        <v>407</v>
      </c>
      <c r="Q20" s="73">
        <v>262047</v>
      </c>
      <c r="R20" s="73">
        <f t="shared" ref="R20:R26" si="2">SUM(K20:Q20)</f>
        <v>951263</v>
      </c>
    </row>
    <row r="21" spans="1:18">
      <c r="C21" t="s">
        <v>95</v>
      </c>
      <c r="L21" s="73"/>
      <c r="M21" s="73"/>
      <c r="N21" s="73">
        <v>659864</v>
      </c>
      <c r="O21" s="73">
        <v>729580</v>
      </c>
      <c r="P21" s="73"/>
      <c r="R21" s="73">
        <f t="shared" si="2"/>
        <v>1389444</v>
      </c>
    </row>
    <row r="22" spans="1:18">
      <c r="C22" t="s">
        <v>22</v>
      </c>
      <c r="L22" s="73">
        <v>21657</v>
      </c>
      <c r="M22" s="73"/>
      <c r="N22" s="73">
        <v>218738</v>
      </c>
      <c r="O22" s="73">
        <v>271116</v>
      </c>
      <c r="P22" s="73"/>
      <c r="Q22" s="73">
        <v>4113</v>
      </c>
      <c r="R22" s="73">
        <f t="shared" si="2"/>
        <v>515624</v>
      </c>
    </row>
    <row r="23" spans="1:18">
      <c r="C23" t="s">
        <v>197</v>
      </c>
      <c r="K23" s="82">
        <v>130516</v>
      </c>
      <c r="L23" s="73">
        <v>61155</v>
      </c>
      <c r="M23" s="73">
        <v>2337</v>
      </c>
      <c r="N23" s="73"/>
      <c r="O23" s="73"/>
      <c r="P23" s="73"/>
      <c r="Q23">
        <v>47186</v>
      </c>
      <c r="R23" s="73">
        <f t="shared" si="2"/>
        <v>241194</v>
      </c>
    </row>
    <row r="24" spans="1:18">
      <c r="C24" t="s">
        <v>466</v>
      </c>
      <c r="L24" s="73"/>
      <c r="M24" s="73"/>
      <c r="N24" s="73"/>
      <c r="O24" s="73"/>
      <c r="P24" s="73"/>
      <c r="Q24" s="73">
        <v>456210</v>
      </c>
      <c r="R24" s="73">
        <f t="shared" si="2"/>
        <v>456210</v>
      </c>
    </row>
    <row r="25" spans="1:18">
      <c r="C25" t="s">
        <v>25</v>
      </c>
      <c r="K25" s="78">
        <v>1319</v>
      </c>
      <c r="L25" s="73"/>
      <c r="M25" s="73"/>
      <c r="N25" s="73"/>
      <c r="O25" s="73"/>
      <c r="P25" s="73"/>
      <c r="Q25">
        <v>50</v>
      </c>
      <c r="R25" s="73">
        <f t="shared" si="2"/>
        <v>1369</v>
      </c>
    </row>
    <row r="26" spans="1:18">
      <c r="C26" t="s">
        <v>720</v>
      </c>
      <c r="K26" s="78">
        <v>1456609</v>
      </c>
      <c r="L26" s="73">
        <v>1639875</v>
      </c>
      <c r="M26" s="73">
        <v>1006727</v>
      </c>
      <c r="N26" s="73">
        <v>1375772</v>
      </c>
      <c r="O26" s="73"/>
      <c r="P26" s="73">
        <v>2279203</v>
      </c>
      <c r="Q26" s="73">
        <v>732903</v>
      </c>
      <c r="R26" s="73">
        <f t="shared" si="2"/>
        <v>8491089</v>
      </c>
    </row>
    <row r="27" spans="1:18">
      <c r="K27" s="93"/>
      <c r="L27" s="93"/>
      <c r="M27" s="93"/>
      <c r="N27" s="93"/>
      <c r="O27" s="93"/>
      <c r="P27" s="93"/>
      <c r="Q27" s="94"/>
      <c r="R27" s="94"/>
    </row>
    <row r="28" spans="1:18" s="5" customFormat="1">
      <c r="B28" s="6"/>
      <c r="C28" s="6"/>
      <c r="D28" s="6"/>
      <c r="E28" s="6" t="s">
        <v>26</v>
      </c>
      <c r="K28" s="79">
        <f t="shared" ref="K28:R28" si="3">SUM(K20:K26)</f>
        <v>1931625</v>
      </c>
      <c r="L28" s="79">
        <f t="shared" si="3"/>
        <v>1880097</v>
      </c>
      <c r="M28" s="79">
        <f t="shared" si="3"/>
        <v>1197282</v>
      </c>
      <c r="N28" s="79">
        <f t="shared" si="3"/>
        <v>2254374</v>
      </c>
      <c r="O28" s="79">
        <f t="shared" si="3"/>
        <v>1000696</v>
      </c>
      <c r="P28" s="79">
        <f t="shared" si="3"/>
        <v>2279610</v>
      </c>
      <c r="Q28" s="79">
        <f t="shared" si="3"/>
        <v>1502509</v>
      </c>
      <c r="R28" s="79">
        <f t="shared" si="3"/>
        <v>12046193</v>
      </c>
    </row>
    <row r="29" spans="1:18">
      <c r="K29" s="73"/>
      <c r="L29" s="73"/>
      <c r="M29" s="73"/>
      <c r="N29" s="73"/>
      <c r="O29" s="73"/>
      <c r="P29" s="73"/>
    </row>
    <row r="30" spans="1:18">
      <c r="B30" t="s">
        <v>721</v>
      </c>
      <c r="K30" s="73"/>
      <c r="L30" s="73"/>
      <c r="M30" s="73"/>
      <c r="N30" s="73"/>
      <c r="O30" s="73"/>
      <c r="P30" s="73"/>
    </row>
    <row r="31" spans="1:18">
      <c r="C31" t="s">
        <v>722</v>
      </c>
      <c r="K31" s="80">
        <v>1600000</v>
      </c>
      <c r="L31" s="73">
        <v>1049937</v>
      </c>
      <c r="M31" s="73"/>
      <c r="N31" s="73"/>
      <c r="O31" s="73"/>
      <c r="P31" s="73">
        <v>589137</v>
      </c>
      <c r="R31" s="73">
        <f t="shared" ref="R31:R45" si="4">SUM(K31:Q31)</f>
        <v>3239074</v>
      </c>
    </row>
    <row r="32" spans="1:18">
      <c r="C32" t="s">
        <v>31</v>
      </c>
      <c r="K32" s="73"/>
      <c r="L32" s="73"/>
      <c r="M32" s="73"/>
      <c r="N32" s="73"/>
      <c r="O32" s="73"/>
      <c r="P32" s="73"/>
      <c r="Q32" s="102"/>
      <c r="R32" s="102"/>
    </row>
    <row r="33" spans="3:18">
      <c r="D33" t="s">
        <v>723</v>
      </c>
      <c r="K33" s="73"/>
      <c r="L33" s="73"/>
      <c r="M33" s="73"/>
      <c r="N33" s="73"/>
      <c r="O33" s="73"/>
      <c r="P33" s="73"/>
      <c r="Q33" s="102">
        <v>1620084</v>
      </c>
      <c r="R33" s="73">
        <f t="shared" si="4"/>
        <v>1620084</v>
      </c>
    </row>
    <row r="34" spans="3:18">
      <c r="D34" t="s">
        <v>74</v>
      </c>
      <c r="K34" s="73"/>
      <c r="L34" s="73"/>
      <c r="M34" s="73"/>
      <c r="N34" s="73"/>
      <c r="O34" s="73"/>
      <c r="P34" s="73"/>
      <c r="Q34" s="102">
        <v>3473635</v>
      </c>
      <c r="R34" s="73">
        <f t="shared" si="4"/>
        <v>3473635</v>
      </c>
    </row>
    <row r="35" spans="3:18">
      <c r="C35" t="s">
        <v>724</v>
      </c>
      <c r="K35" s="73"/>
      <c r="L35" s="73"/>
      <c r="M35" s="73"/>
      <c r="N35" s="73"/>
      <c r="O35" s="73"/>
      <c r="P35" s="73"/>
      <c r="Q35" s="102"/>
      <c r="R35" s="102"/>
    </row>
    <row r="36" spans="3:18">
      <c r="D36" t="s">
        <v>668</v>
      </c>
      <c r="K36" s="73"/>
      <c r="L36" s="73"/>
      <c r="M36" s="73"/>
      <c r="N36" s="73"/>
      <c r="O36" s="73"/>
      <c r="P36" s="73"/>
      <c r="Q36" s="102">
        <v>254884</v>
      </c>
      <c r="R36" s="73">
        <f t="shared" si="4"/>
        <v>254884</v>
      </c>
    </row>
    <row r="37" spans="3:18">
      <c r="D37" t="s">
        <v>165</v>
      </c>
      <c r="K37" s="73"/>
      <c r="L37" s="73"/>
      <c r="M37" s="73"/>
      <c r="N37" s="73"/>
      <c r="O37" s="73"/>
      <c r="P37" s="73"/>
      <c r="Q37" s="102">
        <v>65518</v>
      </c>
      <c r="R37" s="73">
        <f t="shared" si="4"/>
        <v>65518</v>
      </c>
    </row>
    <row r="38" spans="3:18">
      <c r="D38" t="s">
        <v>72</v>
      </c>
      <c r="K38" s="73"/>
      <c r="L38" s="73">
        <v>938976</v>
      </c>
      <c r="M38" s="73"/>
      <c r="N38" s="73"/>
      <c r="O38" s="73"/>
      <c r="P38" s="73"/>
      <c r="Q38" s="102">
        <v>151548</v>
      </c>
      <c r="R38" s="73">
        <f t="shared" si="4"/>
        <v>1090524</v>
      </c>
    </row>
    <row r="39" spans="3:18">
      <c r="D39" t="s">
        <v>115</v>
      </c>
      <c r="K39" s="73"/>
      <c r="L39" s="73"/>
      <c r="M39" s="73"/>
      <c r="N39" s="73"/>
      <c r="O39" s="73"/>
      <c r="P39" s="73"/>
      <c r="Q39" s="102">
        <v>291186</v>
      </c>
      <c r="R39" s="73">
        <f t="shared" si="4"/>
        <v>291186</v>
      </c>
    </row>
    <row r="40" spans="3:18">
      <c r="D40" t="s">
        <v>147</v>
      </c>
      <c r="K40" s="73"/>
      <c r="L40" s="73"/>
      <c r="M40" s="73"/>
      <c r="N40" s="73"/>
      <c r="O40" s="73"/>
      <c r="P40" s="73"/>
      <c r="Q40" s="102">
        <v>179735</v>
      </c>
      <c r="R40" s="73">
        <f t="shared" si="4"/>
        <v>179735</v>
      </c>
    </row>
    <row r="41" spans="3:18">
      <c r="D41" t="s">
        <v>725</v>
      </c>
      <c r="K41" s="73"/>
      <c r="L41" s="73"/>
      <c r="M41" s="73"/>
      <c r="N41" s="73"/>
      <c r="O41" s="73"/>
      <c r="P41" s="73"/>
      <c r="Q41" s="102">
        <v>14591</v>
      </c>
      <c r="R41" s="73">
        <f t="shared" si="4"/>
        <v>14591</v>
      </c>
    </row>
    <row r="42" spans="3:18">
      <c r="D42" t="s">
        <v>74</v>
      </c>
      <c r="K42" s="73"/>
      <c r="L42" s="73"/>
      <c r="M42" s="73"/>
      <c r="N42" s="73"/>
      <c r="O42" s="73"/>
      <c r="P42" s="73"/>
      <c r="Q42" s="102">
        <v>1125980</v>
      </c>
      <c r="R42" s="73">
        <f t="shared" si="4"/>
        <v>1125980</v>
      </c>
    </row>
    <row r="43" spans="3:18">
      <c r="D43" t="s">
        <v>73</v>
      </c>
      <c r="K43" s="73"/>
      <c r="L43" s="73"/>
      <c r="M43" s="73">
        <v>831603</v>
      </c>
      <c r="N43" s="73"/>
      <c r="O43" s="73"/>
      <c r="P43" s="73"/>
      <c r="Q43" s="102"/>
      <c r="R43" s="73">
        <f t="shared" si="4"/>
        <v>831603</v>
      </c>
    </row>
    <row r="44" spans="3:18">
      <c r="D44" t="s">
        <v>44</v>
      </c>
      <c r="K44" s="73"/>
      <c r="L44" s="73"/>
      <c r="M44" s="73"/>
      <c r="N44" s="73">
        <v>396661</v>
      </c>
      <c r="O44" s="73">
        <v>235</v>
      </c>
      <c r="P44" s="73"/>
      <c r="Q44" s="102"/>
      <c r="R44" s="73">
        <f t="shared" si="4"/>
        <v>396896</v>
      </c>
    </row>
    <row r="45" spans="3:18">
      <c r="C45" t="s">
        <v>48</v>
      </c>
      <c r="K45" s="84">
        <v>1569299</v>
      </c>
      <c r="L45" s="73"/>
      <c r="M45" s="73"/>
      <c r="N45" s="73"/>
      <c r="O45" s="73"/>
      <c r="P45" s="73">
        <v>354009</v>
      </c>
      <c r="Q45" s="102">
        <v>590907</v>
      </c>
      <c r="R45" s="73">
        <f t="shared" si="4"/>
        <v>2514215</v>
      </c>
    </row>
    <row r="46" spans="3:18">
      <c r="K46" s="93"/>
      <c r="L46" s="93"/>
      <c r="M46" s="93"/>
      <c r="N46" s="93"/>
      <c r="O46" s="93"/>
      <c r="P46" s="93"/>
      <c r="Q46" s="94"/>
      <c r="R46" s="94"/>
    </row>
    <row r="47" spans="3:18" s="5" customFormat="1">
      <c r="D47" s="6"/>
      <c r="E47" s="6" t="s">
        <v>78</v>
      </c>
      <c r="K47" s="203">
        <f t="shared" ref="K47:Q47" si="5">SUM(K31:K45)</f>
        <v>3169299</v>
      </c>
      <c r="L47" s="203">
        <f t="shared" si="5"/>
        <v>1988913</v>
      </c>
      <c r="M47" s="203">
        <f t="shared" si="5"/>
        <v>831603</v>
      </c>
      <c r="N47" s="203">
        <f t="shared" si="5"/>
        <v>396661</v>
      </c>
      <c r="O47" s="203">
        <f t="shared" si="5"/>
        <v>235</v>
      </c>
      <c r="P47" s="203">
        <f t="shared" si="5"/>
        <v>943146</v>
      </c>
      <c r="Q47" s="203">
        <f t="shared" si="5"/>
        <v>7768068</v>
      </c>
      <c r="R47" s="203">
        <f>SUM(R31:R45)</f>
        <v>15097925</v>
      </c>
    </row>
    <row r="48" spans="3:18">
      <c r="K48" s="73"/>
      <c r="L48" s="73"/>
      <c r="M48" s="73"/>
      <c r="N48" s="73"/>
      <c r="O48" s="73"/>
      <c r="P48" s="73"/>
    </row>
    <row r="49" spans="4:18" s="7" customFormat="1">
      <c r="D49" s="8"/>
      <c r="E49" s="8" t="s">
        <v>50</v>
      </c>
      <c r="K49" s="81">
        <f>SUM(K47+K28)</f>
        <v>5100924</v>
      </c>
      <c r="L49" s="81">
        <f>SUM(L47,L28,)</f>
        <v>3869010</v>
      </c>
      <c r="M49" s="81">
        <f>SUM(M47,M28,)</f>
        <v>2028885</v>
      </c>
      <c r="N49" s="81">
        <f>SUM(N47,N28,)</f>
        <v>2651035</v>
      </c>
      <c r="O49" s="81">
        <f>SUM(O47,O28,)</f>
        <v>1000931</v>
      </c>
      <c r="P49" s="81">
        <f>SUM(P47,P28,)</f>
        <v>3222756</v>
      </c>
      <c r="Q49" s="103">
        <f>SUM(Q47+Q28)</f>
        <v>9270577</v>
      </c>
      <c r="R49" s="103">
        <f>SUM(R47+R28)</f>
        <v>27144118</v>
      </c>
    </row>
  </sheetData>
  <mergeCells count="3">
    <mergeCell ref="D1:K1"/>
    <mergeCell ref="D2:K2"/>
    <mergeCell ref="K3:N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Z57"/>
  <sheetViews>
    <sheetView topLeftCell="H1" zoomScale="70" zoomScaleNormal="70" workbookViewId="0">
      <selection activeCell="O48" sqref="O48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20.4257812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6" width="19.42578125" customWidth="1"/>
  </cols>
  <sheetData>
    <row r="1" spans="1:16" ht="18.75">
      <c r="D1" s="253" t="s">
        <v>726</v>
      </c>
      <c r="E1" s="253"/>
      <c r="F1" s="253"/>
      <c r="G1" s="253"/>
      <c r="H1" s="253"/>
      <c r="I1" s="253"/>
      <c r="J1" s="253"/>
      <c r="K1" s="253"/>
    </row>
    <row r="2" spans="1:16">
      <c r="D2" s="254" t="s">
        <v>727</v>
      </c>
      <c r="E2" s="254"/>
      <c r="F2" s="254"/>
      <c r="G2" s="254"/>
      <c r="H2" s="254"/>
      <c r="I2" s="254"/>
      <c r="J2" s="254"/>
      <c r="K2" s="254"/>
    </row>
    <row r="3" spans="1:16" ht="29.25" customHeight="1">
      <c r="D3" s="57"/>
      <c r="E3" s="57"/>
      <c r="F3" s="57"/>
      <c r="G3" s="57"/>
      <c r="H3" s="57"/>
      <c r="I3" s="57"/>
      <c r="J3" s="57"/>
      <c r="K3" s="86"/>
      <c r="L3" s="86"/>
      <c r="M3" s="86"/>
      <c r="N3" s="86"/>
      <c r="O3" s="86"/>
      <c r="P3" s="86"/>
    </row>
    <row r="4" spans="1:16" ht="28.5" customHeight="1">
      <c r="K4" s="266" t="s">
        <v>281</v>
      </c>
      <c r="L4" s="266"/>
      <c r="M4" s="266"/>
      <c r="N4" s="266"/>
      <c r="O4" s="188"/>
      <c r="P4" s="188"/>
    </row>
    <row r="5" spans="1:16" ht="45">
      <c r="K5" s="1" t="s">
        <v>728</v>
      </c>
      <c r="L5" s="1" t="s">
        <v>729</v>
      </c>
      <c r="M5" s="1" t="s">
        <v>730</v>
      </c>
      <c r="N5" s="1" t="s">
        <v>731</v>
      </c>
      <c r="O5" s="1" t="s">
        <v>732</v>
      </c>
      <c r="P5" s="1" t="s">
        <v>7</v>
      </c>
    </row>
    <row r="6" spans="1:16">
      <c r="A6" s="86" t="s">
        <v>8</v>
      </c>
    </row>
    <row r="7" spans="1:16">
      <c r="B7" t="s">
        <v>651</v>
      </c>
      <c r="K7" s="72">
        <v>1862081</v>
      </c>
      <c r="L7" s="73"/>
      <c r="M7" s="73">
        <v>2578307</v>
      </c>
      <c r="N7" s="189">
        <v>1826250</v>
      </c>
      <c r="O7" s="73">
        <v>37046383</v>
      </c>
      <c r="P7" s="73">
        <f>SUM(K7:O7)</f>
        <v>43313021</v>
      </c>
    </row>
    <row r="8" spans="1:16">
      <c r="B8" t="s">
        <v>10</v>
      </c>
      <c r="K8" s="77">
        <v>10817767</v>
      </c>
      <c r="L8" s="73"/>
      <c r="M8" s="73">
        <v>11426140</v>
      </c>
      <c r="N8" s="189">
        <v>27136140</v>
      </c>
      <c r="O8" s="73">
        <v>69505358</v>
      </c>
      <c r="P8" s="73">
        <f>SUM(K8:O8)</f>
        <v>118885405</v>
      </c>
    </row>
    <row r="9" spans="1:16">
      <c r="B9" t="s">
        <v>733</v>
      </c>
      <c r="K9" s="73"/>
      <c r="L9" s="73"/>
      <c r="M9" s="73"/>
      <c r="N9" s="189"/>
      <c r="O9" s="73"/>
      <c r="P9" s="73"/>
    </row>
    <row r="10" spans="1:16">
      <c r="C10" t="s">
        <v>734</v>
      </c>
      <c r="K10" s="74">
        <v>4414686</v>
      </c>
      <c r="L10" s="73">
        <v>10774947</v>
      </c>
      <c r="M10" s="73"/>
      <c r="N10" s="189"/>
      <c r="O10" s="73">
        <v>17802930</v>
      </c>
      <c r="P10" s="73">
        <f t="shared" ref="P10:P17" si="0">SUM(K10:O10)</f>
        <v>32992563</v>
      </c>
    </row>
    <row r="11" spans="1:16">
      <c r="C11" t="s">
        <v>735</v>
      </c>
      <c r="K11" s="73"/>
      <c r="L11" s="73"/>
      <c r="M11" s="73">
        <v>8453729</v>
      </c>
      <c r="N11" s="189"/>
      <c r="O11" s="73">
        <v>4394242</v>
      </c>
      <c r="P11" s="73">
        <f t="shared" si="0"/>
        <v>12847971</v>
      </c>
    </row>
    <row r="12" spans="1:16">
      <c r="C12" t="s">
        <v>736</v>
      </c>
      <c r="K12" s="74">
        <v>1608151</v>
      </c>
      <c r="L12" s="73">
        <v>162885</v>
      </c>
      <c r="M12" s="73">
        <v>899823</v>
      </c>
      <c r="N12" s="189">
        <v>267885</v>
      </c>
      <c r="O12" s="73">
        <v>6882748</v>
      </c>
      <c r="P12" s="73">
        <f t="shared" si="0"/>
        <v>9821492</v>
      </c>
    </row>
    <row r="13" spans="1:16">
      <c r="B13" t="s">
        <v>16</v>
      </c>
      <c r="L13" s="73"/>
      <c r="M13" s="73"/>
      <c r="N13" s="189"/>
      <c r="O13" s="73">
        <v>976212</v>
      </c>
      <c r="P13" s="73">
        <f t="shared" si="0"/>
        <v>976212</v>
      </c>
    </row>
    <row r="14" spans="1:16">
      <c r="B14" t="s">
        <v>17</v>
      </c>
      <c r="K14" s="75">
        <v>46305</v>
      </c>
      <c r="L14" s="73"/>
      <c r="M14" s="73"/>
      <c r="N14" s="189"/>
      <c r="O14" s="73">
        <v>85102</v>
      </c>
      <c r="P14" s="73">
        <f t="shared" si="0"/>
        <v>131407</v>
      </c>
    </row>
    <row r="15" spans="1:16">
      <c r="B15" t="s">
        <v>142</v>
      </c>
      <c r="K15" s="83">
        <v>101628</v>
      </c>
      <c r="L15" s="73"/>
      <c r="M15" s="73">
        <v>2487</v>
      </c>
      <c r="N15" s="189"/>
      <c r="O15" s="73">
        <v>4775</v>
      </c>
      <c r="P15" s="73">
        <f t="shared" si="0"/>
        <v>108890</v>
      </c>
    </row>
    <row r="16" spans="1:16">
      <c r="B16" t="s">
        <v>737</v>
      </c>
      <c r="K16" s="73"/>
      <c r="L16" s="73"/>
      <c r="M16" s="73"/>
      <c r="N16" s="189"/>
      <c r="O16" s="73">
        <v>10149191</v>
      </c>
      <c r="P16" s="73">
        <f t="shared" si="0"/>
        <v>10149191</v>
      </c>
    </row>
    <row r="17" spans="1:17">
      <c r="B17" t="s">
        <v>126</v>
      </c>
      <c r="K17" s="82">
        <v>15456</v>
      </c>
      <c r="L17" s="73"/>
      <c r="M17" s="73">
        <v>500</v>
      </c>
      <c r="N17" s="189"/>
      <c r="O17" s="73"/>
      <c r="P17" s="73">
        <f t="shared" si="0"/>
        <v>15956</v>
      </c>
    </row>
    <row r="18" spans="1:17">
      <c r="K18" s="73"/>
      <c r="L18" s="73"/>
      <c r="M18" s="73"/>
      <c r="N18" s="73"/>
      <c r="O18" s="73"/>
      <c r="P18" s="73"/>
    </row>
    <row r="19" spans="1:17" s="3" customFormat="1">
      <c r="A19" s="2"/>
      <c r="B19" s="2"/>
      <c r="C19" s="2"/>
      <c r="D19" s="2"/>
      <c r="E19" s="2" t="s">
        <v>64</v>
      </c>
      <c r="K19" s="76">
        <f>SUM(K7:K17)</f>
        <v>18866074</v>
      </c>
      <c r="L19" s="76">
        <f t="shared" ref="L19:M19" si="1">SUM(L7:L17)</f>
        <v>10937832</v>
      </c>
      <c r="M19" s="76">
        <f t="shared" si="1"/>
        <v>23360986</v>
      </c>
      <c r="N19" s="76">
        <f>SUM(N7:N17)</f>
        <v>29230275</v>
      </c>
      <c r="O19" s="76">
        <f t="shared" ref="O19:P19" si="2">SUM(O7:O17)</f>
        <v>146846941</v>
      </c>
      <c r="P19" s="76">
        <f t="shared" si="2"/>
        <v>229242108</v>
      </c>
    </row>
    <row r="20" spans="1:17">
      <c r="K20" s="73"/>
      <c r="L20" s="73"/>
      <c r="M20" s="73"/>
      <c r="N20" s="73"/>
      <c r="O20" s="73"/>
      <c r="P20" s="73"/>
    </row>
    <row r="21" spans="1:17">
      <c r="A21" s="4" t="s">
        <v>160</v>
      </c>
      <c r="K21" s="73"/>
      <c r="L21" s="73"/>
      <c r="M21" s="73"/>
      <c r="N21" s="73"/>
      <c r="O21" s="73"/>
      <c r="P21" s="73"/>
    </row>
    <row r="22" spans="1:17">
      <c r="B22" t="s">
        <v>20</v>
      </c>
      <c r="K22" s="73"/>
      <c r="L22" s="73"/>
      <c r="M22" s="73"/>
      <c r="N22" s="73"/>
      <c r="O22" s="73"/>
      <c r="P22" s="73"/>
    </row>
    <row r="23" spans="1:17">
      <c r="C23" t="s">
        <v>144</v>
      </c>
      <c r="K23" s="77">
        <v>2999800</v>
      </c>
      <c r="L23" s="73">
        <v>361886</v>
      </c>
      <c r="M23" s="73">
        <v>1536528</v>
      </c>
      <c r="N23" s="73">
        <v>459393</v>
      </c>
      <c r="O23" s="73">
        <v>14008244</v>
      </c>
      <c r="P23" s="73">
        <f>SUM(K23:O23)</f>
        <v>19365851</v>
      </c>
    </row>
    <row r="24" spans="1:17">
      <c r="C24" t="s">
        <v>25</v>
      </c>
      <c r="K24" s="73"/>
      <c r="L24" s="73">
        <v>976212</v>
      </c>
      <c r="M24" s="73"/>
      <c r="N24" s="73"/>
      <c r="O24" s="73">
        <v>1319571</v>
      </c>
      <c r="P24" s="73">
        <f>SUM(K24:O24)</f>
        <v>2295783</v>
      </c>
    </row>
    <row r="25" spans="1:17">
      <c r="C25" t="s">
        <v>198</v>
      </c>
      <c r="K25" s="73"/>
      <c r="L25" s="73">
        <v>9410851</v>
      </c>
      <c r="M25" s="73"/>
      <c r="N25" s="73"/>
      <c r="O25" s="73"/>
      <c r="P25" s="73">
        <f>SUM(K25:O25)</f>
        <v>9410851</v>
      </c>
    </row>
    <row r="26" spans="1:17">
      <c r="C26" t="s">
        <v>24</v>
      </c>
      <c r="K26" s="98">
        <v>53050</v>
      </c>
      <c r="L26" s="73"/>
      <c r="M26" s="73">
        <v>69787</v>
      </c>
      <c r="N26" s="73"/>
      <c r="O26" s="73">
        <v>4219896</v>
      </c>
      <c r="P26" s="73">
        <f>SUM(K26:O26)</f>
        <v>4342733</v>
      </c>
    </row>
    <row r="27" spans="1:17">
      <c r="C27" t="s">
        <v>128</v>
      </c>
      <c r="K27" s="82">
        <v>1953655</v>
      </c>
      <c r="L27" s="73">
        <v>1032</v>
      </c>
      <c r="M27" s="73">
        <v>28500</v>
      </c>
      <c r="N27" s="73">
        <v>112843</v>
      </c>
      <c r="O27" s="73">
        <v>301253</v>
      </c>
      <c r="P27" s="73">
        <f>SUM(K27:O27)</f>
        <v>2397283</v>
      </c>
    </row>
    <row r="28" spans="1:17">
      <c r="K28" s="73"/>
      <c r="L28" s="73"/>
      <c r="M28" s="73"/>
      <c r="N28" s="73"/>
      <c r="O28" s="73"/>
      <c r="P28" s="73"/>
    </row>
    <row r="29" spans="1:17" s="5" customFormat="1">
      <c r="B29" s="6"/>
      <c r="C29" s="6"/>
      <c r="D29" s="6"/>
      <c r="E29" s="6" t="s">
        <v>26</v>
      </c>
      <c r="K29" s="79">
        <f t="shared" ref="K29:L29" si="3">SUM(K23:K27)</f>
        <v>5006505</v>
      </c>
      <c r="L29" s="79">
        <f t="shared" si="3"/>
        <v>10749981</v>
      </c>
      <c r="M29" s="79">
        <f>SUM(M23:M27)</f>
        <v>1634815</v>
      </c>
      <c r="N29" s="79">
        <f t="shared" ref="N29:P29" si="4">SUM(N23:N27)</f>
        <v>572236</v>
      </c>
      <c r="O29" s="79">
        <f t="shared" si="4"/>
        <v>19848964</v>
      </c>
      <c r="P29" s="79">
        <f t="shared" si="4"/>
        <v>37812501</v>
      </c>
      <c r="Q29" s="79"/>
    </row>
    <row r="30" spans="1:17" s="101" customFormat="1">
      <c r="B30" s="186"/>
      <c r="C30" s="186"/>
      <c r="D30" s="186"/>
      <c r="E30" s="186"/>
      <c r="K30" s="159"/>
      <c r="L30" s="159"/>
      <c r="M30" s="159"/>
      <c r="N30" s="159"/>
      <c r="O30" s="159"/>
      <c r="P30" s="159"/>
    </row>
    <row r="31" spans="1:17">
      <c r="A31" s="71" t="s">
        <v>27</v>
      </c>
      <c r="K31" s="73"/>
      <c r="L31" s="73"/>
      <c r="M31" s="73"/>
      <c r="N31" s="73"/>
      <c r="O31" s="73"/>
      <c r="P31" s="73"/>
    </row>
    <row r="32" spans="1:17">
      <c r="B32" t="s">
        <v>738</v>
      </c>
      <c r="K32" s="73">
        <v>38464</v>
      </c>
      <c r="L32" s="73">
        <v>106408</v>
      </c>
      <c r="M32" s="73"/>
      <c r="N32" s="73"/>
      <c r="O32" s="73">
        <v>198798</v>
      </c>
      <c r="P32" s="73">
        <f>SUM(K32:O32)</f>
        <v>343670</v>
      </c>
    </row>
    <row r="33" spans="1:26">
      <c r="B33" t="s">
        <v>739</v>
      </c>
      <c r="K33" s="73">
        <v>91209</v>
      </c>
      <c r="L33" s="73">
        <v>81443</v>
      </c>
      <c r="M33" s="73"/>
      <c r="N33" s="73"/>
      <c r="O33" s="73">
        <v>80543</v>
      </c>
      <c r="P33" s="73">
        <f>SUM(K33:O33)</f>
        <v>253195</v>
      </c>
    </row>
    <row r="34" spans="1:26">
      <c r="K34" s="73"/>
      <c r="L34" s="73"/>
      <c r="M34" s="73"/>
      <c r="N34" s="73"/>
      <c r="O34" s="73"/>
      <c r="P34" s="73"/>
    </row>
    <row r="35" spans="1:26">
      <c r="A35" s="192"/>
      <c r="B35" s="192"/>
      <c r="C35" s="192"/>
      <c r="D35" s="192"/>
      <c r="E35" s="193" t="s">
        <v>29</v>
      </c>
      <c r="F35" s="192"/>
      <c r="G35" s="192"/>
      <c r="H35" s="192"/>
      <c r="I35" s="192"/>
      <c r="J35" s="192"/>
      <c r="K35" s="98">
        <f>SUM(K32:K33)</f>
        <v>129673</v>
      </c>
      <c r="L35" s="98">
        <f t="shared" ref="L35:P35" si="5">SUM(L32:L33)</f>
        <v>187851</v>
      </c>
      <c r="M35" s="98">
        <f t="shared" si="5"/>
        <v>0</v>
      </c>
      <c r="N35" s="98">
        <f t="shared" si="5"/>
        <v>0</v>
      </c>
      <c r="O35" s="98">
        <f t="shared" si="5"/>
        <v>279341</v>
      </c>
      <c r="P35" s="98">
        <f t="shared" si="5"/>
        <v>596865</v>
      </c>
      <c r="Q35" s="192"/>
      <c r="R35" s="192"/>
      <c r="S35" s="192"/>
      <c r="T35" s="192"/>
      <c r="U35" s="192"/>
      <c r="V35" s="192"/>
      <c r="W35" s="192"/>
      <c r="X35" s="192"/>
      <c r="Y35" s="192"/>
      <c r="Z35" s="192"/>
    </row>
    <row r="37" spans="1:26">
      <c r="K37" s="73"/>
      <c r="L37" s="73"/>
      <c r="M37" s="73"/>
      <c r="N37" s="73"/>
      <c r="O37" s="73"/>
      <c r="P37" s="73"/>
    </row>
    <row r="38" spans="1:26">
      <c r="B38" s="86" t="s">
        <v>30</v>
      </c>
      <c r="K38" s="73"/>
      <c r="L38" s="73"/>
      <c r="M38" s="73"/>
      <c r="N38" s="73"/>
      <c r="O38" s="73"/>
      <c r="P38" s="73"/>
    </row>
    <row r="39" spans="1:26">
      <c r="C39" t="s">
        <v>740</v>
      </c>
      <c r="K39" s="80">
        <v>101628</v>
      </c>
      <c r="L39" s="73"/>
      <c r="M39" s="73">
        <v>2487</v>
      </c>
      <c r="N39" s="73"/>
      <c r="O39" s="73">
        <v>4775</v>
      </c>
      <c r="P39" s="73">
        <f>SUM(K39:O39)</f>
        <v>108890</v>
      </c>
    </row>
    <row r="40" spans="1:26">
      <c r="C40" t="s">
        <v>129</v>
      </c>
      <c r="K40" s="73"/>
      <c r="L40" s="73"/>
      <c r="M40" s="73">
        <v>20935414</v>
      </c>
      <c r="N40" s="73">
        <v>28658039</v>
      </c>
      <c r="O40" s="73">
        <v>101812659</v>
      </c>
      <c r="P40" s="73">
        <f>SUM(K40:O40)</f>
        <v>151406112</v>
      </c>
    </row>
    <row r="41" spans="1:26">
      <c r="C41" t="s">
        <v>653</v>
      </c>
      <c r="K41" s="73"/>
      <c r="L41" s="73"/>
      <c r="M41" s="73">
        <v>788270</v>
      </c>
      <c r="N41" s="73"/>
      <c r="O41" s="73">
        <v>24946202</v>
      </c>
      <c r="P41" s="73">
        <f>SUM(K41:O41)</f>
        <v>25734472</v>
      </c>
    </row>
    <row r="42" spans="1:26">
      <c r="C42" t="s">
        <v>48</v>
      </c>
      <c r="K42" s="84">
        <v>13628268</v>
      </c>
      <c r="L42" s="73"/>
      <c r="M42" s="73"/>
      <c r="N42" s="73"/>
      <c r="O42" s="73"/>
      <c r="P42" s="73">
        <f>SUM(K42:O42)</f>
        <v>13628268</v>
      </c>
    </row>
    <row r="43" spans="1:26">
      <c r="K43" s="73"/>
      <c r="L43" s="73"/>
      <c r="M43" s="73"/>
      <c r="N43" s="73"/>
      <c r="O43" s="73"/>
      <c r="P43" s="73"/>
    </row>
    <row r="44" spans="1:26" s="5" customFormat="1">
      <c r="D44" s="6"/>
      <c r="E44" s="6" t="s">
        <v>49</v>
      </c>
      <c r="K44" s="79">
        <f t="shared" ref="K44:P44" si="6">SUM(K39:K42)</f>
        <v>13729896</v>
      </c>
      <c r="L44" s="79">
        <f t="shared" si="6"/>
        <v>0</v>
      </c>
      <c r="M44" s="79">
        <f>SUM(M39:M42)</f>
        <v>21726171</v>
      </c>
      <c r="N44" s="79">
        <f t="shared" si="6"/>
        <v>28658039</v>
      </c>
      <c r="O44" s="79">
        <f t="shared" si="6"/>
        <v>126763636</v>
      </c>
      <c r="P44" s="79">
        <f t="shared" si="6"/>
        <v>190877742</v>
      </c>
    </row>
    <row r="45" spans="1:26">
      <c r="K45" s="73"/>
      <c r="L45" s="73"/>
      <c r="M45" s="73"/>
      <c r="N45" s="73"/>
      <c r="O45" s="73"/>
      <c r="P45" s="73"/>
    </row>
    <row r="46" spans="1:26" s="7" customFormat="1">
      <c r="D46" s="8"/>
      <c r="E46" s="8" t="s">
        <v>741</v>
      </c>
      <c r="K46" s="81">
        <f t="shared" ref="K46:N46" si="7">SUM(K29+K35+K44)</f>
        <v>18866074</v>
      </c>
      <c r="L46" s="81">
        <f t="shared" si="7"/>
        <v>10937832</v>
      </c>
      <c r="M46" s="81">
        <f t="shared" si="7"/>
        <v>23360986</v>
      </c>
      <c r="N46" s="81">
        <f t="shared" si="7"/>
        <v>29230275</v>
      </c>
      <c r="O46" s="81">
        <f>SUM(O29+O35+O44)</f>
        <v>146891941</v>
      </c>
      <c r="P46" s="81">
        <f>SUM(P29+P35+P44)</f>
        <v>229287108</v>
      </c>
    </row>
    <row r="57" spans="16:16">
      <c r="P57" s="109"/>
    </row>
  </sheetData>
  <mergeCells count="3">
    <mergeCell ref="D1:K1"/>
    <mergeCell ref="D2:K2"/>
    <mergeCell ref="K4:N4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Q36"/>
  <sheetViews>
    <sheetView zoomScale="70" zoomScaleNormal="70" workbookViewId="0">
      <selection activeCell="A22" sqref="A22:XFD25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6" width="2.42578125" customWidth="1"/>
    <col min="7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4" width="19.42578125" customWidth="1"/>
    <col min="15" max="15" width="16.85546875" customWidth="1"/>
    <col min="16" max="17" width="19.42578125" customWidth="1"/>
  </cols>
  <sheetData>
    <row r="1" spans="1:17" ht="18.75">
      <c r="D1" s="253" t="s">
        <v>742</v>
      </c>
      <c r="E1" s="253"/>
      <c r="F1" s="253"/>
      <c r="G1" s="253"/>
      <c r="H1" s="253"/>
      <c r="I1" s="253"/>
      <c r="J1" s="253"/>
      <c r="K1" s="253"/>
    </row>
    <row r="2" spans="1:17">
      <c r="D2" s="254" t="s">
        <v>727</v>
      </c>
      <c r="E2" s="254"/>
      <c r="F2" s="254"/>
      <c r="G2" s="254"/>
      <c r="H2" s="254"/>
      <c r="I2" s="254"/>
      <c r="J2" s="254"/>
      <c r="K2" s="254"/>
    </row>
    <row r="3" spans="1:17">
      <c r="D3" s="57"/>
      <c r="E3" s="57"/>
      <c r="F3" s="57"/>
      <c r="G3" s="57"/>
      <c r="H3" s="57"/>
      <c r="I3" s="57"/>
      <c r="J3" s="57"/>
      <c r="K3" s="86"/>
      <c r="L3" s="86"/>
      <c r="M3" s="86"/>
      <c r="N3" s="86"/>
      <c r="O3" s="86"/>
      <c r="P3" s="86"/>
      <c r="Q3" s="86"/>
    </row>
    <row r="4" spans="1:17">
      <c r="K4" s="194"/>
      <c r="L4" s="194"/>
      <c r="M4" s="194"/>
      <c r="N4" s="194"/>
      <c r="O4" s="194"/>
      <c r="P4" s="194"/>
      <c r="Q4" s="194"/>
    </row>
    <row r="5" spans="1:17" ht="45">
      <c r="K5" s="1" t="s">
        <v>743</v>
      </c>
      <c r="L5" s="1" t="s">
        <v>744</v>
      </c>
      <c r="M5" s="1" t="s">
        <v>334</v>
      </c>
      <c r="N5" s="1" t="s">
        <v>135</v>
      </c>
      <c r="O5" s="1" t="s">
        <v>745</v>
      </c>
      <c r="P5" s="1" t="s">
        <v>6</v>
      </c>
      <c r="Q5" s="1" t="s">
        <v>7</v>
      </c>
    </row>
    <row r="6" spans="1:17">
      <c r="A6" s="86" t="s">
        <v>8</v>
      </c>
    </row>
    <row r="7" spans="1:17">
      <c r="B7" t="s">
        <v>651</v>
      </c>
      <c r="K7" s="72">
        <v>195733</v>
      </c>
      <c r="L7" s="73">
        <v>10197868</v>
      </c>
      <c r="M7" s="73">
        <v>4612715</v>
      </c>
      <c r="N7" s="189">
        <v>445622</v>
      </c>
      <c r="O7" s="189">
        <v>17</v>
      </c>
      <c r="P7" s="189">
        <v>3270231</v>
      </c>
      <c r="Q7" s="189">
        <f>SUM(K7:P7)</f>
        <v>18722186</v>
      </c>
    </row>
    <row r="8" spans="1:17">
      <c r="B8" t="s">
        <v>746</v>
      </c>
      <c r="K8" s="74">
        <v>2144043</v>
      </c>
      <c r="L8" s="73">
        <v>1408651</v>
      </c>
      <c r="M8" s="73">
        <v>3301847</v>
      </c>
      <c r="N8" s="189">
        <v>2311202</v>
      </c>
      <c r="O8" s="189">
        <v>447336</v>
      </c>
      <c r="P8" s="189">
        <v>826993</v>
      </c>
      <c r="Q8" s="189">
        <f>SUM(K8:P8)</f>
        <v>10440072</v>
      </c>
    </row>
    <row r="9" spans="1:17">
      <c r="B9" t="s">
        <v>61</v>
      </c>
      <c r="K9" s="75">
        <v>330751</v>
      </c>
      <c r="L9" s="73"/>
      <c r="M9" s="73"/>
      <c r="N9" s="189"/>
      <c r="O9" s="189"/>
      <c r="P9" s="189"/>
      <c r="Q9" s="189">
        <f>SUM(K9:P9)</f>
        <v>330751</v>
      </c>
    </row>
    <row r="10" spans="1:17">
      <c r="B10" t="s">
        <v>16</v>
      </c>
      <c r="K10" s="75">
        <v>402530</v>
      </c>
      <c r="L10" s="73"/>
      <c r="M10" s="73"/>
      <c r="N10" s="189">
        <v>300000</v>
      </c>
      <c r="O10" s="189"/>
      <c r="P10" s="189"/>
      <c r="Q10" s="189">
        <f>SUM(K10:P10)</f>
        <v>702530</v>
      </c>
    </row>
    <row r="11" spans="1:17">
      <c r="B11" t="s">
        <v>747</v>
      </c>
      <c r="K11" s="72">
        <v>677606</v>
      </c>
      <c r="L11" s="73">
        <v>103410</v>
      </c>
      <c r="M11" s="73">
        <v>183148</v>
      </c>
      <c r="N11" s="189">
        <v>24506</v>
      </c>
      <c r="O11" s="189"/>
      <c r="P11" s="189">
        <v>10619</v>
      </c>
      <c r="Q11" s="189">
        <f>SUM(K11:P11)</f>
        <v>999289</v>
      </c>
    </row>
    <row r="12" spans="1:17">
      <c r="K12" s="73"/>
      <c r="L12" s="73"/>
      <c r="M12" s="73"/>
      <c r="N12" s="73"/>
      <c r="O12" s="73"/>
      <c r="P12" s="73"/>
      <c r="Q12" s="73"/>
    </row>
    <row r="13" spans="1:17" s="3" customFormat="1">
      <c r="A13" s="2"/>
      <c r="B13" s="2"/>
      <c r="C13" s="2"/>
      <c r="D13" s="2"/>
      <c r="E13" s="2" t="s">
        <v>64</v>
      </c>
      <c r="K13" s="76">
        <f t="shared" ref="K13:Q13" si="0">SUM(K7:K11)</f>
        <v>3750663</v>
      </c>
      <c r="L13" s="76">
        <f t="shared" si="0"/>
        <v>11709929</v>
      </c>
      <c r="M13" s="76">
        <f t="shared" si="0"/>
        <v>8097710</v>
      </c>
      <c r="N13" s="76">
        <f t="shared" si="0"/>
        <v>3081330</v>
      </c>
      <c r="O13" s="76">
        <f t="shared" si="0"/>
        <v>447353</v>
      </c>
      <c r="P13" s="76">
        <f t="shared" si="0"/>
        <v>4107843</v>
      </c>
      <c r="Q13" s="76">
        <f t="shared" si="0"/>
        <v>31194828</v>
      </c>
    </row>
    <row r="14" spans="1:17">
      <c r="K14" s="73"/>
      <c r="L14" s="73"/>
      <c r="M14" s="73"/>
      <c r="N14" s="73"/>
      <c r="O14" s="73"/>
      <c r="P14" s="73"/>
      <c r="Q14" s="73"/>
    </row>
    <row r="15" spans="1:17">
      <c r="A15" s="4" t="s">
        <v>534</v>
      </c>
      <c r="K15" s="73"/>
      <c r="L15" s="73"/>
      <c r="M15" s="73"/>
      <c r="N15" s="73"/>
      <c r="O15" s="73"/>
      <c r="P15" s="73"/>
      <c r="Q15" s="73"/>
    </row>
    <row r="16" spans="1:17">
      <c r="C16" t="s">
        <v>144</v>
      </c>
      <c r="K16" s="77">
        <v>725391</v>
      </c>
      <c r="L16" s="73">
        <v>1139117</v>
      </c>
      <c r="M16" s="73">
        <v>302069</v>
      </c>
      <c r="N16" s="73">
        <v>198520</v>
      </c>
      <c r="O16" s="73">
        <v>258081</v>
      </c>
      <c r="P16" s="73">
        <v>157129</v>
      </c>
      <c r="Q16" s="73">
        <f>SUM(K16:P16)</f>
        <v>2780307</v>
      </c>
    </row>
    <row r="17" spans="1:17">
      <c r="C17" t="s">
        <v>99</v>
      </c>
      <c r="K17" s="78">
        <v>49775</v>
      </c>
      <c r="L17" s="73"/>
      <c r="M17" s="73">
        <v>109411</v>
      </c>
      <c r="N17" s="73"/>
      <c r="O17" s="73"/>
      <c r="P17" s="73">
        <v>280519</v>
      </c>
      <c r="Q17" s="73">
        <f>SUM(K17:P17)</f>
        <v>439705</v>
      </c>
    </row>
    <row r="18" spans="1:17">
      <c r="C18" t="s">
        <v>25</v>
      </c>
      <c r="K18" s="78">
        <v>300000</v>
      </c>
      <c r="L18" s="73"/>
      <c r="M18" s="73"/>
      <c r="N18" s="73"/>
      <c r="O18" s="73">
        <v>266000</v>
      </c>
      <c r="P18" s="73">
        <v>136530</v>
      </c>
      <c r="Q18" s="73">
        <f>SUM(K18:P18)</f>
        <v>702530</v>
      </c>
    </row>
    <row r="19" spans="1:17">
      <c r="K19" s="73"/>
      <c r="L19" s="73"/>
      <c r="M19" s="73"/>
      <c r="N19" s="73"/>
      <c r="O19" s="73"/>
      <c r="P19" s="73"/>
      <c r="Q19" s="73"/>
    </row>
    <row r="20" spans="1:17" s="5" customFormat="1">
      <c r="B20" s="6"/>
      <c r="C20" s="6"/>
      <c r="D20" s="6"/>
      <c r="E20" s="6" t="s">
        <v>26</v>
      </c>
      <c r="K20" s="79">
        <f>SUM(K16:K18)</f>
        <v>1075166</v>
      </c>
      <c r="L20" s="79">
        <f>SUM(L16:L18)</f>
        <v>1139117</v>
      </c>
      <c r="M20" s="79">
        <f>SUM(M16:M17)</f>
        <v>411480</v>
      </c>
      <c r="N20" s="79">
        <f>SUM(N16:N19)</f>
        <v>198520</v>
      </c>
      <c r="O20" s="79">
        <f>SUM(O16:O18)</f>
        <v>524081</v>
      </c>
      <c r="P20" s="79">
        <f>SUM(P16:P18)</f>
        <v>574178</v>
      </c>
      <c r="Q20" s="79">
        <f>SUM(Q16:Q18)</f>
        <v>3922542</v>
      </c>
    </row>
    <row r="21" spans="1:17">
      <c r="K21" s="73"/>
      <c r="L21" s="73"/>
      <c r="M21" s="73"/>
      <c r="N21" s="73"/>
      <c r="O21" s="73"/>
      <c r="P21" s="73"/>
      <c r="Q21" s="73"/>
    </row>
    <row r="22" spans="1:17">
      <c r="A22" s="71" t="s">
        <v>748</v>
      </c>
      <c r="K22" s="73"/>
      <c r="L22" s="73"/>
      <c r="M22" s="73"/>
      <c r="N22" s="73"/>
      <c r="O22" s="73"/>
      <c r="P22" s="73"/>
      <c r="Q22" s="73"/>
    </row>
    <row r="23" spans="1:17">
      <c r="B23" t="s">
        <v>749</v>
      </c>
      <c r="K23" s="195">
        <v>7500</v>
      </c>
      <c r="L23" s="196">
        <v>0</v>
      </c>
      <c r="M23" s="196">
        <v>0</v>
      </c>
      <c r="N23" s="196">
        <v>0</v>
      </c>
      <c r="O23" s="196"/>
      <c r="P23" s="109"/>
      <c r="Q23" s="196">
        <f>SUM(K23:O23)</f>
        <v>7500</v>
      </c>
    </row>
    <row r="24" spans="1:17">
      <c r="K24" s="197"/>
      <c r="L24" s="198"/>
      <c r="M24" s="198"/>
      <c r="N24" s="198"/>
      <c r="O24" s="198"/>
      <c r="P24" s="198"/>
      <c r="Q24" s="198"/>
    </row>
    <row r="25" spans="1:17">
      <c r="A25" s="192"/>
      <c r="B25" s="192"/>
      <c r="C25" s="192"/>
      <c r="D25" s="192"/>
      <c r="E25" s="193" t="s">
        <v>750</v>
      </c>
      <c r="F25" s="192"/>
      <c r="G25" s="192"/>
      <c r="H25" s="192"/>
      <c r="I25" s="192"/>
      <c r="J25" s="192"/>
      <c r="K25" s="199">
        <f>SUM(K23)</f>
        <v>7500</v>
      </c>
      <c r="L25" s="199">
        <f t="shared" ref="L25:Q25" si="1">SUM(L23)</f>
        <v>0</v>
      </c>
      <c r="M25" s="199">
        <f t="shared" si="1"/>
        <v>0</v>
      </c>
      <c r="N25" s="199">
        <f t="shared" si="1"/>
        <v>0</v>
      </c>
      <c r="O25" s="199">
        <f t="shared" si="1"/>
        <v>0</v>
      </c>
      <c r="P25" s="199">
        <f t="shared" si="1"/>
        <v>0</v>
      </c>
      <c r="Q25" s="199">
        <f t="shared" si="1"/>
        <v>7500</v>
      </c>
    </row>
    <row r="26" spans="1:17">
      <c r="K26" s="73"/>
      <c r="L26" s="73"/>
      <c r="M26" s="73"/>
      <c r="N26" s="73"/>
      <c r="O26" s="73"/>
      <c r="P26" s="73"/>
      <c r="Q26" s="73"/>
    </row>
    <row r="27" spans="1:17">
      <c r="B27" s="86" t="s">
        <v>30</v>
      </c>
      <c r="K27" s="73"/>
      <c r="L27" s="73"/>
      <c r="M27" s="73"/>
      <c r="N27" s="73"/>
      <c r="O27" s="73"/>
      <c r="P27" s="73"/>
      <c r="Q27" s="73"/>
    </row>
    <row r="28" spans="1:17">
      <c r="C28" t="s">
        <v>129</v>
      </c>
      <c r="K28" s="80">
        <v>123120</v>
      </c>
      <c r="L28" s="73">
        <v>10467402</v>
      </c>
      <c r="M28" s="73">
        <v>7655863</v>
      </c>
      <c r="N28" s="73">
        <v>2858304</v>
      </c>
      <c r="O28" s="73"/>
      <c r="P28" s="73">
        <v>3414556</v>
      </c>
      <c r="Q28" s="73">
        <f>SUM(K28:P28)</f>
        <v>24519245</v>
      </c>
    </row>
    <row r="29" spans="1:17">
      <c r="C29" t="s">
        <v>653</v>
      </c>
      <c r="K29" s="129">
        <v>578712</v>
      </c>
      <c r="L29" s="73"/>
      <c r="M29" s="73"/>
      <c r="N29" s="73"/>
      <c r="O29" s="73"/>
      <c r="P29" s="73">
        <v>55297</v>
      </c>
      <c r="Q29" s="73">
        <f>SUM(K29:P29)</f>
        <v>634009</v>
      </c>
    </row>
    <row r="30" spans="1:17">
      <c r="C30" t="s">
        <v>130</v>
      </c>
      <c r="K30" s="190">
        <v>98894</v>
      </c>
      <c r="L30" s="73">
        <v>103410</v>
      </c>
      <c r="M30" s="73">
        <v>30367</v>
      </c>
      <c r="N30" s="73">
        <v>24506</v>
      </c>
      <c r="O30" s="73"/>
      <c r="P30" s="73">
        <v>67630</v>
      </c>
      <c r="Q30" s="73">
        <f>SUM(K30:P30)</f>
        <v>324807</v>
      </c>
    </row>
    <row r="31" spans="1:17">
      <c r="C31" t="s">
        <v>48</v>
      </c>
      <c r="K31" s="84">
        <v>1867271</v>
      </c>
      <c r="L31" s="73"/>
      <c r="M31" s="73"/>
      <c r="N31" s="73"/>
      <c r="O31" s="73">
        <v>-76728</v>
      </c>
      <c r="P31" s="73">
        <v>-3818</v>
      </c>
      <c r="Q31" s="73">
        <f>SUM(K31:P31)</f>
        <v>1786725</v>
      </c>
    </row>
    <row r="32" spans="1:17">
      <c r="K32" s="73"/>
      <c r="L32" s="73"/>
      <c r="M32" s="73"/>
      <c r="N32" s="73"/>
      <c r="O32" s="73"/>
      <c r="P32" s="73"/>
      <c r="Q32" s="73"/>
    </row>
    <row r="33" spans="4:17" s="5" customFormat="1">
      <c r="D33" s="6"/>
      <c r="E33" s="6" t="s">
        <v>751</v>
      </c>
      <c r="K33" s="79">
        <f t="shared" ref="K33:Q33" si="2">SUM(K28:K31)</f>
        <v>2667997</v>
      </c>
      <c r="L33" s="79">
        <f t="shared" si="2"/>
        <v>10570812</v>
      </c>
      <c r="M33" s="79">
        <f t="shared" si="2"/>
        <v>7686230</v>
      </c>
      <c r="N33" s="79">
        <f t="shared" si="2"/>
        <v>2882810</v>
      </c>
      <c r="O33" s="79">
        <f t="shared" si="2"/>
        <v>-76728</v>
      </c>
      <c r="P33" s="79">
        <f t="shared" si="2"/>
        <v>3533665</v>
      </c>
      <c r="Q33" s="79">
        <f t="shared" si="2"/>
        <v>27264786</v>
      </c>
    </row>
    <row r="34" spans="4:17">
      <c r="K34" s="73"/>
      <c r="L34" s="73"/>
      <c r="M34" s="73"/>
      <c r="N34" s="73"/>
      <c r="O34" s="73"/>
      <c r="P34" s="73"/>
      <c r="Q34" s="73"/>
    </row>
    <row r="35" spans="4:17" s="7" customFormat="1">
      <c r="D35" s="8"/>
      <c r="E35" s="8" t="s">
        <v>752</v>
      </c>
      <c r="K35" s="81">
        <f>SUM(K33,K20,K25)</f>
        <v>3750663</v>
      </c>
      <c r="L35" s="81">
        <f t="shared" ref="L35:Q35" si="3">SUM(L33,L20,L25)</f>
        <v>11709929</v>
      </c>
      <c r="M35" s="81">
        <f t="shared" si="3"/>
        <v>8097710</v>
      </c>
      <c r="N35" s="81">
        <f t="shared" si="3"/>
        <v>3081330</v>
      </c>
      <c r="O35" s="81">
        <f>SUM(O20+O25+O33)</f>
        <v>447353</v>
      </c>
      <c r="P35" s="81">
        <f>SUM(P20+P25+P33)</f>
        <v>4107843</v>
      </c>
      <c r="Q35" s="81">
        <f t="shared" si="3"/>
        <v>31194828</v>
      </c>
    </row>
    <row r="36" spans="4:17" s="7" customFormat="1">
      <c r="F36" s="7" t="s">
        <v>753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D35"/>
  <sheetViews>
    <sheetView topLeftCell="D1" zoomScale="80" zoomScaleNormal="80" workbookViewId="0">
      <selection activeCell="D35" sqref="D35"/>
    </sheetView>
  </sheetViews>
  <sheetFormatPr defaultColWidth="8.85546875" defaultRowHeight="15"/>
  <cols>
    <col min="3" max="3" width="4" customWidth="1"/>
    <col min="5" max="5" width="9.140625" customWidth="1"/>
    <col min="9" max="9" width="15.7109375" customWidth="1"/>
    <col min="10" max="10" width="12.42578125" customWidth="1"/>
    <col min="11" max="11" width="10.7109375" customWidth="1"/>
    <col min="12" max="12" width="11" customWidth="1"/>
    <col min="13" max="13" width="11.42578125" bestFit="1" customWidth="1"/>
    <col min="14" max="14" width="12.28515625" customWidth="1"/>
    <col min="15" max="15" width="13.28515625" bestFit="1" customWidth="1"/>
    <col min="16" max="16" width="10.28515625" bestFit="1" customWidth="1"/>
    <col min="17" max="17" width="15.42578125" customWidth="1"/>
    <col min="18" max="18" width="13.28515625" customWidth="1"/>
  </cols>
  <sheetData>
    <row r="1" spans="1:18">
      <c r="D1" s="86" t="s">
        <v>754</v>
      </c>
    </row>
    <row r="2" spans="1:18">
      <c r="D2" t="s">
        <v>755</v>
      </c>
      <c r="J2" s="143"/>
      <c r="K2" s="143"/>
      <c r="L2" s="143"/>
      <c r="M2" s="143"/>
      <c r="N2" s="143"/>
      <c r="O2" s="143"/>
      <c r="P2" s="143"/>
      <c r="Q2" s="143"/>
      <c r="R2" s="143"/>
    </row>
    <row r="3" spans="1:18">
      <c r="J3" s="143"/>
      <c r="K3" s="143"/>
      <c r="L3" s="143"/>
      <c r="M3" s="143"/>
      <c r="N3" s="143"/>
      <c r="O3" s="143"/>
      <c r="P3" s="143"/>
      <c r="Q3" s="143"/>
      <c r="R3" s="143"/>
    </row>
    <row r="4" spans="1:18">
      <c r="J4" s="143"/>
      <c r="K4" s="143"/>
      <c r="L4" s="143"/>
      <c r="M4" s="143"/>
      <c r="N4" s="143"/>
      <c r="O4" s="143"/>
      <c r="P4" s="143"/>
      <c r="Q4" s="143"/>
      <c r="R4" s="143"/>
    </row>
    <row r="5" spans="1:18" ht="57" customHeight="1">
      <c r="J5" s="144" t="s">
        <v>2</v>
      </c>
      <c r="K5" s="144" t="s">
        <v>293</v>
      </c>
      <c r="L5" s="144" t="s">
        <v>756</v>
      </c>
      <c r="M5" s="144" t="s">
        <v>490</v>
      </c>
      <c r="N5" s="144" t="s">
        <v>757</v>
      </c>
      <c r="O5" s="144" t="s">
        <v>758</v>
      </c>
      <c r="P5" s="144" t="s">
        <v>759</v>
      </c>
      <c r="Q5" s="144" t="s">
        <v>6</v>
      </c>
      <c r="R5" s="144" t="s">
        <v>249</v>
      </c>
    </row>
    <row r="6" spans="1:18" ht="15.75" customHeight="1">
      <c r="A6" s="86" t="s">
        <v>8</v>
      </c>
      <c r="J6" s="27"/>
      <c r="K6" s="27"/>
      <c r="L6" s="27"/>
      <c r="M6" s="27"/>
      <c r="N6" s="27"/>
      <c r="O6" s="27"/>
      <c r="P6" s="27"/>
      <c r="Q6" s="27"/>
      <c r="R6" s="27"/>
    </row>
    <row r="7" spans="1:18" ht="17.25" customHeight="1">
      <c r="B7" t="s">
        <v>85</v>
      </c>
      <c r="J7" s="162">
        <v>244987</v>
      </c>
      <c r="K7" s="163">
        <v>117555</v>
      </c>
      <c r="L7" s="163">
        <v>4853</v>
      </c>
      <c r="M7" s="163">
        <v>531065</v>
      </c>
      <c r="N7" s="163">
        <v>11491</v>
      </c>
      <c r="O7" s="163">
        <v>20</v>
      </c>
      <c r="P7" s="163">
        <v>19553</v>
      </c>
      <c r="Q7" s="163">
        <v>830166</v>
      </c>
      <c r="R7" s="163">
        <f>SUM(J7:Q7)</f>
        <v>1759690</v>
      </c>
    </row>
    <row r="8" spans="1:18" ht="15" customHeight="1">
      <c r="B8" t="s">
        <v>60</v>
      </c>
      <c r="J8" s="164">
        <v>554248</v>
      </c>
      <c r="K8" s="163">
        <v>32447</v>
      </c>
      <c r="L8" s="163"/>
      <c r="M8" s="163">
        <v>139551</v>
      </c>
      <c r="N8" s="163">
        <v>97368</v>
      </c>
      <c r="O8" s="163"/>
      <c r="P8" s="163">
        <v>8112</v>
      </c>
      <c r="Q8" s="163">
        <v>262332</v>
      </c>
      <c r="R8" s="163">
        <f>SUM(J8:Q8)</f>
        <v>1094058</v>
      </c>
    </row>
    <row r="9" spans="1:18">
      <c r="B9" t="s">
        <v>760</v>
      </c>
      <c r="J9" s="163"/>
      <c r="K9" s="163"/>
      <c r="L9" s="163">
        <v>35137</v>
      </c>
      <c r="M9" s="163"/>
      <c r="N9" s="163"/>
      <c r="O9" s="163">
        <v>989776</v>
      </c>
      <c r="P9" s="163"/>
      <c r="Q9" s="163"/>
      <c r="R9" s="163">
        <f>SUM(J9:Q9)</f>
        <v>1024913</v>
      </c>
    </row>
    <row r="10" spans="1:18" ht="18" customHeight="1">
      <c r="B10" t="s">
        <v>737</v>
      </c>
      <c r="J10" s="163"/>
      <c r="K10" s="163"/>
      <c r="L10" s="163"/>
      <c r="M10" s="163"/>
      <c r="N10" s="163"/>
      <c r="O10" s="163"/>
      <c r="P10" s="163"/>
      <c r="Q10" s="163">
        <v>21705</v>
      </c>
      <c r="R10" s="163">
        <f>SUM(J10:Q10)</f>
        <v>21705</v>
      </c>
    </row>
    <row r="11" spans="1:18" ht="13.5" customHeight="1">
      <c r="B11" t="s">
        <v>16</v>
      </c>
      <c r="J11" s="163"/>
      <c r="K11" s="163">
        <v>25353</v>
      </c>
      <c r="L11" s="163">
        <v>27456</v>
      </c>
      <c r="M11" s="163"/>
      <c r="N11" s="163">
        <v>16897</v>
      </c>
      <c r="O11" s="163"/>
      <c r="P11" s="163">
        <v>6338</v>
      </c>
      <c r="Q11" s="163">
        <v>12676</v>
      </c>
      <c r="R11" s="163">
        <f>SUM(J11:Q11)</f>
        <v>88720</v>
      </c>
    </row>
    <row r="12" spans="1:18">
      <c r="J12" s="165"/>
      <c r="K12" s="165"/>
      <c r="L12" s="165"/>
      <c r="M12" s="165"/>
      <c r="N12" s="165"/>
      <c r="O12" s="165"/>
      <c r="P12" s="165"/>
      <c r="Q12" s="165"/>
      <c r="R12" s="165"/>
    </row>
    <row r="13" spans="1:18">
      <c r="A13" s="116"/>
      <c r="B13" s="116"/>
      <c r="C13" s="116"/>
      <c r="D13" s="116"/>
      <c r="E13" s="116" t="s">
        <v>18</v>
      </c>
      <c r="F13" s="116"/>
      <c r="G13" s="116"/>
      <c r="H13" s="116"/>
      <c r="I13" s="116"/>
      <c r="J13" s="166">
        <f t="shared" ref="J13:R13" si="0">SUM(J7:J11)</f>
        <v>799235</v>
      </c>
      <c r="K13" s="167">
        <f t="shared" si="0"/>
        <v>175355</v>
      </c>
      <c r="L13" s="167">
        <f t="shared" si="0"/>
        <v>67446</v>
      </c>
      <c r="M13" s="167">
        <f t="shared" si="0"/>
        <v>670616</v>
      </c>
      <c r="N13" s="167">
        <f t="shared" si="0"/>
        <v>125756</v>
      </c>
      <c r="O13" s="167">
        <f t="shared" si="0"/>
        <v>989796</v>
      </c>
      <c r="P13" s="167">
        <f t="shared" si="0"/>
        <v>34003</v>
      </c>
      <c r="Q13" s="167">
        <f t="shared" si="0"/>
        <v>1126879</v>
      </c>
      <c r="R13" s="167">
        <f t="shared" si="0"/>
        <v>3989086</v>
      </c>
    </row>
    <row r="14" spans="1:18">
      <c r="J14" s="168"/>
      <c r="K14" s="168"/>
      <c r="L14" s="168"/>
      <c r="M14" s="168"/>
      <c r="N14" s="168"/>
      <c r="O14" s="168"/>
      <c r="P14" s="168"/>
      <c r="Q14" s="168"/>
      <c r="R14" s="168"/>
    </row>
    <row r="15" spans="1:18">
      <c r="A15" s="86" t="s">
        <v>19</v>
      </c>
      <c r="J15" s="168"/>
      <c r="K15" s="168"/>
      <c r="L15" s="168"/>
      <c r="M15" s="168"/>
      <c r="N15" s="168"/>
      <c r="O15" s="168"/>
      <c r="P15" s="168"/>
      <c r="Q15" s="168"/>
      <c r="R15" s="168"/>
    </row>
    <row r="16" spans="1:18">
      <c r="B16" t="s">
        <v>20</v>
      </c>
      <c r="J16" s="168"/>
      <c r="K16" s="168"/>
      <c r="L16" s="168"/>
      <c r="M16" s="168"/>
      <c r="N16" s="168"/>
      <c r="O16" s="168"/>
      <c r="P16" s="168"/>
      <c r="Q16" s="168"/>
      <c r="R16" s="168"/>
    </row>
    <row r="17" spans="1:18" ht="14.25" customHeight="1">
      <c r="C17" t="s">
        <v>144</v>
      </c>
      <c r="J17" s="152">
        <v>178274</v>
      </c>
      <c r="K17" s="168">
        <v>80815</v>
      </c>
      <c r="L17" s="168">
        <v>33684</v>
      </c>
      <c r="M17" s="168">
        <v>4079</v>
      </c>
      <c r="N17" s="168">
        <v>46551</v>
      </c>
      <c r="O17" s="168"/>
      <c r="P17" s="168"/>
      <c r="Q17" s="168">
        <v>52763</v>
      </c>
      <c r="R17" s="168">
        <f>SUM(J17:Q17)</f>
        <v>396166</v>
      </c>
    </row>
    <row r="18" spans="1:18" ht="15.75" customHeight="1">
      <c r="C18" t="s">
        <v>761</v>
      </c>
      <c r="J18" s="168"/>
      <c r="K18" s="168"/>
      <c r="L18" s="168"/>
      <c r="M18" s="168"/>
      <c r="N18" s="168"/>
      <c r="O18" s="168"/>
      <c r="P18" s="168">
        <v>47165</v>
      </c>
      <c r="Q18" s="168"/>
      <c r="R18" s="168">
        <f>SUM(J18:Q18)</f>
        <v>47165</v>
      </c>
    </row>
    <row r="19" spans="1:18">
      <c r="J19" s="165"/>
      <c r="K19" s="165"/>
      <c r="L19" s="165"/>
      <c r="M19" s="165"/>
      <c r="N19" s="165"/>
      <c r="O19" s="165"/>
      <c r="P19" s="165"/>
      <c r="Q19" s="165"/>
      <c r="R19" s="165"/>
    </row>
    <row r="20" spans="1:18">
      <c r="A20" s="5"/>
      <c r="B20" s="6"/>
      <c r="C20" s="6"/>
      <c r="D20" s="6"/>
      <c r="E20" s="6" t="s">
        <v>26</v>
      </c>
      <c r="F20" s="5"/>
      <c r="G20" s="5"/>
      <c r="H20" s="5"/>
      <c r="I20" s="79"/>
      <c r="J20" s="169">
        <f>SUM(J17:J18)</f>
        <v>178274</v>
      </c>
      <c r="K20" s="169">
        <f>SUM(K17:K18)</f>
        <v>80815</v>
      </c>
      <c r="L20" s="169">
        <f>SUM(L17:L18)</f>
        <v>33684</v>
      </c>
      <c r="M20" s="169">
        <f>SUM(M17:M18)</f>
        <v>4079</v>
      </c>
      <c r="N20" s="169">
        <f>SUM(N17:N18)</f>
        <v>46551</v>
      </c>
      <c r="O20" s="169">
        <f t="shared" ref="O20:R20" si="1">SUM(O17:O18)</f>
        <v>0</v>
      </c>
      <c r="P20" s="169">
        <f t="shared" si="1"/>
        <v>47165</v>
      </c>
      <c r="Q20" s="169">
        <f t="shared" si="1"/>
        <v>52763</v>
      </c>
      <c r="R20" s="169">
        <f t="shared" si="1"/>
        <v>443331</v>
      </c>
    </row>
    <row r="21" spans="1:18">
      <c r="J21" s="168"/>
      <c r="K21" s="168"/>
      <c r="L21" s="168"/>
      <c r="M21" s="168"/>
      <c r="N21" s="168"/>
      <c r="O21" s="168"/>
      <c r="P21" s="168"/>
      <c r="Q21" s="168"/>
      <c r="R21" s="168"/>
    </row>
    <row r="22" spans="1:18">
      <c r="A22" s="86" t="s">
        <v>721</v>
      </c>
      <c r="J22" s="168"/>
      <c r="K22" s="168"/>
      <c r="L22" s="168"/>
      <c r="M22" s="168"/>
      <c r="N22" s="168"/>
      <c r="O22" s="168"/>
      <c r="P22" s="168"/>
      <c r="Q22" s="168"/>
      <c r="R22" s="168"/>
    </row>
    <row r="23" spans="1:18">
      <c r="C23" t="s">
        <v>31</v>
      </c>
      <c r="J23" s="168"/>
      <c r="K23" s="168"/>
      <c r="L23" s="168"/>
      <c r="M23" s="168"/>
      <c r="N23" s="168"/>
      <c r="O23" s="168"/>
      <c r="P23" s="168"/>
      <c r="Q23" s="168"/>
      <c r="R23" s="168"/>
    </row>
    <row r="24" spans="1:18" ht="18" customHeight="1">
      <c r="D24" t="s">
        <v>74</v>
      </c>
      <c r="J24" s="168"/>
      <c r="K24" s="168"/>
      <c r="L24" s="168"/>
      <c r="M24" s="168"/>
      <c r="N24" s="168"/>
      <c r="O24" s="168"/>
      <c r="P24" s="168"/>
      <c r="Q24" s="168">
        <v>21705</v>
      </c>
      <c r="R24" s="168">
        <f>SUM(J24:Q24)</f>
        <v>21705</v>
      </c>
    </row>
    <row r="25" spans="1:18" ht="14.25" customHeight="1">
      <c r="D25" t="s">
        <v>762</v>
      </c>
      <c r="J25" s="168"/>
      <c r="K25" s="168"/>
      <c r="L25" s="168"/>
      <c r="M25" s="168"/>
      <c r="N25" s="168"/>
      <c r="O25" s="168">
        <v>989796</v>
      </c>
      <c r="P25" s="168"/>
      <c r="Q25" s="168"/>
      <c r="R25" s="168">
        <f>SUM(J25:Q25)</f>
        <v>989796</v>
      </c>
    </row>
    <row r="26" spans="1:18">
      <c r="C26" t="s">
        <v>114</v>
      </c>
      <c r="J26" s="168"/>
      <c r="K26" s="168"/>
      <c r="L26" s="168"/>
      <c r="M26" s="168"/>
      <c r="N26" s="168"/>
      <c r="O26" s="168"/>
      <c r="P26" s="168"/>
      <c r="Q26" s="168"/>
      <c r="R26" s="168"/>
    </row>
    <row r="27" spans="1:18" ht="16.5" customHeight="1">
      <c r="D27" t="s">
        <v>763</v>
      </c>
      <c r="J27" s="168"/>
      <c r="K27" s="168">
        <v>94540</v>
      </c>
      <c r="L27" s="168">
        <v>33762</v>
      </c>
      <c r="M27" s="168">
        <v>666537</v>
      </c>
      <c r="N27" s="168">
        <v>79205</v>
      </c>
      <c r="O27" s="168"/>
      <c r="P27" s="168">
        <v>-13162</v>
      </c>
      <c r="Q27" s="168">
        <v>1052411</v>
      </c>
      <c r="R27" s="168">
        <f>SUM(J27:Q27)</f>
        <v>1913293</v>
      </c>
    </row>
    <row r="28" spans="1:18">
      <c r="C28" t="s">
        <v>764</v>
      </c>
      <c r="J28" s="168"/>
      <c r="K28" s="168"/>
      <c r="L28" s="168"/>
      <c r="M28" s="168"/>
      <c r="N28" s="168"/>
      <c r="O28" s="168"/>
      <c r="P28" s="168"/>
      <c r="Q28" s="168"/>
      <c r="R28" s="168"/>
    </row>
    <row r="29" spans="1:18" ht="16.5" customHeight="1">
      <c r="D29" t="s">
        <v>52</v>
      </c>
      <c r="J29" s="126">
        <v>620961</v>
      </c>
      <c r="K29" s="168"/>
      <c r="L29" s="168"/>
      <c r="M29" s="168"/>
      <c r="N29" s="168"/>
      <c r="O29" s="168"/>
      <c r="P29" s="168"/>
      <c r="Q29" s="168"/>
      <c r="R29" s="168">
        <f>SUM(J29:Q29)</f>
        <v>620961</v>
      </c>
    </row>
    <row r="30" spans="1:18">
      <c r="J30" s="165"/>
      <c r="K30" s="165"/>
      <c r="L30" s="165"/>
      <c r="M30" s="165"/>
      <c r="N30" s="165"/>
      <c r="O30" s="165"/>
      <c r="P30" s="165"/>
      <c r="Q30" s="165"/>
      <c r="R30" s="165"/>
    </row>
    <row r="31" spans="1:18" ht="16.5" customHeight="1">
      <c r="A31" s="5"/>
      <c r="B31" s="5"/>
      <c r="C31" s="5"/>
      <c r="D31" s="6"/>
      <c r="E31" s="6" t="s">
        <v>49</v>
      </c>
      <c r="F31" s="5"/>
      <c r="G31" s="5"/>
      <c r="H31" s="5"/>
      <c r="I31" s="5"/>
      <c r="J31" s="157">
        <f>SUM(J26:J29)</f>
        <v>620961</v>
      </c>
      <c r="K31" s="157">
        <f>SUM(K26:K29)</f>
        <v>94540</v>
      </c>
      <c r="L31" s="157">
        <f>SUM(L26:L29)</f>
        <v>33762</v>
      </c>
      <c r="M31" s="157">
        <f>SUM(M26:M29)</f>
        <v>666537</v>
      </c>
      <c r="N31" s="157">
        <f>SUM(N26:N29)</f>
        <v>79205</v>
      </c>
      <c r="O31" s="157">
        <f>SUM(O24:O29)</f>
        <v>989796</v>
      </c>
      <c r="P31" s="157">
        <f>SUM(P24:P29)</f>
        <v>-13162</v>
      </c>
      <c r="Q31" s="157">
        <f>SUM(Q24:Q29)</f>
        <v>1074116</v>
      </c>
      <c r="R31" s="157">
        <f>SUM(R24:R29)</f>
        <v>3545755</v>
      </c>
    </row>
    <row r="32" spans="1:18">
      <c r="J32" s="168"/>
      <c r="K32" s="168"/>
      <c r="L32" s="168"/>
      <c r="M32" s="168"/>
      <c r="N32" s="168"/>
      <c r="O32" s="168"/>
      <c r="P32" s="168"/>
      <c r="Q32" s="168"/>
      <c r="R32" s="168"/>
    </row>
    <row r="33" spans="5:186" s="7" customFormat="1" ht="16.5" customHeight="1">
      <c r="E33" s="7" t="s">
        <v>50</v>
      </c>
      <c r="J33" s="170">
        <f>SUM(J31+J20)</f>
        <v>799235</v>
      </c>
      <c r="K33" s="170">
        <f>SUM(K31+K20)</f>
        <v>175355</v>
      </c>
      <c r="L33" s="170">
        <f>SUM(L31+L20)</f>
        <v>67446</v>
      </c>
      <c r="M33" s="170">
        <f>SUM(M31+M20)</f>
        <v>670616</v>
      </c>
      <c r="N33" s="170">
        <f>SUM(N31+N20)</f>
        <v>125756</v>
      </c>
      <c r="O33" s="170">
        <f t="shared" ref="O33:P33" si="2">SUM(O31+O20)</f>
        <v>989796</v>
      </c>
      <c r="P33" s="170">
        <f t="shared" si="2"/>
        <v>34003</v>
      </c>
      <c r="Q33" s="170">
        <f>SUM(Q31+Q20)</f>
        <v>1126879</v>
      </c>
      <c r="R33" s="170">
        <f>SUM(R31+R20)</f>
        <v>3989086</v>
      </c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  <c r="BD33" s="101"/>
      <c r="BE33" s="101"/>
      <c r="BF33" s="101"/>
      <c r="BG33" s="101"/>
      <c r="BH33" s="101"/>
      <c r="BI33" s="101"/>
      <c r="BJ33" s="101"/>
      <c r="BK33" s="101"/>
      <c r="BL33" s="101"/>
      <c r="BM33" s="101"/>
      <c r="BN33" s="101"/>
      <c r="BO33" s="101"/>
      <c r="BP33" s="101"/>
      <c r="BQ33" s="101"/>
      <c r="BR33" s="101"/>
      <c r="BS33" s="101"/>
      <c r="BT33" s="101"/>
      <c r="BU33" s="101"/>
      <c r="BV33" s="101"/>
      <c r="BW33" s="101"/>
      <c r="BX33" s="101"/>
      <c r="BY33" s="101"/>
      <c r="BZ33" s="101"/>
      <c r="CA33" s="101"/>
      <c r="CB33" s="101"/>
      <c r="CC33" s="101"/>
      <c r="CD33" s="101"/>
      <c r="CE33" s="101"/>
      <c r="CF33" s="101"/>
      <c r="CG33" s="101"/>
      <c r="CH33" s="101"/>
      <c r="CI33" s="101"/>
      <c r="CJ33" s="101"/>
      <c r="CK33" s="101"/>
      <c r="CL33" s="101"/>
      <c r="CM33" s="101"/>
      <c r="CN33" s="101"/>
      <c r="CO33" s="101"/>
      <c r="CP33" s="101"/>
      <c r="CQ33" s="101"/>
      <c r="CR33" s="101"/>
      <c r="CS33" s="101"/>
      <c r="CT33" s="101"/>
      <c r="CU33" s="101"/>
      <c r="CV33" s="101"/>
      <c r="CW33" s="101"/>
      <c r="CX33" s="101"/>
      <c r="CY33" s="101"/>
      <c r="CZ33" s="101"/>
      <c r="DA33" s="101"/>
      <c r="DB33" s="101"/>
      <c r="DC33" s="101"/>
      <c r="DD33" s="101"/>
      <c r="DE33" s="101"/>
      <c r="DF33" s="101"/>
      <c r="DG33" s="101"/>
      <c r="DH33" s="101"/>
      <c r="DI33" s="101"/>
      <c r="DJ33" s="101"/>
      <c r="DK33" s="101"/>
      <c r="DL33" s="101"/>
      <c r="DM33" s="101"/>
      <c r="DN33" s="101"/>
      <c r="DO33" s="101"/>
      <c r="DP33" s="101"/>
      <c r="DQ33" s="101"/>
      <c r="DR33" s="101"/>
      <c r="DS33" s="101"/>
      <c r="DT33" s="101"/>
      <c r="DU33" s="101"/>
      <c r="DV33" s="101"/>
      <c r="DW33" s="101"/>
      <c r="DX33" s="101"/>
      <c r="DY33" s="101"/>
      <c r="DZ33" s="101"/>
      <c r="EA33" s="101"/>
      <c r="EB33" s="101"/>
      <c r="EC33" s="101"/>
      <c r="ED33" s="101"/>
      <c r="EE33" s="101"/>
      <c r="EF33" s="101"/>
      <c r="EG33" s="101"/>
      <c r="EH33" s="101"/>
      <c r="EI33" s="101"/>
      <c r="EJ33" s="101"/>
      <c r="EK33" s="101"/>
      <c r="EL33" s="101"/>
      <c r="EM33" s="101"/>
      <c r="EN33" s="101"/>
      <c r="EO33" s="101"/>
      <c r="EP33" s="101"/>
      <c r="EQ33" s="101"/>
      <c r="ER33" s="101"/>
      <c r="ES33" s="101"/>
      <c r="ET33" s="101"/>
      <c r="EU33" s="101"/>
      <c r="EV33" s="101"/>
      <c r="EW33" s="101"/>
      <c r="EX33" s="101"/>
      <c r="EY33" s="101"/>
      <c r="EZ33" s="101"/>
      <c r="FA33" s="101"/>
      <c r="FB33" s="101"/>
      <c r="FC33" s="101"/>
      <c r="FD33" s="101"/>
      <c r="FE33" s="101"/>
      <c r="FF33" s="101"/>
      <c r="FG33" s="101"/>
      <c r="FH33" s="101"/>
      <c r="FI33" s="101"/>
      <c r="FJ33" s="101"/>
      <c r="FK33" s="101"/>
      <c r="FL33" s="101"/>
      <c r="FM33" s="101"/>
      <c r="FN33" s="101"/>
      <c r="FO33" s="101"/>
      <c r="FP33" s="101"/>
      <c r="FQ33" s="101"/>
      <c r="FR33" s="101"/>
      <c r="FS33" s="101"/>
      <c r="FT33" s="101"/>
      <c r="FU33" s="101"/>
      <c r="FV33" s="101"/>
      <c r="FW33" s="101"/>
      <c r="FX33" s="101"/>
      <c r="FY33" s="101"/>
      <c r="FZ33" s="101"/>
      <c r="GA33" s="101"/>
      <c r="GB33" s="101"/>
      <c r="GC33" s="101"/>
      <c r="GD33" s="101"/>
    </row>
    <row r="34" spans="5:186">
      <c r="J34" s="102"/>
      <c r="K34" s="102"/>
      <c r="L34" s="102"/>
      <c r="M34" s="102"/>
      <c r="N34" s="102"/>
      <c r="O34" s="102"/>
      <c r="P34" s="102"/>
      <c r="Q34" s="102"/>
      <c r="R34" s="102"/>
    </row>
    <row r="35" spans="5:186">
      <c r="J35" s="102"/>
      <c r="K35" s="102"/>
      <c r="L35" s="102"/>
      <c r="M35" s="102"/>
      <c r="N35" s="102"/>
      <c r="O35" s="102"/>
      <c r="P35" s="102"/>
      <c r="Q35" s="102"/>
      <c r="R35" s="10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S74"/>
  <sheetViews>
    <sheetView topLeftCell="C5" zoomScale="80" zoomScaleNormal="80" workbookViewId="0">
      <selection activeCell="C37" sqref="A37:XFD40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6.28515625" customWidth="1"/>
    <col min="12" max="13" width="16.42578125" customWidth="1"/>
    <col min="14" max="16" width="19.42578125" customWidth="1"/>
    <col min="17" max="17" width="17" customWidth="1"/>
    <col min="18" max="18" width="14.42578125" customWidth="1"/>
    <col min="19" max="19" width="13.85546875" customWidth="1"/>
  </cols>
  <sheetData>
    <row r="1" spans="1:19" ht="18.75">
      <c r="D1" s="253" t="s">
        <v>765</v>
      </c>
      <c r="E1" s="253"/>
      <c r="F1" s="253"/>
      <c r="G1" s="253"/>
      <c r="H1" s="253"/>
      <c r="I1" s="253"/>
      <c r="J1" s="253"/>
      <c r="K1" s="253"/>
    </row>
    <row r="2" spans="1:19">
      <c r="D2" s="254" t="s">
        <v>703</v>
      </c>
      <c r="E2" s="254"/>
      <c r="F2" s="254"/>
      <c r="G2" s="254"/>
      <c r="H2" s="254"/>
      <c r="I2" s="254"/>
      <c r="J2" s="254"/>
      <c r="K2" s="254"/>
    </row>
    <row r="3" spans="1:19" ht="12" customHeight="1">
      <c r="D3" s="57"/>
      <c r="E3" s="57"/>
      <c r="F3" s="57"/>
      <c r="G3" s="57"/>
      <c r="H3" s="57"/>
      <c r="I3" s="57"/>
      <c r="J3" s="57"/>
      <c r="K3" s="254"/>
      <c r="L3" s="254"/>
      <c r="M3" s="254"/>
      <c r="N3" s="254"/>
      <c r="O3" s="202"/>
      <c r="P3" s="202"/>
      <c r="Q3" s="202"/>
      <c r="R3" s="202"/>
    </row>
    <row r="4" spans="1:19" ht="15" customHeight="1">
      <c r="K4" s="181"/>
      <c r="L4" s="181"/>
      <c r="M4" s="181"/>
      <c r="N4" s="181"/>
      <c r="O4" s="181"/>
    </row>
    <row r="5" spans="1:19" ht="45">
      <c r="K5" s="1" t="s">
        <v>2</v>
      </c>
      <c r="L5" s="1" t="s">
        <v>766</v>
      </c>
      <c r="M5" s="1" t="s">
        <v>767</v>
      </c>
      <c r="N5" s="200" t="s">
        <v>682</v>
      </c>
      <c r="O5" s="200" t="s">
        <v>768</v>
      </c>
      <c r="P5" s="200" t="s">
        <v>769</v>
      </c>
      <c r="Q5" s="200" t="s">
        <v>770</v>
      </c>
      <c r="R5" s="200" t="s">
        <v>6</v>
      </c>
      <c r="S5" s="200" t="s">
        <v>7</v>
      </c>
    </row>
    <row r="6" spans="1:19">
      <c r="A6" t="s">
        <v>8</v>
      </c>
      <c r="N6" s="201"/>
      <c r="O6" s="201"/>
      <c r="P6" s="201"/>
      <c r="Q6" s="201"/>
      <c r="R6" s="201"/>
    </row>
    <row r="7" spans="1:19">
      <c r="B7" t="s">
        <v>85</v>
      </c>
      <c r="K7" s="72">
        <v>17082949</v>
      </c>
      <c r="L7" s="73">
        <v>4471640</v>
      </c>
      <c r="M7" s="73">
        <v>4464161</v>
      </c>
      <c r="N7" s="90">
        <v>2401967</v>
      </c>
      <c r="O7" s="90">
        <v>6518808</v>
      </c>
      <c r="P7" s="90">
        <v>2417234</v>
      </c>
      <c r="Q7" s="90">
        <v>38975190</v>
      </c>
      <c r="R7" s="201">
        <v>11691320</v>
      </c>
      <c r="S7" s="73">
        <f>SUM(K7:R7)</f>
        <v>88023269</v>
      </c>
    </row>
    <row r="8" spans="1:19">
      <c r="B8" t="s">
        <v>10</v>
      </c>
      <c r="K8" s="77">
        <v>1910404</v>
      </c>
      <c r="L8" s="73"/>
      <c r="M8" s="73">
        <v>1064287</v>
      </c>
      <c r="N8" s="90">
        <v>249145</v>
      </c>
      <c r="O8" s="90"/>
      <c r="P8" s="90">
        <v>10230870</v>
      </c>
      <c r="Q8" s="90">
        <v>20905077</v>
      </c>
      <c r="R8" s="201">
        <v>16561405</v>
      </c>
      <c r="S8" s="73">
        <f t="shared" ref="S8:S21" si="0">SUM(K8:R8)</f>
        <v>50921188</v>
      </c>
    </row>
    <row r="9" spans="1:19">
      <c r="B9" t="s">
        <v>717</v>
      </c>
      <c r="K9" s="73"/>
      <c r="L9" s="73"/>
      <c r="M9" s="73"/>
      <c r="N9" s="90"/>
      <c r="O9" s="90"/>
      <c r="P9" s="90"/>
      <c r="Q9" s="90"/>
      <c r="R9" s="201"/>
      <c r="S9" s="73">
        <f t="shared" si="0"/>
        <v>0</v>
      </c>
    </row>
    <row r="10" spans="1:19">
      <c r="C10" t="s">
        <v>718</v>
      </c>
      <c r="K10" s="73"/>
      <c r="L10" s="73"/>
      <c r="M10" s="73"/>
      <c r="N10" s="90"/>
      <c r="O10" s="90"/>
      <c r="P10" s="90"/>
      <c r="Q10" s="90"/>
      <c r="R10" s="201"/>
      <c r="S10" s="73"/>
    </row>
    <row r="11" spans="1:19">
      <c r="C11" t="s">
        <v>341</v>
      </c>
      <c r="K11" s="74">
        <v>303432</v>
      </c>
      <c r="L11" s="73">
        <v>590220</v>
      </c>
      <c r="M11" s="73"/>
      <c r="N11" s="90">
        <v>490</v>
      </c>
      <c r="O11" s="90">
        <v>822420</v>
      </c>
      <c r="P11" s="90"/>
      <c r="Q11" s="90"/>
      <c r="R11" s="201"/>
      <c r="S11" s="73">
        <f t="shared" si="0"/>
        <v>1716562</v>
      </c>
    </row>
    <row r="12" spans="1:19">
      <c r="C12" t="s">
        <v>340</v>
      </c>
      <c r="K12" s="80">
        <v>483707</v>
      </c>
      <c r="L12" s="73">
        <v>20419</v>
      </c>
      <c r="M12" s="73">
        <v>132124</v>
      </c>
      <c r="N12" s="90"/>
      <c r="O12" s="90">
        <v>2977</v>
      </c>
      <c r="P12" s="90"/>
      <c r="Q12" s="90"/>
      <c r="R12" s="201"/>
      <c r="S12" s="73">
        <f t="shared" si="0"/>
        <v>639227</v>
      </c>
    </row>
    <row r="13" spans="1:19">
      <c r="C13" t="s">
        <v>47</v>
      </c>
      <c r="K13" s="73"/>
      <c r="L13" s="73"/>
      <c r="M13" s="73">
        <v>323</v>
      </c>
      <c r="N13" s="90"/>
      <c r="O13" s="90"/>
      <c r="P13" s="90"/>
      <c r="Q13" s="90"/>
      <c r="R13" s="201"/>
      <c r="S13" s="73">
        <f t="shared" si="0"/>
        <v>323</v>
      </c>
    </row>
    <row r="14" spans="1:19">
      <c r="C14" t="s">
        <v>771</v>
      </c>
      <c r="K14" s="73"/>
      <c r="L14" s="73"/>
      <c r="M14" s="73">
        <v>11256833</v>
      </c>
      <c r="N14" s="90">
        <v>1410</v>
      </c>
      <c r="O14" s="90">
        <v>148627</v>
      </c>
      <c r="P14" s="90"/>
      <c r="Q14" s="90">
        <v>5772838</v>
      </c>
      <c r="R14" s="201">
        <v>3761733</v>
      </c>
      <c r="S14" s="73">
        <f t="shared" si="0"/>
        <v>20941441</v>
      </c>
    </row>
    <row r="15" spans="1:19">
      <c r="B15" t="s">
        <v>16</v>
      </c>
      <c r="K15" s="75">
        <v>23372169</v>
      </c>
      <c r="L15" s="73">
        <v>583</v>
      </c>
      <c r="M15" s="73">
        <v>231591</v>
      </c>
      <c r="N15" s="90">
        <v>1080392</v>
      </c>
      <c r="O15" s="90">
        <v>7200456</v>
      </c>
      <c r="P15" s="90">
        <v>980896</v>
      </c>
      <c r="Q15" s="90">
        <v>8917601</v>
      </c>
      <c r="R15" s="201">
        <v>12326344</v>
      </c>
      <c r="S15" s="73">
        <f t="shared" si="0"/>
        <v>54110032</v>
      </c>
    </row>
    <row r="16" spans="1:19">
      <c r="B16" t="s">
        <v>141</v>
      </c>
      <c r="K16" s="75">
        <v>5196465</v>
      </c>
      <c r="L16" s="73">
        <v>4966595</v>
      </c>
      <c r="M16" s="73">
        <v>4786597</v>
      </c>
      <c r="N16" s="90"/>
      <c r="O16" s="90"/>
      <c r="P16" s="90"/>
      <c r="Q16" s="90"/>
      <c r="R16" s="201"/>
      <c r="S16" s="73">
        <f t="shared" si="0"/>
        <v>14949657</v>
      </c>
    </row>
    <row r="17" spans="1:19">
      <c r="B17" t="s">
        <v>17</v>
      </c>
      <c r="K17" s="75">
        <v>3316</v>
      </c>
      <c r="L17" s="73"/>
      <c r="M17" s="73"/>
      <c r="N17" s="90"/>
      <c r="O17" s="90"/>
      <c r="P17" s="90"/>
      <c r="Q17" s="90"/>
      <c r="R17" s="201"/>
      <c r="S17" s="73">
        <f t="shared" si="0"/>
        <v>3316</v>
      </c>
    </row>
    <row r="18" spans="1:19">
      <c r="B18" t="s">
        <v>196</v>
      </c>
      <c r="K18" s="73"/>
      <c r="L18" s="73"/>
      <c r="M18" s="73">
        <v>7755</v>
      </c>
      <c r="N18" s="90"/>
      <c r="O18" s="90"/>
      <c r="P18" s="90"/>
      <c r="Q18" s="90"/>
      <c r="R18" s="201"/>
      <c r="S18" s="73">
        <f t="shared" si="0"/>
        <v>7755</v>
      </c>
    </row>
    <row r="19" spans="1:19">
      <c r="B19" t="s">
        <v>126</v>
      </c>
      <c r="K19" s="82">
        <v>3145</v>
      </c>
      <c r="L19" s="73"/>
      <c r="M19" s="73">
        <v>650</v>
      </c>
      <c r="N19" s="90"/>
      <c r="O19" s="90"/>
      <c r="P19" s="90"/>
      <c r="Q19" s="90"/>
      <c r="R19" s="201"/>
      <c r="S19" s="73">
        <f t="shared" si="0"/>
        <v>3795</v>
      </c>
    </row>
    <row r="20" spans="1:19">
      <c r="B20" t="s">
        <v>357</v>
      </c>
      <c r="K20" s="73"/>
      <c r="L20" s="73"/>
      <c r="M20" s="73"/>
      <c r="N20" s="90"/>
      <c r="O20" s="90"/>
      <c r="P20" s="90"/>
      <c r="Q20" s="90"/>
      <c r="R20" s="201"/>
      <c r="S20" s="73">
        <f t="shared" si="0"/>
        <v>0</v>
      </c>
    </row>
    <row r="21" spans="1:19">
      <c r="C21" t="s">
        <v>85</v>
      </c>
      <c r="K21" s="72">
        <v>68415</v>
      </c>
      <c r="L21" s="73"/>
      <c r="M21" s="73">
        <v>184143</v>
      </c>
      <c r="N21" s="90"/>
      <c r="O21" s="90"/>
      <c r="P21" s="90"/>
      <c r="Q21" s="90"/>
      <c r="R21" s="201"/>
      <c r="S21" s="73">
        <f t="shared" si="0"/>
        <v>252558</v>
      </c>
    </row>
    <row r="22" spans="1:19">
      <c r="K22" s="73"/>
      <c r="L22" s="73"/>
      <c r="M22" s="73"/>
      <c r="N22" s="90"/>
      <c r="O22" s="90"/>
      <c r="P22" s="90"/>
      <c r="Q22" s="90"/>
      <c r="R22" s="201"/>
    </row>
    <row r="23" spans="1:19" s="3" customFormat="1">
      <c r="A23" s="2"/>
      <c r="B23" s="2"/>
      <c r="C23" s="2"/>
      <c r="D23" s="2"/>
      <c r="E23" s="2" t="s">
        <v>64</v>
      </c>
      <c r="I23" s="223"/>
      <c r="K23" s="76">
        <f t="shared" ref="K23:P23" si="1">SUM(K7:K21)</f>
        <v>48424002</v>
      </c>
      <c r="L23" s="76">
        <f t="shared" si="1"/>
        <v>10049457</v>
      </c>
      <c r="M23" s="76">
        <f t="shared" si="1"/>
        <v>22128464</v>
      </c>
      <c r="N23" s="76">
        <f t="shared" si="1"/>
        <v>3733404</v>
      </c>
      <c r="O23" s="76">
        <f t="shared" si="1"/>
        <v>14693288</v>
      </c>
      <c r="P23" s="76">
        <f t="shared" si="1"/>
        <v>13629000</v>
      </c>
      <c r="Q23" s="76">
        <f>SUM(Q7:Q21)</f>
        <v>74570706</v>
      </c>
      <c r="R23" s="3">
        <f>SUM(R7:R21)</f>
        <v>44340802</v>
      </c>
      <c r="S23" s="3">
        <f>SUM(S7:S21)</f>
        <v>231569123</v>
      </c>
    </row>
    <row r="24" spans="1:19">
      <c r="K24" s="73"/>
      <c r="L24" s="73"/>
      <c r="M24" s="73"/>
      <c r="N24" s="73"/>
      <c r="O24" s="73"/>
      <c r="P24" s="73"/>
      <c r="Q24" s="73"/>
    </row>
    <row r="25" spans="1:19">
      <c r="A25" s="4" t="s">
        <v>160</v>
      </c>
      <c r="K25" s="73"/>
      <c r="L25" s="73"/>
      <c r="M25" s="73"/>
      <c r="N25" s="73"/>
      <c r="O25" s="73"/>
      <c r="P25" s="73"/>
      <c r="Q25" s="73"/>
    </row>
    <row r="26" spans="1:19">
      <c r="C26" t="s">
        <v>772</v>
      </c>
      <c r="K26" s="77">
        <v>843637</v>
      </c>
      <c r="L26" s="73">
        <v>349035</v>
      </c>
      <c r="M26" s="73">
        <v>1150074</v>
      </c>
      <c r="N26" s="73">
        <v>415376</v>
      </c>
      <c r="O26" s="73">
        <v>609397</v>
      </c>
      <c r="P26" s="73"/>
      <c r="Q26" s="73">
        <v>3620884</v>
      </c>
      <c r="R26" s="73">
        <v>1190266</v>
      </c>
      <c r="S26" s="73">
        <f>SUM(K26:R26)</f>
        <v>8178669</v>
      </c>
    </row>
    <row r="27" spans="1:19">
      <c r="C27" t="s">
        <v>773</v>
      </c>
      <c r="K27" s="82">
        <v>1446</v>
      </c>
      <c r="L27" s="73"/>
      <c r="M27" s="73">
        <v>3200</v>
      </c>
      <c r="N27" s="73"/>
      <c r="O27" s="73">
        <v>26291</v>
      </c>
      <c r="P27" s="73"/>
      <c r="Q27" s="73">
        <v>2102620</v>
      </c>
      <c r="R27" s="73">
        <v>5000</v>
      </c>
      <c r="S27" s="73">
        <f t="shared" ref="S27:S33" si="2">SUM(K27:R27)</f>
        <v>2138557</v>
      </c>
    </row>
    <row r="28" spans="1:19">
      <c r="C28" t="s">
        <v>774</v>
      </c>
      <c r="K28" s="73"/>
      <c r="L28" s="73"/>
      <c r="M28" s="73">
        <v>11699515</v>
      </c>
      <c r="N28" s="73"/>
      <c r="O28" s="73"/>
      <c r="P28" s="73"/>
      <c r="Q28" s="73"/>
      <c r="S28" s="73">
        <f t="shared" si="2"/>
        <v>11699515</v>
      </c>
    </row>
    <row r="29" spans="1:19">
      <c r="C29" t="s">
        <v>25</v>
      </c>
      <c r="K29" s="78">
        <v>30057166</v>
      </c>
      <c r="L29" s="73">
        <v>1121463</v>
      </c>
      <c r="M29" s="73">
        <v>3466664</v>
      </c>
      <c r="N29" s="73">
        <v>374681</v>
      </c>
      <c r="O29" s="73">
        <v>1613146</v>
      </c>
      <c r="P29" s="73">
        <v>4529</v>
      </c>
      <c r="Q29" s="73">
        <v>3019057</v>
      </c>
      <c r="R29" s="73">
        <v>4262545</v>
      </c>
      <c r="S29" s="73">
        <f t="shared" si="2"/>
        <v>43919251</v>
      </c>
    </row>
    <row r="30" spans="1:19">
      <c r="C30" t="s">
        <v>466</v>
      </c>
      <c r="K30" s="78">
        <v>578766</v>
      </c>
      <c r="L30" s="73">
        <v>213668</v>
      </c>
      <c r="M30" s="73">
        <v>126059</v>
      </c>
      <c r="N30" s="73">
        <v>19984</v>
      </c>
      <c r="O30" s="73">
        <v>27472</v>
      </c>
      <c r="P30" s="73"/>
      <c r="Q30" s="73">
        <v>57490</v>
      </c>
      <c r="R30" s="73">
        <v>176424</v>
      </c>
      <c r="S30" s="73">
        <f t="shared" si="2"/>
        <v>1199863</v>
      </c>
    </row>
    <row r="31" spans="1:19">
      <c r="C31" t="s">
        <v>198</v>
      </c>
      <c r="L31" s="73"/>
      <c r="M31" s="73"/>
      <c r="N31" s="73"/>
      <c r="O31" s="73"/>
      <c r="P31" s="73"/>
      <c r="Q31" s="73">
        <v>1500000</v>
      </c>
      <c r="S31" s="73">
        <f t="shared" si="2"/>
        <v>1500000</v>
      </c>
    </row>
    <row r="32" spans="1:19">
      <c r="C32" t="s">
        <v>775</v>
      </c>
      <c r="K32" s="73"/>
      <c r="L32" s="73"/>
      <c r="M32" s="73"/>
      <c r="N32" s="73"/>
      <c r="O32" s="73"/>
      <c r="P32" s="73"/>
      <c r="Q32" s="73"/>
      <c r="S32" s="73">
        <f t="shared" si="2"/>
        <v>0</v>
      </c>
    </row>
    <row r="33" spans="1:19">
      <c r="D33" t="s">
        <v>776</v>
      </c>
      <c r="K33" s="73"/>
      <c r="L33" s="73"/>
      <c r="M33" s="73">
        <v>93029</v>
      </c>
      <c r="N33" s="73"/>
      <c r="O33" s="73"/>
      <c r="P33" s="73"/>
      <c r="Q33" s="73"/>
      <c r="S33" s="73">
        <f t="shared" si="2"/>
        <v>93029</v>
      </c>
    </row>
    <row r="34" spans="1:19">
      <c r="K34" s="73"/>
      <c r="L34" s="73"/>
      <c r="M34" s="73"/>
      <c r="N34" s="73"/>
      <c r="O34" s="73"/>
      <c r="P34" s="73"/>
      <c r="Q34" s="73"/>
    </row>
    <row r="35" spans="1:19" s="5" customFormat="1">
      <c r="B35" s="6"/>
      <c r="C35" s="6"/>
      <c r="D35" s="6"/>
      <c r="E35" s="6" t="s">
        <v>26</v>
      </c>
      <c r="I35" s="193"/>
      <c r="K35" s="79">
        <f>SUM(K26:K33)</f>
        <v>31481015</v>
      </c>
      <c r="L35" s="79">
        <f>SUM(L26:L33)</f>
        <v>1684166</v>
      </c>
      <c r="M35" s="79">
        <f>SUM(M26:M33)</f>
        <v>16538541</v>
      </c>
      <c r="N35" s="79">
        <f>SUM(N26:N33)</f>
        <v>810041</v>
      </c>
      <c r="O35" s="79">
        <f>SUM(O26:O33)</f>
        <v>2276306</v>
      </c>
      <c r="P35" s="79">
        <f t="shared" ref="P35:Q35" si="3">SUM(P26:P33)</f>
        <v>4529</v>
      </c>
      <c r="Q35" s="79">
        <f t="shared" si="3"/>
        <v>10300051</v>
      </c>
      <c r="R35" s="203">
        <f>SUM(R26:R33)</f>
        <v>5634235</v>
      </c>
      <c r="S35" s="203">
        <f>SUM(S26:S33)</f>
        <v>68728884</v>
      </c>
    </row>
    <row r="36" spans="1:19" s="101" customFormat="1">
      <c r="B36" s="186"/>
      <c r="C36" s="186"/>
      <c r="D36" s="186"/>
      <c r="E36" s="186"/>
      <c r="K36" s="159"/>
      <c r="L36" s="159"/>
      <c r="M36" s="159"/>
      <c r="N36" s="159"/>
      <c r="O36" s="159"/>
      <c r="P36" s="159"/>
      <c r="Q36" s="159"/>
      <c r="R36" s="246"/>
      <c r="S36" s="246"/>
    </row>
    <row r="37" spans="1:19">
      <c r="A37" s="71" t="s">
        <v>748</v>
      </c>
      <c r="K37" s="73"/>
      <c r="L37" s="73"/>
      <c r="M37" s="73"/>
      <c r="N37" s="73"/>
      <c r="O37" s="73"/>
      <c r="P37" s="73"/>
      <c r="Q37" s="73"/>
    </row>
    <row r="38" spans="1:19">
      <c r="K38" s="195">
        <v>2537296</v>
      </c>
      <c r="L38" s="196">
        <v>4414759</v>
      </c>
      <c r="M38" s="196">
        <v>65421</v>
      </c>
      <c r="N38" s="196">
        <v>0</v>
      </c>
      <c r="O38" s="196">
        <v>6800823</v>
      </c>
      <c r="P38" s="109"/>
      <c r="Q38" s="196"/>
      <c r="R38" s="196">
        <v>12938294</v>
      </c>
      <c r="S38" s="196">
        <v>26756593</v>
      </c>
    </row>
    <row r="39" spans="1:19">
      <c r="K39" s="197"/>
      <c r="L39" s="198"/>
      <c r="M39" s="198"/>
      <c r="N39" s="198"/>
      <c r="O39" s="198"/>
      <c r="P39" s="198"/>
      <c r="Q39" s="198"/>
    </row>
    <row r="40" spans="1:19">
      <c r="A40" s="192"/>
      <c r="B40" s="192"/>
      <c r="C40" s="192"/>
      <c r="D40" s="192"/>
      <c r="E40" s="193" t="s">
        <v>750</v>
      </c>
      <c r="F40" s="192"/>
      <c r="G40" s="192"/>
      <c r="H40" s="192"/>
      <c r="I40" s="192"/>
      <c r="J40" s="192"/>
      <c r="K40" s="199">
        <f>SUM(K38)</f>
        <v>2537296</v>
      </c>
      <c r="L40" s="199">
        <f t="shared" ref="L40:S40" si="4">SUM(L38)</f>
        <v>4414759</v>
      </c>
      <c r="M40" s="199">
        <f t="shared" si="4"/>
        <v>65421</v>
      </c>
      <c r="N40" s="199">
        <f t="shared" si="4"/>
        <v>0</v>
      </c>
      <c r="O40" s="199">
        <f t="shared" si="4"/>
        <v>6800823</v>
      </c>
      <c r="P40" s="199">
        <f t="shared" si="4"/>
        <v>0</v>
      </c>
      <c r="Q40" s="199">
        <f t="shared" si="4"/>
        <v>0</v>
      </c>
      <c r="R40" s="199">
        <f t="shared" si="4"/>
        <v>12938294</v>
      </c>
      <c r="S40" s="199">
        <f t="shared" si="4"/>
        <v>26756593</v>
      </c>
    </row>
    <row r="41" spans="1:19">
      <c r="K41" s="73"/>
      <c r="L41" s="73"/>
      <c r="M41" s="73"/>
      <c r="N41" s="73"/>
      <c r="O41" s="73"/>
      <c r="P41" s="73"/>
      <c r="Q41" s="73"/>
    </row>
    <row r="42" spans="1:19">
      <c r="B42" t="s">
        <v>721</v>
      </c>
      <c r="K42" s="73"/>
      <c r="L42" s="73"/>
      <c r="M42" s="73"/>
      <c r="N42" s="73"/>
      <c r="O42" s="73"/>
      <c r="P42" s="73"/>
      <c r="Q42" s="73"/>
    </row>
    <row r="43" spans="1:19">
      <c r="C43" t="s">
        <v>777</v>
      </c>
      <c r="K43" s="73"/>
      <c r="L43" s="73"/>
      <c r="M43" s="73"/>
      <c r="N43" s="73"/>
      <c r="O43" s="73"/>
      <c r="P43" s="73"/>
      <c r="Q43" s="73"/>
    </row>
    <row r="44" spans="1:19">
      <c r="D44" t="s">
        <v>196</v>
      </c>
      <c r="K44" s="73"/>
      <c r="L44" s="73"/>
      <c r="M44" s="73">
        <v>7755</v>
      </c>
      <c r="N44" s="73"/>
      <c r="O44" s="73"/>
      <c r="P44" s="73"/>
      <c r="Q44" s="73"/>
      <c r="S44" s="73">
        <f>SUM(K44:R44)</f>
        <v>7755</v>
      </c>
    </row>
    <row r="45" spans="1:19">
      <c r="C45" t="s">
        <v>31</v>
      </c>
      <c r="K45" s="73"/>
      <c r="L45" s="73"/>
      <c r="M45" s="73"/>
      <c r="N45" s="73"/>
      <c r="O45" s="73"/>
      <c r="P45" s="73"/>
      <c r="Q45" s="73"/>
    </row>
    <row r="46" spans="1:19">
      <c r="D46" t="s">
        <v>778</v>
      </c>
      <c r="K46" s="80">
        <v>2500000</v>
      </c>
      <c r="L46" s="73"/>
      <c r="M46" s="73"/>
      <c r="N46" s="73"/>
      <c r="O46" s="73"/>
      <c r="P46" s="73"/>
      <c r="Q46" s="73"/>
      <c r="S46" s="73">
        <f>SUM(K46:R46)</f>
        <v>2500000</v>
      </c>
    </row>
    <row r="47" spans="1:19">
      <c r="D47" t="s">
        <v>779</v>
      </c>
      <c r="K47" s="80">
        <v>68415</v>
      </c>
      <c r="L47" s="73"/>
      <c r="M47" s="73"/>
      <c r="N47" s="73"/>
      <c r="O47" s="73"/>
      <c r="P47" s="73"/>
      <c r="Q47" s="73"/>
      <c r="S47" s="73">
        <f t="shared" ref="S47:S70" si="5">SUM(K47:R47)</f>
        <v>68415</v>
      </c>
    </row>
    <row r="48" spans="1:19">
      <c r="D48" t="s">
        <v>92</v>
      </c>
      <c r="K48" s="73"/>
      <c r="L48" s="73"/>
      <c r="M48" s="73">
        <v>4051866</v>
      </c>
      <c r="N48" s="73"/>
      <c r="O48" s="73"/>
      <c r="P48" s="73"/>
      <c r="Q48" s="73"/>
      <c r="S48" s="73">
        <f t="shared" si="5"/>
        <v>4051866</v>
      </c>
    </row>
    <row r="49" spans="3:19">
      <c r="D49" t="s">
        <v>44</v>
      </c>
      <c r="K49" s="73"/>
      <c r="L49" s="73"/>
      <c r="M49" s="73"/>
      <c r="N49" s="73"/>
      <c r="O49" s="73"/>
      <c r="P49" s="73"/>
      <c r="Q49" s="73">
        <v>13174010</v>
      </c>
      <c r="S49" s="73">
        <f t="shared" si="5"/>
        <v>13174010</v>
      </c>
    </row>
    <row r="50" spans="3:19">
      <c r="D50" t="s">
        <v>134</v>
      </c>
      <c r="K50" s="73"/>
      <c r="L50" s="73"/>
      <c r="M50" s="73"/>
      <c r="N50" s="73"/>
      <c r="O50" s="73">
        <v>302292</v>
      </c>
      <c r="P50" s="73"/>
      <c r="Q50" s="73"/>
      <c r="S50" s="73">
        <f t="shared" si="5"/>
        <v>302292</v>
      </c>
    </row>
    <row r="51" spans="3:19">
      <c r="D51" t="s">
        <v>780</v>
      </c>
      <c r="K51" s="73"/>
      <c r="L51" s="73"/>
      <c r="M51" s="73"/>
      <c r="N51" s="73"/>
      <c r="O51" s="73"/>
      <c r="P51" s="73">
        <v>13624471</v>
      </c>
      <c r="Q51" s="73"/>
      <c r="S51" s="73">
        <f t="shared" si="5"/>
        <v>13624471</v>
      </c>
    </row>
    <row r="52" spans="3:19">
      <c r="D52" t="s">
        <v>74</v>
      </c>
      <c r="K52" s="73"/>
      <c r="L52" s="73"/>
      <c r="M52" s="73"/>
      <c r="N52" s="73"/>
      <c r="O52" s="73"/>
      <c r="P52" s="73"/>
      <c r="Q52" s="73"/>
      <c r="R52">
        <v>14453091</v>
      </c>
      <c r="S52" s="73">
        <f t="shared" si="5"/>
        <v>14453091</v>
      </c>
    </row>
    <row r="53" spans="3:19">
      <c r="D53" t="s">
        <v>781</v>
      </c>
      <c r="K53" s="73"/>
      <c r="L53" s="73"/>
      <c r="M53" s="73"/>
      <c r="N53" s="73"/>
      <c r="O53" s="73"/>
      <c r="P53" s="73"/>
      <c r="Q53" s="73"/>
      <c r="R53">
        <v>11691954</v>
      </c>
      <c r="S53" s="73">
        <f t="shared" si="5"/>
        <v>11691954</v>
      </c>
    </row>
    <row r="54" spans="3:19">
      <c r="C54" t="s">
        <v>782</v>
      </c>
      <c r="K54" s="73"/>
      <c r="L54" s="73"/>
      <c r="M54" s="73"/>
      <c r="N54" s="73"/>
      <c r="O54" s="73"/>
      <c r="P54" s="73"/>
      <c r="Q54" s="73"/>
    </row>
    <row r="55" spans="3:19">
      <c r="D55" t="s">
        <v>44</v>
      </c>
      <c r="K55" s="73"/>
      <c r="L55" s="73"/>
      <c r="M55" s="73"/>
      <c r="N55" s="73"/>
      <c r="O55" s="73"/>
      <c r="P55" s="73"/>
      <c r="Q55" s="73">
        <v>22093979</v>
      </c>
      <c r="S55" s="73">
        <f t="shared" si="5"/>
        <v>22093979</v>
      </c>
    </row>
    <row r="56" spans="3:19">
      <c r="D56" t="s">
        <v>781</v>
      </c>
      <c r="K56" s="73"/>
      <c r="L56" s="73"/>
      <c r="M56" s="73"/>
      <c r="N56" s="73"/>
      <c r="O56" s="73"/>
      <c r="P56" s="73"/>
      <c r="Q56" s="73"/>
      <c r="R56">
        <v>95948</v>
      </c>
      <c r="S56" s="73">
        <f t="shared" si="5"/>
        <v>95948</v>
      </c>
    </row>
    <row r="57" spans="3:19">
      <c r="C57" t="s">
        <v>724</v>
      </c>
      <c r="K57" s="73"/>
      <c r="L57" s="73"/>
      <c r="M57" s="73"/>
      <c r="N57" s="73"/>
      <c r="O57" s="73"/>
      <c r="P57" s="73"/>
      <c r="Q57" s="73"/>
    </row>
    <row r="58" spans="3:19">
      <c r="D58" t="s">
        <v>205</v>
      </c>
      <c r="K58" s="190">
        <v>1233088</v>
      </c>
      <c r="L58" s="73"/>
      <c r="M58" s="73"/>
      <c r="N58" s="73"/>
      <c r="O58" s="73"/>
      <c r="P58" s="73"/>
      <c r="Q58" s="73"/>
      <c r="S58" s="73">
        <f t="shared" si="5"/>
        <v>1233088</v>
      </c>
    </row>
    <row r="59" spans="3:19">
      <c r="D59" t="s">
        <v>778</v>
      </c>
      <c r="K59" s="190">
        <v>187392</v>
      </c>
      <c r="L59" s="73"/>
      <c r="M59" s="73"/>
      <c r="N59" s="73"/>
      <c r="O59" s="73"/>
      <c r="P59" s="73"/>
      <c r="Q59" s="73"/>
      <c r="S59" s="73">
        <f t="shared" si="5"/>
        <v>187392</v>
      </c>
    </row>
    <row r="60" spans="3:19">
      <c r="D60" t="s">
        <v>783</v>
      </c>
      <c r="K60" s="190">
        <v>230824</v>
      </c>
      <c r="L60" s="73"/>
      <c r="M60" s="73"/>
      <c r="N60" s="73"/>
      <c r="O60" s="73"/>
      <c r="P60" s="73"/>
      <c r="Q60" s="73"/>
      <c r="S60" s="73">
        <f t="shared" si="5"/>
        <v>230824</v>
      </c>
    </row>
    <row r="61" spans="3:19">
      <c r="D61" t="s">
        <v>784</v>
      </c>
      <c r="K61" s="190">
        <v>226361</v>
      </c>
      <c r="L61" s="73"/>
      <c r="M61" s="73"/>
      <c r="N61" s="73"/>
      <c r="O61" s="73"/>
      <c r="P61" s="73"/>
      <c r="Q61" s="73"/>
      <c r="S61" s="73">
        <f t="shared" si="5"/>
        <v>226361</v>
      </c>
    </row>
    <row r="62" spans="3:19">
      <c r="D62" t="s">
        <v>785</v>
      </c>
      <c r="K62" s="190">
        <v>299794</v>
      </c>
      <c r="L62" s="73"/>
      <c r="M62" s="73"/>
      <c r="N62" s="73"/>
      <c r="O62" s="73"/>
      <c r="P62" s="73"/>
      <c r="Q62" s="73"/>
      <c r="S62" s="73">
        <f t="shared" si="5"/>
        <v>299794</v>
      </c>
    </row>
    <row r="63" spans="3:19">
      <c r="D63" t="s">
        <v>786</v>
      </c>
      <c r="K63" s="190">
        <v>73759</v>
      </c>
      <c r="L63" s="73"/>
      <c r="M63" s="73"/>
      <c r="N63" s="73"/>
      <c r="O63" s="73"/>
      <c r="P63" s="73"/>
      <c r="Q63" s="73"/>
      <c r="S63" s="73">
        <f t="shared" si="5"/>
        <v>73759</v>
      </c>
    </row>
    <row r="64" spans="3:19">
      <c r="D64" t="s">
        <v>165</v>
      </c>
      <c r="K64" s="73"/>
      <c r="L64" s="73">
        <v>3950532</v>
      </c>
      <c r="M64" s="73"/>
      <c r="N64" s="73"/>
      <c r="O64" s="73"/>
      <c r="P64" s="73"/>
      <c r="Q64" s="73"/>
      <c r="S64" s="73">
        <f t="shared" si="5"/>
        <v>3950532</v>
      </c>
    </row>
    <row r="65" spans="3:19">
      <c r="D65" t="s">
        <v>44</v>
      </c>
      <c r="K65" s="73"/>
      <c r="L65" s="73"/>
      <c r="M65" s="73"/>
      <c r="N65" s="73"/>
      <c r="O65" s="73"/>
      <c r="P65" s="73"/>
      <c r="Q65" s="73">
        <v>29002666</v>
      </c>
      <c r="S65" s="73">
        <f t="shared" si="5"/>
        <v>29002666</v>
      </c>
    </row>
    <row r="66" spans="3:19">
      <c r="D66" t="s">
        <v>92</v>
      </c>
      <c r="K66" s="73"/>
      <c r="L66" s="73"/>
      <c r="M66" s="73">
        <v>1464881</v>
      </c>
      <c r="N66" s="73"/>
      <c r="O66" s="73"/>
      <c r="P66" s="73"/>
      <c r="Q66" s="73"/>
      <c r="S66" s="73">
        <f t="shared" si="5"/>
        <v>1464881</v>
      </c>
    </row>
    <row r="67" spans="3:19">
      <c r="D67" t="s">
        <v>787</v>
      </c>
      <c r="K67" s="73"/>
      <c r="L67" s="73"/>
      <c r="M67" s="73"/>
      <c r="N67" s="73">
        <v>2923403</v>
      </c>
      <c r="O67" s="73"/>
      <c r="P67" s="73"/>
      <c r="Q67" s="73"/>
      <c r="S67" s="73">
        <f t="shared" si="5"/>
        <v>2923403</v>
      </c>
    </row>
    <row r="68" spans="3:19">
      <c r="D68" t="s">
        <v>134</v>
      </c>
      <c r="K68" s="73"/>
      <c r="L68" s="73"/>
      <c r="M68" s="73"/>
      <c r="N68" s="73"/>
      <c r="O68" s="73">
        <v>5313867</v>
      </c>
      <c r="P68" s="73"/>
      <c r="Q68" s="73"/>
      <c r="S68" s="73">
        <f t="shared" si="5"/>
        <v>5313867</v>
      </c>
    </row>
    <row r="69" spans="3:19">
      <c r="D69" t="s">
        <v>781</v>
      </c>
      <c r="K69" s="73"/>
      <c r="L69" s="73"/>
      <c r="M69" s="73"/>
      <c r="N69" s="73"/>
      <c r="O69" s="73"/>
      <c r="P69" s="73"/>
      <c r="Q69" s="73"/>
      <c r="R69">
        <v>1162957</v>
      </c>
      <c r="S69" s="73">
        <f t="shared" si="5"/>
        <v>1162957</v>
      </c>
    </row>
    <row r="70" spans="3:19">
      <c r="C70" t="s">
        <v>48</v>
      </c>
      <c r="K70" s="84">
        <v>9586058</v>
      </c>
      <c r="L70" s="73"/>
      <c r="M70" s="73"/>
      <c r="N70" s="73"/>
      <c r="O70" s="73"/>
      <c r="P70" s="73"/>
      <c r="Q70" s="73"/>
      <c r="S70" s="73">
        <f t="shared" si="5"/>
        <v>9586058</v>
      </c>
    </row>
    <row r="71" spans="3:19">
      <c r="K71" s="73"/>
      <c r="L71" s="73"/>
      <c r="M71" s="73"/>
      <c r="N71" s="73"/>
      <c r="O71" s="73"/>
      <c r="P71" s="73"/>
      <c r="Q71" s="73"/>
    </row>
    <row r="72" spans="3:19" s="5" customFormat="1">
      <c r="D72" s="6"/>
      <c r="E72" s="6" t="s">
        <v>78</v>
      </c>
      <c r="K72" s="203">
        <f t="shared" ref="K72:R72" si="6">SUM(K44:K70)</f>
        <v>14405691</v>
      </c>
      <c r="L72" s="203">
        <f t="shared" si="6"/>
        <v>3950532</v>
      </c>
      <c r="M72" s="203">
        <f t="shared" si="6"/>
        <v>5524502</v>
      </c>
      <c r="N72" s="203">
        <f t="shared" si="6"/>
        <v>2923403</v>
      </c>
      <c r="O72" s="203">
        <f t="shared" si="6"/>
        <v>5616159</v>
      </c>
      <c r="P72" s="203">
        <f t="shared" si="6"/>
        <v>13624471</v>
      </c>
      <c r="Q72" s="203">
        <f t="shared" si="6"/>
        <v>64270655</v>
      </c>
      <c r="R72" s="203">
        <f t="shared" si="6"/>
        <v>27403950</v>
      </c>
      <c r="S72" s="203">
        <f>SUM(S44:S70)</f>
        <v>137719363</v>
      </c>
    </row>
    <row r="73" spans="3:19">
      <c r="K73" s="73"/>
      <c r="L73" s="73"/>
      <c r="M73" s="73"/>
      <c r="N73" s="73"/>
      <c r="O73" s="73"/>
      <c r="P73" s="73"/>
      <c r="Q73" s="73"/>
    </row>
    <row r="74" spans="3:19" s="7" customFormat="1">
      <c r="D74" s="8"/>
      <c r="E74" s="8" t="s">
        <v>50</v>
      </c>
      <c r="J74" s="224"/>
      <c r="K74" s="103">
        <f t="shared" ref="K74:R74" si="7">SUM(K72+K40+K35)</f>
        <v>48424002</v>
      </c>
      <c r="L74" s="103">
        <f t="shared" si="7"/>
        <v>10049457</v>
      </c>
      <c r="M74" s="103">
        <f t="shared" si="7"/>
        <v>22128464</v>
      </c>
      <c r="N74" s="103">
        <f t="shared" si="7"/>
        <v>3733444</v>
      </c>
      <c r="O74" s="103">
        <f t="shared" si="7"/>
        <v>14693288</v>
      </c>
      <c r="P74" s="103">
        <f t="shared" si="7"/>
        <v>13629000</v>
      </c>
      <c r="Q74" s="103">
        <f t="shared" si="7"/>
        <v>74570706</v>
      </c>
      <c r="R74" s="103">
        <f t="shared" si="7"/>
        <v>45976479</v>
      </c>
      <c r="S74" s="103">
        <f>SUM(S72+S40+S35)</f>
        <v>233204840</v>
      </c>
    </row>
  </sheetData>
  <mergeCells count="3">
    <mergeCell ref="D1:K1"/>
    <mergeCell ref="D2:K2"/>
    <mergeCell ref="K3:N3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Q30"/>
  <sheetViews>
    <sheetView zoomScale="70" zoomScaleNormal="70" workbookViewId="0">
      <selection activeCell="L42" sqref="L42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11.8554687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85546875" customWidth="1"/>
    <col min="13" max="13" width="16.42578125" customWidth="1"/>
    <col min="14" max="14" width="15.42578125" customWidth="1"/>
    <col min="15" max="15" width="15.140625" customWidth="1"/>
    <col min="16" max="16" width="17.140625" customWidth="1"/>
    <col min="17" max="17" width="17.28515625" customWidth="1"/>
  </cols>
  <sheetData>
    <row r="1" spans="1:17" ht="18.75">
      <c r="D1" s="253" t="s">
        <v>788</v>
      </c>
      <c r="E1" s="253"/>
      <c r="F1" s="253"/>
      <c r="G1" s="253"/>
      <c r="H1" s="253"/>
      <c r="I1" s="253"/>
      <c r="J1" s="253"/>
      <c r="K1" s="253"/>
    </row>
    <row r="2" spans="1:17">
      <c r="D2" s="254" t="s">
        <v>118</v>
      </c>
      <c r="E2" s="254"/>
      <c r="F2" s="254"/>
      <c r="G2" s="254"/>
      <c r="H2" s="254"/>
      <c r="I2" s="254"/>
      <c r="J2" s="254"/>
      <c r="K2" s="254"/>
    </row>
    <row r="4" spans="1:17" ht="45">
      <c r="K4" s="1" t="s">
        <v>132</v>
      </c>
      <c r="L4" s="1" t="s">
        <v>168</v>
      </c>
      <c r="M4" s="1" t="s">
        <v>583</v>
      </c>
      <c r="N4" s="1" t="s">
        <v>789</v>
      </c>
      <c r="O4" s="1" t="s">
        <v>582</v>
      </c>
      <c r="P4" s="1" t="s">
        <v>6</v>
      </c>
      <c r="Q4" s="1" t="s">
        <v>7</v>
      </c>
    </row>
    <row r="5" spans="1:17">
      <c r="A5" s="86" t="s">
        <v>8</v>
      </c>
    </row>
    <row r="6" spans="1:17">
      <c r="B6" t="s">
        <v>85</v>
      </c>
      <c r="K6" s="72">
        <v>853141</v>
      </c>
      <c r="L6" s="73">
        <v>375037</v>
      </c>
      <c r="M6" s="73">
        <v>1253408</v>
      </c>
      <c r="N6" s="73">
        <v>3435114</v>
      </c>
      <c r="O6" s="73">
        <v>500</v>
      </c>
      <c r="P6" s="73">
        <v>1994931</v>
      </c>
      <c r="Q6" s="73">
        <f>SUM(K6:P6)</f>
        <v>7912131</v>
      </c>
    </row>
    <row r="7" spans="1:17">
      <c r="B7" t="s">
        <v>10</v>
      </c>
      <c r="K7" s="77">
        <v>499573</v>
      </c>
      <c r="L7" s="73">
        <v>152478</v>
      </c>
      <c r="M7" s="73">
        <v>291236</v>
      </c>
      <c r="N7" s="73">
        <v>6046797</v>
      </c>
      <c r="O7" s="73">
        <v>38021</v>
      </c>
      <c r="P7" s="73">
        <v>585036</v>
      </c>
      <c r="Q7" s="73">
        <f>SUM(K7:P7)</f>
        <v>7613141</v>
      </c>
    </row>
    <row r="8" spans="1:17">
      <c r="B8" t="s">
        <v>60</v>
      </c>
      <c r="K8" s="74">
        <v>962474</v>
      </c>
      <c r="L8" s="73">
        <v>1035750</v>
      </c>
      <c r="M8" s="73">
        <v>850592</v>
      </c>
      <c r="N8" s="73">
        <v>440908</v>
      </c>
      <c r="O8" s="73">
        <v>157772</v>
      </c>
      <c r="P8" s="73">
        <v>604924</v>
      </c>
      <c r="Q8" s="73">
        <f>SUM(K8:P8)</f>
        <v>4052420</v>
      </c>
    </row>
    <row r="9" spans="1:17">
      <c r="K9" s="73"/>
      <c r="L9" s="73"/>
      <c r="M9" s="73"/>
      <c r="N9" s="73"/>
      <c r="O9" s="73"/>
      <c r="P9" s="73"/>
      <c r="Q9" s="73"/>
    </row>
    <row r="10" spans="1:17" s="3" customFormat="1">
      <c r="A10" s="2"/>
      <c r="B10" s="2"/>
      <c r="C10" s="2"/>
      <c r="D10" s="2"/>
      <c r="E10" s="2" t="s">
        <v>18</v>
      </c>
      <c r="K10" s="76">
        <f t="shared" ref="K10:Q10" si="0">SUM(K6:K8)</f>
        <v>2315188</v>
      </c>
      <c r="L10" s="76">
        <f t="shared" si="0"/>
        <v>1563265</v>
      </c>
      <c r="M10" s="76">
        <f t="shared" si="0"/>
        <v>2395236</v>
      </c>
      <c r="N10" s="76">
        <f t="shared" si="0"/>
        <v>9922819</v>
      </c>
      <c r="O10" s="76">
        <f t="shared" si="0"/>
        <v>196293</v>
      </c>
      <c r="P10" s="76">
        <f t="shared" si="0"/>
        <v>3184891</v>
      </c>
      <c r="Q10" s="76">
        <f t="shared" si="0"/>
        <v>19577692</v>
      </c>
    </row>
    <row r="11" spans="1:17">
      <c r="K11" s="73"/>
      <c r="L11" s="73"/>
      <c r="M11" s="73"/>
      <c r="N11" s="73"/>
      <c r="O11" s="73"/>
      <c r="P11" s="73"/>
      <c r="Q11" s="73"/>
    </row>
    <row r="12" spans="1:17">
      <c r="A12" s="4" t="s">
        <v>790</v>
      </c>
      <c r="K12" s="73"/>
      <c r="L12" s="73"/>
      <c r="M12" s="73"/>
      <c r="N12" s="73"/>
      <c r="O12" s="73"/>
      <c r="P12" s="73"/>
      <c r="Q12" s="73"/>
    </row>
    <row r="13" spans="1:17">
      <c r="B13" t="s">
        <v>20</v>
      </c>
      <c r="K13" s="73"/>
      <c r="L13" s="73"/>
      <c r="M13" s="73"/>
      <c r="N13" s="73"/>
      <c r="O13" s="73"/>
      <c r="P13" s="73"/>
      <c r="Q13" s="73"/>
    </row>
    <row r="14" spans="1:17">
      <c r="C14" t="s">
        <v>447</v>
      </c>
      <c r="L14" s="73"/>
      <c r="M14" s="73"/>
      <c r="N14" s="73"/>
      <c r="O14" s="73">
        <v>947080</v>
      </c>
      <c r="P14" s="73"/>
      <c r="Q14" s="73">
        <f>SUM(K14:P14)</f>
        <v>947080</v>
      </c>
    </row>
    <row r="15" spans="1:17">
      <c r="C15" t="s">
        <v>21</v>
      </c>
      <c r="K15" s="77">
        <v>217894</v>
      </c>
      <c r="L15" s="73">
        <v>53279</v>
      </c>
      <c r="M15" s="73">
        <v>27811</v>
      </c>
      <c r="N15" s="73">
        <v>11052</v>
      </c>
      <c r="O15" s="73">
        <v>87736</v>
      </c>
      <c r="P15" s="73">
        <v>87488</v>
      </c>
      <c r="Q15" s="73">
        <f>SUM(K15:P15)</f>
        <v>485260</v>
      </c>
    </row>
    <row r="16" spans="1:17">
      <c r="C16" t="s">
        <v>267</v>
      </c>
      <c r="K16" s="77">
        <v>128420</v>
      </c>
      <c r="L16" s="73">
        <v>19742</v>
      </c>
      <c r="M16" s="73"/>
      <c r="N16" s="73">
        <v>12810</v>
      </c>
      <c r="O16" s="73"/>
      <c r="P16" s="73">
        <v>23233</v>
      </c>
      <c r="Q16" s="73">
        <f>SUM(K16:P16)</f>
        <v>184205</v>
      </c>
    </row>
    <row r="17" spans="1:17">
      <c r="C17" t="s">
        <v>577</v>
      </c>
      <c r="K17" s="73"/>
      <c r="L17" s="73">
        <v>385020</v>
      </c>
      <c r="M17" s="73"/>
      <c r="N17" s="73"/>
      <c r="O17" s="73"/>
      <c r="P17" s="73"/>
      <c r="Q17" s="73">
        <f t="shared" ref="Q17" si="1">SUM(K17:P17)</f>
        <v>385020</v>
      </c>
    </row>
    <row r="18" spans="1:17">
      <c r="K18" s="73"/>
      <c r="L18" s="73"/>
      <c r="M18" s="73"/>
      <c r="N18" s="73"/>
      <c r="O18" s="73"/>
      <c r="P18" s="73"/>
      <c r="Q18" s="73"/>
    </row>
    <row r="19" spans="1:17" s="5" customFormat="1">
      <c r="B19" s="6"/>
      <c r="C19" s="6"/>
      <c r="D19" s="6"/>
      <c r="E19" s="6" t="s">
        <v>26</v>
      </c>
      <c r="K19" s="79">
        <f t="shared" ref="K19:Q19" si="2">SUM(K14:K17)</f>
        <v>346314</v>
      </c>
      <c r="L19" s="79">
        <f t="shared" si="2"/>
        <v>458041</v>
      </c>
      <c r="M19" s="79">
        <f t="shared" si="2"/>
        <v>27811</v>
      </c>
      <c r="N19" s="79">
        <f t="shared" si="2"/>
        <v>23862</v>
      </c>
      <c r="O19" s="79">
        <f t="shared" si="2"/>
        <v>1034816</v>
      </c>
      <c r="P19" s="79">
        <f t="shared" si="2"/>
        <v>110721</v>
      </c>
      <c r="Q19" s="79">
        <f t="shared" si="2"/>
        <v>2001565</v>
      </c>
    </row>
    <row r="20" spans="1:17">
      <c r="K20" s="73"/>
      <c r="L20" s="73"/>
      <c r="M20" s="73"/>
      <c r="N20" s="73"/>
      <c r="O20" s="73"/>
      <c r="P20" s="73"/>
      <c r="Q20" s="73"/>
    </row>
    <row r="21" spans="1:17">
      <c r="A21" s="86" t="s">
        <v>791</v>
      </c>
      <c r="K21" s="73"/>
      <c r="L21" s="73"/>
      <c r="M21" s="73"/>
      <c r="N21" s="73"/>
      <c r="O21" s="73"/>
      <c r="P21" s="73"/>
      <c r="Q21" s="73"/>
    </row>
    <row r="22" spans="1:17">
      <c r="B22" t="s">
        <v>792</v>
      </c>
      <c r="K22" s="85"/>
      <c r="L22" s="85"/>
      <c r="M22" s="85"/>
      <c r="N22" s="85"/>
      <c r="O22" s="85"/>
      <c r="P22" s="85">
        <v>14194</v>
      </c>
      <c r="Q22" s="85">
        <f>SUM(K22:P22)</f>
        <v>14194</v>
      </c>
    </row>
    <row r="23" spans="1:17">
      <c r="K23" s="73"/>
      <c r="L23" s="73"/>
      <c r="M23" s="73"/>
      <c r="N23" s="73"/>
      <c r="O23" s="73"/>
      <c r="P23" s="73"/>
      <c r="Q23" s="73"/>
    </row>
    <row r="24" spans="1:17">
      <c r="B24" t="s">
        <v>793</v>
      </c>
      <c r="K24" s="73"/>
      <c r="L24" s="73"/>
      <c r="M24" s="73"/>
      <c r="N24" s="73"/>
      <c r="O24" s="73"/>
      <c r="P24" s="73"/>
      <c r="Q24" s="73"/>
    </row>
    <row r="25" spans="1:17">
      <c r="C25" t="s">
        <v>129</v>
      </c>
      <c r="K25" s="80">
        <v>708019</v>
      </c>
      <c r="L25" s="73">
        <v>1105224</v>
      </c>
      <c r="M25" s="73">
        <v>2367425</v>
      </c>
      <c r="N25" s="73">
        <v>9898957</v>
      </c>
      <c r="O25" s="73">
        <v>-838523</v>
      </c>
      <c r="P25" s="73">
        <v>3059976</v>
      </c>
      <c r="Q25" s="73">
        <f>SUM(K25:P25)</f>
        <v>16301078</v>
      </c>
    </row>
    <row r="26" spans="1:17">
      <c r="C26" t="s">
        <v>48</v>
      </c>
      <c r="K26" s="84">
        <v>1260855</v>
      </c>
      <c r="L26" s="73"/>
      <c r="M26" s="73"/>
      <c r="N26" s="73"/>
      <c r="O26" s="73"/>
      <c r="P26" s="73"/>
      <c r="Q26" s="73">
        <f>SUM(K26:P26)</f>
        <v>1260855</v>
      </c>
    </row>
    <row r="27" spans="1:17">
      <c r="K27" s="73"/>
      <c r="L27" s="73"/>
      <c r="M27" s="73"/>
      <c r="N27" s="73"/>
      <c r="O27" s="73"/>
      <c r="P27" s="73"/>
      <c r="Q27" s="73"/>
    </row>
    <row r="28" spans="1:17" s="5" customFormat="1">
      <c r="D28" s="6"/>
      <c r="E28" s="6" t="s">
        <v>794</v>
      </c>
      <c r="K28" s="79">
        <f t="shared" ref="K28:Q28" si="3">SUM(K25:K26)</f>
        <v>1968874</v>
      </c>
      <c r="L28" s="79">
        <f t="shared" si="3"/>
        <v>1105224</v>
      </c>
      <c r="M28" s="79">
        <f t="shared" si="3"/>
        <v>2367425</v>
      </c>
      <c r="N28" s="79">
        <f t="shared" si="3"/>
        <v>9898957</v>
      </c>
      <c r="O28" s="79">
        <f t="shared" si="3"/>
        <v>-838523</v>
      </c>
      <c r="P28" s="79">
        <f t="shared" si="3"/>
        <v>3059976</v>
      </c>
      <c r="Q28" s="79">
        <f t="shared" si="3"/>
        <v>17561933</v>
      </c>
    </row>
    <row r="29" spans="1:17">
      <c r="K29" s="73"/>
      <c r="L29" s="73"/>
      <c r="M29" s="73"/>
      <c r="N29" s="73"/>
      <c r="O29" s="73"/>
      <c r="P29" s="73"/>
      <c r="Q29" s="73"/>
    </row>
    <row r="30" spans="1:17" s="7" customFormat="1">
      <c r="D30" s="8"/>
      <c r="E30" s="8" t="s">
        <v>795</v>
      </c>
      <c r="K30" s="81">
        <f>K28+K22+K19</f>
        <v>2315188</v>
      </c>
      <c r="L30" s="81">
        <f t="shared" ref="L30:Q30" si="4">L28+L22+L19</f>
        <v>1563265</v>
      </c>
      <c r="M30" s="81">
        <f t="shared" si="4"/>
        <v>2395236</v>
      </c>
      <c r="N30" s="81">
        <f t="shared" si="4"/>
        <v>9922819</v>
      </c>
      <c r="O30" s="81">
        <f t="shared" si="4"/>
        <v>196293</v>
      </c>
      <c r="P30" s="81">
        <f t="shared" si="4"/>
        <v>3184891</v>
      </c>
      <c r="Q30" s="81">
        <f t="shared" si="4"/>
        <v>19577692</v>
      </c>
    </row>
  </sheetData>
  <mergeCells count="2">
    <mergeCell ref="D1:K1"/>
    <mergeCell ref="D2:K2"/>
  </mergeCells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BS41"/>
  <sheetViews>
    <sheetView topLeftCell="A4" zoomScale="90" zoomScaleNormal="90" workbookViewId="0">
      <selection activeCell="Q43" sqref="Q43"/>
    </sheetView>
  </sheetViews>
  <sheetFormatPr defaultColWidth="8.85546875" defaultRowHeight="15"/>
  <cols>
    <col min="5" max="5" width="10" customWidth="1"/>
    <col min="6" max="10" width="11.85546875" customWidth="1"/>
    <col min="11" max="11" width="12.85546875" customWidth="1"/>
    <col min="12" max="12" width="11.28515625" customWidth="1"/>
    <col min="13" max="13" width="13" customWidth="1"/>
    <col min="14" max="14" width="12.42578125" customWidth="1"/>
    <col min="15" max="15" width="13.28515625" customWidth="1"/>
    <col min="16" max="16" width="16" customWidth="1"/>
    <col min="17" max="17" width="13.140625" customWidth="1"/>
    <col min="18" max="18" width="15.140625" customWidth="1"/>
    <col min="19" max="19" width="17.85546875" customWidth="1"/>
  </cols>
  <sheetData>
    <row r="1" spans="1:19">
      <c r="D1" s="86" t="s">
        <v>796</v>
      </c>
    </row>
    <row r="2" spans="1:19">
      <c r="D2" t="s">
        <v>797</v>
      </c>
      <c r="E2" t="s">
        <v>798</v>
      </c>
    </row>
    <row r="5" spans="1:19" ht="75">
      <c r="K5" s="142" t="s">
        <v>52</v>
      </c>
      <c r="L5" s="142" t="s">
        <v>799</v>
      </c>
      <c r="M5" s="142" t="s">
        <v>800</v>
      </c>
      <c r="N5" s="142" t="s">
        <v>801</v>
      </c>
      <c r="O5" s="142" t="s">
        <v>802</v>
      </c>
      <c r="P5" s="142" t="s">
        <v>803</v>
      </c>
      <c r="Q5" s="142" t="s">
        <v>804</v>
      </c>
      <c r="R5" s="142" t="s">
        <v>6</v>
      </c>
      <c r="S5" s="142" t="s">
        <v>805</v>
      </c>
    </row>
    <row r="6" spans="1:19">
      <c r="A6" s="86" t="s">
        <v>8</v>
      </c>
    </row>
    <row r="7" spans="1:19">
      <c r="B7" t="s">
        <v>139</v>
      </c>
      <c r="K7" s="146">
        <v>1105751</v>
      </c>
      <c r="L7" s="102">
        <v>9278922</v>
      </c>
      <c r="M7" s="102">
        <v>11945070</v>
      </c>
      <c r="N7" s="102">
        <v>15461701</v>
      </c>
      <c r="O7" s="102">
        <v>10541846</v>
      </c>
      <c r="P7" s="102">
        <v>178461</v>
      </c>
      <c r="Q7" s="102">
        <v>42636</v>
      </c>
      <c r="R7" s="102">
        <v>8555534</v>
      </c>
      <c r="S7" s="102">
        <f t="shared" ref="S7:S15" si="0">SUM(K7:R7)</f>
        <v>57109921</v>
      </c>
    </row>
    <row r="8" spans="1:19">
      <c r="B8" t="s">
        <v>806</v>
      </c>
      <c r="K8" s="147"/>
      <c r="L8" s="102"/>
      <c r="M8" s="102"/>
      <c r="N8" s="102">
        <v>37318</v>
      </c>
      <c r="O8" s="102"/>
      <c r="P8" s="102"/>
      <c r="Q8" s="102"/>
      <c r="R8" s="102">
        <v>79082</v>
      </c>
      <c r="S8" s="102">
        <f t="shared" si="0"/>
        <v>116400</v>
      </c>
    </row>
    <row r="9" spans="1:19">
      <c r="B9" t="s">
        <v>807</v>
      </c>
      <c r="E9" s="99"/>
      <c r="F9" s="99"/>
      <c r="G9" s="99"/>
      <c r="H9" s="99"/>
      <c r="I9" s="99"/>
      <c r="J9" s="99"/>
      <c r="K9" s="148">
        <v>101892</v>
      </c>
      <c r="L9" s="102"/>
      <c r="M9" s="102"/>
      <c r="N9" s="102"/>
      <c r="O9" s="102"/>
      <c r="P9" s="102">
        <v>86222</v>
      </c>
      <c r="Q9" s="102"/>
      <c r="R9" s="102">
        <v>283294</v>
      </c>
      <c r="S9" s="102">
        <f t="shared" si="0"/>
        <v>471408</v>
      </c>
    </row>
    <row r="10" spans="1:19">
      <c r="B10" t="s">
        <v>444</v>
      </c>
      <c r="K10" s="147"/>
      <c r="L10" s="102">
        <v>6911</v>
      </c>
      <c r="M10" s="102">
        <v>10228</v>
      </c>
      <c r="N10" s="102">
        <v>14722</v>
      </c>
      <c r="O10" s="102">
        <v>7419</v>
      </c>
      <c r="P10" s="102"/>
      <c r="Q10" s="102"/>
      <c r="R10" s="102">
        <v>1149</v>
      </c>
      <c r="S10" s="102">
        <f t="shared" si="0"/>
        <v>40429</v>
      </c>
    </row>
    <row r="11" spans="1:19">
      <c r="B11" t="s">
        <v>16</v>
      </c>
      <c r="K11" s="149">
        <v>680283</v>
      </c>
      <c r="L11" s="102"/>
      <c r="M11" s="102">
        <v>18841</v>
      </c>
      <c r="N11" s="102"/>
      <c r="O11" s="102">
        <v>89609</v>
      </c>
      <c r="P11" s="102">
        <v>41301</v>
      </c>
      <c r="Q11" s="102"/>
      <c r="R11" s="102"/>
      <c r="S11" s="102">
        <f t="shared" si="0"/>
        <v>830034</v>
      </c>
    </row>
    <row r="12" spans="1:19">
      <c r="B12" t="s">
        <v>808</v>
      </c>
      <c r="K12" s="149">
        <v>111</v>
      </c>
      <c r="L12" s="102"/>
      <c r="M12" s="102"/>
      <c r="N12" s="102"/>
      <c r="O12" s="102">
        <v>519</v>
      </c>
      <c r="P12" s="102"/>
      <c r="Q12" s="102"/>
      <c r="R12" s="102"/>
      <c r="S12" s="102">
        <f t="shared" si="0"/>
        <v>630</v>
      </c>
    </row>
    <row r="13" spans="1:19">
      <c r="B13" t="s">
        <v>141</v>
      </c>
      <c r="K13" s="149">
        <v>1217510</v>
      </c>
      <c r="L13" s="102">
        <v>601768</v>
      </c>
      <c r="M13" s="102">
        <v>601768</v>
      </c>
      <c r="N13" s="102">
        <v>605717</v>
      </c>
      <c r="O13" s="102">
        <v>156590</v>
      </c>
      <c r="P13" s="102">
        <v>1072188</v>
      </c>
      <c r="Q13" s="102">
        <v>32446</v>
      </c>
      <c r="R13" s="102">
        <v>3048200</v>
      </c>
      <c r="S13" s="102">
        <f t="shared" si="0"/>
        <v>7336187</v>
      </c>
    </row>
    <row r="14" spans="1:19">
      <c r="B14" t="s">
        <v>13</v>
      </c>
      <c r="E14" s="99"/>
      <c r="F14" s="99"/>
      <c r="G14" s="99"/>
      <c r="H14" s="99"/>
      <c r="I14" s="99"/>
      <c r="J14" s="99"/>
      <c r="K14" s="148">
        <v>48628</v>
      </c>
      <c r="L14" s="102"/>
      <c r="M14" s="102"/>
      <c r="N14" s="102"/>
      <c r="O14" s="102"/>
      <c r="P14" s="102"/>
      <c r="Q14" s="102"/>
      <c r="R14" s="102"/>
      <c r="S14" s="102">
        <f t="shared" si="0"/>
        <v>48628</v>
      </c>
    </row>
    <row r="15" spans="1:19">
      <c r="B15" t="s">
        <v>255</v>
      </c>
      <c r="K15" s="147"/>
      <c r="L15" s="102">
        <v>1345</v>
      </c>
      <c r="M15" s="102"/>
      <c r="N15" s="102">
        <v>5516</v>
      </c>
      <c r="O15" s="102">
        <v>10776</v>
      </c>
      <c r="P15" s="102">
        <v>12419</v>
      </c>
      <c r="Q15" s="102"/>
      <c r="R15" s="102">
        <v>502</v>
      </c>
      <c r="S15" s="150">
        <f t="shared" si="0"/>
        <v>30558</v>
      </c>
    </row>
    <row r="16" spans="1:19">
      <c r="K16" s="151"/>
      <c r="L16" s="151"/>
      <c r="M16" s="151"/>
      <c r="N16" s="151"/>
      <c r="O16" s="151"/>
      <c r="P16" s="151"/>
      <c r="Q16" s="151"/>
      <c r="R16" s="151"/>
      <c r="S16" s="151"/>
    </row>
    <row r="17" spans="1:71" s="116" customFormat="1">
      <c r="E17" s="116" t="s">
        <v>64</v>
      </c>
      <c r="K17" s="133">
        <f t="shared" ref="K17:R17" si="1">SUM(K7:K15)</f>
        <v>3154175</v>
      </c>
      <c r="L17" s="132">
        <f t="shared" si="1"/>
        <v>9888946</v>
      </c>
      <c r="M17" s="132">
        <f t="shared" si="1"/>
        <v>12575907</v>
      </c>
      <c r="N17" s="132">
        <f t="shared" si="1"/>
        <v>16124974</v>
      </c>
      <c r="O17" s="132">
        <f t="shared" si="1"/>
        <v>10806759</v>
      </c>
      <c r="P17" s="132">
        <f t="shared" si="1"/>
        <v>1390591</v>
      </c>
      <c r="Q17" s="132">
        <f t="shared" si="1"/>
        <v>75082</v>
      </c>
      <c r="R17" s="132">
        <f t="shared" si="1"/>
        <v>11967761</v>
      </c>
      <c r="S17" s="132">
        <f>SUM(S7:S15)</f>
        <v>65984195</v>
      </c>
      <c r="T17" s="160"/>
      <c r="U17" s="160"/>
      <c r="V17" s="160"/>
      <c r="W17" s="160"/>
      <c r="X17" s="160"/>
      <c r="Y17" s="160"/>
      <c r="Z17" s="160"/>
      <c r="AA17" s="160"/>
      <c r="AB17" s="160"/>
      <c r="AC17" s="160"/>
      <c r="AD17" s="160"/>
      <c r="AE17" s="160"/>
      <c r="AF17" s="160"/>
      <c r="AG17" s="160"/>
      <c r="AH17" s="160"/>
      <c r="AI17" s="160"/>
      <c r="AJ17" s="160"/>
      <c r="AK17" s="160"/>
      <c r="AL17" s="160"/>
      <c r="AM17" s="160"/>
      <c r="AN17" s="160"/>
      <c r="AO17" s="160"/>
      <c r="AP17" s="160"/>
      <c r="AQ17" s="160"/>
      <c r="AR17" s="160"/>
      <c r="AS17" s="160"/>
      <c r="AT17" s="160"/>
      <c r="AU17" s="160"/>
      <c r="AV17" s="160"/>
      <c r="AW17" s="160"/>
      <c r="AX17" s="160"/>
      <c r="AY17" s="160"/>
      <c r="AZ17" s="160"/>
      <c r="BA17" s="160"/>
      <c r="BB17" s="160"/>
      <c r="BC17" s="160"/>
      <c r="BD17" s="160"/>
      <c r="BE17" s="160"/>
      <c r="BF17" s="160"/>
      <c r="BG17" s="160"/>
      <c r="BH17" s="160"/>
      <c r="BI17" s="160"/>
      <c r="BJ17" s="160"/>
      <c r="BK17" s="160"/>
      <c r="BL17" s="160"/>
      <c r="BM17" s="160"/>
      <c r="BN17" s="160"/>
      <c r="BO17" s="160"/>
      <c r="BP17" s="160"/>
      <c r="BQ17" s="160"/>
      <c r="BR17" s="160"/>
      <c r="BS17" s="160"/>
    </row>
    <row r="18" spans="1:71">
      <c r="K18" s="147"/>
      <c r="L18" s="102"/>
      <c r="M18" s="102"/>
      <c r="N18" s="102"/>
      <c r="O18" s="102"/>
      <c r="P18" s="102"/>
      <c r="Q18" s="102"/>
      <c r="R18" s="102"/>
      <c r="S18" s="102"/>
    </row>
    <row r="19" spans="1:71">
      <c r="A19" s="86" t="s">
        <v>183</v>
      </c>
      <c r="K19" s="147"/>
      <c r="L19" s="102"/>
      <c r="M19" s="102"/>
      <c r="N19" s="102"/>
      <c r="O19" s="102"/>
      <c r="P19" s="102"/>
      <c r="Q19" s="102"/>
      <c r="R19" s="102"/>
      <c r="S19" s="102"/>
    </row>
    <row r="20" spans="1:71">
      <c r="B20" t="s">
        <v>20</v>
      </c>
      <c r="K20" s="147"/>
      <c r="L20" s="102"/>
      <c r="M20" s="102"/>
      <c r="N20" s="102"/>
      <c r="O20" s="102"/>
      <c r="P20" s="102"/>
      <c r="Q20" s="102"/>
      <c r="R20" s="102"/>
      <c r="S20" s="102"/>
    </row>
    <row r="21" spans="1:71">
      <c r="C21" t="s">
        <v>21</v>
      </c>
      <c r="K21" s="152">
        <v>137429</v>
      </c>
      <c r="L21" s="102">
        <v>50374</v>
      </c>
      <c r="M21" s="102">
        <v>4840</v>
      </c>
      <c r="N21" s="102">
        <v>277872</v>
      </c>
      <c r="O21" s="102">
        <v>16429</v>
      </c>
      <c r="P21" s="102">
        <v>65694</v>
      </c>
      <c r="Q21" s="102">
        <v>5330</v>
      </c>
      <c r="R21" s="102">
        <v>116404</v>
      </c>
      <c r="S21" s="102">
        <f t="shared" ref="S21:S26" si="2">SUM(K21:R21)</f>
        <v>674372</v>
      </c>
    </row>
    <row r="22" spans="1:71">
      <c r="C22" t="s">
        <v>95</v>
      </c>
      <c r="L22" s="102">
        <v>20776</v>
      </c>
      <c r="M22" s="102"/>
      <c r="N22" s="102"/>
      <c r="O22" s="102">
        <v>31265</v>
      </c>
      <c r="P22" s="102"/>
      <c r="Q22" s="102">
        <v>3000</v>
      </c>
      <c r="R22" s="102">
        <v>185987</v>
      </c>
      <c r="S22" s="102">
        <f t="shared" si="2"/>
        <v>241028</v>
      </c>
    </row>
    <row r="23" spans="1:71">
      <c r="C23" t="s">
        <v>22</v>
      </c>
      <c r="K23" s="153"/>
      <c r="L23" s="102"/>
      <c r="M23" s="102"/>
      <c r="N23" s="102"/>
      <c r="O23" s="102">
        <v>3474</v>
      </c>
      <c r="P23" s="102"/>
      <c r="Q23" s="102">
        <v>32446</v>
      </c>
      <c r="R23" s="102">
        <v>57740</v>
      </c>
      <c r="S23" s="102">
        <f t="shared" si="2"/>
        <v>93660</v>
      </c>
    </row>
    <row r="24" spans="1:71">
      <c r="C24" t="s">
        <v>197</v>
      </c>
      <c r="K24" s="154">
        <v>9889</v>
      </c>
      <c r="L24" s="102">
        <v>4549</v>
      </c>
      <c r="M24" s="102">
        <v>1788</v>
      </c>
      <c r="N24" s="102">
        <v>20415</v>
      </c>
      <c r="O24" s="102"/>
      <c r="P24" s="102">
        <v>30056</v>
      </c>
      <c r="Q24" s="102"/>
      <c r="R24" s="102">
        <v>33109</v>
      </c>
      <c r="S24" s="102">
        <f t="shared" si="2"/>
        <v>99806</v>
      </c>
    </row>
    <row r="25" spans="1:71">
      <c r="C25" t="s">
        <v>25</v>
      </c>
      <c r="K25" s="155">
        <v>121369</v>
      </c>
      <c r="L25" s="102">
        <v>3499</v>
      </c>
      <c r="M25" s="102">
        <v>852</v>
      </c>
      <c r="N25" s="102">
        <v>67787</v>
      </c>
      <c r="O25" s="102"/>
      <c r="P25" s="102">
        <v>37299</v>
      </c>
      <c r="Q25" s="102">
        <v>500287</v>
      </c>
      <c r="R25" s="102">
        <v>98941</v>
      </c>
      <c r="S25" s="102">
        <f t="shared" si="2"/>
        <v>830034</v>
      </c>
    </row>
    <row r="26" spans="1:71">
      <c r="C26" t="s">
        <v>128</v>
      </c>
      <c r="K26" s="154">
        <v>220899</v>
      </c>
      <c r="L26" s="102"/>
      <c r="M26" s="102"/>
      <c r="N26" s="102"/>
      <c r="O26" s="102"/>
      <c r="P26" s="102"/>
      <c r="Q26" s="102"/>
      <c r="R26" s="102"/>
      <c r="S26" s="102">
        <f t="shared" si="2"/>
        <v>220899</v>
      </c>
    </row>
    <row r="27" spans="1:71">
      <c r="K27" s="151"/>
      <c r="L27" s="151"/>
      <c r="M27" s="151"/>
      <c r="N27" s="151"/>
      <c r="O27" s="151"/>
      <c r="P27" s="151"/>
      <c r="Q27" s="151"/>
      <c r="R27" s="151"/>
      <c r="S27" s="151"/>
    </row>
    <row r="28" spans="1:71">
      <c r="A28" s="5"/>
      <c r="B28" s="6"/>
      <c r="C28" s="6"/>
      <c r="D28" s="6"/>
      <c r="E28" s="6" t="s">
        <v>26</v>
      </c>
      <c r="F28" s="6"/>
      <c r="G28" s="6"/>
      <c r="H28" s="6"/>
      <c r="I28" s="6"/>
      <c r="J28" s="6"/>
      <c r="K28" s="156">
        <f t="shared" ref="K28:S28" si="3">SUM(K21:K26)</f>
        <v>489586</v>
      </c>
      <c r="L28" s="157">
        <f t="shared" si="3"/>
        <v>79198</v>
      </c>
      <c r="M28" s="157">
        <f t="shared" si="3"/>
        <v>7480</v>
      </c>
      <c r="N28" s="157">
        <f t="shared" si="3"/>
        <v>366074</v>
      </c>
      <c r="O28" s="157">
        <f t="shared" si="3"/>
        <v>51168</v>
      </c>
      <c r="P28" s="157">
        <f t="shared" si="3"/>
        <v>133049</v>
      </c>
      <c r="Q28" s="157">
        <f t="shared" si="3"/>
        <v>541063</v>
      </c>
      <c r="R28" s="157">
        <f t="shared" si="3"/>
        <v>492181</v>
      </c>
      <c r="S28" s="157">
        <f t="shared" si="3"/>
        <v>2159799</v>
      </c>
      <c r="T28" s="159">
        <f>SUM(T18:T25)</f>
        <v>0</v>
      </c>
      <c r="U28" s="159">
        <f>SUM(U18:U25)</f>
        <v>0</v>
      </c>
      <c r="V28" s="159">
        <f>SUM(V18:V26)</f>
        <v>0</v>
      </c>
    </row>
    <row r="29" spans="1:71">
      <c r="K29" s="147"/>
      <c r="L29" s="102"/>
      <c r="M29" s="102"/>
      <c r="N29" s="102"/>
      <c r="O29" s="102"/>
      <c r="P29" s="102"/>
      <c r="Q29" s="102"/>
      <c r="R29" s="102"/>
      <c r="S29" s="102"/>
    </row>
    <row r="30" spans="1:71">
      <c r="A30" s="86" t="s">
        <v>65</v>
      </c>
      <c r="K30" s="147"/>
      <c r="L30" s="102"/>
      <c r="M30" s="102"/>
      <c r="N30" s="102"/>
      <c r="O30" s="102"/>
      <c r="P30" s="102"/>
      <c r="Q30" s="102"/>
      <c r="R30" s="102"/>
      <c r="S30" s="102"/>
    </row>
    <row r="31" spans="1:71">
      <c r="C31" t="s">
        <v>809</v>
      </c>
      <c r="K31" s="147">
        <v>246995</v>
      </c>
      <c r="L31" s="102"/>
      <c r="M31" s="102"/>
      <c r="N31" s="102">
        <v>13271</v>
      </c>
      <c r="O31" s="102"/>
      <c r="P31" s="102">
        <v>98375</v>
      </c>
      <c r="Q31" s="102">
        <v>40742</v>
      </c>
      <c r="R31" s="102">
        <v>319862</v>
      </c>
      <c r="S31" s="102">
        <f>SUM(K31:R31)</f>
        <v>719245</v>
      </c>
    </row>
    <row r="32" spans="1:71">
      <c r="K32" s="151"/>
      <c r="L32" s="151"/>
      <c r="M32" s="151"/>
      <c r="N32" s="151"/>
      <c r="O32" s="151"/>
      <c r="P32" s="151"/>
      <c r="Q32" s="151"/>
      <c r="R32" s="151"/>
      <c r="S32" s="151"/>
    </row>
    <row r="33" spans="1:71">
      <c r="B33" t="s">
        <v>30</v>
      </c>
      <c r="K33" s="147"/>
      <c r="L33" s="102"/>
      <c r="M33" s="102"/>
      <c r="N33" s="102"/>
      <c r="O33" s="102"/>
      <c r="P33" s="102"/>
      <c r="Q33" s="102"/>
      <c r="R33" s="102"/>
      <c r="S33" s="102"/>
    </row>
    <row r="34" spans="1:71">
      <c r="C34" t="s">
        <v>145</v>
      </c>
      <c r="K34" s="147"/>
      <c r="L34" s="102">
        <v>1345</v>
      </c>
      <c r="M34" s="102"/>
      <c r="N34" s="102">
        <v>5516</v>
      </c>
      <c r="O34" s="102">
        <v>10776</v>
      </c>
      <c r="P34" s="102">
        <v>12419</v>
      </c>
      <c r="Q34" s="102"/>
      <c r="R34" s="102">
        <v>502</v>
      </c>
      <c r="S34" s="102">
        <f>SUM(K34:R34)</f>
        <v>30558</v>
      </c>
    </row>
    <row r="35" spans="1:71">
      <c r="C35" t="s">
        <v>129</v>
      </c>
      <c r="K35" s="147"/>
      <c r="L35" s="102">
        <v>9808403</v>
      </c>
      <c r="M35" s="102">
        <v>12568427</v>
      </c>
      <c r="N35" s="102">
        <v>15740113</v>
      </c>
      <c r="O35" s="102">
        <v>10744815</v>
      </c>
      <c r="P35" s="102">
        <v>1146748</v>
      </c>
      <c r="Q35" s="102"/>
      <c r="R35" s="102">
        <v>11155216</v>
      </c>
      <c r="S35" s="102">
        <f>SUM(K35:R35)</f>
        <v>61163722</v>
      </c>
    </row>
    <row r="36" spans="1:71">
      <c r="C36" t="s">
        <v>130</v>
      </c>
      <c r="K36" s="131">
        <v>52783</v>
      </c>
      <c r="L36" s="102"/>
      <c r="M36" s="102"/>
      <c r="N36" s="102"/>
      <c r="O36" s="102"/>
      <c r="P36" s="102"/>
      <c r="Q36" s="102"/>
      <c r="R36" s="102"/>
      <c r="S36" s="102">
        <f>SUM(K36:R36)</f>
        <v>52783</v>
      </c>
    </row>
    <row r="37" spans="1:71">
      <c r="C37" t="s">
        <v>48</v>
      </c>
      <c r="K37" s="158">
        <v>2364811</v>
      </c>
      <c r="L37" s="102"/>
      <c r="M37" s="102"/>
      <c r="N37" s="102"/>
      <c r="O37" s="102"/>
      <c r="P37" s="102"/>
      <c r="Q37" s="102">
        <v>-506723</v>
      </c>
      <c r="R37" s="102"/>
      <c r="S37" s="102">
        <f>SUM(K37:R37)</f>
        <v>1858088</v>
      </c>
    </row>
    <row r="38" spans="1:71">
      <c r="K38" s="151"/>
      <c r="L38" s="151"/>
      <c r="M38" s="151"/>
      <c r="N38" s="151"/>
      <c r="O38" s="151"/>
      <c r="P38" s="151"/>
      <c r="Q38" s="151"/>
      <c r="R38" s="151"/>
      <c r="S38" s="151"/>
    </row>
    <row r="39" spans="1:71">
      <c r="A39" s="5"/>
      <c r="B39" s="5"/>
      <c r="C39" s="5"/>
      <c r="D39" s="6"/>
      <c r="E39" s="6" t="s">
        <v>49</v>
      </c>
      <c r="F39" s="6"/>
      <c r="G39" s="6"/>
      <c r="H39" s="6"/>
      <c r="I39" s="6"/>
      <c r="J39" s="6"/>
      <c r="K39" s="157">
        <f>SUM(K34:K37)</f>
        <v>2417594</v>
      </c>
      <c r="L39" s="157">
        <f t="shared" ref="L39:S39" si="4">SUM(L34:L37)</f>
        <v>9809748</v>
      </c>
      <c r="M39" s="157">
        <f t="shared" si="4"/>
        <v>12568427</v>
      </c>
      <c r="N39" s="157">
        <f t="shared" si="4"/>
        <v>15745629</v>
      </c>
      <c r="O39" s="157">
        <f t="shared" si="4"/>
        <v>10755591</v>
      </c>
      <c r="P39" s="157">
        <f t="shared" si="4"/>
        <v>1159167</v>
      </c>
      <c r="Q39" s="157">
        <f t="shared" si="4"/>
        <v>-506723</v>
      </c>
      <c r="R39" s="157">
        <f t="shared" si="4"/>
        <v>11155718</v>
      </c>
      <c r="S39" s="157">
        <f t="shared" si="4"/>
        <v>63105151</v>
      </c>
      <c r="T39" s="159">
        <f t="shared" ref="T39:U39" si="5">SUM(T20:T37)</f>
        <v>0</v>
      </c>
      <c r="U39" s="159">
        <f t="shared" si="5"/>
        <v>0</v>
      </c>
      <c r="V39" s="159">
        <f>SUM(V20:V37)</f>
        <v>0</v>
      </c>
    </row>
    <row r="40" spans="1:71">
      <c r="K40" s="102"/>
      <c r="L40" s="102"/>
      <c r="M40" s="102"/>
      <c r="N40" s="102"/>
      <c r="O40" s="102"/>
      <c r="P40" s="102"/>
      <c r="Q40" s="102"/>
      <c r="R40" s="102"/>
      <c r="S40" s="102"/>
    </row>
    <row r="41" spans="1:71" s="7" customFormat="1">
      <c r="E41" s="7" t="s">
        <v>166</v>
      </c>
      <c r="K41" s="161">
        <f>SUM(K39+K31+K28)</f>
        <v>3154175</v>
      </c>
      <c r="L41" s="161">
        <f>SUM(L39+L28)</f>
        <v>9888946</v>
      </c>
      <c r="M41" s="161">
        <f>SUM(M39+M28)</f>
        <v>12575907</v>
      </c>
      <c r="N41" s="161">
        <f>SUM(N39+N28+N31)</f>
        <v>16124974</v>
      </c>
      <c r="O41" s="161">
        <f>SUM(O39+O31+O28)</f>
        <v>10806759</v>
      </c>
      <c r="P41" s="161">
        <f>SUM(P39+P28+P31)</f>
        <v>1390591</v>
      </c>
      <c r="Q41" s="161">
        <f>SUM(Q39+Q28+Q31)</f>
        <v>75082</v>
      </c>
      <c r="R41" s="161">
        <f>SUM(R39+R28+R31)</f>
        <v>11967761</v>
      </c>
      <c r="S41" s="161">
        <f>SUM(S39+S31+S28)</f>
        <v>65984195</v>
      </c>
      <c r="T41" s="101"/>
      <c r="U41" s="101"/>
      <c r="V41" s="101"/>
      <c r="W41" s="101"/>
      <c r="X41" s="101"/>
      <c r="Y41" s="101"/>
      <c r="Z41" s="101"/>
      <c r="AA41" s="101"/>
      <c r="AB41" s="101"/>
      <c r="AC41" s="101"/>
      <c r="AD41" s="101"/>
      <c r="AE41" s="101"/>
      <c r="AF41" s="101"/>
      <c r="AG41" s="101"/>
      <c r="AH41" s="101"/>
      <c r="AI41" s="101"/>
      <c r="AJ41" s="101"/>
      <c r="AK41" s="101"/>
      <c r="AL41" s="101"/>
      <c r="AM41" s="101"/>
      <c r="AN41" s="101"/>
      <c r="AO41" s="101"/>
      <c r="AP41" s="101"/>
      <c r="AQ41" s="101"/>
      <c r="AR41" s="101"/>
      <c r="AS41" s="101"/>
      <c r="AT41" s="101"/>
      <c r="AU41" s="101"/>
      <c r="AV41" s="101"/>
      <c r="AW41" s="101"/>
      <c r="AX41" s="101"/>
      <c r="AY41" s="101"/>
      <c r="AZ41" s="101"/>
      <c r="BA41" s="101"/>
      <c r="BB41" s="101"/>
      <c r="BC41" s="101"/>
      <c r="BD41" s="101"/>
      <c r="BE41" s="101"/>
      <c r="BF41" s="101"/>
      <c r="BG41" s="101"/>
      <c r="BH41" s="101"/>
      <c r="BI41" s="101"/>
      <c r="BJ41" s="101"/>
      <c r="BK41" s="101"/>
      <c r="BL41" s="101"/>
      <c r="BM41" s="101"/>
      <c r="BN41" s="101"/>
      <c r="BO41" s="101"/>
      <c r="BP41" s="101"/>
      <c r="BQ41" s="101"/>
      <c r="BR41" s="101"/>
      <c r="BS41" s="101"/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V44"/>
  <sheetViews>
    <sheetView topLeftCell="C7" zoomScale="90" zoomScaleNormal="90" workbookViewId="0">
      <selection activeCell="T35" sqref="T35"/>
    </sheetView>
  </sheetViews>
  <sheetFormatPr defaultColWidth="8.85546875" defaultRowHeight="15"/>
  <cols>
    <col min="3" max="3" width="3.42578125" customWidth="1"/>
    <col min="11" max="11" width="14.7109375" customWidth="1"/>
    <col min="12" max="12" width="17.85546875" customWidth="1"/>
    <col min="13" max="13" width="13.42578125" customWidth="1"/>
    <col min="14" max="14" width="18.28515625" customWidth="1"/>
    <col min="15" max="15" width="20.7109375" customWidth="1"/>
    <col min="16" max="16" width="13.85546875" customWidth="1"/>
    <col min="17" max="17" width="11.42578125" customWidth="1"/>
    <col min="18" max="18" width="13.85546875" customWidth="1"/>
    <col min="19" max="19" width="15" customWidth="1"/>
    <col min="20" max="20" width="13.7109375" customWidth="1"/>
    <col min="21" max="21" width="12.42578125" customWidth="1"/>
    <col min="22" max="22" width="14.28515625" bestFit="1" customWidth="1"/>
  </cols>
  <sheetData>
    <row r="1" spans="1:22">
      <c r="D1" t="s">
        <v>810</v>
      </c>
    </row>
    <row r="2" spans="1:22">
      <c r="D2" t="s">
        <v>755</v>
      </c>
    </row>
    <row r="5" spans="1:22" ht="45">
      <c r="K5" s="111" t="s">
        <v>2</v>
      </c>
      <c r="L5" s="111" t="s">
        <v>811</v>
      </c>
      <c r="M5" s="111" t="s">
        <v>812</v>
      </c>
      <c r="N5" s="111" t="s">
        <v>683</v>
      </c>
      <c r="O5" s="111" t="s">
        <v>813</v>
      </c>
      <c r="P5" s="111" t="s">
        <v>814</v>
      </c>
      <c r="Q5" s="112" t="s">
        <v>417</v>
      </c>
      <c r="R5" s="111" t="s">
        <v>815</v>
      </c>
      <c r="S5" s="111" t="s">
        <v>816</v>
      </c>
      <c r="T5" s="111" t="s">
        <v>6</v>
      </c>
      <c r="U5" s="113">
        <v>2015</v>
      </c>
      <c r="V5" s="111">
        <v>2014</v>
      </c>
    </row>
    <row r="6" spans="1:22">
      <c r="A6" s="86" t="s">
        <v>8</v>
      </c>
    </row>
    <row r="7" spans="1:22">
      <c r="B7" t="s">
        <v>85</v>
      </c>
      <c r="K7" s="146">
        <v>3548299</v>
      </c>
      <c r="L7" s="102">
        <v>514514</v>
      </c>
      <c r="M7" s="102">
        <v>1599983</v>
      </c>
      <c r="N7" s="102">
        <v>1426497</v>
      </c>
      <c r="O7" s="102">
        <v>685932</v>
      </c>
      <c r="P7" s="102">
        <v>1013771</v>
      </c>
      <c r="Q7" s="102">
        <v>5372</v>
      </c>
      <c r="R7" s="102">
        <v>1255140</v>
      </c>
      <c r="S7" s="102">
        <v>6011</v>
      </c>
      <c r="T7" s="102">
        <v>6469749</v>
      </c>
      <c r="U7" s="102">
        <f>SUM(K7:T7)</f>
        <v>16525268</v>
      </c>
      <c r="V7" s="102">
        <v>17372780</v>
      </c>
    </row>
    <row r="8" spans="1:22">
      <c r="B8" t="s">
        <v>817</v>
      </c>
      <c r="K8" s="147"/>
      <c r="L8" s="102"/>
      <c r="M8" s="102">
        <v>698088</v>
      </c>
      <c r="N8" s="102"/>
      <c r="O8" s="102">
        <v>548190</v>
      </c>
      <c r="P8" s="102"/>
      <c r="Q8" s="102"/>
      <c r="R8" s="102"/>
      <c r="S8" s="102"/>
      <c r="T8" s="102"/>
      <c r="U8" s="102">
        <f>SUM(K8:T8)</f>
        <v>1246278</v>
      </c>
      <c r="V8" s="102">
        <v>1246151</v>
      </c>
    </row>
    <row r="9" spans="1:22">
      <c r="B9" t="s">
        <v>60</v>
      </c>
      <c r="K9" s="148">
        <v>652896</v>
      </c>
      <c r="L9" s="102">
        <v>719134</v>
      </c>
      <c r="M9" s="102"/>
      <c r="N9" s="102">
        <v>468533</v>
      </c>
      <c r="O9" s="102">
        <v>1460328</v>
      </c>
      <c r="P9" s="102"/>
      <c r="Q9" s="102">
        <v>25581</v>
      </c>
      <c r="R9" s="102">
        <v>1145303</v>
      </c>
      <c r="S9" s="102">
        <v>35925</v>
      </c>
      <c r="T9" s="102">
        <v>1910836</v>
      </c>
      <c r="U9" s="102">
        <f>SUM(K9:T9)</f>
        <v>6418536</v>
      </c>
      <c r="V9" s="102">
        <v>6948566</v>
      </c>
    </row>
    <row r="10" spans="1:22">
      <c r="B10" t="s">
        <v>251</v>
      </c>
      <c r="L10" s="102"/>
      <c r="M10" s="102"/>
      <c r="N10" s="102"/>
      <c r="O10" s="102"/>
      <c r="P10" s="102"/>
      <c r="Q10" s="102"/>
      <c r="R10" s="102"/>
      <c r="S10" s="102"/>
      <c r="T10" s="102">
        <v>136500</v>
      </c>
      <c r="U10" s="102">
        <f>SUM(K10:T10)</f>
        <v>136500</v>
      </c>
      <c r="V10" s="102">
        <v>916469</v>
      </c>
    </row>
    <row r="11" spans="1:22">
      <c r="B11" t="s">
        <v>47</v>
      </c>
      <c r="K11" s="147"/>
      <c r="L11" s="102"/>
      <c r="M11" s="102"/>
      <c r="N11" s="102"/>
      <c r="O11" s="102"/>
      <c r="P11" s="102"/>
      <c r="Q11" s="102"/>
      <c r="R11" s="102"/>
      <c r="S11" s="102"/>
      <c r="T11" s="102"/>
      <c r="U11" s="102">
        <f>SUM(K11:T11)</f>
        <v>0</v>
      </c>
      <c r="V11" s="102">
        <v>39589</v>
      </c>
    </row>
    <row r="12" spans="1:22">
      <c r="K12" s="151"/>
      <c r="L12" s="151"/>
      <c r="M12" s="151"/>
      <c r="N12" s="151"/>
      <c r="O12" s="151"/>
      <c r="P12" s="151"/>
      <c r="Q12" s="151"/>
      <c r="R12" s="151"/>
      <c r="S12" s="151"/>
      <c r="T12" s="151"/>
      <c r="U12" s="151"/>
      <c r="V12" s="151"/>
    </row>
    <row r="13" spans="1:22" s="172" customFormat="1">
      <c r="E13" s="172" t="s">
        <v>64</v>
      </c>
      <c r="K13" s="173">
        <f t="shared" ref="K13:V13" si="0">SUM(K7:K11)</f>
        <v>4201195</v>
      </c>
      <c r="L13" s="172">
        <f t="shared" si="0"/>
        <v>1233648</v>
      </c>
      <c r="M13" s="172">
        <f t="shared" si="0"/>
        <v>2298071</v>
      </c>
      <c r="N13" s="172">
        <f t="shared" si="0"/>
        <v>1895030</v>
      </c>
      <c r="O13" s="172">
        <f t="shared" si="0"/>
        <v>2694450</v>
      </c>
      <c r="P13" s="172">
        <f t="shared" si="0"/>
        <v>1013771</v>
      </c>
      <c r="Q13" s="172">
        <f t="shared" si="0"/>
        <v>30953</v>
      </c>
      <c r="R13" s="172">
        <f t="shared" si="0"/>
        <v>2400443</v>
      </c>
      <c r="S13" s="172">
        <f t="shared" si="0"/>
        <v>41936</v>
      </c>
      <c r="T13" s="172">
        <f t="shared" si="0"/>
        <v>8517085</v>
      </c>
      <c r="U13" s="172">
        <f t="shared" si="0"/>
        <v>24326582</v>
      </c>
      <c r="V13" s="172">
        <f t="shared" si="0"/>
        <v>26523555</v>
      </c>
    </row>
    <row r="14" spans="1:22">
      <c r="K14" s="147"/>
      <c r="L14" s="102"/>
      <c r="M14" s="102"/>
      <c r="N14" s="102"/>
      <c r="O14" s="102"/>
      <c r="P14" s="102"/>
      <c r="Q14" s="102"/>
      <c r="R14" s="102"/>
      <c r="S14" s="102"/>
      <c r="T14" s="102"/>
      <c r="U14" s="102"/>
      <c r="V14" s="102"/>
    </row>
    <row r="15" spans="1:22">
      <c r="A15" s="86" t="s">
        <v>19</v>
      </c>
      <c r="K15" s="147"/>
      <c r="L15" s="102"/>
      <c r="M15" s="102"/>
      <c r="N15" s="102"/>
      <c r="O15" s="102"/>
      <c r="P15" s="102"/>
      <c r="Q15" s="102"/>
      <c r="R15" s="102"/>
      <c r="S15" s="102"/>
      <c r="T15" s="102"/>
      <c r="U15" s="102"/>
      <c r="V15" s="102"/>
    </row>
    <row r="16" spans="1:22">
      <c r="A16" s="86" t="s">
        <v>617</v>
      </c>
      <c r="K16" s="147"/>
      <c r="L16" s="102"/>
      <c r="M16" s="102"/>
      <c r="N16" s="102"/>
      <c r="O16" s="102"/>
      <c r="P16" s="102"/>
      <c r="Q16" s="102"/>
      <c r="R16" s="102"/>
      <c r="S16" s="102"/>
      <c r="T16" s="102"/>
      <c r="U16" s="102"/>
      <c r="V16" s="102"/>
    </row>
    <row r="17" spans="1:22">
      <c r="C17" t="s">
        <v>144</v>
      </c>
      <c r="K17" s="152">
        <v>14685</v>
      </c>
      <c r="L17" s="102">
        <v>148751</v>
      </c>
      <c r="M17" s="102">
        <v>225072</v>
      </c>
      <c r="N17" s="102">
        <v>22488</v>
      </c>
      <c r="O17" s="102">
        <v>34697</v>
      </c>
      <c r="P17" s="102">
        <v>40422</v>
      </c>
      <c r="Q17" s="102">
        <v>56259</v>
      </c>
      <c r="R17" s="102">
        <v>104084</v>
      </c>
      <c r="S17" s="102"/>
      <c r="T17" s="102">
        <v>222319</v>
      </c>
      <c r="U17" s="102">
        <f>SUM(K17:T17)</f>
        <v>868777</v>
      </c>
      <c r="V17" s="102">
        <v>937890</v>
      </c>
    </row>
    <row r="18" spans="1:22">
      <c r="C18" t="s">
        <v>254</v>
      </c>
      <c r="K18" s="152">
        <v>111738</v>
      </c>
      <c r="L18" s="102"/>
      <c r="M18" s="102"/>
      <c r="N18" s="102"/>
      <c r="O18" s="102">
        <v>18019</v>
      </c>
      <c r="P18" s="102"/>
      <c r="Q18" s="102"/>
      <c r="R18" s="102"/>
      <c r="S18" s="102"/>
      <c r="T18" s="102">
        <v>6743</v>
      </c>
      <c r="U18" s="150">
        <f>SUM(K18:T18)</f>
        <v>136500</v>
      </c>
      <c r="V18" s="102">
        <v>916469</v>
      </c>
    </row>
    <row r="19" spans="1:22">
      <c r="C19" t="s">
        <v>172</v>
      </c>
      <c r="K19" s="147"/>
      <c r="L19" s="102"/>
      <c r="M19" s="102"/>
      <c r="N19" s="102"/>
      <c r="O19" s="102"/>
      <c r="P19" s="102"/>
      <c r="Q19" s="102"/>
      <c r="R19" s="102"/>
      <c r="S19" s="102">
        <v>41936</v>
      </c>
      <c r="T19" s="102">
        <v>81690</v>
      </c>
      <c r="U19" s="102">
        <f>SUM(K19:T19)</f>
        <v>123626</v>
      </c>
      <c r="V19" s="102">
        <v>44879</v>
      </c>
    </row>
    <row r="20" spans="1:22"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</row>
    <row r="21" spans="1:22" s="86" customFormat="1">
      <c r="A21" s="5"/>
      <c r="B21" s="5"/>
      <c r="C21" s="5"/>
      <c r="D21" s="5"/>
      <c r="E21" s="5" t="s">
        <v>26</v>
      </c>
      <c r="F21" s="5"/>
      <c r="G21" s="5"/>
      <c r="H21" s="5"/>
      <c r="I21" s="5"/>
      <c r="J21" s="5"/>
      <c r="K21" s="156">
        <f>SUM(K17:K20)</f>
        <v>126423</v>
      </c>
      <c r="L21" s="157">
        <f>SUM(L17:L19)</f>
        <v>148751</v>
      </c>
      <c r="M21" s="157">
        <f>SUM(M17:M19)</f>
        <v>225072</v>
      </c>
      <c r="N21" s="157">
        <f>SUM(N17:N19)</f>
        <v>22488</v>
      </c>
      <c r="O21" s="157">
        <f t="shared" ref="O21:V21" si="1">SUM(O17:O20)</f>
        <v>52716</v>
      </c>
      <c r="P21" s="157">
        <f t="shared" si="1"/>
        <v>40422</v>
      </c>
      <c r="Q21" s="157">
        <f t="shared" si="1"/>
        <v>56259</v>
      </c>
      <c r="R21" s="157">
        <f t="shared" si="1"/>
        <v>104084</v>
      </c>
      <c r="S21" s="157">
        <f t="shared" si="1"/>
        <v>41936</v>
      </c>
      <c r="T21" s="157">
        <f t="shared" si="1"/>
        <v>310752</v>
      </c>
      <c r="U21" s="157">
        <f t="shared" si="1"/>
        <v>1128903</v>
      </c>
      <c r="V21" s="157">
        <f t="shared" si="1"/>
        <v>1899238</v>
      </c>
    </row>
    <row r="22" spans="1:22">
      <c r="K22" s="147"/>
      <c r="L22" s="102"/>
      <c r="M22" s="102"/>
      <c r="N22" s="102"/>
      <c r="O22" s="102"/>
      <c r="P22" s="102"/>
      <c r="Q22" s="102"/>
      <c r="R22" s="102"/>
      <c r="S22" s="102"/>
      <c r="T22" s="102"/>
      <c r="U22" s="102"/>
      <c r="V22" s="102"/>
    </row>
    <row r="23" spans="1:22">
      <c r="A23" s="86" t="s">
        <v>30</v>
      </c>
      <c r="K23" s="147"/>
      <c r="L23" s="102"/>
      <c r="M23" s="102"/>
      <c r="N23" s="102"/>
      <c r="O23" s="102"/>
      <c r="P23" s="102"/>
      <c r="Q23" s="102"/>
      <c r="R23" s="102"/>
      <c r="S23" s="102"/>
      <c r="T23" s="102"/>
      <c r="U23" s="102"/>
      <c r="V23" s="102"/>
    </row>
    <row r="24" spans="1:22">
      <c r="C24" t="s">
        <v>31</v>
      </c>
      <c r="K24" s="147"/>
      <c r="L24" s="102"/>
      <c r="M24" s="102"/>
      <c r="N24" s="102"/>
      <c r="O24" s="102"/>
      <c r="P24" s="102"/>
      <c r="Q24" s="102"/>
      <c r="R24" s="102"/>
      <c r="S24" s="102"/>
      <c r="T24" s="102"/>
      <c r="U24" s="102"/>
      <c r="V24" s="102"/>
    </row>
    <row r="25" spans="1:22">
      <c r="D25" t="s">
        <v>818</v>
      </c>
      <c r="K25" s="147"/>
      <c r="L25" s="102"/>
      <c r="M25" s="102"/>
      <c r="N25" s="102"/>
      <c r="O25" s="102"/>
      <c r="P25" s="102"/>
      <c r="Q25" s="102"/>
      <c r="R25" s="102"/>
      <c r="S25" s="102"/>
      <c r="T25" s="102">
        <v>547692</v>
      </c>
      <c r="U25" s="102">
        <f>SUM(K25:T25)</f>
        <v>547692</v>
      </c>
      <c r="V25" s="102">
        <v>547417</v>
      </c>
    </row>
    <row r="26" spans="1:22">
      <c r="D26" t="s">
        <v>70</v>
      </c>
      <c r="K26" s="130">
        <v>2271</v>
      </c>
      <c r="L26" s="102"/>
      <c r="M26" s="102"/>
      <c r="N26" s="102"/>
      <c r="O26" s="102"/>
      <c r="P26" s="102"/>
      <c r="Q26" s="102">
        <v>-25306</v>
      </c>
      <c r="R26" s="102"/>
      <c r="S26" s="102"/>
      <c r="T26" s="102"/>
      <c r="U26" s="102">
        <f>SUM(K26:T26)</f>
        <v>-23035</v>
      </c>
      <c r="V26" s="102">
        <v>23514</v>
      </c>
    </row>
    <row r="27" spans="1:22">
      <c r="D27" t="s">
        <v>819</v>
      </c>
      <c r="L27" s="102"/>
      <c r="M27" s="102"/>
      <c r="N27" s="102"/>
      <c r="O27" s="102"/>
      <c r="P27" s="102"/>
      <c r="Q27" s="102"/>
      <c r="R27" s="102"/>
      <c r="S27" s="102"/>
      <c r="T27" s="102"/>
      <c r="U27" s="102"/>
      <c r="V27" s="102"/>
    </row>
    <row r="28" spans="1:22">
      <c r="D28" t="s">
        <v>820</v>
      </c>
      <c r="K28" s="147"/>
      <c r="L28" s="102"/>
      <c r="M28" s="102"/>
      <c r="N28" s="102"/>
      <c r="O28" s="102"/>
      <c r="P28" s="102"/>
      <c r="Q28" s="102"/>
      <c r="R28" s="102"/>
      <c r="S28" s="102"/>
      <c r="T28" s="102">
        <v>191871</v>
      </c>
      <c r="U28" s="102">
        <f>SUM(K28:T28)</f>
        <v>191871</v>
      </c>
      <c r="V28" s="102">
        <v>113630</v>
      </c>
    </row>
    <row r="29" spans="1:22">
      <c r="D29" t="s">
        <v>71</v>
      </c>
      <c r="K29" s="147"/>
      <c r="L29" s="102"/>
      <c r="M29" s="102"/>
      <c r="N29" s="102"/>
      <c r="O29" s="102">
        <v>2641734</v>
      </c>
      <c r="P29" s="102"/>
      <c r="Q29" s="102"/>
      <c r="R29" s="102"/>
      <c r="S29" s="102"/>
      <c r="T29" s="102">
        <v>3258156</v>
      </c>
      <c r="U29" s="102">
        <f>SUM(K29:T29)</f>
        <v>5899890</v>
      </c>
      <c r="V29" s="102">
        <v>5901618</v>
      </c>
    </row>
    <row r="30" spans="1:22">
      <c r="D30" t="s">
        <v>165</v>
      </c>
      <c r="K30" s="147"/>
      <c r="L30" s="147"/>
      <c r="M30" s="102"/>
      <c r="N30" s="102"/>
      <c r="O30" s="102"/>
      <c r="P30" s="102"/>
      <c r="Q30" s="102"/>
      <c r="R30" s="102"/>
      <c r="S30" s="102"/>
      <c r="T30" s="102">
        <v>1982927</v>
      </c>
      <c r="U30" s="102">
        <f>SUM(K30:T30)</f>
        <v>1982927</v>
      </c>
      <c r="V30" s="102">
        <v>2033652</v>
      </c>
    </row>
    <row r="31" spans="1:22">
      <c r="D31" t="s">
        <v>72</v>
      </c>
      <c r="K31" s="147"/>
      <c r="L31" s="102">
        <v>1084897</v>
      </c>
      <c r="M31" s="102">
        <v>2072999</v>
      </c>
      <c r="N31" s="102"/>
      <c r="O31" s="102"/>
      <c r="P31" s="102">
        <v>973349</v>
      </c>
      <c r="Q31" s="102"/>
      <c r="R31" s="102"/>
      <c r="S31" s="102"/>
      <c r="T31" s="102">
        <v>191123</v>
      </c>
      <c r="U31" s="102">
        <f t="shared" ref="U31:U39" si="2">SUM(K31:T31)</f>
        <v>4322368</v>
      </c>
      <c r="V31" s="102">
        <v>5073438</v>
      </c>
    </row>
    <row r="32" spans="1:22">
      <c r="D32" t="s">
        <v>147</v>
      </c>
      <c r="K32" s="147"/>
      <c r="L32" s="102"/>
      <c r="M32" s="102"/>
      <c r="N32" s="102">
        <v>1872541</v>
      </c>
      <c r="O32" s="102"/>
      <c r="P32" s="102"/>
      <c r="Q32" s="102"/>
      <c r="R32" s="102"/>
      <c r="S32" s="102"/>
      <c r="T32" s="102">
        <v>511197</v>
      </c>
      <c r="U32" s="102">
        <f t="shared" si="2"/>
        <v>2383738</v>
      </c>
      <c r="V32" s="102">
        <v>2358552</v>
      </c>
    </row>
    <row r="33" spans="1:22">
      <c r="D33" t="s">
        <v>115</v>
      </c>
      <c r="K33" s="147"/>
      <c r="L33" s="102"/>
      <c r="M33" s="102"/>
      <c r="N33" s="102"/>
      <c r="O33" s="102"/>
      <c r="P33" s="102"/>
      <c r="Q33" s="102"/>
      <c r="R33" s="102">
        <v>2296359</v>
      </c>
      <c r="S33" s="102"/>
      <c r="T33" s="102">
        <v>414597</v>
      </c>
      <c r="U33" s="102">
        <f t="shared" si="2"/>
        <v>2710956</v>
      </c>
      <c r="V33" s="102">
        <v>2298882</v>
      </c>
    </row>
    <row r="34" spans="1:22">
      <c r="D34" t="s">
        <v>821</v>
      </c>
      <c r="K34" s="147"/>
      <c r="L34" s="102"/>
      <c r="M34" s="102"/>
      <c r="N34" s="102"/>
      <c r="O34" s="102"/>
      <c r="P34" s="102"/>
      <c r="Q34" s="102"/>
      <c r="R34" s="102"/>
      <c r="S34" s="102"/>
      <c r="T34" s="102"/>
      <c r="U34" s="102"/>
      <c r="V34" s="102"/>
    </row>
    <row r="35" spans="1:22">
      <c r="D35" t="s">
        <v>822</v>
      </c>
      <c r="K35" s="147"/>
      <c r="L35" s="102"/>
      <c r="M35" s="102"/>
      <c r="N35" s="102"/>
      <c r="O35" s="102"/>
      <c r="P35" s="102"/>
      <c r="Q35" s="102"/>
      <c r="R35" s="102"/>
      <c r="S35" s="102"/>
      <c r="T35" s="102"/>
      <c r="U35" s="102"/>
      <c r="V35" s="102"/>
    </row>
    <row r="36" spans="1:22">
      <c r="D36" t="s">
        <v>641</v>
      </c>
      <c r="K36" s="147"/>
      <c r="L36" s="102"/>
      <c r="M36" s="102"/>
      <c r="N36" s="102"/>
      <c r="O36" s="102"/>
      <c r="P36" s="102"/>
      <c r="Q36" s="102"/>
      <c r="R36" s="102"/>
      <c r="S36" s="102"/>
      <c r="T36" s="102"/>
      <c r="U36" s="102"/>
      <c r="V36" s="102"/>
    </row>
    <row r="37" spans="1:22">
      <c r="D37" t="s">
        <v>74</v>
      </c>
      <c r="K37" s="147"/>
      <c r="L37" s="102"/>
      <c r="M37" s="102"/>
      <c r="N37" s="102"/>
      <c r="O37" s="102"/>
      <c r="P37" s="102"/>
      <c r="Q37" s="102"/>
      <c r="R37" s="102"/>
      <c r="S37" s="102"/>
      <c r="T37" s="102">
        <v>1108770</v>
      </c>
      <c r="U37" s="102">
        <f t="shared" si="2"/>
        <v>1108770</v>
      </c>
      <c r="V37" s="102">
        <v>1098271</v>
      </c>
    </row>
    <row r="38" spans="1:22">
      <c r="D38" t="s">
        <v>592</v>
      </c>
      <c r="K38" s="130">
        <v>2893672</v>
      </c>
      <c r="L38" s="102"/>
      <c r="M38" s="102"/>
      <c r="N38" s="102"/>
      <c r="O38" s="102"/>
      <c r="P38" s="102"/>
      <c r="Q38" s="102"/>
      <c r="R38" s="102"/>
      <c r="S38" s="102"/>
      <c r="T38" s="102"/>
      <c r="U38" s="102">
        <f t="shared" si="2"/>
        <v>2893672</v>
      </c>
      <c r="V38" s="102">
        <v>2427545</v>
      </c>
    </row>
    <row r="39" spans="1:22">
      <c r="C39" t="s">
        <v>48</v>
      </c>
      <c r="K39" s="126">
        <v>1178830</v>
      </c>
      <c r="L39" s="102"/>
      <c r="M39" s="102"/>
      <c r="N39" s="102"/>
      <c r="O39" s="102"/>
      <c r="P39" s="102"/>
      <c r="Q39" s="102"/>
      <c r="R39" s="102"/>
      <c r="S39" s="102"/>
      <c r="T39" s="102"/>
      <c r="U39" s="102">
        <f t="shared" si="2"/>
        <v>1178830</v>
      </c>
      <c r="V39" s="102">
        <v>2747798</v>
      </c>
    </row>
    <row r="40" spans="1:22">
      <c r="K40" s="151"/>
      <c r="L40" s="151"/>
      <c r="M40" s="151"/>
      <c r="N40" s="151"/>
      <c r="O40" s="151"/>
      <c r="P40" s="151"/>
      <c r="Q40" s="151"/>
      <c r="R40" s="151"/>
      <c r="S40" s="151"/>
      <c r="T40" s="151"/>
      <c r="U40" s="151"/>
      <c r="V40" s="151"/>
    </row>
    <row r="41" spans="1:22" s="86" customFormat="1">
      <c r="A41" s="5"/>
      <c r="B41" s="5"/>
      <c r="C41" s="5"/>
      <c r="D41" s="5"/>
      <c r="E41" s="5" t="s">
        <v>78</v>
      </c>
      <c r="F41" s="5"/>
      <c r="G41" s="5"/>
      <c r="H41" s="5"/>
      <c r="I41" s="5"/>
      <c r="J41" s="5"/>
      <c r="K41" s="157">
        <f t="shared" ref="K41:V41" si="3">SUM(K25:K39)</f>
        <v>4074773</v>
      </c>
      <c r="L41" s="157">
        <f t="shared" si="3"/>
        <v>1084897</v>
      </c>
      <c r="M41" s="157">
        <f t="shared" si="3"/>
        <v>2072999</v>
      </c>
      <c r="N41" s="157">
        <f t="shared" si="3"/>
        <v>1872541</v>
      </c>
      <c r="O41" s="157">
        <f t="shared" si="3"/>
        <v>2641734</v>
      </c>
      <c r="P41" s="157">
        <f t="shared" si="3"/>
        <v>973349</v>
      </c>
      <c r="Q41" s="157">
        <f t="shared" si="3"/>
        <v>-25306</v>
      </c>
      <c r="R41" s="157">
        <f t="shared" si="3"/>
        <v>2296359</v>
      </c>
      <c r="S41" s="157">
        <f t="shared" si="3"/>
        <v>0</v>
      </c>
      <c r="T41" s="157">
        <f t="shared" si="3"/>
        <v>8206333</v>
      </c>
      <c r="U41" s="157">
        <f t="shared" si="3"/>
        <v>23197679</v>
      </c>
      <c r="V41" s="157">
        <f t="shared" si="3"/>
        <v>24624317</v>
      </c>
    </row>
    <row r="42" spans="1:22" s="86" customFormat="1">
      <c r="K42" s="171"/>
      <c r="L42" s="171"/>
      <c r="M42" s="171"/>
      <c r="N42" s="171"/>
      <c r="O42" s="171"/>
      <c r="P42" s="171"/>
      <c r="Q42" s="171"/>
      <c r="R42" s="171"/>
      <c r="S42" s="171"/>
      <c r="T42" s="171"/>
      <c r="U42" s="171"/>
      <c r="V42" s="171"/>
    </row>
    <row r="43" spans="1:22">
      <c r="A43" s="7"/>
      <c r="B43" s="7"/>
      <c r="C43" s="7"/>
      <c r="D43" s="7"/>
      <c r="E43" s="7" t="s">
        <v>50</v>
      </c>
      <c r="F43" s="7"/>
      <c r="G43" s="7"/>
      <c r="H43" s="7"/>
      <c r="I43" s="7"/>
      <c r="J43" s="7"/>
      <c r="K43" s="161">
        <f t="shared" ref="K43:V43" si="4">SUM(K21+K41)</f>
        <v>4201196</v>
      </c>
      <c r="L43" s="161">
        <f t="shared" si="4"/>
        <v>1233648</v>
      </c>
      <c r="M43" s="161">
        <f t="shared" si="4"/>
        <v>2298071</v>
      </c>
      <c r="N43" s="161">
        <f t="shared" si="4"/>
        <v>1895029</v>
      </c>
      <c r="O43" s="161">
        <f t="shared" si="4"/>
        <v>2694450</v>
      </c>
      <c r="P43" s="161">
        <f t="shared" si="4"/>
        <v>1013771</v>
      </c>
      <c r="Q43" s="161">
        <f t="shared" si="4"/>
        <v>30953</v>
      </c>
      <c r="R43" s="161">
        <f t="shared" si="4"/>
        <v>2400443</v>
      </c>
      <c r="S43" s="161">
        <f t="shared" si="4"/>
        <v>41936</v>
      </c>
      <c r="T43" s="161">
        <f t="shared" si="4"/>
        <v>8517085</v>
      </c>
      <c r="U43" s="161">
        <f t="shared" si="4"/>
        <v>24326582</v>
      </c>
      <c r="V43" s="161">
        <f t="shared" si="4"/>
        <v>26523555</v>
      </c>
    </row>
    <row r="44" spans="1:22">
      <c r="K44" s="102"/>
      <c r="L44" s="102"/>
      <c r="M44" s="102"/>
      <c r="N44" s="102"/>
      <c r="O44" s="102"/>
      <c r="P44" s="102"/>
      <c r="Q44" s="102"/>
      <c r="R44" s="102"/>
      <c r="S44" s="102"/>
      <c r="T44" s="102"/>
      <c r="U44" s="102"/>
      <c r="V44" s="10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S39"/>
  <sheetViews>
    <sheetView zoomScale="90" zoomScaleNormal="90" workbookViewId="0">
      <selection activeCell="U36" sqref="U36"/>
    </sheetView>
  </sheetViews>
  <sheetFormatPr defaultColWidth="8.85546875" defaultRowHeight="15"/>
  <cols>
    <col min="2" max="2" width="2.7109375" customWidth="1"/>
    <col min="10" max="10" width="12.85546875" customWidth="1"/>
    <col min="11" max="11" width="12.140625" customWidth="1"/>
    <col min="12" max="12" width="13.28515625" customWidth="1"/>
    <col min="13" max="13" width="16.42578125" customWidth="1"/>
    <col min="14" max="14" width="14" customWidth="1"/>
    <col min="15" max="15" width="12.42578125" customWidth="1"/>
    <col min="16" max="16" width="18.42578125" customWidth="1"/>
    <col min="17" max="17" width="15.42578125" customWidth="1"/>
    <col min="18" max="18" width="18.7109375" customWidth="1"/>
    <col min="19" max="19" width="14" customWidth="1"/>
  </cols>
  <sheetData>
    <row r="1" spans="1:19" ht="18.75">
      <c r="D1" s="104" t="s">
        <v>823</v>
      </c>
      <c r="E1" s="104"/>
      <c r="F1" s="104"/>
      <c r="G1" s="104"/>
    </row>
    <row r="2" spans="1:19">
      <c r="D2" t="s">
        <v>824</v>
      </c>
    </row>
    <row r="4" spans="1:19" ht="45">
      <c r="K4" s="142" t="s">
        <v>2</v>
      </c>
      <c r="L4" s="142" t="s">
        <v>825</v>
      </c>
      <c r="M4" s="142" t="s">
        <v>826</v>
      </c>
      <c r="N4" s="142" t="s">
        <v>827</v>
      </c>
      <c r="O4" s="142" t="s">
        <v>828</v>
      </c>
      <c r="P4" s="142" t="s">
        <v>829</v>
      </c>
      <c r="Q4" s="142" t="s">
        <v>482</v>
      </c>
      <c r="R4" s="142" t="s">
        <v>58</v>
      </c>
      <c r="S4" s="142" t="s">
        <v>7</v>
      </c>
    </row>
    <row r="5" spans="1:19">
      <c r="A5" s="86" t="s">
        <v>8</v>
      </c>
    </row>
    <row r="6" spans="1:19">
      <c r="B6" t="s">
        <v>9</v>
      </c>
      <c r="K6" s="140">
        <v>2869284</v>
      </c>
      <c r="L6" s="61"/>
      <c r="O6">
        <v>855620</v>
      </c>
      <c r="Q6" s="61">
        <v>123821</v>
      </c>
      <c r="R6" s="61">
        <v>126319</v>
      </c>
      <c r="S6" s="61">
        <f t="shared" ref="S6:S12" si="0">SUM(K6:R6)</f>
        <v>3975044</v>
      </c>
    </row>
    <row r="7" spans="1:19">
      <c r="B7" t="s">
        <v>10</v>
      </c>
      <c r="K7" s="105"/>
      <c r="L7" s="61"/>
      <c r="M7" s="61">
        <v>79116</v>
      </c>
      <c r="P7" s="61">
        <v>1185520</v>
      </c>
      <c r="Q7" s="61">
        <v>305539</v>
      </c>
      <c r="R7" s="61">
        <v>1399646</v>
      </c>
      <c r="S7" s="61">
        <f t="shared" si="0"/>
        <v>2969821</v>
      </c>
    </row>
    <row r="8" spans="1:19">
      <c r="B8" t="s">
        <v>60</v>
      </c>
      <c r="K8" s="141">
        <v>674640</v>
      </c>
      <c r="L8">
        <v>132621</v>
      </c>
      <c r="M8" s="61">
        <v>2653758</v>
      </c>
      <c r="N8" s="61">
        <v>183461</v>
      </c>
      <c r="O8" s="61"/>
      <c r="P8" s="61">
        <v>168289</v>
      </c>
      <c r="Q8" s="61">
        <v>800588</v>
      </c>
      <c r="R8" s="61">
        <v>800240</v>
      </c>
      <c r="S8" s="61">
        <f t="shared" si="0"/>
        <v>5413597</v>
      </c>
    </row>
    <row r="9" spans="1:19">
      <c r="B9" t="s">
        <v>830</v>
      </c>
      <c r="K9" s="106"/>
      <c r="R9" s="61">
        <v>62812</v>
      </c>
      <c r="S9" s="61">
        <f t="shared" si="0"/>
        <v>62812</v>
      </c>
    </row>
    <row r="10" spans="1:19">
      <c r="B10" t="s">
        <v>831</v>
      </c>
      <c r="K10" s="105"/>
      <c r="N10" s="61">
        <v>828522</v>
      </c>
      <c r="S10" s="61">
        <f t="shared" si="0"/>
        <v>828522</v>
      </c>
    </row>
    <row r="11" spans="1:19">
      <c r="B11" t="s">
        <v>16</v>
      </c>
      <c r="K11" s="105"/>
      <c r="L11" s="61">
        <v>47259</v>
      </c>
      <c r="M11">
        <v>594105</v>
      </c>
      <c r="N11" s="61">
        <v>545615</v>
      </c>
      <c r="P11" s="61">
        <v>203254</v>
      </c>
      <c r="Q11" s="61">
        <v>533428</v>
      </c>
      <c r="R11" s="61">
        <v>965137</v>
      </c>
      <c r="S11" s="61">
        <f t="shared" si="0"/>
        <v>2888798</v>
      </c>
    </row>
    <row r="12" spans="1:19">
      <c r="B12" t="s">
        <v>141</v>
      </c>
      <c r="K12" s="107">
        <v>39071</v>
      </c>
      <c r="L12" s="109"/>
      <c r="M12" s="109"/>
      <c r="N12" s="109"/>
      <c r="O12" s="109">
        <v>19641</v>
      </c>
      <c r="P12" s="109"/>
      <c r="Q12" s="109"/>
      <c r="R12" s="109">
        <v>14798</v>
      </c>
      <c r="S12" s="108">
        <f t="shared" si="0"/>
        <v>73510</v>
      </c>
    </row>
    <row r="13" spans="1:19">
      <c r="K13" s="105"/>
    </row>
    <row r="14" spans="1:19" s="116" customFormat="1">
      <c r="E14" s="116" t="s">
        <v>18</v>
      </c>
      <c r="K14" s="117">
        <f>SUM(K6:K13)</f>
        <v>3582995</v>
      </c>
      <c r="L14" s="118">
        <f>SUM(L6:L12)</f>
        <v>179880</v>
      </c>
      <c r="M14" s="118">
        <f>SUM(M6:M12)</f>
        <v>3326979</v>
      </c>
      <c r="N14" s="118">
        <f>SUM(N6:N13)</f>
        <v>1557598</v>
      </c>
      <c r="O14" s="118">
        <f>SUM(O6:O12)</f>
        <v>875261</v>
      </c>
      <c r="P14" s="118">
        <f>SUM(P6:P12)</f>
        <v>1557063</v>
      </c>
      <c r="Q14" s="118">
        <f>SUM(Q6:Q12)</f>
        <v>1763376</v>
      </c>
      <c r="R14" s="118">
        <f>SUM(R6:R12)</f>
        <v>3368952</v>
      </c>
      <c r="S14" s="118">
        <f>SUM(S6:S12)</f>
        <v>16212104</v>
      </c>
    </row>
    <row r="15" spans="1:19">
      <c r="K15" s="105"/>
    </row>
    <row r="16" spans="1:19">
      <c r="A16" s="86" t="s">
        <v>534</v>
      </c>
      <c r="K16" s="105"/>
    </row>
    <row r="17" spans="1:19">
      <c r="C17" t="s">
        <v>21</v>
      </c>
      <c r="K17" s="137">
        <v>260812</v>
      </c>
      <c r="L17">
        <v>125946</v>
      </c>
      <c r="M17" s="61">
        <v>36642</v>
      </c>
      <c r="N17" s="61">
        <v>144000</v>
      </c>
      <c r="O17" s="61">
        <v>21950</v>
      </c>
      <c r="Q17" s="61">
        <v>12787</v>
      </c>
      <c r="R17" s="61">
        <v>82510</v>
      </c>
      <c r="S17" s="61">
        <f t="shared" ref="S17:S22" si="1">SUM(K17:R17)</f>
        <v>684647</v>
      </c>
    </row>
    <row r="18" spans="1:19">
      <c r="C18" t="s">
        <v>832</v>
      </c>
      <c r="K18" s="105"/>
      <c r="O18">
        <v>853311</v>
      </c>
      <c r="R18" s="61"/>
      <c r="S18" s="61">
        <f t="shared" si="1"/>
        <v>853311</v>
      </c>
    </row>
    <row r="19" spans="1:19">
      <c r="C19" t="s">
        <v>25</v>
      </c>
      <c r="K19" s="138">
        <v>2661166</v>
      </c>
      <c r="M19" s="61"/>
      <c r="O19" s="61"/>
      <c r="P19" s="61"/>
      <c r="R19" s="61">
        <v>227632</v>
      </c>
      <c r="S19" s="61">
        <f t="shared" si="1"/>
        <v>2888798</v>
      </c>
    </row>
    <row r="20" spans="1:19">
      <c r="C20" t="s">
        <v>833</v>
      </c>
      <c r="K20" s="139">
        <v>12586</v>
      </c>
      <c r="M20" s="61">
        <v>43563</v>
      </c>
      <c r="Q20" s="61">
        <v>31277</v>
      </c>
      <c r="R20" s="61">
        <v>5954</v>
      </c>
      <c r="S20" s="61">
        <f t="shared" si="1"/>
        <v>93380</v>
      </c>
    </row>
    <row r="21" spans="1:19">
      <c r="C21" t="s">
        <v>834</v>
      </c>
      <c r="M21" s="61"/>
      <c r="Q21" s="61"/>
      <c r="R21" s="61">
        <v>16418</v>
      </c>
      <c r="S21" s="61">
        <f t="shared" si="1"/>
        <v>16418</v>
      </c>
    </row>
    <row r="22" spans="1:19">
      <c r="C22" t="s">
        <v>466</v>
      </c>
      <c r="K22" s="110"/>
      <c r="L22" s="109"/>
      <c r="M22" s="109"/>
      <c r="N22" s="108">
        <v>732954</v>
      </c>
      <c r="O22" s="109"/>
      <c r="P22" s="109"/>
      <c r="Q22" s="109"/>
      <c r="R22" s="108">
        <v>2394</v>
      </c>
      <c r="S22" s="108">
        <f t="shared" si="1"/>
        <v>735348</v>
      </c>
    </row>
    <row r="23" spans="1:19">
      <c r="K23" s="105"/>
    </row>
    <row r="24" spans="1:19" s="119" customFormat="1">
      <c r="E24" s="119" t="s">
        <v>26</v>
      </c>
      <c r="K24" s="120">
        <f>SUM(K17:K22)</f>
        <v>2934564</v>
      </c>
      <c r="L24" s="120">
        <f t="shared" ref="L24:S24" si="2">SUM(L17:L22)</f>
        <v>125946</v>
      </c>
      <c r="M24" s="120">
        <f t="shared" si="2"/>
        <v>80205</v>
      </c>
      <c r="N24" s="120">
        <f t="shared" si="2"/>
        <v>876954</v>
      </c>
      <c r="O24" s="120">
        <f t="shared" si="2"/>
        <v>875261</v>
      </c>
      <c r="P24" s="120">
        <f t="shared" si="2"/>
        <v>0</v>
      </c>
      <c r="Q24" s="120">
        <f t="shared" si="2"/>
        <v>44064</v>
      </c>
      <c r="R24" s="120">
        <f t="shared" si="2"/>
        <v>334908</v>
      </c>
      <c r="S24" s="120">
        <f t="shared" si="2"/>
        <v>5271902</v>
      </c>
    </row>
    <row r="25" spans="1:19">
      <c r="K25" s="105"/>
    </row>
    <row r="26" spans="1:19">
      <c r="A26" s="71" t="s">
        <v>748</v>
      </c>
      <c r="K26" s="73"/>
      <c r="L26" s="73"/>
      <c r="M26" s="73"/>
      <c r="N26" s="73"/>
      <c r="O26" s="73"/>
      <c r="P26" s="73"/>
      <c r="Q26" s="73"/>
    </row>
    <row r="27" spans="1:19">
      <c r="C27" t="s">
        <v>101</v>
      </c>
      <c r="K27" s="195"/>
      <c r="L27" s="196"/>
      <c r="M27" s="196"/>
      <c r="N27" s="196">
        <v>0</v>
      </c>
      <c r="O27" s="196"/>
      <c r="P27" s="109"/>
      <c r="Q27" s="196"/>
      <c r="R27" s="196">
        <v>6574</v>
      </c>
      <c r="S27" s="196">
        <f>SUM(K27:R27)</f>
        <v>6574</v>
      </c>
    </row>
    <row r="28" spans="1:19">
      <c r="K28" s="197"/>
      <c r="L28" s="198"/>
      <c r="M28" s="198"/>
      <c r="N28" s="198"/>
      <c r="O28" s="198"/>
      <c r="P28" s="198"/>
      <c r="Q28" s="198"/>
    </row>
    <row r="29" spans="1:19">
      <c r="A29" s="192"/>
      <c r="B29" s="192"/>
      <c r="C29" s="192"/>
      <c r="D29" s="192"/>
      <c r="E29" s="193" t="s">
        <v>750</v>
      </c>
      <c r="F29" s="192"/>
      <c r="G29" s="192"/>
      <c r="H29" s="192"/>
      <c r="I29" s="192"/>
      <c r="J29" s="192"/>
      <c r="K29" s="199">
        <f>SUM(K27)</f>
        <v>0</v>
      </c>
      <c r="L29" s="199">
        <f t="shared" ref="L29:S29" si="3">SUM(L27)</f>
        <v>0</v>
      </c>
      <c r="M29" s="199">
        <f t="shared" si="3"/>
        <v>0</v>
      </c>
      <c r="N29" s="199">
        <f t="shared" si="3"/>
        <v>0</v>
      </c>
      <c r="O29" s="199">
        <f t="shared" si="3"/>
        <v>0</v>
      </c>
      <c r="P29" s="199">
        <f t="shared" si="3"/>
        <v>0</v>
      </c>
      <c r="Q29" s="199">
        <f t="shared" si="3"/>
        <v>0</v>
      </c>
      <c r="R29" s="199">
        <f t="shared" si="3"/>
        <v>6574</v>
      </c>
      <c r="S29" s="199">
        <f t="shared" si="3"/>
        <v>6574</v>
      </c>
    </row>
    <row r="30" spans="1:19">
      <c r="K30" s="105"/>
    </row>
    <row r="31" spans="1:19">
      <c r="A31" s="86" t="s">
        <v>835</v>
      </c>
      <c r="K31" s="105"/>
    </row>
    <row r="32" spans="1:19">
      <c r="A32" s="86"/>
      <c r="B32" t="s">
        <v>104</v>
      </c>
      <c r="K32" s="105"/>
    </row>
    <row r="33" spans="2:19">
      <c r="C33" t="s">
        <v>836</v>
      </c>
      <c r="K33" s="105"/>
      <c r="L33" s="61"/>
      <c r="M33" s="61"/>
      <c r="N33" s="61"/>
      <c r="P33" s="61"/>
      <c r="Q33" s="61">
        <v>6574</v>
      </c>
      <c r="R33" s="61"/>
      <c r="S33" s="61">
        <f>SUM(K33:R33)</f>
        <v>6574</v>
      </c>
    </row>
    <row r="34" spans="2:19">
      <c r="B34" t="s">
        <v>837</v>
      </c>
      <c r="K34" s="105"/>
      <c r="L34" s="61">
        <v>53934</v>
      </c>
      <c r="M34" s="61">
        <v>3246774</v>
      </c>
      <c r="N34" s="61">
        <v>680644</v>
      </c>
      <c r="P34" s="61">
        <v>1557063</v>
      </c>
      <c r="Q34" s="61">
        <v>1706164</v>
      </c>
      <c r="R34" s="61">
        <v>3034044</v>
      </c>
      <c r="S34" s="61">
        <f>SUM(K34:R34)</f>
        <v>10278623</v>
      </c>
    </row>
    <row r="35" spans="2:19">
      <c r="B35" t="s">
        <v>48</v>
      </c>
      <c r="K35" s="135">
        <v>648431</v>
      </c>
      <c r="O35" s="61"/>
      <c r="R35" s="61"/>
      <c r="S35" s="61">
        <f>SUM(K35:R35)</f>
        <v>648431</v>
      </c>
    </row>
    <row r="36" spans="2:19">
      <c r="K36" s="136"/>
      <c r="L36" s="94"/>
      <c r="M36" s="94"/>
      <c r="N36" s="94"/>
      <c r="O36" s="94"/>
      <c r="P36" s="94"/>
      <c r="Q36" s="94"/>
      <c r="R36" s="94"/>
      <c r="S36" s="94"/>
    </row>
    <row r="37" spans="2:19" s="119" customFormat="1">
      <c r="E37" s="119" t="s">
        <v>49</v>
      </c>
      <c r="K37" s="134">
        <f t="shared" ref="K37:R37" si="4">SUM(K33:K35)</f>
        <v>648431</v>
      </c>
      <c r="L37" s="134">
        <f t="shared" si="4"/>
        <v>53934</v>
      </c>
      <c r="M37" s="134">
        <f t="shared" si="4"/>
        <v>3246774</v>
      </c>
      <c r="N37" s="134">
        <f t="shared" si="4"/>
        <v>680644</v>
      </c>
      <c r="O37" s="134">
        <f t="shared" si="4"/>
        <v>0</v>
      </c>
      <c r="P37" s="134">
        <f t="shared" si="4"/>
        <v>1557063</v>
      </c>
      <c r="Q37" s="134">
        <f t="shared" si="4"/>
        <v>1712738</v>
      </c>
      <c r="R37" s="134">
        <f t="shared" si="4"/>
        <v>3034044</v>
      </c>
      <c r="S37" s="134">
        <f>SUM(S33:S35)</f>
        <v>10933628</v>
      </c>
    </row>
    <row r="38" spans="2:19">
      <c r="K38" s="105"/>
    </row>
    <row r="39" spans="2:19" s="121" customFormat="1">
      <c r="E39" s="121" t="s">
        <v>838</v>
      </c>
      <c r="K39" s="122">
        <f>SUM(K37+K24+K29)</f>
        <v>3582995</v>
      </c>
      <c r="L39" s="122">
        <f t="shared" ref="L39:S39" si="5">SUM(L37+L24+L29)</f>
        <v>179880</v>
      </c>
      <c r="M39" s="122">
        <f t="shared" si="5"/>
        <v>3326979</v>
      </c>
      <c r="N39" s="122">
        <f t="shared" si="5"/>
        <v>1557598</v>
      </c>
      <c r="O39" s="122">
        <f t="shared" si="5"/>
        <v>875261</v>
      </c>
      <c r="P39" s="122">
        <f t="shared" si="5"/>
        <v>1557063</v>
      </c>
      <c r="Q39" s="122">
        <f t="shared" si="5"/>
        <v>1756802</v>
      </c>
      <c r="R39" s="122">
        <f t="shared" si="5"/>
        <v>3375526</v>
      </c>
      <c r="S39" s="122">
        <f t="shared" si="5"/>
        <v>16212104</v>
      </c>
    </row>
  </sheetData>
  <pageMargins left="0.7" right="0.7" top="0.75" bottom="0.75" header="0.3" footer="0.3"/>
  <pageSetup orientation="portrait" horizontalDpi="1200" verticalDpi="1200"/>
  <extLst>
    <ext xmlns:mx="http://schemas.microsoft.com/office/mac/excel/2008/main" uri="{64002731-A6B0-56B0-2670-7721B7C09600}">
      <mx:PLV Mode="0" OnePage="0" WScale="0"/>
    </ext>
  </extLst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35"/>
  <sheetViews>
    <sheetView zoomScale="110" zoomScaleNormal="110" workbookViewId="0">
      <selection activeCell="O31" sqref="O31"/>
    </sheetView>
  </sheetViews>
  <sheetFormatPr defaultColWidth="8.85546875" defaultRowHeight="15"/>
  <cols>
    <col min="5" max="5" width="10.140625" customWidth="1"/>
    <col min="9" max="9" width="15.140625" customWidth="1"/>
    <col min="10" max="10" width="12.140625" customWidth="1"/>
    <col min="11" max="11" width="14" customWidth="1"/>
    <col min="12" max="12" width="14.42578125" customWidth="1"/>
    <col min="13" max="13" width="13.28515625" customWidth="1"/>
    <col min="14" max="14" width="14" customWidth="1"/>
    <col min="15" max="15" width="15.140625" customWidth="1"/>
  </cols>
  <sheetData>
    <row r="1" spans="1:15" ht="18.75">
      <c r="D1" s="253" t="s">
        <v>839</v>
      </c>
      <c r="E1" s="253"/>
      <c r="F1" s="253"/>
      <c r="G1" s="253"/>
      <c r="H1" s="253"/>
      <c r="I1" s="253"/>
    </row>
    <row r="2" spans="1:15">
      <c r="D2" s="254" t="s">
        <v>118</v>
      </c>
      <c r="E2" s="254"/>
      <c r="F2" s="254"/>
      <c r="G2" s="254"/>
      <c r="H2" s="254"/>
      <c r="I2" s="254"/>
    </row>
    <row r="4" spans="1:15" ht="30">
      <c r="I4" s="1" t="s">
        <v>2</v>
      </c>
      <c r="J4" s="1" t="s">
        <v>272</v>
      </c>
      <c r="K4" s="1" t="s">
        <v>136</v>
      </c>
      <c r="L4" s="1" t="s">
        <v>840</v>
      </c>
      <c r="M4" s="1" t="s">
        <v>44</v>
      </c>
      <c r="N4" s="1" t="s">
        <v>336</v>
      </c>
      <c r="O4" s="1" t="s">
        <v>170</v>
      </c>
    </row>
    <row r="5" spans="1:15">
      <c r="A5" t="s">
        <v>8</v>
      </c>
    </row>
    <row r="6" spans="1:15">
      <c r="B6" t="s">
        <v>85</v>
      </c>
      <c r="I6" s="72">
        <v>643924</v>
      </c>
      <c r="J6" s="73">
        <v>480408</v>
      </c>
      <c r="K6" s="73">
        <v>464352</v>
      </c>
      <c r="L6" s="73">
        <v>938378</v>
      </c>
      <c r="M6" s="73">
        <v>355986</v>
      </c>
      <c r="N6" s="73">
        <v>2005413</v>
      </c>
      <c r="O6" s="73">
        <f>SUM(I6:N6)</f>
        <v>4888461</v>
      </c>
    </row>
    <row r="7" spans="1:15">
      <c r="B7" t="s">
        <v>10</v>
      </c>
      <c r="I7" s="77">
        <v>2214536</v>
      </c>
      <c r="J7" s="73"/>
      <c r="K7" s="73">
        <v>1001003</v>
      </c>
      <c r="L7" s="73"/>
      <c r="M7" s="73">
        <v>1800907</v>
      </c>
      <c r="N7" s="73">
        <v>1202001</v>
      </c>
      <c r="O7" s="73">
        <f>SUM(I7:N7)</f>
        <v>6218447</v>
      </c>
    </row>
    <row r="8" spans="1:15">
      <c r="B8" t="s">
        <v>60</v>
      </c>
      <c r="I8" s="74">
        <v>1269489</v>
      </c>
      <c r="J8" s="73">
        <v>277199</v>
      </c>
      <c r="K8" s="73">
        <v>2968111</v>
      </c>
      <c r="L8" s="73">
        <v>708633</v>
      </c>
      <c r="M8" s="73"/>
      <c r="N8" s="73">
        <v>864077</v>
      </c>
      <c r="O8" s="73">
        <f>SUM(I8:N8)</f>
        <v>6087509</v>
      </c>
    </row>
    <row r="9" spans="1:15">
      <c r="B9" t="s">
        <v>841</v>
      </c>
      <c r="I9" s="124">
        <v>218379</v>
      </c>
      <c r="J9" s="73"/>
      <c r="K9" s="73">
        <v>83281</v>
      </c>
      <c r="L9" s="73"/>
      <c r="M9" s="73"/>
      <c r="N9" s="73"/>
      <c r="O9" s="73">
        <f>SUM(I9:N9)</f>
        <v>301660</v>
      </c>
    </row>
    <row r="10" spans="1:15">
      <c r="I10" s="127"/>
      <c r="J10" s="93"/>
      <c r="K10" s="93"/>
      <c r="L10" s="93"/>
      <c r="M10" s="93"/>
      <c r="N10" s="93"/>
      <c r="O10" s="93"/>
    </row>
    <row r="11" spans="1:15">
      <c r="A11" s="2"/>
      <c r="B11" s="2"/>
      <c r="C11" s="2"/>
      <c r="D11" s="2"/>
      <c r="E11" s="2" t="s">
        <v>18</v>
      </c>
      <c r="F11" s="3"/>
      <c r="G11" s="3"/>
      <c r="H11" s="3"/>
      <c r="I11" s="76">
        <f t="shared" ref="I11:O11" si="0">SUM(I6:I9)</f>
        <v>4346328</v>
      </c>
      <c r="J11" s="76">
        <f t="shared" si="0"/>
        <v>757607</v>
      </c>
      <c r="K11" s="76">
        <f t="shared" si="0"/>
        <v>4516747</v>
      </c>
      <c r="L11" s="76">
        <f t="shared" si="0"/>
        <v>1647011</v>
      </c>
      <c r="M11" s="76">
        <f t="shared" si="0"/>
        <v>2156893</v>
      </c>
      <c r="N11" s="76">
        <f t="shared" si="0"/>
        <v>4071491</v>
      </c>
      <c r="O11" s="76">
        <f t="shared" si="0"/>
        <v>17496077</v>
      </c>
    </row>
    <row r="12" spans="1:15">
      <c r="I12" s="73"/>
      <c r="J12" s="73"/>
      <c r="K12" s="73"/>
      <c r="L12" s="73"/>
      <c r="M12" s="73"/>
      <c r="N12" s="73"/>
      <c r="O12" s="73"/>
    </row>
    <row r="13" spans="1:15">
      <c r="A13" s="4" t="s">
        <v>183</v>
      </c>
      <c r="I13" s="73"/>
      <c r="J13" s="73"/>
      <c r="K13" s="73"/>
      <c r="L13" s="73"/>
      <c r="M13" s="73"/>
      <c r="N13" s="73"/>
      <c r="O13" s="73"/>
    </row>
    <row r="14" spans="1:15">
      <c r="B14" t="s">
        <v>20</v>
      </c>
      <c r="I14" s="73"/>
      <c r="J14" s="73"/>
      <c r="K14" s="73"/>
      <c r="M14" s="73"/>
      <c r="N14" s="73"/>
      <c r="O14" s="73"/>
    </row>
    <row r="15" spans="1:15">
      <c r="C15" t="s">
        <v>842</v>
      </c>
      <c r="I15" s="77">
        <v>115935</v>
      </c>
      <c r="J15" s="73">
        <v>8236</v>
      </c>
      <c r="K15" s="73">
        <v>51071</v>
      </c>
      <c r="L15" s="73">
        <v>52878</v>
      </c>
      <c r="M15" s="73"/>
      <c r="N15" s="73">
        <v>5175</v>
      </c>
      <c r="O15" s="73">
        <f>SUM(I15:N15)</f>
        <v>233295</v>
      </c>
    </row>
    <row r="16" spans="1:15">
      <c r="C16" t="s">
        <v>843</v>
      </c>
      <c r="I16" s="77">
        <v>33273</v>
      </c>
      <c r="J16" s="73"/>
      <c r="K16" s="73">
        <v>114725</v>
      </c>
      <c r="L16" s="73">
        <v>26578</v>
      </c>
      <c r="M16" s="73"/>
      <c r="N16" s="73">
        <v>30252</v>
      </c>
      <c r="O16" s="73">
        <f>SUM(I16:N16)</f>
        <v>204828</v>
      </c>
    </row>
    <row r="17" spans="1:15">
      <c r="C17" t="s">
        <v>99</v>
      </c>
      <c r="I17" s="123">
        <v>159042</v>
      </c>
      <c r="J17" s="73"/>
      <c r="K17" s="73"/>
      <c r="L17" s="73"/>
      <c r="M17" s="73"/>
      <c r="N17" s="73"/>
      <c r="O17" s="73">
        <f>SUM(I17:N17)</f>
        <v>159042</v>
      </c>
    </row>
    <row r="18" spans="1:15">
      <c r="C18" t="s">
        <v>844</v>
      </c>
      <c r="I18" s="82">
        <v>7275</v>
      </c>
      <c r="J18" s="73"/>
      <c r="K18" s="73">
        <v>19694</v>
      </c>
      <c r="L18" s="73">
        <v>8039</v>
      </c>
      <c r="M18" s="73"/>
      <c r="N18" s="73">
        <v>10910</v>
      </c>
      <c r="O18" s="73">
        <f>SUM(I18:N18)</f>
        <v>45918</v>
      </c>
    </row>
    <row r="19" spans="1:15">
      <c r="I19" s="93"/>
      <c r="J19" s="93"/>
      <c r="K19" s="93"/>
      <c r="L19" s="93"/>
      <c r="M19" s="93"/>
      <c r="N19" s="93"/>
      <c r="O19" s="93"/>
    </row>
    <row r="20" spans="1:15">
      <c r="A20" s="5"/>
      <c r="B20" s="6"/>
      <c r="C20" s="6"/>
      <c r="D20" s="6"/>
      <c r="E20" s="6" t="s">
        <v>26</v>
      </c>
      <c r="F20" s="5"/>
      <c r="G20" s="5"/>
      <c r="H20" s="5"/>
      <c r="I20" s="79">
        <f t="shared" ref="I20:O20" si="1">SUM(I15:I18)</f>
        <v>315525</v>
      </c>
      <c r="J20" s="79">
        <f t="shared" si="1"/>
        <v>8236</v>
      </c>
      <c r="K20" s="79">
        <f t="shared" si="1"/>
        <v>185490</v>
      </c>
      <c r="L20" s="79">
        <f t="shared" si="1"/>
        <v>87495</v>
      </c>
      <c r="M20" s="79">
        <f t="shared" si="1"/>
        <v>0</v>
      </c>
      <c r="N20" s="79">
        <f t="shared" si="1"/>
        <v>46337</v>
      </c>
      <c r="O20" s="79">
        <f t="shared" si="1"/>
        <v>643083</v>
      </c>
    </row>
    <row r="21" spans="1:15">
      <c r="I21" s="73"/>
      <c r="J21" s="73"/>
      <c r="K21" s="73"/>
      <c r="L21" s="73"/>
      <c r="M21" s="73"/>
      <c r="N21" s="73"/>
      <c r="O21" s="73"/>
    </row>
    <row r="22" spans="1:15">
      <c r="A22" s="86" t="s">
        <v>845</v>
      </c>
      <c r="I22" s="73"/>
      <c r="J22" s="73"/>
      <c r="K22" s="73"/>
      <c r="L22" s="73"/>
      <c r="M22" s="73"/>
      <c r="N22" s="73"/>
      <c r="O22" s="73"/>
    </row>
    <row r="23" spans="1:15">
      <c r="B23" t="s">
        <v>413</v>
      </c>
      <c r="I23" s="85">
        <v>35380</v>
      </c>
      <c r="J23" s="85"/>
      <c r="K23" s="85">
        <v>130839</v>
      </c>
      <c r="L23" s="85">
        <v>30311</v>
      </c>
      <c r="M23" s="85"/>
      <c r="N23" s="85">
        <v>32905</v>
      </c>
      <c r="O23" s="85">
        <f>SUM(I23:N23)</f>
        <v>229435</v>
      </c>
    </row>
    <row r="24" spans="1:15">
      <c r="I24" s="73"/>
      <c r="J24" s="73"/>
      <c r="K24" s="73"/>
      <c r="L24" s="73"/>
      <c r="M24" s="73"/>
      <c r="N24" s="73"/>
      <c r="O24" s="73"/>
    </row>
    <row r="25" spans="1:15">
      <c r="A25" s="5"/>
      <c r="B25" s="5"/>
      <c r="C25" s="5"/>
      <c r="D25" s="6"/>
      <c r="E25" s="6" t="s">
        <v>846</v>
      </c>
      <c r="F25" s="5"/>
      <c r="G25" s="5"/>
      <c r="H25" s="5"/>
      <c r="I25" s="79">
        <f t="shared" ref="I25:O25" si="2">I23</f>
        <v>35380</v>
      </c>
      <c r="J25" s="79">
        <f t="shared" si="2"/>
        <v>0</v>
      </c>
      <c r="K25" s="79">
        <f t="shared" si="2"/>
        <v>130839</v>
      </c>
      <c r="L25" s="79">
        <f t="shared" si="2"/>
        <v>30311</v>
      </c>
      <c r="M25" s="79">
        <f t="shared" si="2"/>
        <v>0</v>
      </c>
      <c r="N25" s="79">
        <f t="shared" si="2"/>
        <v>32905</v>
      </c>
      <c r="O25" s="79">
        <f t="shared" si="2"/>
        <v>229435</v>
      </c>
    </row>
    <row r="26" spans="1:15">
      <c r="I26" s="73"/>
      <c r="J26" s="73"/>
      <c r="K26" s="73"/>
      <c r="L26" s="73"/>
      <c r="M26" s="73"/>
      <c r="N26" s="73"/>
      <c r="O26" s="73"/>
    </row>
    <row r="27" spans="1:15">
      <c r="A27" s="86" t="s">
        <v>30</v>
      </c>
      <c r="I27" s="73"/>
      <c r="J27" s="73"/>
      <c r="K27" s="73"/>
      <c r="L27" s="73"/>
      <c r="M27" s="73"/>
      <c r="N27" s="73"/>
      <c r="O27" s="73"/>
    </row>
    <row r="28" spans="1:15">
      <c r="B28" t="s">
        <v>847</v>
      </c>
      <c r="I28" s="130">
        <v>218379</v>
      </c>
      <c r="J28" s="73"/>
      <c r="K28" s="73">
        <v>83281</v>
      </c>
      <c r="L28" s="73"/>
      <c r="M28" s="73"/>
      <c r="N28" s="73"/>
      <c r="O28" s="73">
        <f>SUM(I28:N28)</f>
        <v>301660</v>
      </c>
    </row>
    <row r="29" spans="1:15">
      <c r="B29" t="s">
        <v>129</v>
      </c>
      <c r="I29" s="125"/>
      <c r="J29" s="73">
        <v>749371</v>
      </c>
      <c r="K29" s="73">
        <v>4117137</v>
      </c>
      <c r="L29" s="73">
        <v>1529205</v>
      </c>
      <c r="M29" s="73">
        <v>2156893</v>
      </c>
      <c r="N29" s="73">
        <v>2495226</v>
      </c>
      <c r="O29" s="73">
        <f>SUM(I29:N29)</f>
        <v>11047832</v>
      </c>
    </row>
    <row r="30" spans="1:15">
      <c r="B30" t="s">
        <v>331</v>
      </c>
      <c r="I30" s="131">
        <v>2000000</v>
      </c>
      <c r="J30" s="73"/>
      <c r="K30" s="73"/>
      <c r="L30" s="73"/>
      <c r="M30" s="73"/>
      <c r="N30" s="73">
        <v>1501085</v>
      </c>
      <c r="O30" s="73">
        <f>SUM(I30:N30)</f>
        <v>3501085</v>
      </c>
    </row>
    <row r="31" spans="1:15">
      <c r="B31" t="s">
        <v>48</v>
      </c>
      <c r="I31" s="126">
        <v>1777044</v>
      </c>
      <c r="J31" s="73"/>
      <c r="K31" s="73"/>
      <c r="L31" s="73"/>
      <c r="M31" s="73"/>
      <c r="N31" s="73">
        <v>-4062</v>
      </c>
      <c r="O31" s="73">
        <f>SUM(I31:N31)</f>
        <v>1772982</v>
      </c>
    </row>
    <row r="32" spans="1:15">
      <c r="I32" s="128"/>
      <c r="J32" s="93"/>
      <c r="K32" s="93"/>
      <c r="L32" s="93"/>
      <c r="M32" s="93"/>
      <c r="N32" s="93"/>
      <c r="O32" s="93"/>
    </row>
    <row r="33" spans="1:15">
      <c r="A33" s="5"/>
      <c r="B33" s="5"/>
      <c r="C33" s="5"/>
      <c r="D33" s="6"/>
      <c r="E33" s="6" t="s">
        <v>848</v>
      </c>
      <c r="F33" s="5"/>
      <c r="G33" s="5"/>
      <c r="H33" s="5"/>
      <c r="I33" s="79">
        <f t="shared" ref="I33:O33" si="3">SUM(I28:I31)</f>
        <v>3995423</v>
      </c>
      <c r="J33" s="79">
        <f t="shared" si="3"/>
        <v>749371</v>
      </c>
      <c r="K33" s="79">
        <f t="shared" si="3"/>
        <v>4200418</v>
      </c>
      <c r="L33" s="79">
        <f t="shared" si="3"/>
        <v>1529205</v>
      </c>
      <c r="M33" s="79">
        <f t="shared" si="3"/>
        <v>2156893</v>
      </c>
      <c r="N33" s="79">
        <f t="shared" si="3"/>
        <v>3992249</v>
      </c>
      <c r="O33" s="79">
        <f t="shared" si="3"/>
        <v>16623559</v>
      </c>
    </row>
    <row r="35" spans="1:15">
      <c r="A35" s="7" t="s">
        <v>849</v>
      </c>
      <c r="B35" s="7"/>
      <c r="C35" s="7"/>
      <c r="D35" s="7"/>
      <c r="E35" s="7"/>
      <c r="F35" s="7"/>
      <c r="G35" s="7"/>
      <c r="H35" s="7"/>
      <c r="I35" s="103">
        <f>SUM(I20+I25+I33)</f>
        <v>4346328</v>
      </c>
      <c r="J35" s="103">
        <f>SUM(J33+J20)</f>
        <v>757607</v>
      </c>
      <c r="K35" s="103">
        <f>SUM(K33+K25+K20)</f>
        <v>4516747</v>
      </c>
      <c r="L35" s="103">
        <f>SUM(L33+L25+L20)</f>
        <v>1647011</v>
      </c>
      <c r="M35" s="103">
        <f t="shared" ref="M35:O35" si="4">SUM(M33+M25+M20)</f>
        <v>2156893</v>
      </c>
      <c r="N35" s="103">
        <f t="shared" si="4"/>
        <v>4071491</v>
      </c>
      <c r="O35" s="103">
        <f t="shared" si="4"/>
        <v>17496077</v>
      </c>
    </row>
  </sheetData>
  <mergeCells count="2">
    <mergeCell ref="D1:I1"/>
    <mergeCell ref="D2:I2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EQ36"/>
  <sheetViews>
    <sheetView topLeftCell="A7" zoomScaleNormal="100" workbookViewId="0">
      <selection activeCell="T31" sqref="T31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11.42578125" customWidth="1"/>
    <col min="6" max="7" width="3.85546875" customWidth="1"/>
    <col min="8" max="9" width="9.140625" customWidth="1"/>
    <col min="10" max="11" width="15.42578125" customWidth="1"/>
    <col min="12" max="12" width="16.28515625" customWidth="1"/>
    <col min="13" max="13" width="16.42578125" customWidth="1"/>
    <col min="14" max="14" width="16" customWidth="1"/>
    <col min="15" max="15" width="16.85546875" customWidth="1"/>
    <col min="16" max="16" width="12.28515625" customWidth="1"/>
    <col min="17" max="17" width="15.42578125" customWidth="1"/>
    <col min="18" max="18" width="10.28515625" customWidth="1"/>
    <col min="19" max="19" width="18.85546875" customWidth="1"/>
    <col min="20" max="20" width="11.85546875" customWidth="1"/>
  </cols>
  <sheetData>
    <row r="1" spans="1:147" ht="18.75">
      <c r="D1" s="253" t="s">
        <v>850</v>
      </c>
      <c r="E1" s="253"/>
      <c r="F1" s="253"/>
      <c r="G1" s="253"/>
      <c r="H1" s="253"/>
      <c r="I1" s="253"/>
      <c r="J1" s="253"/>
      <c r="K1" s="253"/>
      <c r="L1" s="253"/>
    </row>
    <row r="2" spans="1:147">
      <c r="D2" s="254" t="s">
        <v>1</v>
      </c>
      <c r="E2" s="254"/>
      <c r="F2" s="254"/>
      <c r="G2" s="254"/>
      <c r="H2" s="254"/>
      <c r="I2" s="254"/>
      <c r="J2" s="254"/>
      <c r="K2" s="254"/>
      <c r="L2" s="254"/>
    </row>
    <row r="3" spans="1:147" ht="41.25" customHeight="1">
      <c r="L3" s="1" t="s">
        <v>2</v>
      </c>
      <c r="M3" s="1" t="s">
        <v>134</v>
      </c>
      <c r="N3" s="1" t="s">
        <v>851</v>
      </c>
      <c r="O3" s="1" t="s">
        <v>852</v>
      </c>
      <c r="P3" s="1" t="s">
        <v>770</v>
      </c>
      <c r="Q3" s="1" t="s">
        <v>853</v>
      </c>
      <c r="R3" s="204" t="s">
        <v>238</v>
      </c>
      <c r="S3" s="1" t="s">
        <v>6</v>
      </c>
      <c r="T3" s="205" t="s">
        <v>170</v>
      </c>
    </row>
    <row r="4" spans="1:147">
      <c r="A4" t="s">
        <v>8</v>
      </c>
    </row>
    <row r="5" spans="1:147">
      <c r="B5" t="s">
        <v>85</v>
      </c>
      <c r="L5" s="72">
        <v>5296255</v>
      </c>
      <c r="M5" s="73">
        <v>914296</v>
      </c>
      <c r="N5" s="73">
        <v>466715</v>
      </c>
      <c r="O5" s="73">
        <v>650946</v>
      </c>
      <c r="P5" s="73">
        <v>81478</v>
      </c>
      <c r="Q5" s="73">
        <v>1216851</v>
      </c>
      <c r="R5" s="73">
        <v>120594</v>
      </c>
      <c r="S5" s="73">
        <v>1630656</v>
      </c>
      <c r="T5" s="73">
        <f t="shared" ref="T5:T11" si="0">SUM(L5:S5)</f>
        <v>10377791</v>
      </c>
    </row>
    <row r="6" spans="1:147">
      <c r="B6" t="s">
        <v>10</v>
      </c>
      <c r="L6" s="77">
        <v>9697552</v>
      </c>
      <c r="M6" s="73">
        <v>1250000</v>
      </c>
      <c r="N6" s="73">
        <v>1200000</v>
      </c>
      <c r="O6" s="73">
        <v>800000</v>
      </c>
      <c r="P6" s="73">
        <v>3965917</v>
      </c>
      <c r="R6" s="73">
        <v>650000</v>
      </c>
      <c r="S6" s="73">
        <v>3600000</v>
      </c>
      <c r="T6" s="73">
        <f t="shared" si="0"/>
        <v>21163469</v>
      </c>
    </row>
    <row r="7" spans="1:147">
      <c r="B7" t="s">
        <v>854</v>
      </c>
      <c r="L7" s="77">
        <v>108000</v>
      </c>
      <c r="M7" s="73"/>
      <c r="N7" s="73"/>
      <c r="T7" s="73">
        <f t="shared" si="0"/>
        <v>108000</v>
      </c>
    </row>
    <row r="8" spans="1:147">
      <c r="B8" t="s">
        <v>855</v>
      </c>
      <c r="L8" s="74">
        <v>1263434</v>
      </c>
      <c r="M8" s="73">
        <v>2584295</v>
      </c>
      <c r="N8" s="73">
        <v>1076790</v>
      </c>
      <c r="O8" s="73">
        <v>1076790</v>
      </c>
      <c r="R8" s="73">
        <v>1794649</v>
      </c>
      <c r="S8" s="73">
        <v>559931</v>
      </c>
      <c r="T8" s="73">
        <f t="shared" si="0"/>
        <v>8355889</v>
      </c>
    </row>
    <row r="9" spans="1:147">
      <c r="B9" t="s">
        <v>421</v>
      </c>
      <c r="L9" s="72">
        <v>8203</v>
      </c>
      <c r="M9" s="73"/>
      <c r="N9" s="73"/>
      <c r="R9" s="73"/>
      <c r="S9" s="73">
        <v>180860</v>
      </c>
      <c r="T9" s="73">
        <f t="shared" si="0"/>
        <v>189063</v>
      </c>
    </row>
    <row r="10" spans="1:147">
      <c r="B10" t="s">
        <v>61</v>
      </c>
      <c r="L10" s="75">
        <v>830142</v>
      </c>
      <c r="M10" s="73">
        <v>1287</v>
      </c>
      <c r="N10" s="73">
        <v>35343</v>
      </c>
      <c r="P10" s="73"/>
      <c r="Q10" s="73"/>
      <c r="R10" s="73"/>
      <c r="S10" s="73">
        <v>298983</v>
      </c>
      <c r="T10" s="73">
        <f t="shared" si="0"/>
        <v>1165755</v>
      </c>
    </row>
    <row r="11" spans="1:147">
      <c r="B11" t="s">
        <v>13</v>
      </c>
      <c r="L11" s="74">
        <v>3188</v>
      </c>
      <c r="M11" s="73"/>
      <c r="N11" s="73">
        <v>17</v>
      </c>
      <c r="O11" s="109"/>
      <c r="P11" s="109">
        <v>336</v>
      </c>
      <c r="Q11" s="109"/>
      <c r="R11" s="109"/>
      <c r="S11" s="109">
        <v>29339</v>
      </c>
      <c r="T11" s="85">
        <f t="shared" si="0"/>
        <v>32880</v>
      </c>
    </row>
    <row r="12" spans="1:147">
      <c r="L12" s="93"/>
      <c r="M12" s="93"/>
      <c r="N12" s="93"/>
      <c r="S12" s="73"/>
    </row>
    <row r="13" spans="1:147" s="3" customFormat="1">
      <c r="A13" s="2"/>
      <c r="B13" s="2"/>
      <c r="C13" s="2"/>
      <c r="D13" s="2"/>
      <c r="E13" s="2" t="s">
        <v>64</v>
      </c>
      <c r="L13" s="76">
        <f>SUM(L5:L11)</f>
        <v>17206774</v>
      </c>
      <c r="M13" s="76">
        <f t="shared" ref="M13" si="1">SUM(M5:M11)</f>
        <v>4749878</v>
      </c>
      <c r="N13" s="76">
        <f>SUM(N5:N11)</f>
        <v>2778865</v>
      </c>
      <c r="O13" s="76">
        <f t="shared" ref="O13:T13" si="2">SUM(O5:O11)</f>
        <v>2527736</v>
      </c>
      <c r="P13" s="76">
        <f t="shared" si="2"/>
        <v>4047731</v>
      </c>
      <c r="Q13" s="76">
        <f t="shared" si="2"/>
        <v>1216851</v>
      </c>
      <c r="R13" s="76">
        <f t="shared" si="2"/>
        <v>2565243</v>
      </c>
      <c r="S13" s="76">
        <f t="shared" si="2"/>
        <v>6299769</v>
      </c>
      <c r="T13" s="76">
        <f t="shared" si="2"/>
        <v>41392847</v>
      </c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  <c r="BB13" s="101"/>
      <c r="BC13" s="101"/>
      <c r="BD13" s="101"/>
      <c r="BE13" s="101"/>
      <c r="BF13" s="101"/>
      <c r="BG13" s="101"/>
      <c r="BH13" s="101"/>
      <c r="BI13" s="101"/>
      <c r="BJ13" s="101"/>
      <c r="BK13" s="101"/>
      <c r="BL13" s="101"/>
      <c r="BM13" s="101"/>
      <c r="BN13" s="101"/>
      <c r="BO13" s="101"/>
      <c r="BP13" s="101"/>
      <c r="BQ13" s="101"/>
      <c r="BR13" s="101"/>
      <c r="BS13" s="101"/>
      <c r="BT13" s="101"/>
      <c r="BU13" s="101"/>
      <c r="BV13" s="101"/>
      <c r="BW13" s="101"/>
      <c r="BX13" s="101"/>
      <c r="BY13" s="101"/>
      <c r="BZ13" s="101"/>
      <c r="CA13" s="101"/>
      <c r="CB13" s="101"/>
      <c r="CC13" s="101"/>
      <c r="CD13" s="101"/>
      <c r="CE13" s="101"/>
      <c r="CF13" s="101"/>
      <c r="CG13" s="101"/>
      <c r="CH13" s="101"/>
      <c r="CI13" s="101"/>
      <c r="CJ13" s="101"/>
      <c r="CK13" s="101"/>
      <c r="CL13" s="101"/>
      <c r="CM13" s="101"/>
      <c r="CN13" s="101"/>
      <c r="CO13" s="101"/>
      <c r="CP13" s="101"/>
      <c r="CQ13" s="101"/>
      <c r="CR13" s="101"/>
      <c r="CS13" s="101"/>
      <c r="CT13" s="101"/>
      <c r="CU13" s="101"/>
      <c r="CV13" s="101"/>
      <c r="CW13" s="101"/>
      <c r="CX13" s="101"/>
      <c r="CY13" s="101"/>
      <c r="CZ13" s="101"/>
      <c r="DA13" s="101"/>
      <c r="DB13" s="101"/>
      <c r="DC13" s="101"/>
      <c r="DD13" s="101"/>
      <c r="DE13" s="101"/>
      <c r="DF13" s="101"/>
      <c r="DG13" s="101"/>
      <c r="DH13" s="101"/>
      <c r="DI13" s="101"/>
      <c r="DJ13" s="101"/>
      <c r="DK13" s="101"/>
      <c r="DL13" s="101"/>
      <c r="DM13" s="101"/>
      <c r="DN13" s="101"/>
      <c r="DO13" s="101"/>
      <c r="DP13" s="101"/>
      <c r="DQ13" s="101"/>
      <c r="DR13" s="101"/>
      <c r="DS13" s="101"/>
      <c r="DT13" s="101"/>
      <c r="DU13" s="101"/>
      <c r="DV13" s="101"/>
      <c r="DW13" s="101"/>
      <c r="DX13" s="101"/>
      <c r="DY13" s="101"/>
      <c r="DZ13" s="101"/>
      <c r="EA13" s="101"/>
      <c r="EB13" s="101"/>
      <c r="EC13" s="101"/>
      <c r="ED13" s="101"/>
      <c r="EE13" s="101"/>
      <c r="EF13" s="101"/>
      <c r="EG13" s="101"/>
      <c r="EH13" s="101"/>
      <c r="EI13" s="101"/>
      <c r="EJ13" s="101"/>
      <c r="EK13" s="101"/>
      <c r="EL13" s="101"/>
      <c r="EM13" s="101"/>
      <c r="EN13" s="101"/>
      <c r="EO13" s="101"/>
      <c r="EP13" s="101"/>
      <c r="EQ13" s="101"/>
    </row>
    <row r="14" spans="1:147">
      <c r="L14" s="73"/>
      <c r="M14" s="73"/>
      <c r="N14" s="73"/>
    </row>
    <row r="15" spans="1:147">
      <c r="A15" s="4" t="s">
        <v>19</v>
      </c>
      <c r="L15" s="73"/>
      <c r="M15" s="73"/>
      <c r="N15" s="73"/>
    </row>
    <row r="16" spans="1:147">
      <c r="B16" t="s">
        <v>20</v>
      </c>
      <c r="L16" s="73"/>
      <c r="M16" s="73"/>
      <c r="N16" s="73"/>
    </row>
    <row r="17" spans="1:147">
      <c r="C17" t="s">
        <v>21</v>
      </c>
      <c r="L17" s="77">
        <v>211691</v>
      </c>
      <c r="M17" s="73">
        <v>267348</v>
      </c>
      <c r="N17" s="102">
        <v>26626</v>
      </c>
      <c r="O17" s="109">
        <v>3939</v>
      </c>
      <c r="P17" s="109">
        <v>90100</v>
      </c>
      <c r="Q17" s="109">
        <v>109032</v>
      </c>
      <c r="R17" s="109">
        <v>44418</v>
      </c>
      <c r="S17" s="109">
        <v>64053</v>
      </c>
      <c r="T17" s="85">
        <f>SUM(L17:S17)</f>
        <v>817207</v>
      </c>
    </row>
    <row r="18" spans="1:147">
      <c r="L18" s="93"/>
      <c r="M18" s="93"/>
      <c r="N18" s="93"/>
    </row>
    <row r="19" spans="1:147" s="5" customFormat="1">
      <c r="B19" s="6"/>
      <c r="C19" s="6"/>
      <c r="D19" s="6"/>
      <c r="E19" s="6" t="s">
        <v>26</v>
      </c>
      <c r="L19" s="79">
        <f>SUM(L17:L17)</f>
        <v>211691</v>
      </c>
      <c r="M19" s="79">
        <f>SUM(M17:M17)</f>
        <v>267348</v>
      </c>
      <c r="N19" s="79">
        <f t="shared" ref="N19:T19" si="3">SUM(N17:N17)</f>
        <v>26626</v>
      </c>
      <c r="O19" s="79">
        <f t="shared" si="3"/>
        <v>3939</v>
      </c>
      <c r="P19" s="79">
        <f t="shared" si="3"/>
        <v>90100</v>
      </c>
      <c r="Q19" s="79">
        <f t="shared" si="3"/>
        <v>109032</v>
      </c>
      <c r="R19" s="79">
        <f t="shared" si="3"/>
        <v>44418</v>
      </c>
      <c r="S19" s="79">
        <f t="shared" si="3"/>
        <v>64053</v>
      </c>
      <c r="T19" s="79">
        <f t="shared" si="3"/>
        <v>817207</v>
      </c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  <c r="BD19" s="101"/>
      <c r="BE19" s="101"/>
      <c r="BF19" s="101"/>
      <c r="BG19" s="101"/>
      <c r="BH19" s="101"/>
      <c r="BI19" s="101"/>
      <c r="BJ19" s="101"/>
      <c r="BK19" s="101"/>
      <c r="BL19" s="101"/>
      <c r="BM19" s="101"/>
      <c r="BN19" s="101"/>
      <c r="BO19" s="101"/>
      <c r="BP19" s="101"/>
      <c r="BQ19" s="101"/>
      <c r="BR19" s="101"/>
      <c r="BS19" s="101"/>
      <c r="BT19" s="101"/>
      <c r="BU19" s="101"/>
      <c r="BV19" s="101"/>
      <c r="BW19" s="101"/>
      <c r="BX19" s="101"/>
      <c r="BY19" s="101"/>
      <c r="BZ19" s="101"/>
      <c r="CA19" s="101"/>
      <c r="CB19" s="101"/>
      <c r="CC19" s="101"/>
      <c r="CD19" s="101"/>
      <c r="CE19" s="101"/>
      <c r="CF19" s="101"/>
      <c r="CG19" s="101"/>
      <c r="CH19" s="101"/>
      <c r="CI19" s="101"/>
      <c r="CJ19" s="101"/>
      <c r="CK19" s="101"/>
      <c r="CL19" s="101"/>
      <c r="CM19" s="101"/>
      <c r="CN19" s="101"/>
      <c r="CO19" s="101"/>
      <c r="CP19" s="101"/>
      <c r="CQ19" s="101"/>
      <c r="CR19" s="101"/>
      <c r="CS19" s="101"/>
      <c r="CT19" s="101"/>
      <c r="CU19" s="101"/>
      <c r="CV19" s="101"/>
      <c r="CW19" s="101"/>
      <c r="CX19" s="101"/>
      <c r="CY19" s="101"/>
      <c r="CZ19" s="101"/>
      <c r="DA19" s="101"/>
      <c r="DB19" s="101"/>
      <c r="DC19" s="101"/>
      <c r="DD19" s="101"/>
      <c r="DE19" s="101"/>
      <c r="DF19" s="101"/>
      <c r="DG19" s="101"/>
      <c r="DH19" s="101"/>
      <c r="DI19" s="101"/>
      <c r="DJ19" s="101"/>
      <c r="DK19" s="101"/>
      <c r="DL19" s="101"/>
      <c r="DM19" s="101"/>
      <c r="DN19" s="101"/>
      <c r="DO19" s="101"/>
      <c r="DP19" s="101"/>
      <c r="DQ19" s="101"/>
      <c r="DR19" s="101"/>
      <c r="DS19" s="101"/>
      <c r="DT19" s="101"/>
      <c r="DU19" s="101"/>
      <c r="DV19" s="101"/>
      <c r="DW19" s="101"/>
      <c r="DX19" s="101"/>
      <c r="DY19" s="101"/>
      <c r="DZ19" s="101"/>
      <c r="EA19" s="101"/>
      <c r="EB19" s="101"/>
      <c r="EC19" s="101"/>
      <c r="ED19" s="101"/>
      <c r="EE19" s="101"/>
      <c r="EF19" s="101"/>
      <c r="EG19" s="101"/>
      <c r="EH19" s="101"/>
      <c r="EI19" s="101"/>
      <c r="EJ19" s="101"/>
      <c r="EK19" s="101"/>
      <c r="EL19" s="101"/>
      <c r="EM19" s="101"/>
      <c r="EN19" s="101"/>
      <c r="EO19" s="101"/>
      <c r="EP19" s="101"/>
      <c r="EQ19" s="101"/>
    </row>
    <row r="20" spans="1:147">
      <c r="L20" s="73"/>
      <c r="M20" s="73"/>
      <c r="N20" s="73"/>
    </row>
    <row r="21" spans="1:147">
      <c r="A21" s="71" t="s">
        <v>27</v>
      </c>
      <c r="L21" s="73"/>
      <c r="M21" s="73"/>
      <c r="N21" s="73"/>
    </row>
    <row r="22" spans="1:147">
      <c r="A22" s="71"/>
      <c r="C22" t="s">
        <v>774</v>
      </c>
      <c r="L22" s="73"/>
      <c r="M22" s="73"/>
      <c r="N22" s="73"/>
      <c r="S22">
        <v>366242</v>
      </c>
      <c r="T22" s="73">
        <f>SUM(L22:S22)</f>
        <v>366242</v>
      </c>
    </row>
    <row r="23" spans="1:147">
      <c r="C23" t="s">
        <v>199</v>
      </c>
      <c r="L23" s="85">
        <v>1373177</v>
      </c>
      <c r="M23" s="85">
        <v>2808768</v>
      </c>
      <c r="N23" s="85">
        <v>1170321</v>
      </c>
      <c r="O23" s="109">
        <v>1170320</v>
      </c>
      <c r="P23" s="109"/>
      <c r="Q23" s="109"/>
      <c r="R23" s="109">
        <v>1950534</v>
      </c>
      <c r="S23" s="109">
        <v>608567</v>
      </c>
      <c r="T23" s="85">
        <f>SUM(L23:S23)</f>
        <v>9081687</v>
      </c>
    </row>
    <row r="24" spans="1:147">
      <c r="L24" s="73"/>
      <c r="M24" s="73"/>
      <c r="N24" s="73"/>
    </row>
    <row r="25" spans="1:147" s="5" customFormat="1">
      <c r="B25" s="6"/>
      <c r="C25" s="6"/>
      <c r="D25" s="6"/>
      <c r="E25" s="6" t="s">
        <v>29</v>
      </c>
      <c r="L25" s="79">
        <f>SUM(L22:L23)</f>
        <v>1373177</v>
      </c>
      <c r="M25" s="79">
        <f t="shared" ref="M25:T25" si="4">SUM(M22:M23)</f>
        <v>2808768</v>
      </c>
      <c r="N25" s="79">
        <f t="shared" si="4"/>
        <v>1170321</v>
      </c>
      <c r="O25" s="79">
        <f t="shared" si="4"/>
        <v>1170320</v>
      </c>
      <c r="P25" s="79">
        <f t="shared" si="4"/>
        <v>0</v>
      </c>
      <c r="Q25" s="79">
        <f t="shared" si="4"/>
        <v>0</v>
      </c>
      <c r="R25" s="79">
        <f t="shared" si="4"/>
        <v>1950534</v>
      </c>
      <c r="S25" s="79">
        <f t="shared" si="4"/>
        <v>974809</v>
      </c>
      <c r="T25" s="79">
        <f t="shared" si="4"/>
        <v>9447929</v>
      </c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  <c r="BB25" s="101"/>
      <c r="BC25" s="101"/>
      <c r="BD25" s="101"/>
      <c r="BE25" s="101"/>
      <c r="BF25" s="101"/>
      <c r="BG25" s="101"/>
      <c r="BH25" s="101"/>
      <c r="BI25" s="101"/>
      <c r="BJ25" s="101"/>
      <c r="BK25" s="101"/>
      <c r="BL25" s="101"/>
      <c r="BM25" s="101"/>
      <c r="BN25" s="101"/>
      <c r="BO25" s="101"/>
      <c r="BP25" s="101"/>
      <c r="BQ25" s="101"/>
      <c r="BR25" s="101"/>
      <c r="BS25" s="101"/>
      <c r="BT25" s="101"/>
      <c r="BU25" s="101"/>
      <c r="BV25" s="101"/>
      <c r="BW25" s="101"/>
      <c r="BX25" s="101"/>
      <c r="BY25" s="101"/>
      <c r="BZ25" s="101"/>
      <c r="CA25" s="101"/>
      <c r="CB25" s="101"/>
      <c r="CC25" s="101"/>
      <c r="CD25" s="101"/>
      <c r="CE25" s="101"/>
      <c r="CF25" s="101"/>
      <c r="CG25" s="101"/>
      <c r="CH25" s="101"/>
      <c r="CI25" s="101"/>
      <c r="CJ25" s="101"/>
      <c r="CK25" s="101"/>
      <c r="CL25" s="101"/>
      <c r="CM25" s="101"/>
      <c r="CN25" s="101"/>
      <c r="CO25" s="101"/>
      <c r="CP25" s="101"/>
      <c r="CQ25" s="101"/>
      <c r="CR25" s="101"/>
      <c r="CS25" s="101"/>
      <c r="CT25" s="101"/>
      <c r="CU25" s="101"/>
      <c r="CV25" s="101"/>
      <c r="CW25" s="101"/>
      <c r="CX25" s="101"/>
      <c r="CY25" s="101"/>
      <c r="CZ25" s="101"/>
      <c r="DA25" s="101"/>
      <c r="DB25" s="101"/>
      <c r="DC25" s="101"/>
      <c r="DD25" s="101"/>
      <c r="DE25" s="101"/>
      <c r="DF25" s="101"/>
      <c r="DG25" s="101"/>
      <c r="DH25" s="101"/>
      <c r="DI25" s="101"/>
      <c r="DJ25" s="101"/>
      <c r="DK25" s="101"/>
      <c r="DL25" s="101"/>
      <c r="DM25" s="101"/>
      <c r="DN25" s="101"/>
      <c r="DO25" s="101"/>
      <c r="DP25" s="101"/>
      <c r="DQ25" s="101"/>
      <c r="DR25" s="101"/>
      <c r="DS25" s="101"/>
      <c r="DT25" s="101"/>
      <c r="DU25" s="101"/>
      <c r="DV25" s="101"/>
      <c r="DW25" s="101"/>
      <c r="DX25" s="101"/>
      <c r="DY25" s="101"/>
      <c r="DZ25" s="101"/>
      <c r="EA25" s="101"/>
      <c r="EB25" s="101"/>
      <c r="EC25" s="101"/>
      <c r="ED25" s="101"/>
      <c r="EE25" s="101"/>
      <c r="EF25" s="101"/>
      <c r="EG25" s="101"/>
      <c r="EH25" s="101"/>
      <c r="EI25" s="101"/>
      <c r="EJ25" s="101"/>
      <c r="EK25" s="101"/>
      <c r="EL25" s="101"/>
      <c r="EM25" s="101"/>
      <c r="EN25" s="101"/>
      <c r="EO25" s="101"/>
      <c r="EP25" s="101"/>
      <c r="EQ25" s="101"/>
    </row>
    <row r="26" spans="1:147">
      <c r="L26" s="73"/>
      <c r="M26" s="73"/>
      <c r="N26" s="73"/>
    </row>
    <row r="27" spans="1:147">
      <c r="B27" t="s">
        <v>30</v>
      </c>
      <c r="L27" s="73"/>
      <c r="M27" s="73"/>
      <c r="N27" s="73"/>
    </row>
    <row r="28" spans="1:147">
      <c r="C28" t="s">
        <v>856</v>
      </c>
      <c r="L28" s="129">
        <v>113570</v>
      </c>
      <c r="N28" s="73"/>
      <c r="P28">
        <v>3987550</v>
      </c>
      <c r="T28" s="73">
        <f>SUM(L28:S28)</f>
        <v>4101120</v>
      </c>
    </row>
    <row r="29" spans="1:147">
      <c r="C29" t="s">
        <v>857</v>
      </c>
      <c r="L29" s="90"/>
      <c r="M29" s="73">
        <v>1673762</v>
      </c>
      <c r="N29" s="73">
        <v>1581918</v>
      </c>
      <c r="O29">
        <v>1353477</v>
      </c>
      <c r="R29">
        <v>570291</v>
      </c>
      <c r="S29">
        <v>2889280</v>
      </c>
      <c r="T29" s="73">
        <f>SUM(L29:S29)</f>
        <v>8068728</v>
      </c>
    </row>
    <row r="30" spans="1:147">
      <c r="C30" t="s">
        <v>858</v>
      </c>
      <c r="L30" s="90"/>
      <c r="M30" s="73"/>
      <c r="N30" s="73"/>
      <c r="Q30">
        <v>1575594</v>
      </c>
      <c r="S30">
        <v>2296226</v>
      </c>
      <c r="T30" s="73">
        <f>SUM(L30:S30)</f>
        <v>3871820</v>
      </c>
    </row>
    <row r="31" spans="1:147">
      <c r="C31" t="s">
        <v>859</v>
      </c>
      <c r="L31" s="73"/>
      <c r="M31" s="73"/>
      <c r="N31" s="73"/>
      <c r="P31">
        <v>213317</v>
      </c>
      <c r="S31">
        <v>75401</v>
      </c>
      <c r="T31" s="73">
        <f>SUM(L31:S31)</f>
        <v>288718</v>
      </c>
    </row>
    <row r="32" spans="1:147">
      <c r="C32" t="s">
        <v>860</v>
      </c>
      <c r="L32" s="84">
        <v>15508336</v>
      </c>
      <c r="M32" s="73"/>
      <c r="N32" s="73"/>
      <c r="O32" s="109"/>
      <c r="P32" s="109"/>
      <c r="Q32" s="109"/>
      <c r="R32" s="109"/>
      <c r="S32" s="109"/>
      <c r="T32" s="85">
        <f>SUM(L32:S32)</f>
        <v>15508336</v>
      </c>
    </row>
    <row r="33" spans="4:147">
      <c r="L33" s="93"/>
      <c r="M33" s="93"/>
      <c r="N33" s="93"/>
    </row>
    <row r="34" spans="4:147" s="5" customFormat="1">
      <c r="D34" s="6"/>
      <c r="E34" s="6" t="s">
        <v>78</v>
      </c>
      <c r="L34" s="79">
        <f>SUM(L28:L32)</f>
        <v>15621906</v>
      </c>
      <c r="M34" s="79">
        <f t="shared" ref="M34:O34" si="5">SUM(M28:M32)</f>
        <v>1673762</v>
      </c>
      <c r="N34" s="79">
        <f t="shared" si="5"/>
        <v>1581918</v>
      </c>
      <c r="O34" s="79">
        <f t="shared" si="5"/>
        <v>1353477</v>
      </c>
      <c r="P34" s="79">
        <f t="shared" ref="P34:T34" si="6">SUM(P28:P32)</f>
        <v>4200867</v>
      </c>
      <c r="Q34" s="79">
        <f t="shared" si="6"/>
        <v>1575594</v>
      </c>
      <c r="R34" s="79">
        <f t="shared" si="6"/>
        <v>570291</v>
      </c>
      <c r="S34" s="79">
        <f t="shared" si="6"/>
        <v>5260907</v>
      </c>
      <c r="T34" s="79">
        <f t="shared" si="6"/>
        <v>31838722</v>
      </c>
      <c r="U34" s="101"/>
      <c r="V34" s="101"/>
      <c r="W34" s="101"/>
      <c r="X34" s="101"/>
      <c r="Y34" s="101"/>
      <c r="Z34" s="101"/>
      <c r="AA34" s="101"/>
      <c r="AB34" s="101"/>
      <c r="AC34" s="101"/>
      <c r="AD34" s="101"/>
      <c r="AE34" s="101"/>
      <c r="AF34" s="101"/>
      <c r="AG34" s="101"/>
      <c r="AH34" s="101"/>
      <c r="AI34" s="101"/>
      <c r="AJ34" s="101"/>
      <c r="AK34" s="101"/>
      <c r="AL34" s="101"/>
      <c r="AM34" s="101"/>
      <c r="AN34" s="101"/>
      <c r="AO34" s="101"/>
      <c r="AP34" s="101"/>
      <c r="AQ34" s="101"/>
      <c r="AR34" s="101"/>
      <c r="AS34" s="101"/>
      <c r="AT34" s="101"/>
      <c r="AU34" s="101"/>
      <c r="AV34" s="101"/>
      <c r="AW34" s="101"/>
      <c r="AX34" s="101"/>
      <c r="AY34" s="101"/>
      <c r="AZ34" s="101"/>
      <c r="BA34" s="101"/>
      <c r="BB34" s="101"/>
      <c r="BC34" s="101"/>
      <c r="BD34" s="101"/>
      <c r="BE34" s="101"/>
      <c r="BF34" s="101"/>
      <c r="BG34" s="101"/>
      <c r="BH34" s="101"/>
      <c r="BI34" s="101"/>
      <c r="BJ34" s="101"/>
      <c r="BK34" s="101"/>
      <c r="BL34" s="101"/>
      <c r="BM34" s="101"/>
      <c r="BN34" s="101"/>
      <c r="BO34" s="101"/>
      <c r="BP34" s="101"/>
      <c r="BQ34" s="101"/>
      <c r="BR34" s="101"/>
      <c r="BS34" s="101"/>
      <c r="BT34" s="101"/>
      <c r="BU34" s="101"/>
      <c r="BV34" s="101"/>
      <c r="BW34" s="101"/>
      <c r="BX34" s="101"/>
      <c r="BY34" s="101"/>
      <c r="BZ34" s="101"/>
      <c r="CA34" s="101"/>
      <c r="CB34" s="101"/>
      <c r="CC34" s="101"/>
      <c r="CD34" s="101"/>
      <c r="CE34" s="101"/>
      <c r="CF34" s="101"/>
      <c r="CG34" s="101"/>
      <c r="CH34" s="101"/>
      <c r="CI34" s="101"/>
      <c r="CJ34" s="101"/>
      <c r="CK34" s="101"/>
      <c r="CL34" s="101"/>
      <c r="CM34" s="101"/>
      <c r="CN34" s="101"/>
      <c r="CO34" s="101"/>
      <c r="CP34" s="101"/>
      <c r="CQ34" s="101"/>
      <c r="CR34" s="101"/>
      <c r="CS34" s="101"/>
      <c r="CT34" s="101"/>
      <c r="CU34" s="101"/>
      <c r="CV34" s="101"/>
      <c r="CW34" s="101"/>
      <c r="CX34" s="101"/>
      <c r="CY34" s="101"/>
      <c r="CZ34" s="101"/>
      <c r="DA34" s="101"/>
      <c r="DB34" s="101"/>
      <c r="DC34" s="101"/>
      <c r="DD34" s="101"/>
      <c r="DE34" s="101"/>
      <c r="DF34" s="101"/>
      <c r="DG34" s="101"/>
      <c r="DH34" s="101"/>
      <c r="DI34" s="101"/>
      <c r="DJ34" s="101"/>
      <c r="DK34" s="101"/>
      <c r="DL34" s="101"/>
      <c r="DM34" s="101"/>
      <c r="DN34" s="101"/>
      <c r="DO34" s="101"/>
      <c r="DP34" s="101"/>
      <c r="DQ34" s="101"/>
      <c r="DR34" s="101"/>
      <c r="DS34" s="101"/>
      <c r="DT34" s="101"/>
      <c r="DU34" s="101"/>
      <c r="DV34" s="101"/>
      <c r="DW34" s="101"/>
      <c r="DX34" s="101"/>
      <c r="DY34" s="101"/>
      <c r="DZ34" s="101"/>
      <c r="EA34" s="101"/>
      <c r="EB34" s="101"/>
      <c r="EC34" s="101"/>
      <c r="ED34" s="101"/>
      <c r="EE34" s="101"/>
      <c r="EF34" s="101"/>
      <c r="EG34" s="101"/>
      <c r="EH34" s="101"/>
      <c r="EI34" s="101"/>
      <c r="EJ34" s="101"/>
      <c r="EK34" s="101"/>
      <c r="EL34" s="101"/>
      <c r="EM34" s="101"/>
      <c r="EN34" s="101"/>
      <c r="EO34" s="101"/>
      <c r="EP34" s="101"/>
      <c r="EQ34" s="101"/>
    </row>
    <row r="35" spans="4:147">
      <c r="L35" s="73"/>
      <c r="M35" s="73"/>
      <c r="N35" s="73"/>
    </row>
    <row r="36" spans="4:147" s="7" customFormat="1">
      <c r="D36" s="8"/>
      <c r="E36" s="8" t="s">
        <v>861</v>
      </c>
      <c r="L36" s="81">
        <f>L34+L25+L19</f>
        <v>17206774</v>
      </c>
      <c r="M36" s="81">
        <f t="shared" ref="M36:T36" si="7">M34+M25+M19</f>
        <v>4749878</v>
      </c>
      <c r="N36" s="81">
        <f t="shared" si="7"/>
        <v>2778865</v>
      </c>
      <c r="O36" s="81">
        <f t="shared" si="7"/>
        <v>2527736</v>
      </c>
      <c r="P36" s="81">
        <f t="shared" si="7"/>
        <v>4290967</v>
      </c>
      <c r="Q36" s="81">
        <f t="shared" si="7"/>
        <v>1684626</v>
      </c>
      <c r="R36" s="81">
        <f t="shared" si="7"/>
        <v>2565243</v>
      </c>
      <c r="S36" s="81">
        <f t="shared" si="7"/>
        <v>6299769</v>
      </c>
      <c r="T36" s="81">
        <f t="shared" si="7"/>
        <v>42103858</v>
      </c>
      <c r="U36" s="101"/>
      <c r="V36" s="101"/>
      <c r="W36" s="101"/>
      <c r="X36" s="101"/>
      <c r="Y36" s="101"/>
      <c r="Z36" s="101"/>
      <c r="AA36" s="101"/>
      <c r="AB36" s="101"/>
      <c r="AC36" s="101"/>
      <c r="AD36" s="101"/>
      <c r="AE36" s="101"/>
      <c r="AF36" s="101"/>
      <c r="AG36" s="101"/>
      <c r="AH36" s="101"/>
      <c r="AI36" s="101"/>
      <c r="AJ36" s="101"/>
      <c r="AK36" s="101"/>
      <c r="AL36" s="101"/>
      <c r="AM36" s="101"/>
      <c r="AN36" s="101"/>
      <c r="AO36" s="101"/>
      <c r="AP36" s="101"/>
      <c r="AQ36" s="101"/>
      <c r="AR36" s="101"/>
      <c r="AS36" s="101"/>
      <c r="AT36" s="101"/>
      <c r="AU36" s="101"/>
      <c r="AV36" s="101"/>
      <c r="AW36" s="101"/>
      <c r="AX36" s="101"/>
      <c r="AY36" s="101"/>
      <c r="AZ36" s="101"/>
      <c r="BA36" s="101"/>
      <c r="BB36" s="101"/>
      <c r="BC36" s="101"/>
      <c r="BD36" s="101"/>
      <c r="BE36" s="101"/>
      <c r="BF36" s="101"/>
      <c r="BG36" s="101"/>
      <c r="BH36" s="101"/>
      <c r="BI36" s="101"/>
      <c r="BJ36" s="101"/>
      <c r="BK36" s="101"/>
      <c r="BL36" s="101"/>
      <c r="BM36" s="101"/>
      <c r="BN36" s="101"/>
      <c r="BO36" s="101"/>
      <c r="BP36" s="101"/>
      <c r="BQ36" s="101"/>
      <c r="BR36" s="101"/>
      <c r="BS36" s="101"/>
      <c r="BT36" s="101"/>
      <c r="BU36" s="101"/>
      <c r="BV36" s="101"/>
      <c r="BW36" s="101"/>
      <c r="BX36" s="101"/>
      <c r="BY36" s="101"/>
      <c r="BZ36" s="101"/>
      <c r="CA36" s="101"/>
      <c r="CB36" s="101"/>
      <c r="CC36" s="101"/>
      <c r="CD36" s="101"/>
      <c r="CE36" s="101"/>
      <c r="CF36" s="101"/>
      <c r="CG36" s="101"/>
      <c r="CH36" s="101"/>
      <c r="CI36" s="101"/>
      <c r="CJ36" s="101"/>
      <c r="CK36" s="101"/>
      <c r="CL36" s="101"/>
      <c r="CM36" s="101"/>
      <c r="CN36" s="101"/>
      <c r="CO36" s="101"/>
      <c r="CP36" s="101"/>
      <c r="CQ36" s="101"/>
      <c r="CR36" s="101"/>
      <c r="CS36" s="101"/>
      <c r="CT36" s="101"/>
      <c r="CU36" s="101"/>
      <c r="CV36" s="101"/>
      <c r="CW36" s="101"/>
      <c r="CX36" s="101"/>
      <c r="CY36" s="101"/>
      <c r="CZ36" s="101"/>
      <c r="DA36" s="101"/>
      <c r="DB36" s="101"/>
      <c r="DC36" s="101"/>
      <c r="DD36" s="101"/>
      <c r="DE36" s="101"/>
      <c r="DF36" s="101"/>
      <c r="DG36" s="101"/>
      <c r="DH36" s="101"/>
      <c r="DI36" s="101"/>
      <c r="DJ36" s="101"/>
      <c r="DK36" s="101"/>
      <c r="DL36" s="101"/>
      <c r="DM36" s="101"/>
      <c r="DN36" s="101"/>
      <c r="DO36" s="101"/>
      <c r="DP36" s="101"/>
      <c r="DQ36" s="101"/>
      <c r="DR36" s="101"/>
      <c r="DS36" s="101"/>
      <c r="DT36" s="101"/>
      <c r="DU36" s="101"/>
      <c r="DV36" s="101"/>
      <c r="DW36" s="101"/>
      <c r="DX36" s="101"/>
      <c r="DY36" s="101"/>
      <c r="DZ36" s="101"/>
      <c r="EA36" s="101"/>
      <c r="EB36" s="101"/>
      <c r="EC36" s="101"/>
      <c r="ED36" s="101"/>
      <c r="EE36" s="101"/>
      <c r="EF36" s="101"/>
      <c r="EG36" s="101"/>
      <c r="EH36" s="101"/>
      <c r="EI36" s="101"/>
      <c r="EJ36" s="101"/>
      <c r="EK36" s="101"/>
      <c r="EL36" s="101"/>
      <c r="EM36" s="101"/>
      <c r="EN36" s="101"/>
      <c r="EO36" s="101"/>
      <c r="EP36" s="101"/>
      <c r="EQ36" s="101"/>
    </row>
  </sheetData>
  <mergeCells count="2">
    <mergeCell ref="D1:L1"/>
    <mergeCell ref="D2:L2"/>
  </mergeCells>
  <pageMargins left="0.7" right="0.7" top="0.75" bottom="0.75" header="0.3" footer="0.3"/>
  <pageSetup orientation="portrait"/>
  <extLst>
    <ext xmlns:mx="http://schemas.microsoft.com/office/mac/excel/2008/main" uri="{64002731-A6B0-56B0-2670-7721B7C09600}">
      <mx:PLV Mode="0" OnePage="0" WScale="0"/>
    </ext>
  </extLst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92D050"/>
  </sheetPr>
  <dimension ref="A1:DX26"/>
  <sheetViews>
    <sheetView topLeftCell="A8" zoomScaleNormal="100" workbookViewId="0">
      <selection activeCell="K15" sqref="K15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8.42578125" customWidth="1"/>
    <col min="6" max="7" width="3.85546875" customWidth="1"/>
    <col min="8" max="9" width="9.140625" customWidth="1"/>
    <col min="10" max="10" width="13.140625" customWidth="1"/>
    <col min="11" max="11" width="16.28515625" customWidth="1"/>
    <col min="12" max="12" width="14.85546875" customWidth="1"/>
    <col min="13" max="13" width="16.42578125" customWidth="1"/>
    <col min="14" max="14" width="16.7109375" customWidth="1"/>
    <col min="15" max="16" width="19" customWidth="1"/>
    <col min="17" max="17" width="19.42578125" customWidth="1"/>
    <col min="18" max="18" width="19.85546875" bestFit="1" customWidth="1"/>
  </cols>
  <sheetData>
    <row r="1" spans="1:128" ht="18.75">
      <c r="D1" s="253" t="s">
        <v>862</v>
      </c>
      <c r="E1" s="253"/>
      <c r="F1" s="253"/>
      <c r="G1" s="253"/>
      <c r="H1" s="253"/>
      <c r="I1" s="253"/>
      <c r="J1" s="253"/>
      <c r="K1" s="253"/>
    </row>
    <row r="2" spans="1:128">
      <c r="D2" s="254" t="s">
        <v>118</v>
      </c>
      <c r="E2" s="254"/>
      <c r="F2" s="254"/>
      <c r="G2" s="254"/>
      <c r="H2" s="254"/>
      <c r="I2" s="254"/>
      <c r="J2" s="254"/>
      <c r="K2" s="254"/>
    </row>
    <row r="4" spans="1:128" ht="30">
      <c r="K4" s="1" t="s">
        <v>2</v>
      </c>
      <c r="L4" s="1" t="s">
        <v>863</v>
      </c>
      <c r="M4" s="1" t="s">
        <v>120</v>
      </c>
      <c r="N4" s="1" t="s">
        <v>864</v>
      </c>
      <c r="O4" s="1" t="s">
        <v>865</v>
      </c>
      <c r="P4" s="1" t="s">
        <v>137</v>
      </c>
      <c r="Q4" s="1" t="s">
        <v>866</v>
      </c>
      <c r="R4" s="1" t="s">
        <v>170</v>
      </c>
    </row>
    <row r="5" spans="1:128">
      <c r="A5" t="s">
        <v>8</v>
      </c>
    </row>
    <row r="6" spans="1:128">
      <c r="B6" t="s">
        <v>85</v>
      </c>
      <c r="K6" s="72">
        <v>1289627</v>
      </c>
      <c r="L6" s="73">
        <v>2124269</v>
      </c>
      <c r="M6" s="73">
        <v>1412281</v>
      </c>
      <c r="N6" s="73">
        <v>310916</v>
      </c>
      <c r="O6" s="73">
        <v>290398</v>
      </c>
      <c r="P6" s="73">
        <v>11027</v>
      </c>
      <c r="Q6" s="73">
        <v>1207660</v>
      </c>
      <c r="R6" s="73">
        <f>SUM(K6:Q6)</f>
        <v>6646178</v>
      </c>
    </row>
    <row r="7" spans="1:128">
      <c r="B7" t="s">
        <v>60</v>
      </c>
      <c r="K7" s="74">
        <v>366278</v>
      </c>
      <c r="L7" s="73">
        <v>598918</v>
      </c>
      <c r="M7" s="73">
        <v>128029</v>
      </c>
      <c r="N7" s="73">
        <v>8707</v>
      </c>
      <c r="O7" s="73">
        <v>4500</v>
      </c>
      <c r="P7" s="73">
        <v>10990</v>
      </c>
      <c r="Q7" s="73">
        <v>106662</v>
      </c>
      <c r="R7" s="73">
        <f>SUM(K7:Q7)</f>
        <v>1224084</v>
      </c>
    </row>
    <row r="8" spans="1:128">
      <c r="B8" t="s">
        <v>867</v>
      </c>
      <c r="K8" s="73"/>
      <c r="L8" s="73"/>
      <c r="M8" s="73">
        <v>871963</v>
      </c>
      <c r="N8" s="73"/>
      <c r="O8" s="73"/>
      <c r="P8" s="73"/>
      <c r="Q8" s="73"/>
      <c r="R8" s="73">
        <f>SUM(K8:Q8)</f>
        <v>871963</v>
      </c>
    </row>
    <row r="9" spans="1:128">
      <c r="K9" s="93"/>
      <c r="L9" s="93"/>
      <c r="M9" s="93"/>
      <c r="N9" s="93"/>
      <c r="O9" s="93"/>
      <c r="P9" s="93"/>
      <c r="Q9" s="93"/>
      <c r="R9" s="93"/>
    </row>
    <row r="10" spans="1:128" s="3" customFormat="1">
      <c r="A10" s="2"/>
      <c r="B10" s="2"/>
      <c r="C10" s="2"/>
      <c r="D10" s="2"/>
      <c r="E10" s="2" t="s">
        <v>18</v>
      </c>
      <c r="K10" s="76">
        <f t="shared" ref="K10:R10" si="0">SUM(K6:K8)</f>
        <v>1655905</v>
      </c>
      <c r="L10" s="76">
        <f t="shared" si="0"/>
        <v>2723187</v>
      </c>
      <c r="M10" s="76">
        <f t="shared" si="0"/>
        <v>2412273</v>
      </c>
      <c r="N10" s="76">
        <f t="shared" si="0"/>
        <v>319623</v>
      </c>
      <c r="O10" s="76">
        <f t="shared" si="0"/>
        <v>294898</v>
      </c>
      <c r="P10" s="76">
        <f t="shared" si="0"/>
        <v>22017</v>
      </c>
      <c r="Q10" s="76">
        <f t="shared" si="0"/>
        <v>1314322</v>
      </c>
      <c r="R10" s="76">
        <f t="shared" si="0"/>
        <v>8742225</v>
      </c>
      <c r="S10" s="101"/>
      <c r="T10" s="101"/>
      <c r="U10" s="101"/>
      <c r="V10" s="101"/>
      <c r="W10" s="101"/>
      <c r="X10" s="101"/>
      <c r="Y10" s="101"/>
      <c r="Z10" s="101"/>
      <c r="AA10" s="101"/>
      <c r="AB10" s="101"/>
      <c r="AC10" s="101"/>
      <c r="AD10" s="101"/>
      <c r="AE10" s="101"/>
      <c r="AF10" s="101"/>
      <c r="AG10" s="101"/>
      <c r="AH10" s="101"/>
      <c r="AI10" s="101"/>
      <c r="AJ10" s="101"/>
      <c r="AK10" s="101"/>
      <c r="AL10" s="101"/>
      <c r="AM10" s="101"/>
      <c r="AN10" s="101"/>
      <c r="AO10" s="101"/>
      <c r="AP10" s="101"/>
      <c r="AQ10" s="101"/>
      <c r="AR10" s="101"/>
      <c r="AS10" s="101"/>
      <c r="AT10" s="101"/>
      <c r="AU10" s="101"/>
      <c r="AV10" s="101"/>
      <c r="AW10" s="101"/>
      <c r="AX10" s="101"/>
      <c r="AY10" s="101"/>
      <c r="AZ10" s="101"/>
      <c r="BA10" s="101"/>
      <c r="BB10" s="101"/>
      <c r="BC10" s="101"/>
      <c r="BD10" s="101"/>
      <c r="BE10" s="101"/>
      <c r="BF10" s="101"/>
      <c r="BG10" s="101"/>
      <c r="BH10" s="101"/>
      <c r="BI10" s="101"/>
      <c r="BJ10" s="101"/>
      <c r="BK10" s="101"/>
      <c r="BL10" s="101"/>
      <c r="BM10" s="101"/>
      <c r="BN10" s="101"/>
      <c r="BO10" s="101"/>
      <c r="BP10" s="101"/>
      <c r="BQ10" s="101"/>
      <c r="BR10" s="101"/>
      <c r="BS10" s="101"/>
      <c r="BT10" s="101"/>
      <c r="BU10" s="101"/>
      <c r="BV10" s="101"/>
      <c r="BW10" s="101"/>
      <c r="BX10" s="101"/>
      <c r="BY10" s="101"/>
      <c r="BZ10" s="101"/>
      <c r="CA10" s="101"/>
      <c r="CB10" s="101"/>
      <c r="CC10" s="101"/>
      <c r="CD10" s="101"/>
      <c r="CE10" s="101"/>
      <c r="CF10" s="101"/>
      <c r="CG10" s="101"/>
      <c r="CH10" s="101"/>
      <c r="CI10" s="101"/>
      <c r="CJ10" s="101"/>
      <c r="CK10" s="101"/>
      <c r="CL10" s="101"/>
      <c r="CM10" s="101"/>
      <c r="CN10" s="101"/>
      <c r="CO10" s="101"/>
      <c r="CP10" s="101"/>
      <c r="CQ10" s="101"/>
      <c r="CR10" s="101"/>
      <c r="CS10" s="101"/>
      <c r="CT10" s="101"/>
      <c r="CU10" s="101"/>
      <c r="CV10" s="101"/>
      <c r="CW10" s="101"/>
      <c r="CX10" s="101"/>
      <c r="CY10" s="101"/>
      <c r="CZ10" s="101"/>
      <c r="DA10" s="101"/>
      <c r="DB10" s="101"/>
      <c r="DC10" s="101"/>
      <c r="DD10" s="101"/>
      <c r="DE10" s="101"/>
      <c r="DF10" s="101"/>
      <c r="DG10" s="101"/>
      <c r="DH10" s="101"/>
      <c r="DI10" s="101"/>
      <c r="DJ10" s="101"/>
      <c r="DK10" s="101"/>
      <c r="DL10" s="101"/>
      <c r="DM10" s="101"/>
      <c r="DN10" s="101"/>
      <c r="DO10" s="101"/>
      <c r="DP10" s="101"/>
      <c r="DQ10" s="101"/>
      <c r="DR10" s="101"/>
      <c r="DS10" s="101"/>
      <c r="DT10" s="101"/>
      <c r="DU10" s="101"/>
      <c r="DV10" s="101"/>
      <c r="DW10" s="101"/>
      <c r="DX10" s="101"/>
    </row>
    <row r="11" spans="1:128">
      <c r="K11" s="73"/>
      <c r="L11" s="73"/>
      <c r="M11" s="73"/>
      <c r="N11" s="73"/>
      <c r="O11" s="73"/>
      <c r="P11" s="73"/>
      <c r="Q11" s="73"/>
      <c r="R11" s="73"/>
    </row>
    <row r="12" spans="1:128">
      <c r="A12" s="4" t="s">
        <v>19</v>
      </c>
      <c r="K12" s="73"/>
      <c r="L12" s="73"/>
      <c r="M12" s="73"/>
      <c r="N12" s="73"/>
      <c r="O12" s="73"/>
      <c r="P12" s="73"/>
      <c r="Q12" s="73"/>
      <c r="R12" s="73"/>
    </row>
    <row r="13" spans="1:128">
      <c r="B13" t="s">
        <v>20</v>
      </c>
      <c r="K13" s="73"/>
      <c r="L13" s="73"/>
      <c r="M13" s="73"/>
      <c r="O13" s="73"/>
      <c r="P13" s="73"/>
      <c r="Q13" s="73"/>
      <c r="R13" s="73"/>
    </row>
    <row r="14" spans="1:128">
      <c r="C14" t="s">
        <v>21</v>
      </c>
      <c r="K14" s="77">
        <v>47807</v>
      </c>
      <c r="L14" s="73">
        <v>72611</v>
      </c>
      <c r="M14" s="73">
        <v>40630</v>
      </c>
      <c r="N14" s="73">
        <v>6029</v>
      </c>
      <c r="O14" s="73"/>
      <c r="P14" s="73">
        <v>4320</v>
      </c>
      <c r="Q14" s="73">
        <v>8863</v>
      </c>
      <c r="R14" s="73">
        <f>SUM(K14:Q14)</f>
        <v>180260</v>
      </c>
    </row>
    <row r="15" spans="1:128">
      <c r="C15" t="s">
        <v>22</v>
      </c>
      <c r="K15" s="77">
        <v>12825</v>
      </c>
      <c r="L15" s="73"/>
      <c r="M15" s="73"/>
      <c r="N15" s="73"/>
      <c r="O15" s="73">
        <v>8690</v>
      </c>
      <c r="P15" s="73"/>
      <c r="Q15" s="73"/>
      <c r="R15" s="73">
        <f>SUM(K15:Q15)</f>
        <v>21515</v>
      </c>
    </row>
    <row r="16" spans="1:128">
      <c r="K16" s="93"/>
      <c r="L16" s="93"/>
      <c r="M16" s="93"/>
      <c r="N16" s="93"/>
      <c r="O16" s="93"/>
      <c r="P16" s="93"/>
      <c r="Q16" s="93"/>
      <c r="R16" s="93"/>
    </row>
    <row r="17" spans="2:128" s="5" customFormat="1">
      <c r="B17" s="6"/>
      <c r="C17" s="6"/>
      <c r="D17" s="6"/>
      <c r="E17" s="6" t="s">
        <v>26</v>
      </c>
      <c r="K17" s="79">
        <f t="shared" ref="K17:R17" si="1">SUM(K14:K15)</f>
        <v>60632</v>
      </c>
      <c r="L17" s="79">
        <f t="shared" si="1"/>
        <v>72611</v>
      </c>
      <c r="M17" s="79">
        <f t="shared" si="1"/>
        <v>40630</v>
      </c>
      <c r="N17" s="79">
        <f t="shared" si="1"/>
        <v>6029</v>
      </c>
      <c r="O17" s="79">
        <f t="shared" si="1"/>
        <v>8690</v>
      </c>
      <c r="P17" s="79">
        <f t="shared" si="1"/>
        <v>4320</v>
      </c>
      <c r="Q17" s="79">
        <f t="shared" si="1"/>
        <v>8863</v>
      </c>
      <c r="R17" s="79">
        <f t="shared" si="1"/>
        <v>201775</v>
      </c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  <c r="BD17" s="101"/>
      <c r="BE17" s="101"/>
      <c r="BF17" s="101"/>
      <c r="BG17" s="101"/>
      <c r="BH17" s="101"/>
      <c r="BI17" s="101"/>
      <c r="BJ17" s="101"/>
      <c r="BK17" s="101"/>
      <c r="BL17" s="101"/>
      <c r="BM17" s="101"/>
      <c r="BN17" s="101"/>
      <c r="BO17" s="101"/>
      <c r="BP17" s="101"/>
      <c r="BQ17" s="101"/>
      <c r="BR17" s="101"/>
      <c r="BS17" s="101"/>
      <c r="BT17" s="101"/>
      <c r="BU17" s="101"/>
      <c r="BV17" s="101"/>
      <c r="BW17" s="101"/>
      <c r="BX17" s="101"/>
      <c r="BY17" s="101"/>
      <c r="BZ17" s="101"/>
      <c r="CA17" s="101"/>
      <c r="CB17" s="101"/>
      <c r="CC17" s="101"/>
      <c r="CD17" s="101"/>
      <c r="CE17" s="101"/>
      <c r="CF17" s="101"/>
      <c r="CG17" s="101"/>
      <c r="CH17" s="101"/>
      <c r="CI17" s="101"/>
      <c r="CJ17" s="101"/>
      <c r="CK17" s="101"/>
      <c r="CL17" s="101"/>
      <c r="CM17" s="101"/>
      <c r="CN17" s="101"/>
      <c r="CO17" s="101"/>
      <c r="CP17" s="101"/>
      <c r="CQ17" s="101"/>
      <c r="CR17" s="101"/>
      <c r="CS17" s="101"/>
      <c r="CT17" s="101"/>
      <c r="CU17" s="101"/>
      <c r="CV17" s="101"/>
      <c r="CW17" s="101"/>
      <c r="CX17" s="101"/>
      <c r="CY17" s="101"/>
      <c r="CZ17" s="101"/>
      <c r="DA17" s="101"/>
      <c r="DB17" s="101"/>
      <c r="DC17" s="101"/>
      <c r="DD17" s="101"/>
      <c r="DE17" s="101"/>
      <c r="DF17" s="101"/>
      <c r="DG17" s="101"/>
      <c r="DH17" s="101"/>
      <c r="DI17" s="101"/>
      <c r="DJ17" s="101"/>
      <c r="DK17" s="101"/>
      <c r="DL17" s="101"/>
      <c r="DM17" s="101"/>
      <c r="DN17" s="101"/>
      <c r="DO17" s="101"/>
      <c r="DP17" s="101"/>
      <c r="DQ17" s="101"/>
      <c r="DR17" s="101"/>
      <c r="DS17" s="101"/>
      <c r="DT17" s="101"/>
      <c r="DU17" s="101"/>
      <c r="DV17" s="101"/>
      <c r="DW17" s="101"/>
      <c r="DX17" s="101"/>
    </row>
    <row r="18" spans="2:128">
      <c r="K18" s="73"/>
      <c r="L18" s="73"/>
      <c r="M18" s="73"/>
      <c r="N18" s="73"/>
      <c r="O18" s="73"/>
      <c r="P18" s="73"/>
      <c r="Q18" s="73"/>
      <c r="R18" s="73"/>
    </row>
    <row r="19" spans="2:128">
      <c r="B19" t="s">
        <v>868</v>
      </c>
      <c r="L19" s="73"/>
      <c r="M19" s="73"/>
      <c r="N19" s="73"/>
      <c r="O19" s="73"/>
      <c r="P19" s="73"/>
      <c r="Q19" s="73"/>
      <c r="R19" s="73"/>
    </row>
    <row r="20" spans="2:128">
      <c r="C20" t="s">
        <v>129</v>
      </c>
      <c r="K20" s="80">
        <v>17368</v>
      </c>
      <c r="L20" s="73">
        <v>2650576</v>
      </c>
      <c r="M20" s="73">
        <v>2371643</v>
      </c>
      <c r="N20" s="73">
        <v>313594</v>
      </c>
      <c r="O20" s="73"/>
      <c r="P20" s="73">
        <v>17697</v>
      </c>
      <c r="Q20" s="73">
        <v>1305459</v>
      </c>
      <c r="R20" s="247">
        <f>SUM(K20:Q20)</f>
        <v>6676337</v>
      </c>
    </row>
    <row r="21" spans="2:128">
      <c r="C21" t="s">
        <v>130</v>
      </c>
      <c r="K21" s="100">
        <v>61368</v>
      </c>
      <c r="L21" s="73"/>
      <c r="M21" s="73"/>
      <c r="N21" s="73"/>
      <c r="O21" s="73">
        <v>286208</v>
      </c>
      <c r="P21" s="73"/>
      <c r="Q21" s="73"/>
      <c r="R21" s="247">
        <f>SUM(K21:Q21)</f>
        <v>347576</v>
      </c>
    </row>
    <row r="22" spans="2:128">
      <c r="C22" t="s">
        <v>48</v>
      </c>
      <c r="K22" s="84">
        <v>1356265</v>
      </c>
      <c r="L22" s="73"/>
      <c r="M22" s="73"/>
      <c r="N22" s="73"/>
      <c r="O22" s="73"/>
      <c r="P22" s="73"/>
      <c r="Q22" s="73"/>
      <c r="R22" s="247">
        <f>SUM(K22:Q22)</f>
        <v>1356265</v>
      </c>
      <c r="T22" s="233" t="s">
        <v>869</v>
      </c>
      <c r="U22" s="233"/>
      <c r="V22" s="233"/>
      <c r="W22" s="233"/>
    </row>
    <row r="23" spans="2:128">
      <c r="K23" s="73"/>
      <c r="L23" s="93"/>
      <c r="M23" s="93"/>
      <c r="N23" s="93"/>
      <c r="O23" s="93"/>
      <c r="P23" s="93"/>
      <c r="Q23" s="93"/>
      <c r="R23" s="93"/>
      <c r="T23" s="233"/>
      <c r="U23" s="233"/>
      <c r="V23" s="233"/>
      <c r="W23" s="233"/>
    </row>
    <row r="24" spans="2:128" s="5" customFormat="1">
      <c r="D24" s="6"/>
      <c r="E24" s="6" t="s">
        <v>846</v>
      </c>
      <c r="K24" s="79">
        <f>SUM(K20:K22)</f>
        <v>1435001</v>
      </c>
      <c r="L24" s="79">
        <f t="shared" ref="L24:R24" si="2">SUM(L20:L22)</f>
        <v>2650576</v>
      </c>
      <c r="M24" s="79">
        <f t="shared" si="2"/>
        <v>2371643</v>
      </c>
      <c r="N24" s="79">
        <f t="shared" si="2"/>
        <v>313594</v>
      </c>
      <c r="O24" s="79">
        <f t="shared" si="2"/>
        <v>286208</v>
      </c>
      <c r="P24" s="79">
        <f t="shared" si="2"/>
        <v>17697</v>
      </c>
      <c r="Q24" s="79">
        <f t="shared" si="2"/>
        <v>1305459</v>
      </c>
      <c r="R24" s="232">
        <f t="shared" si="2"/>
        <v>8380178</v>
      </c>
      <c r="S24" s="101"/>
      <c r="T24" s="248"/>
      <c r="U24" s="248"/>
      <c r="V24" s="248"/>
      <c r="W24" s="248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  <c r="AU24" s="101"/>
      <c r="AV24" s="101"/>
      <c r="AW24" s="101"/>
      <c r="AX24" s="101"/>
      <c r="AY24" s="101"/>
      <c r="AZ24" s="101"/>
      <c r="BA24" s="101"/>
      <c r="BB24" s="101"/>
      <c r="BC24" s="101"/>
      <c r="BD24" s="101"/>
      <c r="BE24" s="101"/>
      <c r="BF24" s="101"/>
      <c r="BG24" s="101"/>
      <c r="BH24" s="101"/>
      <c r="BI24" s="101"/>
      <c r="BJ24" s="101"/>
      <c r="BK24" s="101"/>
      <c r="BL24" s="101"/>
      <c r="BM24" s="101"/>
      <c r="BN24" s="101"/>
      <c r="BO24" s="101"/>
      <c r="BP24" s="101"/>
      <c r="BQ24" s="101"/>
      <c r="BR24" s="101"/>
      <c r="BS24" s="101"/>
      <c r="BT24" s="101"/>
      <c r="BU24" s="101"/>
      <c r="BV24" s="101"/>
      <c r="BW24" s="101"/>
      <c r="BX24" s="101"/>
      <c r="BY24" s="101"/>
      <c r="BZ24" s="101"/>
      <c r="CA24" s="101"/>
      <c r="CB24" s="101"/>
      <c r="CC24" s="101"/>
      <c r="CD24" s="101"/>
      <c r="CE24" s="101"/>
      <c r="CF24" s="101"/>
      <c r="CG24" s="101"/>
      <c r="CH24" s="101"/>
      <c r="CI24" s="101"/>
      <c r="CJ24" s="101"/>
      <c r="CK24" s="101"/>
      <c r="CL24" s="101"/>
      <c r="CM24" s="101"/>
      <c r="CN24" s="101"/>
      <c r="CO24" s="101"/>
      <c r="CP24" s="101"/>
      <c r="CQ24" s="101"/>
      <c r="CR24" s="101"/>
      <c r="CS24" s="101"/>
      <c r="CT24" s="101"/>
      <c r="CU24" s="101"/>
      <c r="CV24" s="101"/>
      <c r="CW24" s="101"/>
      <c r="CX24" s="101"/>
      <c r="CY24" s="101"/>
      <c r="CZ24" s="101"/>
      <c r="DA24" s="101"/>
      <c r="DB24" s="101"/>
      <c r="DC24" s="101"/>
      <c r="DD24" s="101"/>
      <c r="DE24" s="101"/>
      <c r="DF24" s="101"/>
      <c r="DG24" s="101"/>
      <c r="DH24" s="101"/>
      <c r="DI24" s="101"/>
      <c r="DJ24" s="101"/>
      <c r="DK24" s="101"/>
      <c r="DL24" s="101"/>
      <c r="DM24" s="101"/>
      <c r="DN24" s="101"/>
      <c r="DO24" s="101"/>
      <c r="DP24" s="101"/>
      <c r="DQ24" s="101"/>
      <c r="DR24" s="101"/>
      <c r="DS24" s="101"/>
      <c r="DT24" s="101"/>
      <c r="DU24" s="101"/>
      <c r="DV24" s="101"/>
      <c r="DW24" s="101"/>
      <c r="DX24" s="101"/>
    </row>
    <row r="25" spans="2:128">
      <c r="K25" s="73"/>
      <c r="L25" s="73"/>
      <c r="M25" s="73"/>
      <c r="N25" s="73"/>
      <c r="O25" s="73"/>
      <c r="P25" s="73"/>
      <c r="Q25" s="73"/>
      <c r="R25" s="73"/>
    </row>
    <row r="26" spans="2:128" s="7" customFormat="1">
      <c r="D26" s="8"/>
      <c r="E26" s="8" t="s">
        <v>870</v>
      </c>
      <c r="K26" s="81">
        <f>SUM(K17+K24)</f>
        <v>1495633</v>
      </c>
      <c r="L26" s="81">
        <f t="shared" ref="L26:R26" si="3">SUM(L17+L24)</f>
        <v>2723187</v>
      </c>
      <c r="M26" s="81">
        <f t="shared" si="3"/>
        <v>2412273</v>
      </c>
      <c r="N26" s="81">
        <f t="shared" si="3"/>
        <v>319623</v>
      </c>
      <c r="O26" s="81">
        <f t="shared" si="3"/>
        <v>294898</v>
      </c>
      <c r="P26" s="81">
        <f t="shared" si="3"/>
        <v>22017</v>
      </c>
      <c r="Q26" s="81">
        <f t="shared" si="3"/>
        <v>1314322</v>
      </c>
      <c r="R26" s="232">
        <f t="shared" si="3"/>
        <v>8581953</v>
      </c>
      <c r="S26" s="101"/>
      <c r="T26" s="101"/>
      <c r="U26" s="101"/>
      <c r="V26" s="101"/>
      <c r="W26" s="101"/>
      <c r="X26" s="101"/>
      <c r="Y26" s="101"/>
      <c r="Z26" s="101"/>
      <c r="AA26" s="101"/>
      <c r="AB26" s="101"/>
      <c r="AC26" s="101"/>
      <c r="AD26" s="101"/>
      <c r="AE26" s="101"/>
      <c r="AF26" s="101"/>
      <c r="AG26" s="101"/>
      <c r="AH26" s="101"/>
      <c r="AI26" s="101"/>
      <c r="AJ26" s="101"/>
      <c r="AK26" s="101"/>
      <c r="AL26" s="101"/>
      <c r="AM26" s="101"/>
      <c r="AN26" s="101"/>
      <c r="AO26" s="101"/>
      <c r="AP26" s="101"/>
      <c r="AQ26" s="101"/>
      <c r="AR26" s="101"/>
      <c r="AS26" s="101"/>
      <c r="AT26" s="101"/>
      <c r="AU26" s="101"/>
      <c r="AV26" s="101"/>
      <c r="AW26" s="101"/>
      <c r="AX26" s="101"/>
      <c r="AY26" s="101"/>
      <c r="AZ26" s="101"/>
      <c r="BA26" s="101"/>
      <c r="BB26" s="101"/>
      <c r="BC26" s="101"/>
      <c r="BD26" s="101"/>
      <c r="BE26" s="101"/>
      <c r="BF26" s="101"/>
      <c r="BG26" s="101"/>
      <c r="BH26" s="101"/>
      <c r="BI26" s="101"/>
      <c r="BJ26" s="101"/>
      <c r="BK26" s="101"/>
      <c r="BL26" s="101"/>
      <c r="BM26" s="101"/>
      <c r="BN26" s="101"/>
      <c r="BO26" s="101"/>
      <c r="BP26" s="101"/>
      <c r="BQ26" s="101"/>
      <c r="BR26" s="101"/>
      <c r="BS26" s="101"/>
      <c r="BT26" s="101"/>
      <c r="BU26" s="101"/>
      <c r="BV26" s="101"/>
      <c r="BW26" s="101"/>
      <c r="BX26" s="101"/>
      <c r="BY26" s="101"/>
      <c r="BZ26" s="101"/>
      <c r="CA26" s="101"/>
      <c r="CB26" s="101"/>
      <c r="CC26" s="101"/>
      <c r="CD26" s="101"/>
      <c r="CE26" s="101"/>
      <c r="CF26" s="101"/>
      <c r="CG26" s="101"/>
      <c r="CH26" s="101"/>
      <c r="CI26" s="101"/>
      <c r="CJ26" s="101"/>
      <c r="CK26" s="101"/>
      <c r="CL26" s="101"/>
      <c r="CM26" s="101"/>
      <c r="CN26" s="101"/>
      <c r="CO26" s="101"/>
      <c r="CP26" s="101"/>
      <c r="CQ26" s="101"/>
      <c r="CR26" s="101"/>
      <c r="CS26" s="101"/>
      <c r="CT26" s="101"/>
      <c r="CU26" s="101"/>
      <c r="CV26" s="101"/>
      <c r="CW26" s="101"/>
      <c r="CX26" s="101"/>
      <c r="CY26" s="101"/>
      <c r="CZ26" s="101"/>
      <c r="DA26" s="101"/>
      <c r="DB26" s="101"/>
      <c r="DC26" s="101"/>
      <c r="DD26" s="101"/>
      <c r="DE26" s="101"/>
      <c r="DF26" s="101"/>
      <c r="DG26" s="101"/>
      <c r="DH26" s="101"/>
      <c r="DI26" s="101"/>
      <c r="DJ26" s="101"/>
      <c r="DK26" s="101"/>
      <c r="DL26" s="101"/>
      <c r="DM26" s="101"/>
      <c r="DN26" s="101"/>
      <c r="DO26" s="101"/>
      <c r="DP26" s="101"/>
      <c r="DQ26" s="101"/>
      <c r="DR26" s="101"/>
      <c r="DS26" s="101"/>
      <c r="DT26" s="101"/>
      <c r="DU26" s="101"/>
      <c r="DV26" s="101"/>
      <c r="DW26" s="101"/>
      <c r="DX26" s="101"/>
    </row>
  </sheetData>
  <mergeCells count="2">
    <mergeCell ref="D1:K1"/>
    <mergeCell ref="D2:K2"/>
  </mergeCells>
  <pageMargins left="0.7" right="0.7" top="0.75" bottom="0.75" header="0.3" footer="0.3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R36"/>
  <sheetViews>
    <sheetView zoomScaleNormal="100" workbookViewId="0">
      <selection activeCell="N32" sqref="N32"/>
    </sheetView>
  </sheetViews>
  <sheetFormatPr defaultColWidth="8.85546875" defaultRowHeight="15"/>
  <cols>
    <col min="1" max="1" width="3.42578125" customWidth="1"/>
    <col min="2" max="2" width="3.28515625" customWidth="1"/>
    <col min="3" max="4" width="3.42578125" customWidth="1"/>
    <col min="5" max="5" width="3.7109375" customWidth="1"/>
    <col min="6" max="7" width="3.85546875" customWidth="1"/>
    <col min="8" max="9" width="9.140625" customWidth="1"/>
    <col min="10" max="10" width="15.42578125" customWidth="1"/>
    <col min="11" max="11" width="13.140625" customWidth="1"/>
    <col min="12" max="13" width="16.42578125" customWidth="1"/>
    <col min="14" max="14" width="16.140625" customWidth="1"/>
    <col min="15" max="15" width="13.140625" customWidth="1"/>
    <col min="16" max="16" width="19.42578125" customWidth="1"/>
    <col min="17" max="17" width="14.42578125" customWidth="1"/>
    <col min="18" max="18" width="13.85546875" customWidth="1"/>
  </cols>
  <sheetData>
    <row r="1" spans="1:18" ht="18.75">
      <c r="D1" s="253" t="s">
        <v>871</v>
      </c>
      <c r="E1" s="253"/>
      <c r="F1" s="253"/>
      <c r="G1" s="253"/>
      <c r="H1" s="253"/>
      <c r="I1" s="253"/>
      <c r="J1" s="253"/>
      <c r="K1" s="253"/>
    </row>
    <row r="2" spans="1:18">
      <c r="D2" s="254" t="s">
        <v>703</v>
      </c>
      <c r="E2" s="254"/>
      <c r="F2" s="254"/>
      <c r="G2" s="254"/>
      <c r="H2" s="254"/>
      <c r="I2" s="254"/>
      <c r="J2" s="254"/>
      <c r="K2" s="254"/>
    </row>
    <row r="3" spans="1:18" ht="12" customHeight="1">
      <c r="D3" s="57"/>
      <c r="E3" s="57"/>
      <c r="F3" s="57"/>
      <c r="G3" s="57"/>
      <c r="H3" s="57"/>
      <c r="I3" s="57"/>
      <c r="J3" s="57"/>
      <c r="K3" s="254"/>
      <c r="L3" s="254"/>
      <c r="M3" s="254"/>
      <c r="N3" s="254"/>
      <c r="O3" s="202"/>
      <c r="P3" s="202"/>
      <c r="Q3" s="202"/>
    </row>
    <row r="4" spans="1:18" ht="15" customHeight="1">
      <c r="K4" s="181"/>
      <c r="L4" s="181"/>
      <c r="M4" s="181"/>
      <c r="N4" s="181"/>
      <c r="O4" s="181"/>
    </row>
    <row r="5" spans="1:18" ht="45">
      <c r="K5" s="1" t="s">
        <v>2</v>
      </c>
      <c r="L5" s="1" t="s">
        <v>120</v>
      </c>
      <c r="M5" s="1" t="s">
        <v>238</v>
      </c>
      <c r="N5" s="200" t="s">
        <v>872</v>
      </c>
      <c r="O5" s="200" t="s">
        <v>873</v>
      </c>
      <c r="P5" s="200" t="s">
        <v>874</v>
      </c>
      <c r="Q5" s="200" t="s">
        <v>624</v>
      </c>
      <c r="R5" s="200" t="s">
        <v>7</v>
      </c>
    </row>
    <row r="6" spans="1:18">
      <c r="A6" t="s">
        <v>8</v>
      </c>
      <c r="N6" s="201"/>
      <c r="O6" s="201"/>
      <c r="P6" s="201"/>
      <c r="Q6" s="201"/>
    </row>
    <row r="7" spans="1:18">
      <c r="B7" t="s">
        <v>85</v>
      </c>
      <c r="K7" s="72">
        <v>51746</v>
      </c>
      <c r="L7" s="73">
        <v>5964</v>
      </c>
      <c r="M7" s="73">
        <v>2667</v>
      </c>
      <c r="N7" s="90">
        <v>220</v>
      </c>
      <c r="O7" s="90">
        <v>944</v>
      </c>
      <c r="P7" s="90"/>
      <c r="Q7" s="220">
        <v>48798</v>
      </c>
      <c r="R7" s="102">
        <f>SUM(K7:Q7)</f>
        <v>110339</v>
      </c>
    </row>
    <row r="8" spans="1:18">
      <c r="B8" t="s">
        <v>10</v>
      </c>
      <c r="K8" s="77">
        <v>4590803</v>
      </c>
      <c r="L8" s="73">
        <v>112566</v>
      </c>
      <c r="M8" s="73">
        <v>283510</v>
      </c>
      <c r="N8" s="90">
        <v>1875994</v>
      </c>
      <c r="O8" s="90">
        <v>554003</v>
      </c>
      <c r="P8" s="90"/>
      <c r="Q8" s="220">
        <v>3482728</v>
      </c>
      <c r="R8" s="102">
        <f>SUM(K8:Q8)</f>
        <v>10899604</v>
      </c>
    </row>
    <row r="9" spans="1:18">
      <c r="B9" t="s">
        <v>255</v>
      </c>
      <c r="K9" s="124">
        <v>41456</v>
      </c>
      <c r="L9" s="73"/>
      <c r="M9" s="73">
        <v>35203</v>
      </c>
      <c r="N9" s="90">
        <v>62094</v>
      </c>
      <c r="O9" s="90"/>
      <c r="P9" s="90"/>
      <c r="Q9" s="220">
        <v>39963</v>
      </c>
      <c r="R9" s="102">
        <f>SUM(K9:Q9)</f>
        <v>178716</v>
      </c>
    </row>
    <row r="10" spans="1:18">
      <c r="B10" t="s">
        <v>193</v>
      </c>
      <c r="K10" s="73"/>
      <c r="L10" s="73"/>
      <c r="M10" s="73"/>
      <c r="N10" s="90"/>
      <c r="O10" s="90"/>
      <c r="P10" s="90"/>
      <c r="Q10" s="220"/>
      <c r="R10" s="220"/>
    </row>
    <row r="11" spans="1:18">
      <c r="C11" t="s">
        <v>340</v>
      </c>
      <c r="K11" s="74">
        <v>82362</v>
      </c>
      <c r="L11" s="73">
        <v>1000</v>
      </c>
      <c r="M11" s="73"/>
      <c r="N11" s="90"/>
      <c r="O11" s="90">
        <v>3292</v>
      </c>
      <c r="P11" s="90"/>
      <c r="Q11" s="220">
        <v>20670</v>
      </c>
      <c r="R11" s="102">
        <f t="shared" ref="R11:R16" si="0">SUM(K11:Q11)</f>
        <v>107324</v>
      </c>
    </row>
    <row r="12" spans="1:18">
      <c r="C12" t="s">
        <v>341</v>
      </c>
      <c r="K12" s="74">
        <v>152442</v>
      </c>
      <c r="L12" s="73">
        <v>95879</v>
      </c>
      <c r="M12" s="73">
        <v>54292</v>
      </c>
      <c r="N12" s="90"/>
      <c r="O12" s="90"/>
      <c r="P12" s="90"/>
      <c r="Q12" s="220"/>
      <c r="R12" s="102">
        <f t="shared" si="0"/>
        <v>302613</v>
      </c>
    </row>
    <row r="13" spans="1:18">
      <c r="B13" t="s">
        <v>16</v>
      </c>
      <c r="K13" s="75">
        <v>2267295</v>
      </c>
      <c r="L13" s="73">
        <v>196929</v>
      </c>
      <c r="M13" s="73"/>
      <c r="N13" s="90">
        <v>44802</v>
      </c>
      <c r="O13" s="90"/>
      <c r="P13" s="90"/>
      <c r="Q13" s="220">
        <v>325855</v>
      </c>
      <c r="R13" s="102">
        <f t="shared" si="0"/>
        <v>2834881</v>
      </c>
    </row>
    <row r="14" spans="1:18">
      <c r="B14" t="s">
        <v>61</v>
      </c>
      <c r="K14" s="75">
        <v>49978</v>
      </c>
      <c r="L14" s="73"/>
      <c r="M14" s="73"/>
      <c r="N14" s="90">
        <v>88423</v>
      </c>
      <c r="O14" s="90"/>
      <c r="P14" s="90"/>
      <c r="Q14" s="220"/>
      <c r="R14" s="102">
        <f t="shared" si="0"/>
        <v>138401</v>
      </c>
    </row>
    <row r="15" spans="1:18">
      <c r="B15" t="s">
        <v>357</v>
      </c>
      <c r="L15" s="73"/>
      <c r="M15" s="73"/>
      <c r="N15" s="90"/>
      <c r="O15" s="90"/>
      <c r="P15" s="90"/>
      <c r="Q15" s="220"/>
      <c r="R15" s="220"/>
    </row>
    <row r="16" spans="1:18">
      <c r="C16" t="s">
        <v>85</v>
      </c>
      <c r="L16" s="73"/>
      <c r="M16" s="73"/>
      <c r="N16" s="90"/>
      <c r="O16" s="90"/>
      <c r="P16" s="90">
        <v>454</v>
      </c>
      <c r="Q16" s="220"/>
      <c r="R16" s="102">
        <f t="shared" si="0"/>
        <v>454</v>
      </c>
    </row>
    <row r="17" spans="1:18">
      <c r="C17" t="s">
        <v>10</v>
      </c>
      <c r="L17" s="73"/>
      <c r="M17" s="73"/>
      <c r="N17" s="90"/>
      <c r="O17" s="90"/>
      <c r="P17" s="90">
        <v>194693</v>
      </c>
      <c r="Q17" s="220">
        <v>207957</v>
      </c>
      <c r="R17" s="102">
        <f>SUM(K17:Q17)</f>
        <v>402650</v>
      </c>
    </row>
    <row r="18" spans="1:18">
      <c r="K18" s="93"/>
      <c r="L18" s="93"/>
      <c r="M18" s="93"/>
      <c r="N18" s="219"/>
      <c r="O18" s="219"/>
      <c r="P18" s="219"/>
      <c r="Q18" s="221"/>
      <c r="R18" s="151"/>
    </row>
    <row r="19" spans="1:18" s="3" customFormat="1">
      <c r="A19" s="2"/>
      <c r="B19" s="2"/>
      <c r="C19" s="2"/>
      <c r="D19" s="2"/>
      <c r="E19" s="2" t="s">
        <v>64</v>
      </c>
      <c r="K19" s="76">
        <f t="shared" ref="K19:Q19" si="1">SUM(K7:K17)</f>
        <v>7236082</v>
      </c>
      <c r="L19" s="76">
        <f t="shared" si="1"/>
        <v>412338</v>
      </c>
      <c r="M19" s="76">
        <f t="shared" si="1"/>
        <v>375672</v>
      </c>
      <c r="N19" s="76">
        <f t="shared" si="1"/>
        <v>2071533</v>
      </c>
      <c r="O19" s="76">
        <f t="shared" si="1"/>
        <v>558239</v>
      </c>
      <c r="P19" s="76">
        <f t="shared" si="1"/>
        <v>195147</v>
      </c>
      <c r="Q19" s="222">
        <f t="shared" si="1"/>
        <v>4125971</v>
      </c>
      <c r="R19" s="222">
        <f>SUM(R7:R17)</f>
        <v>14974982</v>
      </c>
    </row>
    <row r="20" spans="1:18">
      <c r="K20" s="73"/>
      <c r="L20" s="73"/>
      <c r="M20" s="73"/>
      <c r="N20" s="73"/>
      <c r="O20" s="73"/>
      <c r="P20" s="73"/>
      <c r="Q20" s="102"/>
      <c r="R20" s="102"/>
    </row>
    <row r="21" spans="1:18">
      <c r="A21" s="4" t="s">
        <v>160</v>
      </c>
      <c r="K21" s="73"/>
      <c r="L21" s="73"/>
      <c r="M21" s="73"/>
      <c r="N21" s="73"/>
      <c r="O21" s="73"/>
      <c r="P21" s="73"/>
    </row>
    <row r="22" spans="1:18">
      <c r="C22" t="s">
        <v>719</v>
      </c>
      <c r="K22" s="77">
        <v>256434</v>
      </c>
      <c r="L22" s="73">
        <v>3409</v>
      </c>
      <c r="M22" s="73">
        <v>64170</v>
      </c>
      <c r="N22" s="73">
        <v>5925</v>
      </c>
      <c r="O22" s="73">
        <v>24602</v>
      </c>
      <c r="P22" s="73"/>
      <c r="Q22" s="73">
        <v>103216</v>
      </c>
      <c r="R22" s="73">
        <f t="shared" ref="R22:R24" si="2">SUM(K22:Q22)</f>
        <v>457756</v>
      </c>
    </row>
    <row r="23" spans="1:18">
      <c r="C23" t="s">
        <v>875</v>
      </c>
      <c r="K23" s="82">
        <v>73808</v>
      </c>
      <c r="L23" s="73"/>
      <c r="M23" s="73">
        <v>11644</v>
      </c>
      <c r="N23" s="73">
        <v>16753</v>
      </c>
      <c r="O23" s="73">
        <v>1077</v>
      </c>
      <c r="P23" s="73"/>
      <c r="Q23" s="73">
        <v>8236</v>
      </c>
      <c r="R23" s="73">
        <f t="shared" si="2"/>
        <v>111518</v>
      </c>
    </row>
    <row r="24" spans="1:18">
      <c r="C24" t="s">
        <v>25</v>
      </c>
      <c r="K24" s="78">
        <v>409301</v>
      </c>
      <c r="L24" s="73">
        <v>17250</v>
      </c>
      <c r="M24" s="73">
        <v>369417</v>
      </c>
      <c r="N24" s="73">
        <v>1220233</v>
      </c>
      <c r="O24" s="73">
        <v>453919</v>
      </c>
      <c r="P24" s="73">
        <v>174120</v>
      </c>
      <c r="Q24" s="73">
        <v>223702</v>
      </c>
      <c r="R24" s="73">
        <f t="shared" si="2"/>
        <v>2867942</v>
      </c>
    </row>
    <row r="25" spans="1:18">
      <c r="K25" s="93"/>
      <c r="L25" s="93"/>
      <c r="M25" s="93"/>
      <c r="N25" s="93"/>
      <c r="O25" s="93"/>
      <c r="P25" s="93"/>
      <c r="Q25" s="94"/>
      <c r="R25" s="94"/>
    </row>
    <row r="26" spans="1:18" s="5" customFormat="1">
      <c r="B26" s="6"/>
      <c r="C26" s="6"/>
      <c r="D26" s="6"/>
      <c r="E26" s="6" t="s">
        <v>26</v>
      </c>
      <c r="K26" s="79">
        <f t="shared" ref="K26:R26" si="3">SUM(K22:K24)</f>
        <v>739543</v>
      </c>
      <c r="L26" s="79">
        <f t="shared" si="3"/>
        <v>20659</v>
      </c>
      <c r="M26" s="79">
        <f t="shared" si="3"/>
        <v>445231</v>
      </c>
      <c r="N26" s="79">
        <f t="shared" si="3"/>
        <v>1242911</v>
      </c>
      <c r="O26" s="79">
        <f t="shared" si="3"/>
        <v>479598</v>
      </c>
      <c r="P26" s="79">
        <f t="shared" si="3"/>
        <v>174120</v>
      </c>
      <c r="Q26" s="79">
        <f t="shared" si="3"/>
        <v>335154</v>
      </c>
      <c r="R26" s="79">
        <f t="shared" si="3"/>
        <v>3437216</v>
      </c>
    </row>
    <row r="27" spans="1:18">
      <c r="K27" s="73"/>
      <c r="L27" s="73"/>
      <c r="M27" s="73"/>
      <c r="N27" s="73"/>
      <c r="O27" s="73"/>
      <c r="P27" s="73"/>
    </row>
    <row r="28" spans="1:18">
      <c r="B28" t="s">
        <v>876</v>
      </c>
      <c r="K28" s="73"/>
      <c r="L28" s="73"/>
      <c r="M28" s="73"/>
      <c r="N28" s="73"/>
      <c r="O28" s="73"/>
      <c r="P28" s="73"/>
    </row>
    <row r="29" spans="1:18">
      <c r="C29" t="s">
        <v>145</v>
      </c>
      <c r="K29" s="80">
        <v>41456</v>
      </c>
      <c r="L29" s="73"/>
      <c r="M29" s="73">
        <v>35203</v>
      </c>
      <c r="N29" s="73">
        <v>62094</v>
      </c>
      <c r="O29" s="73"/>
      <c r="P29" s="73"/>
      <c r="Q29">
        <v>39963</v>
      </c>
      <c r="R29" s="73">
        <f t="shared" ref="R29:R32" si="4">SUM(K29:Q29)</f>
        <v>178716</v>
      </c>
    </row>
    <row r="30" spans="1:18">
      <c r="C30" t="s">
        <v>244</v>
      </c>
      <c r="K30" s="73"/>
      <c r="L30" s="73">
        <v>391679</v>
      </c>
      <c r="M30" s="73"/>
      <c r="N30" s="73">
        <v>766528</v>
      </c>
      <c r="O30" s="73">
        <v>78641</v>
      </c>
      <c r="P30" s="73">
        <v>21027</v>
      </c>
      <c r="Q30" s="102">
        <v>3750854</v>
      </c>
      <c r="R30" s="73">
        <f t="shared" si="4"/>
        <v>5008729</v>
      </c>
    </row>
    <row r="31" spans="1:18">
      <c r="C31" t="s">
        <v>331</v>
      </c>
      <c r="K31" s="100">
        <v>2569266</v>
      </c>
      <c r="L31" s="73"/>
      <c r="M31" s="73"/>
      <c r="N31" s="73"/>
      <c r="O31" s="73"/>
      <c r="P31" s="73"/>
      <c r="Q31" s="102"/>
      <c r="R31" s="73">
        <f t="shared" si="4"/>
        <v>2569266</v>
      </c>
    </row>
    <row r="32" spans="1:18">
      <c r="C32" t="s">
        <v>877</v>
      </c>
      <c r="K32" s="84">
        <v>3885817</v>
      </c>
      <c r="L32" s="73"/>
      <c r="M32" s="73">
        <v>-104762</v>
      </c>
      <c r="N32" s="73"/>
      <c r="O32" s="73"/>
      <c r="P32" s="73"/>
      <c r="Q32" s="102"/>
      <c r="R32" s="73">
        <f t="shared" si="4"/>
        <v>3781055</v>
      </c>
    </row>
    <row r="33" spans="4:18">
      <c r="K33" s="93"/>
      <c r="L33" s="93"/>
      <c r="M33" s="93"/>
      <c r="N33" s="93"/>
      <c r="O33" s="93"/>
      <c r="P33" s="93"/>
      <c r="Q33" s="94"/>
      <c r="R33" s="94"/>
    </row>
    <row r="34" spans="4:18" s="5" customFormat="1">
      <c r="D34" s="6"/>
      <c r="E34" s="6" t="s">
        <v>78</v>
      </c>
      <c r="K34" s="203">
        <f t="shared" ref="K34:R34" si="5">SUM(K29:K32)</f>
        <v>6496539</v>
      </c>
      <c r="L34" s="203">
        <f t="shared" si="5"/>
        <v>391679</v>
      </c>
      <c r="M34" s="203">
        <f t="shared" si="5"/>
        <v>-69559</v>
      </c>
      <c r="N34" s="203">
        <f t="shared" si="5"/>
        <v>828622</v>
      </c>
      <c r="O34" s="203">
        <f t="shared" si="5"/>
        <v>78641</v>
      </c>
      <c r="P34" s="203">
        <f t="shared" si="5"/>
        <v>21027</v>
      </c>
      <c r="Q34" s="203">
        <f t="shared" si="5"/>
        <v>3790817</v>
      </c>
      <c r="R34" s="203">
        <f t="shared" si="5"/>
        <v>11537766</v>
      </c>
    </row>
    <row r="35" spans="4:18">
      <c r="K35" s="73"/>
      <c r="L35" s="73"/>
      <c r="M35" s="73"/>
      <c r="N35" s="73"/>
      <c r="O35" s="73"/>
      <c r="P35" s="73"/>
    </row>
    <row r="36" spans="4:18" s="7" customFormat="1">
      <c r="D36" s="8"/>
      <c r="E36" s="8" t="s">
        <v>50</v>
      </c>
      <c r="K36" s="81">
        <f>SUM(K34+K26)</f>
        <v>7236082</v>
      </c>
      <c r="L36" s="81">
        <f>SUM(L34,L26,)</f>
        <v>412338</v>
      </c>
      <c r="M36" s="81">
        <f>SUM(M34,M26,)</f>
        <v>375672</v>
      </c>
      <c r="N36" s="81">
        <f>SUM(N34,N26,)</f>
        <v>2071533</v>
      </c>
      <c r="O36" s="81">
        <f>SUM(O34,O26,)</f>
        <v>558239</v>
      </c>
      <c r="P36" s="81">
        <f>SUM(P34,P26,)</f>
        <v>195147</v>
      </c>
      <c r="Q36" s="103">
        <f>SUM(Q34+Q26)</f>
        <v>4125971</v>
      </c>
      <c r="R36" s="103">
        <f>SUM(R34+R26)</f>
        <v>14974982</v>
      </c>
    </row>
  </sheetData>
  <mergeCells count="3">
    <mergeCell ref="D1:K1"/>
    <mergeCell ref="D2:K2"/>
    <mergeCell ref="K3:N3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92D050"/>
  </sheetPr>
  <dimension ref="A1:U35"/>
  <sheetViews>
    <sheetView topLeftCell="A22" zoomScaleNormal="100" workbookViewId="0">
      <selection activeCell="O35" sqref="O35"/>
    </sheetView>
  </sheetViews>
  <sheetFormatPr defaultColWidth="8.85546875" defaultRowHeight="15"/>
  <cols>
    <col min="1" max="1" width="5.140625" customWidth="1"/>
    <col min="2" max="2" width="7.85546875" customWidth="1"/>
    <col min="9" max="9" width="15.7109375" customWidth="1"/>
    <col min="10" max="10" width="13.42578125" customWidth="1"/>
    <col min="11" max="11" width="14.7109375" customWidth="1"/>
    <col min="12" max="12" width="14.85546875" customWidth="1"/>
    <col min="13" max="13" width="11.42578125" customWidth="1"/>
    <col min="14" max="14" width="14.140625" customWidth="1"/>
    <col min="15" max="15" width="14.28515625" customWidth="1"/>
    <col min="16" max="16" width="18.42578125" customWidth="1"/>
  </cols>
  <sheetData>
    <row r="1" spans="1:21" ht="18.75">
      <c r="D1" s="253" t="s">
        <v>878</v>
      </c>
      <c r="E1" s="253"/>
      <c r="F1" s="253"/>
      <c r="G1" s="253"/>
      <c r="H1" s="253"/>
      <c r="I1" s="253"/>
    </row>
    <row r="2" spans="1:21">
      <c r="D2" s="254" t="s">
        <v>1</v>
      </c>
      <c r="E2" s="254"/>
      <c r="F2" s="254"/>
      <c r="G2" s="254"/>
      <c r="H2" s="254"/>
      <c r="I2" s="254"/>
    </row>
    <row r="3" spans="1:21">
      <c r="D3" s="57"/>
      <c r="E3" s="57"/>
      <c r="F3" s="57"/>
      <c r="G3" s="57"/>
      <c r="H3" s="57"/>
      <c r="I3" s="57"/>
    </row>
    <row r="4" spans="1:21" ht="45">
      <c r="I4" s="1" t="s">
        <v>2</v>
      </c>
      <c r="J4" s="1" t="s">
        <v>293</v>
      </c>
      <c r="K4" s="1" t="s">
        <v>490</v>
      </c>
      <c r="L4" s="1" t="s">
        <v>482</v>
      </c>
      <c r="M4" s="1" t="s">
        <v>4</v>
      </c>
      <c r="N4" s="1" t="s">
        <v>6</v>
      </c>
      <c r="O4" s="1" t="s">
        <v>879</v>
      </c>
      <c r="P4" s="1" t="s">
        <v>880</v>
      </c>
    </row>
    <row r="5" spans="1:21">
      <c r="A5" t="s">
        <v>8</v>
      </c>
    </row>
    <row r="6" spans="1:21">
      <c r="B6" t="s">
        <v>85</v>
      </c>
      <c r="I6" s="72">
        <v>72094</v>
      </c>
      <c r="J6" s="61">
        <v>81328</v>
      </c>
      <c r="K6" s="73">
        <v>349340</v>
      </c>
      <c r="L6" s="73">
        <v>1092840</v>
      </c>
      <c r="M6" s="73">
        <v>700118</v>
      </c>
      <c r="N6" s="73">
        <v>193163</v>
      </c>
      <c r="O6" s="247">
        <f>SUM(I6:N6)</f>
        <v>2488883</v>
      </c>
      <c r="P6" s="73">
        <v>1954725</v>
      </c>
      <c r="R6" s="249"/>
      <c r="S6" s="249"/>
      <c r="T6" s="249"/>
      <c r="U6" s="249"/>
    </row>
    <row r="7" spans="1:21">
      <c r="B7" t="s">
        <v>60</v>
      </c>
      <c r="I7" s="74">
        <v>457941</v>
      </c>
      <c r="J7" s="73">
        <v>1199175</v>
      </c>
      <c r="K7" s="73">
        <v>186088</v>
      </c>
      <c r="L7" s="73">
        <v>462496</v>
      </c>
      <c r="M7" s="73">
        <v>340398</v>
      </c>
      <c r="N7" s="73">
        <v>269875</v>
      </c>
      <c r="O7" s="73">
        <f>SUM(I7:N7)</f>
        <v>2915973</v>
      </c>
      <c r="P7" s="73">
        <v>2232420</v>
      </c>
      <c r="R7" s="249"/>
      <c r="S7" s="250" t="s">
        <v>881</v>
      </c>
      <c r="T7" s="249"/>
      <c r="U7" s="249"/>
    </row>
    <row r="8" spans="1:21">
      <c r="B8" t="s">
        <v>251</v>
      </c>
      <c r="I8" s="74">
        <v>17428</v>
      </c>
      <c r="J8" s="73"/>
      <c r="K8" s="73"/>
      <c r="L8" s="73"/>
      <c r="M8" s="73"/>
      <c r="N8" s="73"/>
      <c r="O8" s="73">
        <f t="shared" ref="O8:O9" si="0">SUM(I8:N8)</f>
        <v>17428</v>
      </c>
      <c r="P8" s="73">
        <v>450893</v>
      </c>
      <c r="R8" s="249"/>
      <c r="S8" s="249"/>
      <c r="T8" s="249"/>
      <c r="U8" s="249"/>
    </row>
    <row r="9" spans="1:21">
      <c r="B9" t="s">
        <v>47</v>
      </c>
      <c r="J9" s="73"/>
      <c r="K9" s="73"/>
      <c r="L9" s="73"/>
      <c r="M9" s="73"/>
      <c r="N9" s="73"/>
      <c r="O9" s="73">
        <f t="shared" si="0"/>
        <v>0</v>
      </c>
      <c r="P9" s="73"/>
    </row>
    <row r="10" spans="1:21">
      <c r="I10" s="93"/>
      <c r="J10" s="93"/>
      <c r="K10" s="93"/>
      <c r="L10" s="93"/>
      <c r="M10" s="93"/>
      <c r="N10" s="93"/>
      <c r="O10" s="93"/>
      <c r="P10" s="93"/>
    </row>
    <row r="11" spans="1:21">
      <c r="A11" s="2"/>
      <c r="B11" s="2"/>
      <c r="C11" s="2"/>
      <c r="D11" s="114"/>
      <c r="E11" s="2" t="s">
        <v>64</v>
      </c>
      <c r="F11" s="3"/>
      <c r="G11" s="3"/>
      <c r="H11" s="3"/>
      <c r="I11" s="76">
        <f>SUM(I6:I8)</f>
        <v>547463</v>
      </c>
      <c r="J11" s="76">
        <f>SUM(J7:J8)</f>
        <v>1199175</v>
      </c>
      <c r="K11" s="76">
        <f t="shared" ref="K11:P11" si="1">SUM(K6:K8)</f>
        <v>535428</v>
      </c>
      <c r="L11" s="76">
        <f t="shared" si="1"/>
        <v>1555336</v>
      </c>
      <c r="M11" s="76">
        <f t="shared" si="1"/>
        <v>1040516</v>
      </c>
      <c r="N11" s="76">
        <f t="shared" si="1"/>
        <v>463038</v>
      </c>
      <c r="O11" s="232">
        <f t="shared" si="1"/>
        <v>5422284</v>
      </c>
      <c r="P11" s="76">
        <f t="shared" si="1"/>
        <v>4638038</v>
      </c>
    </row>
    <row r="12" spans="1:21">
      <c r="I12" s="73"/>
      <c r="J12" s="73"/>
      <c r="K12" s="73"/>
      <c r="L12" s="73"/>
      <c r="M12" s="73"/>
      <c r="N12" s="73"/>
      <c r="O12" s="73"/>
      <c r="P12" s="73"/>
    </row>
    <row r="13" spans="1:21">
      <c r="A13" s="4" t="s">
        <v>19</v>
      </c>
      <c r="I13" s="73"/>
      <c r="J13" s="73"/>
      <c r="K13" s="73"/>
      <c r="L13" s="73"/>
      <c r="M13" s="73"/>
      <c r="N13" s="73"/>
      <c r="O13" s="73"/>
      <c r="P13" s="73"/>
    </row>
    <row r="14" spans="1:21">
      <c r="B14" t="s">
        <v>20</v>
      </c>
      <c r="I14" s="73"/>
      <c r="J14" s="73"/>
      <c r="K14" s="73"/>
      <c r="M14" s="73"/>
      <c r="N14" s="73"/>
      <c r="O14" s="73"/>
      <c r="P14" s="73"/>
    </row>
    <row r="15" spans="1:21">
      <c r="C15" t="s">
        <v>21</v>
      </c>
      <c r="I15" s="77">
        <v>177145</v>
      </c>
      <c r="J15" s="73">
        <v>947371</v>
      </c>
      <c r="K15">
        <v>11965</v>
      </c>
      <c r="L15" s="73">
        <v>24202</v>
      </c>
      <c r="M15" s="73">
        <v>73202</v>
      </c>
      <c r="N15" s="73">
        <v>1758</v>
      </c>
      <c r="O15" s="73">
        <f>SUM(I15:N15)</f>
        <v>1235643</v>
      </c>
      <c r="P15" s="73">
        <v>232973</v>
      </c>
    </row>
    <row r="16" spans="1:21">
      <c r="C16" t="s">
        <v>254</v>
      </c>
      <c r="I16" s="73"/>
      <c r="J16" s="73"/>
      <c r="L16" s="73"/>
      <c r="M16" s="73"/>
      <c r="N16" s="73">
        <v>17428</v>
      </c>
      <c r="O16" s="73">
        <f>SUM(I16:N16)</f>
        <v>17428</v>
      </c>
      <c r="P16" s="73">
        <v>450893</v>
      </c>
    </row>
    <row r="17" spans="1:16">
      <c r="I17" s="93"/>
      <c r="J17" s="93"/>
      <c r="K17" s="93"/>
      <c r="L17" s="93"/>
      <c r="M17" s="93"/>
      <c r="N17" s="93"/>
      <c r="O17" s="93"/>
      <c r="P17" s="93"/>
    </row>
    <row r="18" spans="1:16">
      <c r="A18" s="5"/>
      <c r="B18" s="115"/>
      <c r="C18" s="6"/>
      <c r="D18" s="6"/>
      <c r="E18" s="6" t="s">
        <v>26</v>
      </c>
      <c r="F18" s="5"/>
      <c r="G18" s="5"/>
      <c r="H18" s="5"/>
      <c r="I18" s="79">
        <f>SUM(I15:I16)</f>
        <v>177145</v>
      </c>
      <c r="J18" s="79">
        <f t="shared" ref="J18:P18" si="2">SUM(J15:J16)</f>
        <v>947371</v>
      </c>
      <c r="K18" s="79">
        <f t="shared" si="2"/>
        <v>11965</v>
      </c>
      <c r="L18" s="79">
        <f t="shared" si="2"/>
        <v>24202</v>
      </c>
      <c r="M18" s="79">
        <f t="shared" si="2"/>
        <v>73202</v>
      </c>
      <c r="N18" s="79">
        <f t="shared" si="2"/>
        <v>19186</v>
      </c>
      <c r="O18" s="79">
        <f t="shared" si="2"/>
        <v>1253071</v>
      </c>
      <c r="P18" s="79">
        <f t="shared" si="2"/>
        <v>683866</v>
      </c>
    </row>
    <row r="19" spans="1:16">
      <c r="I19" s="73"/>
      <c r="J19" s="73"/>
      <c r="K19" s="73"/>
      <c r="L19" s="73"/>
      <c r="M19" s="73"/>
      <c r="N19" s="73"/>
      <c r="O19" s="73"/>
      <c r="P19" s="73"/>
    </row>
    <row r="20" spans="1:16">
      <c r="A20" s="71" t="s">
        <v>882</v>
      </c>
      <c r="I20" s="99"/>
      <c r="J20" s="73"/>
      <c r="K20" s="73"/>
      <c r="L20" s="73"/>
      <c r="M20" s="73"/>
      <c r="N20" s="73">
        <v>30859</v>
      </c>
      <c r="O20" s="73">
        <f>SUM(I20:N20)</f>
        <v>30859</v>
      </c>
      <c r="P20" s="73">
        <v>13144</v>
      </c>
    </row>
    <row r="21" spans="1:16">
      <c r="I21" s="93"/>
      <c r="J21" s="93"/>
      <c r="K21" s="93"/>
      <c r="L21" s="93"/>
      <c r="M21" s="93"/>
      <c r="N21" s="93"/>
      <c r="O21" s="93"/>
      <c r="P21" s="93"/>
    </row>
    <row r="22" spans="1:16">
      <c r="A22" t="s">
        <v>30</v>
      </c>
      <c r="I22" s="73"/>
      <c r="J22" s="73"/>
      <c r="K22" s="73"/>
      <c r="L22" s="73"/>
      <c r="M22" s="73"/>
      <c r="N22" s="73"/>
      <c r="O22" s="73"/>
      <c r="P22" s="73"/>
    </row>
    <row r="23" spans="1:16">
      <c r="A23" t="s">
        <v>31</v>
      </c>
      <c r="I23" s="73"/>
      <c r="J23" s="73"/>
      <c r="L23" s="73"/>
      <c r="M23" s="73"/>
      <c r="N23" s="73"/>
      <c r="O23" s="73"/>
      <c r="P23" s="73"/>
    </row>
    <row r="24" spans="1:16">
      <c r="B24" t="s">
        <v>70</v>
      </c>
      <c r="I24" s="90"/>
      <c r="J24" s="73"/>
      <c r="K24" s="73"/>
      <c r="L24" s="73"/>
      <c r="M24" s="73"/>
      <c r="N24" s="73">
        <v>7977</v>
      </c>
      <c r="O24" s="73">
        <f>SUM(I24:N24)</f>
        <v>7977</v>
      </c>
      <c r="P24" s="73">
        <v>16236</v>
      </c>
    </row>
    <row r="25" spans="1:16">
      <c r="B25" t="s">
        <v>147</v>
      </c>
      <c r="I25" s="90"/>
      <c r="J25" s="73"/>
      <c r="K25" s="73">
        <v>523463</v>
      </c>
      <c r="M25" s="73"/>
      <c r="N25" s="73"/>
      <c r="O25" s="73">
        <f t="shared" ref="O25:O31" si="3">SUM(I25:N25)</f>
        <v>523463</v>
      </c>
      <c r="P25" s="73">
        <v>484861</v>
      </c>
    </row>
    <row r="26" spans="1:16">
      <c r="B26" t="s">
        <v>115</v>
      </c>
      <c r="I26" s="73"/>
      <c r="K26" s="73"/>
      <c r="L26" s="73">
        <v>1531134</v>
      </c>
      <c r="N26" s="73"/>
      <c r="O26" s="73">
        <f t="shared" si="3"/>
        <v>1531134</v>
      </c>
      <c r="P26" s="73">
        <v>1464389</v>
      </c>
    </row>
    <row r="27" spans="1:16">
      <c r="B27" t="s">
        <v>883</v>
      </c>
      <c r="I27" s="73"/>
      <c r="J27" s="73">
        <v>333132</v>
      </c>
      <c r="K27" s="73"/>
      <c r="L27" s="73"/>
      <c r="M27" s="73">
        <v>967315</v>
      </c>
      <c r="N27" s="73"/>
      <c r="O27" s="73">
        <f t="shared" si="3"/>
        <v>1300447</v>
      </c>
      <c r="P27" s="73">
        <v>993985</v>
      </c>
    </row>
    <row r="28" spans="1:16">
      <c r="B28" t="s">
        <v>884</v>
      </c>
      <c r="I28" s="73"/>
      <c r="J28" s="73"/>
      <c r="K28" s="73"/>
      <c r="L28" s="73"/>
      <c r="M28" s="73"/>
      <c r="N28" s="73"/>
      <c r="O28" s="73"/>
      <c r="P28" s="73"/>
    </row>
    <row r="29" spans="1:16">
      <c r="B29" t="s">
        <v>74</v>
      </c>
      <c r="I29" s="73"/>
      <c r="J29" s="73"/>
      <c r="K29" s="73"/>
      <c r="L29" s="73"/>
      <c r="M29" s="73"/>
      <c r="N29" s="73">
        <v>405015</v>
      </c>
      <c r="O29" s="73">
        <v>405015</v>
      </c>
      <c r="P29" s="73">
        <v>368276</v>
      </c>
    </row>
    <row r="30" spans="1:16">
      <c r="B30" t="s">
        <v>381</v>
      </c>
      <c r="I30" s="73"/>
      <c r="J30" s="73"/>
      <c r="K30" s="73"/>
      <c r="L30" s="73"/>
      <c r="M30" s="73"/>
      <c r="N30" s="73"/>
      <c r="O30" s="73">
        <f t="shared" si="3"/>
        <v>0</v>
      </c>
      <c r="P30" s="73">
        <v>22</v>
      </c>
    </row>
    <row r="31" spans="1:16">
      <c r="A31" t="s">
        <v>77</v>
      </c>
      <c r="I31" s="84">
        <v>370318</v>
      </c>
      <c r="J31" s="73"/>
      <c r="K31" s="73"/>
      <c r="L31" s="73"/>
      <c r="M31" s="73"/>
      <c r="N31" s="73"/>
      <c r="O31" s="73">
        <f t="shared" si="3"/>
        <v>370318</v>
      </c>
      <c r="P31" s="73">
        <v>613260</v>
      </c>
    </row>
    <row r="32" spans="1:16">
      <c r="I32" s="93"/>
      <c r="J32" s="93"/>
      <c r="K32" s="93"/>
      <c r="L32" s="93"/>
      <c r="M32" s="93"/>
      <c r="N32" s="93"/>
      <c r="O32" s="93"/>
      <c r="P32" s="93"/>
    </row>
    <row r="33" spans="1:16">
      <c r="A33" s="5"/>
      <c r="B33" s="5"/>
      <c r="C33" s="5"/>
      <c r="D33" s="6"/>
      <c r="E33" s="6" t="s">
        <v>78</v>
      </c>
      <c r="F33" s="5"/>
      <c r="G33" s="5"/>
      <c r="H33" s="5"/>
      <c r="I33" s="79">
        <f>I31</f>
        <v>370318</v>
      </c>
      <c r="J33" s="79">
        <f>SUM(J23:J27)</f>
        <v>333132</v>
      </c>
      <c r="K33" s="79">
        <f>SUM(K24:K27)</f>
        <v>523463</v>
      </c>
      <c r="L33" s="79">
        <f t="shared" ref="L33" si="4">SUM(L23:L27)</f>
        <v>1531134</v>
      </c>
      <c r="M33" s="79">
        <f>SUM(M23:M27)</f>
        <v>967315</v>
      </c>
      <c r="N33" s="79">
        <f>SUM(N23:N31)</f>
        <v>412992</v>
      </c>
      <c r="O33" s="79">
        <f>SUM(O23:O31)</f>
        <v>4138354</v>
      </c>
      <c r="P33" s="79">
        <f>SUM(P24:P31)</f>
        <v>3941029</v>
      </c>
    </row>
    <row r="34" spans="1:16">
      <c r="I34" s="73"/>
      <c r="J34" s="73"/>
      <c r="K34" s="73"/>
      <c r="L34" s="73"/>
      <c r="M34" s="73"/>
      <c r="N34" s="73"/>
      <c r="O34" s="73"/>
      <c r="P34" s="73"/>
    </row>
    <row r="35" spans="1:16">
      <c r="A35" s="7"/>
      <c r="B35" s="7"/>
      <c r="C35" s="7"/>
      <c r="D35" s="8"/>
      <c r="E35" s="8" t="s">
        <v>50</v>
      </c>
      <c r="F35" s="7"/>
      <c r="G35" s="7"/>
      <c r="H35" s="7"/>
      <c r="I35" s="81">
        <f t="shared" ref="I35:O35" si="5">I18+I33+I20</f>
        <v>547463</v>
      </c>
      <c r="J35" s="81">
        <f t="shared" si="5"/>
        <v>1280503</v>
      </c>
      <c r="K35" s="81">
        <f t="shared" si="5"/>
        <v>535428</v>
      </c>
      <c r="L35" s="81">
        <f t="shared" si="5"/>
        <v>1555336</v>
      </c>
      <c r="M35" s="81">
        <f t="shared" si="5"/>
        <v>1040517</v>
      </c>
      <c r="N35" s="81">
        <f t="shared" si="5"/>
        <v>463037</v>
      </c>
      <c r="O35" s="232">
        <f t="shared" si="5"/>
        <v>5422284</v>
      </c>
      <c r="P35" s="81">
        <f>P18+P33+P20</f>
        <v>4638039</v>
      </c>
    </row>
  </sheetData>
  <mergeCells count="2">
    <mergeCell ref="D1:I1"/>
    <mergeCell ref="D2:I2"/>
  </mergeCells>
  <pageMargins left="0.7" right="0.7" top="0.75" bottom="0.75" header="0.3" footer="0.3"/>
  <pageSetup orientation="portrait" r:id="rId1"/>
  <extLst>
    <ext xmlns:mx="http://schemas.microsoft.com/office/mac/excel/2008/main" uri="{64002731-A6B0-56B0-2670-7721B7C09600}">
      <mx:PLV Mode="0" OnePage="0" WScale="0"/>
    </ext>
  </extLst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AA73"/>
  <sheetViews>
    <sheetView topLeftCell="A23" zoomScale="60" zoomScaleNormal="60" workbookViewId="0">
      <selection activeCell="A36" sqref="A36:XFD36"/>
    </sheetView>
  </sheetViews>
  <sheetFormatPr defaultColWidth="8.85546875" defaultRowHeight="15"/>
  <cols>
    <col min="1" max="1" width="21.42578125" customWidth="1"/>
    <col min="2" max="2" width="16.7109375" customWidth="1"/>
    <col min="3" max="3" width="15.85546875" customWidth="1"/>
    <col min="4" max="4" width="15.140625" customWidth="1"/>
    <col min="5" max="5" width="12.28515625" customWidth="1"/>
    <col min="6" max="6" width="14.42578125" bestFit="1" customWidth="1"/>
    <col min="7" max="7" width="15.42578125" customWidth="1"/>
    <col min="8" max="8" width="15.140625" bestFit="1" customWidth="1"/>
    <col min="9" max="9" width="22.42578125" customWidth="1"/>
    <col min="10" max="10" width="11.42578125" bestFit="1" customWidth="1"/>
    <col min="11" max="11" width="16" customWidth="1"/>
    <col min="12" max="12" width="18.140625" bestFit="1" customWidth="1"/>
    <col min="13" max="13" width="18.85546875" bestFit="1" customWidth="1"/>
    <col min="14" max="14" width="18.42578125" bestFit="1" customWidth="1"/>
    <col min="15" max="15" width="24.42578125" bestFit="1" customWidth="1"/>
    <col min="16" max="16" width="17" bestFit="1" customWidth="1"/>
    <col min="17" max="17" width="23.42578125" bestFit="1" customWidth="1"/>
    <col min="18" max="18" width="11.42578125" bestFit="1" customWidth="1"/>
    <col min="19" max="19" width="15.85546875" customWidth="1"/>
    <col min="20" max="20" width="18.140625" bestFit="1" customWidth="1"/>
    <col min="21" max="21" width="16.85546875" bestFit="1" customWidth="1"/>
    <col min="22" max="22" width="26.42578125" bestFit="1" customWidth="1"/>
    <col min="23" max="23" width="29.140625" bestFit="1" customWidth="1"/>
    <col min="24" max="24" width="28.85546875" bestFit="1" customWidth="1"/>
    <col min="25" max="25" width="43.42578125" bestFit="1" customWidth="1"/>
    <col min="26" max="26" width="11.42578125" bestFit="1" customWidth="1"/>
    <col min="27" max="27" width="17.42578125" customWidth="1"/>
  </cols>
  <sheetData>
    <row r="1" spans="1:27" ht="16.5" customHeight="1" thickBot="1">
      <c r="A1" s="9" t="s">
        <v>885</v>
      </c>
      <c r="B1" s="10"/>
      <c r="C1" s="10"/>
      <c r="D1" s="10"/>
      <c r="E1" s="10"/>
      <c r="F1" s="10"/>
      <c r="G1" s="10"/>
      <c r="H1" s="10"/>
      <c r="I1" s="10"/>
      <c r="J1" s="11"/>
      <c r="K1" s="12"/>
      <c r="L1" s="12"/>
      <c r="M1" s="13"/>
      <c r="N1" s="13"/>
      <c r="O1" s="13"/>
      <c r="P1" s="14"/>
      <c r="Q1" s="13"/>
      <c r="R1" s="11"/>
      <c r="S1" s="12"/>
      <c r="T1" s="12"/>
      <c r="U1" s="15"/>
      <c r="V1" s="16"/>
      <c r="W1" s="16"/>
      <c r="X1" s="16"/>
      <c r="Y1" s="16"/>
      <c r="Z1" s="16"/>
      <c r="AA1" s="17"/>
    </row>
    <row r="2" spans="1:27" ht="19.5" thickBot="1">
      <c r="A2" s="18"/>
      <c r="B2" s="19" t="s">
        <v>8</v>
      </c>
      <c r="C2" s="20"/>
      <c r="D2" s="20"/>
      <c r="E2" s="20"/>
      <c r="F2" s="20"/>
      <c r="G2" s="20"/>
      <c r="H2" s="20"/>
      <c r="I2" s="20"/>
      <c r="J2" s="21"/>
      <c r="K2" s="22"/>
      <c r="L2" s="22"/>
      <c r="M2" s="23" t="s">
        <v>20</v>
      </c>
      <c r="N2" s="14"/>
      <c r="O2" s="14"/>
      <c r="P2" s="14"/>
      <c r="Q2" s="14"/>
      <c r="R2" s="24"/>
      <c r="S2" s="22"/>
      <c r="T2" s="22"/>
      <c r="U2" s="25"/>
      <c r="V2" s="15"/>
      <c r="W2" s="15"/>
      <c r="X2" s="15"/>
      <c r="Y2" s="15"/>
      <c r="Z2" s="15"/>
      <c r="AA2" s="26"/>
    </row>
    <row r="3" spans="1:27" ht="19.5" thickBot="1">
      <c r="A3" s="27"/>
      <c r="B3" s="257" t="s">
        <v>886</v>
      </c>
      <c r="C3" s="257"/>
      <c r="D3" s="257"/>
      <c r="E3" s="257"/>
      <c r="F3" s="257"/>
      <c r="G3" s="258" t="s">
        <v>887</v>
      </c>
      <c r="H3" s="259"/>
      <c r="I3" s="20"/>
      <c r="J3" s="28"/>
      <c r="K3" s="29"/>
      <c r="L3" s="31"/>
      <c r="M3" s="260" t="s">
        <v>888</v>
      </c>
      <c r="N3" s="261"/>
      <c r="O3" s="261"/>
      <c r="P3" s="262"/>
      <c r="Q3" s="14"/>
      <c r="R3" s="30"/>
      <c r="S3" s="29"/>
      <c r="T3" s="31"/>
      <c r="U3" s="32" t="s">
        <v>889</v>
      </c>
      <c r="V3" s="33"/>
      <c r="W3" s="15"/>
      <c r="X3" s="15"/>
      <c r="Y3" s="15"/>
      <c r="Z3" s="15"/>
      <c r="AA3" s="34"/>
    </row>
    <row r="4" spans="1:27" ht="48" thickBot="1">
      <c r="A4" s="35" t="s">
        <v>890</v>
      </c>
      <c r="B4" s="36" t="s">
        <v>59</v>
      </c>
      <c r="C4" s="37" t="s">
        <v>10</v>
      </c>
      <c r="D4" s="38" t="s">
        <v>60</v>
      </c>
      <c r="E4" s="67" t="s">
        <v>62</v>
      </c>
      <c r="F4" s="39" t="s">
        <v>891</v>
      </c>
      <c r="G4" s="40" t="s">
        <v>892</v>
      </c>
      <c r="H4" s="41" t="s">
        <v>411</v>
      </c>
      <c r="I4" s="42" t="s">
        <v>893</v>
      </c>
      <c r="J4" s="43" t="s">
        <v>894</v>
      </c>
      <c r="K4" s="44" t="s">
        <v>894</v>
      </c>
      <c r="L4" s="89" t="s">
        <v>895</v>
      </c>
      <c r="M4" s="45" t="s">
        <v>896</v>
      </c>
      <c r="N4" s="46" t="s">
        <v>897</v>
      </c>
      <c r="O4" s="47" t="s">
        <v>898</v>
      </c>
      <c r="P4" s="48" t="s">
        <v>899</v>
      </c>
      <c r="Q4" s="49" t="s">
        <v>900</v>
      </c>
      <c r="R4" s="43" t="s">
        <v>894</v>
      </c>
      <c r="S4" s="44" t="s">
        <v>894</v>
      </c>
      <c r="T4" s="89" t="s">
        <v>748</v>
      </c>
      <c r="U4" s="50" t="s">
        <v>901</v>
      </c>
      <c r="V4" s="51" t="s">
        <v>902</v>
      </c>
      <c r="W4" s="52" t="s">
        <v>903</v>
      </c>
      <c r="X4" s="53" t="s">
        <v>904</v>
      </c>
      <c r="Y4" s="54" t="s">
        <v>905</v>
      </c>
      <c r="Z4" s="43" t="s">
        <v>894</v>
      </c>
      <c r="AA4" s="44" t="s">
        <v>894</v>
      </c>
    </row>
    <row r="5" spans="1:27" ht="15" customHeight="1" thickBot="1">
      <c r="A5" s="55" t="s">
        <v>906</v>
      </c>
      <c r="J5" s="56"/>
      <c r="K5" s="57"/>
      <c r="L5" s="58" t="s">
        <v>907</v>
      </c>
      <c r="R5" s="56"/>
      <c r="S5" s="57"/>
      <c r="T5" s="58" t="s">
        <v>907</v>
      </c>
      <c r="Z5" s="56"/>
      <c r="AA5" s="57"/>
    </row>
    <row r="6" spans="1:27" ht="15" customHeight="1">
      <c r="A6" s="59" t="s">
        <v>908</v>
      </c>
      <c r="J6" s="56"/>
      <c r="K6" s="57"/>
      <c r="L6" s="87"/>
      <c r="R6" s="56"/>
      <c r="S6" s="57"/>
      <c r="T6" s="87"/>
      <c r="Z6" s="56"/>
      <c r="AA6" s="57"/>
    </row>
    <row r="7" spans="1:27" ht="15" customHeight="1">
      <c r="A7" s="68" t="s">
        <v>909</v>
      </c>
      <c r="B7" s="61">
        <f>Acadia!K6</f>
        <v>594846</v>
      </c>
      <c r="C7" s="61">
        <f>Acadia!K7</f>
        <v>627565</v>
      </c>
      <c r="D7" s="61">
        <f>Acadia!K8+Acadia!K10</f>
        <v>1835490</v>
      </c>
      <c r="E7" s="61"/>
      <c r="F7" s="61"/>
      <c r="G7" s="61">
        <f>Acadia!K12+Acadia!K13+Acadia!K14</f>
        <v>474319</v>
      </c>
      <c r="H7" s="61"/>
      <c r="I7" s="61">
        <f t="shared" ref="I7:I8" si="0">SUM(B7:H7)</f>
        <v>3532220</v>
      </c>
      <c r="J7" s="215" t="str">
        <f t="shared" ref="J7:J10" si="1">IF(I7=K7, "ok", "check")</f>
        <v>ok</v>
      </c>
      <c r="K7" s="60">
        <f>Acadia!K16</f>
        <v>3532220</v>
      </c>
      <c r="L7" s="88"/>
      <c r="M7" s="61">
        <f>Acadia!K20+Acadia!K22</f>
        <v>1180414</v>
      </c>
      <c r="N7" s="61"/>
      <c r="O7" s="61"/>
      <c r="P7" s="61"/>
      <c r="Q7" s="61">
        <f t="shared" ref="Q7:Q8" si="2">SUM(M7:P7)</f>
        <v>1180414</v>
      </c>
      <c r="R7" s="215" t="str">
        <f t="shared" ref="R7:R10" si="3">IF(Q7=S7, "ok", "check")</f>
        <v>ok</v>
      </c>
      <c r="S7" s="60">
        <f>Acadia!K26</f>
        <v>1180414</v>
      </c>
      <c r="T7" s="88"/>
      <c r="U7" s="61">
        <f>Acadia!K35</f>
        <v>482052</v>
      </c>
      <c r="V7" s="61"/>
      <c r="W7" s="61">
        <f>Acadia!K51</f>
        <v>1869754</v>
      </c>
      <c r="X7" s="61">
        <f t="shared" ref="X7:X8" si="4">SUM(U7:W7)</f>
        <v>2351806</v>
      </c>
      <c r="Y7" s="61">
        <f t="shared" ref="Y7:Y9" si="5">SUM(Q7+X7+T7)</f>
        <v>3532220</v>
      </c>
      <c r="Z7" s="70" t="str">
        <f t="shared" ref="Z7:Z10" si="6">IF(Y7=AA7, "ok", "check")</f>
        <v>ok</v>
      </c>
      <c r="AA7" s="60">
        <f>Acadia!K55</f>
        <v>3532220</v>
      </c>
    </row>
    <row r="8" spans="1:27" ht="15" customHeight="1">
      <c r="A8" s="68" t="s">
        <v>910</v>
      </c>
      <c r="B8" s="61">
        <f>Allen!K7</f>
        <v>132295</v>
      </c>
      <c r="C8" s="61"/>
      <c r="D8" s="61">
        <f>Allen!K8</f>
        <v>234323</v>
      </c>
      <c r="E8" s="61"/>
      <c r="F8" s="61"/>
      <c r="G8" s="61">
        <f>Allen!K9</f>
        <v>280033</v>
      </c>
      <c r="H8" s="61">
        <f>Allen!K11</f>
        <v>4443</v>
      </c>
      <c r="I8" s="61">
        <f t="shared" si="0"/>
        <v>651094</v>
      </c>
      <c r="J8" s="215" t="str">
        <f t="shared" si="1"/>
        <v>ok</v>
      </c>
      <c r="K8" s="60">
        <f>Allen!K13</f>
        <v>651094</v>
      </c>
      <c r="L8" s="88"/>
      <c r="M8" s="61">
        <f>Allen!K17</f>
        <v>43891</v>
      </c>
      <c r="N8" s="61"/>
      <c r="O8" s="61"/>
      <c r="P8" s="61"/>
      <c r="Q8" s="61">
        <f t="shared" si="2"/>
        <v>43891</v>
      </c>
      <c r="R8" s="215" t="str">
        <f t="shared" si="3"/>
        <v>ok</v>
      </c>
      <c r="S8" s="60">
        <f>Allen!K20</f>
        <v>43891</v>
      </c>
      <c r="T8" s="88">
        <f>Allen!K23</f>
        <v>29082</v>
      </c>
      <c r="U8" s="61">
        <f>Allen!K28</f>
        <v>4443</v>
      </c>
      <c r="V8" s="61"/>
      <c r="W8" s="61">
        <f>Allen!K44</f>
        <v>573678</v>
      </c>
      <c r="X8" s="61">
        <f t="shared" si="4"/>
        <v>578121</v>
      </c>
      <c r="Y8" s="61">
        <f t="shared" si="5"/>
        <v>651094</v>
      </c>
      <c r="Z8" s="70" t="str">
        <f t="shared" si="6"/>
        <v>ok</v>
      </c>
      <c r="AA8" s="60">
        <f>Allen!K48</f>
        <v>651094</v>
      </c>
    </row>
    <row r="9" spans="1:27" ht="15" customHeight="1">
      <c r="A9" s="68" t="s">
        <v>911</v>
      </c>
      <c r="B9" s="61">
        <f>Ascension!K6</f>
        <v>5648893</v>
      </c>
      <c r="C9" s="61">
        <f>Ascension!K7</f>
        <v>28724249</v>
      </c>
      <c r="D9" s="61">
        <f>Ascension!K9+Ascension!K10+Ascension!K11</f>
        <v>8477903</v>
      </c>
      <c r="E9" s="61"/>
      <c r="F9" s="61"/>
      <c r="G9" s="61">
        <f>Ascension!K13+Ascension!K14+Ascension!K15+Ascension!K16+Ascension!K17</f>
        <v>1226308</v>
      </c>
      <c r="H9" s="61">
        <f>Ascension!K18</f>
        <v>500</v>
      </c>
      <c r="I9" s="61">
        <f>SUM(B9:H9)</f>
        <v>44077853</v>
      </c>
      <c r="J9" s="215" t="str">
        <f t="shared" si="1"/>
        <v>ok</v>
      </c>
      <c r="K9" s="60">
        <f>Ascension!K20</f>
        <v>44077853</v>
      </c>
      <c r="L9" s="88"/>
      <c r="M9" s="61">
        <f>Ascension!K24+Ascension!K25</f>
        <v>631476</v>
      </c>
      <c r="N9" s="61"/>
      <c r="O9" s="61">
        <f>Ascension!K29+Ascension!K30</f>
        <v>1841100</v>
      </c>
      <c r="P9" s="61">
        <f>Ascension!K26+Ascension!K28+Ascension!K31</f>
        <v>5178578</v>
      </c>
      <c r="Q9" s="61">
        <f>SUM(M9:P9)</f>
        <v>7651154</v>
      </c>
      <c r="R9" s="215" t="str">
        <f t="shared" si="3"/>
        <v>ok</v>
      </c>
      <c r="S9" s="60">
        <f>Ascension!K34</f>
        <v>7651154</v>
      </c>
      <c r="T9" s="88">
        <f>Ascension!K37</f>
        <v>209419</v>
      </c>
      <c r="U9" s="61">
        <f>Ascension!K51+Ascension!K53+Ascension!K56+Ascension!K59+Ascension!K62</f>
        <v>6815585</v>
      </c>
      <c r="V9" s="61"/>
      <c r="W9" s="61">
        <f>Ascension!K63</f>
        <v>29401695</v>
      </c>
      <c r="X9" s="61">
        <f>SUM(U9:W9)</f>
        <v>36217280</v>
      </c>
      <c r="Y9" s="61">
        <f t="shared" si="5"/>
        <v>44077853</v>
      </c>
      <c r="Z9" s="70" t="str">
        <f t="shared" si="6"/>
        <v>ok</v>
      </c>
      <c r="AA9" s="60">
        <f>Ascension!K67</f>
        <v>44077853</v>
      </c>
    </row>
    <row r="10" spans="1:27" ht="15" customHeight="1">
      <c r="A10" s="68" t="s">
        <v>912</v>
      </c>
      <c r="B10" s="61">
        <f>Assumption!K6</f>
        <v>3105425</v>
      </c>
      <c r="C10" s="61">
        <f>Assumption!K7</f>
        <v>3327782</v>
      </c>
      <c r="D10" s="61">
        <f>Assumption!K8</f>
        <v>1007456</v>
      </c>
      <c r="E10" s="61"/>
      <c r="F10" s="61"/>
      <c r="G10" s="61">
        <f>Assumption!K9</f>
        <v>633553</v>
      </c>
      <c r="H10" s="61"/>
      <c r="I10" s="61">
        <f t="shared" ref="I10:I22" si="7">SUM(B10:H10)</f>
        <v>8074216</v>
      </c>
      <c r="J10" s="215" t="str">
        <f t="shared" si="1"/>
        <v>ok</v>
      </c>
      <c r="K10" s="60">
        <f>Assumption!K12</f>
        <v>8074216</v>
      </c>
      <c r="L10" s="88"/>
      <c r="M10" s="61">
        <f>Assumption!K16+Assumption!K17</f>
        <v>69215</v>
      </c>
      <c r="N10" s="61"/>
      <c r="O10" s="61">
        <f>Assumption!K18</f>
        <v>4612</v>
      </c>
      <c r="P10" s="61">
        <f>Assumption!K19</f>
        <v>240044</v>
      </c>
      <c r="Q10" s="61">
        <f t="shared" ref="Q10:Q22" si="8">SUM(M10:P10)</f>
        <v>313871</v>
      </c>
      <c r="R10" s="215" t="str">
        <f t="shared" si="3"/>
        <v>ok</v>
      </c>
      <c r="S10" s="60">
        <f>Assumption!K21</f>
        <v>313871</v>
      </c>
      <c r="T10" s="88"/>
      <c r="U10" s="61"/>
      <c r="V10" s="61">
        <f>Assumption!K25</f>
        <v>40645</v>
      </c>
      <c r="W10" s="61">
        <f>Assumption!K26</f>
        <v>7719700</v>
      </c>
      <c r="X10" s="61">
        <f t="shared" ref="X10:X15" si="9">SUM(U10:W10)</f>
        <v>7760345</v>
      </c>
      <c r="Y10" s="61">
        <f t="shared" ref="Y10:Y61" si="10">SUM(Q10+X10+T10)</f>
        <v>8074216</v>
      </c>
      <c r="Z10" s="70" t="str">
        <f t="shared" si="6"/>
        <v>ok</v>
      </c>
      <c r="AA10" s="60">
        <f>Assumption!K30</f>
        <v>8074216</v>
      </c>
    </row>
    <row r="11" spans="1:27" ht="15" customHeight="1">
      <c r="A11" s="68" t="s">
        <v>913</v>
      </c>
      <c r="B11" s="61">
        <f>Avoyelles!K6</f>
        <v>855612</v>
      </c>
      <c r="C11" s="61"/>
      <c r="D11" s="61">
        <f>Avoyelles!K7</f>
        <v>18000</v>
      </c>
      <c r="E11" s="61"/>
      <c r="F11" s="61">
        <f>Avoyelles!K10:K10</f>
        <v>15525</v>
      </c>
      <c r="G11" s="61">
        <f>Avoyelles!K8</f>
        <v>406664</v>
      </c>
      <c r="H11" s="61"/>
      <c r="I11" s="61">
        <f t="shared" si="7"/>
        <v>1295801</v>
      </c>
      <c r="J11" s="215" t="str">
        <f t="shared" ref="J11:J65" si="11">IF(I11=K11, "ok", "check")</f>
        <v>ok</v>
      </c>
      <c r="K11" s="60">
        <f>Avoyelles!K12</f>
        <v>1295801</v>
      </c>
      <c r="L11" s="88"/>
      <c r="M11" s="61">
        <f>Avoyelles!K17</f>
        <v>124365</v>
      </c>
      <c r="N11" s="61"/>
      <c r="O11" s="61">
        <f>Avoyelles!K19+Avoyelles!K20</f>
        <v>61083</v>
      </c>
      <c r="P11" s="61"/>
      <c r="Q11" s="61">
        <f t="shared" si="8"/>
        <v>185448</v>
      </c>
      <c r="R11" s="215" t="str">
        <f t="shared" ref="R11:R65" si="12">IF(Q11=S11, "ok", "check")</f>
        <v>ok</v>
      </c>
      <c r="S11" s="60">
        <f>Avoyelles!K22</f>
        <v>185448</v>
      </c>
      <c r="T11" s="88">
        <f>Avoyelles!K25</f>
        <v>43264</v>
      </c>
      <c r="U11" s="61">
        <f>Avoyelles!K28</f>
        <v>15525</v>
      </c>
      <c r="V11" s="61"/>
      <c r="W11" s="61">
        <f>Avoyelles!K35</f>
        <v>1051564</v>
      </c>
      <c r="X11" s="61">
        <f t="shared" si="9"/>
        <v>1067089</v>
      </c>
      <c r="Y11" s="61">
        <f t="shared" si="10"/>
        <v>1295801</v>
      </c>
      <c r="Z11" s="70" t="str">
        <f t="shared" ref="Z11:Z12" si="13">IF(Y11=AA11, "ok", "check")</f>
        <v>ok</v>
      </c>
      <c r="AA11" s="60">
        <f>Avoyelles!K39</f>
        <v>1295801</v>
      </c>
    </row>
    <row r="12" spans="1:27" ht="15" customHeight="1">
      <c r="A12" s="68" t="s">
        <v>914</v>
      </c>
      <c r="B12" s="61">
        <f>Beauregard!K6</f>
        <v>145177</v>
      </c>
      <c r="C12" s="61"/>
      <c r="D12" s="61">
        <f>Beauregard!K7+Beauregard!K8</f>
        <v>1330067</v>
      </c>
      <c r="E12" s="61"/>
      <c r="F12" s="61"/>
      <c r="G12" s="61"/>
      <c r="H12" s="61">
        <f>Beauregard!K10</f>
        <v>226353</v>
      </c>
      <c r="I12" s="61">
        <f t="shared" si="7"/>
        <v>1701597</v>
      </c>
      <c r="J12" s="215" t="str">
        <f t="shared" si="11"/>
        <v>ok</v>
      </c>
      <c r="K12" s="60">
        <f>Beauregard!K12</f>
        <v>1701597</v>
      </c>
      <c r="L12" s="88"/>
      <c r="M12" s="61">
        <f>Beauregard!K16</f>
        <v>273323</v>
      </c>
      <c r="N12" s="61"/>
      <c r="O12" s="61"/>
      <c r="P12" s="61">
        <f>Beauregard!K18</f>
        <v>201087</v>
      </c>
      <c r="Q12" s="61">
        <f t="shared" si="8"/>
        <v>474410</v>
      </c>
      <c r="R12" s="215" t="str">
        <f t="shared" si="12"/>
        <v>ok</v>
      </c>
      <c r="S12" s="60">
        <f>Beauregard!K21</f>
        <v>474410</v>
      </c>
      <c r="T12" s="88">
        <f>Beauregard!K25</f>
        <v>117403</v>
      </c>
      <c r="U12" s="61"/>
      <c r="V12" s="61"/>
      <c r="W12" s="61">
        <f>Beauregard!K39</f>
        <v>1109784</v>
      </c>
      <c r="X12" s="61">
        <f t="shared" si="9"/>
        <v>1109784</v>
      </c>
      <c r="Y12" s="61">
        <f>SUM(Q12+X12+T12)</f>
        <v>1701597</v>
      </c>
      <c r="Z12" s="70" t="str">
        <f t="shared" si="13"/>
        <v>ok</v>
      </c>
      <c r="AA12" s="60">
        <f>Beauregard!K43</f>
        <v>1701597</v>
      </c>
    </row>
    <row r="13" spans="1:27" ht="15" customHeight="1">
      <c r="A13" s="68" t="s">
        <v>915</v>
      </c>
      <c r="B13" s="61">
        <f>Bienville!K6</f>
        <v>4817035</v>
      </c>
      <c r="C13" s="61"/>
      <c r="D13" s="61">
        <f>Bienville!K7</f>
        <v>1762003</v>
      </c>
      <c r="E13" s="61"/>
      <c r="F13" s="61"/>
      <c r="G13" s="61"/>
      <c r="H13" s="61"/>
      <c r="I13" s="61">
        <f t="shared" si="7"/>
        <v>6579038</v>
      </c>
      <c r="J13" s="215" t="str">
        <f t="shared" ref="J13:J22" si="14">IF(I13=K13, "ok", "check")</f>
        <v>ok</v>
      </c>
      <c r="K13" s="60">
        <f>Bienville!K9</f>
        <v>6579038</v>
      </c>
      <c r="L13" s="88"/>
      <c r="M13" s="61">
        <f>Bienville!K13+Bienville!K14</f>
        <v>101696</v>
      </c>
      <c r="N13" s="61">
        <f>Bienville!K15</f>
        <v>70000</v>
      </c>
      <c r="O13" s="61"/>
      <c r="P13" s="61"/>
      <c r="Q13" s="61">
        <f t="shared" si="8"/>
        <v>171696</v>
      </c>
      <c r="R13" s="215" t="str">
        <f t="shared" ref="R13:R22" si="15">IF(Q13=S13, "ok", "check")</f>
        <v>ok</v>
      </c>
      <c r="S13" s="60">
        <f>Bienville!K17</f>
        <v>171696</v>
      </c>
      <c r="T13" s="88"/>
      <c r="U13" s="61"/>
      <c r="V13" s="61"/>
      <c r="W13" s="61">
        <f>Bienville!K27</f>
        <v>6407342</v>
      </c>
      <c r="X13" s="61">
        <f t="shared" si="9"/>
        <v>6407342</v>
      </c>
      <c r="Y13" s="61">
        <f t="shared" ref="Y13:Y15" si="16">SUM(Q13+X13+T13)</f>
        <v>6579038</v>
      </c>
      <c r="Z13" s="70" t="str">
        <f t="shared" ref="Z13:Z70" si="17">IF(Y13=AA13, "ok", "check")</f>
        <v>ok</v>
      </c>
      <c r="AA13" s="60">
        <f>Bienville!K31</f>
        <v>6579038</v>
      </c>
    </row>
    <row r="14" spans="1:27" ht="15" customHeight="1">
      <c r="A14" s="68" t="s">
        <v>916</v>
      </c>
      <c r="B14" s="61">
        <f>Bossier!K7</f>
        <v>3995100</v>
      </c>
      <c r="C14" s="61">
        <f>Bossier!K8</f>
        <v>0</v>
      </c>
      <c r="D14" s="61">
        <f>Bossier!K9</f>
        <v>2766939</v>
      </c>
      <c r="E14" s="61"/>
      <c r="F14" s="61"/>
      <c r="G14" s="61">
        <f>Bossier!K12</f>
        <v>76015</v>
      </c>
      <c r="H14" s="61"/>
      <c r="I14" s="61">
        <f t="shared" si="7"/>
        <v>6838054</v>
      </c>
      <c r="J14" s="215" t="str">
        <f t="shared" si="14"/>
        <v>ok</v>
      </c>
      <c r="K14" s="60">
        <f>Bossier!K15</f>
        <v>6838054</v>
      </c>
      <c r="L14" s="88"/>
      <c r="M14" s="61">
        <f>Bossier!K19</f>
        <v>313294</v>
      </c>
      <c r="N14" s="61"/>
      <c r="O14" s="61"/>
      <c r="P14" s="61"/>
      <c r="Q14" s="61">
        <f t="shared" si="8"/>
        <v>313294</v>
      </c>
      <c r="R14" s="215" t="str">
        <f t="shared" si="15"/>
        <v>ok</v>
      </c>
      <c r="S14" s="60">
        <f>Bossier!K22</f>
        <v>313294</v>
      </c>
      <c r="T14" s="88">
        <f>Bossier!K26+Bossier!K27</f>
        <v>1950194</v>
      </c>
      <c r="U14" s="61"/>
      <c r="V14" s="61">
        <f>Bossier!K34</f>
        <v>1570876</v>
      </c>
      <c r="W14" s="61">
        <f>Bossier!K35</f>
        <v>3003690</v>
      </c>
      <c r="X14" s="61">
        <f t="shared" si="9"/>
        <v>4574566</v>
      </c>
      <c r="Y14" s="61">
        <f>SUM(Q14+X14+T14)</f>
        <v>6838054</v>
      </c>
      <c r="Z14" s="70" t="str">
        <f t="shared" si="17"/>
        <v>ok</v>
      </c>
      <c r="AA14" s="60">
        <f>Bossier!K39</f>
        <v>6838054</v>
      </c>
    </row>
    <row r="15" spans="1:27" ht="15" customHeight="1">
      <c r="A15" s="68" t="s">
        <v>917</v>
      </c>
      <c r="B15" s="61">
        <f>Caddo!K6</f>
        <v>2165963</v>
      </c>
      <c r="C15" s="61">
        <f>Caddo!K7</f>
        <v>43345664</v>
      </c>
      <c r="D15" s="61">
        <f>Caddo!K9+Caddo!K11+Caddo!K12</f>
        <v>6650844</v>
      </c>
      <c r="E15" s="61"/>
      <c r="F15" s="61"/>
      <c r="G15" s="61">
        <f>Caddo!K14+Caddo!K13</f>
        <v>1397561</v>
      </c>
      <c r="H15" s="61"/>
      <c r="I15" s="61">
        <f t="shared" si="7"/>
        <v>53560032</v>
      </c>
      <c r="J15" s="215" t="str">
        <f t="shared" si="14"/>
        <v>ok</v>
      </c>
      <c r="K15" s="60">
        <f>Caddo!K18</f>
        <v>53560032</v>
      </c>
      <c r="L15" s="88"/>
      <c r="M15" s="61">
        <f>Caddo!K22+Caddo!K23</f>
        <v>85577</v>
      </c>
      <c r="N15" s="61">
        <f>Caddo!K26</f>
        <v>34465</v>
      </c>
      <c r="O15" s="61">
        <f>Caddo!K28</f>
        <v>15014</v>
      </c>
      <c r="P15" s="61"/>
      <c r="Q15" s="61">
        <f t="shared" si="8"/>
        <v>135056</v>
      </c>
      <c r="R15" s="215" t="str">
        <f t="shared" si="15"/>
        <v>ok</v>
      </c>
      <c r="S15" s="60">
        <f>Caddo!K30</f>
        <v>135056</v>
      </c>
      <c r="T15" s="88">
        <f>Caddo!K36</f>
        <v>47879</v>
      </c>
      <c r="U15" s="61">
        <f>Caddo!K50+Caddo!K52</f>
        <v>39333517</v>
      </c>
      <c r="V15" s="61">
        <f>Caddo!K55</f>
        <v>600000</v>
      </c>
      <c r="W15" s="61">
        <f>Caddo!K56</f>
        <v>15443580</v>
      </c>
      <c r="X15" s="61">
        <f t="shared" si="9"/>
        <v>55377097</v>
      </c>
      <c r="Y15" s="61">
        <f t="shared" si="16"/>
        <v>55560032</v>
      </c>
      <c r="Z15" s="70" t="str">
        <f t="shared" si="17"/>
        <v>ok</v>
      </c>
      <c r="AA15" s="60">
        <f>Caddo!K60</f>
        <v>55560032</v>
      </c>
    </row>
    <row r="16" spans="1:27" ht="15" customHeight="1">
      <c r="A16" s="68" t="s">
        <v>918</v>
      </c>
      <c r="B16" s="61">
        <f>Calcasieu!K6</f>
        <v>10931817</v>
      </c>
      <c r="C16" s="61">
        <f>Calcasieu!K7</f>
        <v>56198681</v>
      </c>
      <c r="D16" s="61">
        <f>Calcasieu!K9+Calcasieu!K11+Calcasieu!K12+Calcasieu!K13+Calcasieu!K14+Calcasieu!K16</f>
        <v>17013196</v>
      </c>
      <c r="E16" s="61"/>
      <c r="F16" s="61"/>
      <c r="G16" s="61">
        <f>Calcasieu!K15</f>
        <v>524717</v>
      </c>
      <c r="H16" s="61">
        <f>Calcasieu!K17</f>
        <v>1226</v>
      </c>
      <c r="I16" s="61">
        <f t="shared" si="7"/>
        <v>84669637</v>
      </c>
      <c r="J16" s="215" t="str">
        <f t="shared" si="14"/>
        <v>ok</v>
      </c>
      <c r="K16" s="60">
        <f>Calcasieu!K20</f>
        <v>84669637</v>
      </c>
      <c r="L16" s="88"/>
      <c r="M16" s="61">
        <f>Calcasieu!K24+Calcasieu!K26</f>
        <v>1673550</v>
      </c>
      <c r="N16" s="61">
        <f>Calcasieu!K29</f>
        <v>157739</v>
      </c>
      <c r="O16" s="61">
        <f>Calcasieu!K27+Calcasieu!K28</f>
        <v>105757</v>
      </c>
      <c r="P16" s="61">
        <f>Calcasieu!K25+Calcasieu!K31</f>
        <v>440619</v>
      </c>
      <c r="Q16" s="61">
        <f t="shared" si="8"/>
        <v>2377665</v>
      </c>
      <c r="R16" s="215" t="str">
        <f t="shared" si="15"/>
        <v>ok</v>
      </c>
      <c r="S16" s="60">
        <f>Calcasieu!K34</f>
        <v>2377665</v>
      </c>
      <c r="T16" s="88">
        <f>Calcasieu!K37</f>
        <v>12373150</v>
      </c>
      <c r="U16" s="61">
        <f>Calcasieu!K44+Calcasieu!K46</f>
        <v>26990</v>
      </c>
      <c r="V16" s="61">
        <f>Calcasieu!K54+Calcasieu!K55+Calcasieu!K56+Calcasieu!K57+Calcasieu!K58+Calcasieu!K59+Calcasieu!K60</f>
        <v>37421522</v>
      </c>
      <c r="W16" s="61">
        <f>Calcasieu!K61</f>
        <v>32470310</v>
      </c>
      <c r="X16" s="61">
        <f t="shared" ref="X16:X18" si="18">SUM(U16:W16)</f>
        <v>69918822</v>
      </c>
      <c r="Y16" s="61">
        <f t="shared" ref="Y16:Y17" si="19">SUM(Q16+X16+T16)</f>
        <v>84669637</v>
      </c>
      <c r="Z16" s="70" t="str">
        <f t="shared" si="17"/>
        <v>ok</v>
      </c>
      <c r="AA16" s="60">
        <f>Calcasieu!K65</f>
        <v>84669637</v>
      </c>
    </row>
    <row r="17" spans="1:27" ht="15" customHeight="1">
      <c r="A17" s="68" t="s">
        <v>919</v>
      </c>
      <c r="B17" s="61">
        <f>Caldwell!K6</f>
        <v>1192998</v>
      </c>
      <c r="C17" s="61">
        <f>Caldwell!K7</f>
        <v>366187</v>
      </c>
      <c r="D17" s="61"/>
      <c r="E17" s="61"/>
      <c r="F17" s="61"/>
      <c r="G17" s="61">
        <f>Caldwell!K8</f>
        <v>2700</v>
      </c>
      <c r="H17" s="61"/>
      <c r="I17" s="61">
        <f t="shared" si="7"/>
        <v>1561885</v>
      </c>
      <c r="J17" s="215" t="str">
        <f t="shared" si="14"/>
        <v>ok</v>
      </c>
      <c r="K17" s="60">
        <f>Caldwell!K10</f>
        <v>1561885</v>
      </c>
      <c r="L17" s="88"/>
      <c r="M17" s="61">
        <f>Caldwell!K14+Caldwell!K15</f>
        <v>24542</v>
      </c>
      <c r="N17" s="61"/>
      <c r="O17" s="61">
        <f>Caldwell!K16+Caldwell!K17</f>
        <v>119752</v>
      </c>
      <c r="P17" s="61"/>
      <c r="Q17" s="61">
        <f t="shared" si="8"/>
        <v>144294</v>
      </c>
      <c r="R17" s="215" t="str">
        <f t="shared" si="15"/>
        <v>ok</v>
      </c>
      <c r="S17" s="60">
        <f>Caldwell!K19</f>
        <v>144294</v>
      </c>
      <c r="T17" s="88"/>
      <c r="U17" s="61"/>
      <c r="V17" s="61"/>
      <c r="W17" s="61">
        <f>Caldwell!K22</f>
        <v>1417591</v>
      </c>
      <c r="X17" s="61">
        <f t="shared" si="18"/>
        <v>1417591</v>
      </c>
      <c r="Y17" s="61">
        <f t="shared" si="19"/>
        <v>1561885</v>
      </c>
      <c r="Z17" s="70" t="str">
        <f t="shared" si="17"/>
        <v>ok</v>
      </c>
      <c r="AA17" s="60">
        <f>Caldwell!K27</f>
        <v>1561885</v>
      </c>
    </row>
    <row r="18" spans="1:27" ht="15" customHeight="1">
      <c r="A18" s="68" t="s">
        <v>920</v>
      </c>
      <c r="B18" s="61">
        <f>Cameron!K6</f>
        <v>11043177</v>
      </c>
      <c r="C18" s="61">
        <f>Cameron!K7</f>
        <v>2209031</v>
      </c>
      <c r="D18" s="61">
        <f>Cameron!K8+Cameron!K11</f>
        <v>9665666</v>
      </c>
      <c r="E18" s="61">
        <f>Cameron!K9</f>
        <v>1793767</v>
      </c>
      <c r="F18" s="61">
        <f>Cameron!K10</f>
        <v>72523</v>
      </c>
      <c r="G18" s="61"/>
      <c r="H18" s="61"/>
      <c r="I18" s="61">
        <f t="shared" si="7"/>
        <v>24784164</v>
      </c>
      <c r="J18" s="215" t="str">
        <f t="shared" si="14"/>
        <v>ok</v>
      </c>
      <c r="K18" s="60">
        <f>Cameron!K15</f>
        <v>24784164</v>
      </c>
      <c r="L18" s="88"/>
      <c r="M18" s="61">
        <f>Cameron!K19+Cameron!K22</f>
        <v>4042731</v>
      </c>
      <c r="N18" s="61">
        <f>Cameron!K21</f>
        <v>7413</v>
      </c>
      <c r="O18" s="61">
        <f>Cameron!K20</f>
        <v>2551196</v>
      </c>
      <c r="P18" s="61"/>
      <c r="Q18" s="61">
        <f t="shared" si="8"/>
        <v>6601340</v>
      </c>
      <c r="R18" s="215" t="str">
        <f t="shared" si="15"/>
        <v>ok</v>
      </c>
      <c r="S18" s="60">
        <f>Cameron!K24</f>
        <v>6601340</v>
      </c>
      <c r="T18" s="88">
        <f>Cameron!K26</f>
        <v>1793767</v>
      </c>
      <c r="U18" s="61">
        <f>Cameron!K32+Cameron!K33</f>
        <v>1866290</v>
      </c>
      <c r="V18" s="61">
        <f>Cameron!K44</f>
        <v>343354</v>
      </c>
      <c r="W18" s="61">
        <f>Cameron!K50</f>
        <v>14179413</v>
      </c>
      <c r="X18" s="61">
        <f t="shared" si="18"/>
        <v>16389057</v>
      </c>
      <c r="Y18" s="61">
        <f>SUM(Q18+X18+T18)</f>
        <v>24784164</v>
      </c>
      <c r="Z18" s="70" t="str">
        <f t="shared" si="17"/>
        <v>ok</v>
      </c>
      <c r="AA18" s="60">
        <f>Cameron!K54</f>
        <v>24784164</v>
      </c>
    </row>
    <row r="19" spans="1:27" ht="15" customHeight="1">
      <c r="A19" s="68" t="s">
        <v>921</v>
      </c>
      <c r="B19" s="61">
        <f>Catahoula!K7</f>
        <v>643284</v>
      </c>
      <c r="C19" s="61"/>
      <c r="D19" s="61">
        <f>Catahoula!K10</f>
        <v>728877</v>
      </c>
      <c r="E19" s="61"/>
      <c r="F19" s="61">
        <f>Catahoula!K11</f>
        <v>34157</v>
      </c>
      <c r="G19" s="61"/>
      <c r="H19" s="61"/>
      <c r="I19" s="61">
        <f t="shared" si="7"/>
        <v>1406318</v>
      </c>
      <c r="J19" s="215" t="str">
        <f t="shared" si="14"/>
        <v>ok</v>
      </c>
      <c r="K19" s="60">
        <f>Catahoula!K13</f>
        <v>1406318</v>
      </c>
      <c r="L19" s="88"/>
      <c r="M19" s="61">
        <f>Catahoula!K17+Catahoula!K18</f>
        <v>279015</v>
      </c>
      <c r="N19" s="61"/>
      <c r="O19" s="61"/>
      <c r="P19" s="61"/>
      <c r="Q19" s="61">
        <f t="shared" si="8"/>
        <v>279015</v>
      </c>
      <c r="R19" s="215" t="str">
        <f t="shared" si="15"/>
        <v>ok</v>
      </c>
      <c r="S19" s="60">
        <f>Catahoula!K20</f>
        <v>279015</v>
      </c>
      <c r="T19" s="88">
        <f>Catahoula!K23</f>
        <v>39308</v>
      </c>
      <c r="U19" s="61"/>
      <c r="V19" s="61"/>
      <c r="W19" s="61">
        <f>Catahoula!K29</f>
        <v>1087995</v>
      </c>
      <c r="X19" s="61">
        <f t="shared" ref="X19:X22" si="20">SUM(U19:W19)</f>
        <v>1087995</v>
      </c>
      <c r="Y19" s="61">
        <f t="shared" ref="Y19" si="21">SUM(Q19+X19+T19)</f>
        <v>1406318</v>
      </c>
      <c r="Z19" s="70" t="str">
        <f t="shared" si="17"/>
        <v>ok</v>
      </c>
      <c r="AA19" s="60">
        <f>Catahoula!K33</f>
        <v>1406318</v>
      </c>
    </row>
    <row r="20" spans="1:27" ht="15" customHeight="1">
      <c r="A20" s="68" t="s">
        <v>922</v>
      </c>
      <c r="B20" s="61">
        <f>Claiborne!K7</f>
        <v>3626950</v>
      </c>
      <c r="C20" s="61">
        <f>Claiborne!K8</f>
        <v>434153</v>
      </c>
      <c r="D20" s="61">
        <f>Claiborne!K9</f>
        <v>657929</v>
      </c>
      <c r="E20" s="61"/>
      <c r="F20" s="61">
        <f>Claiborne!K12</f>
        <v>106117</v>
      </c>
      <c r="G20" s="61">
        <f>Claiborne!K10+Claiborne!K11</f>
        <v>27173</v>
      </c>
      <c r="H20" s="61"/>
      <c r="I20" s="61">
        <f t="shared" si="7"/>
        <v>4852322</v>
      </c>
      <c r="J20" s="215" t="str">
        <f t="shared" si="14"/>
        <v>ok</v>
      </c>
      <c r="K20" s="60">
        <f>Claiborne!K14</f>
        <v>4852322</v>
      </c>
      <c r="L20" s="88"/>
      <c r="M20" s="61">
        <f>Claiborne!K18</f>
        <v>210775</v>
      </c>
      <c r="N20" s="61"/>
      <c r="O20" s="61"/>
      <c r="P20" s="61"/>
      <c r="Q20" s="61">
        <f t="shared" si="8"/>
        <v>210775</v>
      </c>
      <c r="R20" s="215" t="str">
        <f t="shared" si="15"/>
        <v>ok</v>
      </c>
      <c r="S20" s="60">
        <f>Claiborne!K22</f>
        <v>210775</v>
      </c>
      <c r="T20" s="88">
        <f>Claiborne!K25</f>
        <v>43701</v>
      </c>
      <c r="U20" s="61">
        <f>Claiborne!K30</f>
        <v>369605</v>
      </c>
      <c r="V20" s="61"/>
      <c r="W20" s="61">
        <f>Claiborne!K31</f>
        <v>4228241</v>
      </c>
      <c r="X20" s="61">
        <f t="shared" si="20"/>
        <v>4597846</v>
      </c>
      <c r="Y20" s="61">
        <f t="shared" ref="Y20:Y22" si="22">SUM(Q20+X20+T20)</f>
        <v>4852322</v>
      </c>
      <c r="Z20" s="70" t="str">
        <f t="shared" si="17"/>
        <v>ok</v>
      </c>
      <c r="AA20" s="60">
        <f>Claiborne!K35</f>
        <v>4852322</v>
      </c>
    </row>
    <row r="21" spans="1:27" ht="15" customHeight="1">
      <c r="A21" s="68" t="s">
        <v>923</v>
      </c>
      <c r="B21" s="61">
        <f>Concordia!K7</f>
        <v>3045095</v>
      </c>
      <c r="C21" s="61"/>
      <c r="D21" s="61">
        <f>Concordia!K9+Concordia!K10+Concordia!K12</f>
        <v>484910</v>
      </c>
      <c r="E21" s="61"/>
      <c r="F21" s="61"/>
      <c r="G21" s="61">
        <f>Concordia!K13</f>
        <v>90748</v>
      </c>
      <c r="H21" s="61"/>
      <c r="I21" s="61">
        <f t="shared" si="7"/>
        <v>3620753</v>
      </c>
      <c r="J21" s="215" t="str">
        <f t="shared" si="14"/>
        <v>ok</v>
      </c>
      <c r="K21" s="60">
        <f>Concordia!K15</f>
        <v>3620753</v>
      </c>
      <c r="L21" s="88"/>
      <c r="M21" s="61">
        <f>Concordia!K18</f>
        <v>31115</v>
      </c>
      <c r="N21" s="61"/>
      <c r="O21" s="61">
        <f>Concordia!K20</f>
        <v>3729</v>
      </c>
      <c r="P21" s="61">
        <f>Concordia!K19</f>
        <v>45503</v>
      </c>
      <c r="Q21" s="61">
        <f t="shared" si="8"/>
        <v>80347</v>
      </c>
      <c r="R21" s="215" t="str">
        <f t="shared" si="15"/>
        <v>ok</v>
      </c>
      <c r="S21" s="60">
        <f>Concordia!K22</f>
        <v>80347</v>
      </c>
      <c r="T21" s="88">
        <f>Concordia!K25</f>
        <v>12924</v>
      </c>
      <c r="U21" s="61"/>
      <c r="V21" s="61"/>
      <c r="W21" s="61">
        <f>Concordia!K31</f>
        <v>3527482</v>
      </c>
      <c r="X21" s="61">
        <f t="shared" si="20"/>
        <v>3527482</v>
      </c>
      <c r="Y21" s="61">
        <f t="shared" si="22"/>
        <v>3620753</v>
      </c>
      <c r="Z21" s="70" t="str">
        <f t="shared" si="17"/>
        <v>ok</v>
      </c>
      <c r="AA21" s="60">
        <f>Concordia!K35</f>
        <v>3620753</v>
      </c>
    </row>
    <row r="22" spans="1:27" ht="15" customHeight="1">
      <c r="A22" s="68" t="s">
        <v>924</v>
      </c>
      <c r="B22" s="61">
        <f>DeSoto!K6</f>
        <v>2168096</v>
      </c>
      <c r="C22" s="61">
        <f>DeSoto!K7</f>
        <v>7150213</v>
      </c>
      <c r="D22" s="61">
        <f>DeSoto!K8</f>
        <v>4095689</v>
      </c>
      <c r="E22" s="61"/>
      <c r="F22" s="61"/>
      <c r="G22" s="61">
        <f>DeSoto!K10</f>
        <v>103000</v>
      </c>
      <c r="H22" s="61"/>
      <c r="I22" s="61">
        <f t="shared" si="7"/>
        <v>13516998</v>
      </c>
      <c r="J22" s="215" t="str">
        <f t="shared" si="14"/>
        <v>ok</v>
      </c>
      <c r="K22" s="60">
        <f>DeSoto!K13</f>
        <v>13516998</v>
      </c>
      <c r="L22" s="88"/>
      <c r="M22" s="61">
        <f>DeSoto!K17</f>
        <v>389042</v>
      </c>
      <c r="N22" s="61"/>
      <c r="O22" s="61">
        <f>DeSoto!K18</f>
        <v>22496</v>
      </c>
      <c r="P22" s="61">
        <f>DeSoto!K22</f>
        <v>300</v>
      </c>
      <c r="Q22" s="61">
        <f t="shared" si="8"/>
        <v>411838</v>
      </c>
      <c r="R22" s="215" t="str">
        <f t="shared" si="15"/>
        <v>ok</v>
      </c>
      <c r="S22" s="60">
        <f>DeSoto!K24</f>
        <v>411838</v>
      </c>
      <c r="T22" s="88">
        <f>DeSoto!K27</f>
        <v>321345</v>
      </c>
      <c r="U22" s="61"/>
      <c r="V22" s="61"/>
      <c r="W22" s="61">
        <f>DeSoto!K44</f>
        <v>12783815</v>
      </c>
      <c r="X22" s="61">
        <f t="shared" si="20"/>
        <v>12783815</v>
      </c>
      <c r="Y22" s="61">
        <f t="shared" si="22"/>
        <v>13516998</v>
      </c>
      <c r="Z22" s="70" t="str">
        <f t="shared" si="17"/>
        <v>ok</v>
      </c>
      <c r="AA22" s="60">
        <f>DeSoto!K48</f>
        <v>13516998</v>
      </c>
    </row>
    <row r="23" spans="1:27" ht="15" customHeight="1">
      <c r="A23" s="68" t="s">
        <v>925</v>
      </c>
      <c r="B23" s="61">
        <f>'East Baton Rouge'!K7</f>
        <v>29552975</v>
      </c>
      <c r="C23" s="61">
        <f>'East Baton Rouge'!K8</f>
        <v>40811250</v>
      </c>
      <c r="D23" s="61">
        <f>'East Baton Rouge'!K9+'East Baton Rouge'!K10+'East Baton Rouge'!K11+'East Baton Rouge'!K12+'East Baton Rouge'!K13+'East Baton Rouge'!K14+'East Baton Rouge'!K17</f>
        <v>29661472</v>
      </c>
      <c r="E23" s="61">
        <f>'East Baton Rouge'!K18</f>
        <v>656653</v>
      </c>
      <c r="F23" s="61"/>
      <c r="G23" s="61">
        <f>'East Baton Rouge'!K15+'East Baton Rouge'!K16</f>
        <v>30434299</v>
      </c>
      <c r="H23" s="61"/>
      <c r="I23" s="61">
        <f>SUM(B23:H23)</f>
        <v>131116649</v>
      </c>
      <c r="J23" s="215" t="str">
        <f t="shared" ref="J23:J27" si="23">IF(I23=K23, "ok", "check")</f>
        <v>ok</v>
      </c>
      <c r="K23" s="60">
        <f>'East Baton Rouge'!K20</f>
        <v>131116649</v>
      </c>
      <c r="L23" s="88">
        <f>'East Baton Rouge'!C34+'East Baton Rouge'!C35</f>
        <v>0</v>
      </c>
      <c r="M23" s="61">
        <f>'East Baton Rouge'!K24+'East Baton Rouge'!K27</f>
        <v>16836289</v>
      </c>
      <c r="N23" s="61"/>
      <c r="O23" s="61">
        <f>'East Baton Rouge'!K26</f>
        <v>167662</v>
      </c>
      <c r="P23" s="61">
        <f>'East Baton Rouge'!K29</f>
        <v>11142962</v>
      </c>
      <c r="Q23" s="61">
        <f t="shared" ref="Q23:Q28" si="24">SUM(M23:P23)</f>
        <v>28146913</v>
      </c>
      <c r="R23" s="215" t="str">
        <f t="shared" ref="R23:R27" si="25">IF(Q23=S23, "ok", "check")</f>
        <v>ok</v>
      </c>
      <c r="S23" s="60">
        <f>'East Baton Rouge'!K31</f>
        <v>28146913</v>
      </c>
      <c r="T23" s="88">
        <f>'East Baton Rouge'!K34+'East Baton Rouge'!K35</f>
        <v>1166235</v>
      </c>
      <c r="U23" s="61">
        <f>'East Baton Rouge'!K41+'East Baton Rouge'!K42+'East Baton Rouge'!K43</f>
        <v>60318667</v>
      </c>
      <c r="V23" s="61">
        <f>'East Baton Rouge'!K44</f>
        <v>28346341</v>
      </c>
      <c r="W23" s="61">
        <f>'East Baton Rouge'!K45</f>
        <v>13138493</v>
      </c>
      <c r="X23" s="61">
        <f t="shared" ref="X23:X28" si="26">SUM(U23:W23)</f>
        <v>101803501</v>
      </c>
      <c r="Y23" s="61">
        <f t="shared" si="10"/>
        <v>131116649</v>
      </c>
      <c r="Z23" s="70" t="str">
        <f t="shared" si="17"/>
        <v>ok</v>
      </c>
      <c r="AA23" s="60">
        <f>'East Baton Rouge'!K49</f>
        <v>131116649</v>
      </c>
    </row>
    <row r="24" spans="1:27" s="201" customFormat="1" ht="15" customHeight="1">
      <c r="A24" s="208" t="s">
        <v>926</v>
      </c>
      <c r="B24" s="209">
        <f>'East Carroll'!K6</f>
        <v>173636</v>
      </c>
      <c r="C24" s="209"/>
      <c r="D24" s="209">
        <f>'East Carroll'!K8</f>
        <v>643711</v>
      </c>
      <c r="E24" s="209"/>
      <c r="F24" s="209"/>
      <c r="G24" s="209"/>
      <c r="H24" s="209"/>
      <c r="I24" s="209">
        <f t="shared" ref="I24:I28" si="27">SUM(B24:H24)</f>
        <v>817347</v>
      </c>
      <c r="J24" s="215" t="str">
        <f t="shared" si="23"/>
        <v>ok</v>
      </c>
      <c r="K24" s="210">
        <f>'East Carroll'!K10</f>
        <v>817347</v>
      </c>
      <c r="L24" s="211"/>
      <c r="M24" s="209">
        <f>'East Carroll'!K14</f>
        <v>88432</v>
      </c>
      <c r="N24" s="209"/>
      <c r="O24" s="209"/>
      <c r="P24" s="209"/>
      <c r="Q24" s="209">
        <f t="shared" si="24"/>
        <v>88432</v>
      </c>
      <c r="R24" s="215" t="str">
        <f t="shared" si="25"/>
        <v>ok</v>
      </c>
      <c r="S24" s="210">
        <f>'East Carroll'!K16</f>
        <v>88432</v>
      </c>
      <c r="T24" s="211">
        <f>'East Carroll'!K19</f>
        <v>34053</v>
      </c>
      <c r="U24" s="209"/>
      <c r="V24" s="209"/>
      <c r="W24" s="209">
        <f>'East Carroll'!K25</f>
        <v>694862</v>
      </c>
      <c r="X24" s="209">
        <f t="shared" si="26"/>
        <v>694862</v>
      </c>
      <c r="Y24" s="209">
        <f t="shared" ref="Y24:Y27" si="28">SUM(Q24+X24+T24)</f>
        <v>817347</v>
      </c>
      <c r="Z24" s="70" t="str">
        <f t="shared" si="17"/>
        <v>ok</v>
      </c>
      <c r="AA24" s="210">
        <f>'East Carroll'!K29</f>
        <v>817347</v>
      </c>
    </row>
    <row r="25" spans="1:27" s="201" customFormat="1" ht="15" customHeight="1">
      <c r="A25" s="208" t="s">
        <v>927</v>
      </c>
      <c r="B25" s="209">
        <f>'East Feliciana'!K6</f>
        <v>425147</v>
      </c>
      <c r="C25" s="209"/>
      <c r="D25" s="209">
        <f>'East Feliciana'!K9</f>
        <v>456441</v>
      </c>
      <c r="E25" s="209"/>
      <c r="F25" s="209"/>
      <c r="G25" s="209">
        <f>'East Feliciana'!K10+'East Feliciana'!K11</f>
        <v>372669</v>
      </c>
      <c r="H25" s="209"/>
      <c r="I25" s="209">
        <f t="shared" si="27"/>
        <v>1254257</v>
      </c>
      <c r="J25" s="215" t="str">
        <f t="shared" si="23"/>
        <v>ok</v>
      </c>
      <c r="K25" s="210">
        <f>'East Feliciana'!K13</f>
        <v>1254257</v>
      </c>
      <c r="L25" s="211"/>
      <c r="M25" s="209">
        <f>'East Feliciana'!K17+'East Feliciana'!K18</f>
        <v>21517</v>
      </c>
      <c r="N25" s="209"/>
      <c r="O25" s="209"/>
      <c r="P25" s="209"/>
      <c r="Q25" s="209">
        <f t="shared" si="24"/>
        <v>21517</v>
      </c>
      <c r="R25" s="215" t="str">
        <f t="shared" si="25"/>
        <v>ok</v>
      </c>
      <c r="S25" s="210">
        <f>'East Feliciana'!K21</f>
        <v>21517</v>
      </c>
      <c r="T25" s="211">
        <f>'East Feliciana'!K24</f>
        <v>122435</v>
      </c>
      <c r="U25" s="209">
        <f>'East Feliciana'!K29+'East Feliciana'!K35</f>
        <v>30194</v>
      </c>
      <c r="V25" s="209">
        <f>'East Feliciana'!K36</f>
        <v>1080111</v>
      </c>
      <c r="W25" s="209">
        <f>'East Feliciana'!K36</f>
        <v>1080111</v>
      </c>
      <c r="X25" s="209">
        <f t="shared" si="26"/>
        <v>2190416</v>
      </c>
      <c r="Y25" s="209">
        <f t="shared" si="28"/>
        <v>2334368</v>
      </c>
      <c r="Z25" s="70" t="str">
        <f t="shared" si="17"/>
        <v>check</v>
      </c>
      <c r="AA25" s="210">
        <f>'East Feliciana'!K40</f>
        <v>1254257</v>
      </c>
    </row>
    <row r="26" spans="1:27" ht="15" customHeight="1">
      <c r="A26" s="68" t="s">
        <v>928</v>
      </c>
      <c r="B26" s="61">
        <f>Evangeline!K6</f>
        <v>836113</v>
      </c>
      <c r="C26" s="61"/>
      <c r="D26" s="61">
        <f>Evangeline!K7</f>
        <v>3936</v>
      </c>
      <c r="E26" s="61"/>
      <c r="F26" s="61">
        <f>Evangeline!K10</f>
        <v>41456</v>
      </c>
      <c r="G26" s="61">
        <f>Evangeline!K8+Evangeline!K9</f>
        <v>1083071</v>
      </c>
      <c r="H26" s="61"/>
      <c r="I26" s="61">
        <f t="shared" si="27"/>
        <v>1964576</v>
      </c>
      <c r="J26" s="215" t="str">
        <f t="shared" si="23"/>
        <v>ok</v>
      </c>
      <c r="K26" s="60">
        <f>Evangeline!K14</f>
        <v>1964576</v>
      </c>
      <c r="L26" s="88"/>
      <c r="M26" s="61">
        <f>Evangeline!K18+Evangeline!K21</f>
        <v>531943</v>
      </c>
      <c r="N26" s="61"/>
      <c r="O26" s="61">
        <f>Evangeline!K20</f>
        <v>15590</v>
      </c>
      <c r="P26" s="61"/>
      <c r="Q26" s="61">
        <f>SUM(M26:P26)</f>
        <v>547533</v>
      </c>
      <c r="R26" s="215" t="str">
        <f t="shared" si="25"/>
        <v>ok</v>
      </c>
      <c r="S26" s="60">
        <f>Evangeline!K24</f>
        <v>547533</v>
      </c>
      <c r="T26" s="88"/>
      <c r="U26" s="61">
        <f>Evangeline!K26</f>
        <v>0</v>
      </c>
      <c r="V26" s="61">
        <f>Evangeline!K30</f>
        <v>0</v>
      </c>
      <c r="W26" s="61">
        <f>Evangeline!K37</f>
        <v>1417043</v>
      </c>
      <c r="X26" s="61">
        <f t="shared" si="26"/>
        <v>1417043</v>
      </c>
      <c r="Y26" s="61">
        <f t="shared" si="28"/>
        <v>1964576</v>
      </c>
      <c r="Z26" s="70" t="str">
        <f t="shared" si="17"/>
        <v>ok</v>
      </c>
      <c r="AA26" s="60">
        <f>Evangeline!K41</f>
        <v>1964576</v>
      </c>
    </row>
    <row r="27" spans="1:27" ht="15" customHeight="1">
      <c r="A27" s="68" t="s">
        <v>929</v>
      </c>
      <c r="B27" s="61">
        <f>Franklin!K6</f>
        <v>536782</v>
      </c>
      <c r="C27" s="61"/>
      <c r="D27" s="61">
        <f>Franklin!K7+Franklin!K8</f>
        <v>436819</v>
      </c>
      <c r="E27" s="61"/>
      <c r="F27" s="61"/>
      <c r="G27" s="61"/>
      <c r="H27" s="61"/>
      <c r="I27" s="61">
        <f t="shared" si="27"/>
        <v>973601</v>
      </c>
      <c r="J27" s="215" t="str">
        <f t="shared" si="23"/>
        <v>ok</v>
      </c>
      <c r="K27" s="60">
        <f>Franklin!K10</f>
        <v>973601</v>
      </c>
      <c r="L27" s="88"/>
      <c r="M27" s="61">
        <f>Franklin!K14+Franklin!K15</f>
        <v>157563</v>
      </c>
      <c r="N27" s="61"/>
      <c r="O27" s="61"/>
      <c r="P27" s="61"/>
      <c r="Q27" s="61">
        <f t="shared" si="24"/>
        <v>157563</v>
      </c>
      <c r="R27" s="215" t="str">
        <f t="shared" si="25"/>
        <v>ok</v>
      </c>
      <c r="S27" s="60">
        <f>Franklin!K18</f>
        <v>157563</v>
      </c>
      <c r="T27" s="88"/>
      <c r="U27" s="61"/>
      <c r="V27" s="61"/>
      <c r="W27" s="61">
        <f>Franklin!K30</f>
        <v>786038</v>
      </c>
      <c r="X27" s="61">
        <f t="shared" si="26"/>
        <v>786038</v>
      </c>
      <c r="Y27" s="61">
        <f t="shared" si="28"/>
        <v>943601</v>
      </c>
      <c r="Z27" s="70" t="str">
        <f t="shared" si="17"/>
        <v>ok</v>
      </c>
      <c r="AA27" s="60">
        <f>Franklin!K34</f>
        <v>943601</v>
      </c>
    </row>
    <row r="28" spans="1:27" ht="15" customHeight="1">
      <c r="A28" s="68" t="s">
        <v>930</v>
      </c>
      <c r="B28" s="61">
        <f>Grant!K6</f>
        <v>269651</v>
      </c>
      <c r="C28" s="61">
        <f>Grant!K7+Grant!K8</f>
        <v>525004</v>
      </c>
      <c r="D28" s="61"/>
      <c r="E28" s="61"/>
      <c r="F28" s="61"/>
      <c r="G28" s="61"/>
      <c r="H28" s="61"/>
      <c r="I28" s="61">
        <f t="shared" si="27"/>
        <v>794655</v>
      </c>
      <c r="J28" s="215" t="str">
        <f t="shared" ref="J28:J29" si="29">IF(I28=K28, "ok", "check")</f>
        <v>ok</v>
      </c>
      <c r="K28" s="60">
        <f>Grant!K10</f>
        <v>794655</v>
      </c>
      <c r="L28" s="88"/>
      <c r="M28" s="61">
        <f>Grant!K14+Grant!K16</f>
        <v>150485</v>
      </c>
      <c r="N28" s="61"/>
      <c r="O28" s="61"/>
      <c r="P28" s="61"/>
      <c r="Q28" s="61">
        <f t="shared" si="24"/>
        <v>150485</v>
      </c>
      <c r="R28" s="215" t="str">
        <f t="shared" ref="R28:R29" si="30">IF(Q28=S28, "ok", "check")</f>
        <v>ok</v>
      </c>
      <c r="S28" s="60">
        <f>Grant!K18</f>
        <v>150485</v>
      </c>
      <c r="T28" s="88"/>
      <c r="U28" s="61"/>
      <c r="V28" s="61"/>
      <c r="W28" s="61">
        <f>Grant!K30</f>
        <v>644170</v>
      </c>
      <c r="X28" s="61">
        <f t="shared" si="26"/>
        <v>644170</v>
      </c>
      <c r="Y28" s="61">
        <f t="shared" ref="Y28:Y29" si="31">SUM(Q28+X28+T28)</f>
        <v>794655</v>
      </c>
      <c r="Z28" s="70" t="str">
        <f t="shared" si="17"/>
        <v>ok</v>
      </c>
      <c r="AA28" s="60">
        <f>Grant!K34</f>
        <v>794655</v>
      </c>
    </row>
    <row r="29" spans="1:27" ht="15" customHeight="1">
      <c r="A29" s="68" t="s">
        <v>931</v>
      </c>
      <c r="B29" s="61">
        <f>Iberia!K6</f>
        <v>477849</v>
      </c>
      <c r="C29" s="61"/>
      <c r="D29" s="61">
        <f>Iberia!K8+Iberia!K9</f>
        <v>1433219</v>
      </c>
      <c r="E29" s="61"/>
      <c r="F29" s="61"/>
      <c r="G29" s="61">
        <f>Iberia!K10+Iberia!K11</f>
        <v>2141601</v>
      </c>
      <c r="H29" s="61"/>
      <c r="I29" s="61">
        <f t="shared" ref="I29" si="32">SUM(B29:H29)</f>
        <v>4052669</v>
      </c>
      <c r="J29" s="215" t="str">
        <f t="shared" si="29"/>
        <v>ok</v>
      </c>
      <c r="K29" s="60">
        <f>Iberia!K13</f>
        <v>4052669</v>
      </c>
      <c r="L29" s="88"/>
      <c r="M29" s="61">
        <f>Iberia!K17+Iberia!K18</f>
        <v>375565</v>
      </c>
      <c r="N29" s="61"/>
      <c r="O29" s="61">
        <f>Iberia!K21+Iberia!K22+Iberia!K23</f>
        <v>666497</v>
      </c>
      <c r="P29" s="61">
        <f>Iberia!K24</f>
        <v>6540</v>
      </c>
      <c r="Q29" s="61">
        <f t="shared" ref="Q29" si="33">SUM(M29:P29)</f>
        <v>1048602</v>
      </c>
      <c r="R29" s="215" t="str">
        <f t="shared" si="30"/>
        <v>ok</v>
      </c>
      <c r="S29" s="60">
        <f>Iberia!K27</f>
        <v>1048602</v>
      </c>
      <c r="T29" s="88"/>
      <c r="U29" s="61">
        <f>Iberia!K33</f>
        <v>515153</v>
      </c>
      <c r="V29" s="61">
        <f>Iberia!K34</f>
        <v>870023</v>
      </c>
      <c r="W29" s="61">
        <f>Iberia!K35</f>
        <v>1618891</v>
      </c>
      <c r="X29" s="61">
        <f t="shared" ref="X29" si="34">SUM(U29:W29)</f>
        <v>3004067</v>
      </c>
      <c r="Y29" s="61">
        <f t="shared" si="31"/>
        <v>4052669</v>
      </c>
      <c r="Z29" s="70" t="str">
        <f t="shared" si="17"/>
        <v>ok</v>
      </c>
      <c r="AA29" s="60">
        <f>Iberia!K39</f>
        <v>4052669</v>
      </c>
    </row>
    <row r="30" spans="1:27" ht="15" customHeight="1">
      <c r="A30" s="68" t="s">
        <v>932</v>
      </c>
      <c r="B30" s="61">
        <f>Iberville!K6+Iberville!K10</f>
        <v>4057437</v>
      </c>
      <c r="C30" s="61"/>
      <c r="D30" s="61">
        <f>Iberville!K7+Iberville!K8</f>
        <v>2339551</v>
      </c>
      <c r="E30" s="61"/>
      <c r="F30" s="61"/>
      <c r="G30" s="61"/>
      <c r="H30" s="61"/>
      <c r="I30" s="61">
        <f t="shared" ref="I30:I45" si="35">SUM(B30:H30)</f>
        <v>6396988</v>
      </c>
      <c r="J30" s="215" t="str">
        <f t="shared" si="11"/>
        <v>ok</v>
      </c>
      <c r="K30" s="60">
        <f>Iberville!K13</f>
        <v>6396988</v>
      </c>
      <c r="L30" s="88"/>
      <c r="M30" s="61">
        <f>Iberville!K17+Iberville!K19</f>
        <v>638380</v>
      </c>
      <c r="N30" s="61"/>
      <c r="O30" s="61"/>
      <c r="P30" s="61"/>
      <c r="Q30" s="61">
        <f t="shared" ref="Q30:Q45" si="36">SUM(M30:P30)</f>
        <v>638380</v>
      </c>
      <c r="R30" s="215" t="str">
        <f t="shared" si="12"/>
        <v>ok</v>
      </c>
      <c r="S30" s="60">
        <f>Iberville!K21</f>
        <v>638380</v>
      </c>
      <c r="T30" s="88"/>
      <c r="U30" s="61">
        <f>Iberville!K25+Iberville!K26</f>
        <v>127227</v>
      </c>
      <c r="V30" s="61"/>
      <c r="W30" s="61">
        <f>Iberville!K29</f>
        <v>5631381</v>
      </c>
      <c r="X30" s="61">
        <f t="shared" ref="X30:X44" si="37">SUM(U30:W30)</f>
        <v>5758608</v>
      </c>
      <c r="Y30" s="61">
        <f t="shared" si="10"/>
        <v>6396988</v>
      </c>
      <c r="Z30" s="70" t="str">
        <f t="shared" si="17"/>
        <v>ok</v>
      </c>
      <c r="AA30" s="60">
        <f>Iberville!K33</f>
        <v>6396988</v>
      </c>
    </row>
    <row r="31" spans="1:27" ht="15" customHeight="1">
      <c r="A31" s="68" t="s">
        <v>933</v>
      </c>
      <c r="B31" s="61">
        <f>Jackson!K6</f>
        <v>2421598</v>
      </c>
      <c r="C31" s="61"/>
      <c r="D31" s="61">
        <f>Jackson!K7</f>
        <v>1328287</v>
      </c>
      <c r="E31" s="61"/>
      <c r="F31" s="61"/>
      <c r="G31" s="61">
        <f>Jackson!K8</f>
        <v>3206</v>
      </c>
      <c r="H31" s="61"/>
      <c r="I31" s="61">
        <f t="shared" si="35"/>
        <v>3753091</v>
      </c>
      <c r="J31" s="215" t="str">
        <f t="shared" si="11"/>
        <v>ok</v>
      </c>
      <c r="K31" s="60">
        <f>Jackson!K10</f>
        <v>3753091</v>
      </c>
      <c r="L31" s="88"/>
      <c r="M31" s="61">
        <f>Jackson!K14</f>
        <v>116865</v>
      </c>
      <c r="N31" s="61"/>
      <c r="O31" s="61"/>
      <c r="P31" s="61">
        <f>Jackson!K15</f>
        <v>4635</v>
      </c>
      <c r="Q31" s="61">
        <f t="shared" si="36"/>
        <v>121500</v>
      </c>
      <c r="R31" s="215" t="str">
        <f t="shared" si="12"/>
        <v>ok</v>
      </c>
      <c r="S31" s="60">
        <f>Jackson!K17</f>
        <v>121500</v>
      </c>
      <c r="T31" s="88">
        <f>Jackson!K20</f>
        <v>59927</v>
      </c>
      <c r="U31" s="61">
        <f>Jackson!K25+Jackson!K27</f>
        <v>776147</v>
      </c>
      <c r="V31" s="61">
        <f>Jackson!K26</f>
        <v>50577</v>
      </c>
      <c r="W31" s="61">
        <f>Jackson!K28</f>
        <v>2744940</v>
      </c>
      <c r="X31" s="61">
        <f t="shared" si="37"/>
        <v>3571664</v>
      </c>
      <c r="Y31" s="61">
        <f t="shared" si="10"/>
        <v>3753091</v>
      </c>
      <c r="Z31" s="70" t="str">
        <f t="shared" si="17"/>
        <v>ok</v>
      </c>
      <c r="AA31" s="60">
        <f>Jackson!K32</f>
        <v>3753091</v>
      </c>
    </row>
    <row r="32" spans="1:27" ht="15" customHeight="1">
      <c r="A32" s="68" t="s">
        <v>934</v>
      </c>
      <c r="B32" s="61">
        <f>Jefferson!K7</f>
        <v>12</v>
      </c>
      <c r="C32" s="61"/>
      <c r="D32" s="61">
        <f>Jefferson!K12+Jefferson!K13+Jefferson!K14</f>
        <v>22062</v>
      </c>
      <c r="E32" s="61"/>
      <c r="F32" s="61">
        <f>Jefferson!K9+Jefferson!K16</f>
        <v>18808</v>
      </c>
      <c r="G32" s="61"/>
      <c r="H32" s="61"/>
      <c r="I32" s="61">
        <f t="shared" si="35"/>
        <v>40882</v>
      </c>
      <c r="J32" s="215" t="str">
        <f t="shared" si="11"/>
        <v>ok</v>
      </c>
      <c r="K32" s="60">
        <f>Jefferson!K18</f>
        <v>40882</v>
      </c>
      <c r="L32" s="88"/>
      <c r="M32" s="61">
        <f>Jefferson!K22+Jefferson!K23+Jefferson!K26</f>
        <v>8531</v>
      </c>
      <c r="N32" s="61"/>
      <c r="O32" s="61"/>
      <c r="P32" s="61">
        <f>Jefferson!K25</f>
        <v>72</v>
      </c>
      <c r="Q32" s="61">
        <f t="shared" si="36"/>
        <v>8603</v>
      </c>
      <c r="R32" s="215" t="str">
        <f t="shared" si="12"/>
        <v>ok</v>
      </c>
      <c r="S32" s="60">
        <f>Jefferson!K28</f>
        <v>8603</v>
      </c>
      <c r="T32" s="88">
        <f>Jefferson!K33</f>
        <v>4180</v>
      </c>
      <c r="U32" s="61">
        <f>Jefferson!K37+Jefferson!K38</f>
        <v>13143</v>
      </c>
      <c r="V32" s="61"/>
      <c r="W32" s="61">
        <f>Jefferson!K40</f>
        <v>14956</v>
      </c>
      <c r="X32" s="61">
        <f t="shared" si="37"/>
        <v>28099</v>
      </c>
      <c r="Y32" s="61">
        <f t="shared" si="10"/>
        <v>40882</v>
      </c>
      <c r="Z32" s="70" t="str">
        <f t="shared" si="17"/>
        <v>ok</v>
      </c>
      <c r="AA32" s="60">
        <f>Jefferson!K44</f>
        <v>40882</v>
      </c>
    </row>
    <row r="33" spans="1:27" ht="15" customHeight="1">
      <c r="A33" s="68" t="s">
        <v>935</v>
      </c>
      <c r="B33" s="61">
        <f>'Jefferson Davis'!K6</f>
        <v>6210691</v>
      </c>
      <c r="C33" s="61">
        <f>'Jefferson Davis'!K7</f>
        <v>679905</v>
      </c>
      <c r="D33" s="61">
        <f>'Jefferson Davis'!K8</f>
        <v>444599</v>
      </c>
      <c r="E33" s="61"/>
      <c r="F33" s="61"/>
      <c r="G33" s="61">
        <f>'Jefferson Davis'!K9</f>
        <v>361806</v>
      </c>
      <c r="H33" s="61"/>
      <c r="I33" s="61">
        <f>SUM(B33:H33)</f>
        <v>7697001</v>
      </c>
      <c r="J33" s="215" t="str">
        <f>IF(I33=K33, "ok", "check")</f>
        <v>ok</v>
      </c>
      <c r="K33" s="60">
        <f>'Jefferson Davis'!K12</f>
        <v>7697001</v>
      </c>
      <c r="L33" s="88"/>
      <c r="M33" s="61">
        <f>'Jefferson Davis'!K16</f>
        <v>185582</v>
      </c>
      <c r="N33" s="61"/>
      <c r="O33" s="61"/>
      <c r="P33" s="61">
        <f>'Jefferson Davis'!K18</f>
        <v>567800</v>
      </c>
      <c r="Q33" s="61">
        <f>SUM(M33:P33)</f>
        <v>753382</v>
      </c>
      <c r="R33" s="215" t="str">
        <f>IF(Q33=S33, "ok", "check")</f>
        <v>ok</v>
      </c>
      <c r="S33" s="60">
        <f>'Jefferson Davis'!K21</f>
        <v>753382</v>
      </c>
      <c r="T33" s="88">
        <f>'Jefferson Davis'!K24</f>
        <v>50755</v>
      </c>
      <c r="U33" s="61"/>
      <c r="V33" s="61">
        <f>'Jefferson Davis'!K36</f>
        <v>538003</v>
      </c>
      <c r="W33" s="61">
        <f>'Jefferson Davis'!K37</f>
        <v>6354861</v>
      </c>
      <c r="X33" s="61">
        <f>SUM(U33:W33)</f>
        <v>6892864</v>
      </c>
      <c r="Y33" s="61">
        <f>SUM(Q33+X33+T33)</f>
        <v>7697001</v>
      </c>
      <c r="Z33" s="70" t="str">
        <f>IF(Y33=AA33, "ok", "check")</f>
        <v>ok</v>
      </c>
      <c r="AA33" s="60">
        <f>'Jefferson Davis'!K41</f>
        <v>7697001</v>
      </c>
    </row>
    <row r="34" spans="1:27" s="201" customFormat="1" ht="15" customHeight="1">
      <c r="A34" s="208" t="s">
        <v>936</v>
      </c>
      <c r="B34" s="209">
        <f>Lafayette!K6</f>
        <v>2387209</v>
      </c>
      <c r="C34" s="209">
        <f>Lafayette!K7</f>
        <v>36563839</v>
      </c>
      <c r="D34" s="209">
        <f>Lafayette!K8+Lafayette!K12</f>
        <v>1384883</v>
      </c>
      <c r="E34" s="209"/>
      <c r="F34" s="209">
        <f>Lafayette!K17</f>
        <v>775000</v>
      </c>
      <c r="G34" s="209">
        <f>Lafayette!K13+Lafayette!K14</f>
        <v>4059507</v>
      </c>
      <c r="H34" s="209">
        <f>Lafayette!K16</f>
        <v>1652</v>
      </c>
      <c r="I34" s="209">
        <f t="shared" si="35"/>
        <v>45172090</v>
      </c>
      <c r="J34" s="215" t="str">
        <f t="shared" si="11"/>
        <v>ok</v>
      </c>
      <c r="K34" s="210">
        <f>Lafayette!K19</f>
        <v>45172090</v>
      </c>
      <c r="L34" s="211"/>
      <c r="M34" s="209">
        <f>Lafayette!K24+Lafayette!K25+Lafayette!K27+Lafayette!K28</f>
        <v>1893208</v>
      </c>
      <c r="N34" s="209"/>
      <c r="O34" s="209">
        <f>Lafayette!K29+Lafayette!K30</f>
        <v>436433</v>
      </c>
      <c r="P34" s="209">
        <f>Lafayette!K32</f>
        <v>2411</v>
      </c>
      <c r="Q34" s="209">
        <f t="shared" si="36"/>
        <v>2332052</v>
      </c>
      <c r="R34" s="215" t="str">
        <f t="shared" si="12"/>
        <v>ok</v>
      </c>
      <c r="S34" s="210">
        <f>Lafayette!K34</f>
        <v>2332052</v>
      </c>
      <c r="T34" s="211"/>
      <c r="U34" s="209">
        <f>Lafayette!K39+Lafayette!K46</f>
        <v>672104</v>
      </c>
      <c r="V34" s="209">
        <f>Lafayette!K48</f>
        <v>2774438</v>
      </c>
      <c r="W34" s="209">
        <f>Lafayette!K49</f>
        <v>39393496</v>
      </c>
      <c r="X34" s="209">
        <f t="shared" si="37"/>
        <v>42840038</v>
      </c>
      <c r="Y34" s="209">
        <f t="shared" si="10"/>
        <v>45172090</v>
      </c>
      <c r="Z34" s="70" t="str">
        <f t="shared" si="17"/>
        <v>ok</v>
      </c>
      <c r="AA34" s="210">
        <f>Lafayette!K53</f>
        <v>45172090</v>
      </c>
    </row>
    <row r="35" spans="1:27" ht="15" customHeight="1">
      <c r="A35" s="68" t="s">
        <v>937</v>
      </c>
      <c r="B35" s="61">
        <f>Lafourche!K7</f>
        <v>2493094</v>
      </c>
      <c r="C35" s="61">
        <f>Lafourche!K8</f>
        <v>28364</v>
      </c>
      <c r="D35" s="61">
        <f>Lafourche!K9</f>
        <v>468148</v>
      </c>
      <c r="E35" s="61"/>
      <c r="F35" s="61"/>
      <c r="G35" s="61">
        <f>Lafourche!K10+Lafourche!K11</f>
        <v>14864994</v>
      </c>
      <c r="H35" s="61">
        <f>Lafourche!K13</f>
        <v>955831</v>
      </c>
      <c r="I35" s="61">
        <f t="shared" ref="I35:I37" si="38">SUM(B35:H35)</f>
        <v>18810431</v>
      </c>
      <c r="J35" s="215" t="str">
        <f t="shared" si="11"/>
        <v>ok</v>
      </c>
      <c r="K35" s="60">
        <f>Lafourche!K15</f>
        <v>18810431</v>
      </c>
      <c r="L35" s="88"/>
      <c r="M35" s="61">
        <f>Lafourche!K19+Lafourche!K20+Lafourche!K21</f>
        <v>974710</v>
      </c>
      <c r="N35" s="61"/>
      <c r="O35" s="61">
        <f>Lafourche!K22</f>
        <v>13293086</v>
      </c>
      <c r="P35" s="61">
        <f>Lafourche!K24</f>
        <v>4414</v>
      </c>
      <c r="Q35" s="61">
        <f t="shared" ref="Q35:Q37" si="39">SUM(M35:P35)</f>
        <v>14272210</v>
      </c>
      <c r="R35" s="215" t="str">
        <f t="shared" si="12"/>
        <v>ok</v>
      </c>
      <c r="S35" s="60">
        <f>Lafourche!K26</f>
        <v>14272210</v>
      </c>
      <c r="T35" s="88"/>
      <c r="U35" s="61">
        <f>Lafourche!K29+Lafourche!K31</f>
        <v>2776238</v>
      </c>
      <c r="V35" s="61"/>
      <c r="W35" s="61">
        <f>Lafourche!K40</f>
        <v>1761983</v>
      </c>
      <c r="X35" s="61">
        <f t="shared" ref="X35" si="40">SUM(U35:W35)</f>
        <v>4538221</v>
      </c>
      <c r="Y35" s="61">
        <f t="shared" ref="Y35:Y38" si="41">SUM(Q35+X35+T35)</f>
        <v>18810431</v>
      </c>
      <c r="Z35" s="70" t="str">
        <f t="shared" si="17"/>
        <v>ok</v>
      </c>
      <c r="AA35" s="60">
        <f>Lafourche!K44</f>
        <v>18810431</v>
      </c>
    </row>
    <row r="36" spans="1:27" ht="15" customHeight="1">
      <c r="A36" s="68" t="s">
        <v>938</v>
      </c>
      <c r="B36" s="61">
        <f>LaSalle!K6</f>
        <v>222061</v>
      </c>
      <c r="C36" s="61"/>
      <c r="D36" s="61">
        <f>LaSalle!K8</f>
        <v>372247</v>
      </c>
      <c r="E36" s="61"/>
      <c r="F36" s="61"/>
      <c r="G36" s="61"/>
      <c r="H36" s="61"/>
      <c r="I36" s="61">
        <f>SUM(B36:H36)</f>
        <v>594308</v>
      </c>
      <c r="J36" s="215" t="str">
        <f>IF(I36=K36, "ok", "check")</f>
        <v>ok</v>
      </c>
      <c r="K36" s="60">
        <f>LaSalle!K10</f>
        <v>594308</v>
      </c>
      <c r="L36" s="88"/>
      <c r="M36" s="61">
        <f>LaSalle!K15+LaSalle!K16</f>
        <v>230043</v>
      </c>
      <c r="N36" s="61"/>
      <c r="O36" s="61"/>
      <c r="P36" s="61"/>
      <c r="Q36" s="61">
        <f>SUM(M36:P36)</f>
        <v>230043</v>
      </c>
      <c r="R36" s="215" t="str">
        <f>IF(Q36=S36, "ok", "check")</f>
        <v>ok</v>
      </c>
      <c r="S36" s="60">
        <f>LaSalle!K18</f>
        <v>230043</v>
      </c>
      <c r="T36" s="88"/>
      <c r="U36" s="61"/>
      <c r="V36" s="61"/>
      <c r="W36" s="61">
        <f>LaSalle!K28</f>
        <v>364265</v>
      </c>
      <c r="X36" s="61">
        <f>SUM(U36:W36)</f>
        <v>364265</v>
      </c>
      <c r="Y36" s="61">
        <f>SUM(Q36+X36+T36)</f>
        <v>594308</v>
      </c>
      <c r="Z36" s="70" t="str">
        <f>IF(Y36=AA36, "ok", "check")</f>
        <v>ok</v>
      </c>
      <c r="AA36" s="60">
        <f>LaSalle!K32</f>
        <v>594308</v>
      </c>
    </row>
    <row r="37" spans="1:27" ht="15" customHeight="1">
      <c r="A37" s="68" t="s">
        <v>939</v>
      </c>
      <c r="B37" s="61">
        <f>Lincoln!K6</f>
        <v>1513461</v>
      </c>
      <c r="C37" s="61">
        <f>Lincoln!K7</f>
        <v>2075344</v>
      </c>
      <c r="D37" s="61">
        <f>Lincoln!K8</f>
        <v>1279234</v>
      </c>
      <c r="E37" s="61"/>
      <c r="F37" s="61"/>
      <c r="G37" s="61">
        <f>Lincoln!K9+Lincoln!K10</f>
        <v>789308</v>
      </c>
      <c r="H37" s="61"/>
      <c r="I37" s="61">
        <f t="shared" si="38"/>
        <v>5657347</v>
      </c>
      <c r="J37" s="215" t="str">
        <f t="shared" si="11"/>
        <v>ok</v>
      </c>
      <c r="K37" s="60">
        <f>Lincoln!K13</f>
        <v>5657347</v>
      </c>
      <c r="L37" s="88"/>
      <c r="M37" s="61">
        <f>Lincoln!K18+Lincoln!K19</f>
        <v>308769</v>
      </c>
      <c r="N37" s="61"/>
      <c r="O37" s="61">
        <f>Lincoln!K20+Lincoln!K21</f>
        <v>1636356</v>
      </c>
      <c r="P37" s="61"/>
      <c r="Q37" s="61">
        <f t="shared" si="39"/>
        <v>1945125</v>
      </c>
      <c r="R37" s="215" t="str">
        <f t="shared" si="12"/>
        <v>ok</v>
      </c>
      <c r="S37" s="60">
        <f>Lincoln!K23</f>
        <v>1945125</v>
      </c>
      <c r="T37" s="88"/>
      <c r="U37" s="61">
        <f>Lincoln!K26</f>
        <v>0</v>
      </c>
      <c r="V37" s="61"/>
      <c r="W37" s="61">
        <f>Lincoln!K29</f>
        <v>3712222</v>
      </c>
      <c r="X37" s="61">
        <f t="shared" ref="X37" si="42">SUM(U37:W37)</f>
        <v>3712222</v>
      </c>
      <c r="Y37" s="61">
        <f t="shared" si="41"/>
        <v>5657347</v>
      </c>
      <c r="Z37" s="70" t="str">
        <f t="shared" si="17"/>
        <v>ok</v>
      </c>
      <c r="AA37" s="60">
        <f>Lincoln!K33</f>
        <v>5657347</v>
      </c>
    </row>
    <row r="38" spans="1:27" ht="15" customHeight="1">
      <c r="A38" s="68" t="s">
        <v>940</v>
      </c>
      <c r="B38" s="61">
        <f>Livingston!K7+Livingston!K8+Livingston!K12</f>
        <v>3357399</v>
      </c>
      <c r="C38" s="61">
        <f>Livingston!K9</f>
        <v>71276</v>
      </c>
      <c r="D38" s="61">
        <f>Livingston!K10</f>
        <v>522803</v>
      </c>
      <c r="E38" s="61"/>
      <c r="F38" s="61">
        <f>Livingston!K17</f>
        <v>3431708</v>
      </c>
      <c r="G38" s="61">
        <f>Livingston!K15+Livingston!K16</f>
        <v>5493670</v>
      </c>
      <c r="H38" s="61"/>
      <c r="I38" s="61">
        <f t="shared" ref="I38:I41" si="43">SUM(B38:H38)</f>
        <v>12876856</v>
      </c>
      <c r="J38" s="215" t="str">
        <f t="shared" ref="J38:J41" si="44">IF(I38=K38, "ok", "check")</f>
        <v>ok</v>
      </c>
      <c r="K38" s="60">
        <f>Livingston!K19</f>
        <v>12876856</v>
      </c>
      <c r="L38" s="88"/>
      <c r="M38" s="61">
        <f>Livingston!K23+Livingston!K25</f>
        <v>539073</v>
      </c>
      <c r="N38" s="61">
        <f>Livingston!K29</f>
        <v>19700</v>
      </c>
      <c r="O38" s="61">
        <f>Livingston!K27+Livingston!K28</f>
        <v>1093834</v>
      </c>
      <c r="P38" s="61"/>
      <c r="Q38" s="61">
        <f t="shared" ref="Q38:Q41" si="45">SUM(M38:P38)</f>
        <v>1652607</v>
      </c>
      <c r="R38" s="215" t="str">
        <f t="shared" ref="R38:R41" si="46">IF(Q38=S38, "ok", "check")</f>
        <v>ok</v>
      </c>
      <c r="S38" s="60">
        <f>Livingston!K32</f>
        <v>1652607</v>
      </c>
      <c r="T38" s="88"/>
      <c r="U38" s="61">
        <f>Livingston!K37+Livingston!K43</f>
        <v>3529604</v>
      </c>
      <c r="V38" s="61">
        <f>Livingston!K47+Livingston!K48+Livingston!K54</f>
        <v>285846</v>
      </c>
      <c r="W38" s="61">
        <f>Livingston!K55</f>
        <v>7408799</v>
      </c>
      <c r="X38" s="61">
        <f t="shared" ref="X38:X41" si="47">SUM(U38:W38)</f>
        <v>11224249</v>
      </c>
      <c r="Y38" s="61">
        <f t="shared" si="41"/>
        <v>12876856</v>
      </c>
      <c r="Z38" s="70" t="str">
        <f t="shared" si="17"/>
        <v>ok</v>
      </c>
      <c r="AA38" s="60">
        <f>Livingston!K59</f>
        <v>12876856</v>
      </c>
    </row>
    <row r="39" spans="1:27" ht="15" customHeight="1">
      <c r="A39" s="68" t="s">
        <v>941</v>
      </c>
      <c r="B39" s="61">
        <f>Madison!K7</f>
        <v>173630</v>
      </c>
      <c r="C39" s="61"/>
      <c r="D39" s="61">
        <f>Madison!K9+Madison!K10</f>
        <v>1014355</v>
      </c>
      <c r="E39" s="61"/>
      <c r="F39" s="61"/>
      <c r="G39" s="61"/>
      <c r="H39" s="61"/>
      <c r="I39" s="61">
        <f t="shared" si="43"/>
        <v>1187985</v>
      </c>
      <c r="J39" s="215" t="str">
        <f t="shared" si="44"/>
        <v>ok</v>
      </c>
      <c r="K39" s="60">
        <f>Madison!K12</f>
        <v>1187985</v>
      </c>
      <c r="L39" s="88"/>
      <c r="M39" s="61">
        <f>Madison!K16+Madison!K17</f>
        <v>474520</v>
      </c>
      <c r="N39" s="61"/>
      <c r="O39" s="61"/>
      <c r="P39" s="61"/>
      <c r="Q39" s="61">
        <f t="shared" si="45"/>
        <v>474520</v>
      </c>
      <c r="R39" s="215" t="str">
        <f t="shared" si="46"/>
        <v>ok</v>
      </c>
      <c r="S39" s="60">
        <f>Madison!K19</f>
        <v>474520</v>
      </c>
      <c r="T39" s="88"/>
      <c r="U39" s="61"/>
      <c r="V39" s="61"/>
      <c r="W39" s="61">
        <f>Madison!K23</f>
        <v>713465</v>
      </c>
      <c r="X39" s="61">
        <f t="shared" si="47"/>
        <v>713465</v>
      </c>
      <c r="Y39" s="61">
        <f t="shared" ref="Y39:Y43" si="48">SUM(Q39+X39+T39)</f>
        <v>1187985</v>
      </c>
      <c r="Z39" s="70" t="str">
        <f t="shared" si="17"/>
        <v>ok</v>
      </c>
      <c r="AA39" s="60">
        <f>Madison!K27</f>
        <v>1187985</v>
      </c>
    </row>
    <row r="40" spans="1:27" ht="15" customHeight="1">
      <c r="A40" s="68" t="s">
        <v>942</v>
      </c>
      <c r="B40" s="61"/>
      <c r="C40" s="61">
        <f>Morehouse!K8</f>
        <v>25000</v>
      </c>
      <c r="D40" s="61">
        <f>Morehouse!K9</f>
        <v>616047</v>
      </c>
      <c r="E40" s="61"/>
      <c r="F40" s="61"/>
      <c r="G40" s="61">
        <f>Morehouse!K10</f>
        <v>0</v>
      </c>
      <c r="H40" s="61"/>
      <c r="I40" s="61">
        <f t="shared" si="43"/>
        <v>641047</v>
      </c>
      <c r="J40" s="215" t="str">
        <f t="shared" si="44"/>
        <v>ok</v>
      </c>
      <c r="K40" s="60">
        <f>Morehouse!K12</f>
        <v>641047</v>
      </c>
      <c r="L40" s="88"/>
      <c r="M40" s="61">
        <f>Morehouse!K16</f>
        <v>135161</v>
      </c>
      <c r="N40" s="61"/>
      <c r="O40" s="61">
        <f>Morehouse!K18</f>
        <v>9402</v>
      </c>
      <c r="P40" s="61">
        <f>Morehouse!K15+Morehouse!K17</f>
        <v>1556344</v>
      </c>
      <c r="Q40" s="61">
        <f t="shared" si="45"/>
        <v>1700907</v>
      </c>
      <c r="R40" s="215" t="str">
        <f t="shared" si="46"/>
        <v>ok</v>
      </c>
      <c r="S40" s="60">
        <f>Morehouse!K20</f>
        <v>1700907</v>
      </c>
      <c r="T40" s="88">
        <f>Morehouse!K23</f>
        <v>524600</v>
      </c>
      <c r="U40" s="61"/>
      <c r="V40" s="61"/>
      <c r="W40" s="61">
        <f>Morehouse!K28</f>
        <v>-1584460</v>
      </c>
      <c r="X40" s="61">
        <f t="shared" si="47"/>
        <v>-1584460</v>
      </c>
      <c r="Y40" s="61">
        <f t="shared" si="48"/>
        <v>641047</v>
      </c>
      <c r="Z40" s="70" t="str">
        <f t="shared" si="17"/>
        <v>ok</v>
      </c>
      <c r="AA40" s="60">
        <f>Morehouse!K32</f>
        <v>641047</v>
      </c>
    </row>
    <row r="41" spans="1:27" ht="15" customHeight="1">
      <c r="A41" s="68" t="s">
        <v>943</v>
      </c>
      <c r="B41" s="61">
        <f>Natchitoches!K7</f>
        <v>822299</v>
      </c>
      <c r="C41" s="61"/>
      <c r="D41" s="61">
        <f>Natchitoches!K8</f>
        <v>948256</v>
      </c>
      <c r="E41" s="61"/>
      <c r="F41" s="61"/>
      <c r="G41" s="61"/>
      <c r="H41" s="61"/>
      <c r="I41" s="61">
        <f t="shared" si="43"/>
        <v>1770555</v>
      </c>
      <c r="J41" s="215" t="str">
        <f t="shared" si="44"/>
        <v>ok</v>
      </c>
      <c r="K41" s="60">
        <f>Natchitoches!K11</f>
        <v>1770555</v>
      </c>
      <c r="L41" s="88"/>
      <c r="M41" s="61">
        <f>Natchitoches!K15+Natchitoches!K16</f>
        <v>342905</v>
      </c>
      <c r="N41" s="61"/>
      <c r="O41" s="61"/>
      <c r="P41" s="61">
        <f>Natchitoches!K18</f>
        <v>0</v>
      </c>
      <c r="Q41" s="61">
        <f t="shared" si="45"/>
        <v>342905</v>
      </c>
      <c r="R41" s="215" t="str">
        <f t="shared" si="46"/>
        <v>ok</v>
      </c>
      <c r="S41" s="60">
        <f>Natchitoches!K20</f>
        <v>342905</v>
      </c>
      <c r="T41" s="88"/>
      <c r="U41" s="61"/>
      <c r="V41" s="61"/>
      <c r="W41" s="61">
        <f>Natchitoches!K25</f>
        <v>1427650</v>
      </c>
      <c r="X41" s="61">
        <f t="shared" si="47"/>
        <v>1427650</v>
      </c>
      <c r="Y41" s="61">
        <f t="shared" si="48"/>
        <v>1770555</v>
      </c>
      <c r="Z41" s="70" t="str">
        <f t="shared" si="17"/>
        <v>ok</v>
      </c>
      <c r="AA41" s="60">
        <f>Natchitoches!K29</f>
        <v>1770555</v>
      </c>
    </row>
    <row r="42" spans="1:27" ht="15" customHeight="1">
      <c r="A42" s="68" t="s">
        <v>944</v>
      </c>
      <c r="B42" s="61">
        <f>Orleans!K7</f>
        <v>54520</v>
      </c>
      <c r="C42" s="61">
        <f>Orleans!K8</f>
        <v>768</v>
      </c>
      <c r="D42" s="61">
        <f>Orleans!K10+Orleans!K11+Orleans!K12+Orleans!K13</f>
        <v>40518</v>
      </c>
      <c r="E42" s="61"/>
      <c r="F42" s="61">
        <f>Orleans!K19</f>
        <v>3</v>
      </c>
      <c r="G42" s="61">
        <f>Orleans!K15+Orleans!K16+Orleans!K17+Orleans!K18</f>
        <v>23393</v>
      </c>
      <c r="H42" s="61"/>
      <c r="I42" s="61">
        <f t="shared" si="35"/>
        <v>119202</v>
      </c>
      <c r="J42" s="215" t="str">
        <f t="shared" si="11"/>
        <v>ok</v>
      </c>
      <c r="K42" s="60">
        <f>Orleans!K21</f>
        <v>119202</v>
      </c>
      <c r="L42" s="88"/>
      <c r="M42" s="61">
        <f>Orleans!K24</f>
        <v>37398</v>
      </c>
      <c r="N42" s="61"/>
      <c r="O42" s="61">
        <f>Orleans!K27+Orleans!K28</f>
        <v>1186</v>
      </c>
      <c r="P42" s="61">
        <f>Orleans!K29</f>
        <v>44</v>
      </c>
      <c r="Q42" s="61">
        <f t="shared" si="36"/>
        <v>38628</v>
      </c>
      <c r="R42" s="215" t="str">
        <f t="shared" si="12"/>
        <v>ok</v>
      </c>
      <c r="S42" s="60">
        <f>Orleans!K32</f>
        <v>38628</v>
      </c>
      <c r="T42" s="88">
        <f>Orleans!K35</f>
        <v>5001</v>
      </c>
      <c r="U42" s="61">
        <f>Orleans!K41+Orleans!K42+Orleans!K43</f>
        <v>40526</v>
      </c>
      <c r="V42" s="61"/>
      <c r="W42" s="61">
        <f>Orleans!K44</f>
        <v>35047</v>
      </c>
      <c r="X42" s="61">
        <f t="shared" si="37"/>
        <v>75573</v>
      </c>
      <c r="Y42" s="61">
        <f t="shared" si="48"/>
        <v>119202</v>
      </c>
      <c r="Z42" s="70" t="str">
        <f t="shared" si="17"/>
        <v>ok</v>
      </c>
      <c r="AA42" s="60">
        <f>Orleans!K48</f>
        <v>119202</v>
      </c>
    </row>
    <row r="43" spans="1:27" ht="15" customHeight="1">
      <c r="A43" s="68" t="s">
        <v>945</v>
      </c>
      <c r="B43" s="61">
        <f>Ouachita!K7</f>
        <v>5154347</v>
      </c>
      <c r="C43" s="61">
        <f>Ouachita!K8</f>
        <v>1248000</v>
      </c>
      <c r="D43" s="61">
        <f>Ouachita!K10+Ouachita!K13</f>
        <v>3392612</v>
      </c>
      <c r="E43" s="61">
        <f>Ouachita!K17</f>
        <v>2341</v>
      </c>
      <c r="F43" s="61"/>
      <c r="G43" s="61">
        <f>Ouachita!K14+Ouachita!K15</f>
        <v>1046196</v>
      </c>
      <c r="H43" s="61">
        <f>Ouachita!K16</f>
        <v>45</v>
      </c>
      <c r="I43" s="61">
        <f t="shared" si="35"/>
        <v>10843541</v>
      </c>
      <c r="J43" s="215" t="str">
        <f t="shared" si="11"/>
        <v>ok</v>
      </c>
      <c r="K43" s="60">
        <f>Ouachita!K19</f>
        <v>10843541</v>
      </c>
      <c r="L43" s="88"/>
      <c r="M43" s="61">
        <f>Ouachita!K23</f>
        <v>925141</v>
      </c>
      <c r="N43" s="61">
        <f>Ouachita!K25</f>
        <v>343438</v>
      </c>
      <c r="O43" s="61">
        <f>Ouachita!K24</f>
        <v>13901</v>
      </c>
      <c r="P43" s="61">
        <f>Ouachita!K26</f>
        <v>2970</v>
      </c>
      <c r="Q43" s="61">
        <f t="shared" si="36"/>
        <v>1285450</v>
      </c>
      <c r="R43" s="215" t="str">
        <f t="shared" si="12"/>
        <v>ok</v>
      </c>
      <c r="S43" s="60">
        <f>Ouachita!K28</f>
        <v>1285450</v>
      </c>
      <c r="T43" s="88"/>
      <c r="U43" s="61">
        <f>Ouachita!K33+Ouachita!K34+Ouachita!K37</f>
        <v>4378033</v>
      </c>
      <c r="V43" s="61"/>
      <c r="W43" s="61">
        <f>Ouachita!K38</f>
        <v>5180058</v>
      </c>
      <c r="X43" s="61">
        <f t="shared" si="37"/>
        <v>9558091</v>
      </c>
      <c r="Y43" s="61">
        <f t="shared" si="48"/>
        <v>10843541</v>
      </c>
      <c r="Z43" s="70" t="str">
        <f t="shared" si="17"/>
        <v>ok</v>
      </c>
      <c r="AA43" s="60">
        <f>Ouachita!K42</f>
        <v>10843541</v>
      </c>
    </row>
    <row r="44" spans="1:27" ht="15" customHeight="1">
      <c r="A44" s="68" t="s">
        <v>946</v>
      </c>
      <c r="B44" s="61">
        <f>Plaquemines!K7</f>
        <v>8952201</v>
      </c>
      <c r="C44" s="61">
        <f>Plaquemines!K8</f>
        <v>1497</v>
      </c>
      <c r="D44" s="61">
        <f>Plaquemines!K9</f>
        <v>11209554</v>
      </c>
      <c r="E44" s="61"/>
      <c r="F44" s="61">
        <f>Plaquemines!K12</f>
        <v>2073727</v>
      </c>
      <c r="G44" s="61">
        <f>Plaquemines!K10</f>
        <v>24266587</v>
      </c>
      <c r="H44" s="61">
        <f>Plaquemines!K11</f>
        <v>1199944</v>
      </c>
      <c r="I44" s="61">
        <f t="shared" si="35"/>
        <v>47703510</v>
      </c>
      <c r="J44" s="215" t="str">
        <f t="shared" si="11"/>
        <v>ok</v>
      </c>
      <c r="K44" s="60">
        <f>Plaquemines!K14</f>
        <v>47703510</v>
      </c>
      <c r="L44" s="88"/>
      <c r="M44" s="61">
        <f>Plaquemines!K18+Plaquemines!K19</f>
        <v>4237198</v>
      </c>
      <c r="N44" s="61"/>
      <c r="O44" s="61">
        <f>Plaquemines!K21+Plaquemines!K22</f>
        <v>141903</v>
      </c>
      <c r="P44" s="61">
        <f>Plaquemines!K23</f>
        <v>581953</v>
      </c>
      <c r="Q44" s="61">
        <f t="shared" si="36"/>
        <v>4961054</v>
      </c>
      <c r="R44" s="215" t="str">
        <f t="shared" si="12"/>
        <v>ok</v>
      </c>
      <c r="S44" s="60">
        <f>Plaquemines!K25</f>
        <v>4961054</v>
      </c>
      <c r="T44" s="88">
        <f>Plaquemines!K28</f>
        <v>3806309</v>
      </c>
      <c r="U44" s="61">
        <f>Plaquemines!K31+Plaquemines!K32+Plaquemines!K33</f>
        <v>33835581</v>
      </c>
      <c r="V44" s="61">
        <f>Plaquemines!K34</f>
        <v>919993</v>
      </c>
      <c r="W44" s="61">
        <f>Plaquemines!K35</f>
        <v>4180573</v>
      </c>
      <c r="X44" s="61">
        <f t="shared" si="37"/>
        <v>38936147</v>
      </c>
      <c r="Y44" s="61">
        <f t="shared" si="10"/>
        <v>47703510</v>
      </c>
      <c r="Z44" s="70" t="str">
        <f t="shared" si="17"/>
        <v>ok</v>
      </c>
      <c r="AA44" s="60">
        <f>Plaquemines!K39</f>
        <v>47703510</v>
      </c>
    </row>
    <row r="45" spans="1:27" ht="15" customHeight="1">
      <c r="A45" s="68" t="s">
        <v>947</v>
      </c>
      <c r="B45" s="61">
        <f>'Pointe Couppe '!K6</f>
        <v>14821</v>
      </c>
      <c r="C45" s="61">
        <f>'Pointe Couppe '!K8</f>
        <v>1459366</v>
      </c>
      <c r="D45" s="61"/>
      <c r="E45" s="61"/>
      <c r="F45" s="61">
        <f>'Pointe Couppe '!K12</f>
        <v>14213</v>
      </c>
      <c r="G45" s="61">
        <f>'Pointe Couppe '!K9+'Pointe Couppe '!K10</f>
        <v>2251864</v>
      </c>
      <c r="H45" s="61">
        <f>'Pointe Couppe '!K11</f>
        <v>110525</v>
      </c>
      <c r="I45" s="61">
        <f t="shared" si="35"/>
        <v>3850789</v>
      </c>
      <c r="J45" s="215" t="str">
        <f t="shared" si="11"/>
        <v>ok</v>
      </c>
      <c r="K45" s="60">
        <f>'Pointe Couppe '!K14</f>
        <v>3850789</v>
      </c>
      <c r="L45" s="88"/>
      <c r="M45" s="61">
        <f>'Pointe Couppe '!K18</f>
        <v>344002</v>
      </c>
      <c r="N45" s="61"/>
      <c r="O45" s="61">
        <f>'Pointe Couppe '!K19+'Pointe Couppe '!K20</f>
        <v>3400937</v>
      </c>
      <c r="P45" s="61"/>
      <c r="Q45" s="61">
        <f t="shared" si="36"/>
        <v>3744939</v>
      </c>
      <c r="R45" s="215" t="str">
        <f t="shared" si="12"/>
        <v>ok</v>
      </c>
      <c r="S45" s="60">
        <f>'Pointe Couppe '!K22</f>
        <v>3744939</v>
      </c>
      <c r="T45" s="88">
        <f>'Pointe Couppe '!K25</f>
        <v>22863</v>
      </c>
      <c r="U45" s="61">
        <f>'Pointe Couppe '!K28+'Pointe Couppe '!K30</f>
        <v>110525</v>
      </c>
      <c r="V45" s="61"/>
      <c r="W45" s="61">
        <f>'Pointe Couppe '!K32</f>
        <v>-27538</v>
      </c>
      <c r="X45" s="61">
        <f t="shared" ref="X45:X49" si="49">SUM(U45:W45)</f>
        <v>82987</v>
      </c>
      <c r="Y45" s="61">
        <f t="shared" si="10"/>
        <v>3850789</v>
      </c>
      <c r="Z45" s="70" t="str">
        <f t="shared" si="17"/>
        <v>ok</v>
      </c>
      <c r="AA45" s="60">
        <f>'Pointe Couppe '!K36</f>
        <v>3850789</v>
      </c>
    </row>
    <row r="46" spans="1:27" ht="15" customHeight="1">
      <c r="A46" s="68" t="s">
        <v>948</v>
      </c>
      <c r="B46" s="61">
        <f>Rapides!K7</f>
        <v>1909591</v>
      </c>
      <c r="C46" s="61"/>
      <c r="D46" s="61">
        <f>Rapides!K8+Rapides!K9</f>
        <v>2921364</v>
      </c>
      <c r="E46" s="61"/>
      <c r="F46" s="61"/>
      <c r="G46" s="61"/>
      <c r="H46" s="61"/>
      <c r="I46" s="61">
        <f t="shared" ref="I46:I48" si="50">SUM(B46:H46)</f>
        <v>4830955</v>
      </c>
      <c r="J46" s="215" t="str">
        <f t="shared" ref="J46:J48" si="51">IF(I46=K46, "ok", "check")</f>
        <v>ok</v>
      </c>
      <c r="K46" s="60">
        <f>Rapides!K12</f>
        <v>4830955</v>
      </c>
      <c r="L46" s="88"/>
      <c r="M46" s="61">
        <f>Rapides!K16+Rapides!K17</f>
        <v>300302</v>
      </c>
      <c r="N46" s="61"/>
      <c r="O46" s="61"/>
      <c r="P46" s="61"/>
      <c r="Q46" s="61">
        <f t="shared" ref="Q46:Q48" si="52">SUM(M46:P46)</f>
        <v>300302</v>
      </c>
      <c r="R46" s="215" t="str">
        <f t="shared" ref="R46:R48" si="53">IF(Q46=S46, "ok", "check")</f>
        <v>ok</v>
      </c>
      <c r="S46" s="60">
        <f>Rapides!K20</f>
        <v>300302</v>
      </c>
      <c r="T46" s="88"/>
      <c r="U46" s="61">
        <f>Rapides!K26+Rapides!K31</f>
        <v>1310593</v>
      </c>
      <c r="V46" s="61"/>
      <c r="W46" s="61">
        <f>Rapides!K32</f>
        <v>3220060</v>
      </c>
      <c r="X46" s="61">
        <f t="shared" si="49"/>
        <v>4530653</v>
      </c>
      <c r="Y46" s="61">
        <f>SUM(Q46+X46+T46)</f>
        <v>4830955</v>
      </c>
      <c r="Z46" s="70" t="str">
        <f t="shared" si="17"/>
        <v>ok</v>
      </c>
      <c r="AA46" s="60">
        <f>Rapides!K36</f>
        <v>4830955</v>
      </c>
    </row>
    <row r="47" spans="1:27" ht="15" customHeight="1">
      <c r="A47" s="68" t="s">
        <v>949</v>
      </c>
      <c r="B47" s="61">
        <f>'Red River'!K6</f>
        <v>4544578</v>
      </c>
      <c r="C47" s="61">
        <f>'Red River'!K7</f>
        <v>2497396</v>
      </c>
      <c r="D47" s="61">
        <f>'Red River'!K8</f>
        <v>923493</v>
      </c>
      <c r="E47" s="61"/>
      <c r="F47" s="61"/>
      <c r="G47" s="61">
        <f>'Red River'!K9</f>
        <v>3221</v>
      </c>
      <c r="H47" s="61">
        <f>'Red River'!K10</f>
        <v>11785</v>
      </c>
      <c r="I47" s="61">
        <f t="shared" si="50"/>
        <v>7980473</v>
      </c>
      <c r="J47" s="215" t="str">
        <f t="shared" si="51"/>
        <v>ok</v>
      </c>
      <c r="K47" s="60">
        <f>'Red River'!K12</f>
        <v>7980473</v>
      </c>
      <c r="L47" s="88"/>
      <c r="M47" s="61">
        <f>'Red River'!K21</f>
        <v>0</v>
      </c>
      <c r="N47" s="61"/>
      <c r="O47" s="61"/>
      <c r="P47" s="61"/>
      <c r="Q47" s="61">
        <f t="shared" si="52"/>
        <v>0</v>
      </c>
      <c r="R47" s="215" t="str">
        <f t="shared" si="53"/>
        <v>ok</v>
      </c>
      <c r="S47" s="60">
        <f>'Red River'!K23</f>
        <v>0</v>
      </c>
      <c r="T47" s="88">
        <f>'Red River'!K25</f>
        <v>45666</v>
      </c>
      <c r="U47" s="61">
        <f>'Red River'!K29</f>
        <v>11785</v>
      </c>
      <c r="V47" s="61"/>
      <c r="W47" s="61">
        <f>'Red River'!K43</f>
        <v>7755591</v>
      </c>
      <c r="X47" s="61">
        <f>SUM(U47:W47)</f>
        <v>7767376</v>
      </c>
      <c r="Y47" s="61">
        <f>SUM(Q47+X47+T47)</f>
        <v>7813042</v>
      </c>
      <c r="Z47" s="70" t="str">
        <f t="shared" si="17"/>
        <v>ok</v>
      </c>
      <c r="AA47" s="60">
        <f>'Red River'!K47</f>
        <v>7813042</v>
      </c>
    </row>
    <row r="48" spans="1:27" ht="15" customHeight="1">
      <c r="A48" s="68" t="s">
        <v>950</v>
      </c>
      <c r="B48" s="61">
        <f>Richland!K7</f>
        <v>1890719</v>
      </c>
      <c r="C48" s="61"/>
      <c r="D48" s="61">
        <f>Richland!K8</f>
        <v>1175915</v>
      </c>
      <c r="E48" s="61"/>
      <c r="F48" s="61"/>
      <c r="G48" s="61"/>
      <c r="H48" s="61"/>
      <c r="I48" s="61">
        <f t="shared" si="50"/>
        <v>3066634</v>
      </c>
      <c r="J48" s="215" t="str">
        <f t="shared" si="51"/>
        <v>ok</v>
      </c>
      <c r="K48" s="60">
        <f>Richland!K10</f>
        <v>3066634</v>
      </c>
      <c r="L48" s="88"/>
      <c r="M48" s="61">
        <f>Richland!K13</f>
        <v>30184</v>
      </c>
      <c r="N48" s="61"/>
      <c r="O48" s="61"/>
      <c r="P48" s="61">
        <f>Richland!K14</f>
        <v>61306</v>
      </c>
      <c r="Q48" s="61">
        <f t="shared" si="52"/>
        <v>91490</v>
      </c>
      <c r="R48" s="215" t="str">
        <f t="shared" si="53"/>
        <v>ok</v>
      </c>
      <c r="S48" s="60">
        <f>Richland!K16</f>
        <v>91490</v>
      </c>
      <c r="T48" s="88">
        <f>Richland!K19</f>
        <v>1108210</v>
      </c>
      <c r="U48" s="61"/>
      <c r="V48" s="61"/>
      <c r="W48" s="61">
        <f>Richland!K23</f>
        <v>1866934</v>
      </c>
      <c r="X48" s="61">
        <f t="shared" si="49"/>
        <v>1866934</v>
      </c>
      <c r="Y48" s="61">
        <f t="shared" ref="Y48" si="54">SUM(Q48+X48+T48)</f>
        <v>3066634</v>
      </c>
      <c r="Z48" s="70" t="str">
        <f t="shared" si="17"/>
        <v>ok</v>
      </c>
      <c r="AA48" s="60">
        <f>Richland!K27</f>
        <v>3066634</v>
      </c>
    </row>
    <row r="49" spans="1:27" ht="15" customHeight="1">
      <c r="A49" s="68" t="s">
        <v>951</v>
      </c>
      <c r="B49" s="61">
        <f>Sabine!K7</f>
        <v>5759098</v>
      </c>
      <c r="C49" s="61"/>
      <c r="D49" s="61">
        <f>Sabine!K8+Sabine!K9</f>
        <v>1129322</v>
      </c>
      <c r="E49" s="61"/>
      <c r="F49" s="61"/>
      <c r="G49" s="61"/>
      <c r="H49" s="61"/>
      <c r="I49" s="61">
        <f t="shared" ref="I49" si="55">SUM(B49:H49)</f>
        <v>6888420</v>
      </c>
      <c r="J49" s="215" t="str">
        <f t="shared" ref="J49" si="56">IF(I49=K49, "ok", "check")</f>
        <v>ok</v>
      </c>
      <c r="K49" s="60">
        <f>Sabine!K11</f>
        <v>6888420</v>
      </c>
      <c r="L49" s="88"/>
      <c r="M49" s="61">
        <f>Sabine!K14+Sabine!K15</f>
        <v>60994</v>
      </c>
      <c r="N49" s="61"/>
      <c r="O49" s="61"/>
      <c r="P49" s="61"/>
      <c r="Q49" s="61">
        <f t="shared" ref="Q49" si="57">SUM(M49:P49)</f>
        <v>60994</v>
      </c>
      <c r="R49" s="215" t="str">
        <f t="shared" ref="R49" si="58">IF(Q49=S49, "ok", "check")</f>
        <v>ok</v>
      </c>
      <c r="S49" s="60">
        <f>Sabine!K17</f>
        <v>60994</v>
      </c>
      <c r="T49" s="88"/>
      <c r="U49" s="61"/>
      <c r="V49" s="61"/>
      <c r="W49" s="61">
        <f>Sabine!K21</f>
        <v>6827425</v>
      </c>
      <c r="X49" s="61">
        <f t="shared" si="49"/>
        <v>6827425</v>
      </c>
      <c r="Y49" s="61">
        <f t="shared" ref="Y49" si="59">SUM(Q49+X49+T49)</f>
        <v>6888419</v>
      </c>
      <c r="Z49" s="70" t="str">
        <f t="shared" si="17"/>
        <v>ok</v>
      </c>
      <c r="AA49" s="60">
        <f>Sabine!K25</f>
        <v>6888419</v>
      </c>
    </row>
    <row r="50" spans="1:27" ht="15" customHeight="1">
      <c r="A50" s="68" t="s">
        <v>952</v>
      </c>
      <c r="B50" s="61">
        <f>'St. Bernard'!K7</f>
        <v>9448931</v>
      </c>
      <c r="C50" s="61">
        <f>'St. Bernard'!K8</f>
        <v>3650500</v>
      </c>
      <c r="D50" s="61">
        <f>'St. Bernard'!K10+'St. Bernard'!K11+'St. Bernard'!K12+'St. Bernard'!K13+'St. Bernard'!K14</f>
        <v>5876465</v>
      </c>
      <c r="E50" s="61"/>
      <c r="F50" s="61"/>
      <c r="G50" s="61">
        <f>'St. Bernard'!K15</f>
        <v>6068350</v>
      </c>
      <c r="H50" s="61">
        <f>'St. Bernard'!K16</f>
        <v>109215</v>
      </c>
      <c r="I50" s="61">
        <f t="shared" ref="I50:I59" si="60">SUM(B50:H50)</f>
        <v>25153461</v>
      </c>
      <c r="J50" s="215" t="str">
        <f t="shared" si="11"/>
        <v>ok</v>
      </c>
      <c r="K50" s="60">
        <f>'St. Bernard'!K18</f>
        <v>25153461</v>
      </c>
      <c r="L50" s="88">
        <f>'St. Bernard'!C31</f>
        <v>0</v>
      </c>
      <c r="M50" s="61">
        <f>'St. Bernard'!K21+'St. Bernard'!K22+'St. Bernard'!K23</f>
        <v>3921087</v>
      </c>
      <c r="N50" s="61"/>
      <c r="O50" s="61">
        <f>'St. Bernard'!K24+'St. Bernard'!K25</f>
        <v>6416146</v>
      </c>
      <c r="P50" s="61">
        <f>'St. Bernard'!K26</f>
        <v>771048</v>
      </c>
      <c r="Q50" s="61">
        <f t="shared" ref="Q50:Q60" si="61">SUM(M50:P50)</f>
        <v>11108281</v>
      </c>
      <c r="R50" s="215" t="str">
        <f t="shared" si="12"/>
        <v>ok</v>
      </c>
      <c r="S50" s="60">
        <f>'St. Bernard'!K28</f>
        <v>11108281</v>
      </c>
      <c r="T50" s="88">
        <f>'St. Bernard'!K31</f>
        <v>3788526</v>
      </c>
      <c r="U50" s="61">
        <f>'St. Bernard'!K36+'St. Bernard'!K38+'St. Bernard'!K40+'St. Bernard'!K49+'St. Bernard'!K53</f>
        <v>9523575</v>
      </c>
      <c r="V50" s="61"/>
      <c r="W50" s="61">
        <f>'St. Bernard'!K56</f>
        <v>733079</v>
      </c>
      <c r="X50" s="61">
        <f t="shared" ref="X50:X60" si="62">SUM(U50:W50)</f>
        <v>10256654</v>
      </c>
      <c r="Y50" s="61">
        <f t="shared" si="10"/>
        <v>25153461</v>
      </c>
      <c r="Z50" s="70" t="str">
        <f t="shared" si="17"/>
        <v>ok</v>
      </c>
      <c r="AA50" s="60">
        <f>'St. Bernard'!K60</f>
        <v>25153461</v>
      </c>
    </row>
    <row r="51" spans="1:27" ht="15" customHeight="1">
      <c r="A51" s="68" t="s">
        <v>953</v>
      </c>
      <c r="B51" s="61">
        <f>'St. Charles'!K7</f>
        <v>1124023</v>
      </c>
      <c r="C51" s="61">
        <f>'St. Charles'!K8</f>
        <v>36694669</v>
      </c>
      <c r="D51" s="61">
        <f>'St. Charles'!K10+'St. Charles'!K11+'St. Charles'!K12+'St. Charles'!K13</f>
        <v>5606350</v>
      </c>
      <c r="E51" s="61"/>
      <c r="F51" s="61">
        <f>'St. Charles'!K17</f>
        <v>2095</v>
      </c>
      <c r="G51" s="61">
        <f>'St. Charles'!K14+'St. Charles'!K15</f>
        <v>875856</v>
      </c>
      <c r="H51" s="61">
        <f>'St. Charles'!K16</f>
        <v>449093</v>
      </c>
      <c r="I51" s="61">
        <f t="shared" si="60"/>
        <v>44752086</v>
      </c>
      <c r="J51" s="215" t="str">
        <f t="shared" si="11"/>
        <v>ok</v>
      </c>
      <c r="K51" s="60">
        <f>'St. Charles'!K19</f>
        <v>44752086</v>
      </c>
      <c r="L51" s="88">
        <f>'St. Charles'!C33</f>
        <v>0</v>
      </c>
      <c r="M51" s="61">
        <f>'St. Charles'!K23+'St. Charles'!K24</f>
        <v>2260493</v>
      </c>
      <c r="N51" s="61"/>
      <c r="O51" s="61">
        <f>'St. Charles'!K25+'St. Charles'!K27</f>
        <v>2026158</v>
      </c>
      <c r="P51" s="61">
        <f>'St. Charles'!K28</f>
        <v>693821</v>
      </c>
      <c r="Q51" s="61">
        <f t="shared" si="61"/>
        <v>4980472</v>
      </c>
      <c r="R51" s="215" t="str">
        <f t="shared" si="12"/>
        <v>ok</v>
      </c>
      <c r="S51" s="60">
        <f>'St. Charles'!K30</f>
        <v>4980472</v>
      </c>
      <c r="T51" s="88">
        <f>'St. Charles'!K33</f>
        <v>4018537</v>
      </c>
      <c r="U51" s="61">
        <f>'St. Charles'!K39+'St. Charles'!K40+'St. Charles'!K41</f>
        <v>13549898</v>
      </c>
      <c r="V51" s="61">
        <f>'St. Charles'!K42</f>
        <v>27758632</v>
      </c>
      <c r="W51" s="61">
        <f>'St. Charles'!K43</f>
        <v>-2555453</v>
      </c>
      <c r="X51" s="61">
        <f t="shared" si="62"/>
        <v>38753077</v>
      </c>
      <c r="Y51" s="61">
        <f t="shared" si="10"/>
        <v>47752086</v>
      </c>
      <c r="Z51" s="70" t="str">
        <f t="shared" si="17"/>
        <v>ok</v>
      </c>
      <c r="AA51" s="60">
        <f>'St. Charles'!K47</f>
        <v>47752086</v>
      </c>
    </row>
    <row r="52" spans="1:27" ht="15" customHeight="1">
      <c r="A52" s="68" t="s">
        <v>954</v>
      </c>
      <c r="B52" s="61">
        <f>'St. Helena'!K7</f>
        <v>118204</v>
      </c>
      <c r="C52" s="61"/>
      <c r="D52" s="61">
        <f>'St. Helena'!K9</f>
        <v>397130</v>
      </c>
      <c r="E52" s="61"/>
      <c r="F52" s="61"/>
      <c r="G52" s="61">
        <f>'St. Helena'!K10</f>
        <v>79351</v>
      </c>
      <c r="H52" s="61"/>
      <c r="I52" s="61">
        <f t="shared" si="60"/>
        <v>594685</v>
      </c>
      <c r="J52" s="215" t="str">
        <f t="shared" ref="J52" si="63">IF(I52=K52, "ok", "check")</f>
        <v>ok</v>
      </c>
      <c r="K52" s="60">
        <f>'St. Helena'!K13</f>
        <v>594685</v>
      </c>
      <c r="L52" s="88"/>
      <c r="M52" s="61">
        <f>'St. Helena'!K17</f>
        <v>73272</v>
      </c>
      <c r="N52" s="61"/>
      <c r="O52" s="61"/>
      <c r="P52" s="61">
        <f>'St. Helena'!K18</f>
        <v>3944</v>
      </c>
      <c r="Q52" s="61">
        <f t="shared" si="61"/>
        <v>77216</v>
      </c>
      <c r="R52" s="215" t="str">
        <f t="shared" ref="R52" si="64">IF(Q52=S52, "ok", "check")</f>
        <v>ok</v>
      </c>
      <c r="S52" s="60">
        <f>'St. Helena'!K21</f>
        <v>77216</v>
      </c>
      <c r="T52" s="88"/>
      <c r="U52" s="61"/>
      <c r="V52" s="61"/>
      <c r="W52" s="61">
        <f>'St. Helena'!K25</f>
        <v>517469</v>
      </c>
      <c r="X52" s="61">
        <f t="shared" si="62"/>
        <v>517469</v>
      </c>
      <c r="Y52" s="61">
        <f t="shared" si="10"/>
        <v>594685</v>
      </c>
      <c r="Z52" s="70" t="str">
        <f t="shared" si="17"/>
        <v>ok</v>
      </c>
      <c r="AA52" s="60">
        <f>'St. Helena'!K29</f>
        <v>594685</v>
      </c>
    </row>
    <row r="53" spans="1:27" ht="15" customHeight="1">
      <c r="A53" s="68" t="s">
        <v>955</v>
      </c>
      <c r="B53" s="61">
        <f>'St. James'!K7</f>
        <v>3680718</v>
      </c>
      <c r="C53" s="61">
        <f>'St. James'!K8</f>
        <v>2709554</v>
      </c>
      <c r="D53" s="61">
        <f>'St. James'!K9</f>
        <v>4968364</v>
      </c>
      <c r="E53" s="61">
        <f>'St. James'!K12</f>
        <v>36691</v>
      </c>
      <c r="F53" s="61"/>
      <c r="G53" s="61">
        <f>'St. James'!K10+'St. James'!K11</f>
        <v>67784</v>
      </c>
      <c r="H53" s="61"/>
      <c r="I53" s="61">
        <f t="shared" si="60"/>
        <v>11463111</v>
      </c>
      <c r="J53" s="215" t="str">
        <f t="shared" si="11"/>
        <v>ok</v>
      </c>
      <c r="K53" s="60">
        <f>'St. James'!K14</f>
        <v>11463111</v>
      </c>
      <c r="L53" s="88"/>
      <c r="M53" s="61">
        <f>'St. James'!K18+'St. James'!K19</f>
        <v>1523674</v>
      </c>
      <c r="N53" s="61"/>
      <c r="O53" s="61">
        <f>'St. James'!K20+'St. James'!K21</f>
        <v>91702</v>
      </c>
      <c r="P53" s="61"/>
      <c r="Q53" s="61">
        <f t="shared" si="61"/>
        <v>1615376</v>
      </c>
      <c r="R53" s="215" t="str">
        <f t="shared" si="12"/>
        <v>ok</v>
      </c>
      <c r="S53" s="60">
        <f>'St. James'!K24</f>
        <v>1615376</v>
      </c>
      <c r="T53" s="88"/>
      <c r="U53" s="61">
        <f>'St. James'!K27+'St. James'!K32</f>
        <v>5722089</v>
      </c>
      <c r="V53" s="61"/>
      <c r="W53" s="61">
        <f>'St. James'!K45</f>
        <v>4125646</v>
      </c>
      <c r="X53" s="61">
        <f t="shared" si="62"/>
        <v>9847735</v>
      </c>
      <c r="Y53" s="61">
        <f>SUM(Q53+X53+T53)</f>
        <v>11463111</v>
      </c>
      <c r="Z53" s="70" t="str">
        <f t="shared" si="17"/>
        <v>ok</v>
      </c>
      <c r="AA53" s="60">
        <f>'St. James'!K49</f>
        <v>11463111</v>
      </c>
    </row>
    <row r="54" spans="1:27" ht="15" customHeight="1">
      <c r="A54" s="68" t="s">
        <v>956</v>
      </c>
      <c r="B54" s="61">
        <f>SUM('St. John the Baptist'!K6)</f>
        <v>666991</v>
      </c>
      <c r="C54" s="61"/>
      <c r="D54" s="61">
        <f>SUM('St. John the Baptist'!K8+'St. John the Baptist'!K9+'St. John the Baptist'!K10)</f>
        <v>2285732</v>
      </c>
      <c r="E54" s="61"/>
      <c r="F54" s="61">
        <f>SUM('St. John the Baptist'!K11)</f>
        <v>254</v>
      </c>
      <c r="G54" s="61">
        <f>SUM('St. John the Baptist'!K12+'St. John the Baptist'!K13)</f>
        <v>830902</v>
      </c>
      <c r="H54" s="61">
        <f>'St. John the Baptist'!K14</f>
        <v>49838</v>
      </c>
      <c r="I54" s="61">
        <f t="shared" si="60"/>
        <v>3833717</v>
      </c>
      <c r="J54" s="215" t="str">
        <f t="shared" si="11"/>
        <v>ok</v>
      </c>
      <c r="K54" s="60">
        <f>'St. John the Baptist'!K16</f>
        <v>3833717</v>
      </c>
      <c r="L54" s="88">
        <f>'St. John the Baptist'!K28</f>
        <v>40223</v>
      </c>
      <c r="M54" s="61">
        <f>'St. John the Baptist'!K20</f>
        <v>933731</v>
      </c>
      <c r="N54" s="61"/>
      <c r="O54" s="61">
        <f>'St. John the Baptist'!K22</f>
        <v>656236</v>
      </c>
      <c r="P54" s="61"/>
      <c r="Q54" s="61">
        <f t="shared" si="61"/>
        <v>1589967</v>
      </c>
      <c r="R54" s="215" t="str">
        <f t="shared" si="12"/>
        <v>ok</v>
      </c>
      <c r="S54" s="60">
        <f>'St. John the Baptist'!K25</f>
        <v>1589967</v>
      </c>
      <c r="T54" s="88">
        <f>SUM('St. John the Baptist'!K28)</f>
        <v>40223</v>
      </c>
      <c r="U54" s="61">
        <f>'St. John the Baptist'!K33</f>
        <v>49838</v>
      </c>
      <c r="V54" s="61"/>
      <c r="W54" s="61">
        <f>'St. John the Baptist'!K36</f>
        <v>2153689</v>
      </c>
      <c r="X54" s="61">
        <f t="shared" si="62"/>
        <v>2203527</v>
      </c>
      <c r="Y54" s="61">
        <f>SUM(Q54+X54+T54)</f>
        <v>3833717</v>
      </c>
      <c r="Z54" s="70" t="str">
        <f t="shared" si="17"/>
        <v>ok</v>
      </c>
      <c r="AA54" s="60">
        <f>SUM('St. John the Baptist'!K38+'St. John the Baptist'!K30+'St. John the Baptist'!K25)</f>
        <v>3833717</v>
      </c>
    </row>
    <row r="55" spans="1:27" ht="15" customHeight="1">
      <c r="A55" s="68" t="s">
        <v>957</v>
      </c>
      <c r="B55" s="61">
        <f>'St. Landry'!K6</f>
        <v>191320</v>
      </c>
      <c r="C55" s="61"/>
      <c r="D55" s="61">
        <f>SUM('St. Landry'!K8)</f>
        <v>2519392</v>
      </c>
      <c r="E55" s="61"/>
      <c r="F55" s="61"/>
      <c r="G55" s="61">
        <f>SUM('St. Landry'!K11+'St. Landry'!K12+'St. Landry'!K13+'St. Landry'!K14)</f>
        <v>738195</v>
      </c>
      <c r="H55" s="61">
        <f>'St. Landry'!K9</f>
        <v>25877</v>
      </c>
      <c r="I55" s="61">
        <f t="shared" ref="I55:I56" si="65">SUM(B55:H55)</f>
        <v>3474784</v>
      </c>
      <c r="J55" s="215" t="str">
        <f t="shared" ref="J55:J56" si="66">IF(I55=K55, "ok", "check")</f>
        <v>ok</v>
      </c>
      <c r="K55" s="60">
        <f>'St. Landry'!K16</f>
        <v>3474784</v>
      </c>
      <c r="L55" s="88"/>
      <c r="M55" s="61">
        <f>'St. Landry'!K20+'St. Landry'!K22</f>
        <v>826644</v>
      </c>
      <c r="N55" s="61">
        <f>'St. Landry'!K23</f>
        <v>1300</v>
      </c>
      <c r="O55" s="61">
        <f>'St. Landry'!K24+'St. Landry'!K25+'St. Landry'!K26</f>
        <v>236855</v>
      </c>
      <c r="P55" s="61"/>
      <c r="Q55" s="61">
        <f t="shared" ref="Q55:Q56" si="67">SUM(M55:P55)</f>
        <v>1064799</v>
      </c>
      <c r="R55" s="215" t="str">
        <f t="shared" ref="R55:R56" si="68">IF(Q55=S55, "ok", "check")</f>
        <v>ok</v>
      </c>
      <c r="S55" s="60">
        <f>'St. Landry'!K28</f>
        <v>1064799</v>
      </c>
      <c r="T55" s="88">
        <f>'St. Landry'!K31</f>
        <v>57604</v>
      </c>
      <c r="U55" s="61">
        <f>'St. Landry'!K37+'St. Landry'!K41+'St. Landry'!K42+'St. Landry'!K48</f>
        <v>470044</v>
      </c>
      <c r="V55" s="61">
        <f>'St. Landry'!K50+'St. Landry'!K51</f>
        <v>274539</v>
      </c>
      <c r="W55" s="61">
        <f>'St. Landry'!K52</f>
        <v>1607798</v>
      </c>
      <c r="X55" s="61">
        <f t="shared" ref="X55:X56" si="69">SUM(U55:W55)</f>
        <v>2352381</v>
      </c>
      <c r="Y55" s="61">
        <f t="shared" ref="Y55:Y56" si="70">SUM(Q55+X55+T55)</f>
        <v>3474784</v>
      </c>
      <c r="Z55" s="70" t="str">
        <f t="shared" si="17"/>
        <v>ok</v>
      </c>
      <c r="AA55" s="60">
        <f>'St. Landry'!K56</f>
        <v>3474784</v>
      </c>
    </row>
    <row r="56" spans="1:27" ht="15" customHeight="1">
      <c r="A56" s="68" t="s">
        <v>958</v>
      </c>
      <c r="B56" s="61">
        <f>'St. Martin'!K7</f>
        <v>4829757</v>
      </c>
      <c r="C56" s="61"/>
      <c r="D56" s="61">
        <f>'St. Martin'!K8</f>
        <v>931074</v>
      </c>
      <c r="E56" s="61"/>
      <c r="F56" s="61"/>
      <c r="G56" s="61">
        <f>'St. Martin'!K9</f>
        <v>78022</v>
      </c>
      <c r="H56" s="61"/>
      <c r="I56" s="61">
        <f t="shared" si="65"/>
        <v>5838853</v>
      </c>
      <c r="J56" s="215" t="str">
        <f t="shared" si="66"/>
        <v>ok</v>
      </c>
      <c r="K56" s="60">
        <f>'St. Martin'!K12</f>
        <v>5838853</v>
      </c>
      <c r="L56" s="88"/>
      <c r="M56" s="61">
        <f>SUM('St. Martin'!K16+'St. Martin'!K17)</f>
        <v>180881</v>
      </c>
      <c r="N56" s="61"/>
      <c r="O56" s="61">
        <f>'St. Martin'!K19</f>
        <v>2253184</v>
      </c>
      <c r="P56" s="61">
        <f>'St. Martin'!K21</f>
        <v>133007</v>
      </c>
      <c r="Q56" s="61">
        <f t="shared" si="67"/>
        <v>2567072</v>
      </c>
      <c r="R56" s="215" t="str">
        <f t="shared" si="68"/>
        <v>ok</v>
      </c>
      <c r="S56" s="60">
        <f>'St. Martin'!K23</f>
        <v>2567072</v>
      </c>
      <c r="T56" s="88"/>
      <c r="U56" s="61"/>
      <c r="V56" s="61"/>
      <c r="W56" s="61">
        <f>'St. Martin'!K48</f>
        <v>3271781</v>
      </c>
      <c r="X56" s="61">
        <f t="shared" si="69"/>
        <v>3271781</v>
      </c>
      <c r="Y56" s="61">
        <f t="shared" si="70"/>
        <v>5838853</v>
      </c>
      <c r="Z56" s="70" t="str">
        <f t="shared" si="17"/>
        <v>ok</v>
      </c>
      <c r="AA56" s="60">
        <f>'St. Martin'!K52</f>
        <v>5838853</v>
      </c>
    </row>
    <row r="57" spans="1:27" ht="15" customHeight="1">
      <c r="A57" s="68" t="s">
        <v>959</v>
      </c>
      <c r="B57" s="61"/>
      <c r="C57" s="61"/>
      <c r="D57" s="61">
        <f>'St. Mary'!K10</f>
        <v>449501</v>
      </c>
      <c r="E57" s="61"/>
      <c r="F57" s="61"/>
      <c r="G57" s="61">
        <f>'St. Mary'!K11+'St. Mary'!K12</f>
        <v>4651423</v>
      </c>
      <c r="H57" s="61"/>
      <c r="I57" s="61">
        <f t="shared" si="60"/>
        <v>5100924</v>
      </c>
      <c r="J57" s="215" t="str">
        <f t="shared" si="11"/>
        <v>ok</v>
      </c>
      <c r="K57" s="60">
        <f>'St. Mary'!K17</f>
        <v>5100924</v>
      </c>
      <c r="L57" s="88"/>
      <c r="M57" s="61">
        <f>'St. Mary'!K20</f>
        <v>343181</v>
      </c>
      <c r="N57" s="61"/>
      <c r="O57" s="61">
        <f>'St. Mary'!K25+'St. Mary'!K26</f>
        <v>1457928</v>
      </c>
      <c r="P57" s="61">
        <f>'St. Mary'!K23</f>
        <v>130516</v>
      </c>
      <c r="Q57" s="61">
        <f t="shared" si="61"/>
        <v>1931625</v>
      </c>
      <c r="R57" s="215" t="str">
        <f t="shared" si="12"/>
        <v>ok</v>
      </c>
      <c r="S57" s="60">
        <f>'St. Mary'!K28</f>
        <v>1931625</v>
      </c>
      <c r="T57" s="88"/>
      <c r="U57" s="61">
        <f>'St. Mary'!K31</f>
        <v>1600000</v>
      </c>
      <c r="V57" s="61"/>
      <c r="W57" s="61">
        <f>'St. Mary'!K45</f>
        <v>1569299</v>
      </c>
      <c r="X57" s="61">
        <f t="shared" si="62"/>
        <v>3169299</v>
      </c>
      <c r="Y57" s="61">
        <f t="shared" si="10"/>
        <v>5100924</v>
      </c>
      <c r="Z57" s="70" t="str">
        <f t="shared" si="17"/>
        <v>ok</v>
      </c>
      <c r="AA57" s="60">
        <f>'St. Mary'!K49</f>
        <v>5100924</v>
      </c>
    </row>
    <row r="58" spans="1:27" ht="15" customHeight="1">
      <c r="A58" s="68" t="s">
        <v>960</v>
      </c>
      <c r="B58" s="61">
        <f>'St. Tammany'!K7</f>
        <v>1862081</v>
      </c>
      <c r="C58" s="61">
        <f>'St. Tammany'!K8</f>
        <v>10817767</v>
      </c>
      <c r="D58" s="61">
        <f>'St. Tammany'!K10+'St. Tammany'!K12</f>
        <v>6022837</v>
      </c>
      <c r="E58" s="61"/>
      <c r="F58" s="61">
        <f>'St. Tammany'!K17</f>
        <v>15456</v>
      </c>
      <c r="G58" s="61">
        <f>'St. Tammany'!K14</f>
        <v>46305</v>
      </c>
      <c r="H58" s="61">
        <f>'St. Tammany'!K15</f>
        <v>101628</v>
      </c>
      <c r="I58" s="61">
        <f t="shared" si="60"/>
        <v>18866074</v>
      </c>
      <c r="J58" s="215" t="str">
        <f t="shared" si="11"/>
        <v>ok</v>
      </c>
      <c r="K58" s="60">
        <f>'St. Tammany'!K19</f>
        <v>18866074</v>
      </c>
      <c r="L58" s="88"/>
      <c r="M58" s="61">
        <f>'St. Tammany'!K23</f>
        <v>2999800</v>
      </c>
      <c r="N58" s="61">
        <f>'St. Tammany'!K26</f>
        <v>53050</v>
      </c>
      <c r="O58" s="61"/>
      <c r="P58" s="61">
        <f>'St. Tammany'!K27</f>
        <v>1953655</v>
      </c>
      <c r="Q58" s="61">
        <f t="shared" si="61"/>
        <v>5006505</v>
      </c>
      <c r="R58" s="215" t="str">
        <f t="shared" si="12"/>
        <v>ok</v>
      </c>
      <c r="S58" s="60">
        <f>'St. Tammany'!K29</f>
        <v>5006505</v>
      </c>
      <c r="T58" s="88">
        <f>'St. Tammany'!K32+'St. Tammany'!K33</f>
        <v>129673</v>
      </c>
      <c r="U58" s="61">
        <f>'St. Tammany'!K39</f>
        <v>101628</v>
      </c>
      <c r="V58" s="61"/>
      <c r="W58" s="61">
        <f>'St. Tammany'!K42</f>
        <v>13628268</v>
      </c>
      <c r="X58" s="61">
        <f t="shared" si="62"/>
        <v>13729896</v>
      </c>
      <c r="Y58" s="61">
        <f t="shared" si="10"/>
        <v>18866074</v>
      </c>
      <c r="Z58" s="70" t="str">
        <f t="shared" si="17"/>
        <v>ok</v>
      </c>
      <c r="AA58" s="60">
        <f>'St. Tammany'!K46</f>
        <v>18866074</v>
      </c>
    </row>
    <row r="59" spans="1:27" ht="15" customHeight="1">
      <c r="A59" s="68" t="s">
        <v>961</v>
      </c>
      <c r="B59" s="61">
        <f>Tangipahoa!K7+Tangipahoa!K11</f>
        <v>873339</v>
      </c>
      <c r="C59" s="61"/>
      <c r="D59" s="61">
        <f>Tangipahoa!K8</f>
        <v>2144043</v>
      </c>
      <c r="E59" s="61"/>
      <c r="F59" s="61"/>
      <c r="G59" s="61">
        <f>Tangipahoa!K9+Tangipahoa!K10</f>
        <v>733281</v>
      </c>
      <c r="H59" s="61"/>
      <c r="I59" s="61">
        <f t="shared" si="60"/>
        <v>3750663</v>
      </c>
      <c r="J59" s="215" t="str">
        <f t="shared" si="11"/>
        <v>ok</v>
      </c>
      <c r="K59" s="60">
        <f>Tangipahoa!K13</f>
        <v>3750663</v>
      </c>
      <c r="L59" s="88"/>
      <c r="M59" s="61">
        <f>Tangipahoa!K16</f>
        <v>725391</v>
      </c>
      <c r="N59" s="61"/>
      <c r="O59" s="61">
        <f>Tangipahoa!K17+Tangipahoa!K18</f>
        <v>349775</v>
      </c>
      <c r="P59" s="61"/>
      <c r="Q59" s="61">
        <f t="shared" si="61"/>
        <v>1075166</v>
      </c>
      <c r="R59" s="215" t="str">
        <f t="shared" si="12"/>
        <v>ok</v>
      </c>
      <c r="S59" s="60">
        <f>Tangipahoa!K20</f>
        <v>1075166</v>
      </c>
      <c r="T59" s="88">
        <f>Tangipahoa!K23</f>
        <v>7500</v>
      </c>
      <c r="U59" s="61">
        <f>Tangipahoa!K28+Tangipahoa!K29</f>
        <v>701832</v>
      </c>
      <c r="V59" s="61">
        <f>Tangipahoa!K30</f>
        <v>98894</v>
      </c>
      <c r="W59" s="61">
        <f>Tangipahoa!K31</f>
        <v>1867271</v>
      </c>
      <c r="X59" s="61">
        <f t="shared" si="62"/>
        <v>2667997</v>
      </c>
      <c r="Y59" s="61">
        <f t="shared" si="10"/>
        <v>3750663</v>
      </c>
      <c r="Z59" s="70" t="str">
        <f t="shared" si="17"/>
        <v>ok</v>
      </c>
      <c r="AA59" s="60">
        <f>Tangipahoa!K35</f>
        <v>3750663</v>
      </c>
    </row>
    <row r="60" spans="1:27" ht="15" customHeight="1">
      <c r="A60" s="68" t="s">
        <v>962</v>
      </c>
      <c r="B60" s="61">
        <f>Tensas!J7</f>
        <v>244987</v>
      </c>
      <c r="C60" s="61"/>
      <c r="D60" s="61">
        <f>Tensas!J8</f>
        <v>554248</v>
      </c>
      <c r="E60" s="61"/>
      <c r="F60" s="61"/>
      <c r="G60" s="61"/>
      <c r="H60" s="61"/>
      <c r="I60" s="61">
        <f t="shared" ref="I60" si="71">SUM(B60:H60)</f>
        <v>799235</v>
      </c>
      <c r="J60" s="215" t="str">
        <f t="shared" ref="J60" si="72">IF(I60=K60, "ok", "check")</f>
        <v>ok</v>
      </c>
      <c r="K60" s="60">
        <f>Tensas!J13</f>
        <v>799235</v>
      </c>
      <c r="L60" s="88"/>
      <c r="M60" s="61">
        <f>Tensas!J17</f>
        <v>178274</v>
      </c>
      <c r="N60" s="61"/>
      <c r="O60" s="61"/>
      <c r="P60" s="61"/>
      <c r="Q60" s="61">
        <f t="shared" si="61"/>
        <v>178274</v>
      </c>
      <c r="R60" s="215" t="str">
        <f t="shared" ref="R60" si="73">IF(Q60=S60, "ok", "check")</f>
        <v>ok</v>
      </c>
      <c r="S60" s="60">
        <f>Tensas!J20</f>
        <v>178274</v>
      </c>
      <c r="T60" s="88"/>
      <c r="U60" s="61"/>
      <c r="V60" s="61"/>
      <c r="W60" s="61">
        <f>Tensas!J29</f>
        <v>620961</v>
      </c>
      <c r="X60" s="61">
        <f t="shared" si="62"/>
        <v>620961</v>
      </c>
      <c r="Y60" s="61">
        <f t="shared" si="10"/>
        <v>799235</v>
      </c>
      <c r="Z60" s="70" t="str">
        <f t="shared" si="17"/>
        <v>ok</v>
      </c>
      <c r="AA60" s="60">
        <f>Tensas!J33</f>
        <v>799235</v>
      </c>
    </row>
    <row r="61" spans="1:27" ht="15" customHeight="1">
      <c r="A61" s="68" t="s">
        <v>963</v>
      </c>
      <c r="B61" s="61">
        <f>Terrebonne!K7+Terrebonne!K21</f>
        <v>17151364</v>
      </c>
      <c r="C61" s="61">
        <f>Terrebonne!K8</f>
        <v>1910404</v>
      </c>
      <c r="D61" s="61">
        <f>Terrebonne!K11+Terrebonne!K12</f>
        <v>787139</v>
      </c>
      <c r="E61" s="61"/>
      <c r="F61" s="61">
        <f>Terrebonne!K19</f>
        <v>3145</v>
      </c>
      <c r="G61" s="61">
        <f>Terrebonne!K15+Terrebonne!K16+Terrebonne!K17</f>
        <v>28571950</v>
      </c>
      <c r="H61" s="61"/>
      <c r="I61" s="61">
        <f t="shared" ref="I61:I67" si="74">SUM(B61:H61)</f>
        <v>48424002</v>
      </c>
      <c r="J61" s="215" t="str">
        <f t="shared" si="11"/>
        <v>ok</v>
      </c>
      <c r="K61" s="60">
        <f>Terrebonne!K23</f>
        <v>48424002</v>
      </c>
      <c r="L61" s="88"/>
      <c r="M61" s="61">
        <f>Terrebonne!K26</f>
        <v>843637</v>
      </c>
      <c r="N61" s="61"/>
      <c r="O61" s="61">
        <f>Terrebonne!K29+Terrebonne!K30</f>
        <v>30635932</v>
      </c>
      <c r="P61" s="61">
        <f>Terrebonne!K27</f>
        <v>1446</v>
      </c>
      <c r="Q61" s="61">
        <f t="shared" ref="Q61:Q68" si="75">SUM(M61:P61)</f>
        <v>31481015</v>
      </c>
      <c r="R61" s="215" t="str">
        <f t="shared" si="12"/>
        <v>ok</v>
      </c>
      <c r="S61" s="60">
        <f>Terrebonne!K35</f>
        <v>31481015</v>
      </c>
      <c r="T61" s="88">
        <f>Terrebonne!K38</f>
        <v>2537296</v>
      </c>
      <c r="U61" s="61">
        <f>Terrebonne!K46+Terrebonne!K47</f>
        <v>2568415</v>
      </c>
      <c r="V61" s="61">
        <f>Terrebonne!K58+Terrebonne!K59+Terrebonne!K60+Terrebonne!K61+Terrebonne!K62+Terrebonne!K63</f>
        <v>2251218</v>
      </c>
      <c r="W61" s="61">
        <f>Terrebonne!K70</f>
        <v>9586058</v>
      </c>
      <c r="X61" s="61">
        <f t="shared" ref="X61:X68" si="76">SUM(U61:W61)</f>
        <v>14405691</v>
      </c>
      <c r="Y61" s="61">
        <f t="shared" si="10"/>
        <v>48424002</v>
      </c>
      <c r="Z61" s="70" t="str">
        <f t="shared" si="17"/>
        <v>ok</v>
      </c>
      <c r="AA61" s="60">
        <f>Terrebonne!K74</f>
        <v>48424002</v>
      </c>
    </row>
    <row r="62" spans="1:27">
      <c r="A62" s="68" t="s">
        <v>964</v>
      </c>
      <c r="B62" s="61">
        <f>Union!K6</f>
        <v>853141</v>
      </c>
      <c r="C62" s="61">
        <f>Union!K7</f>
        <v>499573</v>
      </c>
      <c r="D62" s="61">
        <f>Union!K8</f>
        <v>962474</v>
      </c>
      <c r="E62" s="61"/>
      <c r="F62" s="61"/>
      <c r="G62" s="61"/>
      <c r="H62" s="61"/>
      <c r="I62" s="61">
        <f t="shared" si="74"/>
        <v>2315188</v>
      </c>
      <c r="J62" s="215" t="str">
        <f t="shared" ref="J62:J64" si="77">IF(I62=K62, "ok", "check")</f>
        <v>ok</v>
      </c>
      <c r="K62" s="60">
        <f>Union!K10</f>
        <v>2315188</v>
      </c>
      <c r="L62" s="88"/>
      <c r="M62" s="61">
        <f>Union!K15+Union!K16</f>
        <v>346314</v>
      </c>
      <c r="N62" s="61"/>
      <c r="O62" s="61"/>
      <c r="P62" s="61">
        <f>Union!K14</f>
        <v>0</v>
      </c>
      <c r="Q62" s="61">
        <f t="shared" si="75"/>
        <v>346314</v>
      </c>
      <c r="R62" s="215" t="str">
        <f t="shared" ref="R62:R64" si="78">IF(Q62=S62, "ok", "check")</f>
        <v>ok</v>
      </c>
      <c r="S62" s="60">
        <f>Union!K19</f>
        <v>346314</v>
      </c>
      <c r="T62" s="88"/>
      <c r="U62" s="61">
        <f>Union!K25</f>
        <v>708019</v>
      </c>
      <c r="V62" s="61"/>
      <c r="W62" s="61">
        <f>Union!K26</f>
        <v>1260855</v>
      </c>
      <c r="X62" s="61">
        <f t="shared" si="76"/>
        <v>1968874</v>
      </c>
      <c r="Y62" s="61">
        <f t="shared" ref="Y62:Y65" si="79">SUM(Q62+X62+T62)</f>
        <v>2315188</v>
      </c>
      <c r="Z62" s="70" t="str">
        <f t="shared" si="17"/>
        <v>ok</v>
      </c>
      <c r="AA62" s="60">
        <f>Union!K30</f>
        <v>2315188</v>
      </c>
    </row>
    <row r="63" spans="1:27" ht="15" customHeight="1">
      <c r="A63" s="68" t="s">
        <v>965</v>
      </c>
      <c r="B63" s="61">
        <f>Vermillion!K7</f>
        <v>1105751</v>
      </c>
      <c r="C63" s="61"/>
      <c r="D63" s="61">
        <f>Vermillion!K9+Vermillion!K14</f>
        <v>150520</v>
      </c>
      <c r="E63" s="61"/>
      <c r="F63" s="61"/>
      <c r="G63" s="61">
        <f>Vermillion!K11+Vermillion!K12+Vermillion!K13</f>
        <v>1897904</v>
      </c>
      <c r="H63" s="61"/>
      <c r="I63" s="61">
        <f t="shared" si="74"/>
        <v>3154175</v>
      </c>
      <c r="J63" s="215" t="str">
        <f t="shared" si="77"/>
        <v>ok</v>
      </c>
      <c r="K63" s="60">
        <f>Vermillion!K17</f>
        <v>3154175</v>
      </c>
      <c r="L63" s="88"/>
      <c r="M63" s="61">
        <f>Vermillion!K21+Vermillion!K22</f>
        <v>137429</v>
      </c>
      <c r="N63" s="61"/>
      <c r="O63" s="61">
        <f>Vermillion!K25</f>
        <v>121369</v>
      </c>
      <c r="P63" s="61">
        <f>Vermillion!K24+Vermillion!K26</f>
        <v>230788</v>
      </c>
      <c r="Q63" s="61">
        <f t="shared" si="75"/>
        <v>489586</v>
      </c>
      <c r="R63" s="215" t="str">
        <f t="shared" si="78"/>
        <v>ok</v>
      </c>
      <c r="S63" s="60">
        <f>Vermillion!K28</f>
        <v>489586</v>
      </c>
      <c r="T63" s="88">
        <f>Vermillion!K31</f>
        <v>246995</v>
      </c>
      <c r="U63" s="61"/>
      <c r="V63" s="61">
        <f>Vermillion!K36</f>
        <v>52783</v>
      </c>
      <c r="W63" s="61">
        <f>Vermillion!K37</f>
        <v>2364811</v>
      </c>
      <c r="X63" s="61">
        <f t="shared" si="76"/>
        <v>2417594</v>
      </c>
      <c r="Y63" s="61">
        <f t="shared" si="79"/>
        <v>3154175</v>
      </c>
      <c r="Z63" s="70" t="str">
        <f t="shared" si="17"/>
        <v>ok</v>
      </c>
      <c r="AA63" s="60">
        <f>Vermillion!K41</f>
        <v>3154175</v>
      </c>
    </row>
    <row r="64" spans="1:27" ht="15" customHeight="1">
      <c r="A64" s="68" t="s">
        <v>966</v>
      </c>
      <c r="B64" s="61">
        <f>Vernon!K7</f>
        <v>3548299</v>
      </c>
      <c r="C64" s="61"/>
      <c r="D64" s="61">
        <f>Vernon!K9+Vernon!K10</f>
        <v>652896</v>
      </c>
      <c r="E64" s="61"/>
      <c r="F64" s="61"/>
      <c r="G64" s="61"/>
      <c r="H64" s="61"/>
      <c r="I64" s="61">
        <f t="shared" ref="I64" si="80">SUM(B64:H64)</f>
        <v>4201195</v>
      </c>
      <c r="J64" s="215" t="str">
        <f t="shared" si="77"/>
        <v>ok</v>
      </c>
      <c r="K64" s="60">
        <f>Vernon!K13</f>
        <v>4201195</v>
      </c>
      <c r="L64" s="88"/>
      <c r="M64" s="61">
        <f>Vernon!K17+Vernon!K18</f>
        <v>126423</v>
      </c>
      <c r="N64" s="61"/>
      <c r="O64" s="61"/>
      <c r="P64" s="61"/>
      <c r="Q64" s="61">
        <f t="shared" ref="Q64" si="81">SUM(M64:P64)</f>
        <v>126423</v>
      </c>
      <c r="R64" s="215" t="str">
        <f t="shared" si="78"/>
        <v>ok</v>
      </c>
      <c r="S64" s="60">
        <f>Vernon!K21</f>
        <v>126423</v>
      </c>
      <c r="T64" s="88"/>
      <c r="U64" s="61">
        <f>Vernon!K26+Vernon!K38</f>
        <v>2895943</v>
      </c>
      <c r="V64" s="61"/>
      <c r="W64" s="61">
        <f>Vernon!K39</f>
        <v>1178830</v>
      </c>
      <c r="X64" s="61">
        <f t="shared" ref="X64" si="82">SUM(U64:W64)</f>
        <v>4074773</v>
      </c>
      <c r="Y64" s="61">
        <f t="shared" si="79"/>
        <v>4201196</v>
      </c>
      <c r="Z64" s="70" t="str">
        <f t="shared" si="17"/>
        <v>ok</v>
      </c>
      <c r="AA64" s="60">
        <f>Vernon!K43</f>
        <v>4201196</v>
      </c>
    </row>
    <row r="65" spans="1:27" ht="15" customHeight="1">
      <c r="A65" s="68" t="s">
        <v>967</v>
      </c>
      <c r="B65" s="61">
        <f>'Washington '!K6</f>
        <v>2869284</v>
      </c>
      <c r="C65" s="61"/>
      <c r="D65" s="61">
        <f>'Washington '!K8</f>
        <v>674640</v>
      </c>
      <c r="E65" s="61"/>
      <c r="F65" s="61"/>
      <c r="G65" s="61">
        <f>'Washington '!K12</f>
        <v>39071</v>
      </c>
      <c r="H65" s="61"/>
      <c r="I65" s="61">
        <f t="shared" si="74"/>
        <v>3582995</v>
      </c>
      <c r="J65" s="215" t="str">
        <f t="shared" si="11"/>
        <v>ok</v>
      </c>
      <c r="K65" s="60">
        <f>'Washington '!K14</f>
        <v>3582995</v>
      </c>
      <c r="L65" s="88"/>
      <c r="M65" s="61">
        <f>'Washington '!K17</f>
        <v>260812</v>
      </c>
      <c r="N65" s="61"/>
      <c r="O65" s="61">
        <f>'Washington '!K19</f>
        <v>2661166</v>
      </c>
      <c r="P65" s="61">
        <f>'Washington '!K20</f>
        <v>12586</v>
      </c>
      <c r="Q65" s="61">
        <f t="shared" si="75"/>
        <v>2934564</v>
      </c>
      <c r="R65" s="215" t="str">
        <f t="shared" si="12"/>
        <v>ok</v>
      </c>
      <c r="S65" s="60">
        <f>'Washington '!K24</f>
        <v>2934564</v>
      </c>
      <c r="T65" s="88"/>
      <c r="U65" s="61"/>
      <c r="V65" s="61"/>
      <c r="W65" s="61">
        <f>'Washington '!K35</f>
        <v>648431</v>
      </c>
      <c r="X65" s="61">
        <f t="shared" si="76"/>
        <v>648431</v>
      </c>
      <c r="Y65" s="61">
        <f t="shared" si="79"/>
        <v>3582995</v>
      </c>
      <c r="Z65" s="70" t="str">
        <f t="shared" si="17"/>
        <v>ok</v>
      </c>
      <c r="AA65" s="60">
        <f>'Washington '!K39</f>
        <v>3582995</v>
      </c>
    </row>
    <row r="66" spans="1:27" ht="15" customHeight="1">
      <c r="A66" s="68" t="s">
        <v>968</v>
      </c>
      <c r="B66" s="61">
        <f>Webster!I6</f>
        <v>643924</v>
      </c>
      <c r="C66" s="61">
        <f>Webster!I7</f>
        <v>2214536</v>
      </c>
      <c r="D66" s="61">
        <f>Webster!I8</f>
        <v>1269489</v>
      </c>
      <c r="E66" s="61"/>
      <c r="F66" s="61"/>
      <c r="G66" s="61"/>
      <c r="H66" s="61">
        <f>Webster!I9</f>
        <v>218379</v>
      </c>
      <c r="I66" s="61">
        <f t="shared" si="74"/>
        <v>4346328</v>
      </c>
      <c r="J66" s="215" t="str">
        <f t="shared" ref="J66:J69" si="83">IF(I66=K66, "ok", "check")</f>
        <v>ok</v>
      </c>
      <c r="K66" s="60">
        <f>Webster!I11</f>
        <v>4346328</v>
      </c>
      <c r="L66" s="88"/>
      <c r="M66" s="61">
        <f>Webster!I15+Webster!I16</f>
        <v>149208</v>
      </c>
      <c r="N66" s="61"/>
      <c r="O66" s="61">
        <f>Webster!I17</f>
        <v>159042</v>
      </c>
      <c r="P66" s="61">
        <f>Webster!I18</f>
        <v>7275</v>
      </c>
      <c r="Q66" s="61">
        <f t="shared" si="75"/>
        <v>315525</v>
      </c>
      <c r="R66" s="215" t="str">
        <f t="shared" ref="R66:R69" si="84">IF(Q66=S66, "ok", "check")</f>
        <v>ok</v>
      </c>
      <c r="S66" s="60">
        <f>Webster!I20</f>
        <v>315525</v>
      </c>
      <c r="T66" s="88">
        <f>Webster!I23</f>
        <v>35380</v>
      </c>
      <c r="U66" s="61">
        <f>Webster!I28</f>
        <v>218379</v>
      </c>
      <c r="V66" s="61">
        <f>Webster!I30</f>
        <v>2000000</v>
      </c>
      <c r="W66" s="61">
        <f>Webster!I31</f>
        <v>1777044</v>
      </c>
      <c r="X66" s="61">
        <f t="shared" si="76"/>
        <v>3995423</v>
      </c>
      <c r="Y66" s="61">
        <f t="shared" ref="Y66:Y69" si="85">SUM(Q66+X66+T66)</f>
        <v>4346328</v>
      </c>
      <c r="Z66" s="70" t="str">
        <f t="shared" si="17"/>
        <v>ok</v>
      </c>
      <c r="AA66" s="60">
        <f>Webster!I35</f>
        <v>4346328</v>
      </c>
    </row>
    <row r="67" spans="1:27" ht="15" customHeight="1">
      <c r="A67" s="68" t="s">
        <v>969</v>
      </c>
      <c r="B67" s="61">
        <f>'West Baton Rouge'!L5+'West Baton Rouge'!L9</f>
        <v>5304458</v>
      </c>
      <c r="C67" s="61">
        <f>'West Baton Rouge'!L6+'West Baton Rouge'!L7</f>
        <v>9805552</v>
      </c>
      <c r="D67" s="61">
        <f>'West Baton Rouge'!L8+'West Baton Rouge'!L11</f>
        <v>1266622</v>
      </c>
      <c r="E67" s="61"/>
      <c r="F67" s="61"/>
      <c r="G67" s="61">
        <f>'West Baton Rouge'!L10</f>
        <v>830142</v>
      </c>
      <c r="H67" s="61"/>
      <c r="I67" s="61">
        <f t="shared" si="74"/>
        <v>17206774</v>
      </c>
      <c r="J67" s="215" t="str">
        <f t="shared" si="83"/>
        <v>ok</v>
      </c>
      <c r="K67" s="60">
        <f>'West Baton Rouge'!L13</f>
        <v>17206774</v>
      </c>
      <c r="L67" s="88"/>
      <c r="M67" s="61">
        <f>'West Baton Rouge'!L17</f>
        <v>211691</v>
      </c>
      <c r="N67" s="61"/>
      <c r="O67" s="61"/>
      <c r="P67" s="61"/>
      <c r="Q67" s="61">
        <f t="shared" si="75"/>
        <v>211691</v>
      </c>
      <c r="R67" s="215" t="str">
        <f t="shared" si="84"/>
        <v>ok</v>
      </c>
      <c r="S67" s="60">
        <f>'West Baton Rouge'!L19</f>
        <v>211691</v>
      </c>
      <c r="T67" s="88">
        <f>'West Baton Rouge'!L23</f>
        <v>1373177</v>
      </c>
      <c r="U67" s="61">
        <f>'West Baton Rouge'!L28</f>
        <v>113570</v>
      </c>
      <c r="V67" s="61"/>
      <c r="W67" s="61">
        <f>'West Baton Rouge'!L32</f>
        <v>15508336</v>
      </c>
      <c r="X67" s="61">
        <f t="shared" si="76"/>
        <v>15621906</v>
      </c>
      <c r="Y67" s="61">
        <f t="shared" si="85"/>
        <v>17206774</v>
      </c>
      <c r="Z67" s="70" t="str">
        <f t="shared" si="17"/>
        <v>ok</v>
      </c>
      <c r="AA67" s="60">
        <f>'West Baton Rouge'!L36</f>
        <v>17206774</v>
      </c>
    </row>
    <row r="68" spans="1:27" ht="15" customHeight="1">
      <c r="A68" s="68" t="s">
        <v>970</v>
      </c>
      <c r="B68" s="61">
        <f>'West Carroll'!K6</f>
        <v>1289627</v>
      </c>
      <c r="C68" s="61"/>
      <c r="D68" s="61">
        <f>'West Carroll'!K7</f>
        <v>366278</v>
      </c>
      <c r="E68" s="61"/>
      <c r="F68" s="61"/>
      <c r="G68" s="61"/>
      <c r="H68" s="61"/>
      <c r="I68" s="61">
        <f t="shared" ref="I68:I70" si="86">SUM(B68:H68)</f>
        <v>1655905</v>
      </c>
      <c r="J68" s="215" t="str">
        <f t="shared" si="83"/>
        <v>ok</v>
      </c>
      <c r="K68" s="60">
        <f>'West Carroll'!K10</f>
        <v>1655905</v>
      </c>
      <c r="L68" s="88"/>
      <c r="M68" s="61">
        <f>'West Carroll'!K14+'West Carroll'!K15</f>
        <v>60632</v>
      </c>
      <c r="N68" s="61"/>
      <c r="O68" s="61"/>
      <c r="P68" s="61"/>
      <c r="Q68" s="61">
        <f t="shared" si="75"/>
        <v>60632</v>
      </c>
      <c r="R68" s="215" t="str">
        <f t="shared" si="84"/>
        <v>ok</v>
      </c>
      <c r="S68" s="60">
        <f>'West Carroll'!K17</f>
        <v>60632</v>
      </c>
      <c r="T68" s="88"/>
      <c r="U68" s="61">
        <f>'West Carroll'!K20</f>
        <v>17368</v>
      </c>
      <c r="V68" s="61">
        <f>'West Carroll'!K21</f>
        <v>61368</v>
      </c>
      <c r="W68" s="61">
        <f>'West Carroll'!K22</f>
        <v>1356265</v>
      </c>
      <c r="X68" s="61">
        <f t="shared" si="76"/>
        <v>1435001</v>
      </c>
      <c r="Y68" s="61">
        <f t="shared" si="85"/>
        <v>1495633</v>
      </c>
      <c r="Z68" s="70" t="str">
        <f t="shared" si="17"/>
        <v>ok</v>
      </c>
      <c r="AA68" s="60">
        <f>'West Carroll'!K26</f>
        <v>1495633</v>
      </c>
    </row>
    <row r="69" spans="1:27" ht="15" customHeight="1">
      <c r="A69" s="68" t="s">
        <v>971</v>
      </c>
      <c r="B69" s="61">
        <f>'West Feliciana'!K7</f>
        <v>51746</v>
      </c>
      <c r="C69" s="61">
        <f>'West Feliciana'!K8</f>
        <v>4590803</v>
      </c>
      <c r="D69" s="61">
        <f>'West Feliciana'!K12+'West Feliciana'!K11</f>
        <v>234804</v>
      </c>
      <c r="E69" s="61"/>
      <c r="F69" s="61"/>
      <c r="G69" s="61">
        <f>'West Feliciana'!K14+'West Feliciana'!K13</f>
        <v>2317273</v>
      </c>
      <c r="H69" s="61">
        <f>'West Feliciana'!K9</f>
        <v>41456</v>
      </c>
      <c r="I69" s="61">
        <f t="shared" si="86"/>
        <v>7236082</v>
      </c>
      <c r="J69" s="215" t="str">
        <f t="shared" si="83"/>
        <v>ok</v>
      </c>
      <c r="K69" s="60">
        <f>'West Feliciana'!K19</f>
        <v>7236082</v>
      </c>
      <c r="L69" s="88"/>
      <c r="M69" s="61">
        <f>'West Feliciana'!K22</f>
        <v>256434</v>
      </c>
      <c r="N69" s="61"/>
      <c r="O69" s="61">
        <f>'West Feliciana'!K24</f>
        <v>409301</v>
      </c>
      <c r="P69" s="61">
        <f>'West Feliciana'!K23</f>
        <v>73808</v>
      </c>
      <c r="Q69" s="61">
        <f>SUM(M69:P69)</f>
        <v>739543</v>
      </c>
      <c r="R69" s="215" t="str">
        <f t="shared" si="84"/>
        <v>ok</v>
      </c>
      <c r="S69" s="60">
        <f>'West Feliciana'!K26</f>
        <v>739543</v>
      </c>
      <c r="T69" s="88"/>
      <c r="U69" s="61">
        <f>'West Feliciana'!K29</f>
        <v>41456</v>
      </c>
      <c r="V69" s="61">
        <f>'West Feliciana'!K31</f>
        <v>2569266</v>
      </c>
      <c r="W69" s="61">
        <f>'West Feliciana'!K32</f>
        <v>3885817</v>
      </c>
      <c r="X69" s="61">
        <f t="shared" ref="X69:X70" si="87">SUM(U69:W69)</f>
        <v>6496539</v>
      </c>
      <c r="Y69" s="61">
        <f t="shared" si="85"/>
        <v>7236082</v>
      </c>
      <c r="Z69" s="70" t="str">
        <f t="shared" si="17"/>
        <v>ok</v>
      </c>
      <c r="AA69" s="60">
        <f>'West Feliciana'!K36</f>
        <v>7236082</v>
      </c>
    </row>
    <row r="70" spans="1:27" ht="15" customHeight="1">
      <c r="A70" s="68" t="s">
        <v>972</v>
      </c>
      <c r="B70" s="61">
        <f>Winn!I6</f>
        <v>72094</v>
      </c>
      <c r="C70" s="61"/>
      <c r="D70" s="61">
        <f>Winn!I7+Winn!I8</f>
        <v>475369</v>
      </c>
      <c r="E70" s="61"/>
      <c r="F70" s="61"/>
      <c r="G70" s="61"/>
      <c r="H70" s="61"/>
      <c r="I70" s="61">
        <f t="shared" si="86"/>
        <v>547463</v>
      </c>
      <c r="J70" s="215" t="str">
        <f t="shared" ref="J70" si="88">IF(I70=K70, "ok", "check")</f>
        <v>ok</v>
      </c>
      <c r="K70" s="60">
        <f>Winn!I11</f>
        <v>547463</v>
      </c>
      <c r="L70" s="88"/>
      <c r="M70" s="61">
        <f>Winn!I15</f>
        <v>177145</v>
      </c>
      <c r="N70" s="61"/>
      <c r="O70" s="61"/>
      <c r="P70" s="61"/>
      <c r="Q70" s="61">
        <f t="shared" ref="Q69:Q70" si="89">SUM(M70:P70)</f>
        <v>177145</v>
      </c>
      <c r="R70" s="215" t="str">
        <f t="shared" ref="R70" si="90">IF(Q70=S70, "ok", "check")</f>
        <v>ok</v>
      </c>
      <c r="S70" s="60">
        <f>Winn!I18</f>
        <v>177145</v>
      </c>
      <c r="T70" s="88"/>
      <c r="U70" s="61"/>
      <c r="V70" s="61"/>
      <c r="W70" s="61">
        <f>Winn!I31</f>
        <v>370318</v>
      </c>
      <c r="X70" s="61">
        <f t="shared" si="87"/>
        <v>370318</v>
      </c>
      <c r="Y70" s="61">
        <f>SUM(Q70+X70+T70)</f>
        <v>547463</v>
      </c>
      <c r="Z70" s="70" t="str">
        <f t="shared" si="17"/>
        <v>ok</v>
      </c>
      <c r="AA70" s="60">
        <f>Winn!I35</f>
        <v>547463</v>
      </c>
    </row>
    <row r="71" spans="1:27" ht="15" customHeight="1">
      <c r="A71" s="62"/>
      <c r="J71" s="216"/>
      <c r="K71" s="57"/>
      <c r="R71" s="216"/>
      <c r="S71" s="57"/>
      <c r="Z71" s="56"/>
      <c r="AA71" s="57"/>
    </row>
    <row r="72" spans="1:27" ht="15" customHeight="1">
      <c r="A72" s="63" t="s">
        <v>170</v>
      </c>
      <c r="B72" s="64">
        <f t="shared" ref="B72:I72" si="91">SUM(B7:B70)</f>
        <v>194252721</v>
      </c>
      <c r="C72" s="64">
        <f t="shared" si="91"/>
        <v>301263892</v>
      </c>
      <c r="D72" s="64">
        <f t="shared" si="91"/>
        <v>159493507</v>
      </c>
      <c r="E72" s="64">
        <f t="shared" si="91"/>
        <v>2489452</v>
      </c>
      <c r="F72" s="64">
        <f t="shared" si="91"/>
        <v>6604187</v>
      </c>
      <c r="G72" s="64">
        <f t="shared" si="91"/>
        <v>140263992</v>
      </c>
      <c r="H72" s="64">
        <f t="shared" si="91"/>
        <v>3507790</v>
      </c>
      <c r="I72" s="64">
        <f t="shared" si="91"/>
        <v>807875541</v>
      </c>
      <c r="J72" s="69" t="str">
        <f>IF(I72=K72, "ok", "check")</f>
        <v>ok</v>
      </c>
      <c r="K72" s="66">
        <f t="shared" ref="K72:Q72" si="92">SUM(K7:K70)</f>
        <v>807875541</v>
      </c>
      <c r="L72" s="66">
        <f t="shared" si="92"/>
        <v>40223</v>
      </c>
      <c r="M72" s="66">
        <f t="shared" si="92"/>
        <v>55954934</v>
      </c>
      <c r="N72" s="66">
        <f t="shared" si="92"/>
        <v>687105</v>
      </c>
      <c r="O72" s="66">
        <f t="shared" si="92"/>
        <v>73076320</v>
      </c>
      <c r="P72" s="66">
        <f t="shared" si="92"/>
        <v>24049476</v>
      </c>
      <c r="Q72" s="66">
        <f t="shared" si="92"/>
        <v>153767835</v>
      </c>
      <c r="R72" s="65" t="str">
        <f>IF(Q72=S72, "ok", "check")</f>
        <v>ok</v>
      </c>
      <c r="S72" s="66">
        <f t="shared" ref="S72:Y72" si="93">SUM(S7:S70)</f>
        <v>153767835</v>
      </c>
      <c r="T72" s="66">
        <f t="shared" si="93"/>
        <v>36166581</v>
      </c>
      <c r="U72" s="66">
        <f t="shared" si="93"/>
        <v>195641581</v>
      </c>
      <c r="V72" s="66">
        <f t="shared" si="93"/>
        <v>109908429</v>
      </c>
      <c r="W72" s="66">
        <f t="shared" si="93"/>
        <v>318113523</v>
      </c>
      <c r="X72" s="66">
        <f t="shared" si="93"/>
        <v>623663533</v>
      </c>
      <c r="Y72" s="66">
        <f t="shared" si="93"/>
        <v>813597949</v>
      </c>
      <c r="Z72" s="65" t="str">
        <f t="shared" ref="Z72" si="94">IF(Y72=AA72, "ok", "check")</f>
        <v>check</v>
      </c>
      <c r="AA72" s="66">
        <f>SUM(AA7:AA70)</f>
        <v>812517838</v>
      </c>
    </row>
    <row r="73" spans="1:27">
      <c r="B73" t="s">
        <v>301</v>
      </c>
    </row>
  </sheetData>
  <mergeCells count="3">
    <mergeCell ref="B3:F3"/>
    <mergeCell ref="G3:H3"/>
    <mergeCell ref="M3:P3"/>
  </mergeCells>
  <pageMargins left="0.7" right="0.7" top="0.75" bottom="0.75" header="0.3" footer="0.3"/>
  <pageSetup orientation="portrait"/>
  <ignoredErrors>
    <ignoredError sqref="I49" formula="1"/>
  </ignoredErrors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46E7C3A01C2A47A437981BA5A3419C" ma:contentTypeVersion="11" ma:contentTypeDescription="Create a new document." ma:contentTypeScope="" ma:versionID="d554655ad64208c1d6e2effa97f27dc4">
  <xsd:schema xmlns:xsd="http://www.w3.org/2001/XMLSchema" xmlns:xs="http://www.w3.org/2001/XMLSchema" xmlns:p="http://schemas.microsoft.com/office/2006/metadata/properties" xmlns:ns2="a04dc2bb-3752-482a-bef8-a3d7520562f3" xmlns:ns3="07258940-cd77-4b7c-bf02-282e7e1fade8" xmlns:ns4="a09b295e-4c54-4020-9012-76e6da7e7cd2" targetNamespace="http://schemas.microsoft.com/office/2006/metadata/properties" ma:root="true" ma:fieldsID="df42f594409b0399f47f761bc5024e7c" ns2:_="" ns3:_="" ns4:_="">
    <xsd:import namespace="a04dc2bb-3752-482a-bef8-a3d7520562f3"/>
    <xsd:import namespace="07258940-cd77-4b7c-bf02-282e7e1fade8"/>
    <xsd:import namespace="a09b295e-4c54-4020-9012-76e6da7e7cd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ingHintHash" minOccurs="0"/>
                <xsd:element ref="ns2:SharedWithDetails" minOccurs="0"/>
                <xsd:element ref="ns3:LastSharedByUser" minOccurs="0"/>
                <xsd:element ref="ns3:LastSharedByTime" minOccurs="0"/>
                <xsd:element ref="ns4:MediaServiceMetadata" minOccurs="0"/>
                <xsd:element ref="ns4:MediaServiceFastMetadata" minOccurs="0"/>
                <xsd:element ref="ns4:MediaServiceEventHashCode" minOccurs="0"/>
                <xsd:element ref="ns4:MediaServiceGenerationTime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4dc2bb-3752-482a-bef8-a3d7520562f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9" nillable="true" ma:displayName="Sharing Hint Hash" ma:internalName="SharingHintHash" ma:readOnly="true">
      <xsd:simpleType>
        <xsd:restriction base="dms:Text"/>
      </xsd:simple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58940-cd77-4b7c-bf02-282e7e1fade8" elementFormDefault="qualified">
    <xsd:import namespace="http://schemas.microsoft.com/office/2006/documentManagement/types"/>
    <xsd:import namespace="http://schemas.microsoft.com/office/infopath/2007/PartnerControls"/>
    <xsd:element name="LastSharedByUser" ma:index="11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2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9b295e-4c54-4020-9012-76e6da7e7cd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ObjectDetectorVersions" ma:index="17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SharedWithUsers xmlns="a04dc2bb-3752-482a-bef8-a3d7520562f3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BCFEEDB2-31DD-4D5E-8927-D8C1C75DCF07}"/>
</file>

<file path=customXml/itemProps2.xml><?xml version="1.0" encoding="utf-8"?>
<ds:datastoreItem xmlns:ds="http://schemas.openxmlformats.org/officeDocument/2006/customXml" ds:itemID="{C38A4021-DE85-4E6A-914C-E02B069955CC}"/>
</file>

<file path=customXml/itemProps3.xml><?xml version="1.0" encoding="utf-8"?>
<ds:datastoreItem xmlns:ds="http://schemas.openxmlformats.org/officeDocument/2006/customXml" ds:itemID="{DA74479D-D49B-478A-ABF2-CA9C188706A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lnorwa2</dc:creator>
  <cp:keywords/>
  <dc:description/>
  <cp:lastModifiedBy>Luftig, Valerio</cp:lastModifiedBy>
  <cp:revision/>
  <dcterms:created xsi:type="dcterms:W3CDTF">2011-10-31T16:14:35Z</dcterms:created>
  <dcterms:modified xsi:type="dcterms:W3CDTF">2025-06-17T18:17:17Z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0x0101009346E7C3A01C2A47A437981BA5A3419C</vt:lpwstr>
  </property>
</Properties>
</file>