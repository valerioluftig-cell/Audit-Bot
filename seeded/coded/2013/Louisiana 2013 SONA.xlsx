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lsuagctr.sharepoint.com/sites/LCRI/lgf/Shared Documents/Louisiana/2013/"/>
    </mc:Choice>
  </mc:AlternateContent>
  <xr:revisionPtr revIDLastSave="32" documentId="11_E01AEDA0B10F564FF136F28342817768836B63F3" xr6:coauthVersionLast="47" xr6:coauthVersionMax="47" xr10:uidLastSave="{3773820A-C827-4318-A933-C5D293700A8E}"/>
  <bookViews>
    <workbookView xWindow="-110" yWindow="-110" windowWidth="38620" windowHeight="21220" tabRatio="934" firstSheet="67" activeTab="64" xr2:uid="{00000000-000D-0000-FFFF-FFFF00000000}"/>
  </bookViews>
  <sheets>
    <sheet name="Acadia" sheetId="105" r:id="rId1"/>
    <sheet name="Allen" sheetId="106" r:id="rId2"/>
    <sheet name="Ascension" sheetId="54" r:id="rId3"/>
    <sheet name="Assumption" sheetId="56" r:id="rId4"/>
    <sheet name="Avoyelles" sheetId="107" r:id="rId5"/>
    <sheet name="Beauregard" sheetId="142" r:id="rId6"/>
    <sheet name="Bienville" sheetId="108" r:id="rId7"/>
    <sheet name="Bossier" sheetId="109" r:id="rId8"/>
    <sheet name="Caddo" sheetId="110" r:id="rId9"/>
    <sheet name="Calcasieu" sheetId="111" r:id="rId10"/>
    <sheet name="Caldwell" sheetId="112" r:id="rId11"/>
    <sheet name="Cameron" sheetId="113" r:id="rId12"/>
    <sheet name="Catahoula" sheetId="114" r:id="rId13"/>
    <sheet name="Claiborne" sheetId="115" r:id="rId14"/>
    <sheet name="Concordia" sheetId="143" r:id="rId15"/>
    <sheet name="DeSoto" sheetId="116" r:id="rId16"/>
    <sheet name="East Baton Rouge" sheetId="97" r:id="rId17"/>
    <sheet name="East Carroll" sheetId="117" r:id="rId18"/>
    <sheet name="East Feliciana" sheetId="145" r:id="rId19"/>
    <sheet name="Evangeline" sheetId="118" r:id="rId20"/>
    <sheet name="Franklin" sheetId="119" r:id="rId21"/>
    <sheet name="Grant" sheetId="120" r:id="rId22"/>
    <sheet name="Iberia" sheetId="121" r:id="rId23"/>
    <sheet name="Iberville" sheetId="69" r:id="rId24"/>
    <sheet name="Jackson" sheetId="122" r:id="rId25"/>
    <sheet name="Jefferson Davis" sheetId="123" r:id="rId26"/>
    <sheet name="Jefferson" sheetId="71" r:id="rId27"/>
    <sheet name="LaSalle" sheetId="124" r:id="rId28"/>
    <sheet name="Lafayette" sheetId="72" r:id="rId29"/>
    <sheet name="Lafourche" sheetId="73" r:id="rId30"/>
    <sheet name="Lincoln" sheetId="125" r:id="rId31"/>
    <sheet name="Livingston" sheetId="99" r:id="rId32"/>
    <sheet name="Madison" sheetId="126" r:id="rId33"/>
    <sheet name="Morehouse" sheetId="100" r:id="rId34"/>
    <sheet name="Natchitoches" sheetId="127" r:id="rId35"/>
    <sheet name="Orleans" sheetId="76" r:id="rId36"/>
    <sheet name="Ouachita" sheetId="141" r:id="rId37"/>
    <sheet name="Plaquemines" sheetId="78" r:id="rId38"/>
    <sheet name="Pointe Coupee" sheetId="102" r:id="rId39"/>
    <sheet name="Rapides" sheetId="128" r:id="rId40"/>
    <sheet name="Red River" sheetId="129" r:id="rId41"/>
    <sheet name="Richland" sheetId="130" r:id="rId42"/>
    <sheet name="Sabine" sheetId="131" r:id="rId43"/>
    <sheet name="St. Bernard" sheetId="103" r:id="rId44"/>
    <sheet name="St. Charles" sheetId="82" r:id="rId45"/>
    <sheet name="St. Helena" sheetId="104" r:id="rId46"/>
    <sheet name="St. James" sheetId="83" r:id="rId47"/>
    <sheet name="St John the Baptist" sheetId="101" r:id="rId48"/>
    <sheet name="St. Landry" sheetId="84" r:id="rId49"/>
    <sheet name="St. Martin" sheetId="132" r:id="rId50"/>
    <sheet name="St. Mary" sheetId="85" r:id="rId51"/>
    <sheet name="St. Tammany" sheetId="86" r:id="rId52"/>
    <sheet name="Tangipahoa" sheetId="87" r:id="rId53"/>
    <sheet name="Tensas" sheetId="133" r:id="rId54"/>
    <sheet name="Terrebonne" sheetId="88" r:id="rId55"/>
    <sheet name="Union" sheetId="134" r:id="rId56"/>
    <sheet name="Vermillion" sheetId="135" r:id="rId57"/>
    <sheet name="Vernon" sheetId="136" r:id="rId58"/>
    <sheet name="Washington" sheetId="92" r:id="rId59"/>
    <sheet name="Webster" sheetId="137" r:id="rId60"/>
    <sheet name="West Baton Rouge" sheetId="138" r:id="rId61"/>
    <sheet name="West Carroll" sheetId="139" r:id="rId62"/>
    <sheet name="West Feliciana" sheetId="146" r:id="rId63"/>
    <sheet name="Winn" sheetId="140" r:id="rId64"/>
    <sheet name="Cross Sectional" sheetId="148" r:id="rId65"/>
    <sheet name="CSG" sheetId="3" r:id="rId66"/>
    <sheet name="CSB" sheetId="144" r:id="rId67"/>
    <sheet name="CST" sheetId="147" r:id="rId6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4" i="144" l="1"/>
  <c r="Q7" i="148"/>
  <c r="R7" i="148"/>
  <c r="N8" i="148"/>
  <c r="N9" i="148"/>
  <c r="O9" i="148"/>
  <c r="P9" i="148"/>
  <c r="Q9" i="148"/>
  <c r="S9" i="148"/>
  <c r="O10" i="148"/>
  <c r="P10" i="148"/>
  <c r="R10" i="148"/>
  <c r="N11" i="148"/>
  <c r="Q11" i="148"/>
  <c r="T11" i="148"/>
  <c r="P12" i="148"/>
  <c r="Q12" i="148"/>
  <c r="R12" i="148"/>
  <c r="S12" i="148"/>
  <c r="N13" i="148"/>
  <c r="O13" i="148"/>
  <c r="P13" i="148"/>
  <c r="Q13" i="148"/>
  <c r="N14" i="148"/>
  <c r="O14" i="148"/>
  <c r="P14" i="148"/>
  <c r="N15" i="148"/>
  <c r="O15" i="148"/>
  <c r="P15" i="148"/>
  <c r="O16" i="148"/>
  <c r="P16" i="148"/>
  <c r="S16" i="148"/>
  <c r="T16" i="148"/>
  <c r="N17" i="148"/>
  <c r="O17" i="148"/>
  <c r="P17" i="148"/>
  <c r="O18" i="148"/>
  <c r="P18" i="148"/>
  <c r="Q18" i="148"/>
  <c r="T18" i="148"/>
  <c r="O19" i="148"/>
  <c r="P19" i="148"/>
  <c r="N20" i="148"/>
  <c r="O20" i="148"/>
  <c r="P20" i="148"/>
  <c r="Q20" i="148"/>
  <c r="T20" i="148"/>
  <c r="O21" i="148"/>
  <c r="P21" i="148"/>
  <c r="N22" i="148"/>
  <c r="O22" i="148"/>
  <c r="P22" i="148"/>
  <c r="N23" i="148"/>
  <c r="O23" i="148"/>
  <c r="P23" i="148"/>
  <c r="Q23" i="148"/>
  <c r="O24" i="148"/>
  <c r="P24" i="148"/>
  <c r="R24" i="148"/>
  <c r="S24" i="148"/>
  <c r="T24" i="148"/>
  <c r="O26" i="148"/>
  <c r="P26" i="148"/>
  <c r="O27" i="148"/>
  <c r="P27" i="148"/>
  <c r="N28" i="148"/>
  <c r="O28" i="148"/>
  <c r="P28" i="148"/>
  <c r="N29" i="148"/>
  <c r="O29" i="148"/>
  <c r="P29" i="148"/>
  <c r="Q29" i="148"/>
  <c r="N30" i="148"/>
  <c r="O30" i="148"/>
  <c r="P30" i="148"/>
  <c r="Q30" i="148"/>
  <c r="N32" i="148"/>
  <c r="R32" i="148"/>
  <c r="S32" i="148"/>
  <c r="N31" i="148"/>
  <c r="O31" i="148"/>
  <c r="P31" i="148"/>
  <c r="N35" i="148"/>
  <c r="O35" i="148"/>
  <c r="P35" i="148"/>
  <c r="Q35" i="148"/>
  <c r="N33" i="148"/>
  <c r="O33" i="148"/>
  <c r="P33" i="148"/>
  <c r="N34" i="148"/>
  <c r="O34" i="148"/>
  <c r="P34" i="148"/>
  <c r="R36" i="148"/>
  <c r="S36" i="148"/>
  <c r="N37" i="148"/>
  <c r="O37" i="148"/>
  <c r="P37" i="148"/>
  <c r="N38" i="148"/>
  <c r="O38" i="148"/>
  <c r="P38" i="148"/>
  <c r="Q38" i="148"/>
  <c r="T38" i="148"/>
  <c r="N39" i="148"/>
  <c r="O39" i="148"/>
  <c r="P39" i="148"/>
  <c r="Q39" i="148"/>
  <c r="S39" i="148"/>
  <c r="P40" i="148"/>
  <c r="R40" i="148"/>
  <c r="S40" i="148"/>
  <c r="N41" i="148"/>
  <c r="O41" i="148"/>
  <c r="P41" i="148"/>
  <c r="N42" i="148"/>
  <c r="O42" i="148"/>
  <c r="P42" i="148"/>
  <c r="Q42" i="148"/>
  <c r="R43" i="148"/>
  <c r="S43" i="148"/>
  <c r="N44" i="148"/>
  <c r="O44" i="148"/>
  <c r="P44" i="148"/>
  <c r="N45" i="148"/>
  <c r="P45" i="148"/>
  <c r="O46" i="148"/>
  <c r="P46" i="148"/>
  <c r="Q46" i="148"/>
  <c r="R46" i="148"/>
  <c r="S46" i="148"/>
  <c r="N47" i="148"/>
  <c r="O47" i="148"/>
  <c r="P47" i="148"/>
  <c r="Q47" i="148"/>
  <c r="R47" i="148"/>
  <c r="S47" i="148"/>
  <c r="T47" i="148"/>
  <c r="N48" i="148"/>
  <c r="O48" i="148"/>
  <c r="P48" i="148"/>
  <c r="Q48" i="148"/>
  <c r="T48" i="148"/>
  <c r="N49" i="148"/>
  <c r="O49" i="148"/>
  <c r="P49" i="148"/>
  <c r="N50" i="148"/>
  <c r="O50" i="148"/>
  <c r="P50" i="148"/>
  <c r="Q51" i="148"/>
  <c r="R51" i="148"/>
  <c r="S51" i="148"/>
  <c r="N52" i="148"/>
  <c r="O52" i="148"/>
  <c r="P52" i="148"/>
  <c r="N53" i="148"/>
  <c r="O53" i="148"/>
  <c r="P53" i="148"/>
  <c r="O56" i="148"/>
  <c r="P56" i="148"/>
  <c r="S56" i="148"/>
  <c r="N57" i="148"/>
  <c r="O57" i="148"/>
  <c r="P57" i="148"/>
  <c r="N58" i="148"/>
  <c r="O58" i="148"/>
  <c r="P58" i="148"/>
  <c r="O59" i="148"/>
  <c r="P59" i="148"/>
  <c r="T59" i="148"/>
  <c r="N60" i="148"/>
  <c r="O60" i="148"/>
  <c r="P60" i="148"/>
  <c r="N62" i="148"/>
  <c r="O62" i="148"/>
  <c r="P62" i="148"/>
  <c r="N63" i="148"/>
  <c r="O63" i="148"/>
  <c r="P63" i="148"/>
  <c r="N64" i="148"/>
  <c r="O64" i="148"/>
  <c r="P64" i="148"/>
  <c r="N65" i="148"/>
  <c r="O65" i="148"/>
  <c r="P65" i="148"/>
  <c r="N66" i="148"/>
  <c r="O66" i="148"/>
  <c r="P66" i="148"/>
  <c r="Q66" i="148"/>
  <c r="O67" i="148"/>
  <c r="Q67" i="148"/>
  <c r="N68" i="148"/>
  <c r="O68" i="148"/>
  <c r="P68" i="148"/>
  <c r="Q68" i="148"/>
  <c r="N69" i="148"/>
  <c r="O69" i="148"/>
  <c r="P69" i="148"/>
  <c r="Q69" i="148"/>
  <c r="Q6" i="148"/>
  <c r="R6" i="148"/>
  <c r="D7" i="148"/>
  <c r="G9" i="148"/>
  <c r="D11" i="148"/>
  <c r="D12" i="148"/>
  <c r="G12" i="148"/>
  <c r="H12" i="148"/>
  <c r="G13" i="148"/>
  <c r="D16" i="148"/>
  <c r="G16" i="148"/>
  <c r="H16" i="148"/>
  <c r="G17" i="148"/>
  <c r="D18" i="148"/>
  <c r="G18" i="148"/>
  <c r="G19" i="148"/>
  <c r="D20" i="148"/>
  <c r="G20" i="148"/>
  <c r="G23" i="148"/>
  <c r="D24" i="148"/>
  <c r="H24" i="148"/>
  <c r="D26" i="148"/>
  <c r="G26" i="148"/>
  <c r="D27" i="148"/>
  <c r="D29" i="148"/>
  <c r="G29" i="148"/>
  <c r="D30" i="148"/>
  <c r="G30" i="148"/>
  <c r="G32" i="148"/>
  <c r="G31" i="148"/>
  <c r="G35" i="148"/>
  <c r="G38" i="148"/>
  <c r="H38" i="148"/>
  <c r="G39" i="148"/>
  <c r="H39" i="148"/>
  <c r="G40" i="148"/>
  <c r="G43" i="148"/>
  <c r="D45" i="148"/>
  <c r="G45" i="148"/>
  <c r="G46" i="148"/>
  <c r="G47" i="148"/>
  <c r="H47" i="148"/>
  <c r="D48" i="148"/>
  <c r="G48" i="148"/>
  <c r="H48" i="148"/>
  <c r="G49" i="148"/>
  <c r="G51" i="148"/>
  <c r="D54" i="148"/>
  <c r="D58" i="148"/>
  <c r="G61" i="148"/>
  <c r="H61" i="148"/>
  <c r="D62" i="148"/>
  <c r="G63" i="148"/>
  <c r="G65" i="148"/>
  <c r="H66" i="148"/>
  <c r="G67" i="148"/>
  <c r="D69" i="148"/>
  <c r="H69" i="148"/>
  <c r="H6" i="148"/>
  <c r="X71" i="148"/>
  <c r="N71" i="148"/>
  <c r="Y67" i="148"/>
  <c r="Y62" i="148"/>
  <c r="Y61" i="148"/>
  <c r="Y60" i="148"/>
  <c r="L60" i="148"/>
  <c r="Y50" i="148"/>
  <c r="Y47" i="148"/>
  <c r="Y44" i="148"/>
  <c r="Y41" i="148"/>
  <c r="L41" i="148"/>
  <c r="Y39" i="148"/>
  <c r="L37" i="148"/>
  <c r="L36" i="148"/>
  <c r="L34" i="148"/>
  <c r="L31" i="148"/>
  <c r="Y32" i="148"/>
  <c r="L32" i="148"/>
  <c r="Y25" i="148"/>
  <c r="Y22" i="148"/>
  <c r="L22" i="148"/>
  <c r="Y18" i="148"/>
  <c r="Y15" i="148"/>
  <c r="Y8" i="148"/>
  <c r="L8" i="148"/>
  <c r="Y6" i="148"/>
  <c r="L6" i="148"/>
  <c r="D47" i="147" l="1"/>
  <c r="D39" i="147"/>
  <c r="D31" i="147"/>
  <c r="F29" i="147"/>
  <c r="F45" i="147"/>
  <c r="F53" i="147"/>
  <c r="F61" i="147"/>
  <c r="H34" i="140"/>
  <c r="H36" i="140" s="1"/>
  <c r="R68" i="147" s="1"/>
  <c r="H28" i="140"/>
  <c r="W69" i="148" s="1"/>
  <c r="N68" i="147"/>
  <c r="J68" i="147"/>
  <c r="I68" i="147"/>
  <c r="H18" i="140"/>
  <c r="K69" i="148" s="1"/>
  <c r="H68" i="147"/>
  <c r="E68" i="147"/>
  <c r="C68" i="147"/>
  <c r="D68" i="147" s="1"/>
  <c r="J38" i="146"/>
  <c r="J40" i="146"/>
  <c r="J41" i="146"/>
  <c r="J42" i="146"/>
  <c r="J43" i="146"/>
  <c r="J44" i="146"/>
  <c r="J45" i="146"/>
  <c r="J26" i="146"/>
  <c r="J27" i="146"/>
  <c r="J28" i="146"/>
  <c r="J29" i="146"/>
  <c r="J32" i="146"/>
  <c r="J33" i="146"/>
  <c r="J67" i="147"/>
  <c r="J7" i="146"/>
  <c r="J9" i="146"/>
  <c r="J10" i="146"/>
  <c r="J11" i="146"/>
  <c r="J12" i="146"/>
  <c r="J13" i="146"/>
  <c r="J14" i="146"/>
  <c r="J15" i="146"/>
  <c r="J16" i="146"/>
  <c r="J17" i="146"/>
  <c r="J18" i="146"/>
  <c r="J20" i="146"/>
  <c r="E67" i="147" s="1"/>
  <c r="J21" i="146"/>
  <c r="H35" i="139"/>
  <c r="H22" i="139"/>
  <c r="W67" i="148" s="1"/>
  <c r="H37" i="139"/>
  <c r="R66" i="147" s="1"/>
  <c r="N66" i="147"/>
  <c r="M66" i="147"/>
  <c r="J66" i="147"/>
  <c r="I66" i="147"/>
  <c r="H12" i="139"/>
  <c r="K67" i="148" s="1"/>
  <c r="E66" i="147"/>
  <c r="C66" i="147"/>
  <c r="D66" i="147" s="1"/>
  <c r="G26" i="138"/>
  <c r="W66" i="148" s="1"/>
  <c r="G40" i="138"/>
  <c r="G31" i="138"/>
  <c r="Y66" i="148" s="1"/>
  <c r="N65" i="147"/>
  <c r="M65" i="147"/>
  <c r="J65" i="147"/>
  <c r="I65" i="147"/>
  <c r="G18" i="138"/>
  <c r="K66" i="148" s="1"/>
  <c r="E65" i="147"/>
  <c r="C65" i="147"/>
  <c r="F65" i="147" s="1"/>
  <c r="H46" i="137"/>
  <c r="H48" i="137" s="1"/>
  <c r="R64" i="147" s="1"/>
  <c r="H29" i="137"/>
  <c r="N64" i="147"/>
  <c r="J64" i="147"/>
  <c r="I64" i="147"/>
  <c r="H15" i="137"/>
  <c r="K65" i="148" s="1"/>
  <c r="H64" i="147"/>
  <c r="E64" i="147"/>
  <c r="C64" i="147"/>
  <c r="F64" i="147" s="1"/>
  <c r="J38" i="92"/>
  <c r="J40" i="92"/>
  <c r="J41" i="92"/>
  <c r="J42" i="92"/>
  <c r="J48" i="92" s="1"/>
  <c r="J50" i="92" s="1"/>
  <c r="R63" i="147" s="1"/>
  <c r="J43" i="92"/>
  <c r="J44" i="92"/>
  <c r="N63" i="147" s="1"/>
  <c r="J45" i="92"/>
  <c r="J46" i="92"/>
  <c r="J26" i="92"/>
  <c r="J27" i="92"/>
  <c r="J28" i="92"/>
  <c r="J35" i="92" s="1"/>
  <c r="M63" i="147" s="1"/>
  <c r="J29" i="92"/>
  <c r="J30" i="92"/>
  <c r="J31" i="92"/>
  <c r="J32" i="92"/>
  <c r="J33" i="92"/>
  <c r="J63" i="147" s="1"/>
  <c r="J7" i="92"/>
  <c r="J8" i="92"/>
  <c r="J9" i="92"/>
  <c r="J10" i="92"/>
  <c r="J11" i="92"/>
  <c r="J15" i="92"/>
  <c r="J16" i="92"/>
  <c r="J17" i="92"/>
  <c r="J19" i="92"/>
  <c r="J20" i="92"/>
  <c r="J21" i="92"/>
  <c r="E63" i="147"/>
  <c r="H37" i="136"/>
  <c r="H39" i="136" s="1"/>
  <c r="R62" i="147" s="1"/>
  <c r="H28" i="136"/>
  <c r="W63" i="148" s="1"/>
  <c r="N62" i="147"/>
  <c r="J62" i="147"/>
  <c r="I62" i="147"/>
  <c r="H18" i="136"/>
  <c r="K63" i="148" s="1"/>
  <c r="E62" i="147"/>
  <c r="C62" i="147"/>
  <c r="D62" i="147" s="1"/>
  <c r="H27" i="135"/>
  <c r="W62" i="148" s="1"/>
  <c r="H39" i="135"/>
  <c r="H41" i="135"/>
  <c r="R61" i="147" s="1"/>
  <c r="N61" i="147"/>
  <c r="J61" i="147"/>
  <c r="I61" i="147"/>
  <c r="H14" i="135"/>
  <c r="K62" i="148" s="1"/>
  <c r="E61" i="147"/>
  <c r="C61" i="147"/>
  <c r="D61" i="147" s="1"/>
  <c r="G25" i="134"/>
  <c r="W61" i="148" s="1"/>
  <c r="G35" i="134"/>
  <c r="N60" i="147"/>
  <c r="I60" i="147"/>
  <c r="J60" i="147"/>
  <c r="G11" i="134"/>
  <c r="K61" i="148" s="1"/>
  <c r="E60" i="147"/>
  <c r="C60" i="147"/>
  <c r="D60" i="147" s="1"/>
  <c r="J47" i="88"/>
  <c r="J48" i="88"/>
  <c r="J49" i="88"/>
  <c r="J50" i="88"/>
  <c r="J51" i="88"/>
  <c r="J52" i="88"/>
  <c r="J53" i="88"/>
  <c r="J54" i="88"/>
  <c r="J55" i="88"/>
  <c r="J56" i="88"/>
  <c r="J57" i="88"/>
  <c r="J58" i="88"/>
  <c r="J60" i="88"/>
  <c r="J31" i="88"/>
  <c r="J32" i="88"/>
  <c r="J33" i="88"/>
  <c r="J34" i="88"/>
  <c r="J36" i="88"/>
  <c r="J37" i="88"/>
  <c r="J38" i="88"/>
  <c r="J39" i="88"/>
  <c r="J40" i="88"/>
  <c r="J59" i="147" s="1"/>
  <c r="J44" i="88"/>
  <c r="J7" i="88"/>
  <c r="J8" i="88"/>
  <c r="J9" i="88"/>
  <c r="J10" i="88"/>
  <c r="J11" i="88"/>
  <c r="J12" i="88"/>
  <c r="J14" i="88"/>
  <c r="J15" i="88"/>
  <c r="J17" i="88"/>
  <c r="J18" i="88"/>
  <c r="J19" i="88"/>
  <c r="J20" i="88"/>
  <c r="E59" i="147" s="1"/>
  <c r="J21" i="88"/>
  <c r="J22" i="88"/>
  <c r="J23" i="88"/>
  <c r="J24" i="88"/>
  <c r="C59" i="147"/>
  <c r="G22" i="133"/>
  <c r="W59" i="148" s="1"/>
  <c r="G31" i="133"/>
  <c r="N58" i="147"/>
  <c r="M58" i="147"/>
  <c r="J58" i="147"/>
  <c r="I58" i="147"/>
  <c r="G13" i="133"/>
  <c r="K59" i="148" s="1"/>
  <c r="E58" i="147"/>
  <c r="C58" i="147"/>
  <c r="D58" i="147" s="1"/>
  <c r="H42" i="87"/>
  <c r="H27" i="87"/>
  <c r="W58" i="148" s="1"/>
  <c r="H32" i="87"/>
  <c r="Y58" i="148" s="1"/>
  <c r="H44" i="87"/>
  <c r="R57" i="147" s="1"/>
  <c r="N57" i="147"/>
  <c r="J57" i="147"/>
  <c r="I57" i="147"/>
  <c r="H15" i="87"/>
  <c r="K58" i="148" s="1"/>
  <c r="E57" i="147"/>
  <c r="C57" i="147"/>
  <c r="F57" i="147" s="1"/>
  <c r="J40" i="86"/>
  <c r="J42" i="86"/>
  <c r="J43" i="86"/>
  <c r="J44" i="86"/>
  <c r="J45" i="86"/>
  <c r="J46" i="86"/>
  <c r="J47" i="86"/>
  <c r="N56" i="147" s="1"/>
  <c r="O56" i="147" s="1"/>
  <c r="J48" i="86"/>
  <c r="J49" i="86"/>
  <c r="J50" i="86"/>
  <c r="J51" i="86"/>
  <c r="J52" i="86"/>
  <c r="J27" i="86"/>
  <c r="I56" i="147" s="1"/>
  <c r="J28" i="86"/>
  <c r="J29" i="86"/>
  <c r="J30" i="86"/>
  <c r="J31" i="86"/>
  <c r="J32" i="86"/>
  <c r="J34" i="86"/>
  <c r="J35" i="86"/>
  <c r="J37" i="86"/>
  <c r="J41" i="86"/>
  <c r="J54" i="86" s="1"/>
  <c r="J56" i="147"/>
  <c r="J7" i="86"/>
  <c r="J8" i="86"/>
  <c r="J9" i="86"/>
  <c r="J10" i="86"/>
  <c r="J11" i="86"/>
  <c r="J12" i="86"/>
  <c r="J13" i="86"/>
  <c r="E56" i="147" s="1"/>
  <c r="J14" i="86"/>
  <c r="J15" i="86"/>
  <c r="J16" i="86"/>
  <c r="J17" i="86"/>
  <c r="J45" i="85"/>
  <c r="J46" i="85"/>
  <c r="I55" i="147" s="1"/>
  <c r="J47" i="85"/>
  <c r="J48" i="85"/>
  <c r="J49" i="85"/>
  <c r="J50" i="85"/>
  <c r="J55" i="85"/>
  <c r="J56" i="85"/>
  <c r="J60" i="85" s="1"/>
  <c r="J57" i="85"/>
  <c r="J55" i="147" s="1"/>
  <c r="J58" i="85"/>
  <c r="J65" i="85"/>
  <c r="J67" i="85"/>
  <c r="J68" i="85"/>
  <c r="J69" i="85"/>
  <c r="J71" i="85"/>
  <c r="N55" i="147"/>
  <c r="J25" i="85"/>
  <c r="J26" i="85"/>
  <c r="J34" i="85" s="1"/>
  <c r="J27" i="85"/>
  <c r="J28" i="85"/>
  <c r="J29" i="85"/>
  <c r="J30" i="85"/>
  <c r="J31" i="85"/>
  <c r="J32" i="85"/>
  <c r="J19" i="85"/>
  <c r="J20" i="85"/>
  <c r="J8" i="85"/>
  <c r="J9" i="85"/>
  <c r="J10" i="85"/>
  <c r="J11" i="85"/>
  <c r="J12" i="85"/>
  <c r="J13" i="85"/>
  <c r="J14" i="85"/>
  <c r="J33" i="132"/>
  <c r="J35" i="132"/>
  <c r="J36" i="132"/>
  <c r="J37" i="132"/>
  <c r="J17" i="132"/>
  <c r="J18" i="132"/>
  <c r="J19" i="132"/>
  <c r="J20" i="132"/>
  <c r="J21" i="132"/>
  <c r="J23" i="132"/>
  <c r="J24" i="132"/>
  <c r="J25" i="132"/>
  <c r="J26" i="132"/>
  <c r="J27" i="132"/>
  <c r="J28" i="132"/>
  <c r="J54" i="147"/>
  <c r="J6" i="132"/>
  <c r="J7" i="132"/>
  <c r="J8" i="132"/>
  <c r="J9" i="132"/>
  <c r="J11" i="132"/>
  <c r="E54" i="147" s="1"/>
  <c r="J12" i="132"/>
  <c r="H34" i="84"/>
  <c r="H42" i="84" s="1"/>
  <c r="H40" i="84"/>
  <c r="H50" i="84"/>
  <c r="N53" i="147"/>
  <c r="J53" i="147"/>
  <c r="I53" i="147"/>
  <c r="H15" i="84"/>
  <c r="H20" i="84" s="1"/>
  <c r="E53" i="147"/>
  <c r="C53" i="147"/>
  <c r="D53" i="147" s="1"/>
  <c r="I38" i="101"/>
  <c r="I47" i="101" s="1"/>
  <c r="I40" i="101"/>
  <c r="N52" i="147" s="1"/>
  <c r="I41" i="101"/>
  <c r="I42" i="101"/>
  <c r="I43" i="101"/>
  <c r="I45" i="101"/>
  <c r="I25" i="101"/>
  <c r="I26" i="101"/>
  <c r="I27" i="101"/>
  <c r="I28" i="101"/>
  <c r="I29" i="101"/>
  <c r="I30" i="101"/>
  <c r="I31" i="101"/>
  <c r="I32" i="101"/>
  <c r="I33" i="101"/>
  <c r="J52" i="147" s="1"/>
  <c r="I7" i="101"/>
  <c r="I8" i="101"/>
  <c r="I10" i="101"/>
  <c r="I11" i="101"/>
  <c r="I12" i="101"/>
  <c r="I13" i="101"/>
  <c r="I14" i="101"/>
  <c r="I15" i="101"/>
  <c r="I16" i="101"/>
  <c r="I17" i="101"/>
  <c r="I18" i="101"/>
  <c r="I20" i="101"/>
  <c r="I39" i="83"/>
  <c r="I41" i="83"/>
  <c r="I42" i="83"/>
  <c r="I43" i="83"/>
  <c r="I44" i="83"/>
  <c r="I45" i="83"/>
  <c r="I46" i="83"/>
  <c r="I47" i="83"/>
  <c r="I48" i="83"/>
  <c r="I49" i="83"/>
  <c r="I50" i="83"/>
  <c r="I26" i="83"/>
  <c r="I27" i="83"/>
  <c r="I28" i="83"/>
  <c r="I30" i="83"/>
  <c r="I31" i="83"/>
  <c r="I33" i="83"/>
  <c r="I51" i="147" s="1"/>
  <c r="K51" i="147" s="1"/>
  <c r="I34" i="83"/>
  <c r="H36" i="83"/>
  <c r="H52" i="83"/>
  <c r="H54" i="83"/>
  <c r="J36" i="83"/>
  <c r="J52" i="83"/>
  <c r="G36" i="83"/>
  <c r="G52" i="83"/>
  <c r="G54" i="83"/>
  <c r="J51" i="147"/>
  <c r="I7" i="83"/>
  <c r="I8" i="83"/>
  <c r="I9" i="83"/>
  <c r="I11" i="83"/>
  <c r="I12" i="83"/>
  <c r="I13" i="83"/>
  <c r="I14" i="83"/>
  <c r="I15" i="83"/>
  <c r="I17" i="83"/>
  <c r="I20" i="83"/>
  <c r="I21" i="83"/>
  <c r="E51" i="147"/>
  <c r="H60" i="104"/>
  <c r="H62" i="104" s="1"/>
  <c r="R50" i="147" s="1"/>
  <c r="Q50" i="147" s="1"/>
  <c r="H41" i="104"/>
  <c r="H50" i="104" s="1"/>
  <c r="H48" i="104"/>
  <c r="N50" i="147"/>
  <c r="J50" i="147"/>
  <c r="I50" i="147"/>
  <c r="H27" i="104"/>
  <c r="H18" i="104"/>
  <c r="H14" i="104"/>
  <c r="H29" i="104"/>
  <c r="K51" i="148" s="1"/>
  <c r="E50" i="147"/>
  <c r="C50" i="147"/>
  <c r="J28" i="82"/>
  <c r="J29" i="82"/>
  <c r="J30" i="82"/>
  <c r="J31" i="82"/>
  <c r="J32" i="82"/>
  <c r="J34" i="82"/>
  <c r="J35" i="82"/>
  <c r="J36" i="82"/>
  <c r="J37" i="82"/>
  <c r="J38" i="82"/>
  <c r="J39" i="82"/>
  <c r="J41" i="82"/>
  <c r="J51" i="82"/>
  <c r="J52" i="82"/>
  <c r="J53" i="82"/>
  <c r="J54" i="82"/>
  <c r="J55" i="82"/>
  <c r="J56" i="82"/>
  <c r="J57" i="82"/>
  <c r="J58" i="82"/>
  <c r="J49" i="147"/>
  <c r="J7" i="82"/>
  <c r="J8" i="82"/>
  <c r="J9" i="82"/>
  <c r="J10" i="82"/>
  <c r="J11" i="82"/>
  <c r="J12" i="82"/>
  <c r="J13" i="82"/>
  <c r="J14" i="82"/>
  <c r="J15" i="82"/>
  <c r="J17" i="82"/>
  <c r="J18" i="82"/>
  <c r="J20" i="82"/>
  <c r="E49" i="147" s="1"/>
  <c r="J21" i="82"/>
  <c r="J22" i="82"/>
  <c r="J23" i="82"/>
  <c r="H44" i="103"/>
  <c r="H46" i="103"/>
  <c r="H47" i="103"/>
  <c r="H48" i="103"/>
  <c r="H49" i="103"/>
  <c r="H29" i="103"/>
  <c r="H30" i="103"/>
  <c r="H31" i="103"/>
  <c r="I48" i="147" s="1"/>
  <c r="K48" i="147" s="1"/>
  <c r="H32" i="103"/>
  <c r="H33" i="103"/>
  <c r="H34" i="103"/>
  <c r="H35" i="103"/>
  <c r="H36" i="103"/>
  <c r="H38" i="103"/>
  <c r="H39" i="103"/>
  <c r="H41" i="103"/>
  <c r="J48" i="147"/>
  <c r="H7" i="103"/>
  <c r="H8" i="103"/>
  <c r="H9" i="103"/>
  <c r="H10" i="103"/>
  <c r="H11" i="103"/>
  <c r="H12" i="103"/>
  <c r="H13" i="103"/>
  <c r="H14" i="103"/>
  <c r="H15" i="103"/>
  <c r="H16" i="103"/>
  <c r="H17" i="103"/>
  <c r="H18" i="103"/>
  <c r="H19" i="103"/>
  <c r="H20" i="103"/>
  <c r="H21" i="103"/>
  <c r="H22" i="103"/>
  <c r="H23" i="103"/>
  <c r="E48" i="147" s="1"/>
  <c r="H24" i="103"/>
  <c r="H29" i="131"/>
  <c r="W48" i="148" s="1"/>
  <c r="H35" i="131"/>
  <c r="H37" i="131"/>
  <c r="R47" i="147" s="1"/>
  <c r="N47" i="147"/>
  <c r="J47" i="147"/>
  <c r="I47" i="147"/>
  <c r="H20" i="131"/>
  <c r="K48" i="148" s="1"/>
  <c r="E47" i="147"/>
  <c r="C47" i="147"/>
  <c r="F47" i="147" s="1"/>
  <c r="G18" i="130"/>
  <c r="W47" i="148" s="1"/>
  <c r="G28" i="130"/>
  <c r="I46" i="147"/>
  <c r="K46" i="147" s="1"/>
  <c r="N46" i="147"/>
  <c r="M46" i="147"/>
  <c r="J46" i="147"/>
  <c r="G12" i="130"/>
  <c r="K47" i="148" s="1"/>
  <c r="E46" i="147"/>
  <c r="C46" i="147"/>
  <c r="D46" i="147" s="1"/>
  <c r="J40" i="129"/>
  <c r="J42" i="129"/>
  <c r="J46" i="129" s="1"/>
  <c r="J43" i="129"/>
  <c r="J44" i="129"/>
  <c r="J23" i="129"/>
  <c r="J24" i="129"/>
  <c r="J25" i="129"/>
  <c r="J26" i="129"/>
  <c r="J28" i="129"/>
  <c r="J37" i="129" s="1"/>
  <c r="J31" i="129"/>
  <c r="J35" i="129" s="1"/>
  <c r="J32" i="129"/>
  <c r="J33" i="129"/>
  <c r="N45" i="147"/>
  <c r="J45" i="147"/>
  <c r="I45" i="147"/>
  <c r="J7" i="129"/>
  <c r="J8" i="129"/>
  <c r="J9" i="129"/>
  <c r="J10" i="129"/>
  <c r="J12" i="129"/>
  <c r="J19" i="129" s="1"/>
  <c r="J15" i="129"/>
  <c r="J17" i="129"/>
  <c r="E45" i="147"/>
  <c r="C45" i="147"/>
  <c r="D45" i="147" s="1"/>
  <c r="H29" i="128"/>
  <c r="W45" i="148" s="1"/>
  <c r="H36" i="128"/>
  <c r="N44" i="147"/>
  <c r="J44" i="147"/>
  <c r="I44" i="147"/>
  <c r="H19" i="128"/>
  <c r="K45" i="148" s="1"/>
  <c r="H44" i="147"/>
  <c r="E44" i="147"/>
  <c r="C44" i="147"/>
  <c r="D44" i="147" s="1"/>
  <c r="H22" i="102"/>
  <c r="H23" i="102"/>
  <c r="H24" i="102"/>
  <c r="H25" i="102"/>
  <c r="H29" i="102" s="1"/>
  <c r="H26" i="102"/>
  <c r="H27" i="102"/>
  <c r="J43" i="147" s="1"/>
  <c r="H35" i="102"/>
  <c r="H37" i="102"/>
  <c r="H38" i="102"/>
  <c r="H39" i="102"/>
  <c r="H40" i="102"/>
  <c r="H42" i="102"/>
  <c r="H32" i="102"/>
  <c r="N43" i="147"/>
  <c r="I43" i="147"/>
  <c r="H7" i="102"/>
  <c r="H8" i="102"/>
  <c r="H9" i="102"/>
  <c r="H10" i="102"/>
  <c r="H11" i="102"/>
  <c r="H12" i="102"/>
  <c r="H13" i="102"/>
  <c r="H14" i="102"/>
  <c r="H15" i="102"/>
  <c r="H16" i="102"/>
  <c r="E43" i="147" s="1"/>
  <c r="H17" i="102"/>
  <c r="J50" i="78"/>
  <c r="J51" i="78"/>
  <c r="J52" i="78"/>
  <c r="J26" i="78"/>
  <c r="J27" i="78"/>
  <c r="J28" i="78"/>
  <c r="J29" i="78"/>
  <c r="J30" i="78"/>
  <c r="J36" i="78" s="1"/>
  <c r="J31" i="78"/>
  <c r="J32" i="78"/>
  <c r="J33" i="78"/>
  <c r="J34" i="78"/>
  <c r="J39" i="78"/>
  <c r="J40" i="78"/>
  <c r="J41" i="78"/>
  <c r="J42" i="78"/>
  <c r="J43" i="78"/>
  <c r="J42" i="147" s="1"/>
  <c r="I42" i="147"/>
  <c r="J7" i="78"/>
  <c r="J8" i="78"/>
  <c r="J9" i="78"/>
  <c r="J10" i="78"/>
  <c r="J11" i="78"/>
  <c r="J13" i="78"/>
  <c r="J16" i="78"/>
  <c r="J17" i="78"/>
  <c r="E42" i="147" s="1"/>
  <c r="J18" i="78"/>
  <c r="C42" i="147"/>
  <c r="D42" i="147" s="1"/>
  <c r="H35" i="141"/>
  <c r="H37" i="141"/>
  <c r="H38" i="141"/>
  <c r="H39" i="141"/>
  <c r="H40" i="141"/>
  <c r="H41" i="141"/>
  <c r="H42" i="141"/>
  <c r="H43" i="141"/>
  <c r="H44" i="141"/>
  <c r="H45" i="141"/>
  <c r="H46" i="141"/>
  <c r="H24" i="141"/>
  <c r="H32" i="141" s="1"/>
  <c r="H25" i="141"/>
  <c r="H26" i="141"/>
  <c r="H28" i="141"/>
  <c r="H29" i="141"/>
  <c r="H30" i="141"/>
  <c r="J41" i="147" s="1"/>
  <c r="I41" i="147"/>
  <c r="H7" i="141"/>
  <c r="H8" i="141"/>
  <c r="H10" i="141"/>
  <c r="H11" i="141"/>
  <c r="H12" i="141"/>
  <c r="H13" i="141"/>
  <c r="H14" i="141"/>
  <c r="H15" i="141"/>
  <c r="H16" i="141"/>
  <c r="H17" i="141"/>
  <c r="H18" i="141"/>
  <c r="H19" i="141"/>
  <c r="E41" i="147"/>
  <c r="H41" i="76"/>
  <c r="H55" i="76"/>
  <c r="H46" i="76"/>
  <c r="N40" i="147"/>
  <c r="J40" i="147"/>
  <c r="I40" i="147"/>
  <c r="K40" i="147" s="1"/>
  <c r="H21" i="76"/>
  <c r="K41" i="148" s="1"/>
  <c r="E40" i="147"/>
  <c r="C40" i="147"/>
  <c r="F40" i="147" s="1"/>
  <c r="H26" i="127"/>
  <c r="H31" i="127"/>
  <c r="H33" i="127"/>
  <c r="H39" i="127"/>
  <c r="N39" i="147"/>
  <c r="O39" i="147"/>
  <c r="J39" i="147"/>
  <c r="I39" i="147"/>
  <c r="H10" i="127"/>
  <c r="H17" i="127" s="1"/>
  <c r="H15" i="127"/>
  <c r="E39" i="147"/>
  <c r="C39" i="147"/>
  <c r="F39" i="147" s="1"/>
  <c r="G22" i="100"/>
  <c r="G32" i="100"/>
  <c r="N38" i="147"/>
  <c r="J38" i="147"/>
  <c r="I38" i="147"/>
  <c r="G13" i="100"/>
  <c r="E38" i="147"/>
  <c r="C38" i="147"/>
  <c r="D38" i="147" s="1"/>
  <c r="G19" i="126"/>
  <c r="W38" i="148" s="1"/>
  <c r="G32" i="126"/>
  <c r="N37" i="147"/>
  <c r="O37" i="147" s="1"/>
  <c r="J37" i="147"/>
  <c r="I37" i="147"/>
  <c r="G11" i="126"/>
  <c r="K38" i="148" s="1"/>
  <c r="E37" i="147"/>
  <c r="C37" i="147"/>
  <c r="J44" i="99"/>
  <c r="J46" i="99"/>
  <c r="J47" i="99"/>
  <c r="J48" i="99"/>
  <c r="J52" i="99" s="1"/>
  <c r="J49" i="99"/>
  <c r="J50" i="99"/>
  <c r="J32" i="99"/>
  <c r="J33" i="99"/>
  <c r="J34" i="99"/>
  <c r="J35" i="99"/>
  <c r="J36" i="99"/>
  <c r="J38" i="99"/>
  <c r="J39" i="99"/>
  <c r="N36" i="147"/>
  <c r="J36" i="147"/>
  <c r="J8" i="99"/>
  <c r="J9" i="99"/>
  <c r="J10" i="99"/>
  <c r="J11" i="99"/>
  <c r="J12" i="99"/>
  <c r="J13" i="99"/>
  <c r="J14" i="99"/>
  <c r="J15" i="99"/>
  <c r="J16" i="99"/>
  <c r="J18" i="99"/>
  <c r="J19" i="99"/>
  <c r="E36" i="147" s="1"/>
  <c r="J21" i="99"/>
  <c r="J22" i="99"/>
  <c r="G32" i="125"/>
  <c r="W36" i="148" s="1"/>
  <c r="G41" i="125"/>
  <c r="N35" i="147"/>
  <c r="J35" i="147"/>
  <c r="I35" i="147"/>
  <c r="G15" i="125"/>
  <c r="K36" i="148" s="1"/>
  <c r="H35" i="147"/>
  <c r="E35" i="147"/>
  <c r="C35" i="147"/>
  <c r="D35" i="147" s="1"/>
  <c r="G22" i="124"/>
  <c r="W35" i="148" s="1"/>
  <c r="G28" i="124"/>
  <c r="N34" i="147"/>
  <c r="M34" i="147"/>
  <c r="J34" i="147"/>
  <c r="I34" i="147"/>
  <c r="G11" i="124"/>
  <c r="K35" i="148" s="1"/>
  <c r="E34" i="147"/>
  <c r="C34" i="147"/>
  <c r="D34" i="147" s="1"/>
  <c r="J24" i="73"/>
  <c r="J32" i="73" s="1"/>
  <c r="J25" i="73"/>
  <c r="I33" i="147" s="1"/>
  <c r="J26" i="73"/>
  <c r="J27" i="73"/>
  <c r="J28" i="73"/>
  <c r="J29" i="73"/>
  <c r="J30" i="73"/>
  <c r="J35" i="73"/>
  <c r="J37" i="73"/>
  <c r="J41" i="73" s="1"/>
  <c r="J38" i="73"/>
  <c r="J39" i="73"/>
  <c r="J33" i="147"/>
  <c r="J7" i="73"/>
  <c r="J8" i="73"/>
  <c r="J9" i="73"/>
  <c r="J10" i="73"/>
  <c r="J11" i="73"/>
  <c r="J13" i="73"/>
  <c r="J14" i="73"/>
  <c r="C33" i="147"/>
  <c r="J55" i="72"/>
  <c r="J62" i="72" s="1"/>
  <c r="J57" i="72"/>
  <c r="J58" i="72"/>
  <c r="J59" i="72"/>
  <c r="N32" i="147" s="1"/>
  <c r="O32" i="147" s="1"/>
  <c r="J60" i="72"/>
  <c r="J36" i="72"/>
  <c r="J37" i="72"/>
  <c r="J38" i="72"/>
  <c r="J39" i="72"/>
  <c r="J40" i="72"/>
  <c r="J41" i="72"/>
  <c r="I32" i="147" s="1"/>
  <c r="K32" i="147" s="1"/>
  <c r="J42" i="72"/>
  <c r="J43" i="72"/>
  <c r="J44" i="72"/>
  <c r="J45" i="72"/>
  <c r="J46" i="72"/>
  <c r="J47" i="72"/>
  <c r="J49" i="72"/>
  <c r="J50" i="72"/>
  <c r="J32" i="147" s="1"/>
  <c r="J8" i="72"/>
  <c r="J9" i="72"/>
  <c r="J10" i="72"/>
  <c r="J11" i="72"/>
  <c r="J12" i="72"/>
  <c r="J13" i="72"/>
  <c r="J14" i="72"/>
  <c r="J15" i="72"/>
  <c r="J16" i="72"/>
  <c r="J17" i="72"/>
  <c r="J18" i="72"/>
  <c r="J19" i="72"/>
  <c r="J20" i="72"/>
  <c r="J21" i="72"/>
  <c r="J24" i="72"/>
  <c r="J26" i="72"/>
  <c r="E32" i="147" s="1"/>
  <c r="J27" i="72"/>
  <c r="J28" i="72"/>
  <c r="J30" i="72"/>
  <c r="J31" i="72"/>
  <c r="C32" i="147"/>
  <c r="G30" i="123"/>
  <c r="W32" i="148" s="1"/>
  <c r="G46" i="123"/>
  <c r="N31" i="147"/>
  <c r="J31" i="147"/>
  <c r="I31" i="147"/>
  <c r="K31" i="147" s="1"/>
  <c r="G13" i="123"/>
  <c r="K32" i="148" s="1"/>
  <c r="E31" i="147"/>
  <c r="C31" i="147"/>
  <c r="F31" i="147" s="1"/>
  <c r="J68" i="71"/>
  <c r="J69" i="71"/>
  <c r="J71" i="71"/>
  <c r="J49" i="71"/>
  <c r="J50" i="71"/>
  <c r="J51" i="71"/>
  <c r="J52" i="71"/>
  <c r="J53" i="71"/>
  <c r="J54" i="71"/>
  <c r="J55" i="71"/>
  <c r="J56" i="71"/>
  <c r="I30" i="147" s="1"/>
  <c r="J57" i="71"/>
  <c r="J59" i="71"/>
  <c r="J60" i="71"/>
  <c r="J61" i="71"/>
  <c r="J62" i="71"/>
  <c r="J63" i="71"/>
  <c r="J76" i="71"/>
  <c r="J78" i="71"/>
  <c r="J79" i="71"/>
  <c r="J80" i="71"/>
  <c r="J81" i="71"/>
  <c r="J82" i="71"/>
  <c r="J83" i="71"/>
  <c r="J84" i="71"/>
  <c r="J85" i="71"/>
  <c r="J86" i="71"/>
  <c r="J87" i="71"/>
  <c r="J88" i="71"/>
  <c r="J89" i="71"/>
  <c r="J90" i="71"/>
  <c r="J30" i="147"/>
  <c r="J9" i="71"/>
  <c r="J10" i="71"/>
  <c r="J11" i="71"/>
  <c r="J14" i="71"/>
  <c r="J15" i="71"/>
  <c r="J16" i="71"/>
  <c r="J19" i="71"/>
  <c r="J21" i="71"/>
  <c r="J24" i="71"/>
  <c r="J25" i="71"/>
  <c r="J26" i="71"/>
  <c r="J27" i="71"/>
  <c r="J33" i="71"/>
  <c r="J35" i="71"/>
  <c r="J36" i="71"/>
  <c r="J38" i="71"/>
  <c r="E30" i="147"/>
  <c r="G22" i="122"/>
  <c r="W30" i="148" s="1"/>
  <c r="G38" i="122"/>
  <c r="N29" i="147"/>
  <c r="M29" i="147"/>
  <c r="J29" i="147"/>
  <c r="I29" i="147"/>
  <c r="G13" i="122"/>
  <c r="K30" i="148" s="1"/>
  <c r="E29" i="147"/>
  <c r="C29" i="147"/>
  <c r="D29" i="147" s="1"/>
  <c r="J25" i="69"/>
  <c r="J26" i="69"/>
  <c r="J27" i="69"/>
  <c r="J28" i="69"/>
  <c r="J29" i="69"/>
  <c r="J30" i="69"/>
  <c r="J32" i="69"/>
  <c r="J33" i="69"/>
  <c r="J34" i="69"/>
  <c r="J36" i="69"/>
  <c r="J44" i="69"/>
  <c r="J46" i="69"/>
  <c r="J47" i="69"/>
  <c r="J48" i="69"/>
  <c r="J49" i="69"/>
  <c r="J50" i="69"/>
  <c r="J51" i="69"/>
  <c r="J52" i="69"/>
  <c r="J53" i="69"/>
  <c r="J28" i="147"/>
  <c r="I28" i="147"/>
  <c r="J8" i="69"/>
  <c r="J9" i="69"/>
  <c r="J10" i="69"/>
  <c r="J11" i="69"/>
  <c r="J12" i="69"/>
  <c r="J14" i="69"/>
  <c r="J16" i="69"/>
  <c r="J17" i="69"/>
  <c r="E28" i="147" s="1"/>
  <c r="J18" i="69"/>
  <c r="J19" i="69"/>
  <c r="J20" i="69"/>
  <c r="C28" i="147"/>
  <c r="D28" i="147" s="1"/>
  <c r="H38" i="121"/>
  <c r="H45" i="121"/>
  <c r="N27" i="147"/>
  <c r="J27" i="147"/>
  <c r="I27" i="147"/>
  <c r="H21" i="121"/>
  <c r="E27" i="147"/>
  <c r="C27" i="147"/>
  <c r="D27" i="147" s="1"/>
  <c r="J30" i="120"/>
  <c r="J32" i="120"/>
  <c r="J33" i="120"/>
  <c r="J34" i="120"/>
  <c r="N26" i="147" s="1"/>
  <c r="J35" i="120"/>
  <c r="J18" i="120"/>
  <c r="J19" i="120"/>
  <c r="J20" i="120"/>
  <c r="J22" i="120"/>
  <c r="J24" i="120"/>
  <c r="J25" i="120"/>
  <c r="J26" i="147" s="1"/>
  <c r="J27" i="120"/>
  <c r="I26" i="147"/>
  <c r="J7" i="120"/>
  <c r="J15" i="120" s="1"/>
  <c r="J8" i="120"/>
  <c r="J11" i="120"/>
  <c r="J12" i="120"/>
  <c r="J13" i="120"/>
  <c r="E26" i="147"/>
  <c r="E25" i="147"/>
  <c r="C26" i="147"/>
  <c r="J41" i="118"/>
  <c r="J46" i="118" s="1"/>
  <c r="J42" i="118"/>
  <c r="J43" i="118"/>
  <c r="J44" i="118"/>
  <c r="J19" i="118"/>
  <c r="J20" i="118"/>
  <c r="J21" i="118"/>
  <c r="J22" i="118"/>
  <c r="J23" i="118"/>
  <c r="J26" i="118"/>
  <c r="J27" i="118"/>
  <c r="J28" i="118"/>
  <c r="J30" i="118"/>
  <c r="J31" i="118"/>
  <c r="J32" i="118"/>
  <c r="J24" i="147" s="1"/>
  <c r="J33" i="118"/>
  <c r="J38" i="118"/>
  <c r="G21" i="119"/>
  <c r="W26" i="148" s="1"/>
  <c r="G27" i="119"/>
  <c r="G29" i="119"/>
  <c r="R25" i="147" s="1"/>
  <c r="N25" i="147"/>
  <c r="J25" i="147"/>
  <c r="I25" i="147"/>
  <c r="K25" i="147"/>
  <c r="G11" i="119"/>
  <c r="K26" i="148" s="1"/>
  <c r="H25" i="147"/>
  <c r="C25" i="147"/>
  <c r="F25" i="147" s="1"/>
  <c r="N24" i="147"/>
  <c r="J7" i="118"/>
  <c r="J8" i="118"/>
  <c r="J9" i="118"/>
  <c r="C24" i="147" s="1"/>
  <c r="J10" i="118"/>
  <c r="J12" i="118"/>
  <c r="E24" i="147" s="1"/>
  <c r="J13" i="118"/>
  <c r="J14" i="118"/>
  <c r="G31" i="145"/>
  <c r="G33" i="145" s="1"/>
  <c r="R23" i="147" s="1"/>
  <c r="G21" i="145"/>
  <c r="W24" i="148" s="1"/>
  <c r="N23" i="147"/>
  <c r="O23" i="147"/>
  <c r="J23" i="147"/>
  <c r="I23" i="147"/>
  <c r="G12" i="145"/>
  <c r="K24" i="148" s="1"/>
  <c r="H23" i="147"/>
  <c r="E23" i="147"/>
  <c r="C23" i="147"/>
  <c r="F23" i="147" s="1"/>
  <c r="J28" i="117"/>
  <c r="J42" i="117" s="1"/>
  <c r="J30" i="117"/>
  <c r="J31" i="117"/>
  <c r="J32" i="117"/>
  <c r="J33" i="117"/>
  <c r="J34" i="117"/>
  <c r="J35" i="117"/>
  <c r="J36" i="117"/>
  <c r="J37" i="117"/>
  <c r="J38" i="117"/>
  <c r="J39" i="117"/>
  <c r="J40" i="117"/>
  <c r="J18" i="117"/>
  <c r="J19" i="117"/>
  <c r="J20" i="117"/>
  <c r="J22" i="117"/>
  <c r="J23" i="117"/>
  <c r="J22" i="147" s="1"/>
  <c r="I22" i="147"/>
  <c r="J7" i="117"/>
  <c r="J8" i="117"/>
  <c r="J9" i="117"/>
  <c r="J10" i="117"/>
  <c r="J11" i="117"/>
  <c r="J12" i="117"/>
  <c r="E22" i="147" s="1"/>
  <c r="J13" i="117"/>
  <c r="J15" i="117"/>
  <c r="C22" i="147"/>
  <c r="J36" i="97"/>
  <c r="J37" i="97"/>
  <c r="J38" i="97"/>
  <c r="J39" i="97"/>
  <c r="J42" i="97"/>
  <c r="J43" i="97"/>
  <c r="J44" i="97"/>
  <c r="J52" i="97"/>
  <c r="J54" i="97"/>
  <c r="J55" i="97"/>
  <c r="J56" i="97"/>
  <c r="J57" i="97"/>
  <c r="N21" i="147" s="1"/>
  <c r="J58" i="97"/>
  <c r="J49" i="97"/>
  <c r="J21" i="147"/>
  <c r="J8" i="97"/>
  <c r="J9" i="97"/>
  <c r="J10" i="97"/>
  <c r="J11" i="97"/>
  <c r="J12" i="97"/>
  <c r="J13" i="97"/>
  <c r="J14" i="97"/>
  <c r="J18" i="97"/>
  <c r="E21" i="147" s="1"/>
  <c r="J19" i="97"/>
  <c r="J20" i="97"/>
  <c r="J21" i="97"/>
  <c r="J22" i="97"/>
  <c r="J24" i="97"/>
  <c r="J25" i="97"/>
  <c r="J27" i="97"/>
  <c r="J31" i="116"/>
  <c r="J33" i="116"/>
  <c r="J34" i="116"/>
  <c r="J35" i="116"/>
  <c r="J36" i="116"/>
  <c r="J37" i="116"/>
  <c r="J38" i="116"/>
  <c r="J39" i="116"/>
  <c r="J40" i="116"/>
  <c r="J17" i="116"/>
  <c r="J18" i="116"/>
  <c r="J19" i="116"/>
  <c r="J20" i="116"/>
  <c r="J21" i="116"/>
  <c r="J22" i="116"/>
  <c r="J23" i="116"/>
  <c r="J25" i="116"/>
  <c r="J26" i="116"/>
  <c r="J20" i="147" s="1"/>
  <c r="J7" i="116"/>
  <c r="J8" i="116"/>
  <c r="J9" i="116"/>
  <c r="J10" i="116"/>
  <c r="J11" i="116"/>
  <c r="J12" i="116"/>
  <c r="E20" i="147"/>
  <c r="G22" i="143"/>
  <c r="G31" i="143"/>
  <c r="N19" i="147"/>
  <c r="O19" i="147" s="1"/>
  <c r="I19" i="147"/>
  <c r="J19" i="147"/>
  <c r="K19" i="147"/>
  <c r="G12" i="143"/>
  <c r="K20" i="148" s="1"/>
  <c r="H19" i="147"/>
  <c r="E19" i="147"/>
  <c r="C19" i="147"/>
  <c r="G22" i="115"/>
  <c r="W19" i="148" s="1"/>
  <c r="G35" i="115"/>
  <c r="G37" i="115" s="1"/>
  <c r="R18" i="147" s="1"/>
  <c r="N18" i="147"/>
  <c r="J18" i="147"/>
  <c r="I18" i="147"/>
  <c r="G12" i="115"/>
  <c r="K19" i="148" s="1"/>
  <c r="H18" i="147"/>
  <c r="E18" i="147"/>
  <c r="C18" i="147"/>
  <c r="H21" i="114"/>
  <c r="W18" i="148" s="1"/>
  <c r="H30" i="114"/>
  <c r="N17" i="147"/>
  <c r="M17" i="147"/>
  <c r="L17" i="147" s="1"/>
  <c r="J17" i="147"/>
  <c r="I17" i="147"/>
  <c r="H13" i="114"/>
  <c r="K18" i="148" s="1"/>
  <c r="E17" i="147"/>
  <c r="C17" i="147"/>
  <c r="G23" i="113"/>
  <c r="W17" i="148" s="1"/>
  <c r="G35" i="113"/>
  <c r="G37" i="113" s="1"/>
  <c r="R16" i="147" s="1"/>
  <c r="N16" i="147"/>
  <c r="O16" i="147" s="1"/>
  <c r="P16" i="147" s="1"/>
  <c r="J16" i="147"/>
  <c r="I16" i="147"/>
  <c r="G12" i="113"/>
  <c r="E16" i="147"/>
  <c r="C16" i="147"/>
  <c r="G17" i="112"/>
  <c r="W16" i="148" s="1"/>
  <c r="G24" i="112"/>
  <c r="G26" i="112"/>
  <c r="R15" i="147" s="1"/>
  <c r="N15" i="147"/>
  <c r="O15" i="147" s="1"/>
  <c r="M15" i="147"/>
  <c r="J15" i="147"/>
  <c r="I15" i="147"/>
  <c r="G10" i="112"/>
  <c r="K16" i="148" s="1"/>
  <c r="E15" i="147"/>
  <c r="C15" i="147"/>
  <c r="J33" i="111"/>
  <c r="J34" i="111"/>
  <c r="J35" i="111"/>
  <c r="J36" i="111"/>
  <c r="J37" i="111"/>
  <c r="J38" i="111"/>
  <c r="J39" i="111"/>
  <c r="J41" i="111"/>
  <c r="J42" i="111"/>
  <c r="J14" i="147" s="1"/>
  <c r="J50" i="111"/>
  <c r="J57" i="111" s="1"/>
  <c r="J52" i="111"/>
  <c r="J53" i="111"/>
  <c r="J54" i="111"/>
  <c r="J55" i="111"/>
  <c r="N14" i="147" s="1"/>
  <c r="O14" i="147" s="1"/>
  <c r="J47" i="111"/>
  <c r="J8" i="111"/>
  <c r="J9" i="111"/>
  <c r="J10" i="111"/>
  <c r="J11" i="111"/>
  <c r="J12" i="111"/>
  <c r="J13" i="111"/>
  <c r="J14" i="111"/>
  <c r="J15" i="111"/>
  <c r="J16" i="111"/>
  <c r="J17" i="111"/>
  <c r="J18" i="111"/>
  <c r="J20" i="111"/>
  <c r="J21" i="111"/>
  <c r="J24" i="111"/>
  <c r="J25" i="111"/>
  <c r="E14" i="147"/>
  <c r="H38" i="110"/>
  <c r="W14" i="148" s="1"/>
  <c r="H54" i="110"/>
  <c r="N13" i="147"/>
  <c r="O13" i="147" s="1"/>
  <c r="P13" i="147" s="1"/>
  <c r="M13" i="147"/>
  <c r="J13" i="147"/>
  <c r="I13" i="147"/>
  <c r="H18" i="110"/>
  <c r="K14" i="148" s="1"/>
  <c r="E13" i="147"/>
  <c r="C13" i="147"/>
  <c r="D13" i="147" s="1"/>
  <c r="I31" i="109"/>
  <c r="I33" i="109" s="1"/>
  <c r="I50" i="109" s="1"/>
  <c r="I25" i="109"/>
  <c r="I48" i="109"/>
  <c r="J28" i="109"/>
  <c r="J29" i="109"/>
  <c r="J31" i="109"/>
  <c r="J21" i="109"/>
  <c r="J25" i="109" s="1"/>
  <c r="J23" i="109"/>
  <c r="I12" i="147" s="1"/>
  <c r="J36" i="109"/>
  <c r="J48" i="109" s="1"/>
  <c r="J38" i="109"/>
  <c r="J39" i="109"/>
  <c r="J40" i="109"/>
  <c r="J41" i="109"/>
  <c r="J42" i="109"/>
  <c r="J43" i="109"/>
  <c r="J44" i="109"/>
  <c r="J45" i="109"/>
  <c r="J46" i="109"/>
  <c r="H25" i="109"/>
  <c r="H33" i="109" s="1"/>
  <c r="H50" i="109" s="1"/>
  <c r="H31" i="109"/>
  <c r="H48" i="109"/>
  <c r="J12" i="147"/>
  <c r="J8" i="109"/>
  <c r="C12" i="147" s="1"/>
  <c r="J9" i="109"/>
  <c r="J10" i="109"/>
  <c r="J11" i="109"/>
  <c r="J13" i="109"/>
  <c r="E12" i="147" s="1"/>
  <c r="J14" i="109"/>
  <c r="J15" i="109"/>
  <c r="G22" i="108"/>
  <c r="W12" i="148" s="1"/>
  <c r="G28" i="108"/>
  <c r="N11" i="147"/>
  <c r="O11" i="147"/>
  <c r="J11" i="147"/>
  <c r="I11" i="147"/>
  <c r="G10" i="108"/>
  <c r="K12" i="148" s="1"/>
  <c r="E11" i="147"/>
  <c r="C11" i="147"/>
  <c r="G25" i="142"/>
  <c r="W11" i="148" s="1"/>
  <c r="G42" i="142"/>
  <c r="N10" i="147"/>
  <c r="O10" i="147" s="1"/>
  <c r="P10" i="147" s="1"/>
  <c r="M10" i="147"/>
  <c r="L10" i="147" s="1"/>
  <c r="J10" i="147"/>
  <c r="I10" i="147"/>
  <c r="G16" i="142"/>
  <c r="K11" i="148" s="1"/>
  <c r="E10" i="147"/>
  <c r="C10" i="147"/>
  <c r="H29" i="107"/>
  <c r="H36" i="107" s="1"/>
  <c r="H34" i="107"/>
  <c r="H42" i="107"/>
  <c r="N9" i="147"/>
  <c r="J9" i="147"/>
  <c r="I9" i="147"/>
  <c r="K9" i="147" s="1"/>
  <c r="H12" i="107"/>
  <c r="H18" i="107"/>
  <c r="H20" i="107"/>
  <c r="K10" i="148" s="1"/>
  <c r="E9" i="147"/>
  <c r="C9" i="147"/>
  <c r="H25" i="56"/>
  <c r="W9" i="148" s="1"/>
  <c r="H31" i="56"/>
  <c r="N8" i="147"/>
  <c r="J8" i="147"/>
  <c r="I8" i="147"/>
  <c r="K8" i="147" s="1"/>
  <c r="H13" i="56"/>
  <c r="E8" i="147"/>
  <c r="C8" i="147"/>
  <c r="F8" i="147" s="1"/>
  <c r="K29" i="54"/>
  <c r="K30" i="54"/>
  <c r="K31" i="54"/>
  <c r="K32" i="54"/>
  <c r="K33" i="54"/>
  <c r="K34" i="54"/>
  <c r="K35" i="54"/>
  <c r="K36" i="54"/>
  <c r="K37" i="54"/>
  <c r="K38" i="54"/>
  <c r="K39" i="54"/>
  <c r="K40" i="54"/>
  <c r="K42" i="54"/>
  <c r="K51" i="54"/>
  <c r="K53" i="54"/>
  <c r="K54" i="54"/>
  <c r="N7" i="147" s="1"/>
  <c r="O7" i="147" s="1"/>
  <c r="K55" i="54"/>
  <c r="K57" i="54"/>
  <c r="K59" i="54"/>
  <c r="K45" i="54"/>
  <c r="K48" i="54" s="1"/>
  <c r="K46" i="54"/>
  <c r="J7" i="147"/>
  <c r="K8" i="54"/>
  <c r="K9" i="54"/>
  <c r="K10" i="54"/>
  <c r="K11" i="54"/>
  <c r="K12" i="54"/>
  <c r="K13" i="54"/>
  <c r="K14" i="54"/>
  <c r="K15" i="54"/>
  <c r="E7" i="147" s="1"/>
  <c r="K16" i="54"/>
  <c r="K18" i="54"/>
  <c r="K19" i="54"/>
  <c r="G24" i="106"/>
  <c r="W7" i="148" s="1"/>
  <c r="G40" i="106"/>
  <c r="N6" i="147"/>
  <c r="J6" i="147"/>
  <c r="I6" i="147"/>
  <c r="G13" i="106"/>
  <c r="K7" i="148" s="1"/>
  <c r="H6" i="147"/>
  <c r="E6" i="147"/>
  <c r="C6" i="147"/>
  <c r="H53" i="105"/>
  <c r="H55" i="105" s="1"/>
  <c r="R5" i="147" s="1"/>
  <c r="H40" i="105"/>
  <c r="W6" i="148" s="1"/>
  <c r="N5" i="147"/>
  <c r="M5" i="147"/>
  <c r="J5" i="147"/>
  <c r="I5" i="147"/>
  <c r="H19" i="105"/>
  <c r="K6" i="148" s="1"/>
  <c r="H5" i="147"/>
  <c r="E5" i="147"/>
  <c r="C5" i="147"/>
  <c r="D5" i="147" s="1"/>
  <c r="O50" i="147"/>
  <c r="K50" i="147"/>
  <c r="P50" i="147"/>
  <c r="O68" i="147"/>
  <c r="K68" i="147"/>
  <c r="P68" i="147" s="1"/>
  <c r="Q68" i="147" s="1"/>
  <c r="O66" i="147"/>
  <c r="P66" i="147" s="1"/>
  <c r="Q66" i="147" s="1"/>
  <c r="K66" i="147"/>
  <c r="L66" i="147" s="1"/>
  <c r="O65" i="147"/>
  <c r="K65" i="147"/>
  <c r="L65" i="147" s="1"/>
  <c r="O64" i="147"/>
  <c r="K64" i="147"/>
  <c r="G64" i="147"/>
  <c r="O63" i="147"/>
  <c r="O62" i="147"/>
  <c r="K62" i="147"/>
  <c r="P62" i="147"/>
  <c r="Q62" i="147"/>
  <c r="O61" i="147"/>
  <c r="K61" i="147"/>
  <c r="O60" i="147"/>
  <c r="K60" i="147"/>
  <c r="O58" i="147"/>
  <c r="P58" i="147" s="1"/>
  <c r="K58" i="147"/>
  <c r="L58" i="147" s="1"/>
  <c r="O57" i="147"/>
  <c r="K57" i="147"/>
  <c r="K56" i="147"/>
  <c r="O55" i="147"/>
  <c r="K55" i="147"/>
  <c r="O53" i="147"/>
  <c r="K53" i="147"/>
  <c r="O52" i="147"/>
  <c r="O47" i="147"/>
  <c r="K47" i="147"/>
  <c r="O46" i="147"/>
  <c r="O45" i="147"/>
  <c r="K45" i="147"/>
  <c r="O44" i="147"/>
  <c r="K44" i="147"/>
  <c r="O43" i="147"/>
  <c r="P43" i="147" s="1"/>
  <c r="K43" i="147"/>
  <c r="K42" i="147"/>
  <c r="K41" i="147"/>
  <c r="O40" i="147"/>
  <c r="K39" i="147"/>
  <c r="O38" i="147"/>
  <c r="O36" i="147"/>
  <c r="O35" i="147"/>
  <c r="K35" i="147"/>
  <c r="O34" i="147"/>
  <c r="K34" i="147"/>
  <c r="L34" i="147"/>
  <c r="K33" i="147"/>
  <c r="O31" i="147"/>
  <c r="O29" i="147"/>
  <c r="P29" i="147" s="1"/>
  <c r="K28" i="147"/>
  <c r="O27" i="147"/>
  <c r="P27" i="147" s="1"/>
  <c r="K27" i="147"/>
  <c r="O26" i="147"/>
  <c r="P26" i="147" s="1"/>
  <c r="K26" i="147"/>
  <c r="O25" i="147"/>
  <c r="O24" i="147"/>
  <c r="O21" i="147"/>
  <c r="O18" i="147"/>
  <c r="K18" i="147"/>
  <c r="O17" i="147"/>
  <c r="K17" i="147"/>
  <c r="K16" i="147"/>
  <c r="K15" i="147"/>
  <c r="L15" i="147" s="1"/>
  <c r="P15" i="147"/>
  <c r="Q15" i="147" s="1"/>
  <c r="K13" i="147"/>
  <c r="L13" i="147" s="1"/>
  <c r="K12" i="147"/>
  <c r="K10" i="147"/>
  <c r="O9" i="147"/>
  <c r="O8" i="147"/>
  <c r="O6" i="147"/>
  <c r="P6" i="147" s="1"/>
  <c r="O5" i="147"/>
  <c r="L46" i="147"/>
  <c r="K38" i="147"/>
  <c r="K37" i="147"/>
  <c r="P34" i="147"/>
  <c r="K30" i="147"/>
  <c r="P25" i="147"/>
  <c r="Q25" i="147"/>
  <c r="G25" i="147"/>
  <c r="G23" i="147"/>
  <c r="K11" i="147"/>
  <c r="K6" i="147"/>
  <c r="P11" i="147"/>
  <c r="P17" i="147"/>
  <c r="P46" i="147"/>
  <c r="P37" i="147"/>
  <c r="P45" i="147"/>
  <c r="K5" i="147"/>
  <c r="P5" i="147" s="1"/>
  <c r="K23" i="147"/>
  <c r="P53" i="147"/>
  <c r="P57" i="147"/>
  <c r="Q57" i="147" s="1"/>
  <c r="P65" i="147"/>
  <c r="K29" i="147"/>
  <c r="P31" i="147"/>
  <c r="P39" i="147"/>
  <c r="P47" i="147"/>
  <c r="Q47" i="147" s="1"/>
  <c r="P40" i="147"/>
  <c r="P44" i="147"/>
  <c r="P55" i="147"/>
  <c r="J70" i="147"/>
  <c r="P56" i="147"/>
  <c r="P60" i="147"/>
  <c r="P64" i="147"/>
  <c r="Q64" i="147"/>
  <c r="P38" i="147"/>
  <c r="L29" i="147"/>
  <c r="P23" i="147"/>
  <c r="Q23" i="147" s="1"/>
  <c r="Y67" i="3"/>
  <c r="Y62" i="3"/>
  <c r="Y61" i="3"/>
  <c r="Y60" i="144"/>
  <c r="L60" i="144"/>
  <c r="Y60" i="3"/>
  <c r="L60" i="3"/>
  <c r="Y50" i="3"/>
  <c r="Y47" i="3"/>
  <c r="Y44" i="3"/>
  <c r="Y41" i="3"/>
  <c r="L41" i="3"/>
  <c r="Y39" i="3"/>
  <c r="L37" i="3"/>
  <c r="L36" i="3"/>
  <c r="L34" i="3"/>
  <c r="L31" i="3"/>
  <c r="Y32" i="3"/>
  <c r="L32" i="3"/>
  <c r="Y25" i="3"/>
  <c r="Y22" i="3"/>
  <c r="L22" i="3"/>
  <c r="Y18" i="3"/>
  <c r="Y15" i="3"/>
  <c r="AB14" i="144"/>
  <c r="AA14" i="144"/>
  <c r="Z14" i="144"/>
  <c r="Q8" i="144"/>
  <c r="T8" i="144"/>
  <c r="AB8" i="144"/>
  <c r="Z8" i="144"/>
  <c r="AC8" i="144"/>
  <c r="Y8" i="144"/>
  <c r="L8" i="144"/>
  <c r="Y8" i="3"/>
  <c r="L8" i="3"/>
  <c r="Y6" i="3"/>
  <c r="L6" i="3"/>
  <c r="V40" i="144"/>
  <c r="AB68" i="144"/>
  <c r="AA68" i="144"/>
  <c r="Z68" i="144"/>
  <c r="T68" i="144"/>
  <c r="S68" i="144"/>
  <c r="R68" i="144"/>
  <c r="M68" i="144"/>
  <c r="H68" i="144"/>
  <c r="G68" i="144"/>
  <c r="F68" i="144"/>
  <c r="E68" i="144"/>
  <c r="D68" i="144"/>
  <c r="C68" i="144"/>
  <c r="AB68" i="3"/>
  <c r="AA68" i="3"/>
  <c r="Z68" i="3"/>
  <c r="AC68" i="3"/>
  <c r="T68" i="3"/>
  <c r="T68" i="148" s="1"/>
  <c r="S68" i="3"/>
  <c r="S68" i="148" s="1"/>
  <c r="R68" i="3"/>
  <c r="R68" i="148" s="1"/>
  <c r="M68" i="3"/>
  <c r="H68" i="3"/>
  <c r="G68" i="3"/>
  <c r="F68" i="3"/>
  <c r="F68" i="148" s="1"/>
  <c r="E68" i="3"/>
  <c r="D68" i="3"/>
  <c r="D68" i="148" s="1"/>
  <c r="C68" i="3"/>
  <c r="C68" i="148" s="1"/>
  <c r="K47" i="146"/>
  <c r="K49" i="146" s="1"/>
  <c r="K35" i="146"/>
  <c r="I47" i="146"/>
  <c r="I35" i="146"/>
  <c r="I49" i="146"/>
  <c r="AF68" i="144" s="1"/>
  <c r="W68" i="144"/>
  <c r="H47" i="146"/>
  <c r="H35" i="146"/>
  <c r="W68" i="3" s="1"/>
  <c r="K23" i="146"/>
  <c r="I23" i="146"/>
  <c r="K68" i="144"/>
  <c r="H23" i="146"/>
  <c r="K68" i="3"/>
  <c r="AC24" i="144"/>
  <c r="U24" i="144"/>
  <c r="I24" i="144"/>
  <c r="J24" i="144"/>
  <c r="T30" i="3"/>
  <c r="T30" i="148" s="1"/>
  <c r="AB24" i="3"/>
  <c r="AA24" i="3"/>
  <c r="Z24" i="3"/>
  <c r="AC24" i="3" s="1"/>
  <c r="W24" i="3"/>
  <c r="Q24" i="3"/>
  <c r="Q24" i="148" s="1"/>
  <c r="N24" i="3"/>
  <c r="N24" i="148" s="1"/>
  <c r="M24" i="3"/>
  <c r="M24" i="148" s="1"/>
  <c r="K24" i="3"/>
  <c r="F24" i="3"/>
  <c r="F24" i="148" s="1"/>
  <c r="G24" i="3"/>
  <c r="G24" i="148" s="1"/>
  <c r="E24" i="3"/>
  <c r="E24" i="148" s="1"/>
  <c r="C24" i="3"/>
  <c r="C24" i="148" s="1"/>
  <c r="AB64" i="144"/>
  <c r="C64" i="144"/>
  <c r="I64" i="144" s="1"/>
  <c r="AB60" i="144"/>
  <c r="AA60" i="144"/>
  <c r="Z60" i="144"/>
  <c r="T60" i="144"/>
  <c r="T60" i="148" s="1"/>
  <c r="S60" i="144"/>
  <c r="R60" i="144"/>
  <c r="Q60" i="144"/>
  <c r="M60" i="144"/>
  <c r="H60" i="144"/>
  <c r="G60" i="144"/>
  <c r="F60" i="144"/>
  <c r="E60" i="144"/>
  <c r="D60" i="144"/>
  <c r="C60" i="144"/>
  <c r="AB57" i="144"/>
  <c r="AA57" i="144"/>
  <c r="Z57" i="144"/>
  <c r="T57" i="144"/>
  <c r="S57" i="144"/>
  <c r="R57" i="144"/>
  <c r="M57" i="144"/>
  <c r="H57" i="144"/>
  <c r="G57" i="144"/>
  <c r="F57" i="144"/>
  <c r="E57" i="144"/>
  <c r="D57" i="144"/>
  <c r="C57" i="144"/>
  <c r="AB56" i="144"/>
  <c r="AA56" i="144"/>
  <c r="Z56" i="144"/>
  <c r="T56" i="144"/>
  <c r="Q56" i="144"/>
  <c r="N56" i="144"/>
  <c r="M56" i="144"/>
  <c r="H56" i="144"/>
  <c r="G56" i="144"/>
  <c r="F56" i="144"/>
  <c r="E56" i="144"/>
  <c r="D56" i="144"/>
  <c r="C56" i="144"/>
  <c r="AB55" i="144"/>
  <c r="AA55" i="144"/>
  <c r="T55" i="144"/>
  <c r="M55" i="144"/>
  <c r="D55" i="144"/>
  <c r="E55" i="144"/>
  <c r="AB53" i="144"/>
  <c r="AA53" i="144"/>
  <c r="Z53" i="144"/>
  <c r="T53" i="144"/>
  <c r="S53" i="144"/>
  <c r="R53" i="144"/>
  <c r="Q53" i="144"/>
  <c r="M53" i="144"/>
  <c r="H53" i="144"/>
  <c r="G53" i="144"/>
  <c r="F53" i="144"/>
  <c r="E53" i="144"/>
  <c r="D53" i="144"/>
  <c r="D53" i="148" s="1"/>
  <c r="C53" i="144"/>
  <c r="AB52" i="144"/>
  <c r="Z52" i="144"/>
  <c r="T52" i="144"/>
  <c r="S52" i="144"/>
  <c r="R52" i="144"/>
  <c r="M52" i="144"/>
  <c r="H52" i="144"/>
  <c r="G52" i="144"/>
  <c r="F52" i="144"/>
  <c r="E52" i="144"/>
  <c r="D52" i="144"/>
  <c r="C52" i="144"/>
  <c r="AB50" i="144"/>
  <c r="AA50" i="144"/>
  <c r="Z50" i="144"/>
  <c r="T50" i="144"/>
  <c r="S50" i="144"/>
  <c r="R50" i="144"/>
  <c r="M50" i="144"/>
  <c r="Q50" i="144"/>
  <c r="H50" i="144"/>
  <c r="G50" i="144"/>
  <c r="F50" i="144"/>
  <c r="E50" i="144"/>
  <c r="D50" i="144"/>
  <c r="C50" i="144"/>
  <c r="AB49" i="144"/>
  <c r="AA49" i="144"/>
  <c r="Z49" i="144"/>
  <c r="M46" i="144"/>
  <c r="U46" i="144"/>
  <c r="U47" i="144"/>
  <c r="U48" i="144"/>
  <c r="M49" i="144"/>
  <c r="R49" i="144"/>
  <c r="S49" i="144"/>
  <c r="T49" i="144"/>
  <c r="U51" i="144"/>
  <c r="H49" i="144"/>
  <c r="C49" i="144"/>
  <c r="E49" i="144"/>
  <c r="F49" i="144"/>
  <c r="AB46" i="144"/>
  <c r="Z46" i="144"/>
  <c r="F46" i="144"/>
  <c r="E46" i="144"/>
  <c r="C46" i="144"/>
  <c r="AB44" i="144"/>
  <c r="AA44" i="144"/>
  <c r="Z44" i="144"/>
  <c r="T44" i="144"/>
  <c r="T44" i="148" s="1"/>
  <c r="S44" i="144"/>
  <c r="R44" i="144"/>
  <c r="M44" i="144"/>
  <c r="H44" i="144"/>
  <c r="G44" i="144"/>
  <c r="F44" i="144"/>
  <c r="E44" i="144"/>
  <c r="C44" i="144"/>
  <c r="AB43" i="144"/>
  <c r="Z43" i="144"/>
  <c r="T43" i="144"/>
  <c r="Q43" i="144"/>
  <c r="N43" i="144"/>
  <c r="M43" i="144"/>
  <c r="H43" i="144"/>
  <c r="F43" i="144"/>
  <c r="E43" i="144"/>
  <c r="C43" i="144"/>
  <c r="AB42" i="144"/>
  <c r="AA42" i="144"/>
  <c r="Z42" i="144"/>
  <c r="G32" i="141"/>
  <c r="W42" i="144"/>
  <c r="T42" i="144"/>
  <c r="S42" i="144"/>
  <c r="R42" i="144"/>
  <c r="M42" i="144"/>
  <c r="H42" i="144"/>
  <c r="G42" i="144"/>
  <c r="F42" i="144"/>
  <c r="E42" i="144"/>
  <c r="C42" i="144"/>
  <c r="AB37" i="144"/>
  <c r="Z37" i="144"/>
  <c r="S37" i="144"/>
  <c r="R37" i="144"/>
  <c r="M37" i="144"/>
  <c r="H37" i="144"/>
  <c r="F37" i="144"/>
  <c r="E37" i="144"/>
  <c r="D37" i="144"/>
  <c r="C37" i="144"/>
  <c r="AB34" i="144"/>
  <c r="Z34" i="144"/>
  <c r="Q34" i="144"/>
  <c r="M34" i="144"/>
  <c r="F34" i="144"/>
  <c r="E34" i="144"/>
  <c r="AB33" i="144"/>
  <c r="AA33" i="144"/>
  <c r="Z33" i="144"/>
  <c r="T33" i="144"/>
  <c r="M33" i="144"/>
  <c r="R33" i="144"/>
  <c r="S33" i="144"/>
  <c r="Q33" i="144"/>
  <c r="G33" i="144"/>
  <c r="H33" i="144"/>
  <c r="F33" i="144"/>
  <c r="E33" i="144"/>
  <c r="D33" i="144"/>
  <c r="C33" i="144"/>
  <c r="I71" i="71"/>
  <c r="I65" i="71"/>
  <c r="K38" i="71"/>
  <c r="H38" i="71"/>
  <c r="I38" i="71"/>
  <c r="I29" i="71"/>
  <c r="Z31" i="144"/>
  <c r="AA31" i="144"/>
  <c r="AB31" i="144"/>
  <c r="M31" i="144"/>
  <c r="R31" i="144"/>
  <c r="S31" i="144"/>
  <c r="T31" i="144"/>
  <c r="H31" i="144"/>
  <c r="F31" i="144"/>
  <c r="E31" i="144"/>
  <c r="D31" i="144"/>
  <c r="C31" i="144"/>
  <c r="AB29" i="144"/>
  <c r="AA29" i="144"/>
  <c r="Z29" i="144"/>
  <c r="R29" i="144"/>
  <c r="S29" i="144"/>
  <c r="M29" i="144"/>
  <c r="H29" i="144"/>
  <c r="F29" i="144"/>
  <c r="E29" i="144"/>
  <c r="C29" i="144"/>
  <c r="AB27" i="144"/>
  <c r="Z27" i="144"/>
  <c r="T27" i="144"/>
  <c r="N27" i="144"/>
  <c r="M27" i="144"/>
  <c r="F27" i="144"/>
  <c r="E27" i="144"/>
  <c r="C27" i="144"/>
  <c r="R26" i="144"/>
  <c r="S26" i="144"/>
  <c r="AB25" i="144"/>
  <c r="AA25" i="144"/>
  <c r="Z25" i="144"/>
  <c r="T25" i="144"/>
  <c r="S25" i="144"/>
  <c r="R25" i="144"/>
  <c r="P25" i="144"/>
  <c r="O25" i="144"/>
  <c r="M25" i="144"/>
  <c r="F25" i="144"/>
  <c r="E25" i="144"/>
  <c r="D25" i="144"/>
  <c r="C25" i="144"/>
  <c r="AB23" i="144"/>
  <c r="AA23" i="144"/>
  <c r="Z23" i="144"/>
  <c r="T23" i="144"/>
  <c r="R23" i="144"/>
  <c r="M23" i="144"/>
  <c r="H23" i="144"/>
  <c r="H23" i="148" s="1"/>
  <c r="F23" i="144"/>
  <c r="E23" i="144"/>
  <c r="D23" i="144"/>
  <c r="C23" i="144"/>
  <c r="AB22" i="144"/>
  <c r="AA22" i="144"/>
  <c r="Z22" i="144"/>
  <c r="I46" i="97"/>
  <c r="W22" i="144"/>
  <c r="T22" i="144"/>
  <c r="S22" i="144"/>
  <c r="R22" i="144"/>
  <c r="Q22" i="144"/>
  <c r="M22" i="144"/>
  <c r="D22" i="144"/>
  <c r="H22" i="144"/>
  <c r="G22" i="144"/>
  <c r="F22" i="144"/>
  <c r="E22" i="144"/>
  <c r="C22" i="144"/>
  <c r="AB21" i="144"/>
  <c r="Z21" i="144"/>
  <c r="T21" i="144"/>
  <c r="M21" i="144"/>
  <c r="F21" i="144"/>
  <c r="E21" i="144"/>
  <c r="C21" i="144"/>
  <c r="AB15" i="144"/>
  <c r="AA15" i="144"/>
  <c r="Z15" i="144"/>
  <c r="S15" i="144"/>
  <c r="R15" i="144"/>
  <c r="M15" i="144"/>
  <c r="H15" i="144"/>
  <c r="G15" i="144"/>
  <c r="F15" i="144"/>
  <c r="D15" i="144"/>
  <c r="E15" i="144"/>
  <c r="C15" i="144"/>
  <c r="Z13" i="144"/>
  <c r="AB13" i="144"/>
  <c r="T13" i="144"/>
  <c r="T13" i="148" s="1"/>
  <c r="S13" i="144"/>
  <c r="R13" i="144"/>
  <c r="M13" i="144"/>
  <c r="H13" i="144"/>
  <c r="F13" i="144"/>
  <c r="E13" i="144"/>
  <c r="C13" i="144"/>
  <c r="T71" i="144"/>
  <c r="J42" i="54"/>
  <c r="Q71" i="144"/>
  <c r="M8" i="144"/>
  <c r="M71" i="144"/>
  <c r="H8" i="144"/>
  <c r="H71" i="144" s="1"/>
  <c r="G8" i="144"/>
  <c r="G71" i="144" s="1"/>
  <c r="F8" i="144"/>
  <c r="F71" i="144"/>
  <c r="E8" i="144"/>
  <c r="E71" i="144"/>
  <c r="D8" i="144"/>
  <c r="C8" i="144"/>
  <c r="C71" i="144"/>
  <c r="Z6" i="3"/>
  <c r="AA6" i="3"/>
  <c r="AB6" i="3"/>
  <c r="M6" i="3"/>
  <c r="M6" i="148" s="1"/>
  <c r="N6" i="3"/>
  <c r="N6" i="148" s="1"/>
  <c r="O6" i="3"/>
  <c r="O6" i="148" s="1"/>
  <c r="P6" i="3"/>
  <c r="P6" i="148" s="1"/>
  <c r="S6" i="3"/>
  <c r="S6" i="148" s="1"/>
  <c r="T6" i="3"/>
  <c r="T6" i="148" s="1"/>
  <c r="Z7" i="3"/>
  <c r="AA7" i="3"/>
  <c r="AB7" i="3"/>
  <c r="M7" i="3"/>
  <c r="M7" i="148" s="1"/>
  <c r="N7" i="3"/>
  <c r="N7" i="148" s="1"/>
  <c r="O7" i="3"/>
  <c r="O7" i="148" s="1"/>
  <c r="P7" i="3"/>
  <c r="P7" i="148" s="1"/>
  <c r="S7" i="3"/>
  <c r="S7" i="148" s="1"/>
  <c r="T7" i="3"/>
  <c r="T7" i="148" s="1"/>
  <c r="Z8" i="3"/>
  <c r="AA8" i="3"/>
  <c r="AB8" i="3"/>
  <c r="M8" i="3"/>
  <c r="M8" i="148" s="1"/>
  <c r="O8" i="3"/>
  <c r="O8" i="148" s="1"/>
  <c r="O71" i="148" s="1"/>
  <c r="O71" i="3"/>
  <c r="P8" i="3"/>
  <c r="P8" i="148" s="1"/>
  <c r="P71" i="148" s="1"/>
  <c r="Q8" i="3"/>
  <c r="Q8" i="148" s="1"/>
  <c r="Q71" i="148" s="1"/>
  <c r="Q71" i="3"/>
  <c r="R8" i="3"/>
  <c r="R8" i="148" s="1"/>
  <c r="R71" i="148" s="1"/>
  <c r="S8" i="3"/>
  <c r="S8" i="148" s="1"/>
  <c r="S71" i="148" s="1"/>
  <c r="S71" i="3"/>
  <c r="T8" i="3"/>
  <c r="T8" i="148" s="1"/>
  <c r="T71" i="148" s="1"/>
  <c r="T71" i="3"/>
  <c r="Z9" i="3"/>
  <c r="AB9" i="3"/>
  <c r="M9" i="3"/>
  <c r="M9" i="148" s="1"/>
  <c r="R9" i="3"/>
  <c r="T9" i="3"/>
  <c r="T9" i="148" s="1"/>
  <c r="Z10" i="3"/>
  <c r="AB10" i="3"/>
  <c r="M10" i="3"/>
  <c r="M10" i="148" s="1"/>
  <c r="N10" i="3"/>
  <c r="N10" i="148" s="1"/>
  <c r="Q10" i="3"/>
  <c r="Q10" i="148" s="1"/>
  <c r="S10" i="3"/>
  <c r="T10" i="3"/>
  <c r="T10" i="148" s="1"/>
  <c r="Z11" i="3"/>
  <c r="AA11" i="3"/>
  <c r="AB11" i="3"/>
  <c r="M11" i="3"/>
  <c r="M11" i="148" s="1"/>
  <c r="O11" i="3"/>
  <c r="P11" i="3"/>
  <c r="R11" i="3"/>
  <c r="R11" i="148" s="1"/>
  <c r="S11" i="3"/>
  <c r="S11" i="148" s="1"/>
  <c r="Z12" i="3"/>
  <c r="AB12" i="3"/>
  <c r="M12" i="3"/>
  <c r="M12" i="148" s="1"/>
  <c r="N12" i="3"/>
  <c r="N12" i="148" s="1"/>
  <c r="O12" i="3"/>
  <c r="O12" i="148" s="1"/>
  <c r="T12" i="3"/>
  <c r="T12" i="148" s="1"/>
  <c r="Z13" i="3"/>
  <c r="AA13" i="3"/>
  <c r="AB13" i="3"/>
  <c r="M13" i="3"/>
  <c r="M13" i="148" s="1"/>
  <c r="R13" i="3"/>
  <c r="R13" i="148" s="1"/>
  <c r="S13" i="3"/>
  <c r="S13" i="148" s="1"/>
  <c r="Z14" i="3"/>
  <c r="AA14" i="3"/>
  <c r="AB14" i="3"/>
  <c r="M14" i="3"/>
  <c r="M14" i="148" s="1"/>
  <c r="Q14" i="3"/>
  <c r="Q14" i="148" s="1"/>
  <c r="R14" i="3"/>
  <c r="R14" i="148" s="1"/>
  <c r="S14" i="3"/>
  <c r="S14" i="148" s="1"/>
  <c r="T14" i="3"/>
  <c r="T14" i="148" s="1"/>
  <c r="Z15" i="3"/>
  <c r="AA15" i="3"/>
  <c r="AB15" i="3"/>
  <c r="M15" i="3"/>
  <c r="Q15" i="3"/>
  <c r="Q15" i="148" s="1"/>
  <c r="R15" i="3"/>
  <c r="R15" i="148" s="1"/>
  <c r="S15" i="3"/>
  <c r="S15" i="148" s="1"/>
  <c r="T15" i="3"/>
  <c r="T15" i="148" s="1"/>
  <c r="Z16" i="3"/>
  <c r="AA16" i="3"/>
  <c r="AB16" i="3"/>
  <c r="M16" i="3"/>
  <c r="M16" i="148" s="1"/>
  <c r="N16" i="3"/>
  <c r="N16" i="148" s="1"/>
  <c r="Q16" i="3"/>
  <c r="Q16" i="148" s="1"/>
  <c r="R16" i="3"/>
  <c r="Z17" i="3"/>
  <c r="AA17" i="3"/>
  <c r="AB17" i="3"/>
  <c r="M17" i="3"/>
  <c r="M17" i="148" s="1"/>
  <c r="Q17" i="3"/>
  <c r="Q17" i="148" s="1"/>
  <c r="R17" i="3"/>
  <c r="R17" i="148" s="1"/>
  <c r="S17" i="3"/>
  <c r="S17" i="148" s="1"/>
  <c r="T17" i="3"/>
  <c r="T17" i="148" s="1"/>
  <c r="U17" i="3"/>
  <c r="Z18" i="3"/>
  <c r="AB18" i="3"/>
  <c r="AC18" i="3"/>
  <c r="M18" i="3"/>
  <c r="M18" i="148" s="1"/>
  <c r="N18" i="3"/>
  <c r="N18" i="148" s="1"/>
  <c r="R18" i="3"/>
  <c r="R18" i="148" s="1"/>
  <c r="S18" i="3"/>
  <c r="S18" i="148" s="1"/>
  <c r="Z19" i="3"/>
  <c r="AA19" i="3"/>
  <c r="AB19" i="3"/>
  <c r="M19" i="3"/>
  <c r="M19" i="148" s="1"/>
  <c r="N19" i="3"/>
  <c r="N19" i="148" s="1"/>
  <c r="Q19" i="3"/>
  <c r="Q19" i="148" s="1"/>
  <c r="R19" i="3"/>
  <c r="R19" i="148" s="1"/>
  <c r="S19" i="3"/>
  <c r="S19" i="148" s="1"/>
  <c r="T19" i="3"/>
  <c r="T19" i="148" s="1"/>
  <c r="Z20" i="3"/>
  <c r="AA20" i="3"/>
  <c r="AB20" i="3"/>
  <c r="M20" i="3"/>
  <c r="M20" i="148" s="1"/>
  <c r="R20" i="3"/>
  <c r="R20" i="148" s="1"/>
  <c r="S20" i="3"/>
  <c r="S20" i="148" s="1"/>
  <c r="Z21" i="3"/>
  <c r="AA21" i="3"/>
  <c r="AB21" i="3"/>
  <c r="M21" i="3"/>
  <c r="M21" i="148" s="1"/>
  <c r="N21" i="3"/>
  <c r="N21" i="148" s="1"/>
  <c r="Q21" i="3"/>
  <c r="Q21" i="148" s="1"/>
  <c r="R21" i="3"/>
  <c r="R21" i="148" s="1"/>
  <c r="S21" i="3"/>
  <c r="S21" i="148" s="1"/>
  <c r="T21" i="3"/>
  <c r="T21" i="148" s="1"/>
  <c r="Z22" i="3"/>
  <c r="AA22" i="3"/>
  <c r="AB22" i="3"/>
  <c r="M22" i="3"/>
  <c r="M22" i="148" s="1"/>
  <c r="Q22" i="3"/>
  <c r="Q22" i="148" s="1"/>
  <c r="R22" i="3"/>
  <c r="R22" i="148" s="1"/>
  <c r="S22" i="3"/>
  <c r="S22" i="148" s="1"/>
  <c r="T22" i="3"/>
  <c r="T22" i="148" s="1"/>
  <c r="Z23" i="3"/>
  <c r="AA23" i="3"/>
  <c r="AB23" i="3"/>
  <c r="M23" i="3"/>
  <c r="M23" i="148" s="1"/>
  <c r="R23" i="3"/>
  <c r="R23" i="148" s="1"/>
  <c r="S23" i="3"/>
  <c r="S23" i="148" s="1"/>
  <c r="T23" i="3"/>
  <c r="T23" i="148" s="1"/>
  <c r="Z25" i="3"/>
  <c r="AA25" i="3"/>
  <c r="AB25" i="3"/>
  <c r="M25" i="3"/>
  <c r="M25" i="148" s="1"/>
  <c r="N25" i="3"/>
  <c r="N25" i="148" s="1"/>
  <c r="O25" i="3"/>
  <c r="O25" i="148" s="1"/>
  <c r="P25" i="3"/>
  <c r="P25" i="148" s="1"/>
  <c r="Q25" i="3"/>
  <c r="R25" i="3"/>
  <c r="R25" i="148" s="1"/>
  <c r="S25" i="3"/>
  <c r="S25" i="148" s="1"/>
  <c r="T25" i="3"/>
  <c r="T25" i="148" s="1"/>
  <c r="Z26" i="3"/>
  <c r="AB26" i="3"/>
  <c r="M26" i="3"/>
  <c r="M26" i="148" s="1"/>
  <c r="N26" i="3"/>
  <c r="N26" i="148" s="1"/>
  <c r="Q26" i="3"/>
  <c r="Q26" i="148" s="1"/>
  <c r="R26" i="3"/>
  <c r="R26" i="148" s="1"/>
  <c r="S26" i="3"/>
  <c r="S26" i="148" s="1"/>
  <c r="T26" i="3"/>
  <c r="T26" i="148" s="1"/>
  <c r="Z27" i="3"/>
  <c r="AA27" i="3"/>
  <c r="AB27" i="3"/>
  <c r="M27" i="3"/>
  <c r="M27" i="148" s="1"/>
  <c r="N27" i="3"/>
  <c r="N27" i="148" s="1"/>
  <c r="Q27" i="3"/>
  <c r="R27" i="3"/>
  <c r="R27" i="148" s="1"/>
  <c r="S27" i="3"/>
  <c r="S27" i="148" s="1"/>
  <c r="T27" i="3"/>
  <c r="T27" i="148" s="1"/>
  <c r="Z28" i="3"/>
  <c r="AA28" i="3"/>
  <c r="AB28" i="3"/>
  <c r="M28" i="3"/>
  <c r="M28" i="148" s="1"/>
  <c r="Q28" i="3"/>
  <c r="Q28" i="148" s="1"/>
  <c r="R28" i="3"/>
  <c r="R28" i="148" s="1"/>
  <c r="S28" i="3"/>
  <c r="S28" i="148" s="1"/>
  <c r="T28" i="3"/>
  <c r="T28" i="148" s="1"/>
  <c r="Z29" i="3"/>
  <c r="AA29" i="3"/>
  <c r="AB29" i="3"/>
  <c r="AC29" i="3"/>
  <c r="M29" i="3"/>
  <c r="M29" i="148" s="1"/>
  <c r="R29" i="3"/>
  <c r="R29" i="148" s="1"/>
  <c r="S29" i="3"/>
  <c r="S29" i="148" s="1"/>
  <c r="T29" i="3"/>
  <c r="T29" i="148" s="1"/>
  <c r="Z30" i="3"/>
  <c r="AA30" i="3"/>
  <c r="AB30" i="3"/>
  <c r="M30" i="3"/>
  <c r="M30" i="148" s="1"/>
  <c r="R30" i="3"/>
  <c r="R30" i="148" s="1"/>
  <c r="S30" i="3"/>
  <c r="S30" i="148" s="1"/>
  <c r="Z32" i="3"/>
  <c r="AA32" i="3"/>
  <c r="AB32" i="3"/>
  <c r="M32" i="3"/>
  <c r="M32" i="148" s="1"/>
  <c r="O32" i="3"/>
  <c r="O32" i="148" s="1"/>
  <c r="P32" i="3"/>
  <c r="P32" i="148" s="1"/>
  <c r="Q32" i="3"/>
  <c r="Q32" i="148" s="1"/>
  <c r="T32" i="3"/>
  <c r="T32" i="148" s="1"/>
  <c r="Z31" i="3"/>
  <c r="AA31" i="3"/>
  <c r="AB31" i="3"/>
  <c r="M31" i="3"/>
  <c r="M31" i="148" s="1"/>
  <c r="Q31" i="3"/>
  <c r="Q31" i="148" s="1"/>
  <c r="R31" i="3"/>
  <c r="S31" i="3"/>
  <c r="S31" i="148" s="1"/>
  <c r="T31" i="3"/>
  <c r="T31" i="148" s="1"/>
  <c r="Z35" i="3"/>
  <c r="AB35" i="3"/>
  <c r="M35" i="3"/>
  <c r="M35" i="148" s="1"/>
  <c r="R35" i="3"/>
  <c r="R35" i="148" s="1"/>
  <c r="S35" i="3"/>
  <c r="S35" i="148" s="1"/>
  <c r="T35" i="3"/>
  <c r="T35" i="148" s="1"/>
  <c r="Z33" i="3"/>
  <c r="AA33" i="3"/>
  <c r="AB33" i="3"/>
  <c r="M33" i="3"/>
  <c r="M33" i="148" s="1"/>
  <c r="Q33" i="3"/>
  <c r="Q33" i="148" s="1"/>
  <c r="R33" i="3"/>
  <c r="R33" i="148" s="1"/>
  <c r="S33" i="3"/>
  <c r="S33" i="148" s="1"/>
  <c r="T33" i="3"/>
  <c r="T33" i="148" s="1"/>
  <c r="Z34" i="3"/>
  <c r="AA34" i="3"/>
  <c r="AB34" i="3"/>
  <c r="M34" i="3"/>
  <c r="M34" i="148" s="1"/>
  <c r="Q34" i="3"/>
  <c r="Q34" i="148" s="1"/>
  <c r="R34" i="3"/>
  <c r="R34" i="148" s="1"/>
  <c r="S34" i="3"/>
  <c r="S34" i="148" s="1"/>
  <c r="T34" i="3"/>
  <c r="T34" i="148" s="1"/>
  <c r="Z36" i="3"/>
  <c r="AA36" i="3"/>
  <c r="AB36" i="3"/>
  <c r="M36" i="3"/>
  <c r="M36" i="148" s="1"/>
  <c r="N36" i="3"/>
  <c r="N36" i="148" s="1"/>
  <c r="O36" i="3"/>
  <c r="O36" i="148" s="1"/>
  <c r="P36" i="3"/>
  <c r="P36" i="148" s="1"/>
  <c r="Q36" i="3"/>
  <c r="Q36" i="148" s="1"/>
  <c r="T36" i="3"/>
  <c r="T36" i="148" s="1"/>
  <c r="Z37" i="3"/>
  <c r="AA37" i="3"/>
  <c r="AB37" i="3"/>
  <c r="M37" i="3"/>
  <c r="M37" i="148" s="1"/>
  <c r="Q37" i="3"/>
  <c r="Q37" i="148" s="1"/>
  <c r="R37" i="3"/>
  <c r="R37" i="148" s="1"/>
  <c r="S37" i="3"/>
  <c r="S37" i="148" s="1"/>
  <c r="T37" i="3"/>
  <c r="T37" i="148" s="1"/>
  <c r="Z38" i="3"/>
  <c r="AA38" i="3"/>
  <c r="AB38" i="3"/>
  <c r="M38" i="3"/>
  <c r="M38" i="148" s="1"/>
  <c r="R38" i="3"/>
  <c r="R38" i="148" s="1"/>
  <c r="S38" i="3"/>
  <c r="S38" i="148" s="1"/>
  <c r="Z39" i="3"/>
  <c r="AA39" i="3"/>
  <c r="AB39" i="3"/>
  <c r="M39" i="3"/>
  <c r="M39" i="148" s="1"/>
  <c r="R39" i="3"/>
  <c r="R39" i="148" s="1"/>
  <c r="T39" i="3"/>
  <c r="T39" i="148" s="1"/>
  <c r="Z40" i="3"/>
  <c r="AB40" i="3"/>
  <c r="M40" i="3"/>
  <c r="M40" i="148" s="1"/>
  <c r="N40" i="3"/>
  <c r="N40" i="148" s="1"/>
  <c r="O40" i="3"/>
  <c r="Q40" i="3"/>
  <c r="Q40" i="148" s="1"/>
  <c r="T40" i="3"/>
  <c r="T40" i="148" s="1"/>
  <c r="Z41" i="3"/>
  <c r="AA41" i="3"/>
  <c r="AB41" i="3"/>
  <c r="AC41" i="3"/>
  <c r="M41" i="3"/>
  <c r="M41" i="148" s="1"/>
  <c r="Q41" i="3"/>
  <c r="Q41" i="148" s="1"/>
  <c r="R41" i="3"/>
  <c r="R41" i="148" s="1"/>
  <c r="S41" i="3"/>
  <c r="S41" i="148" s="1"/>
  <c r="T41" i="3"/>
  <c r="T41" i="148" s="1"/>
  <c r="Z42" i="3"/>
  <c r="AA42" i="3"/>
  <c r="AB42" i="3"/>
  <c r="M42" i="3"/>
  <c r="M42" i="148" s="1"/>
  <c r="R42" i="3"/>
  <c r="R42" i="148" s="1"/>
  <c r="S42" i="3"/>
  <c r="T42" i="3"/>
  <c r="T42" i="148" s="1"/>
  <c r="Z43" i="3"/>
  <c r="AA43" i="3"/>
  <c r="AB43" i="3"/>
  <c r="M43" i="3"/>
  <c r="M43" i="148" s="1"/>
  <c r="N43" i="3"/>
  <c r="N43" i="148" s="1"/>
  <c r="O43" i="3"/>
  <c r="O43" i="148" s="1"/>
  <c r="P43" i="3"/>
  <c r="P43" i="148" s="1"/>
  <c r="Q43" i="3"/>
  <c r="Q43" i="148" s="1"/>
  <c r="T43" i="3"/>
  <c r="T43" i="148" s="1"/>
  <c r="Z44" i="3"/>
  <c r="AA44" i="3"/>
  <c r="AB44" i="3"/>
  <c r="M44" i="3"/>
  <c r="M44" i="148" s="1"/>
  <c r="Q44" i="3"/>
  <c r="Q44" i="148" s="1"/>
  <c r="R44" i="3"/>
  <c r="S44" i="3"/>
  <c r="S44" i="148" s="1"/>
  <c r="Z45" i="3"/>
  <c r="AA45" i="3"/>
  <c r="AB45" i="3"/>
  <c r="M45" i="3"/>
  <c r="M45" i="148" s="1"/>
  <c r="O45" i="3"/>
  <c r="Q45" i="3"/>
  <c r="R45" i="3"/>
  <c r="R45" i="148" s="1"/>
  <c r="S45" i="3"/>
  <c r="S45" i="148" s="1"/>
  <c r="T45" i="3"/>
  <c r="T45" i="148" s="1"/>
  <c r="Z46" i="3"/>
  <c r="AA46" i="3"/>
  <c r="AB46" i="3"/>
  <c r="M46" i="3"/>
  <c r="M46" i="148" s="1"/>
  <c r="N46" i="3"/>
  <c r="N46" i="148" s="1"/>
  <c r="T46" i="3"/>
  <c r="T46" i="148" s="1"/>
  <c r="Z47" i="3"/>
  <c r="AA47" i="3"/>
  <c r="AB47" i="3"/>
  <c r="M47" i="3"/>
  <c r="M47" i="148" s="1"/>
  <c r="U47" i="148" s="1"/>
  <c r="V47" i="148" s="1"/>
  <c r="U47" i="3"/>
  <c r="Z48" i="3"/>
  <c r="AB48" i="3"/>
  <c r="M48" i="3"/>
  <c r="M48" i="148" s="1"/>
  <c r="R48" i="3"/>
  <c r="R48" i="148" s="1"/>
  <c r="S48" i="3"/>
  <c r="S48" i="148" s="1"/>
  <c r="Z49" i="3"/>
  <c r="AA49" i="3"/>
  <c r="AB49" i="3"/>
  <c r="M49" i="3"/>
  <c r="M49" i="148" s="1"/>
  <c r="Q49" i="3"/>
  <c r="Q49" i="148" s="1"/>
  <c r="R49" i="3"/>
  <c r="R49" i="148" s="1"/>
  <c r="S49" i="3"/>
  <c r="S49" i="148" s="1"/>
  <c r="T49" i="3"/>
  <c r="Z50" i="3"/>
  <c r="AA50" i="3"/>
  <c r="AB50" i="3"/>
  <c r="M50" i="3"/>
  <c r="M50" i="148" s="1"/>
  <c r="Q50" i="3"/>
  <c r="Q50" i="148" s="1"/>
  <c r="R50" i="3"/>
  <c r="R50" i="148" s="1"/>
  <c r="S50" i="3"/>
  <c r="S50" i="148" s="1"/>
  <c r="T50" i="3"/>
  <c r="T50" i="148" s="1"/>
  <c r="Z51" i="3"/>
  <c r="AA51" i="3"/>
  <c r="AB51" i="3"/>
  <c r="M51" i="3"/>
  <c r="M51" i="148" s="1"/>
  <c r="N51" i="3"/>
  <c r="N51" i="148" s="1"/>
  <c r="O51" i="3"/>
  <c r="O51" i="148" s="1"/>
  <c r="P51" i="3"/>
  <c r="P51" i="148" s="1"/>
  <c r="T51" i="3"/>
  <c r="T51" i="148" s="1"/>
  <c r="Z52" i="3"/>
  <c r="AA52" i="3"/>
  <c r="AB52" i="3"/>
  <c r="M52" i="3"/>
  <c r="M52" i="148" s="1"/>
  <c r="Q52" i="3"/>
  <c r="Q52" i="148" s="1"/>
  <c r="R52" i="3"/>
  <c r="S52" i="3"/>
  <c r="S52" i="148" s="1"/>
  <c r="T52" i="3"/>
  <c r="T52" i="148" s="1"/>
  <c r="Z53" i="3"/>
  <c r="AA53" i="3"/>
  <c r="AB53" i="3"/>
  <c r="M53" i="3"/>
  <c r="M53" i="148" s="1"/>
  <c r="Q53" i="3"/>
  <c r="Q53" i="148" s="1"/>
  <c r="R53" i="3"/>
  <c r="R53" i="148" s="1"/>
  <c r="S53" i="3"/>
  <c r="S53" i="148" s="1"/>
  <c r="T53" i="3"/>
  <c r="T53" i="148" s="1"/>
  <c r="Z54" i="3"/>
  <c r="AA54" i="3"/>
  <c r="AB54" i="3"/>
  <c r="M54" i="3"/>
  <c r="M54" i="148" s="1"/>
  <c r="N54" i="3"/>
  <c r="N54" i="148" s="1"/>
  <c r="O54" i="3"/>
  <c r="O54" i="148" s="1"/>
  <c r="P54" i="3"/>
  <c r="P54" i="148" s="1"/>
  <c r="Q54" i="3"/>
  <c r="Q54" i="148" s="1"/>
  <c r="R54" i="3"/>
  <c r="R54" i="148" s="1"/>
  <c r="S54" i="3"/>
  <c r="T54" i="3"/>
  <c r="T54" i="148" s="1"/>
  <c r="Z55" i="3"/>
  <c r="AA55" i="3"/>
  <c r="AB55" i="3"/>
  <c r="M55" i="3"/>
  <c r="M55" i="148" s="1"/>
  <c r="N55" i="3"/>
  <c r="N55" i="148" s="1"/>
  <c r="O55" i="3"/>
  <c r="O55" i="148" s="1"/>
  <c r="P55" i="3"/>
  <c r="P55" i="148" s="1"/>
  <c r="Q55" i="3"/>
  <c r="Q55" i="148" s="1"/>
  <c r="R55" i="3"/>
  <c r="R55" i="148" s="1"/>
  <c r="S55" i="3"/>
  <c r="S55" i="148" s="1"/>
  <c r="T55" i="3"/>
  <c r="T55" i="148" s="1"/>
  <c r="Z56" i="3"/>
  <c r="AA56" i="3"/>
  <c r="AB56" i="3"/>
  <c r="M56" i="3"/>
  <c r="M56" i="148" s="1"/>
  <c r="N56" i="3"/>
  <c r="Q56" i="3"/>
  <c r="Q56" i="148" s="1"/>
  <c r="R56" i="3"/>
  <c r="T56" i="3"/>
  <c r="T56" i="148" s="1"/>
  <c r="Z57" i="3"/>
  <c r="AA57" i="3"/>
  <c r="AB57" i="3"/>
  <c r="M57" i="3"/>
  <c r="M57" i="148" s="1"/>
  <c r="Q57" i="3"/>
  <c r="Q57" i="148" s="1"/>
  <c r="R57" i="3"/>
  <c r="R57" i="148" s="1"/>
  <c r="S57" i="3"/>
  <c r="S57" i="148" s="1"/>
  <c r="T57" i="3"/>
  <c r="T57" i="148" s="1"/>
  <c r="Z58" i="3"/>
  <c r="AA58" i="3"/>
  <c r="AB58" i="3"/>
  <c r="M58" i="3"/>
  <c r="M58" i="148" s="1"/>
  <c r="Q58" i="3"/>
  <c r="Q58" i="148" s="1"/>
  <c r="R58" i="3"/>
  <c r="R58" i="148" s="1"/>
  <c r="S58" i="3"/>
  <c r="S58" i="148" s="1"/>
  <c r="T58" i="3"/>
  <c r="T58" i="148" s="1"/>
  <c r="Z59" i="3"/>
  <c r="AA59" i="3"/>
  <c r="AB59" i="3"/>
  <c r="M59" i="3"/>
  <c r="M59" i="148" s="1"/>
  <c r="N59" i="3"/>
  <c r="N59" i="148" s="1"/>
  <c r="Q59" i="3"/>
  <c r="Q59" i="148" s="1"/>
  <c r="R59" i="3"/>
  <c r="R59" i="148" s="1"/>
  <c r="S59" i="3"/>
  <c r="S59" i="148" s="1"/>
  <c r="Z60" i="3"/>
  <c r="AA60" i="3"/>
  <c r="AB60" i="3"/>
  <c r="M60" i="3"/>
  <c r="M60" i="148" s="1"/>
  <c r="Q60" i="3"/>
  <c r="Q60" i="148" s="1"/>
  <c r="R60" i="3"/>
  <c r="R60" i="148" s="1"/>
  <c r="S60" i="3"/>
  <c r="S60" i="148" s="1"/>
  <c r="Z61" i="3"/>
  <c r="AA61" i="3"/>
  <c r="AB61" i="3"/>
  <c r="M61" i="3"/>
  <c r="M61" i="148" s="1"/>
  <c r="N61" i="3"/>
  <c r="N61" i="148" s="1"/>
  <c r="O61" i="3"/>
  <c r="O61" i="148" s="1"/>
  <c r="P61" i="3"/>
  <c r="P61" i="148" s="1"/>
  <c r="Q61" i="3"/>
  <c r="Q61" i="148" s="1"/>
  <c r="R61" i="3"/>
  <c r="R61" i="148" s="1"/>
  <c r="S61" i="3"/>
  <c r="S61" i="148" s="1"/>
  <c r="T61" i="3"/>
  <c r="T61" i="148" s="1"/>
  <c r="Z62" i="3"/>
  <c r="AA62" i="3"/>
  <c r="AB62" i="3"/>
  <c r="M62" i="3"/>
  <c r="M62" i="148" s="1"/>
  <c r="Q62" i="3"/>
  <c r="Q62" i="148" s="1"/>
  <c r="R62" i="3"/>
  <c r="R62" i="148" s="1"/>
  <c r="S62" i="3"/>
  <c r="S62" i="148" s="1"/>
  <c r="T62" i="3"/>
  <c r="Z63" i="3"/>
  <c r="AA63" i="3"/>
  <c r="AB63" i="3"/>
  <c r="M63" i="3"/>
  <c r="M63" i="148" s="1"/>
  <c r="Q63" i="3"/>
  <c r="R63" i="3"/>
  <c r="R63" i="148" s="1"/>
  <c r="S63" i="3"/>
  <c r="S63" i="148" s="1"/>
  <c r="T63" i="3"/>
  <c r="T63" i="148" s="1"/>
  <c r="Z64" i="3"/>
  <c r="AA64" i="3"/>
  <c r="AB64" i="3"/>
  <c r="M64" i="3"/>
  <c r="M64" i="148" s="1"/>
  <c r="Q64" i="3"/>
  <c r="Q64" i="148" s="1"/>
  <c r="R64" i="3"/>
  <c r="R64" i="148" s="1"/>
  <c r="S64" i="3"/>
  <c r="S64" i="148" s="1"/>
  <c r="T64" i="3"/>
  <c r="T64" i="148" s="1"/>
  <c r="Z65" i="3"/>
  <c r="AA65" i="3"/>
  <c r="AB65" i="3"/>
  <c r="M65" i="3"/>
  <c r="M65" i="148" s="1"/>
  <c r="Q65" i="3"/>
  <c r="Q65" i="148" s="1"/>
  <c r="R65" i="3"/>
  <c r="R65" i="148" s="1"/>
  <c r="S65" i="3"/>
  <c r="S65" i="148" s="1"/>
  <c r="T65" i="3"/>
  <c r="T65" i="148" s="1"/>
  <c r="Z66" i="3"/>
  <c r="AA66" i="3"/>
  <c r="AB66" i="3"/>
  <c r="M66" i="3"/>
  <c r="M66" i="148" s="1"/>
  <c r="R66" i="3"/>
  <c r="R66" i="148" s="1"/>
  <c r="S66" i="3"/>
  <c r="S66" i="148" s="1"/>
  <c r="T66" i="3"/>
  <c r="Z67" i="3"/>
  <c r="AA67" i="3"/>
  <c r="AB67" i="3"/>
  <c r="M67" i="3"/>
  <c r="M67" i="148" s="1"/>
  <c r="N67" i="3"/>
  <c r="N67" i="148" s="1"/>
  <c r="P67" i="3"/>
  <c r="R67" i="3"/>
  <c r="R67" i="148" s="1"/>
  <c r="S67" i="3"/>
  <c r="S67" i="148" s="1"/>
  <c r="T67" i="3"/>
  <c r="T67" i="148" s="1"/>
  <c r="Z69" i="3"/>
  <c r="AB69" i="3"/>
  <c r="AC69" i="3"/>
  <c r="M69" i="3"/>
  <c r="M69" i="148" s="1"/>
  <c r="R69" i="3"/>
  <c r="R69" i="148" s="1"/>
  <c r="S69" i="3"/>
  <c r="S69" i="148" s="1"/>
  <c r="T69" i="3"/>
  <c r="T69" i="148" s="1"/>
  <c r="H27" i="120"/>
  <c r="W27" i="3" s="1"/>
  <c r="W32" i="3"/>
  <c r="W47" i="3"/>
  <c r="H30" i="132"/>
  <c r="W55" i="3" s="1"/>
  <c r="W63" i="3"/>
  <c r="W67" i="3"/>
  <c r="C6" i="3"/>
  <c r="C6" i="148" s="1"/>
  <c r="D6" i="3"/>
  <c r="D6" i="148" s="1"/>
  <c r="E6" i="3"/>
  <c r="E6" i="148" s="1"/>
  <c r="F6" i="3"/>
  <c r="F6" i="148" s="1"/>
  <c r="G6" i="3"/>
  <c r="C7" i="3"/>
  <c r="C7" i="148" s="1"/>
  <c r="E7" i="3"/>
  <c r="E7" i="148" s="1"/>
  <c r="F7" i="3"/>
  <c r="F7" i="148" s="1"/>
  <c r="G7" i="3"/>
  <c r="G7" i="148" s="1"/>
  <c r="H7" i="3"/>
  <c r="H7" i="148" s="1"/>
  <c r="C8" i="3"/>
  <c r="C8" i="148" s="1"/>
  <c r="D8" i="3"/>
  <c r="D8" i="148" s="1"/>
  <c r="D71" i="148" s="1"/>
  <c r="D71" i="3"/>
  <c r="E8" i="3"/>
  <c r="E8" i="148" s="1"/>
  <c r="E71" i="148" s="1"/>
  <c r="E71" i="3"/>
  <c r="F8" i="3"/>
  <c r="F8" i="148" s="1"/>
  <c r="F71" i="148" s="1"/>
  <c r="G8" i="3"/>
  <c r="G71" i="3" s="1"/>
  <c r="H8" i="3"/>
  <c r="H8" i="148" s="1"/>
  <c r="H71" i="148" s="1"/>
  <c r="C9" i="3"/>
  <c r="C9" i="148" s="1"/>
  <c r="D9" i="3"/>
  <c r="D9" i="148" s="1"/>
  <c r="E9" i="3"/>
  <c r="E9" i="148" s="1"/>
  <c r="F9" i="3"/>
  <c r="F9" i="148" s="1"/>
  <c r="H9" i="3"/>
  <c r="H9" i="148" s="1"/>
  <c r="C10" i="3"/>
  <c r="C10" i="148" s="1"/>
  <c r="D10" i="3"/>
  <c r="E10" i="3"/>
  <c r="E10" i="148" s="1"/>
  <c r="F10" i="3"/>
  <c r="F10" i="148" s="1"/>
  <c r="G10" i="3"/>
  <c r="G10" i="148" s="1"/>
  <c r="H10" i="3"/>
  <c r="H10" i="148" s="1"/>
  <c r="C11" i="3"/>
  <c r="C11" i="148" s="1"/>
  <c r="E11" i="3"/>
  <c r="E11" i="148" s="1"/>
  <c r="F11" i="3"/>
  <c r="F11" i="148" s="1"/>
  <c r="G11" i="3"/>
  <c r="H11" i="3"/>
  <c r="H11" i="148" s="1"/>
  <c r="I11" i="3"/>
  <c r="C12" i="3"/>
  <c r="C12" i="148" s="1"/>
  <c r="E12" i="3"/>
  <c r="E12" i="148" s="1"/>
  <c r="F12" i="3"/>
  <c r="F12" i="148" s="1"/>
  <c r="I12" i="3"/>
  <c r="C13" i="3"/>
  <c r="D13" i="3"/>
  <c r="D13" i="148" s="1"/>
  <c r="E13" i="3"/>
  <c r="E13" i="148" s="1"/>
  <c r="F13" i="3"/>
  <c r="F13" i="148" s="1"/>
  <c r="H13" i="3"/>
  <c r="H13" i="148" s="1"/>
  <c r="C14" i="3"/>
  <c r="C14" i="148" s="1"/>
  <c r="D14" i="3"/>
  <c r="D14" i="148" s="1"/>
  <c r="E14" i="3"/>
  <c r="E14" i="148" s="1"/>
  <c r="F14" i="3"/>
  <c r="F14" i="148" s="1"/>
  <c r="G14" i="3"/>
  <c r="G14" i="148" s="1"/>
  <c r="H14" i="3"/>
  <c r="H14" i="148" s="1"/>
  <c r="C15" i="3"/>
  <c r="C15" i="148" s="1"/>
  <c r="D15" i="3"/>
  <c r="D15" i="148" s="1"/>
  <c r="E15" i="3"/>
  <c r="E15" i="148" s="1"/>
  <c r="F15" i="3"/>
  <c r="F15" i="148" s="1"/>
  <c r="G15" i="3"/>
  <c r="G15" i="148" s="1"/>
  <c r="H15" i="3"/>
  <c r="H15" i="148" s="1"/>
  <c r="C16" i="3"/>
  <c r="C16" i="148" s="1"/>
  <c r="E16" i="3"/>
  <c r="E16" i="148" s="1"/>
  <c r="F16" i="3"/>
  <c r="F16" i="148" s="1"/>
  <c r="C17" i="3"/>
  <c r="C17" i="148" s="1"/>
  <c r="D17" i="3"/>
  <c r="E17" i="3"/>
  <c r="E17" i="148" s="1"/>
  <c r="F17" i="3"/>
  <c r="F17" i="148" s="1"/>
  <c r="H17" i="3"/>
  <c r="H17" i="148" s="1"/>
  <c r="C18" i="3"/>
  <c r="C18" i="148" s="1"/>
  <c r="E18" i="3"/>
  <c r="E18" i="148" s="1"/>
  <c r="F18" i="3"/>
  <c r="F18" i="148" s="1"/>
  <c r="H18" i="3"/>
  <c r="H18" i="148" s="1"/>
  <c r="C19" i="3"/>
  <c r="C19" i="148" s="1"/>
  <c r="D19" i="3"/>
  <c r="D19" i="148" s="1"/>
  <c r="E19" i="3"/>
  <c r="E19" i="148" s="1"/>
  <c r="F19" i="3"/>
  <c r="F19" i="148" s="1"/>
  <c r="H19" i="3"/>
  <c r="H19" i="148" s="1"/>
  <c r="C20" i="3"/>
  <c r="C20" i="148" s="1"/>
  <c r="E20" i="3"/>
  <c r="E20" i="148" s="1"/>
  <c r="F20" i="3"/>
  <c r="F20" i="148" s="1"/>
  <c r="H20" i="3"/>
  <c r="H20" i="148" s="1"/>
  <c r="C21" i="3"/>
  <c r="C21" i="148" s="1"/>
  <c r="D21" i="3"/>
  <c r="D21" i="148" s="1"/>
  <c r="E21" i="3"/>
  <c r="E21" i="148" s="1"/>
  <c r="F21" i="3"/>
  <c r="G21" i="3"/>
  <c r="G21" i="148" s="1"/>
  <c r="H21" i="3"/>
  <c r="H21" i="148" s="1"/>
  <c r="C22" i="3"/>
  <c r="C22" i="148" s="1"/>
  <c r="D22" i="3"/>
  <c r="D22" i="148" s="1"/>
  <c r="E22" i="3"/>
  <c r="E22" i="148" s="1"/>
  <c r="F22" i="3"/>
  <c r="F22" i="148" s="1"/>
  <c r="G22" i="3"/>
  <c r="H22" i="3"/>
  <c r="H22" i="148" s="1"/>
  <c r="C23" i="3"/>
  <c r="C23" i="148" s="1"/>
  <c r="D23" i="3"/>
  <c r="D23" i="148" s="1"/>
  <c r="E23" i="3"/>
  <c r="E23" i="148" s="1"/>
  <c r="F23" i="3"/>
  <c r="C25" i="3"/>
  <c r="D25" i="3"/>
  <c r="D25" i="148" s="1"/>
  <c r="E25" i="3"/>
  <c r="E25" i="148" s="1"/>
  <c r="F25" i="3"/>
  <c r="F25" i="148" s="1"/>
  <c r="G25" i="3"/>
  <c r="G25" i="148" s="1"/>
  <c r="H25" i="3"/>
  <c r="H25" i="148" s="1"/>
  <c r="C26" i="3"/>
  <c r="C26" i="148" s="1"/>
  <c r="E26" i="3"/>
  <c r="E26" i="148" s="1"/>
  <c r="F26" i="3"/>
  <c r="F26" i="148" s="1"/>
  <c r="H26" i="3"/>
  <c r="H26" i="148" s="1"/>
  <c r="C27" i="3"/>
  <c r="C27" i="148" s="1"/>
  <c r="E27" i="3"/>
  <c r="F27" i="3"/>
  <c r="F27" i="148" s="1"/>
  <c r="G27" i="3"/>
  <c r="H27" i="3"/>
  <c r="C28" i="3"/>
  <c r="C28" i="148" s="1"/>
  <c r="D28" i="3"/>
  <c r="D28" i="148" s="1"/>
  <c r="E28" i="3"/>
  <c r="E28" i="148" s="1"/>
  <c r="F28" i="3"/>
  <c r="F28" i="148" s="1"/>
  <c r="G28" i="3"/>
  <c r="G28" i="148" s="1"/>
  <c r="H28" i="3"/>
  <c r="H28" i="148" s="1"/>
  <c r="C29" i="3"/>
  <c r="C29" i="148" s="1"/>
  <c r="E29" i="3"/>
  <c r="F29" i="3"/>
  <c r="F29" i="148" s="1"/>
  <c r="H29" i="3"/>
  <c r="H29" i="148" s="1"/>
  <c r="C30" i="3"/>
  <c r="C30" i="148" s="1"/>
  <c r="E30" i="3"/>
  <c r="E30" i="148" s="1"/>
  <c r="F30" i="3"/>
  <c r="F30" i="148" s="1"/>
  <c r="H30" i="3"/>
  <c r="H30" i="148" s="1"/>
  <c r="C32" i="3"/>
  <c r="C32" i="148" s="1"/>
  <c r="D32" i="3"/>
  <c r="D32" i="148" s="1"/>
  <c r="E32" i="3"/>
  <c r="E32" i="148" s="1"/>
  <c r="F32" i="3"/>
  <c r="F32" i="148" s="1"/>
  <c r="H32" i="3"/>
  <c r="H32" i="148" s="1"/>
  <c r="C31" i="3"/>
  <c r="C31" i="148" s="1"/>
  <c r="D31" i="3"/>
  <c r="D31" i="148" s="1"/>
  <c r="E31" i="3"/>
  <c r="E31" i="148" s="1"/>
  <c r="F31" i="3"/>
  <c r="F31" i="148" s="1"/>
  <c r="H31" i="3"/>
  <c r="H31" i="148" s="1"/>
  <c r="C35" i="3"/>
  <c r="C35" i="148" s="1"/>
  <c r="D35" i="3"/>
  <c r="E35" i="3"/>
  <c r="E35" i="148" s="1"/>
  <c r="F35" i="3"/>
  <c r="F35" i="148" s="1"/>
  <c r="H35" i="3"/>
  <c r="H35" i="148" s="1"/>
  <c r="C33" i="3"/>
  <c r="C33" i="148" s="1"/>
  <c r="D33" i="3"/>
  <c r="D33" i="148" s="1"/>
  <c r="E33" i="3"/>
  <c r="E33" i="148" s="1"/>
  <c r="F33" i="3"/>
  <c r="F33" i="148" s="1"/>
  <c r="G33" i="3"/>
  <c r="H33" i="3"/>
  <c r="H33" i="148" s="1"/>
  <c r="C34" i="3"/>
  <c r="C34" i="148" s="1"/>
  <c r="D34" i="3"/>
  <c r="D34" i="148" s="1"/>
  <c r="E34" i="3"/>
  <c r="E34" i="148" s="1"/>
  <c r="F34" i="3"/>
  <c r="F34" i="148" s="1"/>
  <c r="G34" i="3"/>
  <c r="G34" i="148" s="1"/>
  <c r="H34" i="3"/>
  <c r="H34" i="148" s="1"/>
  <c r="C36" i="3"/>
  <c r="C36" i="148" s="1"/>
  <c r="D36" i="3"/>
  <c r="D36" i="148" s="1"/>
  <c r="E36" i="3"/>
  <c r="E36" i="148" s="1"/>
  <c r="F36" i="3"/>
  <c r="F36" i="148" s="1"/>
  <c r="G36" i="3"/>
  <c r="G36" i="148" s="1"/>
  <c r="H36" i="3"/>
  <c r="H36" i="148" s="1"/>
  <c r="C37" i="3"/>
  <c r="C37" i="148" s="1"/>
  <c r="D37" i="3"/>
  <c r="E37" i="3"/>
  <c r="E37" i="148" s="1"/>
  <c r="F37" i="3"/>
  <c r="F37" i="148" s="1"/>
  <c r="G37" i="3"/>
  <c r="G37" i="148" s="1"/>
  <c r="H37" i="3"/>
  <c r="H37" i="148" s="1"/>
  <c r="C38" i="3"/>
  <c r="C38" i="148" s="1"/>
  <c r="D38" i="3"/>
  <c r="D38" i="148" s="1"/>
  <c r="E38" i="3"/>
  <c r="E38" i="148" s="1"/>
  <c r="F38" i="3"/>
  <c r="F38" i="148" s="1"/>
  <c r="C39" i="3"/>
  <c r="C39" i="148" s="1"/>
  <c r="D39" i="3"/>
  <c r="D39" i="148" s="1"/>
  <c r="E39" i="3"/>
  <c r="E39" i="148" s="1"/>
  <c r="F39" i="3"/>
  <c r="F39" i="148" s="1"/>
  <c r="C40" i="3"/>
  <c r="C40" i="148" s="1"/>
  <c r="D40" i="3"/>
  <c r="E40" i="3"/>
  <c r="E40" i="148" s="1"/>
  <c r="F40" i="3"/>
  <c r="F40" i="148" s="1"/>
  <c r="H40" i="3"/>
  <c r="C41" i="3"/>
  <c r="C41" i="148" s="1"/>
  <c r="D41" i="3"/>
  <c r="D41" i="148" s="1"/>
  <c r="E41" i="3"/>
  <c r="E41" i="148" s="1"/>
  <c r="F41" i="3"/>
  <c r="F41" i="148" s="1"/>
  <c r="G41" i="3"/>
  <c r="G41" i="148" s="1"/>
  <c r="H41" i="3"/>
  <c r="H41" i="148" s="1"/>
  <c r="C42" i="3"/>
  <c r="C42" i="148" s="1"/>
  <c r="D42" i="3"/>
  <c r="D42" i="148" s="1"/>
  <c r="E42" i="3"/>
  <c r="E42" i="148" s="1"/>
  <c r="F42" i="3"/>
  <c r="F42" i="148" s="1"/>
  <c r="G42" i="3"/>
  <c r="G42" i="148" s="1"/>
  <c r="H42" i="3"/>
  <c r="H42" i="148" s="1"/>
  <c r="C43" i="3"/>
  <c r="C43" i="148" s="1"/>
  <c r="D43" i="3"/>
  <c r="D43" i="148" s="1"/>
  <c r="E43" i="3"/>
  <c r="E43" i="148" s="1"/>
  <c r="F43" i="3"/>
  <c r="F43" i="148" s="1"/>
  <c r="H43" i="3"/>
  <c r="H43" i="148" s="1"/>
  <c r="C44" i="3"/>
  <c r="C44" i="148" s="1"/>
  <c r="D44" i="3"/>
  <c r="D44" i="148" s="1"/>
  <c r="E44" i="3"/>
  <c r="E44" i="148" s="1"/>
  <c r="F44" i="3"/>
  <c r="F44" i="148" s="1"/>
  <c r="G44" i="3"/>
  <c r="G44" i="148" s="1"/>
  <c r="H44" i="3"/>
  <c r="C45" i="3"/>
  <c r="C45" i="148" s="1"/>
  <c r="E45" i="3"/>
  <c r="E45" i="148" s="1"/>
  <c r="F45" i="3"/>
  <c r="F45" i="148" s="1"/>
  <c r="H45" i="3"/>
  <c r="H45" i="148" s="1"/>
  <c r="C46" i="3"/>
  <c r="C46" i="148" s="1"/>
  <c r="D46" i="3"/>
  <c r="D46" i="148" s="1"/>
  <c r="E46" i="3"/>
  <c r="E46" i="148" s="1"/>
  <c r="F46" i="3"/>
  <c r="F46" i="148" s="1"/>
  <c r="H46" i="3"/>
  <c r="H46" i="148" s="1"/>
  <c r="C47" i="3"/>
  <c r="C47" i="148" s="1"/>
  <c r="D47" i="3"/>
  <c r="E47" i="3"/>
  <c r="E47" i="148" s="1"/>
  <c r="F47" i="3"/>
  <c r="F47" i="148" s="1"/>
  <c r="C48" i="3"/>
  <c r="C48" i="148" s="1"/>
  <c r="E48" i="3"/>
  <c r="E48" i="148" s="1"/>
  <c r="F48" i="3"/>
  <c r="F48" i="148" s="1"/>
  <c r="C49" i="3"/>
  <c r="C49" i="148" s="1"/>
  <c r="D49" i="3"/>
  <c r="D49" i="148" s="1"/>
  <c r="E49" i="3"/>
  <c r="E49" i="148" s="1"/>
  <c r="F49" i="3"/>
  <c r="F49" i="148" s="1"/>
  <c r="H49" i="3"/>
  <c r="H49" i="148" s="1"/>
  <c r="C50" i="3"/>
  <c r="C50" i="148" s="1"/>
  <c r="D50" i="3"/>
  <c r="D50" i="148" s="1"/>
  <c r="E50" i="3"/>
  <c r="E50" i="148" s="1"/>
  <c r="F50" i="3"/>
  <c r="F50" i="148" s="1"/>
  <c r="G50" i="3"/>
  <c r="G50" i="148" s="1"/>
  <c r="H50" i="3"/>
  <c r="H50" i="148" s="1"/>
  <c r="C51" i="3"/>
  <c r="C51" i="148" s="1"/>
  <c r="D51" i="3"/>
  <c r="D51" i="148" s="1"/>
  <c r="E51" i="3"/>
  <c r="E51" i="148" s="1"/>
  <c r="F51" i="3"/>
  <c r="F51" i="148" s="1"/>
  <c r="H51" i="3"/>
  <c r="C52" i="3"/>
  <c r="C52" i="148" s="1"/>
  <c r="D52" i="3"/>
  <c r="D52" i="148" s="1"/>
  <c r="E52" i="3"/>
  <c r="E52" i="148" s="1"/>
  <c r="F52" i="3"/>
  <c r="F52" i="148" s="1"/>
  <c r="G52" i="3"/>
  <c r="G52" i="148" s="1"/>
  <c r="H52" i="3"/>
  <c r="H52" i="148" s="1"/>
  <c r="C53" i="3"/>
  <c r="C53" i="148" s="1"/>
  <c r="E53" i="3"/>
  <c r="E53" i="148" s="1"/>
  <c r="F53" i="3"/>
  <c r="F53" i="148" s="1"/>
  <c r="G53" i="3"/>
  <c r="G53" i="148" s="1"/>
  <c r="H53" i="3"/>
  <c r="H53" i="148" s="1"/>
  <c r="C54" i="3"/>
  <c r="C54" i="148" s="1"/>
  <c r="E54" i="3"/>
  <c r="E54" i="148" s="1"/>
  <c r="F54" i="3"/>
  <c r="F54" i="148" s="1"/>
  <c r="G54" i="3"/>
  <c r="G54" i="148" s="1"/>
  <c r="H54" i="3"/>
  <c r="C55" i="3"/>
  <c r="C55" i="148" s="1"/>
  <c r="D55" i="3"/>
  <c r="D55" i="148" s="1"/>
  <c r="E55" i="3"/>
  <c r="E55" i="148" s="1"/>
  <c r="F55" i="3"/>
  <c r="F55" i="148" s="1"/>
  <c r="G55" i="3"/>
  <c r="G55" i="148" s="1"/>
  <c r="H55" i="3"/>
  <c r="H55" i="148" s="1"/>
  <c r="C56" i="3"/>
  <c r="C56" i="148" s="1"/>
  <c r="D56" i="3"/>
  <c r="D56" i="148" s="1"/>
  <c r="E56" i="3"/>
  <c r="E56" i="148" s="1"/>
  <c r="F56" i="3"/>
  <c r="F56" i="148" s="1"/>
  <c r="G56" i="3"/>
  <c r="G56" i="148" s="1"/>
  <c r="H56" i="3"/>
  <c r="H56" i="148" s="1"/>
  <c r="C57" i="3"/>
  <c r="C57" i="148" s="1"/>
  <c r="D57" i="3"/>
  <c r="D57" i="148" s="1"/>
  <c r="E57" i="3"/>
  <c r="E57" i="148" s="1"/>
  <c r="F57" i="3"/>
  <c r="G57" i="3"/>
  <c r="G57" i="148" s="1"/>
  <c r="H57" i="3"/>
  <c r="H57" i="148" s="1"/>
  <c r="C58" i="3"/>
  <c r="C58" i="148" s="1"/>
  <c r="E58" i="3"/>
  <c r="E58" i="148" s="1"/>
  <c r="F58" i="3"/>
  <c r="F58" i="148" s="1"/>
  <c r="G58" i="3"/>
  <c r="G58" i="148" s="1"/>
  <c r="H58" i="3"/>
  <c r="H58" i="148" s="1"/>
  <c r="C59" i="3"/>
  <c r="C59" i="148" s="1"/>
  <c r="D59" i="3"/>
  <c r="E59" i="3"/>
  <c r="E59" i="148" s="1"/>
  <c r="F59" i="3"/>
  <c r="F59" i="148" s="1"/>
  <c r="G59" i="3"/>
  <c r="H59" i="3"/>
  <c r="H59" i="148" s="1"/>
  <c r="C60" i="3"/>
  <c r="C60" i="148" s="1"/>
  <c r="D60" i="3"/>
  <c r="D60" i="148" s="1"/>
  <c r="E60" i="3"/>
  <c r="E60" i="148" s="1"/>
  <c r="F60" i="3"/>
  <c r="F60" i="148" s="1"/>
  <c r="G60" i="3"/>
  <c r="G60" i="148" s="1"/>
  <c r="H60" i="3"/>
  <c r="H60" i="148" s="1"/>
  <c r="C61" i="3"/>
  <c r="C61" i="148" s="1"/>
  <c r="D61" i="3"/>
  <c r="D61" i="148" s="1"/>
  <c r="E61" i="3"/>
  <c r="E61" i="148" s="1"/>
  <c r="F61" i="3"/>
  <c r="F61" i="148" s="1"/>
  <c r="C62" i="3"/>
  <c r="C62" i="148" s="1"/>
  <c r="E62" i="3"/>
  <c r="E62" i="148" s="1"/>
  <c r="F62" i="3"/>
  <c r="F62" i="148" s="1"/>
  <c r="G62" i="3"/>
  <c r="G62" i="148" s="1"/>
  <c r="H62" i="3"/>
  <c r="H62" i="148" s="1"/>
  <c r="C63" i="3"/>
  <c r="C63" i="148" s="1"/>
  <c r="D63" i="3"/>
  <c r="D63" i="148" s="1"/>
  <c r="E63" i="3"/>
  <c r="E63" i="148" s="1"/>
  <c r="F63" i="3"/>
  <c r="H63" i="3"/>
  <c r="H63" i="148" s="1"/>
  <c r="C64" i="3"/>
  <c r="C64" i="148" s="1"/>
  <c r="D64" i="3"/>
  <c r="D64" i="148" s="1"/>
  <c r="E64" i="3"/>
  <c r="E64" i="148" s="1"/>
  <c r="F64" i="3"/>
  <c r="F64" i="148" s="1"/>
  <c r="G64" i="3"/>
  <c r="G64" i="148" s="1"/>
  <c r="H64" i="3"/>
  <c r="H64" i="148" s="1"/>
  <c r="C65" i="3"/>
  <c r="C65" i="148" s="1"/>
  <c r="D65" i="3"/>
  <c r="D65" i="148" s="1"/>
  <c r="E65" i="3"/>
  <c r="E65" i="148" s="1"/>
  <c r="F65" i="3"/>
  <c r="F65" i="148" s="1"/>
  <c r="H65" i="3"/>
  <c r="H65" i="148" s="1"/>
  <c r="C66" i="3"/>
  <c r="C66" i="148" s="1"/>
  <c r="D66" i="3"/>
  <c r="D66" i="148" s="1"/>
  <c r="E66" i="3"/>
  <c r="E66" i="148" s="1"/>
  <c r="F66" i="3"/>
  <c r="F66" i="148" s="1"/>
  <c r="G66" i="3"/>
  <c r="G66" i="148" s="1"/>
  <c r="C67" i="3"/>
  <c r="C67" i="148" s="1"/>
  <c r="D67" i="3"/>
  <c r="E67" i="3"/>
  <c r="E67" i="148" s="1"/>
  <c r="F67" i="3"/>
  <c r="F67" i="148" s="1"/>
  <c r="H67" i="3"/>
  <c r="H67" i="148" s="1"/>
  <c r="C69" i="3"/>
  <c r="C69" i="148" s="1"/>
  <c r="E69" i="3"/>
  <c r="E69" i="148" s="1"/>
  <c r="F69" i="3"/>
  <c r="F69" i="148" s="1"/>
  <c r="G69" i="3"/>
  <c r="X71" i="144"/>
  <c r="P71" i="144"/>
  <c r="N71" i="144"/>
  <c r="G69" i="144"/>
  <c r="I69" i="144" s="1"/>
  <c r="J69" i="144"/>
  <c r="AC67" i="144"/>
  <c r="P67" i="144"/>
  <c r="D67" i="144"/>
  <c r="I67" i="144" s="1"/>
  <c r="J67" i="144" s="1"/>
  <c r="AC66" i="144"/>
  <c r="T66" i="144"/>
  <c r="U66" i="144"/>
  <c r="V66" i="144" s="1"/>
  <c r="AC64" i="144"/>
  <c r="U64" i="144"/>
  <c r="AC63" i="144"/>
  <c r="Q63" i="144"/>
  <c r="U63" i="144" s="1"/>
  <c r="AD63" i="144" s="1"/>
  <c r="AE63" i="144" s="1"/>
  <c r="I63" i="144"/>
  <c r="J63" i="144" s="1"/>
  <c r="AC62" i="144"/>
  <c r="T62" i="144"/>
  <c r="U62" i="144" s="1"/>
  <c r="AD62" i="144" s="1"/>
  <c r="AE62" i="144" s="1"/>
  <c r="I62" i="144"/>
  <c r="J62" i="144" s="1"/>
  <c r="I61" i="144"/>
  <c r="J61" i="144" s="1"/>
  <c r="AC59" i="144"/>
  <c r="G59" i="144"/>
  <c r="D59" i="144"/>
  <c r="I59" i="144"/>
  <c r="J59" i="144" s="1"/>
  <c r="AC58" i="144"/>
  <c r="U58" i="144"/>
  <c r="I58" i="144"/>
  <c r="J58" i="144"/>
  <c r="R56" i="144"/>
  <c r="AC54" i="144"/>
  <c r="S54" i="144"/>
  <c r="U54" i="144" s="1"/>
  <c r="AD54" i="144" s="1"/>
  <c r="AE54" i="144" s="1"/>
  <c r="I54" i="144"/>
  <c r="J54" i="144" s="1"/>
  <c r="AC51" i="144"/>
  <c r="AD51" i="144" s="1"/>
  <c r="AE51" i="144" s="1"/>
  <c r="AC48" i="144"/>
  <c r="I48" i="144"/>
  <c r="J48" i="144"/>
  <c r="D47" i="144"/>
  <c r="I47" i="144" s="1"/>
  <c r="J47" i="144" s="1"/>
  <c r="AC45" i="144"/>
  <c r="Q45" i="144"/>
  <c r="O45" i="144"/>
  <c r="U45" i="144" s="1"/>
  <c r="AD45" i="144" s="1"/>
  <c r="AE45" i="144" s="1"/>
  <c r="I45" i="144"/>
  <c r="J45" i="144" s="1"/>
  <c r="AC41" i="144"/>
  <c r="AC40" i="144"/>
  <c r="O40" i="144"/>
  <c r="H40" i="144"/>
  <c r="D40" i="144"/>
  <c r="U39" i="144"/>
  <c r="I39" i="144"/>
  <c r="J39" i="144" s="1"/>
  <c r="AC38" i="144"/>
  <c r="U38" i="144"/>
  <c r="U36" i="144"/>
  <c r="I36" i="144"/>
  <c r="J36" i="144" s="1"/>
  <c r="AC35" i="144"/>
  <c r="D35" i="144"/>
  <c r="I35" i="144" s="1"/>
  <c r="J35" i="144" s="1"/>
  <c r="AC32" i="144"/>
  <c r="U32" i="144"/>
  <c r="I32" i="144"/>
  <c r="J32" i="144" s="1"/>
  <c r="AC30" i="144"/>
  <c r="U30" i="144"/>
  <c r="I30" i="144"/>
  <c r="J30" i="144" s="1"/>
  <c r="Q27" i="144"/>
  <c r="H27" i="144"/>
  <c r="G27" i="144"/>
  <c r="AC26" i="144"/>
  <c r="Q25" i="144"/>
  <c r="U20" i="144"/>
  <c r="I20" i="144"/>
  <c r="J20" i="144" s="1"/>
  <c r="AC19" i="144"/>
  <c r="U19" i="144"/>
  <c r="I19" i="144"/>
  <c r="J19" i="144" s="1"/>
  <c r="AC18" i="144"/>
  <c r="U18" i="144"/>
  <c r="AC17" i="144"/>
  <c r="U17" i="144"/>
  <c r="D17" i="144"/>
  <c r="I17" i="144" s="1"/>
  <c r="J17" i="144" s="1"/>
  <c r="R16" i="144"/>
  <c r="U16" i="144" s="1"/>
  <c r="I16" i="144"/>
  <c r="J16" i="144" s="1"/>
  <c r="U14" i="144"/>
  <c r="I14" i="144"/>
  <c r="J14" i="144" s="1"/>
  <c r="AC12" i="144"/>
  <c r="U12" i="144"/>
  <c r="V12" i="144" s="1"/>
  <c r="I12" i="144"/>
  <c r="J12" i="144"/>
  <c r="P11" i="144"/>
  <c r="O11" i="144"/>
  <c r="G11" i="144"/>
  <c r="I11" i="144" s="1"/>
  <c r="J11" i="144"/>
  <c r="AC10" i="144"/>
  <c r="S10" i="144"/>
  <c r="U10" i="144"/>
  <c r="AD10" i="144" s="1"/>
  <c r="AE10" i="144" s="1"/>
  <c r="D10" i="144"/>
  <c r="I10" i="144"/>
  <c r="J10" i="144" s="1"/>
  <c r="AC9" i="144"/>
  <c r="R9" i="144"/>
  <c r="U9" i="144" s="1"/>
  <c r="I9" i="144"/>
  <c r="J9" i="144" s="1"/>
  <c r="S71" i="144"/>
  <c r="R71" i="144"/>
  <c r="O71" i="144"/>
  <c r="D71" i="144"/>
  <c r="U7" i="144"/>
  <c r="V7" i="144" s="1"/>
  <c r="U6" i="144"/>
  <c r="V6" i="144" s="1"/>
  <c r="I6" i="144"/>
  <c r="J6" i="144"/>
  <c r="K20" i="3"/>
  <c r="H17" i="109"/>
  <c r="K13" i="3" s="1"/>
  <c r="H12" i="129"/>
  <c r="H19" i="129" s="1"/>
  <c r="K46" i="3" s="1"/>
  <c r="H17" i="129"/>
  <c r="K51" i="3"/>
  <c r="K62" i="3"/>
  <c r="K65" i="3"/>
  <c r="K66" i="3"/>
  <c r="I40" i="71"/>
  <c r="K31" i="144" s="1"/>
  <c r="I7" i="144"/>
  <c r="J7" i="144"/>
  <c r="AC6" i="144"/>
  <c r="AC11" i="144"/>
  <c r="I18" i="144"/>
  <c r="J18" i="144" s="1"/>
  <c r="I38" i="144"/>
  <c r="J38" i="144" s="1"/>
  <c r="AC28" i="144"/>
  <c r="AC36" i="144"/>
  <c r="U65" i="144"/>
  <c r="AC20" i="144"/>
  <c r="AD20" i="144" s="1"/>
  <c r="AE20" i="144" s="1"/>
  <c r="I28" i="144"/>
  <c r="J28" i="144" s="1"/>
  <c r="U28" i="144"/>
  <c r="I51" i="144"/>
  <c r="J51" i="144" s="1"/>
  <c r="U59" i="144"/>
  <c r="I65" i="144"/>
  <c r="J65" i="144"/>
  <c r="U41" i="144"/>
  <c r="U61" i="144"/>
  <c r="I66" i="144"/>
  <c r="J66" i="144" s="1"/>
  <c r="AC16" i="144"/>
  <c r="AC47" i="144"/>
  <c r="I41" i="144"/>
  <c r="J41" i="144"/>
  <c r="AC7" i="144"/>
  <c r="AD7" i="144" s="1"/>
  <c r="AE7" i="144" s="1"/>
  <c r="AC14" i="144"/>
  <c r="I26" i="144"/>
  <c r="J26" i="144"/>
  <c r="U35" i="144"/>
  <c r="U69" i="144"/>
  <c r="AD69" i="144" s="1"/>
  <c r="K48" i="82"/>
  <c r="J46" i="82"/>
  <c r="J48" i="82"/>
  <c r="I48" i="82"/>
  <c r="H48" i="82"/>
  <c r="H13" i="78"/>
  <c r="I13" i="78"/>
  <c r="H20" i="78"/>
  <c r="I20" i="78"/>
  <c r="I22" i="78" s="1"/>
  <c r="K43" i="144" s="1"/>
  <c r="I46" i="76"/>
  <c r="H26" i="76"/>
  <c r="I26" i="76"/>
  <c r="K33" i="97"/>
  <c r="I33" i="97"/>
  <c r="H33" i="97"/>
  <c r="J31" i="97"/>
  <c r="J30" i="97"/>
  <c r="J33" i="97" s="1"/>
  <c r="I27" i="111"/>
  <c r="K15" i="144"/>
  <c r="K27" i="111"/>
  <c r="I44" i="111"/>
  <c r="K44" i="111"/>
  <c r="I57" i="111"/>
  <c r="K57" i="111"/>
  <c r="J48" i="54"/>
  <c r="I48" i="54"/>
  <c r="K24" i="54"/>
  <c r="W11" i="3"/>
  <c r="K11" i="3"/>
  <c r="F32" i="141"/>
  <c r="W42" i="3" s="1"/>
  <c r="G48" i="141"/>
  <c r="G50" i="141"/>
  <c r="AF42" i="144" s="1"/>
  <c r="F48" i="141"/>
  <c r="G21" i="141"/>
  <c r="K42" i="144" s="1"/>
  <c r="F21" i="141"/>
  <c r="K42" i="3"/>
  <c r="AF69" i="3"/>
  <c r="I34" i="140"/>
  <c r="I36" i="140" s="1"/>
  <c r="I28" i="140"/>
  <c r="W69" i="3"/>
  <c r="I18" i="140"/>
  <c r="K69" i="3"/>
  <c r="K67" i="3"/>
  <c r="Y66" i="3"/>
  <c r="I46" i="137"/>
  <c r="I48" i="137" s="1"/>
  <c r="I29" i="137"/>
  <c r="AF65" i="3"/>
  <c r="I15" i="137"/>
  <c r="I37" i="136"/>
  <c r="I28" i="136"/>
  <c r="I18" i="136"/>
  <c r="K63" i="3"/>
  <c r="AF63" i="3"/>
  <c r="I39" i="135"/>
  <c r="I27" i="135"/>
  <c r="I41" i="135" s="1"/>
  <c r="I14" i="135"/>
  <c r="K61" i="3"/>
  <c r="K59" i="3"/>
  <c r="I30" i="132"/>
  <c r="W55" i="144" s="1"/>
  <c r="I14" i="132"/>
  <c r="K55" i="144" s="1"/>
  <c r="H14" i="132"/>
  <c r="K55" i="3"/>
  <c r="I39" i="132"/>
  <c r="I41" i="132"/>
  <c r="AF55" i="144" s="1"/>
  <c r="H39" i="132"/>
  <c r="I20" i="131"/>
  <c r="I35" i="131"/>
  <c r="AF48" i="3"/>
  <c r="I29" i="131"/>
  <c r="W48" i="3"/>
  <c r="K48" i="3"/>
  <c r="K47" i="3"/>
  <c r="H28" i="129"/>
  <c r="I46" i="129"/>
  <c r="I48" i="129" s="1"/>
  <c r="AF46" i="144" s="1"/>
  <c r="H46" i="129"/>
  <c r="I35" i="129"/>
  <c r="H35" i="129"/>
  <c r="H37" i="129" s="1"/>
  <c r="I28" i="129"/>
  <c r="I17" i="129"/>
  <c r="I12" i="129"/>
  <c r="I19" i="129" s="1"/>
  <c r="K46" i="144" s="1"/>
  <c r="K45" i="3"/>
  <c r="I36" i="128"/>
  <c r="I29" i="128"/>
  <c r="I38" i="128" s="1"/>
  <c r="W45" i="3"/>
  <c r="I19" i="128"/>
  <c r="K40" i="3"/>
  <c r="W40" i="3"/>
  <c r="K38" i="3"/>
  <c r="W38" i="3"/>
  <c r="W36" i="3"/>
  <c r="K36" i="3"/>
  <c r="K35" i="3"/>
  <c r="K32" i="3"/>
  <c r="J39" i="135"/>
  <c r="J14" i="135"/>
  <c r="J27" i="135"/>
  <c r="J41" i="135" s="1"/>
  <c r="H41" i="132"/>
  <c r="AF55" i="3" s="1"/>
  <c r="I37" i="131"/>
  <c r="I37" i="129"/>
  <c r="W46" i="144" s="1"/>
  <c r="V46" i="144" s="1"/>
  <c r="W30" i="3"/>
  <c r="K30" i="3"/>
  <c r="I45" i="121"/>
  <c r="I47" i="121" s="1"/>
  <c r="I38" i="121"/>
  <c r="W28" i="3"/>
  <c r="I21" i="121"/>
  <c r="K28" i="3"/>
  <c r="H37" i="120"/>
  <c r="H39" i="120" s="1"/>
  <c r="AF27" i="3" s="1"/>
  <c r="I37" i="120"/>
  <c r="I39" i="120" s="1"/>
  <c r="AF27" i="144" s="1"/>
  <c r="I27" i="120"/>
  <c r="W27" i="144"/>
  <c r="I15" i="120"/>
  <c r="K27" i="144"/>
  <c r="H15" i="120"/>
  <c r="K27" i="3" s="1"/>
  <c r="K26" i="3"/>
  <c r="H16" i="118"/>
  <c r="K25" i="3" s="1"/>
  <c r="I35" i="118"/>
  <c r="W25" i="144" s="1"/>
  <c r="K35" i="118"/>
  <c r="H35" i="118"/>
  <c r="W25" i="3" s="1"/>
  <c r="I16" i="118"/>
  <c r="K25" i="144" s="1"/>
  <c r="K16" i="118"/>
  <c r="K46" i="118"/>
  <c r="K48" i="118" s="1"/>
  <c r="I46" i="118"/>
  <c r="I48" i="118" s="1"/>
  <c r="AF25" i="144" s="1"/>
  <c r="H46" i="118"/>
  <c r="I42" i="117"/>
  <c r="I25" i="117"/>
  <c r="H42" i="117"/>
  <c r="H25" i="117"/>
  <c r="W23" i="3"/>
  <c r="I15" i="117"/>
  <c r="K23" i="144"/>
  <c r="H15" i="117"/>
  <c r="K23" i="3" s="1"/>
  <c r="I28" i="116"/>
  <c r="W21" i="144" s="1"/>
  <c r="H28" i="116"/>
  <c r="W21" i="3"/>
  <c r="I42" i="116"/>
  <c r="I44" i="116"/>
  <c r="AF21" i="144" s="1"/>
  <c r="H42" i="116"/>
  <c r="H44" i="116"/>
  <c r="AF21" i="3" s="1"/>
  <c r="I14" i="116"/>
  <c r="K21" i="144"/>
  <c r="H14" i="116"/>
  <c r="K21" i="3"/>
  <c r="W19" i="3"/>
  <c r="K19" i="3"/>
  <c r="I30" i="114"/>
  <c r="I32" i="114" s="1"/>
  <c r="I21" i="114"/>
  <c r="I13" i="114"/>
  <c r="K18" i="3"/>
  <c r="K17" i="3"/>
  <c r="W16" i="3"/>
  <c r="K16" i="3"/>
  <c r="H57" i="111"/>
  <c r="H44" i="111"/>
  <c r="H27" i="111"/>
  <c r="K15" i="3"/>
  <c r="I54" i="110"/>
  <c r="I18" i="110"/>
  <c r="I23" i="110" s="1"/>
  <c r="I38" i="110"/>
  <c r="W14" i="144"/>
  <c r="W14" i="3"/>
  <c r="K14" i="3"/>
  <c r="I17" i="109"/>
  <c r="K13" i="144" s="1"/>
  <c r="AF13" i="144"/>
  <c r="W13" i="3"/>
  <c r="W12" i="3"/>
  <c r="K12" i="3"/>
  <c r="I42" i="107"/>
  <c r="I34" i="107"/>
  <c r="I29" i="107"/>
  <c r="I36" i="107" s="1"/>
  <c r="I44" i="107" s="1"/>
  <c r="I18" i="107"/>
  <c r="I12" i="107"/>
  <c r="I20" i="107" s="1"/>
  <c r="K10" i="3"/>
  <c r="AF19" i="3"/>
  <c r="AF16" i="3"/>
  <c r="I56" i="110"/>
  <c r="AF14" i="144"/>
  <c r="W13" i="144"/>
  <c r="W7" i="3"/>
  <c r="K7" i="3"/>
  <c r="I53" i="105"/>
  <c r="AF6" i="3"/>
  <c r="I40" i="105"/>
  <c r="W6" i="3"/>
  <c r="I19" i="105"/>
  <c r="K6" i="3"/>
  <c r="AF13" i="3"/>
  <c r="H24" i="99"/>
  <c r="H29" i="99" s="1"/>
  <c r="K39" i="3"/>
  <c r="J23" i="83"/>
  <c r="J41" i="104"/>
  <c r="J48" i="104"/>
  <c r="J50" i="104"/>
  <c r="J62" i="104" s="1"/>
  <c r="J60" i="104"/>
  <c r="L54" i="104"/>
  <c r="L60" i="104" s="1"/>
  <c r="L55" i="104"/>
  <c r="L56" i="104"/>
  <c r="L57" i="104"/>
  <c r="L58" i="104"/>
  <c r="L53" i="104"/>
  <c r="I41" i="104"/>
  <c r="I48" i="104"/>
  <c r="I50" i="104"/>
  <c r="I60" i="104"/>
  <c r="I62" i="104"/>
  <c r="K41" i="104"/>
  <c r="K48" i="104"/>
  <c r="K50" i="104"/>
  <c r="K62" i="104" s="1"/>
  <c r="K60" i="104"/>
  <c r="L33" i="104"/>
  <c r="L41" i="104" s="1"/>
  <c r="L34" i="104"/>
  <c r="L35" i="104"/>
  <c r="L36" i="104"/>
  <c r="L37" i="104"/>
  <c r="L39" i="104"/>
  <c r="L40" i="104"/>
  <c r="L44" i="104"/>
  <c r="L45" i="104"/>
  <c r="L46" i="104"/>
  <c r="L47" i="104"/>
  <c r="W51" i="3"/>
  <c r="I27" i="104"/>
  <c r="I18" i="104"/>
  <c r="I14" i="104"/>
  <c r="I29" i="104"/>
  <c r="J27" i="104"/>
  <c r="J18" i="104"/>
  <c r="J14" i="104"/>
  <c r="K27" i="104"/>
  <c r="K18" i="104"/>
  <c r="K14" i="104"/>
  <c r="K29" i="104" s="1"/>
  <c r="L25" i="104"/>
  <c r="L27" i="104" s="1"/>
  <c r="L26" i="104"/>
  <c r="L17" i="104"/>
  <c r="L18" i="104" s="1"/>
  <c r="L8" i="104"/>
  <c r="L9" i="104"/>
  <c r="L10" i="104"/>
  <c r="L11" i="104"/>
  <c r="L12" i="104"/>
  <c r="L13" i="104"/>
  <c r="K43" i="82"/>
  <c r="G51" i="103"/>
  <c r="G41" i="103"/>
  <c r="G53" i="103" s="1"/>
  <c r="AF49" i="144" s="1"/>
  <c r="F41" i="103"/>
  <c r="F51" i="103"/>
  <c r="G26" i="103"/>
  <c r="K49" i="144" s="1"/>
  <c r="F26" i="103"/>
  <c r="K49" i="3" s="1"/>
  <c r="J29" i="102"/>
  <c r="J44" i="102" s="1"/>
  <c r="I29" i="102"/>
  <c r="G19" i="102"/>
  <c r="K44" i="144"/>
  <c r="I19" i="102"/>
  <c r="J19" i="102"/>
  <c r="F19" i="102"/>
  <c r="K44" i="3" s="1"/>
  <c r="I45" i="78"/>
  <c r="I47" i="78" s="1"/>
  <c r="W43" i="144" s="1"/>
  <c r="I36" i="78"/>
  <c r="H45" i="78"/>
  <c r="G29" i="102"/>
  <c r="F29" i="102"/>
  <c r="W44" i="3" s="1"/>
  <c r="J42" i="102"/>
  <c r="I42" i="102"/>
  <c r="I44" i="102" s="1"/>
  <c r="G42" i="102"/>
  <c r="F42" i="102"/>
  <c r="H37" i="86"/>
  <c r="W57" i="3" s="1"/>
  <c r="H52" i="85"/>
  <c r="H60" i="85"/>
  <c r="H62" i="85" s="1"/>
  <c r="H73" i="85" s="1"/>
  <c r="AF56" i="3" s="1"/>
  <c r="J38" i="85"/>
  <c r="I16" i="85"/>
  <c r="I34" i="85"/>
  <c r="H16" i="85"/>
  <c r="H34" i="85"/>
  <c r="H36" i="85" s="1"/>
  <c r="H48" i="92"/>
  <c r="H35" i="92"/>
  <c r="I48" i="92"/>
  <c r="I35" i="92"/>
  <c r="H23" i="92"/>
  <c r="K64" i="3" s="1"/>
  <c r="H62" i="88"/>
  <c r="H64" i="88" s="1"/>
  <c r="H42" i="88"/>
  <c r="W60" i="3" s="1"/>
  <c r="I62" i="88"/>
  <c r="I64" i="88" s="1"/>
  <c r="AF60" i="144" s="1"/>
  <c r="I42" i="88"/>
  <c r="W60" i="144"/>
  <c r="K62" i="88"/>
  <c r="K64" i="88" s="1"/>
  <c r="K42" i="88"/>
  <c r="H26" i="88"/>
  <c r="K60" i="3"/>
  <c r="W58" i="3"/>
  <c r="I42" i="87"/>
  <c r="I27" i="87"/>
  <c r="K58" i="3"/>
  <c r="H54" i="86"/>
  <c r="I37" i="86"/>
  <c r="W57" i="144" s="1"/>
  <c r="I54" i="86"/>
  <c r="I56" i="86"/>
  <c r="AF57" i="144" s="1"/>
  <c r="L29" i="86"/>
  <c r="L30" i="86"/>
  <c r="L31" i="86"/>
  <c r="L32" i="86"/>
  <c r="L35" i="86"/>
  <c r="L40" i="86"/>
  <c r="L41" i="86"/>
  <c r="L42" i="86"/>
  <c r="L43" i="86"/>
  <c r="L44" i="86"/>
  <c r="L47" i="86"/>
  <c r="L48" i="86"/>
  <c r="L49" i="86"/>
  <c r="L50" i="86"/>
  <c r="L51" i="86"/>
  <c r="L52" i="86"/>
  <c r="K37" i="86"/>
  <c r="K56" i="86" s="1"/>
  <c r="K54" i="86"/>
  <c r="L27" i="86"/>
  <c r="L37" i="86" s="1"/>
  <c r="L28" i="86"/>
  <c r="L33" i="86"/>
  <c r="L34" i="86"/>
  <c r="L45" i="86"/>
  <c r="L54" i="86" s="1"/>
  <c r="L46" i="86"/>
  <c r="I22" i="85"/>
  <c r="J21" i="85"/>
  <c r="J22" i="86"/>
  <c r="J24" i="86" s="1"/>
  <c r="I32" i="87"/>
  <c r="I15" i="87"/>
  <c r="J28" i="88"/>
  <c r="H36" i="69"/>
  <c r="W29" i="3" s="1"/>
  <c r="H55" i="69"/>
  <c r="H92" i="71"/>
  <c r="H65" i="71"/>
  <c r="H71" i="71"/>
  <c r="H73" i="71" s="1"/>
  <c r="H94" i="71" s="1"/>
  <c r="AF31" i="3" s="1"/>
  <c r="H52" i="72"/>
  <c r="W33" i="3"/>
  <c r="H62" i="72"/>
  <c r="H41" i="73"/>
  <c r="H32" i="73"/>
  <c r="H43" i="73" s="1"/>
  <c r="AF34" i="3" s="1"/>
  <c r="W34" i="3"/>
  <c r="H41" i="99"/>
  <c r="W37" i="3"/>
  <c r="H52" i="99"/>
  <c r="H36" i="78"/>
  <c r="H47" i="78"/>
  <c r="H56" i="78" s="1"/>
  <c r="AF43" i="3" s="1"/>
  <c r="H54" i="78"/>
  <c r="H60" i="82"/>
  <c r="H43" i="82"/>
  <c r="H62" i="82" s="1"/>
  <c r="AF50" i="3"/>
  <c r="W52" i="3"/>
  <c r="AF52" i="3"/>
  <c r="G35" i="101"/>
  <c r="W53" i="3" s="1"/>
  <c r="G47" i="101"/>
  <c r="H71" i="85"/>
  <c r="H19" i="86"/>
  <c r="K57" i="3"/>
  <c r="H33" i="72"/>
  <c r="K33" i="3" s="1"/>
  <c r="H16" i="73"/>
  <c r="K34" i="3" s="1"/>
  <c r="K37" i="3"/>
  <c r="K41" i="3"/>
  <c r="H25" i="82"/>
  <c r="K50" i="3"/>
  <c r="G23" i="83"/>
  <c r="K52" i="3" s="1"/>
  <c r="G22" i="101"/>
  <c r="K53" i="3" s="1"/>
  <c r="K54" i="3"/>
  <c r="I21" i="73"/>
  <c r="J19" i="73"/>
  <c r="J21" i="73"/>
  <c r="K21" i="73"/>
  <c r="H21" i="73"/>
  <c r="I45" i="71"/>
  <c r="J43" i="71"/>
  <c r="J45" i="71"/>
  <c r="K45" i="71"/>
  <c r="H45" i="71"/>
  <c r="I36" i="69"/>
  <c r="W29" i="144" s="1"/>
  <c r="I55" i="69"/>
  <c r="K36" i="69"/>
  <c r="K55" i="69"/>
  <c r="K57" i="69"/>
  <c r="L36" i="69"/>
  <c r="L55" i="69"/>
  <c r="L57" i="69"/>
  <c r="H22" i="69"/>
  <c r="K29" i="3" s="1"/>
  <c r="R71" i="3"/>
  <c r="I42" i="54"/>
  <c r="H46" i="97"/>
  <c r="W22" i="3" s="1"/>
  <c r="H60" i="97"/>
  <c r="H27" i="97"/>
  <c r="K22" i="3"/>
  <c r="K60" i="97"/>
  <c r="K46" i="97"/>
  <c r="K62" i="97"/>
  <c r="I60" i="97"/>
  <c r="K27" i="97"/>
  <c r="I27" i="97"/>
  <c r="K22" i="144" s="1"/>
  <c r="J47" i="101"/>
  <c r="H47" i="101"/>
  <c r="J35" i="101"/>
  <c r="J49" i="101"/>
  <c r="H35" i="101"/>
  <c r="H49" i="101" s="1"/>
  <c r="AF53" i="144" s="1"/>
  <c r="W53" i="144"/>
  <c r="J22" i="101"/>
  <c r="H22" i="101"/>
  <c r="K53" i="144"/>
  <c r="I24" i="99"/>
  <c r="J27" i="99"/>
  <c r="I52" i="99"/>
  <c r="I41" i="99"/>
  <c r="W37" i="144"/>
  <c r="I54" i="99"/>
  <c r="AF37" i="144" s="1"/>
  <c r="I23" i="92"/>
  <c r="K64" i="144" s="1"/>
  <c r="J64" i="144" s="1"/>
  <c r="I26" i="88"/>
  <c r="K60" i="144"/>
  <c r="K26" i="88"/>
  <c r="Y58" i="3"/>
  <c r="K24" i="86"/>
  <c r="I24" i="86"/>
  <c r="H24" i="86"/>
  <c r="K19" i="86"/>
  <c r="I19" i="86"/>
  <c r="K57" i="144" s="1"/>
  <c r="L16" i="86"/>
  <c r="L17" i="86"/>
  <c r="L15" i="86"/>
  <c r="L14" i="86"/>
  <c r="L13" i="86"/>
  <c r="L12" i="86"/>
  <c r="L11" i="86"/>
  <c r="L10" i="86"/>
  <c r="L9" i="86"/>
  <c r="L8" i="86"/>
  <c r="L7" i="86"/>
  <c r="I60" i="85"/>
  <c r="I62" i="85" s="1"/>
  <c r="I52" i="85"/>
  <c r="I71" i="85"/>
  <c r="I73" i="85" s="1"/>
  <c r="AF56" i="144" s="1"/>
  <c r="I50" i="84"/>
  <c r="I34" i="84"/>
  <c r="I40" i="84"/>
  <c r="I42" i="84" s="1"/>
  <c r="I52" i="84" s="1"/>
  <c r="J46" i="84"/>
  <c r="J37" i="84"/>
  <c r="J38" i="84"/>
  <c r="J31" i="84"/>
  <c r="J30" i="84"/>
  <c r="J29" i="84"/>
  <c r="J28" i="84"/>
  <c r="J24" i="84"/>
  <c r="J25" i="84"/>
  <c r="J26" i="84"/>
  <c r="J27" i="84"/>
  <c r="J32" i="84"/>
  <c r="J40" i="84"/>
  <c r="J18" i="84"/>
  <c r="I15" i="84"/>
  <c r="I20" i="84" s="1"/>
  <c r="J48" i="84"/>
  <c r="J47" i="84"/>
  <c r="J45" i="84"/>
  <c r="J50" i="84"/>
  <c r="J13" i="84"/>
  <c r="J12" i="84"/>
  <c r="J15" i="84" s="1"/>
  <c r="J20" i="84" s="1"/>
  <c r="J11" i="84"/>
  <c r="J10" i="84"/>
  <c r="J9" i="84"/>
  <c r="J8" i="84"/>
  <c r="J7" i="84"/>
  <c r="H23" i="83"/>
  <c r="K52" i="144" s="1"/>
  <c r="W52" i="144"/>
  <c r="K25" i="82"/>
  <c r="K60" i="82"/>
  <c r="K62" i="82" s="1"/>
  <c r="I60" i="82"/>
  <c r="I62" i="82" s="1"/>
  <c r="AF50" i="144" s="1"/>
  <c r="I43" i="82"/>
  <c r="W50" i="144"/>
  <c r="I25" i="82"/>
  <c r="K50" i="144" s="1"/>
  <c r="I54" i="78"/>
  <c r="I56" i="78" s="1"/>
  <c r="AF43" i="144" s="1"/>
  <c r="I55" i="76"/>
  <c r="I41" i="76"/>
  <c r="I57" i="76"/>
  <c r="I21" i="76"/>
  <c r="K32" i="73"/>
  <c r="I32" i="73"/>
  <c r="W34" i="144" s="1"/>
  <c r="K16" i="73"/>
  <c r="I16" i="73"/>
  <c r="K34" i="144" s="1"/>
  <c r="K41" i="73"/>
  <c r="K43" i="73" s="1"/>
  <c r="I41" i="73"/>
  <c r="I43" i="73" s="1"/>
  <c r="AF34" i="144" s="1"/>
  <c r="K52" i="72"/>
  <c r="I52" i="72"/>
  <c r="W33" i="144"/>
  <c r="I62" i="72"/>
  <c r="I64" i="72" s="1"/>
  <c r="AF33" i="144"/>
  <c r="K62" i="72"/>
  <c r="K64" i="72"/>
  <c r="I33" i="72"/>
  <c r="K33" i="144" s="1"/>
  <c r="K33" i="72"/>
  <c r="K92" i="71"/>
  <c r="K65" i="71"/>
  <c r="K29" i="71"/>
  <c r="K40" i="71" s="1"/>
  <c r="K71" i="71"/>
  <c r="I92" i="71"/>
  <c r="H29" i="71"/>
  <c r="K22" i="69"/>
  <c r="I22" i="69"/>
  <c r="K29" i="144" s="1"/>
  <c r="L22" i="69"/>
  <c r="K9" i="3"/>
  <c r="I31" i="56"/>
  <c r="I25" i="56"/>
  <c r="W9" i="3"/>
  <c r="I13" i="56"/>
  <c r="P71" i="3"/>
  <c r="F71" i="3"/>
  <c r="M59" i="54"/>
  <c r="M61" i="54" s="1"/>
  <c r="L59" i="54"/>
  <c r="J59" i="54"/>
  <c r="J61" i="54" s="1"/>
  <c r="M42" i="54"/>
  <c r="M21" i="54"/>
  <c r="M26" i="54"/>
  <c r="J21" i="54"/>
  <c r="K8" i="144" s="1"/>
  <c r="I59" i="54"/>
  <c r="L42" i="54"/>
  <c r="L61" i="54" s="1"/>
  <c r="L21" i="54"/>
  <c r="L26" i="54"/>
  <c r="I21" i="54"/>
  <c r="K8" i="3" s="1"/>
  <c r="N71" i="3"/>
  <c r="X71" i="3"/>
  <c r="I26" i="54"/>
  <c r="AF51" i="3"/>
  <c r="L22" i="86"/>
  <c r="L24" i="86"/>
  <c r="I73" i="71"/>
  <c r="W31" i="144" s="1"/>
  <c r="I94" i="71"/>
  <c r="AF31" i="144" s="1"/>
  <c r="K73" i="71"/>
  <c r="K94" i="71" s="1"/>
  <c r="H40" i="71"/>
  <c r="K31" i="3" s="1"/>
  <c r="W56" i="144"/>
  <c r="W43" i="3"/>
  <c r="W54" i="3"/>
  <c r="L19" i="86"/>
  <c r="AF52" i="144"/>
  <c r="H62" i="97"/>
  <c r="AF22" i="3" s="1"/>
  <c r="I50" i="92"/>
  <c r="AF64" i="144" s="1"/>
  <c r="W61" i="3"/>
  <c r="I44" i="87"/>
  <c r="V35" i="144"/>
  <c r="AD35" i="144"/>
  <c r="F53" i="103"/>
  <c r="AF49" i="3" s="1"/>
  <c r="W49" i="3"/>
  <c r="J29" i="104"/>
  <c r="J26" i="54"/>
  <c r="I61" i="54"/>
  <c r="AF8" i="3" s="1"/>
  <c r="W8" i="3"/>
  <c r="I57" i="69"/>
  <c r="AF29" i="144" s="1"/>
  <c r="G49" i="101"/>
  <c r="AF53" i="3" s="1"/>
  <c r="AF58" i="3"/>
  <c r="G44" i="102"/>
  <c r="AF44" i="144" s="1"/>
  <c r="W44" i="144"/>
  <c r="I55" i="105"/>
  <c r="I39" i="136"/>
  <c r="W20" i="3"/>
  <c r="J11" i="3"/>
  <c r="W41" i="3"/>
  <c r="I36" i="85"/>
  <c r="W35" i="3"/>
  <c r="I62" i="97"/>
  <c r="AF22" i="144"/>
  <c r="H54" i="99"/>
  <c r="AF37" i="3"/>
  <c r="H64" i="72"/>
  <c r="AF33" i="3" s="1"/>
  <c r="H57" i="69"/>
  <c r="AF29" i="3" s="1"/>
  <c r="W17" i="3"/>
  <c r="V17" i="3" s="1"/>
  <c r="AF17" i="3"/>
  <c r="H44" i="117"/>
  <c r="AF23" i="3" s="1"/>
  <c r="W26" i="3"/>
  <c r="AF26" i="3"/>
  <c r="V20" i="144"/>
  <c r="V38" i="144"/>
  <c r="AD38" i="144"/>
  <c r="W59" i="3"/>
  <c r="W15" i="3"/>
  <c r="W18" i="3"/>
  <c r="W39" i="3"/>
  <c r="W62" i="3"/>
  <c r="W65" i="3"/>
  <c r="W66" i="3"/>
  <c r="K59" i="111"/>
  <c r="V59" i="144"/>
  <c r="AD59" i="144"/>
  <c r="AE59" i="144" s="1"/>
  <c r="AD12" i="144"/>
  <c r="AE12" i="144" s="1"/>
  <c r="AD19" i="144"/>
  <c r="AE19" i="144" s="1"/>
  <c r="V19" i="144"/>
  <c r="I34" i="3"/>
  <c r="U27" i="3"/>
  <c r="AC17" i="3"/>
  <c r="AD17" i="3"/>
  <c r="AF60" i="3"/>
  <c r="H23" i="110"/>
  <c r="H59" i="111"/>
  <c r="AF15" i="3" s="1"/>
  <c r="H48" i="118"/>
  <c r="AF25" i="3"/>
  <c r="V61" i="144"/>
  <c r="AD61" i="144"/>
  <c r="AE61" i="144" s="1"/>
  <c r="AD6" i="144"/>
  <c r="AE6" i="144" s="1"/>
  <c r="AD18" i="144"/>
  <c r="AE18" i="144"/>
  <c r="V18" i="144"/>
  <c r="V32" i="144"/>
  <c r="AD32" i="144"/>
  <c r="AE32" i="144" s="1"/>
  <c r="V58" i="144"/>
  <c r="AD58" i="144"/>
  <c r="I69" i="3"/>
  <c r="J69" i="3" s="1"/>
  <c r="AF62" i="3"/>
  <c r="AF67" i="3"/>
  <c r="V69" i="144"/>
  <c r="AE69" i="144"/>
  <c r="V41" i="144"/>
  <c r="AD41" i="144"/>
  <c r="AE41" i="144"/>
  <c r="V28" i="144"/>
  <c r="AD28" i="144"/>
  <c r="AE28" i="144"/>
  <c r="V65" i="144"/>
  <c r="AD65" i="144"/>
  <c r="AE65" i="144" s="1"/>
  <c r="I39" i="3"/>
  <c r="I16" i="3"/>
  <c r="J16" i="3" s="1"/>
  <c r="U59" i="3"/>
  <c r="AC57" i="3"/>
  <c r="U23" i="3"/>
  <c r="V48" i="144"/>
  <c r="AD48" i="144"/>
  <c r="AE48" i="144" s="1"/>
  <c r="AF24" i="3"/>
  <c r="H49" i="146"/>
  <c r="AF68" i="3"/>
  <c r="V30" i="144"/>
  <c r="AD30" i="144"/>
  <c r="AE30" i="144" s="1"/>
  <c r="V36" i="144"/>
  <c r="AD36" i="144"/>
  <c r="AE36" i="144" s="1"/>
  <c r="V39" i="144"/>
  <c r="AD39" i="144"/>
  <c r="AE39" i="144" s="1"/>
  <c r="AD40" i="144"/>
  <c r="AE40" i="144" s="1"/>
  <c r="V64" i="144"/>
  <c r="AD64" i="144"/>
  <c r="I49" i="3"/>
  <c r="J49" i="3" s="1"/>
  <c r="I31" i="3"/>
  <c r="J31" i="3" s="1"/>
  <c r="I22" i="3"/>
  <c r="J22" i="3" s="1"/>
  <c r="AC58" i="3"/>
  <c r="U53" i="3"/>
  <c r="U49" i="3"/>
  <c r="AC47" i="3"/>
  <c r="AD47" i="3" s="1"/>
  <c r="AC43" i="3"/>
  <c r="AC39" i="3"/>
  <c r="AC36" i="3"/>
  <c r="AC25" i="3"/>
  <c r="AC12" i="3"/>
  <c r="U10" i="3"/>
  <c r="AC6" i="3"/>
  <c r="AC21" i="144"/>
  <c r="V51" i="144"/>
  <c r="AC55" i="144"/>
  <c r="AD17" i="144"/>
  <c r="AE17" i="144"/>
  <c r="AE35" i="144"/>
  <c r="V63" i="144"/>
  <c r="U69" i="3"/>
  <c r="AC40" i="3"/>
  <c r="AC35" i="3"/>
  <c r="AC32" i="3"/>
  <c r="U12" i="3"/>
  <c r="AF8" i="144"/>
  <c r="W8" i="144"/>
  <c r="AC34" i="144"/>
  <c r="V47" i="144"/>
  <c r="AD47" i="144"/>
  <c r="U24" i="3"/>
  <c r="V24" i="144"/>
  <c r="AD24" i="144"/>
  <c r="AE24" i="144" s="1"/>
  <c r="U68" i="3"/>
  <c r="V27" i="3"/>
  <c r="AC16" i="3"/>
  <c r="U14" i="3"/>
  <c r="AC8" i="3"/>
  <c r="I57" i="144"/>
  <c r="AC25" i="144"/>
  <c r="AC31" i="144"/>
  <c r="AC68" i="144"/>
  <c r="U26" i="144"/>
  <c r="AD26" i="144" s="1"/>
  <c r="AE26" i="144" s="1"/>
  <c r="U68" i="144"/>
  <c r="I60" i="144"/>
  <c r="J60" i="144" s="1"/>
  <c r="U50" i="144"/>
  <c r="V50" i="144"/>
  <c r="U53" i="144"/>
  <c r="AC57" i="144"/>
  <c r="V45" i="144"/>
  <c r="AE38" i="144"/>
  <c r="V17" i="144"/>
  <c r="U15" i="144"/>
  <c r="I21" i="144"/>
  <c r="J21" i="144" s="1"/>
  <c r="U23" i="144"/>
  <c r="U27" i="144"/>
  <c r="I29" i="144"/>
  <c r="J29" i="144"/>
  <c r="AC29" i="144"/>
  <c r="U34" i="144"/>
  <c r="AC37" i="144"/>
  <c r="AC42" i="144"/>
  <c r="U43" i="144"/>
  <c r="I46" i="144"/>
  <c r="J46" i="144" s="1"/>
  <c r="AE47" i="144"/>
  <c r="AE58" i="144"/>
  <c r="I55" i="144"/>
  <c r="J55" i="144"/>
  <c r="U11" i="144"/>
  <c r="AC23" i="144"/>
  <c r="I33" i="144"/>
  <c r="I34" i="144"/>
  <c r="J34" i="144" s="1"/>
  <c r="I42" i="144"/>
  <c r="AC43" i="144"/>
  <c r="AC46" i="144"/>
  <c r="U33" i="144"/>
  <c r="I43" i="144"/>
  <c r="J43" i="144"/>
  <c r="AC44" i="144"/>
  <c r="V16" i="144"/>
  <c r="I13" i="144"/>
  <c r="J13" i="144"/>
  <c r="U13" i="144"/>
  <c r="I15" i="144"/>
  <c r="J15" i="144"/>
  <c r="Z71" i="144"/>
  <c r="U21" i="144"/>
  <c r="I22" i="144"/>
  <c r="J22" i="144"/>
  <c r="U22" i="144"/>
  <c r="V22" i="144" s="1"/>
  <c r="I23" i="144"/>
  <c r="I27" i="144"/>
  <c r="J27" i="144" s="1"/>
  <c r="AC27" i="144"/>
  <c r="U29" i="144"/>
  <c r="I31" i="144"/>
  <c r="I52" i="144"/>
  <c r="J52" i="144" s="1"/>
  <c r="U52" i="144"/>
  <c r="V52" i="144" s="1"/>
  <c r="U8" i="144"/>
  <c r="AD8" i="144" s="1"/>
  <c r="AB71" i="144"/>
  <c r="I68" i="144"/>
  <c r="J68" i="144" s="1"/>
  <c r="AC22" i="144"/>
  <c r="AC49" i="144"/>
  <c r="I50" i="144"/>
  <c r="J50" i="144" s="1"/>
  <c r="I53" i="144"/>
  <c r="J53" i="144"/>
  <c r="AC56" i="144"/>
  <c r="AA71" i="144"/>
  <c r="U37" i="144"/>
  <c r="U67" i="144"/>
  <c r="V67" i="144" s="1"/>
  <c r="AC50" i="144"/>
  <c r="AC52" i="144"/>
  <c r="AC53" i="144"/>
  <c r="U55" i="144"/>
  <c r="U56" i="144"/>
  <c r="U57" i="144"/>
  <c r="AD57" i="144" s="1"/>
  <c r="AE57" i="144" s="1"/>
  <c r="U60" i="144"/>
  <c r="AC60" i="144"/>
  <c r="I40" i="144"/>
  <c r="J40" i="144" s="1"/>
  <c r="U25" i="144"/>
  <c r="AD25" i="144"/>
  <c r="AE25" i="144" s="1"/>
  <c r="V10" i="144"/>
  <c r="U31" i="144"/>
  <c r="I56" i="144"/>
  <c r="AC15" i="144"/>
  <c r="V54" i="144"/>
  <c r="AC13" i="144"/>
  <c r="I25" i="144"/>
  <c r="J25" i="144" s="1"/>
  <c r="I37" i="144"/>
  <c r="I44" i="144"/>
  <c r="J44" i="144"/>
  <c r="U49" i="144"/>
  <c r="AC33" i="144"/>
  <c r="AD33" i="144" s="1"/>
  <c r="AE33" i="144" s="1"/>
  <c r="U42" i="144"/>
  <c r="I49" i="144"/>
  <c r="J49" i="144"/>
  <c r="V68" i="144"/>
  <c r="I8" i="144"/>
  <c r="I47" i="3"/>
  <c r="J47" i="3" s="1"/>
  <c r="I42" i="3"/>
  <c r="J42" i="3"/>
  <c r="I41" i="3"/>
  <c r="J41" i="3"/>
  <c r="AC67" i="3"/>
  <c r="AC62" i="3"/>
  <c r="U58" i="3"/>
  <c r="U57" i="3"/>
  <c r="U56" i="3"/>
  <c r="AC55" i="3"/>
  <c r="U51" i="3"/>
  <c r="U50" i="3"/>
  <c r="I46" i="3"/>
  <c r="J46" i="3" s="1"/>
  <c r="I45" i="3"/>
  <c r="J45" i="3"/>
  <c r="I25" i="3"/>
  <c r="J25" i="3"/>
  <c r="U61" i="3"/>
  <c r="V61" i="3" s="1"/>
  <c r="U52" i="3"/>
  <c r="U48" i="3"/>
  <c r="U39" i="3"/>
  <c r="AC27" i="3"/>
  <c r="AD27" i="3"/>
  <c r="AE27" i="3"/>
  <c r="U16" i="3"/>
  <c r="V16" i="3" s="1"/>
  <c r="AC9" i="3"/>
  <c r="I53" i="3"/>
  <c r="I30" i="3"/>
  <c r="J30" i="3"/>
  <c r="U55" i="3"/>
  <c r="AD55" i="3" s="1"/>
  <c r="AE55" i="3" s="1"/>
  <c r="U44" i="3"/>
  <c r="U29" i="3"/>
  <c r="V29" i="3" s="1"/>
  <c r="U28" i="3"/>
  <c r="U26" i="3"/>
  <c r="I64" i="3"/>
  <c r="I68" i="3"/>
  <c r="J68" i="3" s="1"/>
  <c r="I67" i="3"/>
  <c r="J67" i="3"/>
  <c r="AC52" i="3"/>
  <c r="U41" i="3"/>
  <c r="V41" i="3" s="1"/>
  <c r="I62" i="3"/>
  <c r="J62" i="3" s="1"/>
  <c r="I38" i="3"/>
  <c r="J38" i="3"/>
  <c r="I29" i="3"/>
  <c r="J29" i="3"/>
  <c r="I26" i="3"/>
  <c r="I9" i="3"/>
  <c r="J9" i="3"/>
  <c r="I8" i="3"/>
  <c r="U67" i="3"/>
  <c r="AD67" i="3" s="1"/>
  <c r="AC46" i="3"/>
  <c r="U32" i="3"/>
  <c r="AC22" i="3"/>
  <c r="I61" i="3"/>
  <c r="J61" i="3" s="1"/>
  <c r="AA71" i="3"/>
  <c r="I58" i="3"/>
  <c r="J58" i="3"/>
  <c r="I37" i="3"/>
  <c r="J37" i="3" s="1"/>
  <c r="U65" i="3"/>
  <c r="AC53" i="3"/>
  <c r="U34" i="3"/>
  <c r="U31" i="3"/>
  <c r="AC20" i="3"/>
  <c r="AC10" i="3"/>
  <c r="I66" i="3"/>
  <c r="J66" i="3" s="1"/>
  <c r="I33" i="3"/>
  <c r="I15" i="3"/>
  <c r="J15" i="3"/>
  <c r="AC49" i="3"/>
  <c r="AD49" i="3" s="1"/>
  <c r="AE49" i="3" s="1"/>
  <c r="AC38" i="3"/>
  <c r="U33" i="3"/>
  <c r="AC21" i="3"/>
  <c r="AC14" i="3"/>
  <c r="AB71" i="3"/>
  <c r="M71" i="3"/>
  <c r="U8" i="3"/>
  <c r="I56" i="3"/>
  <c r="J39" i="3"/>
  <c r="I18" i="3"/>
  <c r="J18" i="3"/>
  <c r="U66" i="3"/>
  <c r="V66" i="3" s="1"/>
  <c r="AC54" i="3"/>
  <c r="AC45" i="3"/>
  <c r="U35" i="3"/>
  <c r="U25" i="3"/>
  <c r="V25" i="3" s="1"/>
  <c r="AC19" i="3"/>
  <c r="AC15" i="3"/>
  <c r="AC13" i="3"/>
  <c r="U7" i="3"/>
  <c r="V7" i="3" s="1"/>
  <c r="I65" i="3"/>
  <c r="J65" i="3" s="1"/>
  <c r="J53" i="3"/>
  <c r="I32" i="3"/>
  <c r="J32" i="3" s="1"/>
  <c r="I13" i="3"/>
  <c r="V67" i="3"/>
  <c r="U63" i="3"/>
  <c r="V63" i="3" s="1"/>
  <c r="U60" i="3"/>
  <c r="AC56" i="3"/>
  <c r="U40" i="3"/>
  <c r="U37" i="3"/>
  <c r="U30" i="3"/>
  <c r="V30" i="3" s="1"/>
  <c r="AC26" i="3"/>
  <c r="AC11" i="3"/>
  <c r="U6" i="3"/>
  <c r="V6" i="3" s="1"/>
  <c r="U64" i="3"/>
  <c r="I43" i="3"/>
  <c r="I36" i="3"/>
  <c r="J36" i="3"/>
  <c r="J26" i="3"/>
  <c r="I10" i="3"/>
  <c r="J10" i="3" s="1"/>
  <c r="I7" i="3"/>
  <c r="J7" i="3"/>
  <c r="U22" i="3"/>
  <c r="U18" i="3"/>
  <c r="AC7" i="3"/>
  <c r="I48" i="3"/>
  <c r="J48" i="3"/>
  <c r="J12" i="3"/>
  <c r="AC66" i="3"/>
  <c r="AC48" i="3"/>
  <c r="AD48" i="3" s="1"/>
  <c r="AE48" i="3" s="1"/>
  <c r="U46" i="3"/>
  <c r="AC42" i="3"/>
  <c r="AC34" i="3"/>
  <c r="U20" i="3"/>
  <c r="V20" i="3" s="1"/>
  <c r="I52" i="3"/>
  <c r="J52" i="3" s="1"/>
  <c r="I35" i="3"/>
  <c r="J35" i="3" s="1"/>
  <c r="I23" i="3"/>
  <c r="J23" i="3"/>
  <c r="AC65" i="3"/>
  <c r="AD65" i="3" s="1"/>
  <c r="AE65" i="3" s="1"/>
  <c r="AC59" i="3"/>
  <c r="AD59" i="3" s="1"/>
  <c r="U54" i="3"/>
  <c r="V47" i="3"/>
  <c r="U45" i="3"/>
  <c r="V45" i="3" s="1"/>
  <c r="U43" i="3"/>
  <c r="AC33" i="3"/>
  <c r="AC31" i="3"/>
  <c r="U21" i="3"/>
  <c r="U19" i="3"/>
  <c r="V19" i="3" s="1"/>
  <c r="U15" i="3"/>
  <c r="U11" i="3"/>
  <c r="U9" i="3"/>
  <c r="V9" i="3" s="1"/>
  <c r="I28" i="3"/>
  <c r="I50" i="3"/>
  <c r="J50" i="3"/>
  <c r="I21" i="3"/>
  <c r="J21" i="3" s="1"/>
  <c r="I17" i="3"/>
  <c r="J17" i="3" s="1"/>
  <c r="I19" i="3"/>
  <c r="J19" i="3"/>
  <c r="U62" i="3"/>
  <c r="V62" i="3" s="1"/>
  <c r="AC60" i="3"/>
  <c r="AD60" i="3" s="1"/>
  <c r="AE60" i="3" s="1"/>
  <c r="U36" i="3"/>
  <c r="AC30" i="3"/>
  <c r="U13" i="3"/>
  <c r="V13" i="3" s="1"/>
  <c r="I59" i="3"/>
  <c r="I55" i="3"/>
  <c r="J55" i="3"/>
  <c r="I40" i="3"/>
  <c r="J40" i="3" s="1"/>
  <c r="I27" i="3"/>
  <c r="I20" i="3"/>
  <c r="J20" i="3"/>
  <c r="I14" i="3"/>
  <c r="J14" i="3"/>
  <c r="AC50" i="3"/>
  <c r="AC28" i="3"/>
  <c r="AC23" i="3"/>
  <c r="Z71" i="3"/>
  <c r="C71" i="3"/>
  <c r="V18" i="3"/>
  <c r="AD18" i="3"/>
  <c r="V55" i="3"/>
  <c r="AD15" i="144"/>
  <c r="V24" i="3"/>
  <c r="AD24" i="3"/>
  <c r="AE24" i="3"/>
  <c r="V49" i="3"/>
  <c r="V59" i="3"/>
  <c r="V36" i="3"/>
  <c r="AD36" i="3"/>
  <c r="AD31" i="3"/>
  <c r="AE31" i="3" s="1"/>
  <c r="V48" i="3"/>
  <c r="V57" i="144"/>
  <c r="V31" i="144"/>
  <c r="AD31" i="144"/>
  <c r="AE31" i="144" s="1"/>
  <c r="V68" i="3"/>
  <c r="AD68" i="3"/>
  <c r="AD10" i="3"/>
  <c r="V53" i="3"/>
  <c r="AD53" i="3"/>
  <c r="AE53" i="3" s="1"/>
  <c r="V23" i="3"/>
  <c r="AD23" i="3"/>
  <c r="AE23" i="3" s="1"/>
  <c r="AD46" i="144"/>
  <c r="V43" i="3"/>
  <c r="AD43" i="3"/>
  <c r="AE43" i="3" s="1"/>
  <c r="V33" i="3"/>
  <c r="AD33" i="3"/>
  <c r="V58" i="3"/>
  <c r="AD58" i="3"/>
  <c r="V21" i="3"/>
  <c r="AD21" i="3"/>
  <c r="AE21" i="3" s="1"/>
  <c r="AD46" i="3"/>
  <c r="V52" i="3"/>
  <c r="AD52" i="3"/>
  <c r="V33" i="144"/>
  <c r="AD62" i="3"/>
  <c r="AE62" i="3" s="1"/>
  <c r="V11" i="3"/>
  <c r="AD45" i="3"/>
  <c r="V40" i="3"/>
  <c r="AD40" i="3"/>
  <c r="AE17" i="3"/>
  <c r="V35" i="3"/>
  <c r="AD35" i="3"/>
  <c r="AD56" i="3"/>
  <c r="AD49" i="144"/>
  <c r="AE49" i="144" s="1"/>
  <c r="AD55" i="144"/>
  <c r="AE55" i="144"/>
  <c r="AD52" i="144"/>
  <c r="AE52" i="144" s="1"/>
  <c r="V13" i="144"/>
  <c r="AD13" i="144"/>
  <c r="V11" i="144"/>
  <c r="AD11" i="144"/>
  <c r="AD34" i="144"/>
  <c r="AD23" i="144"/>
  <c r="AD68" i="144"/>
  <c r="AE68" i="144" s="1"/>
  <c r="I41" i="85"/>
  <c r="K56" i="144"/>
  <c r="J56" i="144" s="1"/>
  <c r="V60" i="3"/>
  <c r="V26" i="3"/>
  <c r="AD26" i="3"/>
  <c r="V51" i="3"/>
  <c r="V42" i="144"/>
  <c r="AD42" i="144"/>
  <c r="V34" i="3"/>
  <c r="AD34" i="3"/>
  <c r="V32" i="3"/>
  <c r="V28" i="3"/>
  <c r="AD28" i="3"/>
  <c r="V56" i="144"/>
  <c r="AD56" i="144"/>
  <c r="AE56" i="144" s="1"/>
  <c r="AE34" i="3"/>
  <c r="V65" i="3"/>
  <c r="V44" i="3"/>
  <c r="V39" i="3"/>
  <c r="AD39" i="3"/>
  <c r="V57" i="3"/>
  <c r="AD57" i="3"/>
  <c r="V60" i="144"/>
  <c r="AD60" i="144"/>
  <c r="V37" i="144"/>
  <c r="AD37" i="144"/>
  <c r="AE37" i="144" s="1"/>
  <c r="V21" i="144"/>
  <c r="AD21" i="144"/>
  <c r="V43" i="144"/>
  <c r="AD43" i="144"/>
  <c r="AE43" i="144" s="1"/>
  <c r="V53" i="144"/>
  <c r="AD53" i="144"/>
  <c r="AE53" i="144"/>
  <c r="V26" i="144"/>
  <c r="V12" i="3"/>
  <c r="AD12" i="3"/>
  <c r="V69" i="3"/>
  <c r="AD69" i="3"/>
  <c r="AE69" i="3"/>
  <c r="H41" i="85"/>
  <c r="K56" i="3"/>
  <c r="J56" i="3" s="1"/>
  <c r="AD50" i="3"/>
  <c r="AE50" i="3" s="1"/>
  <c r="AD50" i="144"/>
  <c r="AE50" i="144"/>
  <c r="V54" i="3"/>
  <c r="V29" i="144"/>
  <c r="AD29" i="144"/>
  <c r="AE29" i="144"/>
  <c r="V27" i="144"/>
  <c r="AD27" i="144"/>
  <c r="AE27" i="144" s="1"/>
  <c r="V22" i="3"/>
  <c r="V15" i="3"/>
  <c r="AD15" i="3"/>
  <c r="AE15" i="3"/>
  <c r="V14" i="3"/>
  <c r="AD14" i="3"/>
  <c r="V8" i="3"/>
  <c r="AD8" i="3"/>
  <c r="AE8" i="3" s="1"/>
  <c r="AE11" i="144"/>
  <c r="AE60" i="144"/>
  <c r="AE21" i="144"/>
  <c r="V8" i="144"/>
  <c r="AE42" i="144"/>
  <c r="V25" i="144"/>
  <c r="AE13" i="144"/>
  <c r="AE8" i="144"/>
  <c r="AE52" i="3"/>
  <c r="AE33" i="3"/>
  <c r="AE58" i="3"/>
  <c r="AE26" i="3"/>
  <c r="AE64" i="144" l="1"/>
  <c r="J8" i="144"/>
  <c r="AE34" i="144"/>
  <c r="V34" i="144"/>
  <c r="J57" i="144"/>
  <c r="AE46" i="144"/>
  <c r="V55" i="144"/>
  <c r="J42" i="144"/>
  <c r="J31" i="144"/>
  <c r="AD16" i="144"/>
  <c r="AE16" i="144" s="1"/>
  <c r="D59" i="148"/>
  <c r="D40" i="148"/>
  <c r="U44" i="144"/>
  <c r="AD11" i="3"/>
  <c r="AD54" i="3"/>
  <c r="AD22" i="3"/>
  <c r="AE22" i="3" s="1"/>
  <c r="AD32" i="3"/>
  <c r="AE68" i="3"/>
  <c r="J8" i="3"/>
  <c r="J33" i="3"/>
  <c r="V37" i="3"/>
  <c r="J27" i="3"/>
  <c r="J28" i="3"/>
  <c r="J59" i="3"/>
  <c r="I65" i="148"/>
  <c r="J65" i="148" s="1"/>
  <c r="I62" i="148"/>
  <c r="J62" i="148" s="1"/>
  <c r="I42" i="148"/>
  <c r="I32" i="148"/>
  <c r="J32" i="148" s="1"/>
  <c r="I26" i="148"/>
  <c r="J26" i="148" s="1"/>
  <c r="I15" i="148"/>
  <c r="I14" i="148"/>
  <c r="J14" i="148" s="1"/>
  <c r="I9" i="148"/>
  <c r="AC64" i="3"/>
  <c r="AD64" i="3" s="1"/>
  <c r="AC63" i="3"/>
  <c r="U60" i="148"/>
  <c r="AC51" i="3"/>
  <c r="AD51" i="3" s="1"/>
  <c r="AE51" i="3" s="1"/>
  <c r="AC44" i="3"/>
  <c r="AD44" i="3" s="1"/>
  <c r="AC37" i="3"/>
  <c r="AD37" i="3" s="1"/>
  <c r="AE37" i="3" s="1"/>
  <c r="U33" i="148"/>
  <c r="L29" i="104"/>
  <c r="AE56" i="3"/>
  <c r="AE67" i="3"/>
  <c r="W64" i="148"/>
  <c r="W64" i="3"/>
  <c r="V64" i="3" s="1"/>
  <c r="H50" i="92"/>
  <c r="AF64" i="3" s="1"/>
  <c r="AE64" i="3" s="1"/>
  <c r="AD63" i="3"/>
  <c r="AE63" i="3" s="1"/>
  <c r="AD22" i="144"/>
  <c r="AE22" i="144" s="1"/>
  <c r="AD30" i="3"/>
  <c r="J64" i="3"/>
  <c r="J34" i="84"/>
  <c r="J42" i="84" s="1"/>
  <c r="W46" i="3"/>
  <c r="V46" i="3" s="1"/>
  <c r="H48" i="129"/>
  <c r="AF46" i="3" s="1"/>
  <c r="AE46" i="3" s="1"/>
  <c r="H22" i="78"/>
  <c r="K43" i="3" s="1"/>
  <c r="J43" i="3" s="1"/>
  <c r="I53" i="148"/>
  <c r="AD41" i="3"/>
  <c r="L56" i="86"/>
  <c r="AD6" i="3"/>
  <c r="AE6" i="3" s="1"/>
  <c r="J23" i="144"/>
  <c r="V62" i="144"/>
  <c r="I60" i="3"/>
  <c r="J60" i="3" s="1"/>
  <c r="W56" i="3"/>
  <c r="V56" i="3" s="1"/>
  <c r="L14" i="104"/>
  <c r="I59" i="111"/>
  <c r="AF15" i="144" s="1"/>
  <c r="AE15" i="144" s="1"/>
  <c r="W15" i="144"/>
  <c r="AD66" i="144"/>
  <c r="AE66" i="144" s="1"/>
  <c r="AD13" i="3"/>
  <c r="AE13" i="3" s="1"/>
  <c r="AD66" i="3"/>
  <c r="AD19" i="3"/>
  <c r="AE19" i="3" s="1"/>
  <c r="J13" i="3"/>
  <c r="W31" i="3"/>
  <c r="V31" i="3" s="1"/>
  <c r="L57" i="148"/>
  <c r="L57" i="3"/>
  <c r="L48" i="104"/>
  <c r="L50" i="104" s="1"/>
  <c r="L62" i="104" s="1"/>
  <c r="AC71" i="144"/>
  <c r="AD16" i="3"/>
  <c r="AE16" i="3" s="1"/>
  <c r="AD29" i="3"/>
  <c r="AE29" i="3" s="1"/>
  <c r="AD7" i="3"/>
  <c r="AD9" i="3"/>
  <c r="AD25" i="3"/>
  <c r="AE25" i="3" s="1"/>
  <c r="AD20" i="3"/>
  <c r="J52" i="84"/>
  <c r="W34" i="148"/>
  <c r="J43" i="73"/>
  <c r="R33" i="147" s="1"/>
  <c r="M33" i="147"/>
  <c r="L33" i="147" s="1"/>
  <c r="I29" i="99"/>
  <c r="K37" i="144"/>
  <c r="J37" i="144" s="1"/>
  <c r="I33" i="56"/>
  <c r="AD9" i="144"/>
  <c r="AE9" i="144" s="1"/>
  <c r="V9" i="144"/>
  <c r="D12" i="147"/>
  <c r="F12" i="147"/>
  <c r="J33" i="144"/>
  <c r="J34" i="3"/>
  <c r="W23" i="144"/>
  <c r="V23" i="144" s="1"/>
  <c r="I44" i="117"/>
  <c r="AF23" i="144" s="1"/>
  <c r="AE23" i="144" s="1"/>
  <c r="F63" i="148"/>
  <c r="I63" i="3"/>
  <c r="J63" i="3" s="1"/>
  <c r="F57" i="148"/>
  <c r="I57" i="3"/>
  <c r="J57" i="3" s="1"/>
  <c r="H54" i="148"/>
  <c r="I54" i="148" s="1"/>
  <c r="I54" i="3"/>
  <c r="J54" i="3" s="1"/>
  <c r="H51" i="148"/>
  <c r="I51" i="3"/>
  <c r="J51" i="3" s="1"/>
  <c r="H44" i="148"/>
  <c r="I44" i="3"/>
  <c r="J44" i="3" s="1"/>
  <c r="G6" i="148"/>
  <c r="I6" i="3"/>
  <c r="G69" i="148"/>
  <c r="I69" i="148" s="1"/>
  <c r="J69" i="148" s="1"/>
  <c r="I64" i="148"/>
  <c r="I41" i="148"/>
  <c r="J41" i="148" s="1"/>
  <c r="L18" i="147"/>
  <c r="L5" i="147"/>
  <c r="K9" i="148"/>
  <c r="H8" i="147"/>
  <c r="G8" i="147" s="1"/>
  <c r="W10" i="148"/>
  <c r="H44" i="107"/>
  <c r="W10" i="3"/>
  <c r="M9" i="147"/>
  <c r="J27" i="111"/>
  <c r="C14" i="147"/>
  <c r="I14" i="147"/>
  <c r="K14" i="147" s="1"/>
  <c r="J44" i="111"/>
  <c r="Q16" i="147"/>
  <c r="K23" i="148"/>
  <c r="H22" i="147"/>
  <c r="K22" i="147"/>
  <c r="F24" i="147"/>
  <c r="D24" i="147"/>
  <c r="F44" i="102"/>
  <c r="AF44" i="3" s="1"/>
  <c r="AE44" i="3" s="1"/>
  <c r="W50" i="3"/>
  <c r="V50" i="3" s="1"/>
  <c r="H56" i="86"/>
  <c r="AF57" i="3" s="1"/>
  <c r="AE57" i="3" s="1"/>
  <c r="W49" i="144"/>
  <c r="V49" i="144" s="1"/>
  <c r="F50" i="141"/>
  <c r="AF42" i="3" s="1"/>
  <c r="I55" i="148"/>
  <c r="I52" i="148"/>
  <c r="I49" i="148"/>
  <c r="I45" i="148"/>
  <c r="J45" i="148" s="1"/>
  <c r="U30" i="148"/>
  <c r="V30" i="148" s="1"/>
  <c r="Q45" i="147"/>
  <c r="P35" i="147"/>
  <c r="L60" i="147"/>
  <c r="W8" i="148"/>
  <c r="M7" i="147"/>
  <c r="K61" i="54"/>
  <c r="R7" i="147" s="1"/>
  <c r="P8" i="147"/>
  <c r="K22" i="148"/>
  <c r="H21" i="147"/>
  <c r="J44" i="117"/>
  <c r="R22" i="147" s="1"/>
  <c r="D37" i="147"/>
  <c r="F37" i="147"/>
  <c r="W42" i="148"/>
  <c r="M41" i="147"/>
  <c r="L41" i="147" s="1"/>
  <c r="J22" i="78"/>
  <c r="J47" i="78"/>
  <c r="W49" i="148"/>
  <c r="M48" i="147"/>
  <c r="L48" i="147"/>
  <c r="I56" i="148"/>
  <c r="U26" i="148"/>
  <c r="V26" i="148" s="1"/>
  <c r="P61" i="147"/>
  <c r="Q61" i="147" s="1"/>
  <c r="I7" i="147"/>
  <c r="L9" i="147"/>
  <c r="P9" i="147"/>
  <c r="J33" i="109"/>
  <c r="C21" i="147"/>
  <c r="J25" i="117"/>
  <c r="I60" i="148"/>
  <c r="I51" i="148"/>
  <c r="J51" i="148" s="1"/>
  <c r="I50" i="148"/>
  <c r="I48" i="148"/>
  <c r="J48" i="148" s="1"/>
  <c r="I43" i="148"/>
  <c r="G27" i="148"/>
  <c r="J9" i="148"/>
  <c r="P19" i="147"/>
  <c r="J46" i="97"/>
  <c r="P32" i="147"/>
  <c r="C67" i="147"/>
  <c r="J23" i="146"/>
  <c r="U71" i="144"/>
  <c r="I66" i="148"/>
  <c r="J66" i="148" s="1"/>
  <c r="I63" i="148"/>
  <c r="J63" i="148" s="1"/>
  <c r="I57" i="148"/>
  <c r="I46" i="148"/>
  <c r="P18" i="147"/>
  <c r="Q18" i="147" s="1"/>
  <c r="N12" i="147"/>
  <c r="O12" i="147" s="1"/>
  <c r="P12" i="147" s="1"/>
  <c r="K17" i="148"/>
  <c r="H16" i="147"/>
  <c r="J14" i="116"/>
  <c r="I61" i="148"/>
  <c r="J61" i="148" s="1"/>
  <c r="G59" i="148"/>
  <c r="I59" i="148" s="1"/>
  <c r="J59" i="148" s="1"/>
  <c r="I16" i="148"/>
  <c r="J16" i="148" s="1"/>
  <c r="AC61" i="3"/>
  <c r="AC71" i="3" s="1"/>
  <c r="Q5" i="147"/>
  <c r="W20" i="148"/>
  <c r="G33" i="143"/>
  <c r="M19" i="147"/>
  <c r="L19" i="147" s="1"/>
  <c r="J42" i="116"/>
  <c r="K27" i="148"/>
  <c r="H26" i="147"/>
  <c r="K28" i="148"/>
  <c r="H27" i="147"/>
  <c r="J19" i="86"/>
  <c r="C56" i="147"/>
  <c r="J26" i="88"/>
  <c r="D67" i="148"/>
  <c r="I67" i="148" s="1"/>
  <c r="J67" i="148" s="1"/>
  <c r="I58" i="148"/>
  <c r="J58" i="148" s="1"/>
  <c r="D47" i="148"/>
  <c r="I47" i="148" s="1"/>
  <c r="J47" i="148" s="1"/>
  <c r="I44" i="148"/>
  <c r="P67" i="148"/>
  <c r="U67" i="148" s="1"/>
  <c r="V67" i="148" s="1"/>
  <c r="K21" i="54"/>
  <c r="C7" i="147"/>
  <c r="I20" i="147"/>
  <c r="K20" i="147" s="1"/>
  <c r="J60" i="97"/>
  <c r="D37" i="148"/>
  <c r="I28" i="148"/>
  <c r="J28" i="148" s="1"/>
  <c r="F23" i="148"/>
  <c r="I23" i="148" s="1"/>
  <c r="J23" i="148" s="1"/>
  <c r="I19" i="148"/>
  <c r="J19" i="148" s="1"/>
  <c r="D17" i="148"/>
  <c r="I17" i="148" s="1"/>
  <c r="J17" i="148" s="1"/>
  <c r="T66" i="148"/>
  <c r="U61" i="148"/>
  <c r="V61" i="148" s="1"/>
  <c r="U59" i="148"/>
  <c r="U58" i="148"/>
  <c r="V58" i="148" s="1"/>
  <c r="U57" i="148"/>
  <c r="S54" i="148"/>
  <c r="U54" i="148" s="1"/>
  <c r="U43" i="148"/>
  <c r="O40" i="148"/>
  <c r="U40" i="148" s="1"/>
  <c r="U36" i="148"/>
  <c r="U34" i="148"/>
  <c r="V34" i="148" s="1"/>
  <c r="U21" i="148"/>
  <c r="P11" i="148"/>
  <c r="I24" i="148"/>
  <c r="J24" i="148" s="1"/>
  <c r="M68" i="148"/>
  <c r="U68" i="148" s="1"/>
  <c r="F6" i="147"/>
  <c r="G6" i="147" s="1"/>
  <c r="D6" i="147"/>
  <c r="D18" i="147"/>
  <c r="F18" i="147"/>
  <c r="G18" i="147" s="1"/>
  <c r="N20" i="147"/>
  <c r="O20" i="147" s="1"/>
  <c r="P20" i="147" s="1"/>
  <c r="E33" i="147"/>
  <c r="E70" i="147" s="1"/>
  <c r="J16" i="73"/>
  <c r="W44" i="148"/>
  <c r="M43" i="147"/>
  <c r="L43" i="147" s="1"/>
  <c r="H44" i="102"/>
  <c r="R43" i="147" s="1"/>
  <c r="Q43" i="147" s="1"/>
  <c r="C48" i="147"/>
  <c r="H26" i="103"/>
  <c r="J60" i="82"/>
  <c r="N49" i="147"/>
  <c r="O49" i="147" s="1"/>
  <c r="P49" i="147" s="1"/>
  <c r="N51" i="147"/>
  <c r="O51" i="147" s="1"/>
  <c r="P51" i="147" s="1"/>
  <c r="I52" i="83"/>
  <c r="C55" i="147"/>
  <c r="J16" i="85"/>
  <c r="D23" i="147"/>
  <c r="I37" i="148"/>
  <c r="E29" i="148"/>
  <c r="I29" i="148" s="1"/>
  <c r="H27" i="148"/>
  <c r="I12" i="148"/>
  <c r="J12" i="148" s="1"/>
  <c r="I7" i="148"/>
  <c r="J7" i="148" s="1"/>
  <c r="T62" i="148"/>
  <c r="U55" i="148"/>
  <c r="U41" i="148"/>
  <c r="U12" i="148"/>
  <c r="V12" i="148" s="1"/>
  <c r="O11" i="148"/>
  <c r="U11" i="148" s="1"/>
  <c r="V11" i="148" s="1"/>
  <c r="G42" i="106"/>
  <c r="H33" i="56"/>
  <c r="D11" i="147"/>
  <c r="F11" i="147"/>
  <c r="J17" i="109"/>
  <c r="I21" i="147"/>
  <c r="K21" i="147" s="1"/>
  <c r="P21" i="147" s="1"/>
  <c r="J29" i="71"/>
  <c r="J40" i="71" s="1"/>
  <c r="C30" i="147"/>
  <c r="W39" i="148"/>
  <c r="M38" i="147"/>
  <c r="L38" i="147" s="1"/>
  <c r="G34" i="100"/>
  <c r="J20" i="78"/>
  <c r="K46" i="148"/>
  <c r="H45" i="147"/>
  <c r="G45" i="147" s="1"/>
  <c r="N48" i="147"/>
  <c r="O48" i="147" s="1"/>
  <c r="P48" i="147" s="1"/>
  <c r="Q48" i="147" s="1"/>
  <c r="H51" i="103"/>
  <c r="H53" i="103" s="1"/>
  <c r="R48" i="147" s="1"/>
  <c r="W51" i="148"/>
  <c r="M50" i="147"/>
  <c r="L50" i="147" s="1"/>
  <c r="K54" i="148"/>
  <c r="H53" i="147"/>
  <c r="G53" i="147" s="1"/>
  <c r="I38" i="148"/>
  <c r="J38" i="148" s="1"/>
  <c r="I20" i="148"/>
  <c r="J20" i="148" s="1"/>
  <c r="H71" i="3"/>
  <c r="U69" i="148"/>
  <c r="V69" i="148" s="1"/>
  <c r="U66" i="148"/>
  <c r="V66" i="148" s="1"/>
  <c r="U65" i="148"/>
  <c r="U64" i="148"/>
  <c r="Q63" i="148"/>
  <c r="U63" i="148" s="1"/>
  <c r="V63" i="148" s="1"/>
  <c r="T49" i="148"/>
  <c r="U38" i="3"/>
  <c r="U29" i="148"/>
  <c r="Q27" i="148"/>
  <c r="R16" i="148"/>
  <c r="H11" i="147"/>
  <c r="G30" i="108"/>
  <c r="F15" i="147"/>
  <c r="G15" i="147" s="1"/>
  <c r="C20" i="147"/>
  <c r="J28" i="116"/>
  <c r="D26" i="147"/>
  <c r="F26" i="147"/>
  <c r="G26" i="147" s="1"/>
  <c r="J33" i="72"/>
  <c r="N33" i="147"/>
  <c r="O33" i="147" s="1"/>
  <c r="P33" i="147" s="1"/>
  <c r="Q33" i="147" s="1"/>
  <c r="I36" i="147"/>
  <c r="K36" i="147" s="1"/>
  <c r="J41" i="99"/>
  <c r="W40" i="148"/>
  <c r="M39" i="147"/>
  <c r="L39" i="147" s="1"/>
  <c r="H41" i="127"/>
  <c r="H21" i="141"/>
  <c r="C41" i="147"/>
  <c r="J45" i="78"/>
  <c r="C43" i="147"/>
  <c r="H19" i="102"/>
  <c r="J48" i="129"/>
  <c r="R45" i="147" s="1"/>
  <c r="J14" i="132"/>
  <c r="C54" i="147"/>
  <c r="J62" i="88"/>
  <c r="N59" i="147"/>
  <c r="O59" i="147" s="1"/>
  <c r="W65" i="148"/>
  <c r="M64" i="147"/>
  <c r="L64" i="147" s="1"/>
  <c r="E27" i="148"/>
  <c r="I27" i="148" s="1"/>
  <c r="J27" i="148" s="1"/>
  <c r="F21" i="148"/>
  <c r="I18" i="148"/>
  <c r="J18" i="148" s="1"/>
  <c r="G11" i="148"/>
  <c r="I11" i="148" s="1"/>
  <c r="J11" i="148" s="1"/>
  <c r="D10" i="148"/>
  <c r="C71" i="148"/>
  <c r="R52" i="148"/>
  <c r="U52" i="148" s="1"/>
  <c r="R31" i="148"/>
  <c r="U28" i="148"/>
  <c r="Q25" i="148"/>
  <c r="U25" i="148" s="1"/>
  <c r="U13" i="148"/>
  <c r="M71" i="148"/>
  <c r="U8" i="148"/>
  <c r="V8" i="148" s="1"/>
  <c r="E68" i="148"/>
  <c r="F9" i="147"/>
  <c r="G9" i="147" s="1"/>
  <c r="D9" i="147"/>
  <c r="F10" i="147"/>
  <c r="D10" i="147"/>
  <c r="F17" i="147"/>
  <c r="D17" i="147"/>
  <c r="D19" i="147"/>
  <c r="F19" i="147"/>
  <c r="G19" i="147" s="1"/>
  <c r="I24" i="147"/>
  <c r="K24" i="147" s="1"/>
  <c r="J35" i="118"/>
  <c r="J48" i="118" s="1"/>
  <c r="R24" i="147" s="1"/>
  <c r="W27" i="148"/>
  <c r="M26" i="147"/>
  <c r="L26" i="147" s="1"/>
  <c r="J92" i="71"/>
  <c r="N30" i="147"/>
  <c r="O30" i="147" s="1"/>
  <c r="P30" i="147" s="1"/>
  <c r="J52" i="72"/>
  <c r="K39" i="148"/>
  <c r="H38" i="147"/>
  <c r="N41" i="147"/>
  <c r="O41" i="147" s="1"/>
  <c r="P41" i="147" s="1"/>
  <c r="Q41" i="147" s="1"/>
  <c r="H48" i="141"/>
  <c r="H50" i="141" s="1"/>
  <c r="R41" i="147" s="1"/>
  <c r="W46" i="148"/>
  <c r="M45" i="147"/>
  <c r="L45" i="147" s="1"/>
  <c r="C52" i="147"/>
  <c r="I22" i="101"/>
  <c r="I59" i="147"/>
  <c r="K59" i="147" s="1"/>
  <c r="J42" i="88"/>
  <c r="J47" i="146"/>
  <c r="N67" i="147"/>
  <c r="O67" i="147" s="1"/>
  <c r="I39" i="148"/>
  <c r="I36" i="148"/>
  <c r="J36" i="148" s="1"/>
  <c r="I34" i="148"/>
  <c r="I31" i="148"/>
  <c r="G22" i="148"/>
  <c r="I22" i="148" s="1"/>
  <c r="J22" i="148" s="1"/>
  <c r="C13" i="148"/>
  <c r="I13" i="148" s="1"/>
  <c r="I10" i="148"/>
  <c r="J10" i="148" s="1"/>
  <c r="U62" i="148"/>
  <c r="R56" i="148"/>
  <c r="U48" i="148"/>
  <c r="V48" i="148" s="1"/>
  <c r="R44" i="148"/>
  <c r="U44" i="148" s="1"/>
  <c r="V44" i="148" s="1"/>
  <c r="U42" i="3"/>
  <c r="U27" i="148"/>
  <c r="V27" i="148" s="1"/>
  <c r="U18" i="148"/>
  <c r="V18" i="148" s="1"/>
  <c r="U7" i="148"/>
  <c r="V7" i="148" s="1"/>
  <c r="U24" i="148"/>
  <c r="V24" i="148" s="1"/>
  <c r="H15" i="147"/>
  <c r="M16" i="147"/>
  <c r="L16" i="147" s="1"/>
  <c r="H32" i="114"/>
  <c r="K40" i="148"/>
  <c r="H39" i="147"/>
  <c r="G39" i="147" s="1"/>
  <c r="J25" i="82"/>
  <c r="C49" i="147"/>
  <c r="J54" i="83"/>
  <c r="J39" i="132"/>
  <c r="N54" i="147"/>
  <c r="O54" i="147" s="1"/>
  <c r="P54" i="147" s="1"/>
  <c r="W57" i="148"/>
  <c r="J56" i="86"/>
  <c r="R56" i="147" s="1"/>
  <c r="Q56" i="147" s="1"/>
  <c r="M56" i="147"/>
  <c r="L56" i="147" s="1"/>
  <c r="D59" i="147"/>
  <c r="F59" i="147"/>
  <c r="J23" i="92"/>
  <c r="C63" i="147"/>
  <c r="I67" i="147"/>
  <c r="K67" i="147" s="1"/>
  <c r="J35" i="146"/>
  <c r="I30" i="148"/>
  <c r="J30" i="148" s="1"/>
  <c r="G8" i="148"/>
  <c r="I6" i="148"/>
  <c r="J6" i="148" s="1"/>
  <c r="U53" i="148"/>
  <c r="U51" i="148"/>
  <c r="V51" i="148" s="1"/>
  <c r="Q45" i="148"/>
  <c r="U38" i="148"/>
  <c r="V38" i="148" s="1"/>
  <c r="U37" i="148"/>
  <c r="U31" i="148"/>
  <c r="U32" i="148"/>
  <c r="U20" i="148"/>
  <c r="U16" i="148"/>
  <c r="V16" i="148" s="1"/>
  <c r="M15" i="148"/>
  <c r="U15" i="148" s="1"/>
  <c r="U14" i="148"/>
  <c r="V14" i="148" s="1"/>
  <c r="R9" i="148"/>
  <c r="U6" i="148"/>
  <c r="V6" i="148" s="1"/>
  <c r="G68" i="148"/>
  <c r="M6" i="147"/>
  <c r="L6" i="147" s="1"/>
  <c r="M8" i="147"/>
  <c r="L8" i="147" s="1"/>
  <c r="H9" i="147"/>
  <c r="H10" i="147"/>
  <c r="G44" i="142"/>
  <c r="H13" i="147"/>
  <c r="H56" i="110"/>
  <c r="H17" i="147"/>
  <c r="M18" i="147"/>
  <c r="N22" i="147"/>
  <c r="O22" i="147" s="1"/>
  <c r="P22" i="147" s="1"/>
  <c r="J16" i="118"/>
  <c r="J65" i="71"/>
  <c r="J73" i="71" s="1"/>
  <c r="F32" i="147"/>
  <c r="D32" i="147"/>
  <c r="J64" i="72"/>
  <c r="R32" i="147" s="1"/>
  <c r="W41" i="148"/>
  <c r="H57" i="76"/>
  <c r="M40" i="147"/>
  <c r="L40" i="147" s="1"/>
  <c r="E52" i="147"/>
  <c r="I52" i="147"/>
  <c r="K52" i="147" s="1"/>
  <c r="I35" i="101"/>
  <c r="I49" i="101" s="1"/>
  <c r="R52" i="147" s="1"/>
  <c r="I54" i="147"/>
  <c r="K54" i="147" s="1"/>
  <c r="J30" i="132"/>
  <c r="D8" i="147"/>
  <c r="F13" i="147"/>
  <c r="G13" i="147" s="1"/>
  <c r="H40" i="148"/>
  <c r="I40" i="148" s="1"/>
  <c r="J40" i="148" s="1"/>
  <c r="G33" i="148"/>
  <c r="I33" i="148" s="1"/>
  <c r="D35" i="148"/>
  <c r="I35" i="148" s="1"/>
  <c r="J35" i="148" s="1"/>
  <c r="C25" i="148"/>
  <c r="I25" i="148" s="1"/>
  <c r="I21" i="148"/>
  <c r="N56" i="148"/>
  <c r="U56" i="148" s="1"/>
  <c r="U50" i="148"/>
  <c r="U49" i="148"/>
  <c r="U46" i="148"/>
  <c r="V46" i="148" s="1"/>
  <c r="O45" i="148"/>
  <c r="U45" i="148" s="1"/>
  <c r="V45" i="148" s="1"/>
  <c r="S42" i="148"/>
  <c r="U42" i="148" s="1"/>
  <c r="V42" i="148" s="1"/>
  <c r="U39" i="148"/>
  <c r="V39" i="148" s="1"/>
  <c r="U35" i="148"/>
  <c r="V35" i="148" s="1"/>
  <c r="U23" i="148"/>
  <c r="U22" i="148"/>
  <c r="U19" i="148"/>
  <c r="V19" i="148" s="1"/>
  <c r="U17" i="148"/>
  <c r="V17" i="148" s="1"/>
  <c r="S10" i="148"/>
  <c r="U10" i="148" s="1"/>
  <c r="U9" i="148"/>
  <c r="V9" i="148" s="1"/>
  <c r="I24" i="3"/>
  <c r="J24" i="3" s="1"/>
  <c r="H68" i="148"/>
  <c r="M11" i="147"/>
  <c r="L11" i="147" s="1"/>
  <c r="F16" i="147"/>
  <c r="D16" i="147"/>
  <c r="D22" i="147"/>
  <c r="F22" i="147"/>
  <c r="G22" i="147" s="1"/>
  <c r="J37" i="120"/>
  <c r="J39" i="120" s="1"/>
  <c r="R26" i="147" s="1"/>
  <c r="Q26" i="147" s="1"/>
  <c r="W28" i="148"/>
  <c r="M27" i="147"/>
  <c r="L27" i="147" s="1"/>
  <c r="H47" i="121"/>
  <c r="J22" i="69"/>
  <c r="N28" i="147"/>
  <c r="O28" i="147" s="1"/>
  <c r="P28" i="147" s="1"/>
  <c r="Q28" i="147" s="1"/>
  <c r="J55" i="69"/>
  <c r="W29" i="148"/>
  <c r="J57" i="69"/>
  <c r="R28" i="147" s="1"/>
  <c r="M28" i="147"/>
  <c r="L28" i="147" s="1"/>
  <c r="J24" i="99"/>
  <c r="C36" i="147"/>
  <c r="N42" i="147"/>
  <c r="O42" i="147" s="1"/>
  <c r="P42" i="147" s="1"/>
  <c r="J54" i="78"/>
  <c r="I49" i="147"/>
  <c r="K49" i="147" s="1"/>
  <c r="J43" i="82"/>
  <c r="D50" i="147"/>
  <c r="F50" i="147"/>
  <c r="I23" i="83"/>
  <c r="C51" i="147"/>
  <c r="I36" i="83"/>
  <c r="W54" i="148"/>
  <c r="H52" i="84"/>
  <c r="M53" i="147"/>
  <c r="L53" i="147" s="1"/>
  <c r="E55" i="147"/>
  <c r="J22" i="85"/>
  <c r="J36" i="85" s="1"/>
  <c r="J52" i="85"/>
  <c r="J62" i="85" s="1"/>
  <c r="F5" i="147"/>
  <c r="D15" i="147"/>
  <c r="M37" i="147"/>
  <c r="L37" i="147" s="1"/>
  <c r="H58" i="147"/>
  <c r="I63" i="147"/>
  <c r="K63" i="147" s="1"/>
  <c r="G43" i="125"/>
  <c r="H38" i="128"/>
  <c r="M60" i="147"/>
  <c r="M68" i="147"/>
  <c r="L68" i="147" s="1"/>
  <c r="F62" i="147"/>
  <c r="G62" i="147" s="1"/>
  <c r="F46" i="147"/>
  <c r="F38" i="147"/>
  <c r="M23" i="147"/>
  <c r="L23" i="147" s="1"/>
  <c r="H47" i="147"/>
  <c r="G47" i="147" s="1"/>
  <c r="H57" i="147"/>
  <c r="G57" i="147" s="1"/>
  <c r="H61" i="147"/>
  <c r="G61" i="147" s="1"/>
  <c r="M62" i="147"/>
  <c r="L62" i="147" s="1"/>
  <c r="H66" i="147"/>
  <c r="F68" i="147"/>
  <c r="G68" i="147" s="1"/>
  <c r="F60" i="147"/>
  <c r="F44" i="147"/>
  <c r="G44" i="147" s="1"/>
  <c r="F28" i="147"/>
  <c r="D40" i="147"/>
  <c r="D64" i="147"/>
  <c r="M31" i="147"/>
  <c r="L31" i="147" s="1"/>
  <c r="H37" i="147"/>
  <c r="G34" i="126"/>
  <c r="H50" i="147"/>
  <c r="F35" i="147"/>
  <c r="G35" i="147" s="1"/>
  <c r="F27" i="147"/>
  <c r="G27" i="147" s="1"/>
  <c r="D25" i="147"/>
  <c r="D33" i="147"/>
  <c r="D57" i="147"/>
  <c r="D65" i="147"/>
  <c r="G40" i="122"/>
  <c r="G30" i="124"/>
  <c r="G42" i="138"/>
  <c r="F66" i="147"/>
  <c r="F58" i="147"/>
  <c r="G58" i="147" s="1"/>
  <c r="F42" i="147"/>
  <c r="F34" i="147"/>
  <c r="G34" i="147" s="1"/>
  <c r="H29" i="147"/>
  <c r="G29" i="147" s="1"/>
  <c r="H34" i="147"/>
  <c r="M35" i="147"/>
  <c r="L35" i="147" s="1"/>
  <c r="M44" i="147"/>
  <c r="L44" i="147" s="1"/>
  <c r="H46" i="147"/>
  <c r="G30" i="130"/>
  <c r="G37" i="134"/>
  <c r="H65" i="147"/>
  <c r="G65" i="147" s="1"/>
  <c r="M25" i="147"/>
  <c r="L25" i="147" s="1"/>
  <c r="H31" i="147"/>
  <c r="G31" i="147" s="1"/>
  <c r="G48" i="123"/>
  <c r="H40" i="147"/>
  <c r="G40" i="147" s="1"/>
  <c r="M47" i="147"/>
  <c r="L47" i="147" s="1"/>
  <c r="M57" i="147"/>
  <c r="L57" i="147" s="1"/>
  <c r="G33" i="133"/>
  <c r="H60" i="147"/>
  <c r="M61" i="147"/>
  <c r="L61" i="147" s="1"/>
  <c r="H62" i="147"/>
  <c r="AD14" i="144"/>
  <c r="AE14" i="144" s="1"/>
  <c r="V14" i="144"/>
  <c r="I71" i="144"/>
  <c r="AD67" i="144"/>
  <c r="V64" i="148"/>
  <c r="V32" i="148"/>
  <c r="V62" i="148"/>
  <c r="V36" i="148"/>
  <c r="V59" i="148"/>
  <c r="V65" i="148"/>
  <c r="V20" i="148"/>
  <c r="V41" i="148" l="1"/>
  <c r="V40" i="148"/>
  <c r="V54" i="148"/>
  <c r="J54" i="148"/>
  <c r="V44" i="144"/>
  <c r="AD44" i="144"/>
  <c r="AE44" i="144" s="1"/>
  <c r="G71" i="148"/>
  <c r="I8" i="148"/>
  <c r="I68" i="148"/>
  <c r="V10" i="148"/>
  <c r="U71" i="148"/>
  <c r="K56" i="148"/>
  <c r="J56" i="148" s="1"/>
  <c r="H55" i="147"/>
  <c r="J41" i="85"/>
  <c r="Q42" i="147"/>
  <c r="D36" i="147"/>
  <c r="F36" i="147"/>
  <c r="K25" i="148"/>
  <c r="H24" i="147"/>
  <c r="G24" i="147" s="1"/>
  <c r="W68" i="148"/>
  <c r="M67" i="147"/>
  <c r="R11" i="147"/>
  <c r="Q11" i="147" s="1"/>
  <c r="AF12" i="3"/>
  <c r="AE12" i="3" s="1"/>
  <c r="D7" i="147"/>
  <c r="F7" i="147"/>
  <c r="C70" i="147"/>
  <c r="I71" i="3"/>
  <c r="J6" i="3"/>
  <c r="R58" i="147"/>
  <c r="Q58" i="147" s="1"/>
  <c r="AF59" i="3"/>
  <c r="AE59" i="3" s="1"/>
  <c r="R65" i="147"/>
  <c r="Q65" i="147" s="1"/>
  <c r="AF66" i="3"/>
  <c r="R13" i="147"/>
  <c r="Q13" i="147" s="1"/>
  <c r="AF14" i="3"/>
  <c r="AE14" i="3" s="1"/>
  <c r="R31" i="147"/>
  <c r="Q31" i="147" s="1"/>
  <c r="AF32" i="3"/>
  <c r="AE32" i="3" s="1"/>
  <c r="R34" i="147"/>
  <c r="Q34" i="147" s="1"/>
  <c r="AF35" i="3"/>
  <c r="AE35" i="3" s="1"/>
  <c r="G60" i="147"/>
  <c r="G38" i="147"/>
  <c r="R53" i="147"/>
  <c r="Q53" i="147" s="1"/>
  <c r="AF54" i="3"/>
  <c r="AE54" i="3" s="1"/>
  <c r="L49" i="147"/>
  <c r="J25" i="148"/>
  <c r="K50" i="148"/>
  <c r="H49" i="147"/>
  <c r="P67" i="147"/>
  <c r="G10" i="147"/>
  <c r="V28" i="148"/>
  <c r="K55" i="148"/>
  <c r="H54" i="147"/>
  <c r="W21" i="148"/>
  <c r="V21" i="148" s="1"/>
  <c r="M20" i="147"/>
  <c r="V38" i="3"/>
  <c r="AD38" i="3"/>
  <c r="R6" i="147"/>
  <c r="AF7" i="3"/>
  <c r="F55" i="147"/>
  <c r="G55" i="147" s="1"/>
  <c r="D55" i="147"/>
  <c r="L20" i="147"/>
  <c r="K60" i="148"/>
  <c r="H59" i="147"/>
  <c r="J46" i="148"/>
  <c r="G37" i="147"/>
  <c r="K71" i="144"/>
  <c r="K31" i="148"/>
  <c r="J31" i="148" s="1"/>
  <c r="H30" i="147"/>
  <c r="K34" i="148"/>
  <c r="H33" i="147"/>
  <c r="D21" i="147"/>
  <c r="F21" i="147"/>
  <c r="G21" i="147" s="1"/>
  <c r="R9" i="147"/>
  <c r="Q9" i="147" s="1"/>
  <c r="AF10" i="3"/>
  <c r="AE10" i="3" s="1"/>
  <c r="G5" i="147"/>
  <c r="R17" i="147"/>
  <c r="Q17" i="147" s="1"/>
  <c r="AF18" i="3"/>
  <c r="AE18" i="3" s="1"/>
  <c r="K57" i="148"/>
  <c r="H56" i="147"/>
  <c r="W13" i="148"/>
  <c r="J50" i="109"/>
  <c r="R12" i="147" s="1"/>
  <c r="M12" i="147"/>
  <c r="L12" i="147" s="1"/>
  <c r="AF71" i="144"/>
  <c r="P63" i="147"/>
  <c r="Q63" i="147" s="1"/>
  <c r="L63" i="147"/>
  <c r="W50" i="148"/>
  <c r="V50" i="148" s="1"/>
  <c r="J62" i="82"/>
  <c r="R49" i="147" s="1"/>
  <c r="Q49" i="147" s="1"/>
  <c r="M49" i="147"/>
  <c r="W55" i="148"/>
  <c r="M54" i="147"/>
  <c r="L54" i="147" s="1"/>
  <c r="I71" i="148"/>
  <c r="R29" i="147"/>
  <c r="Q29" i="147" s="1"/>
  <c r="AF30" i="3"/>
  <c r="R37" i="147"/>
  <c r="Q37" i="147" s="1"/>
  <c r="AF38" i="3"/>
  <c r="G46" i="147"/>
  <c r="J56" i="78"/>
  <c r="R42" i="147" s="1"/>
  <c r="W53" i="148"/>
  <c r="V53" i="148" s="1"/>
  <c r="M52" i="147"/>
  <c r="L52" i="147" s="1"/>
  <c r="R10" i="147"/>
  <c r="Q10" i="147" s="1"/>
  <c r="AF11" i="3"/>
  <c r="AE11" i="3" s="1"/>
  <c r="J49" i="146"/>
  <c r="R67" i="147" s="1"/>
  <c r="W25" i="148"/>
  <c r="V25" i="148" s="1"/>
  <c r="M24" i="147"/>
  <c r="D20" i="147"/>
  <c r="F20" i="147"/>
  <c r="D30" i="147"/>
  <c r="F30" i="147"/>
  <c r="G30" i="147" s="1"/>
  <c r="V68" i="148"/>
  <c r="J44" i="116"/>
  <c r="R20" i="147" s="1"/>
  <c r="Q20" i="147" s="1"/>
  <c r="K21" i="148"/>
  <c r="H20" i="147"/>
  <c r="J57" i="148"/>
  <c r="W22" i="148"/>
  <c r="J62" i="97"/>
  <c r="R21" i="147" s="1"/>
  <c r="Q21" i="147" s="1"/>
  <c r="M21" i="147"/>
  <c r="L21" i="147" s="1"/>
  <c r="W23" i="148"/>
  <c r="V23" i="148" s="1"/>
  <c r="M22" i="147"/>
  <c r="L22" i="147" s="1"/>
  <c r="W71" i="3"/>
  <c r="V10" i="3"/>
  <c r="AE66" i="3"/>
  <c r="P24" i="147"/>
  <c r="Q24" i="147" s="1"/>
  <c r="L24" i="147"/>
  <c r="W37" i="148"/>
  <c r="V37" i="148" s="1"/>
  <c r="M36" i="147"/>
  <c r="J54" i="99"/>
  <c r="R36" i="147" s="1"/>
  <c r="D51" i="147"/>
  <c r="F51" i="147"/>
  <c r="D43" i="147"/>
  <c r="F43" i="147"/>
  <c r="R19" i="147"/>
  <c r="Q19" i="147" s="1"/>
  <c r="AF20" i="3"/>
  <c r="AD61" i="3"/>
  <c r="R60" i="147"/>
  <c r="Q60" i="147" s="1"/>
  <c r="AF61" i="3"/>
  <c r="K52" i="148"/>
  <c r="H51" i="147"/>
  <c r="V49" i="148"/>
  <c r="K53" i="148"/>
  <c r="J53" i="148" s="1"/>
  <c r="H52" i="147"/>
  <c r="W33" i="148"/>
  <c r="V33" i="148" s="1"/>
  <c r="M32" i="147"/>
  <c r="L32" i="147" s="1"/>
  <c r="K13" i="148"/>
  <c r="J13" i="148" s="1"/>
  <c r="H12" i="147"/>
  <c r="G12" i="147" s="1"/>
  <c r="V57" i="148"/>
  <c r="K8" i="148"/>
  <c r="H7" i="147"/>
  <c r="K26" i="54"/>
  <c r="Q12" i="147"/>
  <c r="K43" i="148"/>
  <c r="J43" i="148" s="1"/>
  <c r="H42" i="147"/>
  <c r="G42" i="147" s="1"/>
  <c r="W15" i="148"/>
  <c r="M14" i="147"/>
  <c r="L14" i="147" s="1"/>
  <c r="J59" i="111"/>
  <c r="R14" i="147" s="1"/>
  <c r="AE20" i="3"/>
  <c r="W31" i="148"/>
  <c r="V31" i="148" s="1"/>
  <c r="M30" i="147"/>
  <c r="L30" i="147" s="1"/>
  <c r="J94" i="71"/>
  <c r="R30" i="147" s="1"/>
  <c r="F56" i="147"/>
  <c r="G56" i="147" s="1"/>
  <c r="D56" i="147"/>
  <c r="G16" i="147"/>
  <c r="K37" i="148"/>
  <c r="J37" i="148" s="1"/>
  <c r="H36" i="147"/>
  <c r="J29" i="99"/>
  <c r="V22" i="148"/>
  <c r="L67" i="147"/>
  <c r="R46" i="147"/>
  <c r="Q46" i="147" s="1"/>
  <c r="AF47" i="3"/>
  <c r="AE47" i="3" s="1"/>
  <c r="R44" i="147"/>
  <c r="Q44" i="147" s="1"/>
  <c r="AF45" i="3"/>
  <c r="AE45" i="3" s="1"/>
  <c r="G50" i="147"/>
  <c r="F33" i="147"/>
  <c r="R40" i="147"/>
  <c r="Q40" i="147" s="1"/>
  <c r="AF41" i="3"/>
  <c r="F63" i="147"/>
  <c r="D63" i="147"/>
  <c r="J41" i="132"/>
  <c r="R54" i="147" s="1"/>
  <c r="Q54" i="147" s="1"/>
  <c r="J34" i="148"/>
  <c r="D52" i="147"/>
  <c r="F52" i="147"/>
  <c r="Q30" i="147"/>
  <c r="P59" i="147"/>
  <c r="F41" i="147"/>
  <c r="D41" i="147"/>
  <c r="K33" i="148"/>
  <c r="J33" i="148" s="1"/>
  <c r="H32" i="147"/>
  <c r="G32" i="147" s="1"/>
  <c r="G11" i="147"/>
  <c r="K49" i="148"/>
  <c r="J49" i="148" s="1"/>
  <c r="H48" i="147"/>
  <c r="K68" i="148"/>
  <c r="J68" i="148" s="1"/>
  <c r="H67" i="147"/>
  <c r="J50" i="148"/>
  <c r="P14" i="147"/>
  <c r="Q14" i="147" s="1"/>
  <c r="O70" i="147"/>
  <c r="AE30" i="3"/>
  <c r="K71" i="3"/>
  <c r="W52" i="148"/>
  <c r="V52" i="148" s="1"/>
  <c r="I54" i="83"/>
  <c r="R51" i="147" s="1"/>
  <c r="Q51" i="147" s="1"/>
  <c r="M51" i="147"/>
  <c r="L51" i="147" s="1"/>
  <c r="P52" i="147"/>
  <c r="Q52" i="147" s="1"/>
  <c r="W60" i="148"/>
  <c r="V60" i="148" s="1"/>
  <c r="M59" i="147"/>
  <c r="L59" i="147" s="1"/>
  <c r="K44" i="148"/>
  <c r="J44" i="148" s="1"/>
  <c r="H43" i="147"/>
  <c r="W71" i="144"/>
  <c r="V71" i="144" s="1"/>
  <c r="V15" i="144"/>
  <c r="K29" i="148"/>
  <c r="J29" i="148" s="1"/>
  <c r="H28" i="147"/>
  <c r="V15" i="148"/>
  <c r="V42" i="3"/>
  <c r="AD42" i="3"/>
  <c r="AE42" i="3" s="1"/>
  <c r="P36" i="147"/>
  <c r="L36" i="147"/>
  <c r="U71" i="3"/>
  <c r="V71" i="3" s="1"/>
  <c r="AE41" i="3"/>
  <c r="W56" i="148"/>
  <c r="M55" i="147"/>
  <c r="L55" i="147" s="1"/>
  <c r="J73" i="85"/>
  <c r="R55" i="147" s="1"/>
  <c r="Q55" i="147" s="1"/>
  <c r="R27" i="147"/>
  <c r="Q27" i="147" s="1"/>
  <c r="AF28" i="3"/>
  <c r="AE28" i="3" s="1"/>
  <c r="Q22" i="147"/>
  <c r="J71" i="144"/>
  <c r="G66" i="147"/>
  <c r="G28" i="147"/>
  <c r="R35" i="147"/>
  <c r="Q35" i="147" s="1"/>
  <c r="AF36" i="3"/>
  <c r="AE36" i="3" s="1"/>
  <c r="K64" i="148"/>
  <c r="H63" i="147"/>
  <c r="G17" i="147"/>
  <c r="V13" i="148"/>
  <c r="J64" i="88"/>
  <c r="R59" i="147" s="1"/>
  <c r="K42" i="148"/>
  <c r="J42" i="148" s="1"/>
  <c r="H41" i="147"/>
  <c r="R38" i="147"/>
  <c r="Q38" i="147" s="1"/>
  <c r="AF39" i="3"/>
  <c r="AE39" i="3" s="1"/>
  <c r="V55" i="148"/>
  <c r="F48" i="147"/>
  <c r="D48" i="147"/>
  <c r="D67" i="147"/>
  <c r="F67" i="147"/>
  <c r="I70" i="147"/>
  <c r="K7" i="147"/>
  <c r="Q8" i="147"/>
  <c r="J52" i="148"/>
  <c r="F14" i="147"/>
  <c r="G14" i="147" s="1"/>
  <c r="D14" i="147"/>
  <c r="J64" i="148"/>
  <c r="V56" i="148"/>
  <c r="W43" i="148"/>
  <c r="V43" i="148" s="1"/>
  <c r="M42" i="147"/>
  <c r="L42" i="147" s="1"/>
  <c r="J21" i="148"/>
  <c r="G59" i="147"/>
  <c r="F49" i="147"/>
  <c r="D49" i="147"/>
  <c r="J39" i="148"/>
  <c r="D54" i="147"/>
  <c r="F54" i="147"/>
  <c r="G54" i="147" s="1"/>
  <c r="R39" i="147"/>
  <c r="Q39" i="147" s="1"/>
  <c r="AF40" i="3"/>
  <c r="AE40" i="3" s="1"/>
  <c r="V29" i="148"/>
  <c r="R8" i="147"/>
  <c r="AF9" i="3"/>
  <c r="AE9" i="3" s="1"/>
  <c r="Q32" i="147"/>
  <c r="J60" i="148"/>
  <c r="J55" i="148"/>
  <c r="K15" i="148"/>
  <c r="J15" i="148" s="1"/>
  <c r="H14" i="147"/>
  <c r="AD71" i="144"/>
  <c r="AE71" i="144" s="1"/>
  <c r="AE67" i="144"/>
  <c r="W71" i="148" l="1"/>
  <c r="J71" i="3"/>
  <c r="G67" i="147"/>
  <c r="G41" i="147"/>
  <c r="G63" i="147"/>
  <c r="H70" i="147"/>
  <c r="G51" i="147"/>
  <c r="R70" i="147"/>
  <c r="Q6" i="147"/>
  <c r="AF71" i="3"/>
  <c r="Q59" i="147"/>
  <c r="K71" i="148"/>
  <c r="J71" i="148" s="1"/>
  <c r="AE61" i="3"/>
  <c r="F70" i="147"/>
  <c r="G70" i="147" s="1"/>
  <c r="AE38" i="3"/>
  <c r="Q67" i="147"/>
  <c r="G7" i="147"/>
  <c r="G36" i="147"/>
  <c r="G48" i="147"/>
  <c r="G52" i="147"/>
  <c r="G33" i="147"/>
  <c r="AD71" i="3"/>
  <c r="AE71" i="3" s="1"/>
  <c r="AE7" i="3"/>
  <c r="G49" i="147"/>
  <c r="Q36" i="147"/>
  <c r="G43" i="147"/>
  <c r="M70" i="147"/>
  <c r="V71" i="148"/>
  <c r="L7" i="147"/>
  <c r="K70" i="147"/>
  <c r="L70" i="147" s="1"/>
  <c r="P7" i="147"/>
  <c r="J8" i="148"/>
  <c r="G20" i="147"/>
  <c r="Q7" i="147" l="1"/>
  <c r="P70" i="147"/>
  <c r="Q70" i="147" s="1"/>
</calcChain>
</file>

<file path=xl/sharedStrings.xml><?xml version="1.0" encoding="utf-8"?>
<sst xmlns="http://schemas.openxmlformats.org/spreadsheetml/2006/main" count="2886" uniqueCount="759">
  <si>
    <t>Acadia Parish 2013 Statement of Net Assets</t>
  </si>
  <si>
    <t>Issued: December 31, 2013</t>
  </si>
  <si>
    <t>Primary Government</t>
  </si>
  <si>
    <t>Governmental Activities</t>
  </si>
  <si>
    <t>Component Unit</t>
  </si>
  <si>
    <t>ASSETS</t>
  </si>
  <si>
    <t>Current Assets</t>
  </si>
  <si>
    <t>Cash</t>
  </si>
  <si>
    <t>Investments</t>
  </si>
  <si>
    <t>Taxes receivable</t>
  </si>
  <si>
    <t>Special assessments receivable</t>
  </si>
  <si>
    <t>Other receivables</t>
  </si>
  <si>
    <t>Due from other governmental entities</t>
  </si>
  <si>
    <t>Due from component units</t>
  </si>
  <si>
    <t>Capital assets:</t>
  </si>
  <si>
    <t>Non-depreciable</t>
  </si>
  <si>
    <t>Depreciable, net</t>
  </si>
  <si>
    <t>Total Assets</t>
  </si>
  <si>
    <t>DEFERRED OUTFLOWS OF RESOURCES</t>
  </si>
  <si>
    <t>Deferred loss on refunding</t>
  </si>
  <si>
    <t>LIABILITIES</t>
  </si>
  <si>
    <t>Accounts payable</t>
  </si>
  <si>
    <t>Retainage payable</t>
  </si>
  <si>
    <t>Accrued liabilities and other payables</t>
  </si>
  <si>
    <t>Unearned revenue</t>
  </si>
  <si>
    <t>Accrued interest payable</t>
  </si>
  <si>
    <t>Due to primary government</t>
  </si>
  <si>
    <t>Long-term liabilities:</t>
  </si>
  <si>
    <t>Portion due or payable within one year:</t>
  </si>
  <si>
    <t>Bonds payable</t>
  </si>
  <si>
    <t>Compensated absences</t>
  </si>
  <si>
    <t>Portion due or payable after one year:</t>
  </si>
  <si>
    <t>Landfill closure and postclosure care costs liability</t>
  </si>
  <si>
    <t>Total Liabilities</t>
  </si>
  <si>
    <t>DEFERRED INFLOWS OF RESOURCES</t>
  </si>
  <si>
    <t>Unavailable revenue - special assessments</t>
  </si>
  <si>
    <t>NET ASSETS</t>
  </si>
  <si>
    <t>Net investment in capital assets</t>
  </si>
  <si>
    <t>Restricted for:</t>
  </si>
  <si>
    <t>Debt service</t>
  </si>
  <si>
    <t>Capital projects</t>
  </si>
  <si>
    <t>Other purposes</t>
  </si>
  <si>
    <t>Unrestricted</t>
  </si>
  <si>
    <t>Total Net Assets</t>
  </si>
  <si>
    <t>Total Liabilities and Net Assets</t>
  </si>
  <si>
    <t>Allen Parish 2013 Statement of Net Assets</t>
  </si>
  <si>
    <t>Receivables</t>
  </si>
  <si>
    <t>Due from other governments</t>
  </si>
  <si>
    <t>Inventory</t>
  </si>
  <si>
    <t>Prepaid assets</t>
  </si>
  <si>
    <t>Capital assets, net of accumulated depreciation</t>
  </si>
  <si>
    <t>Bonds payable - due within one year</t>
  </si>
  <si>
    <t>Compensated absences payable - due within one year</t>
  </si>
  <si>
    <t>OPEB obligations - due in more than one year</t>
  </si>
  <si>
    <t>Bonds payable - due in more than one year</t>
  </si>
  <si>
    <t>Net, investment in capital assets</t>
  </si>
  <si>
    <t>Judicial</t>
  </si>
  <si>
    <t>Other general government</t>
  </si>
  <si>
    <t>Public safety</t>
  </si>
  <si>
    <t>Public works</t>
  </si>
  <si>
    <t>Economic development</t>
  </si>
  <si>
    <t>Sanitation</t>
  </si>
  <si>
    <t>Ascension Parish 2013 Statement of Net Assets</t>
  </si>
  <si>
    <t>Business-type Activities</t>
  </si>
  <si>
    <t>Total</t>
  </si>
  <si>
    <t>Cash and cash equivalents</t>
  </si>
  <si>
    <t>Accounts receivable, net</t>
  </si>
  <si>
    <t>Internal balances</t>
  </si>
  <si>
    <t>Restricted assets</t>
  </si>
  <si>
    <t>Other assets</t>
  </si>
  <si>
    <t>Nondepreciable</t>
  </si>
  <si>
    <t>Deferred Outflows of Resources</t>
  </si>
  <si>
    <t>Deferred loss on refunding bonds, net</t>
  </si>
  <si>
    <t>Total assets and deferred outflows of resources</t>
  </si>
  <si>
    <t>Accounts payable and accrued liabilities</t>
  </si>
  <si>
    <t>Contracts payable</t>
  </si>
  <si>
    <t>Due to other goevernments</t>
  </si>
  <si>
    <t>Accrued payroll</t>
  </si>
  <si>
    <t>Customer deposits</t>
  </si>
  <si>
    <t>Sales tax rebate reserve</t>
  </si>
  <si>
    <t>Claims reserve</t>
  </si>
  <si>
    <t>Due within one year</t>
  </si>
  <si>
    <t>Due in more than one year</t>
  </si>
  <si>
    <t>Long-term payable</t>
  </si>
  <si>
    <t>Deferred Inflows of Resources</t>
  </si>
  <si>
    <t>Grant Advances</t>
  </si>
  <si>
    <t>Unearned Revenue</t>
  </si>
  <si>
    <t>Total deferred inflows of resources</t>
  </si>
  <si>
    <t>Investment in capital assets, net of related debt</t>
  </si>
  <si>
    <t>Capital Projects</t>
  </si>
  <si>
    <t>External legal constraints</t>
  </si>
  <si>
    <t>Other Purposes</t>
  </si>
  <si>
    <t>Total Liabilities, deferred inflows of resources, and Net Assets</t>
  </si>
  <si>
    <t>Assumption Parish 2013 Statement of Net Assets</t>
  </si>
  <si>
    <t>Land, Building, and Equipment - net</t>
  </si>
  <si>
    <t>Salaries payable</t>
  </si>
  <si>
    <t>Compensated absences payable</t>
  </si>
  <si>
    <t>Other post-employment benefits payable</t>
  </si>
  <si>
    <t>Other liabilities</t>
  </si>
  <si>
    <t>Invested in capital assets, net of related debt</t>
  </si>
  <si>
    <t>Avoyelles Parish 2013 Statement of Net Assets</t>
  </si>
  <si>
    <t>Component Units</t>
  </si>
  <si>
    <t>Cash and interest-bearing deposits</t>
  </si>
  <si>
    <t>Receivables, net</t>
  </si>
  <si>
    <t>Due from other governmental units</t>
  </si>
  <si>
    <t>Total Current Assets</t>
  </si>
  <si>
    <t>Non-current Assets:</t>
  </si>
  <si>
    <t>Land and construction in progress</t>
  </si>
  <si>
    <t>Capital assets, net</t>
  </si>
  <si>
    <t>Total Non-current Assets</t>
  </si>
  <si>
    <t>Current Liabilities:</t>
  </si>
  <si>
    <t xml:space="preserve">Accounts, salaries and other payables </t>
  </si>
  <si>
    <t>Deferred revenue</t>
  </si>
  <si>
    <t>Due to other governmental units</t>
  </si>
  <si>
    <t>Total Current Liabilities</t>
  </si>
  <si>
    <t>Non-current Liabilities</t>
  </si>
  <si>
    <t>Total Non-current Liabilities</t>
  </si>
  <si>
    <t>Investment in capital assets</t>
  </si>
  <si>
    <t>Unrestricted net position</t>
  </si>
  <si>
    <t>Beauregard Parish 2013 Statement of Net Assets</t>
  </si>
  <si>
    <t>Capital assets (net of accumulated depreciation):</t>
  </si>
  <si>
    <t>Land</t>
  </si>
  <si>
    <t>Buildings and improvements</t>
  </si>
  <si>
    <t>Furniture and equipment</t>
  </si>
  <si>
    <t>Infrastructure</t>
  </si>
  <si>
    <t>Construction in progress</t>
  </si>
  <si>
    <t>Accounts, salaries, and other payables</t>
  </si>
  <si>
    <t>Interest payable</t>
  </si>
  <si>
    <t>Equipment purchases</t>
  </si>
  <si>
    <t>Health and welfare</t>
  </si>
  <si>
    <t>Culture and recreation</t>
  </si>
  <si>
    <t>Bienville Parish 2013 Statement of Net Assets</t>
  </si>
  <si>
    <t>Wages and related payable</t>
  </si>
  <si>
    <t>Premium on bonds</t>
  </si>
  <si>
    <t>Deferred revenues</t>
  </si>
  <si>
    <t>Other post-employment benefits</t>
  </si>
  <si>
    <t>Bossier Parish 2013 Statement of Net Assets</t>
  </si>
  <si>
    <t>Business-Type Activities</t>
  </si>
  <si>
    <t>Restricted cash</t>
  </si>
  <si>
    <t>Prepaid expenses</t>
  </si>
  <si>
    <t>Capital assets, net:</t>
  </si>
  <si>
    <t>Depreciable (net)</t>
  </si>
  <si>
    <t>Current liabilities</t>
  </si>
  <si>
    <t>Accounts payable and accrued expenses</t>
  </si>
  <si>
    <t>Payable from restricted assets:</t>
  </si>
  <si>
    <t>Noncurrent liabilities</t>
  </si>
  <si>
    <t>Total Noncurrent Liabilities</t>
  </si>
  <si>
    <t xml:space="preserve">Public safety </t>
  </si>
  <si>
    <t>Sewer operations</t>
  </si>
  <si>
    <t>Caddo Parish 2013 Statement of Net Assets</t>
  </si>
  <si>
    <t>Due from primary government</t>
  </si>
  <si>
    <t>Inventories</t>
  </si>
  <si>
    <t>Other capital assets, net of depreciation</t>
  </si>
  <si>
    <t>Total assets and deferred outlfows of resources</t>
  </si>
  <si>
    <t>Accrued liabilities</t>
  </si>
  <si>
    <t>Accrued insurance claims payable</t>
  </si>
  <si>
    <t>Due to component units</t>
  </si>
  <si>
    <t>Due to other governmental agencies</t>
  </si>
  <si>
    <t>Noncurrent liabilities:</t>
  </si>
  <si>
    <t>Criminal justice</t>
  </si>
  <si>
    <t>Highways, streets and drainage</t>
  </si>
  <si>
    <t>Building facilities</t>
  </si>
  <si>
    <t>Capital outlay</t>
  </si>
  <si>
    <t>Unrestricted (deficit)</t>
  </si>
  <si>
    <t>Calcasieu Parish 2013 Statement of Net Assets</t>
  </si>
  <si>
    <t>Receivables (net of allowance for uncollectibles)</t>
  </si>
  <si>
    <t>Intergovernmental receivable</t>
  </si>
  <si>
    <t>Loan receivable</t>
  </si>
  <si>
    <t>Prepaid items</t>
  </si>
  <si>
    <t>Restricted assets:</t>
  </si>
  <si>
    <t>Receivables - net</t>
  </si>
  <si>
    <t>Deferred amount on refunding</t>
  </si>
  <si>
    <t>Accounts payable and other accrued liabilities</t>
  </si>
  <si>
    <t>Intergovernmental payable</t>
  </si>
  <si>
    <t>Liabilities payable from restricted assets</t>
  </si>
  <si>
    <t>Uavailable revenue - property taxes</t>
  </si>
  <si>
    <t>Capital improvement projects</t>
  </si>
  <si>
    <t>Caldwell Parish 2013 Statement of Net Assets</t>
  </si>
  <si>
    <t>Due to other agencies</t>
  </si>
  <si>
    <t>Restricted</t>
  </si>
  <si>
    <t>Cameron Parish 2013 Statement of Net Assets</t>
  </si>
  <si>
    <t>Inventory, at cost</t>
  </si>
  <si>
    <t>Other</t>
  </si>
  <si>
    <t>Due after one year</t>
  </si>
  <si>
    <t>Net position - restricted for:</t>
  </si>
  <si>
    <t>Tourism development</t>
  </si>
  <si>
    <t>Net position - unrestricted</t>
  </si>
  <si>
    <t>Catahoula Parish 2013 Statement of Net Assets</t>
  </si>
  <si>
    <t>Cash restricted for debt service</t>
  </si>
  <si>
    <t>Certificates of indebtedness due within one year</t>
  </si>
  <si>
    <t>Certificates of indebtedness due in more than one</t>
  </si>
  <si>
    <t>DEFERRED INFLOWS</t>
  </si>
  <si>
    <t>Grant revenues pending</t>
  </si>
  <si>
    <t>Claiborne Parish 2013 Statement of Net Assets</t>
  </si>
  <si>
    <t>Deferred charges</t>
  </si>
  <si>
    <t>Bonds payable within one year</t>
  </si>
  <si>
    <t>Bonds payable in more than one year</t>
  </si>
  <si>
    <t>General government</t>
  </si>
  <si>
    <t>General government - judicial</t>
  </si>
  <si>
    <t>Concordia Parish 2013 Statement of Net Assets</t>
  </si>
  <si>
    <t>Cash - restricted</t>
  </si>
  <si>
    <t>Accrued interest</t>
  </si>
  <si>
    <t>Capital assets (net)</t>
  </si>
  <si>
    <t>Current liabilities:</t>
  </si>
  <si>
    <t>Long-term liabilities due in one year</t>
  </si>
  <si>
    <t xml:space="preserve">Noncurrent liabilities: </t>
  </si>
  <si>
    <t>Long-term liabilities due in more than one year</t>
  </si>
  <si>
    <t>Special revenue projects</t>
  </si>
  <si>
    <t>DeSoto Parish 2013 Statement of Net Assets</t>
  </si>
  <si>
    <t>Deposit balances</t>
  </si>
  <si>
    <t>Advance from grantors</t>
  </si>
  <si>
    <t>Due to other governments</t>
  </si>
  <si>
    <t>Landfill post closure liability</t>
  </si>
  <si>
    <t>Other postemployment benefit obligation</t>
  </si>
  <si>
    <t>Airport</t>
  </si>
  <si>
    <t>District court</t>
  </si>
  <si>
    <t>Roads</t>
  </si>
  <si>
    <t>Witness and juror fees</t>
  </si>
  <si>
    <t>East Baton Rouge Parish 2013 Statement of Net Assets</t>
  </si>
  <si>
    <t>Cash and cash equivalents (note 3)</t>
  </si>
  <si>
    <t>Investments (note 3)</t>
  </si>
  <si>
    <t>Receivables--net (note 13)</t>
  </si>
  <si>
    <t>Due from other governments (note 11)</t>
  </si>
  <si>
    <t>Loans receivable</t>
  </si>
  <si>
    <t>Net pension asset</t>
  </si>
  <si>
    <t>Investment in joint venture (note 19)</t>
  </si>
  <si>
    <t>Deferred amount  on refunding</t>
  </si>
  <si>
    <t>Deferred outflows on derivative instruments</t>
  </si>
  <si>
    <t>Total deferred outflows of resources</t>
  </si>
  <si>
    <t>Accounts payable and other current liabilities</t>
  </si>
  <si>
    <t>Accrued payables</t>
  </si>
  <si>
    <t>Deposits and escrow accounts</t>
  </si>
  <si>
    <t>Noncurrent liabilities (note 10):</t>
  </si>
  <si>
    <t xml:space="preserve">Deferred Inflows of Reources </t>
  </si>
  <si>
    <t>Resources received before the requirements</t>
  </si>
  <si>
    <t>Restricted for (note 14):</t>
  </si>
  <si>
    <t>Passenger facility charges</t>
  </si>
  <si>
    <t>East Carroll Parish 2013 Statement of Net Assets</t>
  </si>
  <si>
    <t>Cash and cash equivalents - restricted</t>
  </si>
  <si>
    <t>Capital assets not being depreciated</t>
  </si>
  <si>
    <t>Road maintenance</t>
  </si>
  <si>
    <t>Garbage</t>
  </si>
  <si>
    <t>Library</t>
  </si>
  <si>
    <t>Drainage</t>
  </si>
  <si>
    <t>Airport hangar</t>
  </si>
  <si>
    <t>Rural fire protection</t>
  </si>
  <si>
    <t>LSU/SU Extension</t>
  </si>
  <si>
    <t>Health unit</t>
  </si>
  <si>
    <t>Housing assistance payments</t>
  </si>
  <si>
    <t>East Feliciana Parish 2013 Statement of Net Assets</t>
  </si>
  <si>
    <t>Due from other funds</t>
  </si>
  <si>
    <t>Due from other governmental agencies</t>
  </si>
  <si>
    <t>Due to other funds</t>
  </si>
  <si>
    <t>Notes payable</t>
  </si>
  <si>
    <t>Health unit operations/maintenance</t>
  </si>
  <si>
    <t>Homeland security</t>
  </si>
  <si>
    <t>Solid waste management</t>
  </si>
  <si>
    <t>Evangeline Parish 2013 Statement of Net Assets</t>
  </si>
  <si>
    <t>Criminal Court Fund</t>
  </si>
  <si>
    <t>Cash overdraft</t>
  </si>
  <si>
    <t>Accounts and other payables</t>
  </si>
  <si>
    <t>Performance bonds payable</t>
  </si>
  <si>
    <t>Portion due within one year:</t>
  </si>
  <si>
    <t>Capital lease payable</t>
  </si>
  <si>
    <t>Bonds and certificates payable</t>
  </si>
  <si>
    <t>Portion due after one year:</t>
  </si>
  <si>
    <t>Sewer deposits payable</t>
  </si>
  <si>
    <t>Unearned rent</t>
  </si>
  <si>
    <t>Restricted for debt service</t>
  </si>
  <si>
    <t>Restricted for housing purposes</t>
  </si>
  <si>
    <t>Franklin Parish 2013 Statement of Net Assets</t>
  </si>
  <si>
    <t>Payroll withholding payable</t>
  </si>
  <si>
    <t>Capital leases payable</t>
  </si>
  <si>
    <t>Due to others (damage deposit)</t>
  </si>
  <si>
    <t>Net OPEB obligation</t>
  </si>
  <si>
    <t>Grant Parish 2013 Statement of Net Assets</t>
  </si>
  <si>
    <t>Receivables (net)</t>
  </si>
  <si>
    <t>Non depreciable capital assets</t>
  </si>
  <si>
    <t>Depreciable capital assets, net</t>
  </si>
  <si>
    <t>Deposits due others</t>
  </si>
  <si>
    <t>Unearned revenues</t>
  </si>
  <si>
    <t>Notes payable:</t>
  </si>
  <si>
    <t>Restricted:</t>
  </si>
  <si>
    <t>Maintenance</t>
  </si>
  <si>
    <t>Construction</t>
  </si>
  <si>
    <t>Iberia Parish 2013 Statement of Net Assets</t>
  </si>
  <si>
    <t>Advance to component unit</t>
  </si>
  <si>
    <t>Investments in joint ventures</t>
  </si>
  <si>
    <t>Accrued expenses</t>
  </si>
  <si>
    <t>Contracts and retainage payable</t>
  </si>
  <si>
    <t>Due to component unit</t>
  </si>
  <si>
    <t>Advance from primary government</t>
  </si>
  <si>
    <t>Advances from grantors and others</t>
  </si>
  <si>
    <t>Deposits</t>
  </si>
  <si>
    <t>Other post employment benefits payable</t>
  </si>
  <si>
    <t>Iberville Parish 2013 Statement of Net Assets</t>
  </si>
  <si>
    <t>Total Component Units</t>
  </si>
  <si>
    <t>Capital assets (net of accumulated depreciation)</t>
  </si>
  <si>
    <t>Building and system</t>
  </si>
  <si>
    <t>Improvemetns other than building</t>
  </si>
  <si>
    <t>Machinery and equipment</t>
  </si>
  <si>
    <t>Matured bonds and interest payable</t>
  </si>
  <si>
    <t>Bank overdraft liability</t>
  </si>
  <si>
    <t>Other payables</t>
  </si>
  <si>
    <t>Other post employment benefits</t>
  </si>
  <si>
    <t>Due in one year</t>
  </si>
  <si>
    <t>Deferred Inflows (Outflows)</t>
  </si>
  <si>
    <t>Prepaid rental fees</t>
  </si>
  <si>
    <t>Total deferred inflows (outflows)</t>
  </si>
  <si>
    <t>Public building maintenance</t>
  </si>
  <si>
    <t>Solid waste</t>
  </si>
  <si>
    <t>Fire protection</t>
  </si>
  <si>
    <t>Emergency services</t>
  </si>
  <si>
    <t>Jackson Parish 2013 Statement of Net Assets</t>
  </si>
  <si>
    <t>Capital assets, net of depreciation</t>
  </si>
  <si>
    <t>Security deposits</t>
  </si>
  <si>
    <t>Road maintenance (Road, Sales tax and asphalt funds)</t>
  </si>
  <si>
    <t>Waste management</t>
  </si>
  <si>
    <t>Tourism</t>
  </si>
  <si>
    <t>Landfill closure</t>
  </si>
  <si>
    <t>Industrial district</t>
  </si>
  <si>
    <t>Grant funds</t>
  </si>
  <si>
    <t>Grand jury and witness fees</t>
  </si>
  <si>
    <t>Jefferson Davis Parish 2013 Statement of Net Assets</t>
  </si>
  <si>
    <t>Restricted cash and cash equivalents</t>
  </si>
  <si>
    <t>Deferred bond issuance costs</t>
  </si>
  <si>
    <t>Liability for other post-employment benefits</t>
  </si>
  <si>
    <t>Current portion of bonds payable</t>
  </si>
  <si>
    <t>Current portion of capital leases payable</t>
  </si>
  <si>
    <t>Jefferson Parish 2013 Statement of Net Assets</t>
  </si>
  <si>
    <t>(amounts in thousands)</t>
  </si>
  <si>
    <t>Share of pooled assets</t>
  </si>
  <si>
    <t xml:space="preserve">Receivables, net of allowances for </t>
  </si>
  <si>
    <t>estimated uncollectibles:</t>
  </si>
  <si>
    <t>Interest</t>
  </si>
  <si>
    <t>Ad valorem tax</t>
  </si>
  <si>
    <t>Accounts</t>
  </si>
  <si>
    <t xml:space="preserve">Notes </t>
  </si>
  <si>
    <t>Mortgage loans</t>
  </si>
  <si>
    <t>Intergovernmental</t>
  </si>
  <si>
    <t>Noncurrent Assets</t>
  </si>
  <si>
    <t>Deposits and other assets</t>
  </si>
  <si>
    <t>Mortgage loans receivable</t>
  </si>
  <si>
    <t>Capital assets being depreciated, net</t>
  </si>
  <si>
    <t>Total Noncurrent Assets</t>
  </si>
  <si>
    <t>Deferred outflows of resources</t>
  </si>
  <si>
    <t>Deferred charges on bond issuance costs</t>
  </si>
  <si>
    <t>Total Deferred Outflows of Resources</t>
  </si>
  <si>
    <t>Accounts and contracts payable</t>
  </si>
  <si>
    <t>Claims and judgments payable</t>
  </si>
  <si>
    <t>Current portion of long term debt</t>
  </si>
  <si>
    <t>Accrued salaries payable</t>
  </si>
  <si>
    <t>Other payables and accruals</t>
  </si>
  <si>
    <t>Retainage interset payable</t>
  </si>
  <si>
    <t>Customers' deposits</t>
  </si>
  <si>
    <t>Judges annuitles</t>
  </si>
  <si>
    <t>Transit</t>
  </si>
  <si>
    <t>Urban redevelopment and housing</t>
  </si>
  <si>
    <t>LaSalle Parish 2013 Statement of Net Assets</t>
  </si>
  <si>
    <t>Prepaid lease payments</t>
  </si>
  <si>
    <t>Payroll payable</t>
  </si>
  <si>
    <t>Net OPEB obligations</t>
  </si>
  <si>
    <t>Long term liabilities:</t>
  </si>
  <si>
    <t>Lafayete Parish 2013 Statement of Net Assets</t>
  </si>
  <si>
    <t xml:space="preserve">Loans receivable, net </t>
  </si>
  <si>
    <t xml:space="preserve">Taxes receivable </t>
  </si>
  <si>
    <t>Assessments receivable</t>
  </si>
  <si>
    <t>Accrued interest receivable</t>
  </si>
  <si>
    <t>Inventories, net</t>
  </si>
  <si>
    <t>Unamortized bond issuance costs</t>
  </si>
  <si>
    <t>Unamortized start-up costs</t>
  </si>
  <si>
    <t>Depreciable,net</t>
  </si>
  <si>
    <t xml:space="preserve">Accounts payable </t>
  </si>
  <si>
    <t>Portion due or payable within one year</t>
  </si>
  <si>
    <t>Portion due or payable after one year</t>
  </si>
  <si>
    <t>Lafourche Parish 2013 Statement of Net Assets</t>
  </si>
  <si>
    <t xml:space="preserve">Cash </t>
  </si>
  <si>
    <t xml:space="preserve"> </t>
  </si>
  <si>
    <t>Prepaids and other assets</t>
  </si>
  <si>
    <t>Depreciable</t>
  </si>
  <si>
    <t>Deferred charge on refunding</t>
  </si>
  <si>
    <t>Other current liabilities</t>
  </si>
  <si>
    <t>Long-term liabilities</t>
  </si>
  <si>
    <t>Net invested in capital assets</t>
  </si>
  <si>
    <t>Lincoln Parish 2013 Statement of Net Assets</t>
  </si>
  <si>
    <t>Accounts receivable</t>
  </si>
  <si>
    <t>Due from other entities</t>
  </si>
  <si>
    <t>Non-Depreciable</t>
  </si>
  <si>
    <t>Due to other entities</t>
  </si>
  <si>
    <t>Due within one year:</t>
  </si>
  <si>
    <t>Due in more than one year:</t>
  </si>
  <si>
    <t>Unfunded postretirement:</t>
  </si>
  <si>
    <t>Benefit plan obligations</t>
  </si>
  <si>
    <t>Livingston Parish 2013 Statement of Net Assets</t>
  </si>
  <si>
    <t>Receivables, Net of Allowance</t>
  </si>
  <si>
    <t>Due from component unit</t>
  </si>
  <si>
    <t>Unamortized bond insurance premiums</t>
  </si>
  <si>
    <t>Capital assets</t>
  </si>
  <si>
    <t>Deferred Amount on Refunding of Debt</t>
  </si>
  <si>
    <t>Total Assets and Deferred Outflows</t>
  </si>
  <si>
    <t>Overdraft Payable</t>
  </si>
  <si>
    <t>Accrued bond interest payable</t>
  </si>
  <si>
    <t>Non-current liabilities</t>
  </si>
  <si>
    <t>Criminal Court</t>
  </si>
  <si>
    <t>Debt Service</t>
  </si>
  <si>
    <t>Grant</t>
  </si>
  <si>
    <t>Madison Parish 2013 Statement of Net Assets</t>
  </si>
  <si>
    <t>Accounts, salaries and other payables</t>
  </si>
  <si>
    <t>Garbage collection</t>
  </si>
  <si>
    <t>Drainage and roads</t>
  </si>
  <si>
    <t>Courthouse and jail</t>
  </si>
  <si>
    <t>Other special revenue funds</t>
  </si>
  <si>
    <t>Morehouse Parish 2013 Statement of Net Assets</t>
  </si>
  <si>
    <t>Bank overdrafts</t>
  </si>
  <si>
    <t>Payroll accruals and wothholdings</t>
  </si>
  <si>
    <t>Property Taxes</t>
  </si>
  <si>
    <t>Invested in capital assets</t>
  </si>
  <si>
    <t>Restricted for special revenue</t>
  </si>
  <si>
    <t>Natchitoches Parish 2013 Statement of Net Assets</t>
  </si>
  <si>
    <t>Revenue receivables</t>
  </si>
  <si>
    <t>Long-term Liabilities:</t>
  </si>
  <si>
    <t>Accrued compensated absences</t>
  </si>
  <si>
    <t>Orleans Parish 2013 Statement of Net Assets</t>
  </si>
  <si>
    <t>Receivables (net of allowance for uncollectibles):</t>
  </si>
  <si>
    <t>Taxes</t>
  </si>
  <si>
    <t>Grantee loans</t>
  </si>
  <si>
    <t>Restricted cash and investments</t>
  </si>
  <si>
    <t>Deferred loss on bond refunding</t>
  </si>
  <si>
    <t>Taxes payable</t>
  </si>
  <si>
    <t>Accrued Interest Payable</t>
  </si>
  <si>
    <t>Long-term liabilities due within one year</t>
  </si>
  <si>
    <t>Unavailable Revenue</t>
  </si>
  <si>
    <t>Restricted for capital improvement</t>
  </si>
  <si>
    <t>Restricted for operating reserve</t>
  </si>
  <si>
    <t>Ouachita Parish 2013 Statement of Net Assets</t>
  </si>
  <si>
    <t>Investments, at market value</t>
  </si>
  <si>
    <t>Receivables:</t>
  </si>
  <si>
    <t>Ad valorem taxes</t>
  </si>
  <si>
    <t>Sales taxes</t>
  </si>
  <si>
    <t>Special assessments</t>
  </si>
  <si>
    <t>Trade receivables</t>
  </si>
  <si>
    <t>Due from other governmental</t>
  </si>
  <si>
    <t>Deposits held</t>
  </si>
  <si>
    <t>Long term payables:</t>
  </si>
  <si>
    <t>Other noncurrent liabilities</t>
  </si>
  <si>
    <t>Capital improvements</t>
  </si>
  <si>
    <t>Insurance claims</t>
  </si>
  <si>
    <t>Plaquemines Parish 2013 Statement of Net Assets</t>
  </si>
  <si>
    <t>Receivables (net of allowaces for uncollectibles)</t>
  </si>
  <si>
    <t>Litigation and other contingencies</t>
  </si>
  <si>
    <t>Notes payable-long term</t>
  </si>
  <si>
    <t>Bonds payable-long term</t>
  </si>
  <si>
    <t>Pointe Coupee Parish 2013 Statement of Net Assets</t>
  </si>
  <si>
    <t>Due from fiduciary funds</t>
  </si>
  <si>
    <t>Customer meter deposits</t>
  </si>
  <si>
    <t>Grants received in advance</t>
  </si>
  <si>
    <t>Road construction and maintenance</t>
  </si>
  <si>
    <t>Rapides Parish 2013 Statement of Net Assets</t>
  </si>
  <si>
    <t>Nondepreciable:</t>
  </si>
  <si>
    <t>Depreciable:</t>
  </si>
  <si>
    <t>Furniture, equipment, and other</t>
  </si>
  <si>
    <t>Red River Parish 2013 Statement of Net Assets</t>
  </si>
  <si>
    <t>Prepaid expense</t>
  </si>
  <si>
    <t>Current portion of long-term debt</t>
  </si>
  <si>
    <t>Compensated absences payable, net of current portion</t>
  </si>
  <si>
    <t>Long-term debt, net of current portion</t>
  </si>
  <si>
    <t>Ambulance services</t>
  </si>
  <si>
    <t>Dedicated property taxes for library services and construction</t>
  </si>
  <si>
    <t>Richland Parish 2013 Statement of Net Assets</t>
  </si>
  <si>
    <t>Payroll accruals and wothholding</t>
  </si>
  <si>
    <t>Property taxes</t>
  </si>
  <si>
    <t>Sabine Parish 2013 Statement of Net Assets</t>
  </si>
  <si>
    <t>Infrastructure:</t>
  </si>
  <si>
    <t>Road right-of-way</t>
  </si>
  <si>
    <t>Bridges</t>
  </si>
  <si>
    <t>St. Bernard Parish 2013 Statement of Net Assets</t>
  </si>
  <si>
    <t>Investments--land held for sale</t>
  </si>
  <si>
    <t>Sales and use taxes</t>
  </si>
  <si>
    <t>Cable franchise fees</t>
  </si>
  <si>
    <t>Customer</t>
  </si>
  <si>
    <t>Unbilled charges</t>
  </si>
  <si>
    <t>Prepaids</t>
  </si>
  <si>
    <t>Restricted assets--cash and cash equivalents</t>
  </si>
  <si>
    <t>Restricted assets--receivables</t>
  </si>
  <si>
    <t>Claims payable</t>
  </si>
  <si>
    <t>Salaries and payroll deductions payable</t>
  </si>
  <si>
    <t>Payable from restricted assets</t>
  </si>
  <si>
    <t>Certificates of indebtedness</t>
  </si>
  <si>
    <t>St. Charles Parish 2013 Statement of Net Assets</t>
  </si>
  <si>
    <t>Prepaid fees</t>
  </si>
  <si>
    <t>Plant and equipment</t>
  </si>
  <si>
    <t>Cash overdrafts</t>
  </si>
  <si>
    <t>Other liabilities and accruals</t>
  </si>
  <si>
    <t>Amounts due within one year</t>
  </si>
  <si>
    <t>Amounts due beyond one year</t>
  </si>
  <si>
    <t>Multi-employer Pension Liability</t>
  </si>
  <si>
    <t>Other non-current liabilities</t>
  </si>
  <si>
    <t>Advances</t>
  </si>
  <si>
    <t>Maintenance/operations</t>
  </si>
  <si>
    <t>Road lighting</t>
  </si>
  <si>
    <t>St. Helena Parish 2013 Statement of Net Assets</t>
  </si>
  <si>
    <t>St. Helena Parish Hospital Serv Dist 1 &amp; Subsidiary</t>
  </si>
  <si>
    <t>Water Works Dist No. 2 of St. Helena Parish</t>
  </si>
  <si>
    <t>Other Component Units</t>
  </si>
  <si>
    <t>Current Assets:</t>
  </si>
  <si>
    <t>Prepaid insurance and other assets</t>
  </si>
  <si>
    <t>Total current assets</t>
  </si>
  <si>
    <t>Total restricted assets</t>
  </si>
  <si>
    <t>Long term assets:</t>
  </si>
  <si>
    <t>Total long term assets</t>
  </si>
  <si>
    <t>Total capital assets</t>
  </si>
  <si>
    <t>Other accrued payables</t>
  </si>
  <si>
    <t>Interim financing</t>
  </si>
  <si>
    <t>Accrued interest on long term indebtedness</t>
  </si>
  <si>
    <t>Current portion of long term indebtedness</t>
  </si>
  <si>
    <t>Capital leases</t>
  </si>
  <si>
    <t>Total current liabilities:</t>
  </si>
  <si>
    <t>Unifunded net other post employment benefit obligations</t>
  </si>
  <si>
    <t>Total long term liabilities</t>
  </si>
  <si>
    <t>St. James Parish 2013 Statement of Net Assets</t>
  </si>
  <si>
    <t>St. James Parish Hospital</t>
  </si>
  <si>
    <t>Notes receivable:</t>
  </si>
  <si>
    <t>Internal balance</t>
  </si>
  <si>
    <t>Held by trustee for debt service</t>
  </si>
  <si>
    <t>Internally designated for capital acquisition</t>
  </si>
  <si>
    <t>Other assets, net</t>
  </si>
  <si>
    <t>Contractual settlements</t>
  </si>
  <si>
    <t>Highways and streets</t>
  </si>
  <si>
    <t>Group health insurance claims</t>
  </si>
  <si>
    <t>St. John the Baptist Parish 2013 Statement of Net Assets</t>
  </si>
  <si>
    <t>Receivables (net of allowances)</t>
  </si>
  <si>
    <t>Capital assets being depreciated</t>
  </si>
  <si>
    <t>(net of accumulated depreciation)</t>
  </si>
  <si>
    <t>Due within one yeear</t>
  </si>
  <si>
    <t>Special revenue</t>
  </si>
  <si>
    <t>Endowment</t>
  </si>
  <si>
    <t>St. Landry Parish 2013 Statement of Net Assets</t>
  </si>
  <si>
    <t>Prepaid expenditures</t>
  </si>
  <si>
    <t>Due from agency funds</t>
  </si>
  <si>
    <t>Noncurrent assets</t>
  </si>
  <si>
    <t>Current</t>
  </si>
  <si>
    <t>Due to agency funds</t>
  </si>
  <si>
    <t>Due primary government</t>
  </si>
  <si>
    <t xml:space="preserve">Noncurrent </t>
  </si>
  <si>
    <t>Restricted- other</t>
  </si>
  <si>
    <t>St. Martin Parish 2013 Statement of Net Assets</t>
  </si>
  <si>
    <t>Cash and interest bearing deposits</t>
  </si>
  <si>
    <t>Bonds payable, due within one year</t>
  </si>
  <si>
    <t>Bonds payable, due in more than one year</t>
  </si>
  <si>
    <t>Capital leases payable, due within one year</t>
  </si>
  <si>
    <t>Capital leases payable, due in more than one year</t>
  </si>
  <si>
    <t>OPEB liability-due in more than one year</t>
  </si>
  <si>
    <t>St. Mary Parish 2013 Statement of Net Assets</t>
  </si>
  <si>
    <t>Receivables (net of allowances for uncollectibles)</t>
  </si>
  <si>
    <t>Restricted investments</t>
  </si>
  <si>
    <t>Land and improvements</t>
  </si>
  <si>
    <t>Buildings, net of accumulated depreciation</t>
  </si>
  <si>
    <t xml:space="preserve">Improvements other than buildings, net of </t>
  </si>
  <si>
    <t>accumulated depreciation</t>
  </si>
  <si>
    <t xml:space="preserve">Equipment and furniture, net of accumulated </t>
  </si>
  <si>
    <t>depreciation</t>
  </si>
  <si>
    <t>Infrastructure, net of accumulated depreciation</t>
  </si>
  <si>
    <t xml:space="preserve">Gain on refunding </t>
  </si>
  <si>
    <t>Accrued interest payable</t>
  </si>
  <si>
    <t>Noncurent portion of long-term debt</t>
  </si>
  <si>
    <t>Landfill closure costs and post-closure care costs</t>
  </si>
  <si>
    <t>St.Tammany Parish 2013 Statement of Net Assets</t>
  </si>
  <si>
    <t>Due from primary government/component units</t>
  </si>
  <si>
    <t>Land. improvements and construction in progress</t>
  </si>
  <si>
    <t>Deferred charges on refunding</t>
  </si>
  <si>
    <t>Due to primary government/component units</t>
  </si>
  <si>
    <t>Non-current liabilities:</t>
  </si>
  <si>
    <t>Capital projects</t>
  </si>
  <si>
    <t>Lighting districts</t>
  </si>
  <si>
    <t>Roads, bridges and drainage</t>
  </si>
  <si>
    <t>Tangipahoa Parish 2013 Statement of Net Assets</t>
  </si>
  <si>
    <t>Investment in certificates of deposit</t>
  </si>
  <si>
    <t>Receivebles, net</t>
  </si>
  <si>
    <t>Restricted assets- cash</t>
  </si>
  <si>
    <t>Prepaid insurance</t>
  </si>
  <si>
    <t>Due to volunteer fire departments</t>
  </si>
  <si>
    <t>Noncuurent liabilities:</t>
  </si>
  <si>
    <t>Postemployment healthcare benefits payable</t>
  </si>
  <si>
    <t>Deferred inflow of resources</t>
  </si>
  <si>
    <t>Hazard Mitigation Funds</t>
  </si>
  <si>
    <t>Total Deferred inflow of resources</t>
  </si>
  <si>
    <t>Debt service</t>
  </si>
  <si>
    <t>Tensas Parish 2013 Statement of Net Assets</t>
  </si>
  <si>
    <t>Amounts held by trustee for landfill closure</t>
  </si>
  <si>
    <t>and post-closure care costs</t>
  </si>
  <si>
    <t>Intergovernmental payables</t>
  </si>
  <si>
    <t>Terrebonne Parish 2013 Statement of Net Assets</t>
  </si>
  <si>
    <t>Investment in joint venture</t>
  </si>
  <si>
    <t>Grant Advancements</t>
  </si>
  <si>
    <t>General governments</t>
  </si>
  <si>
    <t>Streets and drainage</t>
  </si>
  <si>
    <t>Economic development and assistance</t>
  </si>
  <si>
    <t>Urban redevelopment and assistance</t>
  </si>
  <si>
    <t>Utilities</t>
  </si>
  <si>
    <t>Sewerage</t>
  </si>
  <si>
    <t>Union Parish 2013 Statement of Net Assets</t>
  </si>
  <si>
    <t>Certificates of indebtedness due in more than one year</t>
  </si>
  <si>
    <t>Public building revenue bonds due within one year</t>
  </si>
  <si>
    <t>Public building revenue bonds due in more than one year</t>
  </si>
  <si>
    <t>Landfill closure/postclosure care</t>
  </si>
  <si>
    <t>\</t>
  </si>
  <si>
    <t>Restricted for landfill closure/postclosure care</t>
  </si>
  <si>
    <t>Vermillion Parish 2013 Statement of Net Assets</t>
  </si>
  <si>
    <t>Tourist Commission</t>
  </si>
  <si>
    <t>Vernon Parish 2013 Statement of Net Assets</t>
  </si>
  <si>
    <t>Investments, at fair market value</t>
  </si>
  <si>
    <t>Receivebles</t>
  </si>
  <si>
    <t>Library book collection</t>
  </si>
  <si>
    <t>Employee benefits</t>
  </si>
  <si>
    <t>Washington Parish 2013 Statement of Net Assets</t>
  </si>
  <si>
    <t>FEMA receivable</t>
  </si>
  <si>
    <t>Due from other funds</t>
  </si>
  <si>
    <t>Notes receivable</t>
  </si>
  <si>
    <t>Equity in Choctaw Road Landfill</t>
  </si>
  <si>
    <t>Restricted other assets</t>
  </si>
  <si>
    <t>Advanced revenue</t>
  </si>
  <si>
    <t>OPEB liability</t>
  </si>
  <si>
    <t>Portion due within one year</t>
  </si>
  <si>
    <t>Portion due in more than one year</t>
  </si>
  <si>
    <t xml:space="preserve">Solid waste disposal </t>
  </si>
  <si>
    <t>Highways and bridges</t>
  </si>
  <si>
    <t>Webster Parish 2013 Statement of Net Assets</t>
  </si>
  <si>
    <t>Accounts payable vendors</t>
  </si>
  <si>
    <t>Accrued payroll liabilities</t>
  </si>
  <si>
    <t>Escrow payable</t>
  </si>
  <si>
    <t>Taxes paid under protest</t>
  </si>
  <si>
    <t>Solid waste collection, road and jail</t>
  </si>
  <si>
    <t>Road</t>
  </si>
  <si>
    <t>Courthouse and health unit</t>
  </si>
  <si>
    <t>DA salaries and benefits</t>
  </si>
  <si>
    <t>Criminal court</t>
  </si>
  <si>
    <t>Court reporter</t>
  </si>
  <si>
    <t>Grants</t>
  </si>
  <si>
    <t>West Baton Rouge Parish 2013 Statement of Net Assets</t>
  </si>
  <si>
    <t>Investments - restricted</t>
  </si>
  <si>
    <t>Grant advances</t>
  </si>
  <si>
    <t>Unavailable revenue - property taxes</t>
  </si>
  <si>
    <t>Poydras endowment</t>
  </si>
  <si>
    <t>West Carroll Parish 2013 Statement of Net Assets</t>
  </si>
  <si>
    <t>Deposits held in trust</t>
  </si>
  <si>
    <t>Landfill closure/post closure care</t>
  </si>
  <si>
    <t>Protested taxes held pending settlement</t>
  </si>
  <si>
    <t>Landfill closure/postclosure</t>
  </si>
  <si>
    <t>West Feliciana Parish 2013 Statement of Net Assets</t>
  </si>
  <si>
    <t>Certificates of deposit</t>
  </si>
  <si>
    <t>Accounts receivable (net)</t>
  </si>
  <si>
    <t>Accrued expenses and other liabilities</t>
  </si>
  <si>
    <t>Long-term liablilities:</t>
  </si>
  <si>
    <t>Due beyond one year</t>
  </si>
  <si>
    <t>Recreation</t>
  </si>
  <si>
    <t>Winn Parish 2013 Statement of Net Assets</t>
  </si>
  <si>
    <t>Infrastructure - roads</t>
  </si>
  <si>
    <t>2013-SONA</t>
  </si>
  <si>
    <t>Assets:</t>
  </si>
  <si>
    <t>Liabilities:</t>
  </si>
  <si>
    <t xml:space="preserve">Non-Current/Long-Term Liabilities: </t>
  </si>
  <si>
    <t>Denotes Error Found in Statement</t>
  </si>
  <si>
    <t>Capital Assets</t>
  </si>
  <si>
    <t>Transfers</t>
  </si>
  <si>
    <t>Other Assets</t>
  </si>
  <si>
    <t>Total Assets (Sum)</t>
  </si>
  <si>
    <t>Accuracy</t>
  </si>
  <si>
    <t xml:space="preserve">Deferred Outflows </t>
  </si>
  <si>
    <t>Accounts Payable</t>
  </si>
  <si>
    <t>Compensated Absences Payable</t>
  </si>
  <si>
    <t>Bonds Payable Due within 1 Year</t>
  </si>
  <si>
    <t>Bonds Payable Due after 1 Year</t>
  </si>
  <si>
    <t>Government Transfers</t>
  </si>
  <si>
    <t>Payable within 1 Year</t>
  </si>
  <si>
    <t>Payable after 1 Year</t>
  </si>
  <si>
    <t>Other Liabilities</t>
  </si>
  <si>
    <t>Total Liabilities (Sum)</t>
  </si>
  <si>
    <t xml:space="preserve">Deferred Inflows </t>
  </si>
  <si>
    <t>Parish's Statement Not Available</t>
  </si>
  <si>
    <t>PARISH</t>
  </si>
  <si>
    <t>County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</si>
  <si>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</si>
  <si>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</si>
  <si>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</si>
  <si>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</si>
  <si>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</si>
  <si>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</si>
  <si>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</si>
  <si>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</si>
  <si>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</si>
  <si>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</si>
  <si>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</si>
  <si>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</si>
  <si>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</si>
  <si>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</si>
  <si>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</si>
  <si>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</si>
  <si>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</si>
  <si>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</si>
  <si>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</si>
  <si>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</si>
  <si>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</si>
  <si>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</si>
  <si>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</si>
  <si>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</si>
  <si>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</si>
  <si>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</si>
  <si>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</si>
  <si>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</si>
  <si>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</si>
  <si>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</si>
  <si>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 xml:space="preserve">Livingston </t>
  </si>
  <si>
    <t>Madison</t>
  </si>
  <si>
    <t>Morehouse</t>
  </si>
  <si>
    <t>Natchitoches</t>
  </si>
  <si>
    <t>Orleans</t>
  </si>
  <si>
    <t>Ouachita</t>
  </si>
  <si>
    <t>Plaquemines</t>
  </si>
  <si>
    <t>Point Coupee</t>
  </si>
  <si>
    <t>Rapides</t>
  </si>
  <si>
    <t>Red River</t>
  </si>
  <si>
    <t>Richland</t>
  </si>
  <si>
    <t>Sabine</t>
  </si>
  <si>
    <t>St Bernard</t>
  </si>
  <si>
    <t>St Charles</t>
  </si>
  <si>
    <t>St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</si>
  <si>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</si>
  <si>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</si>
  <si>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</si>
  <si>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</si>
  <si>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</si>
  <si>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</si>
  <si>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</si>
  <si>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</si>
  <si>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</si>
  <si>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</si>
  <si>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</si>
  <si>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</si>
  <si>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</si>
  <si>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</si>
  <si>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</si>
  <si>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</si>
  <si>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</si>
  <si>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</si>
  <si>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Totals</t>
  </si>
  <si>
    <t>Net Assets:</t>
  </si>
  <si>
    <t>Invested in Capital Assets, Net of Related Debt</t>
  </si>
  <si>
    <t>Restricted Assets</t>
  </si>
  <si>
    <t>Unrestricted Assets</t>
  </si>
  <si>
    <t>Total Net Assets (Sum)</t>
  </si>
  <si>
    <t>Total Liabilites and Net Assets (Sum)</t>
  </si>
  <si>
    <t>Cash (Current - Inventory)</t>
  </si>
  <si>
    <t>Non-Current</t>
  </si>
  <si>
    <t>Livingston</t>
  </si>
  <si>
    <t>Pointe Coupee</t>
  </si>
  <si>
    <t>St. Bernard</t>
  </si>
  <si>
    <t>St. Charles</t>
  </si>
  <si>
    <t>St. Helena</t>
  </si>
  <si>
    <t>Vermilion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</si>
</sst>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b/>
      <i/>
      <sz val="11"/>
      <name val="Arial Black"/>
      <family val="2"/>
    </font>
    <font>
      <b/>
      <sz val="12"/>
      <color indexed="8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Calibri"/>
      <family val="2"/>
    </font>
    <font>
      <b/>
      <sz val="11"/>
      <color indexed="8"/>
      <name val="Arial"/>
      <family val="2"/>
    </font>
    <font>
      <b/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6" borderId="0" xfId="0" applyFont="1" applyFill="1"/>
    <xf numFmtId="0" fontId="0" fillId="6" borderId="0" xfId="0" applyFill="1"/>
    <xf numFmtId="0" fontId="1" fillId="4" borderId="0" xfId="0" applyFont="1" applyFill="1"/>
    <xf numFmtId="0" fontId="0" fillId="4" borderId="0" xfId="0" applyFill="1"/>
    <xf numFmtId="0" fontId="4" fillId="13" borderId="0" xfId="0" applyFont="1" applyFill="1"/>
    <xf numFmtId="0" fontId="4" fillId="14" borderId="0" xfId="0" applyFont="1" applyFill="1"/>
    <xf numFmtId="0" fontId="6" fillId="15" borderId="3" xfId="0" applyFont="1" applyFill="1" applyBorder="1"/>
    <xf numFmtId="0" fontId="0" fillId="15" borderId="4" xfId="0" applyFill="1" applyBorder="1"/>
    <xf numFmtId="0" fontId="0" fillId="0" borderId="5" xfId="0" applyBorder="1"/>
    <xf numFmtId="0" fontId="0" fillId="0" borderId="6" xfId="0" applyBorder="1"/>
    <xf numFmtId="0" fontId="0" fillId="16" borderId="4" xfId="0" applyFill="1" applyBorder="1"/>
    <xf numFmtId="0" fontId="0" fillId="13" borderId="0" xfId="0" applyFill="1"/>
    <xf numFmtId="0" fontId="0" fillId="13" borderId="4" xfId="0" applyFill="1" applyBorder="1"/>
    <xf numFmtId="0" fontId="7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/>
    <xf numFmtId="0" fontId="9" fillId="15" borderId="9" xfId="0" applyFont="1" applyFill="1" applyBorder="1"/>
    <xf numFmtId="0" fontId="0" fillId="15" borderId="0" xfId="0" applyFill="1"/>
    <xf numFmtId="0" fontId="0" fillId="17" borderId="7" xfId="0" applyFill="1" applyBorder="1"/>
    <xf numFmtId="0" fontId="0" fillId="17" borderId="8" xfId="0" applyFill="1" applyBorder="1"/>
    <xf numFmtId="0" fontId="0" fillId="16" borderId="0" xfId="0" applyFill="1"/>
    <xf numFmtId="0" fontId="9" fillId="16" borderId="0" xfId="0" applyFont="1" applyFill="1"/>
    <xf numFmtId="0" fontId="10" fillId="16" borderId="3" xfId="0" applyFont="1" applyFill="1" applyBorder="1"/>
    <xf numFmtId="0" fontId="0" fillId="16" borderId="10" xfId="0" applyFill="1" applyBorder="1"/>
    <xf numFmtId="0" fontId="0" fillId="18" borderId="11" xfId="0" applyFill="1" applyBorder="1"/>
    <xf numFmtId="0" fontId="9" fillId="13" borderId="2" xfId="0" applyFont="1" applyFill="1" applyBorder="1"/>
    <xf numFmtId="0" fontId="7" fillId="17" borderId="12" xfId="0" applyFon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8" fillId="2" borderId="10" xfId="0" applyFont="1" applyFill="1" applyBorder="1"/>
    <xf numFmtId="0" fontId="8" fillId="7" borderId="14" xfId="0" applyFont="1" applyFill="1" applyBorder="1"/>
    <xf numFmtId="0" fontId="8" fillId="3" borderId="14" xfId="0" applyFont="1" applyFill="1" applyBorder="1"/>
    <xf numFmtId="0" fontId="8" fillId="5" borderId="14" xfId="0" applyFont="1" applyFill="1" applyBorder="1"/>
    <xf numFmtId="0" fontId="8" fillId="4" borderId="14" xfId="0" applyFont="1" applyFill="1" applyBorder="1"/>
    <xf numFmtId="0" fontId="11" fillId="15" borderId="9" xfId="0" applyFont="1" applyFill="1" applyBorder="1"/>
    <xf numFmtId="0" fontId="12" fillId="17" borderId="15" xfId="0" applyFont="1" applyFill="1" applyBorder="1" applyAlignment="1">
      <alignment horizontal="center"/>
    </xf>
    <xf numFmtId="0" fontId="12" fillId="17" borderId="16" xfId="0" applyFont="1" applyFill="1" applyBorder="1" applyAlignment="1">
      <alignment horizontal="center"/>
    </xf>
    <xf numFmtId="0" fontId="8" fillId="7" borderId="10" xfId="0" applyFont="1" applyFill="1" applyBorder="1"/>
    <xf numFmtId="0" fontId="8" fillId="9" borderId="14" xfId="0" applyFont="1" applyFill="1" applyBorder="1"/>
    <xf numFmtId="0" fontId="8" fillId="8" borderId="14" xfId="0" applyFont="1" applyFill="1" applyBorder="1"/>
    <xf numFmtId="0" fontId="8" fillId="19" borderId="14" xfId="0" applyFont="1" applyFill="1" applyBorder="1"/>
    <xf numFmtId="0" fontId="8" fillId="2" borderId="14" xfId="0" applyFont="1" applyFill="1" applyBorder="1"/>
    <xf numFmtId="0" fontId="11" fillId="16" borderId="9" xfId="0" applyFont="1" applyFill="1" applyBorder="1"/>
    <xf numFmtId="0" fontId="0" fillId="13" borderId="9" xfId="0" applyFill="1" applyBorder="1"/>
    <xf numFmtId="0" fontId="8" fillId="10" borderId="14" xfId="0" applyFont="1" applyFill="1" applyBorder="1"/>
    <xf numFmtId="0" fontId="8" fillId="11" borderId="14" xfId="0" applyFont="1" applyFill="1" applyBorder="1"/>
    <xf numFmtId="0" fontId="8" fillId="12" borderId="3" xfId="0" applyFont="1" applyFill="1" applyBorder="1"/>
    <xf numFmtId="0" fontId="11" fillId="13" borderId="17" xfId="0" applyFont="1" applyFill="1" applyBorder="1"/>
    <xf numFmtId="0" fontId="11" fillId="13" borderId="2" xfId="0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/>
    <xf numFmtId="0" fontId="1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4" fillId="0" borderId="0" xfId="0" applyNumberFormat="1" applyFont="1"/>
    <xf numFmtId="0" fontId="0" fillId="17" borderId="0" xfId="0" applyFill="1"/>
    <xf numFmtId="0" fontId="10" fillId="21" borderId="0" xfId="0" applyFont="1" applyFill="1"/>
    <xf numFmtId="0" fontId="4" fillId="21" borderId="0" xfId="0" applyFont="1" applyFill="1"/>
    <xf numFmtId="3" fontId="4" fillId="21" borderId="0" xfId="0" applyNumberFormat="1" applyFont="1" applyFill="1"/>
    <xf numFmtId="0" fontId="15" fillId="21" borderId="0" xfId="0" applyFont="1" applyFill="1" applyAlignment="1">
      <alignment horizontal="center"/>
    </xf>
    <xf numFmtId="3" fontId="4" fillId="21" borderId="0" xfId="0" applyNumberFormat="1" applyFont="1" applyFill="1" applyAlignment="1">
      <alignment horizontal="center"/>
    </xf>
    <xf numFmtId="3" fontId="4" fillId="9" borderId="0" xfId="0" applyNumberFormat="1" applyFont="1" applyFill="1" applyAlignment="1">
      <alignment horizontal="center"/>
    </xf>
    <xf numFmtId="0" fontId="8" fillId="23" borderId="14" xfId="0" applyFont="1" applyFill="1" applyBorder="1"/>
    <xf numFmtId="0" fontId="8" fillId="24" borderId="14" xfId="0" applyFont="1" applyFill="1" applyBorder="1"/>
    <xf numFmtId="0" fontId="4" fillId="0" borderId="1" xfId="0" applyFont="1" applyBorder="1" applyAlignment="1">
      <alignment horizontal="center"/>
    </xf>
    <xf numFmtId="0" fontId="0" fillId="22" borderId="0" xfId="0" applyFill="1"/>
    <xf numFmtId="0" fontId="0" fillId="22" borderId="5" xfId="0" applyFill="1" applyBorder="1"/>
    <xf numFmtId="0" fontId="0" fillId="22" borderId="7" xfId="0" applyFill="1" applyBorder="1"/>
    <xf numFmtId="0" fontId="12" fillId="22" borderId="15" xfId="0" applyFont="1" applyFill="1" applyBorder="1" applyAlignment="1">
      <alignment horizontal="center"/>
    </xf>
    <xf numFmtId="3" fontId="4" fillId="9" borderId="0" xfId="0" applyNumberFormat="1" applyFont="1" applyFill="1"/>
    <xf numFmtId="0" fontId="15" fillId="9" borderId="0" xfId="0" applyFont="1" applyFill="1" applyAlignment="1">
      <alignment horizontal="center"/>
    </xf>
    <xf numFmtId="37" fontId="5" fillId="0" borderId="0" xfId="0" applyNumberFormat="1" applyFont="1"/>
    <xf numFmtId="37" fontId="0" fillId="2" borderId="0" xfId="0" applyNumberFormat="1" applyFill="1"/>
    <xf numFmtId="37" fontId="0" fillId="3" borderId="0" xfId="0" applyNumberFormat="1" applyFill="1"/>
    <xf numFmtId="37" fontId="0" fillId="4" borderId="0" xfId="0" applyNumberFormat="1" applyFill="1"/>
    <xf numFmtId="37" fontId="0" fillId="5" borderId="0" xfId="0" applyNumberFormat="1" applyFill="1"/>
    <xf numFmtId="37" fontId="0" fillId="0" borderId="4" xfId="0" applyNumberFormat="1" applyBorder="1"/>
    <xf numFmtId="37" fontId="1" fillId="6" borderId="0" xfId="0" applyNumberFormat="1" applyFont="1" applyFill="1"/>
    <xf numFmtId="37" fontId="0" fillId="0" borderId="0" xfId="0" applyNumberFormat="1"/>
    <xf numFmtId="37" fontId="0" fillId="7" borderId="0" xfId="0" applyNumberFormat="1" applyFill="1"/>
    <xf numFmtId="37" fontId="0" fillId="8" borderId="0" xfId="0" applyNumberFormat="1" applyFill="1"/>
    <xf numFmtId="37" fontId="0" fillId="9" borderId="0" xfId="0" applyNumberFormat="1" applyFill="1"/>
    <xf numFmtId="37" fontId="1" fillId="4" borderId="0" xfId="0" applyNumberFormat="1" applyFont="1" applyFill="1"/>
    <xf numFmtId="37" fontId="0" fillId="10" borderId="0" xfId="0" applyNumberFormat="1" applyFill="1"/>
    <xf numFmtId="37" fontId="0" fillId="11" borderId="0" xfId="0" applyNumberFormat="1" applyFill="1"/>
    <xf numFmtId="37" fontId="0" fillId="12" borderId="2" xfId="0" applyNumberFormat="1" applyFill="1" applyBorder="1"/>
    <xf numFmtId="37" fontId="4" fillId="13" borderId="0" xfId="0" applyNumberFormat="1" applyFont="1" applyFill="1"/>
    <xf numFmtId="0" fontId="1" fillId="0" borderId="2" xfId="0" applyFont="1" applyBorder="1" applyAlignment="1">
      <alignment wrapText="1"/>
    </xf>
    <xf numFmtId="37" fontId="0" fillId="24" borderId="0" xfId="0" applyNumberFormat="1" applyFill="1"/>
    <xf numFmtId="37" fontId="0" fillId="5" borderId="2" xfId="0" applyNumberFormat="1" applyFill="1" applyBorder="1"/>
    <xf numFmtId="37" fontId="0" fillId="19" borderId="0" xfId="0" applyNumberFormat="1" applyFill="1"/>
    <xf numFmtId="37" fontId="0" fillId="12" borderId="0" xfId="0" applyNumberFormat="1" applyFill="1"/>
    <xf numFmtId="37" fontId="4" fillId="25" borderId="0" xfId="0" applyNumberFormat="1" applyFont="1" applyFill="1"/>
    <xf numFmtId="37" fontId="4" fillId="10" borderId="0" xfId="0" applyNumberFormat="1" applyFont="1" applyFill="1"/>
    <xf numFmtId="37" fontId="0" fillId="23" borderId="0" xfId="0" applyNumberForma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7" fontId="5" fillId="0" borderId="2" xfId="0" applyNumberFormat="1" applyFont="1" applyBorder="1" applyAlignment="1">
      <alignment horizontal="center" wrapText="1"/>
    </xf>
    <xf numFmtId="37" fontId="1" fillId="0" borderId="0" xfId="0" applyNumberFormat="1" applyFont="1"/>
    <xf numFmtId="37" fontId="4" fillId="0" borderId="0" xfId="0" applyNumberFormat="1" applyFont="1"/>
    <xf numFmtId="0" fontId="1" fillId="26" borderId="0" xfId="0" applyFont="1" applyFill="1"/>
    <xf numFmtId="37" fontId="1" fillId="26" borderId="0" xfId="0" applyNumberFormat="1" applyFont="1" applyFill="1"/>
    <xf numFmtId="0" fontId="0" fillId="26" borderId="0" xfId="0" applyFill="1"/>
    <xf numFmtId="0" fontId="5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37" fontId="0" fillId="4" borderId="0" xfId="0" applyNumberFormat="1" applyFill="1" applyAlignment="1">
      <alignment horizontal="right"/>
    </xf>
    <xf numFmtId="0" fontId="16" fillId="0" borderId="2" xfId="0" applyFont="1" applyBorder="1" applyAlignment="1">
      <alignment wrapText="1"/>
    </xf>
    <xf numFmtId="37" fontId="0" fillId="0" borderId="0" xfId="0" applyNumberFormat="1" applyAlignment="1">
      <alignment horizontal="right"/>
    </xf>
    <xf numFmtId="0" fontId="1" fillId="0" borderId="0" xfId="0" applyFont="1" applyAlignment="1">
      <alignment wrapText="1"/>
    </xf>
    <xf numFmtId="37" fontId="0" fillId="7" borderId="0" xfId="0" applyNumberFormat="1" applyFill="1" applyAlignment="1">
      <alignment horizontal="right"/>
    </xf>
    <xf numFmtId="0" fontId="3" fillId="26" borderId="0" xfId="0" applyFont="1" applyFill="1"/>
    <xf numFmtId="0" fontId="4" fillId="26" borderId="0" xfId="0" applyFont="1" applyFill="1"/>
    <xf numFmtId="3" fontId="0" fillId="26" borderId="0" xfId="0" applyNumberFormat="1" applyFill="1"/>
    <xf numFmtId="3" fontId="0" fillId="26" borderId="0" xfId="0" applyNumberFormat="1" applyFill="1" applyAlignment="1">
      <alignment horizontal="center"/>
    </xf>
    <xf numFmtId="3" fontId="4" fillId="26" borderId="0" xfId="0" applyNumberFormat="1" applyFont="1" applyFill="1"/>
    <xf numFmtId="3" fontId="7" fillId="27" borderId="0" xfId="0" applyNumberFormat="1" applyFont="1" applyFill="1" applyAlignment="1">
      <alignment horizontal="center"/>
    </xf>
    <xf numFmtId="0" fontId="16" fillId="0" borderId="0" xfId="0" applyFont="1" applyAlignment="1">
      <alignment wrapText="1"/>
    </xf>
    <xf numFmtId="37" fontId="1" fillId="0" borderId="4" xfId="0" applyNumberFormat="1" applyFont="1" applyBorder="1"/>
    <xf numFmtId="37" fontId="4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28" borderId="0" xfId="0" applyFont="1" applyFill="1"/>
    <xf numFmtId="37" fontId="4" fillId="28" borderId="0" xfId="0" applyNumberFormat="1" applyFont="1" applyFill="1"/>
    <xf numFmtId="0" fontId="16" fillId="0" borderId="0" xfId="0" applyFont="1" applyAlignment="1">
      <alignment horizontal="center" wrapText="1"/>
    </xf>
    <xf numFmtId="3" fontId="7" fillId="29" borderId="0" xfId="0" applyNumberFormat="1" applyFont="1" applyFill="1" applyAlignment="1">
      <alignment horizontal="center"/>
    </xf>
    <xf numFmtId="37" fontId="0" fillId="23" borderId="0" xfId="0" applyNumberFormat="1" applyFill="1" applyAlignment="1">
      <alignment horizontal="right"/>
    </xf>
    <xf numFmtId="0" fontId="1" fillId="28" borderId="0" xfId="0" applyFont="1" applyFill="1"/>
    <xf numFmtId="37" fontId="1" fillId="28" borderId="0" xfId="0" applyNumberFormat="1" applyFont="1" applyFill="1"/>
    <xf numFmtId="0" fontId="16" fillId="0" borderId="1" xfId="0" applyFont="1" applyBorder="1" applyAlignment="1">
      <alignment horizontal="center" wrapText="1"/>
    </xf>
    <xf numFmtId="0" fontId="0" fillId="30" borderId="0" xfId="0" applyFill="1"/>
    <xf numFmtId="0" fontId="4" fillId="0" borderId="0" xfId="0" applyFont="1" applyAlignment="1">
      <alignment horizontal="center" wrapText="1"/>
    </xf>
    <xf numFmtId="0" fontId="0" fillId="0" borderId="4" xfId="0" applyBorder="1"/>
    <xf numFmtId="0" fontId="1" fillId="30" borderId="0" xfId="0" applyFont="1" applyFill="1"/>
    <xf numFmtId="37" fontId="0" fillId="30" borderId="0" xfId="0" applyNumberFormat="1" applyFill="1"/>
    <xf numFmtId="37" fontId="1" fillId="0" borderId="1" xfId="0" applyNumberFormat="1" applyFont="1" applyBorder="1"/>
    <xf numFmtId="37" fontId="0" fillId="31" borderId="0" xfId="0" applyNumberFormat="1" applyFill="1"/>
    <xf numFmtId="37" fontId="0" fillId="0" borderId="2" xfId="0" applyNumberFormat="1" applyBorder="1"/>
    <xf numFmtId="37" fontId="0" fillId="32" borderId="0" xfId="0" applyNumberFormat="1" applyFill="1"/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37" fontId="0" fillId="31" borderId="0" xfId="0" applyNumberFormat="1" applyFill="1" applyAlignment="1">
      <alignment horizontal="right"/>
    </xf>
    <xf numFmtId="0" fontId="4" fillId="0" borderId="0" xfId="0" applyFont="1" applyAlignment="1">
      <alignment wrapText="1"/>
    </xf>
    <xf numFmtId="37" fontId="1" fillId="30" borderId="1" xfId="0" applyNumberFormat="1" applyFont="1" applyFill="1" applyBorder="1"/>
    <xf numFmtId="37" fontId="1" fillId="30" borderId="4" xfId="0" applyNumberFormat="1" applyFont="1" applyFill="1" applyBorder="1"/>
    <xf numFmtId="0" fontId="1" fillId="0" borderId="0" xfId="0" applyFont="1" applyAlignment="1">
      <alignment horizontal="center" wrapText="1"/>
    </xf>
    <xf numFmtId="0" fontId="0" fillId="0" borderId="2" xfId="0" applyBorder="1"/>
    <xf numFmtId="37" fontId="0" fillId="8" borderId="0" xfId="0" applyNumberFormat="1" applyFill="1" applyAlignment="1">
      <alignment horizontal="right"/>
    </xf>
    <xf numFmtId="37" fontId="0" fillId="9" borderId="0" xfId="0" applyNumberFormat="1" applyFill="1" applyAlignment="1">
      <alignment horizontal="right"/>
    </xf>
    <xf numFmtId="0" fontId="1" fillId="0" borderId="2" xfId="0" applyFont="1" applyBorder="1"/>
    <xf numFmtId="37" fontId="4" fillId="33" borderId="0" xfId="0" applyNumberFormat="1" applyFont="1" applyFill="1"/>
    <xf numFmtId="37" fontId="0" fillId="26" borderId="0" xfId="0" applyNumberFormat="1" applyFill="1"/>
    <xf numFmtId="3" fontId="4" fillId="21" borderId="0" xfId="0" applyNumberFormat="1" applyFont="1" applyFill="1" applyAlignment="1">
      <alignment horizontal="right"/>
    </xf>
    <xf numFmtId="2" fontId="0" fillId="2" borderId="0" xfId="0" applyNumberFormat="1" applyFill="1"/>
    <xf numFmtId="2" fontId="0" fillId="3" borderId="0" xfId="0" applyNumberFormat="1" applyFill="1"/>
    <xf numFmtId="2" fontId="0" fillId="24" borderId="0" xfId="0" applyNumberFormat="1" applyFill="1"/>
    <xf numFmtId="2" fontId="0" fillId="5" borderId="2" xfId="0" applyNumberFormat="1" applyFill="1" applyBorder="1"/>
    <xf numFmtId="2" fontId="1" fillId="6" borderId="0" xfId="0" applyNumberFormat="1" applyFont="1" applyFill="1"/>
    <xf numFmtId="2" fontId="0" fillId="7" borderId="0" xfId="0" applyNumberFormat="1" applyFill="1"/>
    <xf numFmtId="2" fontId="0" fillId="23" borderId="0" xfId="0" applyNumberFormat="1" applyFill="1"/>
    <xf numFmtId="2" fontId="0" fillId="9" borderId="0" xfId="0" applyNumberFormat="1" applyFill="1"/>
    <xf numFmtId="2" fontId="0" fillId="0" borderId="4" xfId="0" applyNumberFormat="1" applyBorder="1"/>
    <xf numFmtId="2" fontId="1" fillId="4" borderId="0" xfId="0" applyNumberFormat="1" applyFont="1" applyFill="1"/>
    <xf numFmtId="2" fontId="0" fillId="0" borderId="0" xfId="0" applyNumberFormat="1"/>
    <xf numFmtId="2" fontId="0" fillId="10" borderId="0" xfId="0" applyNumberFormat="1" applyFill="1"/>
    <xf numFmtId="2" fontId="0" fillId="11" borderId="0" xfId="0" applyNumberFormat="1" applyFill="1"/>
    <xf numFmtId="2" fontId="0" fillId="12" borderId="0" xfId="0" applyNumberFormat="1" applyFill="1"/>
    <xf numFmtId="2" fontId="4" fillId="25" borderId="0" xfId="0" applyNumberFormat="1" applyFont="1" applyFill="1"/>
    <xf numFmtId="0" fontId="17" fillId="13" borderId="9" xfId="0" applyFont="1" applyFill="1" applyBorder="1" applyAlignment="1">
      <alignment wrapText="1"/>
    </xf>
    <xf numFmtId="0" fontId="17" fillId="13" borderId="9" xfId="0" applyFont="1" applyFill="1" applyBorder="1" applyAlignment="1">
      <alignment horizontal="center" wrapText="1"/>
    </xf>
    <xf numFmtId="3" fontId="18" fillId="26" borderId="0" xfId="0" applyNumberFormat="1" applyFont="1" applyFill="1"/>
    <xf numFmtId="3" fontId="18" fillId="0" borderId="0" xfId="0" applyNumberFormat="1" applyFont="1"/>
    <xf numFmtId="0" fontId="19" fillId="0" borderId="0" xfId="0" applyFont="1" applyAlignment="1">
      <alignment horizontal="center"/>
    </xf>
    <xf numFmtId="0" fontId="22" fillId="0" borderId="3" xfId="0" applyFont="1" applyBorder="1"/>
    <xf numFmtId="0" fontId="0" fillId="0" borderId="18" xfId="0" applyBorder="1"/>
    <xf numFmtId="0" fontId="21" fillId="0" borderId="0" xfId="0" applyFont="1" applyAlignment="1">
      <alignment horizontal="center"/>
    </xf>
    <xf numFmtId="0" fontId="23" fillId="0" borderId="0" xfId="0" applyFont="1"/>
    <xf numFmtId="0" fontId="9" fillId="0" borderId="9" xfId="0" applyFont="1" applyBorder="1"/>
    <xf numFmtId="0" fontId="0" fillId="0" borderId="7" xfId="0" applyBorder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21" fillId="0" borderId="7" xfId="0" applyFont="1" applyBorder="1" applyAlignment="1">
      <alignment horizontal="center"/>
    </xf>
    <xf numFmtId="0" fontId="8" fillId="0" borderId="10" xfId="0" applyFont="1" applyBorder="1"/>
    <xf numFmtId="0" fontId="8" fillId="0" borderId="14" xfId="0" applyFont="1" applyBorder="1"/>
    <xf numFmtId="0" fontId="11" fillId="0" borderId="9" xfId="0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7" xfId="0" applyFont="1" applyBorder="1"/>
    <xf numFmtId="0" fontId="11" fillId="0" borderId="2" xfId="0" applyFont="1" applyBorder="1"/>
    <xf numFmtId="0" fontId="24" fillId="0" borderId="0" xfId="0" applyFont="1"/>
    <xf numFmtId="0" fontId="17" fillId="0" borderId="0" xfId="0" applyFont="1"/>
    <xf numFmtId="3" fontId="21" fillId="0" borderId="0" xfId="0" applyNumberFormat="1" applyFont="1" applyAlignment="1">
      <alignment horizontal="center"/>
    </xf>
    <xf numFmtId="3" fontId="23" fillId="0" borderId="0" xfId="0" applyNumberFormat="1" applyFo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4" fontId="1" fillId="0" borderId="0" xfId="1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15" borderId="5" xfId="0" applyFon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0" fontId="13" fillId="20" borderId="5" xfId="0" applyFont="1" applyFill="1" applyBorder="1" applyAlignment="1">
      <alignment horizontal="center"/>
    </xf>
    <xf numFmtId="0" fontId="13" fillId="20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34" borderId="0" xfId="0" applyFont="1" applyFill="1"/>
    <xf numFmtId="0" fontId="4" fillId="34" borderId="0" xfId="0" applyFont="1" applyFill="1"/>
    <xf numFmtId="3" fontId="0" fillId="34" borderId="0" xfId="0" applyNumberFormat="1" applyFill="1"/>
    <xf numFmtId="3" fontId="0" fillId="34" borderId="0" xfId="0" applyNumberFormat="1" applyFill="1" applyAlignment="1">
      <alignment horizontal="center"/>
    </xf>
    <xf numFmtId="3" fontId="18" fillId="34" borderId="0" xfId="0" applyNumberFormat="1" applyFont="1" applyFill="1"/>
    <xf numFmtId="3" fontId="4" fillId="34" borderId="0" xfId="0" applyNumberFormat="1" applyFont="1" applyFill="1"/>
    <xf numFmtId="0" fontId="0" fillId="34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800080"/>
      <color rgb="FF33CCCC"/>
      <color rgb="FFFF6600"/>
      <color rgb="FF003366"/>
      <color rgb="FF339966"/>
      <color rgb="FF808000"/>
      <color rgb="FFFF9900"/>
      <color rgb="FF993300"/>
      <color rgb="FFCC99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workbookViewId="0">
      <selection activeCell="H56" sqref="H5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4.28515625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02" t="s">
        <v>0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14.25" customHeight="1">
      <c r="H4" s="71" t="s">
        <v>2</v>
      </c>
    </row>
    <row r="5" spans="1:10" ht="31.5" customHeight="1">
      <c r="H5" s="2" t="s">
        <v>3</v>
      </c>
      <c r="I5" s="94" t="s">
        <v>4</v>
      </c>
      <c r="J5" s="5"/>
    </row>
    <row r="6" spans="1:10">
      <c r="A6" s="3" t="s">
        <v>5</v>
      </c>
      <c r="D6" s="3"/>
      <c r="G6" s="4"/>
      <c r="H6" s="4"/>
    </row>
    <row r="7" spans="1:10">
      <c r="A7" s="3"/>
      <c r="B7" s="5" t="s">
        <v>6</v>
      </c>
      <c r="D7" s="3"/>
      <c r="G7" s="4"/>
      <c r="H7" s="78"/>
      <c r="I7" s="85"/>
    </row>
    <row r="8" spans="1:10">
      <c r="C8" t="s">
        <v>7</v>
      </c>
      <c r="H8" s="79">
        <v>6387055</v>
      </c>
      <c r="I8" s="85">
        <v>18001</v>
      </c>
    </row>
    <row r="9" spans="1:10">
      <c r="C9" t="s">
        <v>8</v>
      </c>
      <c r="H9" s="86">
        <v>7359136</v>
      </c>
      <c r="I9" s="85"/>
    </row>
    <row r="10" spans="1:10">
      <c r="C10" t="s">
        <v>9</v>
      </c>
      <c r="H10" s="80">
        <v>412930</v>
      </c>
      <c r="I10" s="85"/>
    </row>
    <row r="11" spans="1:10">
      <c r="C11" t="s">
        <v>10</v>
      </c>
      <c r="H11" s="80">
        <v>29556</v>
      </c>
      <c r="I11" s="85"/>
    </row>
    <row r="12" spans="1:10">
      <c r="C12" t="s">
        <v>11</v>
      </c>
      <c r="H12" s="80">
        <v>77797</v>
      </c>
      <c r="I12" s="85">
        <v>14656</v>
      </c>
    </row>
    <row r="13" spans="1:10">
      <c r="C13" t="s">
        <v>12</v>
      </c>
      <c r="H13" s="95">
        <v>6687029</v>
      </c>
      <c r="I13" s="85">
        <v>31151</v>
      </c>
    </row>
    <row r="14" spans="1:10">
      <c r="C14" t="s">
        <v>13</v>
      </c>
      <c r="H14" s="95">
        <v>20793</v>
      </c>
      <c r="I14" s="85"/>
    </row>
    <row r="15" spans="1:10">
      <c r="C15" t="s">
        <v>14</v>
      </c>
      <c r="H15" s="85"/>
      <c r="I15" s="85"/>
    </row>
    <row r="16" spans="1:10">
      <c r="D16" t="s">
        <v>15</v>
      </c>
      <c r="H16" s="82">
        <v>11576953</v>
      </c>
      <c r="I16" s="85"/>
    </row>
    <row r="17" spans="1:9">
      <c r="D17" t="s">
        <v>16</v>
      </c>
      <c r="H17" s="82">
        <v>42893333</v>
      </c>
      <c r="I17" s="85">
        <v>376</v>
      </c>
    </row>
    <row r="18" spans="1:9">
      <c r="H18" s="85"/>
      <c r="I18" s="83"/>
    </row>
    <row r="19" spans="1:9" s="5" customFormat="1">
      <c r="C19" s="6" t="s">
        <v>17</v>
      </c>
      <c r="D19" s="6"/>
      <c r="E19" s="6"/>
      <c r="F19" s="6"/>
      <c r="G19" s="6"/>
      <c r="H19" s="84">
        <f>SUM(H8:H17)</f>
        <v>75444582</v>
      </c>
      <c r="I19" s="84">
        <f>SUM(I8:I17)</f>
        <v>64184</v>
      </c>
    </row>
    <row r="20" spans="1:9">
      <c r="H20" s="85"/>
      <c r="I20" s="85"/>
    </row>
    <row r="21" spans="1:9">
      <c r="A21" s="5" t="s">
        <v>18</v>
      </c>
      <c r="H21" s="85"/>
      <c r="I21" s="85"/>
    </row>
    <row r="22" spans="1:9">
      <c r="C22" t="s">
        <v>19</v>
      </c>
      <c r="H22" s="142">
        <v>40499</v>
      </c>
      <c r="I22" s="142"/>
    </row>
    <row r="23" spans="1:9">
      <c r="H23" s="85"/>
      <c r="I23" s="85"/>
    </row>
    <row r="24" spans="1:9">
      <c r="A24" s="5" t="s">
        <v>20</v>
      </c>
      <c r="H24" s="85"/>
      <c r="I24" s="85"/>
    </row>
    <row r="25" spans="1:9">
      <c r="C25" t="s">
        <v>21</v>
      </c>
      <c r="H25" s="86">
        <v>799857</v>
      </c>
      <c r="I25" s="85">
        <v>4582</v>
      </c>
    </row>
    <row r="26" spans="1:9">
      <c r="C26" t="s">
        <v>22</v>
      </c>
      <c r="H26" s="86">
        <v>30559</v>
      </c>
      <c r="I26" s="85"/>
    </row>
    <row r="27" spans="1:9">
      <c r="C27" t="s">
        <v>23</v>
      </c>
      <c r="H27" s="86">
        <v>326235</v>
      </c>
      <c r="I27" s="85"/>
    </row>
    <row r="28" spans="1:9">
      <c r="C28" t="s">
        <v>24</v>
      </c>
      <c r="H28" s="81">
        <v>26500</v>
      </c>
      <c r="I28" s="85"/>
    </row>
    <row r="29" spans="1:9">
      <c r="C29" t="s">
        <v>25</v>
      </c>
      <c r="H29" s="86">
        <v>79052</v>
      </c>
      <c r="I29" s="85"/>
    </row>
    <row r="30" spans="1:9">
      <c r="C30" t="s">
        <v>26</v>
      </c>
      <c r="H30" s="85"/>
      <c r="I30" s="85">
        <v>20793</v>
      </c>
    </row>
    <row r="31" spans="1:9">
      <c r="C31" t="s">
        <v>27</v>
      </c>
      <c r="H31" s="85"/>
      <c r="I31" s="85"/>
    </row>
    <row r="32" spans="1:9">
      <c r="D32" t="s">
        <v>28</v>
      </c>
      <c r="H32" s="85"/>
      <c r="I32" s="85"/>
    </row>
    <row r="33" spans="1:9">
      <c r="E33" t="s">
        <v>29</v>
      </c>
      <c r="H33" s="87">
        <v>1531435</v>
      </c>
      <c r="I33" s="85"/>
    </row>
    <row r="34" spans="1:9">
      <c r="E34" t="s">
        <v>30</v>
      </c>
      <c r="H34" s="88">
        <v>185605</v>
      </c>
      <c r="I34" s="85"/>
    </row>
    <row r="35" spans="1:9">
      <c r="D35" t="s">
        <v>31</v>
      </c>
      <c r="H35" s="85"/>
      <c r="I35" s="85"/>
    </row>
    <row r="36" spans="1:9">
      <c r="E36" t="s">
        <v>29</v>
      </c>
      <c r="H36" s="80">
        <v>12775783</v>
      </c>
      <c r="I36" s="85"/>
    </row>
    <row r="37" spans="1:9">
      <c r="E37" t="s">
        <v>30</v>
      </c>
      <c r="H37" s="88">
        <v>185605</v>
      </c>
      <c r="I37" s="85"/>
    </row>
    <row r="38" spans="1:9">
      <c r="E38" t="s">
        <v>32</v>
      </c>
      <c r="H38" s="81">
        <v>6893470</v>
      </c>
      <c r="I38" s="85"/>
    </row>
    <row r="39" spans="1:9">
      <c r="H39" s="83"/>
      <c r="I39" s="83"/>
    </row>
    <row r="40" spans="1:9">
      <c r="D40" s="8" t="s">
        <v>33</v>
      </c>
      <c r="E40" s="9"/>
      <c r="F40" s="9"/>
      <c r="G40" s="9"/>
      <c r="H40" s="89">
        <f>SUM(H25:H38)</f>
        <v>22834101</v>
      </c>
      <c r="I40" s="89">
        <f>SUM(I25:I38)</f>
        <v>25375</v>
      </c>
    </row>
    <row r="41" spans="1:9">
      <c r="H41" s="85"/>
      <c r="I41" s="85"/>
    </row>
    <row r="42" spans="1:9">
      <c r="A42" s="5" t="s">
        <v>34</v>
      </c>
      <c r="H42" s="85"/>
      <c r="I42" s="85"/>
    </row>
    <row r="43" spans="1:9">
      <c r="C43" t="s">
        <v>35</v>
      </c>
      <c r="H43" s="142">
        <v>29556</v>
      </c>
      <c r="I43" s="142"/>
    </row>
    <row r="44" spans="1:9">
      <c r="H44" s="85"/>
      <c r="I44" s="85"/>
    </row>
    <row r="45" spans="1:9">
      <c r="A45" s="3" t="s">
        <v>36</v>
      </c>
      <c r="H45" s="85"/>
      <c r="I45" s="85"/>
    </row>
    <row r="46" spans="1:9">
      <c r="B46" t="s">
        <v>37</v>
      </c>
      <c r="H46" s="90">
        <v>40203566</v>
      </c>
      <c r="I46" s="85"/>
    </row>
    <row r="47" spans="1:9">
      <c r="B47" t="s">
        <v>38</v>
      </c>
      <c r="H47" s="85"/>
      <c r="I47" s="85"/>
    </row>
    <row r="48" spans="1:9">
      <c r="C48" t="s">
        <v>39</v>
      </c>
      <c r="H48" s="91">
        <v>1512382</v>
      </c>
      <c r="I48" s="85"/>
    </row>
    <row r="49" spans="2:9">
      <c r="C49" t="s">
        <v>40</v>
      </c>
      <c r="H49" s="91">
        <v>1040484</v>
      </c>
      <c r="I49" s="85"/>
    </row>
    <row r="50" spans="2:9">
      <c r="C50" t="s">
        <v>41</v>
      </c>
      <c r="H50" s="91">
        <v>5372731</v>
      </c>
      <c r="I50" s="85"/>
    </row>
    <row r="51" spans="2:9">
      <c r="B51" t="s">
        <v>42</v>
      </c>
      <c r="H51" s="98">
        <v>4492261</v>
      </c>
      <c r="I51" s="85">
        <v>38809</v>
      </c>
    </row>
    <row r="52" spans="2:9">
      <c r="H52" s="83"/>
      <c r="I52" s="83"/>
    </row>
    <row r="53" spans="2:9" s="3" customFormat="1">
      <c r="C53" s="10" t="s">
        <v>43</v>
      </c>
      <c r="D53" s="10"/>
      <c r="E53" s="10"/>
      <c r="F53" s="10"/>
      <c r="G53" s="10"/>
      <c r="H53" s="99">
        <f>SUM(H46:H51)</f>
        <v>52621424</v>
      </c>
      <c r="I53" s="99">
        <f>SUM(I45:I51)</f>
        <v>38809</v>
      </c>
    </row>
    <row r="54" spans="2:9">
      <c r="H54" s="85"/>
      <c r="I54" s="85"/>
    </row>
    <row r="55" spans="2:9" s="3" customFormat="1">
      <c r="C55" s="11" t="s">
        <v>44</v>
      </c>
      <c r="D55" s="11"/>
      <c r="E55" s="11"/>
      <c r="F55" s="11"/>
      <c r="G55" s="11"/>
      <c r="H55" s="100">
        <f>H53+H43+H40</f>
        <v>75485081</v>
      </c>
      <c r="I55" s="100">
        <f>I53+I43+I40</f>
        <v>64184</v>
      </c>
    </row>
    <row r="56" spans="2:9">
      <c r="H56" s="85"/>
      <c r="I56" s="85"/>
    </row>
  </sheetData>
  <mergeCells count="2">
    <mergeCell ref="D1:H1"/>
    <mergeCell ref="D2:H2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45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9">
        <v>4518521</v>
      </c>
    </row>
    <row r="7" spans="1:7">
      <c r="B7" t="s">
        <v>46</v>
      </c>
      <c r="G7" s="80">
        <v>2958638</v>
      </c>
    </row>
    <row r="8" spans="1:7">
      <c r="B8" t="s">
        <v>47</v>
      </c>
      <c r="G8" s="95">
        <v>549380</v>
      </c>
    </row>
    <row r="9" spans="1:7">
      <c r="B9" t="s">
        <v>48</v>
      </c>
      <c r="G9" s="81">
        <v>25276</v>
      </c>
    </row>
    <row r="10" spans="1:7">
      <c r="B10" t="s">
        <v>49</v>
      </c>
      <c r="G10" s="81">
        <v>4443</v>
      </c>
    </row>
    <row r="11" spans="1:7">
      <c r="B11" t="s">
        <v>50</v>
      </c>
      <c r="G11" s="96">
        <v>24665755</v>
      </c>
    </row>
    <row r="12" spans="1:7">
      <c r="G12" s="85"/>
    </row>
    <row r="13" spans="1:7">
      <c r="A13" s="5"/>
      <c r="B13" s="6" t="s">
        <v>17</v>
      </c>
      <c r="C13" s="6"/>
      <c r="D13" s="6"/>
      <c r="E13" s="6"/>
      <c r="F13" s="6"/>
      <c r="G13" s="84">
        <f>SUM(G6:G11)</f>
        <v>32722013</v>
      </c>
    </row>
    <row r="14" spans="1:7">
      <c r="G14" s="85"/>
    </row>
    <row r="15" spans="1:7">
      <c r="A15" s="5" t="s">
        <v>20</v>
      </c>
      <c r="G15" s="85"/>
    </row>
    <row r="16" spans="1:7">
      <c r="A16" s="5"/>
      <c r="B16" t="s">
        <v>21</v>
      </c>
      <c r="G16" s="86">
        <v>486255</v>
      </c>
    </row>
    <row r="17" spans="1:7">
      <c r="B17" t="s">
        <v>25</v>
      </c>
      <c r="G17" s="86">
        <v>1691</v>
      </c>
    </row>
    <row r="18" spans="1:7">
      <c r="B18" t="s">
        <v>24</v>
      </c>
      <c r="G18" s="81">
        <v>134467</v>
      </c>
    </row>
    <row r="19" spans="1:7">
      <c r="B19" t="s">
        <v>51</v>
      </c>
      <c r="G19" s="87">
        <v>33000</v>
      </c>
    </row>
    <row r="20" spans="1:7">
      <c r="B20" t="s">
        <v>52</v>
      </c>
      <c r="G20" s="88">
        <v>37649</v>
      </c>
    </row>
    <row r="21" spans="1:7">
      <c r="B21" t="s">
        <v>53</v>
      </c>
      <c r="G21" s="79">
        <v>989571</v>
      </c>
    </row>
    <row r="22" spans="1:7">
      <c r="B22" t="s">
        <v>54</v>
      </c>
      <c r="G22" s="80">
        <v>155000</v>
      </c>
    </row>
    <row r="23" spans="1:7">
      <c r="G23" s="83"/>
    </row>
    <row r="24" spans="1:7">
      <c r="C24" s="8" t="s">
        <v>33</v>
      </c>
      <c r="D24" s="9"/>
      <c r="E24" s="9"/>
      <c r="F24" s="9"/>
      <c r="G24" s="89">
        <f>SUM(G16:G22)</f>
        <v>1837633</v>
      </c>
    </row>
    <row r="25" spans="1:7">
      <c r="G25" s="85"/>
    </row>
    <row r="26" spans="1:7">
      <c r="A26" s="3" t="s">
        <v>36</v>
      </c>
      <c r="G26" s="85"/>
    </row>
    <row r="27" spans="1:7">
      <c r="B27" t="s">
        <v>55</v>
      </c>
      <c r="G27" s="90">
        <v>24477755</v>
      </c>
    </row>
    <row r="28" spans="1:7">
      <c r="B28" t="s">
        <v>38</v>
      </c>
      <c r="G28" s="85"/>
    </row>
    <row r="29" spans="1:7">
      <c r="C29" t="s">
        <v>48</v>
      </c>
      <c r="G29" s="91">
        <v>25276</v>
      </c>
    </row>
    <row r="30" spans="1:7">
      <c r="C30" t="s">
        <v>56</v>
      </c>
      <c r="G30" s="91">
        <v>349325</v>
      </c>
    </row>
    <row r="31" spans="1:7">
      <c r="C31" t="s">
        <v>57</v>
      </c>
      <c r="G31" s="91">
        <v>644976</v>
      </c>
    </row>
    <row r="32" spans="1:7">
      <c r="C32" t="s">
        <v>58</v>
      </c>
      <c r="G32" s="91">
        <v>874</v>
      </c>
    </row>
    <row r="33" spans="1:7">
      <c r="C33" t="s">
        <v>59</v>
      </c>
      <c r="G33" s="91">
        <v>4480460</v>
      </c>
    </row>
    <row r="34" spans="1:7">
      <c r="C34" t="s">
        <v>60</v>
      </c>
      <c r="G34" s="91">
        <v>37419</v>
      </c>
    </row>
    <row r="35" spans="1:7">
      <c r="C35" t="s">
        <v>61</v>
      </c>
      <c r="G35" s="91">
        <v>575216</v>
      </c>
    </row>
    <row r="36" spans="1:7">
      <c r="C36" t="s">
        <v>40</v>
      </c>
      <c r="G36" s="91">
        <v>300024</v>
      </c>
    </row>
    <row r="37" spans="1:7">
      <c r="C37" t="s">
        <v>39</v>
      </c>
      <c r="G37" s="91">
        <v>258</v>
      </c>
    </row>
    <row r="38" spans="1:7">
      <c r="B38" t="s">
        <v>42</v>
      </c>
      <c r="G38" s="98">
        <v>-7203</v>
      </c>
    </row>
    <row r="39" spans="1:7">
      <c r="G39" s="83"/>
    </row>
    <row r="40" spans="1:7">
      <c r="A40" s="3"/>
      <c r="B40" s="10" t="s">
        <v>43</v>
      </c>
      <c r="C40" s="10"/>
      <c r="D40" s="10"/>
      <c r="E40" s="10"/>
      <c r="F40" s="10"/>
      <c r="G40" s="99">
        <f>SUM(G27:G38)</f>
        <v>30884380</v>
      </c>
    </row>
    <row r="41" spans="1:7">
      <c r="G41" s="85"/>
    </row>
    <row r="42" spans="1:7">
      <c r="A42" s="3"/>
      <c r="B42" s="11" t="s">
        <v>44</v>
      </c>
      <c r="C42" s="11"/>
      <c r="D42" s="11"/>
      <c r="E42" s="11"/>
      <c r="F42" s="11"/>
      <c r="G42" s="100">
        <f>SUM(G24+G40)</f>
        <v>32722013</v>
      </c>
    </row>
    <row r="43" spans="1:7">
      <c r="G43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"/>
  <sheetViews>
    <sheetView topLeftCell="A16" workbookViewId="0">
      <selection activeCell="J62" sqref="J6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85546875" customWidth="1"/>
    <col min="5" max="5" width="8.7109375" customWidth="1"/>
    <col min="6" max="7" width="12.7109375" customWidth="1"/>
    <col min="8" max="8" width="23" customWidth="1"/>
    <col min="9" max="11" width="17.140625" customWidth="1"/>
    <col min="12" max="12" width="17.28515625" customWidth="1"/>
    <col min="13" max="13" width="13.7109375" bestFit="1" customWidth="1"/>
  </cols>
  <sheetData>
    <row r="1" spans="1:14" ht="18.75" customHeight="1">
      <c r="A1" s="1"/>
      <c r="B1" s="1"/>
      <c r="C1" s="1"/>
      <c r="D1" s="202" t="s">
        <v>62</v>
      </c>
      <c r="E1" s="202"/>
      <c r="F1" s="202"/>
      <c r="G1" s="202"/>
      <c r="H1" s="202"/>
      <c r="I1" s="202"/>
      <c r="J1" s="102"/>
      <c r="K1" s="102"/>
    </row>
    <row r="2" spans="1:14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203"/>
      <c r="J2" s="103"/>
      <c r="K2" s="103"/>
    </row>
    <row r="4" spans="1:14" ht="14.25" customHeight="1">
      <c r="I4" s="204" t="s">
        <v>2</v>
      </c>
      <c r="J4" s="204"/>
      <c r="K4" s="144"/>
      <c r="L4" s="205" t="s">
        <v>4</v>
      </c>
      <c r="M4" s="205"/>
    </row>
    <row r="5" spans="1:14" ht="31.5" customHeight="1">
      <c r="I5" s="104" t="s">
        <v>3</v>
      </c>
      <c r="J5" s="104" t="s">
        <v>63</v>
      </c>
      <c r="K5" s="104" t="s">
        <v>64</v>
      </c>
      <c r="L5" s="104" t="s">
        <v>3</v>
      </c>
      <c r="M5" s="104" t="s">
        <v>63</v>
      </c>
      <c r="N5" s="85"/>
    </row>
    <row r="6" spans="1:14">
      <c r="A6" s="3" t="s">
        <v>5</v>
      </c>
      <c r="D6" s="3"/>
      <c r="H6" s="4"/>
      <c r="I6" s="78"/>
      <c r="J6" s="78"/>
      <c r="K6" s="78"/>
      <c r="L6" s="85"/>
      <c r="M6" s="85"/>
      <c r="N6" s="85"/>
    </row>
    <row r="7" spans="1:14">
      <c r="A7" s="3"/>
      <c r="B7" s="5" t="s">
        <v>6</v>
      </c>
      <c r="D7" s="3"/>
      <c r="H7" s="4"/>
      <c r="I7" s="78"/>
      <c r="J7" s="78"/>
      <c r="K7" s="78"/>
      <c r="L7" s="85"/>
      <c r="M7" s="85"/>
      <c r="N7" s="85"/>
    </row>
    <row r="8" spans="1:14">
      <c r="C8" t="s">
        <v>65</v>
      </c>
      <c r="I8" s="79">
        <v>42404828</v>
      </c>
      <c r="J8" s="85">
        <v>3686409</v>
      </c>
      <c r="K8" s="85">
        <f t="shared" ref="K8:K16" si="0">SUM(I8:J8)</f>
        <v>46091237</v>
      </c>
      <c r="L8" s="85">
        <v>30169983</v>
      </c>
      <c r="M8" s="85">
        <v>457571</v>
      </c>
      <c r="N8" s="85"/>
    </row>
    <row r="9" spans="1:14">
      <c r="C9" t="s">
        <v>8</v>
      </c>
      <c r="I9" s="86">
        <v>93691087</v>
      </c>
      <c r="J9" s="85">
        <v>4127466</v>
      </c>
      <c r="K9" s="85">
        <f t="shared" si="0"/>
        <v>97818553</v>
      </c>
      <c r="L9" s="85">
        <v>4943491</v>
      </c>
      <c r="M9" s="85">
        <v>9681370</v>
      </c>
      <c r="N9" s="85"/>
    </row>
    <row r="10" spans="1:14">
      <c r="C10" t="s">
        <v>66</v>
      </c>
      <c r="I10" s="80">
        <v>31751994</v>
      </c>
      <c r="J10" s="85">
        <v>211156</v>
      </c>
      <c r="K10" s="85">
        <f t="shared" si="0"/>
        <v>31963150</v>
      </c>
      <c r="L10" s="85">
        <v>3767692</v>
      </c>
      <c r="M10" s="85">
        <v>1153256</v>
      </c>
      <c r="N10" s="85"/>
    </row>
    <row r="11" spans="1:14">
      <c r="C11" t="s">
        <v>47</v>
      </c>
      <c r="I11" s="95">
        <v>5021470</v>
      </c>
      <c r="J11" s="85">
        <v>104475</v>
      </c>
      <c r="K11" s="85">
        <f t="shared" si="0"/>
        <v>5125945</v>
      </c>
      <c r="L11" s="85">
        <v>1125619</v>
      </c>
      <c r="M11" s="85"/>
      <c r="N11" s="85"/>
    </row>
    <row r="12" spans="1:14">
      <c r="C12" t="s">
        <v>67</v>
      </c>
      <c r="I12" s="81">
        <v>5</v>
      </c>
      <c r="J12" s="85">
        <v>-5</v>
      </c>
      <c r="K12" s="85">
        <f t="shared" si="0"/>
        <v>0</v>
      </c>
      <c r="L12" s="85"/>
      <c r="M12" s="85"/>
      <c r="N12" s="85"/>
    </row>
    <row r="13" spans="1:14">
      <c r="C13" t="s">
        <v>49</v>
      </c>
      <c r="I13" s="81">
        <v>1008407</v>
      </c>
      <c r="J13" s="85">
        <v>281</v>
      </c>
      <c r="K13" s="85">
        <f t="shared" si="0"/>
        <v>1008688</v>
      </c>
      <c r="L13" s="85">
        <v>173484</v>
      </c>
      <c r="M13" s="85"/>
      <c r="N13" s="85"/>
    </row>
    <row r="14" spans="1:14">
      <c r="C14" t="s">
        <v>48</v>
      </c>
      <c r="I14" s="85"/>
      <c r="J14" s="85">
        <v>22147</v>
      </c>
      <c r="K14" s="85">
        <f t="shared" si="0"/>
        <v>22147</v>
      </c>
      <c r="L14" s="85"/>
      <c r="M14" s="85">
        <v>240233</v>
      </c>
      <c r="N14" s="85"/>
    </row>
    <row r="15" spans="1:14">
      <c r="C15" t="s">
        <v>68</v>
      </c>
      <c r="I15" s="85"/>
      <c r="J15" s="85">
        <v>36464</v>
      </c>
      <c r="K15" s="85">
        <f t="shared" si="0"/>
        <v>36464</v>
      </c>
      <c r="L15" s="85">
        <v>709316</v>
      </c>
      <c r="M15" s="85">
        <v>548502</v>
      </c>
      <c r="N15" s="85"/>
    </row>
    <row r="16" spans="1:14">
      <c r="C16" t="s">
        <v>69</v>
      </c>
      <c r="I16" s="81">
        <v>97173</v>
      </c>
      <c r="J16" s="85"/>
      <c r="K16" s="85">
        <f t="shared" si="0"/>
        <v>97173</v>
      </c>
      <c r="L16" s="85">
        <v>6681</v>
      </c>
      <c r="M16" s="85">
        <v>116241</v>
      </c>
      <c r="N16" s="85"/>
    </row>
    <row r="17" spans="1:14">
      <c r="C17" t="s">
        <v>14</v>
      </c>
      <c r="I17" s="85"/>
      <c r="J17" s="85"/>
      <c r="K17" s="85"/>
      <c r="L17" s="85"/>
      <c r="M17" s="85"/>
      <c r="N17" s="85"/>
    </row>
    <row r="18" spans="1:14">
      <c r="E18" t="s">
        <v>70</v>
      </c>
      <c r="I18" s="82">
        <v>73100022</v>
      </c>
      <c r="J18" s="85">
        <v>941205</v>
      </c>
      <c r="K18" s="85">
        <f>SUM(I18:J18)</f>
        <v>74041227</v>
      </c>
      <c r="L18" s="85">
        <v>1945991</v>
      </c>
      <c r="M18" s="85">
        <v>110902</v>
      </c>
      <c r="N18" s="85"/>
    </row>
    <row r="19" spans="1:14">
      <c r="E19" t="s">
        <v>16</v>
      </c>
      <c r="I19" s="96">
        <v>136464488</v>
      </c>
      <c r="J19" s="85">
        <v>9952083</v>
      </c>
      <c r="K19" s="85">
        <f>SUM(I19:J19)</f>
        <v>146416571</v>
      </c>
      <c r="L19" s="85">
        <v>11921812</v>
      </c>
      <c r="M19" s="85">
        <v>11753708</v>
      </c>
      <c r="N19" s="85"/>
    </row>
    <row r="20" spans="1:14">
      <c r="I20" s="83"/>
      <c r="J20" s="83"/>
      <c r="K20" s="83"/>
      <c r="L20" s="83"/>
      <c r="M20" s="83"/>
      <c r="N20" s="85"/>
    </row>
    <row r="21" spans="1:14" s="5" customFormat="1">
      <c r="C21" s="6" t="s">
        <v>17</v>
      </c>
      <c r="D21" s="6"/>
      <c r="E21" s="6"/>
      <c r="F21" s="6"/>
      <c r="G21" s="6"/>
      <c r="H21" s="6"/>
      <c r="I21" s="84">
        <f>SUM(I8:I19)</f>
        <v>383539474</v>
      </c>
      <c r="J21" s="84">
        <f>SUM(J8:J19)</f>
        <v>19081681</v>
      </c>
      <c r="K21" s="84">
        <f>SUM(K8:K19)</f>
        <v>402621155</v>
      </c>
      <c r="L21" s="84">
        <f>SUM(L8:L19)</f>
        <v>54764069</v>
      </c>
      <c r="M21" s="84">
        <f>SUM(M7:M19)</f>
        <v>24061783</v>
      </c>
      <c r="N21" s="105"/>
    </row>
    <row r="22" spans="1:14">
      <c r="I22" s="85"/>
      <c r="J22" s="85"/>
      <c r="K22" s="85"/>
      <c r="L22" s="85"/>
      <c r="M22" s="85"/>
      <c r="N22" s="85"/>
    </row>
    <row r="23" spans="1:14">
      <c r="A23" s="5" t="s">
        <v>71</v>
      </c>
      <c r="I23" s="85"/>
      <c r="J23" s="85"/>
      <c r="K23" s="85"/>
      <c r="L23" s="85"/>
      <c r="M23" s="85"/>
      <c r="N23" s="85"/>
    </row>
    <row r="24" spans="1:14">
      <c r="B24" t="s">
        <v>72</v>
      </c>
      <c r="I24" s="142">
        <v>294404</v>
      </c>
      <c r="J24" s="142">
        <v>0</v>
      </c>
      <c r="K24" s="142">
        <f>SUM(I24:J24)</f>
        <v>294404</v>
      </c>
      <c r="L24" s="142">
        <v>0</v>
      </c>
      <c r="M24" s="142">
        <v>0</v>
      </c>
      <c r="N24" s="85"/>
    </row>
    <row r="25" spans="1:14">
      <c r="I25" s="85"/>
      <c r="J25" s="85"/>
      <c r="K25" s="85"/>
      <c r="L25" s="85"/>
      <c r="M25" s="85"/>
      <c r="N25" s="85"/>
    </row>
    <row r="26" spans="1:14">
      <c r="C26" s="107" t="s">
        <v>73</v>
      </c>
      <c r="D26" s="107"/>
      <c r="E26" s="107"/>
      <c r="F26" s="107"/>
      <c r="G26" s="107"/>
      <c r="H26" s="107"/>
      <c r="I26" s="108">
        <f>SUM(I24+I21)</f>
        <v>383833878</v>
      </c>
      <c r="J26" s="108">
        <f>J21</f>
        <v>19081681</v>
      </c>
      <c r="K26" s="108">
        <f>K24+K21</f>
        <v>402915559</v>
      </c>
      <c r="L26" s="108">
        <f>L21</f>
        <v>54764069</v>
      </c>
      <c r="M26" s="108">
        <f>M21</f>
        <v>24061783</v>
      </c>
      <c r="N26" s="85"/>
    </row>
    <row r="27" spans="1:14">
      <c r="I27" s="85"/>
      <c r="J27" s="85"/>
      <c r="K27" s="85"/>
      <c r="L27" s="85"/>
      <c r="M27" s="85"/>
      <c r="N27" s="85"/>
    </row>
    <row r="28" spans="1:14">
      <c r="A28" s="5" t="s">
        <v>20</v>
      </c>
      <c r="I28" s="85"/>
      <c r="J28" s="85"/>
      <c r="K28" s="85"/>
      <c r="L28" s="85"/>
      <c r="M28" s="85"/>
      <c r="N28" s="85"/>
    </row>
    <row r="29" spans="1:14">
      <c r="C29" t="s">
        <v>74</v>
      </c>
      <c r="I29" s="86">
        <v>3198900</v>
      </c>
      <c r="J29" s="85">
        <v>565558</v>
      </c>
      <c r="K29" s="85">
        <f>SUM(I29:J29)</f>
        <v>3764458</v>
      </c>
      <c r="L29" s="85">
        <v>3210186</v>
      </c>
      <c r="M29" s="85">
        <v>352605</v>
      </c>
      <c r="N29" s="85"/>
    </row>
    <row r="30" spans="1:14">
      <c r="C30" t="s">
        <v>75</v>
      </c>
      <c r="I30" s="86">
        <v>3980044</v>
      </c>
      <c r="J30" s="85"/>
      <c r="K30" s="85">
        <f t="shared" ref="K30:K39" si="1">SUM(I30:J30)</f>
        <v>3980044</v>
      </c>
      <c r="L30" s="85"/>
      <c r="M30" s="85"/>
      <c r="N30" s="85"/>
    </row>
    <row r="31" spans="1:14">
      <c r="C31" t="s">
        <v>76</v>
      </c>
      <c r="I31" s="101">
        <v>269707</v>
      </c>
      <c r="J31" s="85"/>
      <c r="K31" s="85">
        <f t="shared" si="1"/>
        <v>269707</v>
      </c>
      <c r="L31" s="85">
        <v>1136146</v>
      </c>
      <c r="M31" s="85"/>
      <c r="N31" s="85"/>
    </row>
    <row r="32" spans="1:14">
      <c r="C32" t="s">
        <v>77</v>
      </c>
      <c r="I32" s="101">
        <v>540668</v>
      </c>
      <c r="J32" s="85">
        <v>28220</v>
      </c>
      <c r="K32" s="85">
        <f t="shared" si="1"/>
        <v>568888</v>
      </c>
      <c r="L32" s="85"/>
      <c r="M32" s="85"/>
      <c r="N32" s="85"/>
    </row>
    <row r="33" spans="1:14">
      <c r="C33" t="s">
        <v>78</v>
      </c>
      <c r="I33" s="85"/>
      <c r="J33" s="85">
        <v>36464</v>
      </c>
      <c r="K33" s="85">
        <f t="shared" si="1"/>
        <v>36464</v>
      </c>
      <c r="L33" s="85"/>
      <c r="M33" s="85">
        <v>43501</v>
      </c>
      <c r="N33" s="85"/>
    </row>
    <row r="34" spans="1:14">
      <c r="C34" t="s">
        <v>79</v>
      </c>
      <c r="I34" s="81">
        <v>4524981</v>
      </c>
      <c r="J34" s="85"/>
      <c r="K34" s="85">
        <f t="shared" si="1"/>
        <v>4524981</v>
      </c>
      <c r="L34" s="85"/>
      <c r="M34" s="85"/>
      <c r="N34" s="85"/>
    </row>
    <row r="35" spans="1:14">
      <c r="C35" t="s">
        <v>80</v>
      </c>
      <c r="I35" s="85"/>
      <c r="J35" s="85"/>
      <c r="K35" s="85">
        <f t="shared" si="1"/>
        <v>0</v>
      </c>
      <c r="L35" s="85"/>
      <c r="M35" s="85"/>
      <c r="N35" s="85"/>
    </row>
    <row r="36" spans="1:14">
      <c r="D36" t="s">
        <v>81</v>
      </c>
      <c r="I36" s="87">
        <v>235409</v>
      </c>
      <c r="J36" s="85"/>
      <c r="K36" s="85">
        <f t="shared" si="1"/>
        <v>235409</v>
      </c>
      <c r="L36" s="85"/>
      <c r="M36" s="85"/>
      <c r="N36" s="85"/>
    </row>
    <row r="37" spans="1:14">
      <c r="D37" t="s">
        <v>82</v>
      </c>
      <c r="I37" s="80">
        <v>667416</v>
      </c>
      <c r="J37" s="85"/>
      <c r="K37" s="85">
        <f t="shared" si="1"/>
        <v>667416</v>
      </c>
      <c r="L37" s="85"/>
      <c r="M37" s="85"/>
      <c r="N37" s="85"/>
    </row>
    <row r="38" spans="1:14">
      <c r="C38" t="s">
        <v>83</v>
      </c>
      <c r="I38" s="85"/>
      <c r="J38" s="85"/>
      <c r="K38" s="85">
        <f t="shared" si="1"/>
        <v>0</v>
      </c>
      <c r="L38" s="85"/>
      <c r="M38" s="85"/>
      <c r="N38" s="85"/>
    </row>
    <row r="39" spans="1:14">
      <c r="D39" t="s">
        <v>81</v>
      </c>
      <c r="I39" s="97">
        <v>4335000</v>
      </c>
      <c r="J39" s="85"/>
      <c r="K39" s="85">
        <f t="shared" si="1"/>
        <v>4335000</v>
      </c>
      <c r="L39" s="85">
        <v>551031</v>
      </c>
      <c r="M39" s="85">
        <v>176485</v>
      </c>
      <c r="N39" s="85"/>
    </row>
    <row r="40" spans="1:14">
      <c r="D40" t="s">
        <v>82</v>
      </c>
      <c r="I40" s="79">
        <v>80612569</v>
      </c>
      <c r="J40" s="85"/>
      <c r="K40" s="85">
        <f>SUM(I40:J40)</f>
        <v>80612569</v>
      </c>
      <c r="L40" s="85">
        <v>6694058</v>
      </c>
      <c r="M40" s="85">
        <v>4766994</v>
      </c>
      <c r="N40" s="85"/>
    </row>
    <row r="41" spans="1:14">
      <c r="I41" s="83"/>
      <c r="J41" s="83"/>
      <c r="K41" s="83"/>
      <c r="L41" s="83"/>
      <c r="M41" s="83"/>
      <c r="N41" s="85"/>
    </row>
    <row r="42" spans="1:14" s="5" customFormat="1">
      <c r="D42" s="8" t="s">
        <v>33</v>
      </c>
      <c r="E42" s="8"/>
      <c r="F42" s="8"/>
      <c r="G42" s="8"/>
      <c r="H42" s="8"/>
      <c r="I42" s="89">
        <f>SUM(I29:I40)</f>
        <v>98364694</v>
      </c>
      <c r="J42" s="89">
        <f>SUM(J29:J40)</f>
        <v>630242</v>
      </c>
      <c r="K42" s="89">
        <f>SUM(K29:K40)</f>
        <v>98994936</v>
      </c>
      <c r="L42" s="89">
        <f>SUM(L29:L40)</f>
        <v>11591421</v>
      </c>
      <c r="M42" s="89">
        <f>SUM(M29:M40)</f>
        <v>5339585</v>
      </c>
      <c r="N42" s="105"/>
    </row>
    <row r="43" spans="1:14" s="5" customFormat="1">
      <c r="I43" s="105"/>
      <c r="J43" s="105"/>
      <c r="K43" s="105"/>
      <c r="L43" s="105"/>
      <c r="M43" s="105"/>
      <c r="N43" s="105"/>
    </row>
    <row r="44" spans="1:14" s="5" customFormat="1">
      <c r="A44" s="5" t="s">
        <v>84</v>
      </c>
      <c r="I44" s="105"/>
      <c r="J44" s="105"/>
      <c r="K44" s="105"/>
      <c r="L44" s="105"/>
      <c r="M44" s="105"/>
      <c r="N44" s="105"/>
    </row>
    <row r="45" spans="1:14" s="5" customFormat="1">
      <c r="B45" t="s">
        <v>85</v>
      </c>
      <c r="I45" s="85">
        <v>629856</v>
      </c>
      <c r="J45" s="85">
        <v>0</v>
      </c>
      <c r="K45" s="85">
        <f>SUM(I45:J45)</f>
        <v>629856</v>
      </c>
      <c r="L45" s="85">
        <v>0</v>
      </c>
      <c r="M45" s="85">
        <v>0</v>
      </c>
      <c r="N45" s="105"/>
    </row>
    <row r="46" spans="1:14" s="5" customFormat="1">
      <c r="B46" t="s">
        <v>86</v>
      </c>
      <c r="I46" s="142">
        <v>0</v>
      </c>
      <c r="J46" s="142">
        <v>18770</v>
      </c>
      <c r="K46" s="142">
        <f>SUM(I46:J46)</f>
        <v>18770</v>
      </c>
      <c r="L46" s="142">
        <v>0</v>
      </c>
      <c r="M46" s="142">
        <v>0</v>
      </c>
      <c r="N46" s="105"/>
    </row>
    <row r="47" spans="1:14" s="5" customFormat="1">
      <c r="B47"/>
      <c r="I47" s="85"/>
      <c r="J47" s="85"/>
      <c r="K47" s="85"/>
      <c r="L47" s="85"/>
      <c r="M47" s="85"/>
      <c r="N47" s="105"/>
    </row>
    <row r="48" spans="1:14" s="5" customFormat="1">
      <c r="D48" s="107" t="s">
        <v>87</v>
      </c>
      <c r="E48" s="107"/>
      <c r="F48" s="107"/>
      <c r="G48" s="107"/>
      <c r="H48" s="109"/>
      <c r="I48" s="108">
        <f>SUM(I45:I46)</f>
        <v>629856</v>
      </c>
      <c r="J48" s="108">
        <f>SUM(J45:J46)</f>
        <v>18770</v>
      </c>
      <c r="K48" s="108">
        <f>SUM(K45:K46)</f>
        <v>648626</v>
      </c>
      <c r="L48" s="108">
        <v>0</v>
      </c>
      <c r="M48" s="108">
        <v>0</v>
      </c>
      <c r="N48" s="105"/>
    </row>
    <row r="49" spans="1:14">
      <c r="I49" s="85"/>
      <c r="J49" s="85"/>
      <c r="K49" s="85"/>
      <c r="L49" s="85"/>
      <c r="M49" s="85"/>
      <c r="N49" s="85"/>
    </row>
    <row r="50" spans="1:14">
      <c r="A50" s="3" t="s">
        <v>36</v>
      </c>
      <c r="I50" s="85"/>
      <c r="J50" s="85"/>
      <c r="K50" s="85"/>
      <c r="L50" s="85"/>
      <c r="M50" s="85"/>
      <c r="N50" s="85"/>
    </row>
    <row r="51" spans="1:14">
      <c r="B51" t="s">
        <v>88</v>
      </c>
      <c r="I51" s="90">
        <v>127427898</v>
      </c>
      <c r="J51" s="85">
        <v>10893288</v>
      </c>
      <c r="K51" s="85">
        <f>SUM(I51:J51)</f>
        <v>138321186</v>
      </c>
      <c r="L51" s="85">
        <v>12884726</v>
      </c>
      <c r="M51" s="85">
        <v>6921131</v>
      </c>
      <c r="N51" s="85"/>
    </row>
    <row r="52" spans="1:14">
      <c r="B52" t="s">
        <v>38</v>
      </c>
      <c r="I52" s="85"/>
      <c r="J52" s="85"/>
      <c r="K52" s="85"/>
      <c r="L52" s="85"/>
      <c r="M52" s="85"/>
      <c r="N52" s="85"/>
    </row>
    <row r="53" spans="1:14">
      <c r="C53" t="s">
        <v>89</v>
      </c>
      <c r="I53" s="91">
        <v>55001484</v>
      </c>
      <c r="J53" s="85"/>
      <c r="K53" s="85">
        <f t="shared" ref="K53:K57" si="2">SUM(I53:J53)</f>
        <v>55001484</v>
      </c>
      <c r="L53" s="85"/>
      <c r="M53" s="85"/>
      <c r="N53" s="85"/>
    </row>
    <row r="54" spans="1:14">
      <c r="C54" t="s">
        <v>90</v>
      </c>
      <c r="I54" s="91">
        <v>77707027</v>
      </c>
      <c r="J54" s="85"/>
      <c r="K54" s="85">
        <f t="shared" si="2"/>
        <v>77707027</v>
      </c>
      <c r="L54" s="85"/>
      <c r="M54" s="85"/>
      <c r="N54" s="85"/>
    </row>
    <row r="55" spans="1:14">
      <c r="C55" t="s">
        <v>39</v>
      </c>
      <c r="I55" s="91">
        <v>2519611</v>
      </c>
      <c r="J55" s="85"/>
      <c r="K55" s="85">
        <f t="shared" si="2"/>
        <v>2519611</v>
      </c>
      <c r="L55" s="85"/>
      <c r="M55" s="85">
        <v>505001</v>
      </c>
      <c r="N55" s="85"/>
    </row>
    <row r="56" spans="1:14">
      <c r="C56" t="s">
        <v>91</v>
      </c>
      <c r="I56" s="85"/>
      <c r="J56" s="85"/>
      <c r="K56" s="85"/>
      <c r="L56" s="85">
        <v>2627035</v>
      </c>
      <c r="M56" s="85"/>
      <c r="N56" s="85"/>
    </row>
    <row r="57" spans="1:14">
      <c r="B57" t="s">
        <v>42</v>
      </c>
      <c r="I57" s="98">
        <v>22183308</v>
      </c>
      <c r="J57" s="85">
        <v>7539381</v>
      </c>
      <c r="K57" s="85">
        <f t="shared" si="2"/>
        <v>29722689</v>
      </c>
      <c r="L57" s="85">
        <v>27660887</v>
      </c>
      <c r="M57" s="85">
        <v>11296066</v>
      </c>
      <c r="N57" s="85"/>
    </row>
    <row r="58" spans="1:14">
      <c r="I58" s="83"/>
      <c r="J58" s="83"/>
      <c r="K58" s="83"/>
      <c r="L58" s="83"/>
      <c r="M58" s="83"/>
      <c r="N58" s="85"/>
    </row>
    <row r="59" spans="1:14" s="3" customFormat="1">
      <c r="C59" s="10" t="s">
        <v>43</v>
      </c>
      <c r="D59" s="10"/>
      <c r="E59" s="10"/>
      <c r="F59" s="10"/>
      <c r="G59" s="10"/>
      <c r="H59" s="10"/>
      <c r="I59" s="99">
        <f>SUM(I51:I57)</f>
        <v>284839328</v>
      </c>
      <c r="J59" s="99">
        <f>SUM(J51:J57)</f>
        <v>18432669</v>
      </c>
      <c r="K59" s="99">
        <f>SUM(K51:K57)</f>
        <v>303271997</v>
      </c>
      <c r="L59" s="99">
        <f>SUM(L51:L57)</f>
        <v>43172648</v>
      </c>
      <c r="M59" s="99">
        <f>SUM(M51:M57)</f>
        <v>18722198</v>
      </c>
      <c r="N59" s="106"/>
    </row>
    <row r="60" spans="1:14">
      <c r="I60" s="85"/>
      <c r="J60" s="85"/>
      <c r="K60" s="85"/>
      <c r="L60" s="85"/>
      <c r="M60" s="85"/>
      <c r="N60" s="85"/>
    </row>
    <row r="61" spans="1:14" s="3" customFormat="1">
      <c r="C61" s="11" t="s">
        <v>92</v>
      </c>
      <c r="D61" s="11"/>
      <c r="E61" s="11"/>
      <c r="F61" s="11"/>
      <c r="G61" s="11"/>
      <c r="H61" s="11"/>
      <c r="I61" s="100">
        <f>SUM(I42+I59+I48)</f>
        <v>383833878</v>
      </c>
      <c r="J61" s="100">
        <f>SUM(J42+J59+J48)</f>
        <v>19081681</v>
      </c>
      <c r="K61" s="100">
        <f t="shared" ref="K61:M61" si="3">SUM(K42+K59+K48)</f>
        <v>402915559</v>
      </c>
      <c r="L61" s="100">
        <f t="shared" si="3"/>
        <v>54764069</v>
      </c>
      <c r="M61" s="100">
        <f t="shared" si="3"/>
        <v>24061783</v>
      </c>
      <c r="N61" s="106"/>
    </row>
    <row r="62" spans="1:14">
      <c r="I62" s="85"/>
      <c r="J62" s="85"/>
      <c r="K62" s="85"/>
      <c r="L62" s="85"/>
      <c r="M62" s="85"/>
      <c r="N62" s="85"/>
    </row>
    <row r="63" spans="1:14">
      <c r="I63" s="85"/>
      <c r="J63" s="85"/>
      <c r="K63" s="85"/>
      <c r="L63" s="85"/>
      <c r="M63" s="85"/>
      <c r="N63" s="85"/>
    </row>
  </sheetData>
  <mergeCells count="4">
    <mergeCell ref="D1:I1"/>
    <mergeCell ref="D2:I2"/>
    <mergeCell ref="I4:J4"/>
    <mergeCell ref="L4:M4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workbookViewId="0">
      <selection activeCell="I30" sqref="I30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3.28515625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02" t="s">
        <v>93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31.5" customHeight="1">
      <c r="H4" s="2">
        <v>2013</v>
      </c>
      <c r="I4" s="94">
        <v>2012</v>
      </c>
      <c r="J4" s="5"/>
    </row>
    <row r="5" spans="1:10">
      <c r="A5" s="3" t="s">
        <v>5</v>
      </c>
      <c r="D5" s="3"/>
      <c r="G5" s="4"/>
      <c r="H5" s="4"/>
    </row>
    <row r="6" spans="1:10">
      <c r="A6" s="3"/>
      <c r="B6" s="5" t="s">
        <v>6</v>
      </c>
      <c r="D6" s="3"/>
      <c r="G6" s="4"/>
      <c r="H6" s="78"/>
      <c r="I6" s="85"/>
    </row>
    <row r="7" spans="1:10">
      <c r="C7" t="s">
        <v>65</v>
      </c>
      <c r="H7" s="79">
        <v>3793804</v>
      </c>
      <c r="I7" s="85">
        <v>5837144</v>
      </c>
    </row>
    <row r="8" spans="1:10">
      <c r="C8" t="s">
        <v>8</v>
      </c>
      <c r="H8" s="86">
        <v>13855799</v>
      </c>
      <c r="I8" s="85">
        <v>11713813</v>
      </c>
    </row>
    <row r="9" spans="1:10">
      <c r="C9" t="s">
        <v>46</v>
      </c>
      <c r="H9" s="80">
        <v>5121670</v>
      </c>
      <c r="I9" s="85">
        <v>5328610</v>
      </c>
    </row>
    <row r="10" spans="1:10">
      <c r="C10" t="s">
        <v>69</v>
      </c>
      <c r="H10" s="81">
        <v>27165</v>
      </c>
      <c r="I10" s="85">
        <v>619979</v>
      </c>
    </row>
    <row r="11" spans="1:10">
      <c r="C11" t="s">
        <v>94</v>
      </c>
      <c r="H11" s="86">
        <v>43733131</v>
      </c>
      <c r="I11" s="85">
        <v>41316993</v>
      </c>
    </row>
    <row r="12" spans="1:10">
      <c r="H12" s="85"/>
      <c r="I12" s="83"/>
    </row>
    <row r="13" spans="1:10" s="5" customFormat="1">
      <c r="C13" s="6" t="s">
        <v>17</v>
      </c>
      <c r="D13" s="6"/>
      <c r="E13" s="6"/>
      <c r="F13" s="6"/>
      <c r="G13" s="6"/>
      <c r="H13" s="84">
        <f>SUM(H7:H11)</f>
        <v>66531569</v>
      </c>
      <c r="I13" s="84">
        <f>SUM(I7:I11)</f>
        <v>64816539</v>
      </c>
    </row>
    <row r="14" spans="1:10">
      <c r="H14" s="85"/>
      <c r="I14" s="85"/>
    </row>
    <row r="15" spans="1:10">
      <c r="A15" s="5" t="s">
        <v>20</v>
      </c>
      <c r="H15" s="85"/>
      <c r="I15" s="85"/>
    </row>
    <row r="16" spans="1:10">
      <c r="C16" t="s">
        <v>21</v>
      </c>
      <c r="H16" s="86">
        <v>677911</v>
      </c>
      <c r="I16" s="85">
        <v>1848741</v>
      </c>
    </row>
    <row r="17" spans="1:9">
      <c r="C17" t="s">
        <v>95</v>
      </c>
      <c r="H17" s="86">
        <v>139322</v>
      </c>
      <c r="I17" s="85">
        <v>146265</v>
      </c>
    </row>
    <row r="18" spans="1:9">
      <c r="C18" t="s">
        <v>96</v>
      </c>
      <c r="H18" s="81">
        <v>155373</v>
      </c>
      <c r="I18" s="85">
        <v>158422</v>
      </c>
    </row>
    <row r="19" spans="1:9">
      <c r="C19" t="s">
        <v>97</v>
      </c>
      <c r="H19" s="86">
        <v>659785</v>
      </c>
      <c r="I19" s="85">
        <v>553095</v>
      </c>
    </row>
    <row r="20" spans="1:9">
      <c r="C20" t="s">
        <v>98</v>
      </c>
      <c r="H20" s="81">
        <v>301226</v>
      </c>
      <c r="I20" s="85">
        <v>1143608</v>
      </c>
    </row>
    <row r="21" spans="1:9">
      <c r="C21" t="s">
        <v>27</v>
      </c>
      <c r="H21" s="85"/>
      <c r="I21" s="85"/>
    </row>
    <row r="22" spans="1:9">
      <c r="D22" t="s">
        <v>81</v>
      </c>
      <c r="H22" s="85"/>
      <c r="I22" s="85">
        <v>57000</v>
      </c>
    </row>
    <row r="23" spans="1:9">
      <c r="D23" t="s">
        <v>82</v>
      </c>
      <c r="H23" s="85"/>
      <c r="I23" s="85"/>
    </row>
    <row r="24" spans="1:9">
      <c r="H24" s="83"/>
      <c r="I24" s="83"/>
    </row>
    <row r="25" spans="1:9">
      <c r="D25" s="8" t="s">
        <v>33</v>
      </c>
      <c r="E25" s="9"/>
      <c r="F25" s="9"/>
      <c r="G25" s="9"/>
      <c r="H25" s="89">
        <f>SUM(H16:H23)</f>
        <v>1933617</v>
      </c>
      <c r="I25" s="89">
        <f>SUM(I16:I23)</f>
        <v>3907131</v>
      </c>
    </row>
    <row r="26" spans="1:9">
      <c r="H26" s="85"/>
      <c r="I26" s="85"/>
    </row>
    <row r="27" spans="1:9">
      <c r="A27" s="3" t="s">
        <v>36</v>
      </c>
      <c r="H27" s="85"/>
      <c r="I27" s="85"/>
    </row>
    <row r="28" spans="1:9">
      <c r="B28" t="s">
        <v>99</v>
      </c>
      <c r="H28" s="90">
        <v>43733131</v>
      </c>
      <c r="I28" s="85">
        <v>41259993</v>
      </c>
    </row>
    <row r="29" spans="1:9">
      <c r="B29" t="s">
        <v>42</v>
      </c>
      <c r="H29" s="98">
        <v>20864821</v>
      </c>
      <c r="I29" s="85">
        <v>19649415</v>
      </c>
    </row>
    <row r="30" spans="1:9">
      <c r="H30" s="83"/>
      <c r="I30" s="83"/>
    </row>
    <row r="31" spans="1:9" s="3" customFormat="1">
      <c r="C31" s="10" t="s">
        <v>43</v>
      </c>
      <c r="D31" s="10"/>
      <c r="E31" s="10"/>
      <c r="F31" s="10"/>
      <c r="G31" s="10"/>
      <c r="H31" s="99">
        <f>SUM(H28:H29)</f>
        <v>64597952</v>
      </c>
      <c r="I31" s="99">
        <f>SUM(I27:I29)</f>
        <v>60909408</v>
      </c>
    </row>
    <row r="32" spans="1:9">
      <c r="H32" s="85"/>
      <c r="I32" s="85"/>
    </row>
    <row r="33" spans="3:9" s="3" customFormat="1">
      <c r="C33" s="11" t="s">
        <v>44</v>
      </c>
      <c r="D33" s="11"/>
      <c r="E33" s="11"/>
      <c r="F33" s="11"/>
      <c r="G33" s="11"/>
      <c r="H33" s="100">
        <f>SUM(H25+H31)</f>
        <v>66531569</v>
      </c>
      <c r="I33" s="100">
        <f>SUM(I31+I25)</f>
        <v>64816539</v>
      </c>
    </row>
    <row r="34" spans="3:9">
      <c r="H34" s="85"/>
      <c r="I34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"/>
  <sheetViews>
    <sheetView workbookViewId="0">
      <selection activeCell="A41" sqref="A4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5.85546875" customWidth="1"/>
  </cols>
  <sheetData>
    <row r="1" spans="1:10" ht="18.75" customHeight="1">
      <c r="A1" s="1"/>
      <c r="B1" s="1"/>
      <c r="C1" s="1"/>
      <c r="D1" s="202" t="s">
        <v>100</v>
      </c>
      <c r="E1" s="202"/>
      <c r="F1" s="202"/>
      <c r="G1" s="202"/>
      <c r="H1" s="202"/>
      <c r="I1" s="1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0" ht="31.5" customHeight="1">
      <c r="H4" s="110" t="s">
        <v>2</v>
      </c>
      <c r="I4" s="110" t="s">
        <v>101</v>
      </c>
      <c r="J4" s="5"/>
    </row>
    <row r="5" spans="1:10">
      <c r="A5" s="3" t="s">
        <v>5</v>
      </c>
      <c r="D5" s="3"/>
      <c r="G5" s="4"/>
      <c r="H5" s="4"/>
      <c r="I5" s="4"/>
    </row>
    <row r="6" spans="1:10">
      <c r="A6" s="3"/>
      <c r="B6" s="5" t="s">
        <v>6</v>
      </c>
      <c r="D6" s="3"/>
      <c r="G6" s="4"/>
      <c r="H6" s="78"/>
      <c r="I6" s="78"/>
    </row>
    <row r="7" spans="1:10">
      <c r="C7" t="s">
        <v>102</v>
      </c>
      <c r="H7" s="79">
        <v>7808079</v>
      </c>
      <c r="I7" s="85">
        <v>226394</v>
      </c>
    </row>
    <row r="8" spans="1:10">
      <c r="C8" t="s">
        <v>103</v>
      </c>
      <c r="H8" s="80">
        <v>2186064</v>
      </c>
      <c r="I8" s="85">
        <v>17410</v>
      </c>
    </row>
    <row r="9" spans="1:10">
      <c r="C9" t="s">
        <v>104</v>
      </c>
      <c r="H9" s="95">
        <v>454661</v>
      </c>
      <c r="I9" s="85"/>
    </row>
    <row r="10" spans="1:10">
      <c r="C10" t="s">
        <v>69</v>
      </c>
      <c r="H10" s="81">
        <v>104800</v>
      </c>
      <c r="I10" s="85">
        <v>5933</v>
      </c>
    </row>
    <row r="11" spans="1:10">
      <c r="H11" s="83"/>
      <c r="I11" s="83"/>
    </row>
    <row r="12" spans="1:10" s="5" customFormat="1">
      <c r="C12" s="107" t="s">
        <v>105</v>
      </c>
      <c r="D12" s="107"/>
      <c r="E12" s="107"/>
      <c r="F12" s="107"/>
      <c r="G12" s="107"/>
      <c r="H12" s="108">
        <f>SUM(H7:H10)</f>
        <v>10553604</v>
      </c>
      <c r="I12" s="108">
        <f>SUM(I7:I11)</f>
        <v>249737</v>
      </c>
    </row>
    <row r="13" spans="1:10">
      <c r="H13" s="85"/>
      <c r="I13" s="85"/>
    </row>
    <row r="14" spans="1:10" s="5" customFormat="1">
      <c r="B14" s="5" t="s">
        <v>106</v>
      </c>
      <c r="H14" s="105"/>
      <c r="I14" s="105"/>
    </row>
    <row r="15" spans="1:10" s="5" customFormat="1">
      <c r="C15" t="s">
        <v>107</v>
      </c>
      <c r="H15" s="81">
        <v>1667856</v>
      </c>
      <c r="I15" s="85"/>
    </row>
    <row r="16" spans="1:10">
      <c r="C16" t="s">
        <v>108</v>
      </c>
      <c r="H16" s="82">
        <v>3564386</v>
      </c>
      <c r="I16" s="85">
        <v>24978</v>
      </c>
    </row>
    <row r="17" spans="1:9">
      <c r="H17" s="83"/>
      <c r="I17" s="83"/>
    </row>
    <row r="18" spans="1:9" s="5" customFormat="1">
      <c r="C18" s="107" t="s">
        <v>109</v>
      </c>
      <c r="D18" s="107"/>
      <c r="E18" s="107"/>
      <c r="F18" s="107"/>
      <c r="G18" s="107"/>
      <c r="H18" s="108">
        <f>SUM(H14:H16)</f>
        <v>5232242</v>
      </c>
      <c r="I18" s="108">
        <f>SUM(I14:I16)</f>
        <v>24978</v>
      </c>
    </row>
    <row r="19" spans="1:9">
      <c r="H19" s="85"/>
      <c r="I19" s="85"/>
    </row>
    <row r="20" spans="1:9" s="5" customFormat="1">
      <c r="C20" s="6" t="s">
        <v>17</v>
      </c>
      <c r="D20" s="6"/>
      <c r="E20" s="6"/>
      <c r="F20" s="6"/>
      <c r="G20" s="6"/>
      <c r="H20" s="84">
        <f>SUM(H12+H18)</f>
        <v>15785846</v>
      </c>
      <c r="I20" s="84">
        <f>SUM(I12+I18)</f>
        <v>274715</v>
      </c>
    </row>
    <row r="21" spans="1:9">
      <c r="H21" s="85"/>
      <c r="I21" s="85"/>
    </row>
    <row r="22" spans="1:9">
      <c r="A22" s="5" t="s">
        <v>20</v>
      </c>
      <c r="H22" s="85"/>
      <c r="I22" s="85"/>
    </row>
    <row r="23" spans="1:9" s="5" customFormat="1">
      <c r="B23" s="5" t="s">
        <v>110</v>
      </c>
      <c r="H23" s="105"/>
      <c r="I23" s="105"/>
    </row>
    <row r="24" spans="1:9">
      <c r="C24" t="s">
        <v>111</v>
      </c>
      <c r="H24" s="86">
        <v>588143</v>
      </c>
      <c r="I24" s="85">
        <v>22127</v>
      </c>
    </row>
    <row r="25" spans="1:9">
      <c r="C25" t="s">
        <v>112</v>
      </c>
      <c r="H25" s="112">
        <v>36260</v>
      </c>
      <c r="I25" s="85"/>
    </row>
    <row r="26" spans="1:9">
      <c r="C26" t="s">
        <v>113</v>
      </c>
      <c r="H26" s="131">
        <v>37903</v>
      </c>
      <c r="I26" s="85"/>
    </row>
    <row r="27" spans="1:9">
      <c r="C27" t="s">
        <v>96</v>
      </c>
      <c r="H27" s="154">
        <v>32052</v>
      </c>
      <c r="I27" s="85"/>
    </row>
    <row r="28" spans="1:9">
      <c r="H28" s="83"/>
      <c r="I28" s="83"/>
    </row>
    <row r="29" spans="1:9">
      <c r="D29" s="107" t="s">
        <v>114</v>
      </c>
      <c r="E29" s="109"/>
      <c r="F29" s="109"/>
      <c r="G29" s="109"/>
      <c r="H29" s="108">
        <f>SUM(H24:H27)</f>
        <v>694358</v>
      </c>
      <c r="I29" s="108">
        <f>SUM(I24:I27)</f>
        <v>22127</v>
      </c>
    </row>
    <row r="30" spans="1:9">
      <c r="H30" s="85"/>
      <c r="I30" s="85"/>
    </row>
    <row r="31" spans="1:9" s="5" customFormat="1">
      <c r="B31" s="5" t="s">
        <v>115</v>
      </c>
      <c r="H31" s="105"/>
      <c r="I31" s="105"/>
    </row>
    <row r="32" spans="1:9">
      <c r="C32" t="s">
        <v>96</v>
      </c>
      <c r="H32" s="88">
        <v>66030</v>
      </c>
      <c r="I32" s="85"/>
    </row>
    <row r="33" spans="1:9">
      <c r="H33" s="83"/>
      <c r="I33" s="83"/>
    </row>
    <row r="34" spans="1:9">
      <c r="D34" s="107" t="s">
        <v>116</v>
      </c>
      <c r="E34" s="109"/>
      <c r="F34" s="109"/>
      <c r="G34" s="109"/>
      <c r="H34" s="108">
        <f>SUM(H32:H32)</f>
        <v>66030</v>
      </c>
      <c r="I34" s="108">
        <f>SUM(I32:I32)</f>
        <v>0</v>
      </c>
    </row>
    <row r="35" spans="1:9">
      <c r="H35" s="85"/>
      <c r="I35" s="85"/>
    </row>
    <row r="36" spans="1:9">
      <c r="D36" s="8" t="s">
        <v>33</v>
      </c>
      <c r="E36" s="9"/>
      <c r="F36" s="9"/>
      <c r="G36" s="9"/>
      <c r="H36" s="89">
        <f>SUM(H29+H34)</f>
        <v>760388</v>
      </c>
      <c r="I36" s="89">
        <f>SUM(I34+I29)</f>
        <v>22127</v>
      </c>
    </row>
    <row r="37" spans="1:9">
      <c r="H37" s="85"/>
      <c r="I37" s="85"/>
    </row>
    <row r="38" spans="1:9">
      <c r="A38" s="3" t="s">
        <v>36</v>
      </c>
      <c r="H38" s="85"/>
      <c r="I38" s="85"/>
    </row>
    <row r="39" spans="1:9">
      <c r="B39" t="s">
        <v>117</v>
      </c>
      <c r="H39" s="90">
        <v>5232242</v>
      </c>
      <c r="I39" s="85">
        <v>24978</v>
      </c>
    </row>
    <row r="40" spans="1:9">
      <c r="B40" t="s">
        <v>118</v>
      </c>
      <c r="H40" s="98">
        <v>9793216</v>
      </c>
      <c r="I40" s="85">
        <v>227610</v>
      </c>
    </row>
    <row r="41" spans="1:9">
      <c r="H41" s="83"/>
      <c r="I41" s="83"/>
    </row>
    <row r="42" spans="1:9" s="3" customFormat="1">
      <c r="C42" s="10" t="s">
        <v>43</v>
      </c>
      <c r="D42" s="10"/>
      <c r="E42" s="10"/>
      <c r="F42" s="10"/>
      <c r="G42" s="10"/>
      <c r="H42" s="99">
        <f>SUM(H39:H40)</f>
        <v>15025458</v>
      </c>
      <c r="I42" s="99">
        <f>SUM(I39:I40)</f>
        <v>252588</v>
      </c>
    </row>
    <row r="43" spans="1:9">
      <c r="H43" s="85"/>
      <c r="I43" s="85"/>
    </row>
    <row r="44" spans="1:9" s="3" customFormat="1">
      <c r="C44" s="11" t="s">
        <v>44</v>
      </c>
      <c r="D44" s="11"/>
      <c r="E44" s="11"/>
      <c r="F44" s="11"/>
      <c r="G44" s="11"/>
      <c r="H44" s="100">
        <f>SUM(H36+H42)</f>
        <v>15785846</v>
      </c>
      <c r="I44" s="100">
        <f>SUM(I42+I36)</f>
        <v>274715</v>
      </c>
    </row>
    <row r="45" spans="1:9">
      <c r="H45" s="85"/>
      <c r="I45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selection activeCell="C30" sqref="C30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119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14858366</v>
      </c>
    </row>
    <row r="7" spans="1:7">
      <c r="B7" t="s">
        <v>46</v>
      </c>
      <c r="G7" s="80">
        <v>6484761</v>
      </c>
    </row>
    <row r="8" spans="1:7">
      <c r="B8" t="s">
        <v>48</v>
      </c>
      <c r="G8" s="81">
        <v>313803</v>
      </c>
    </row>
    <row r="9" spans="1:7">
      <c r="B9" t="s">
        <v>120</v>
      </c>
      <c r="G9" s="85"/>
    </row>
    <row r="10" spans="1:7">
      <c r="C10" t="s">
        <v>121</v>
      </c>
      <c r="G10" s="82">
        <v>806735</v>
      </c>
    </row>
    <row r="11" spans="1:7">
      <c r="C11" t="s">
        <v>122</v>
      </c>
      <c r="G11" s="82">
        <v>9930994</v>
      </c>
    </row>
    <row r="12" spans="1:7">
      <c r="C12" t="s">
        <v>123</v>
      </c>
      <c r="G12" s="82">
        <v>3990003</v>
      </c>
    </row>
    <row r="13" spans="1:7">
      <c r="C13" t="s">
        <v>124</v>
      </c>
      <c r="G13" s="82">
        <v>15989047</v>
      </c>
    </row>
    <row r="14" spans="1:7">
      <c r="C14" t="s">
        <v>125</v>
      </c>
      <c r="G14" s="96">
        <v>790379</v>
      </c>
    </row>
    <row r="15" spans="1:7">
      <c r="G15" s="85"/>
    </row>
    <row r="16" spans="1:7">
      <c r="A16" s="5"/>
      <c r="B16" s="6" t="s">
        <v>17</v>
      </c>
      <c r="C16" s="6"/>
      <c r="D16" s="6"/>
      <c r="E16" s="6"/>
      <c r="F16" s="6"/>
      <c r="G16" s="84">
        <f>SUM(G6:G14)</f>
        <v>53164088</v>
      </c>
    </row>
    <row r="17" spans="1:7">
      <c r="G17" s="85"/>
    </row>
    <row r="18" spans="1:7">
      <c r="A18" s="5" t="s">
        <v>20</v>
      </c>
      <c r="G18" s="85"/>
    </row>
    <row r="19" spans="1:7">
      <c r="A19" s="5"/>
      <c r="B19" t="s">
        <v>126</v>
      </c>
      <c r="G19" s="86">
        <v>849191</v>
      </c>
    </row>
    <row r="20" spans="1:7">
      <c r="B20" t="s">
        <v>127</v>
      </c>
      <c r="G20" s="86">
        <v>25658</v>
      </c>
    </row>
    <row r="21" spans="1:7">
      <c r="B21" t="s">
        <v>27</v>
      </c>
      <c r="G21" s="85"/>
    </row>
    <row r="22" spans="1:7">
      <c r="C22" t="s">
        <v>81</v>
      </c>
      <c r="G22" s="97">
        <v>1760644</v>
      </c>
    </row>
    <row r="23" spans="1:7">
      <c r="C23" t="s">
        <v>82</v>
      </c>
      <c r="G23" s="79">
        <v>2722875</v>
      </c>
    </row>
    <row r="24" spans="1:7">
      <c r="G24" s="83"/>
    </row>
    <row r="25" spans="1:7">
      <c r="C25" s="8" t="s">
        <v>33</v>
      </c>
      <c r="D25" s="9"/>
      <c r="E25" s="9"/>
      <c r="F25" s="9"/>
      <c r="G25" s="89">
        <f>SUM(G19:G23)</f>
        <v>5358368</v>
      </c>
    </row>
    <row r="26" spans="1:7">
      <c r="G26" s="85"/>
    </row>
    <row r="27" spans="1:7">
      <c r="A27" s="3" t="s">
        <v>36</v>
      </c>
      <c r="G27" s="85"/>
    </row>
    <row r="28" spans="1:7">
      <c r="B28" t="s">
        <v>99</v>
      </c>
      <c r="G28" s="90">
        <v>27191700</v>
      </c>
    </row>
    <row r="29" spans="1:7">
      <c r="B29" t="s">
        <v>38</v>
      </c>
      <c r="G29" s="85"/>
    </row>
    <row r="30" spans="1:7">
      <c r="C30" t="s">
        <v>48</v>
      </c>
      <c r="G30" s="91">
        <v>313803</v>
      </c>
    </row>
    <row r="31" spans="1:7">
      <c r="C31" t="s">
        <v>128</v>
      </c>
      <c r="G31" s="91">
        <v>324072</v>
      </c>
    </row>
    <row r="32" spans="1:7">
      <c r="C32" t="s">
        <v>58</v>
      </c>
      <c r="G32" s="91">
        <v>1810976</v>
      </c>
    </row>
    <row r="33" spans="1:7">
      <c r="C33" t="s">
        <v>59</v>
      </c>
      <c r="G33" s="91">
        <v>6392675</v>
      </c>
    </row>
    <row r="34" spans="1:7">
      <c r="C34" t="s">
        <v>129</v>
      </c>
      <c r="G34" s="91">
        <v>2463098</v>
      </c>
    </row>
    <row r="35" spans="1:7">
      <c r="C35" t="s">
        <v>130</v>
      </c>
      <c r="G35" s="91">
        <v>607692</v>
      </c>
    </row>
    <row r="36" spans="1:7">
      <c r="C36" t="s">
        <v>61</v>
      </c>
      <c r="G36" s="91">
        <v>3275003</v>
      </c>
    </row>
    <row r="37" spans="1:7">
      <c r="C37" t="s">
        <v>57</v>
      </c>
      <c r="G37" s="91">
        <v>136917</v>
      </c>
    </row>
    <row r="38" spans="1:7">
      <c r="C38" t="s">
        <v>40</v>
      </c>
      <c r="G38" s="91">
        <v>1275201</v>
      </c>
    </row>
    <row r="39" spans="1:7">
      <c r="C39" t="s">
        <v>39</v>
      </c>
      <c r="G39" s="91">
        <v>166216</v>
      </c>
    </row>
    <row r="40" spans="1:7">
      <c r="B40" t="s">
        <v>42</v>
      </c>
      <c r="G40" s="98">
        <v>3848367</v>
      </c>
    </row>
    <row r="41" spans="1:7">
      <c r="G41" s="83"/>
    </row>
    <row r="42" spans="1:7">
      <c r="A42" s="3"/>
      <c r="B42" s="10" t="s">
        <v>43</v>
      </c>
      <c r="C42" s="10"/>
      <c r="D42" s="10"/>
      <c r="E42" s="10"/>
      <c r="F42" s="10"/>
      <c r="G42" s="99">
        <f>SUM(G28:G40)</f>
        <v>47805720</v>
      </c>
    </row>
    <row r="43" spans="1:7">
      <c r="G43" s="85"/>
    </row>
    <row r="44" spans="1:7">
      <c r="A44" s="3"/>
      <c r="B44" s="11" t="s">
        <v>44</v>
      </c>
      <c r="C44" s="11"/>
      <c r="D44" s="11"/>
      <c r="E44" s="11"/>
      <c r="F44" s="11"/>
      <c r="G44" s="100">
        <f>SUM(G25+G42)</f>
        <v>53164088</v>
      </c>
    </row>
    <row r="45" spans="1:7">
      <c r="G45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"/>
  <sheetViews>
    <sheetView workbookViewId="0">
      <selection activeCell="F10" sqref="F10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131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17224341</v>
      </c>
    </row>
    <row r="7" spans="1:7">
      <c r="B7" t="s">
        <v>46</v>
      </c>
      <c r="G7" s="80">
        <v>5448406</v>
      </c>
    </row>
    <row r="8" spans="1:7">
      <c r="B8" t="s">
        <v>108</v>
      </c>
      <c r="G8" s="96">
        <v>22814176</v>
      </c>
    </row>
    <row r="9" spans="1:7">
      <c r="G9" s="85"/>
    </row>
    <row r="10" spans="1:7">
      <c r="A10" s="5"/>
      <c r="B10" s="6" t="s">
        <v>17</v>
      </c>
      <c r="C10" s="6"/>
      <c r="D10" s="6"/>
      <c r="E10" s="6"/>
      <c r="F10" s="6"/>
      <c r="G10" s="84">
        <f>SUM(G6:G8)</f>
        <v>45486923</v>
      </c>
    </row>
    <row r="11" spans="1:7">
      <c r="G11" s="85"/>
    </row>
    <row r="12" spans="1:7">
      <c r="A12" s="5" t="s">
        <v>20</v>
      </c>
      <c r="G12" s="85"/>
    </row>
    <row r="13" spans="1:7">
      <c r="A13" s="5"/>
      <c r="B13" t="s">
        <v>21</v>
      </c>
      <c r="G13" s="86">
        <v>249706</v>
      </c>
    </row>
    <row r="14" spans="1:7">
      <c r="B14" t="s">
        <v>132</v>
      </c>
      <c r="G14" s="86">
        <v>22626</v>
      </c>
    </row>
    <row r="15" spans="1:7">
      <c r="B15" t="s">
        <v>127</v>
      </c>
      <c r="G15" s="86">
        <v>141079</v>
      </c>
    </row>
    <row r="16" spans="1:7">
      <c r="B16" t="s">
        <v>29</v>
      </c>
      <c r="G16" s="87">
        <v>10820000</v>
      </c>
    </row>
    <row r="17" spans="1:7">
      <c r="B17" t="s">
        <v>133</v>
      </c>
      <c r="G17" s="81">
        <v>290088</v>
      </c>
    </row>
    <row r="18" spans="1:7">
      <c r="B18" t="s">
        <v>134</v>
      </c>
      <c r="G18" s="81">
        <v>70000</v>
      </c>
    </row>
    <row r="19" spans="1:7">
      <c r="B19" t="s">
        <v>96</v>
      </c>
      <c r="G19" s="88">
        <v>81369</v>
      </c>
    </row>
    <row r="20" spans="1:7">
      <c r="B20" t="s">
        <v>135</v>
      </c>
      <c r="G20" s="81">
        <v>1236841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SUM(G13:G20)</f>
        <v>12911709</v>
      </c>
    </row>
    <row r="23" spans="1:7">
      <c r="G23" s="85"/>
    </row>
    <row r="24" spans="1:7">
      <c r="A24" s="3" t="s">
        <v>36</v>
      </c>
      <c r="G24" s="85"/>
    </row>
    <row r="25" spans="1:7">
      <c r="B25" t="s">
        <v>99</v>
      </c>
      <c r="G25" s="90">
        <v>11994176</v>
      </c>
    </row>
    <row r="26" spans="1:7">
      <c r="B26" t="s">
        <v>42</v>
      </c>
      <c r="G26" s="98">
        <v>20581038</v>
      </c>
    </row>
    <row r="27" spans="1:7">
      <c r="G27" s="83"/>
    </row>
    <row r="28" spans="1:7">
      <c r="A28" s="3"/>
      <c r="B28" s="10" t="s">
        <v>43</v>
      </c>
      <c r="C28" s="10"/>
      <c r="D28" s="10"/>
      <c r="E28" s="10"/>
      <c r="F28" s="10"/>
      <c r="G28" s="99">
        <f>SUM(G25:G26)</f>
        <v>32575214</v>
      </c>
    </row>
    <row r="29" spans="1:7">
      <c r="G29" s="85"/>
    </row>
    <row r="30" spans="1:7">
      <c r="A30" s="3"/>
      <c r="B30" s="11" t="s">
        <v>44</v>
      </c>
      <c r="C30" s="11"/>
      <c r="D30" s="11"/>
      <c r="E30" s="11"/>
      <c r="F30" s="11"/>
      <c r="G30" s="100">
        <f>SUM(G22+G28)</f>
        <v>45486923</v>
      </c>
    </row>
    <row r="31" spans="1:7">
      <c r="G31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1"/>
  <sheetViews>
    <sheetView topLeftCell="A2" workbookViewId="0">
      <selection activeCell="L49" sqref="L49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02" t="s">
        <v>136</v>
      </c>
      <c r="E1" s="202"/>
      <c r="F1" s="202"/>
      <c r="G1" s="202"/>
      <c r="H1" s="202"/>
      <c r="I1" s="102"/>
      <c r="J1" s="102"/>
    </row>
    <row r="2" spans="1:11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 ht="15" customHeight="1">
      <c r="H4" s="206" t="s">
        <v>2</v>
      </c>
      <c r="I4" s="206"/>
      <c r="J4" s="206"/>
    </row>
    <row r="5" spans="1:11" ht="29.1">
      <c r="H5" s="110" t="s">
        <v>3</v>
      </c>
      <c r="I5" s="110" t="s">
        <v>137</v>
      </c>
      <c r="J5" s="110" t="s">
        <v>64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A7" s="3"/>
      <c r="B7" s="5" t="s">
        <v>6</v>
      </c>
      <c r="D7" s="3"/>
      <c r="G7" s="4"/>
      <c r="H7" s="78"/>
      <c r="I7" s="78"/>
      <c r="J7" s="78"/>
    </row>
    <row r="8" spans="1:11">
      <c r="C8" t="s">
        <v>65</v>
      </c>
      <c r="H8" s="79">
        <v>36706356</v>
      </c>
      <c r="I8" s="85">
        <v>766450</v>
      </c>
      <c r="J8" s="85">
        <f t="shared" ref="J8:J9" si="0">SUM(H8:I8)</f>
        <v>37472806</v>
      </c>
    </row>
    <row r="9" spans="1:11">
      <c r="C9" t="s">
        <v>138</v>
      </c>
      <c r="H9" s="79">
        <v>5135344</v>
      </c>
      <c r="I9" s="85">
        <v>386253</v>
      </c>
      <c r="J9" s="85">
        <f t="shared" si="0"/>
        <v>5521597</v>
      </c>
    </row>
    <row r="10" spans="1:11">
      <c r="C10" t="s">
        <v>46</v>
      </c>
      <c r="H10" s="80">
        <v>17839886</v>
      </c>
      <c r="I10" s="85">
        <v>243838</v>
      </c>
      <c r="J10" s="85">
        <f>SUM(H10:I10)</f>
        <v>18083724</v>
      </c>
    </row>
    <row r="11" spans="1:11">
      <c r="C11" t="s">
        <v>139</v>
      </c>
      <c r="H11" s="81">
        <v>964155</v>
      </c>
      <c r="I11" s="85">
        <v>39816</v>
      </c>
      <c r="J11" s="85">
        <f>SUM(H11:I11)</f>
        <v>1003971</v>
      </c>
    </row>
    <row r="12" spans="1:11">
      <c r="C12" t="s">
        <v>140</v>
      </c>
      <c r="H12" s="85"/>
      <c r="I12" s="85"/>
      <c r="J12" s="85"/>
    </row>
    <row r="13" spans="1:11">
      <c r="D13" t="s">
        <v>15</v>
      </c>
      <c r="H13" s="82">
        <v>18249363</v>
      </c>
      <c r="I13" s="85">
        <v>5807576</v>
      </c>
      <c r="J13" s="85">
        <f>SUM(H13:I13)</f>
        <v>24056939</v>
      </c>
    </row>
    <row r="14" spans="1:11">
      <c r="D14" t="s">
        <v>141</v>
      </c>
      <c r="H14" s="82">
        <v>263054104</v>
      </c>
      <c r="I14" s="85">
        <v>4654569</v>
      </c>
      <c r="J14" s="85">
        <f>SUM(H14:I14)</f>
        <v>267708673</v>
      </c>
    </row>
    <row r="15" spans="1:11">
      <c r="C15" t="s">
        <v>67</v>
      </c>
      <c r="H15" s="81">
        <v>8185472</v>
      </c>
      <c r="I15" s="85">
        <v>-8185472</v>
      </c>
      <c r="J15" s="85">
        <f>SUM(H15:I15)</f>
        <v>0</v>
      </c>
    </row>
    <row r="16" spans="1:11">
      <c r="H16" s="85"/>
      <c r="I16" s="85"/>
      <c r="J16" s="85"/>
    </row>
    <row r="17" spans="1:10" s="5" customFormat="1">
      <c r="C17" s="6" t="s">
        <v>17</v>
      </c>
      <c r="D17" s="6"/>
      <c r="E17" s="6"/>
      <c r="F17" s="6"/>
      <c r="G17" s="6"/>
      <c r="H17" s="84">
        <f>SUM(H8:H15)</f>
        <v>350134680</v>
      </c>
      <c r="I17" s="84">
        <f>SUM(I8:I15)</f>
        <v>3713030</v>
      </c>
      <c r="J17" s="84">
        <f>SUM(J8:J15)</f>
        <v>353847710</v>
      </c>
    </row>
    <row r="18" spans="1:10">
      <c r="H18" s="85"/>
      <c r="I18" s="85"/>
      <c r="J18" s="85"/>
    </row>
    <row r="19" spans="1:10">
      <c r="A19" s="5" t="s">
        <v>20</v>
      </c>
      <c r="H19" s="85"/>
      <c r="I19" s="85"/>
      <c r="J19" s="85"/>
    </row>
    <row r="20" spans="1:10">
      <c r="B20" s="5" t="s">
        <v>142</v>
      </c>
      <c r="C20" s="5"/>
      <c r="D20" s="5"/>
      <c r="E20" s="5"/>
      <c r="H20" s="85"/>
      <c r="I20" s="85"/>
      <c r="J20" s="85"/>
    </row>
    <row r="21" spans="1:10">
      <c r="A21" s="5"/>
      <c r="C21" t="s">
        <v>143</v>
      </c>
      <c r="H21" s="86">
        <v>3002767</v>
      </c>
      <c r="I21" s="85">
        <v>313454</v>
      </c>
      <c r="J21" s="85">
        <f t="shared" ref="J21" si="1">SUM(H21:I21)</f>
        <v>3316221</v>
      </c>
    </row>
    <row r="22" spans="1:10">
      <c r="C22" t="s">
        <v>144</v>
      </c>
      <c r="H22" s="85"/>
      <c r="I22" s="85"/>
      <c r="J22" s="85"/>
    </row>
    <row r="23" spans="1:10">
      <c r="D23" t="s">
        <v>78</v>
      </c>
      <c r="H23" s="85"/>
      <c r="I23" s="85">
        <v>91817</v>
      </c>
      <c r="J23" s="85">
        <f t="shared" ref="J23" si="2">SUM(H23:I23)</f>
        <v>91817</v>
      </c>
    </row>
    <row r="24" spans="1:10">
      <c r="H24" s="83"/>
      <c r="I24" s="83"/>
      <c r="J24" s="83"/>
    </row>
    <row r="25" spans="1:10">
      <c r="D25" s="107" t="s">
        <v>114</v>
      </c>
      <c r="E25" s="109"/>
      <c r="F25" s="109"/>
      <c r="G25" s="109"/>
      <c r="H25" s="108">
        <f>SUM(H21:H23)</f>
        <v>3002767</v>
      </c>
      <c r="I25" s="108">
        <f>SUM(I21:I23)</f>
        <v>405271</v>
      </c>
      <c r="J25" s="108">
        <f>SUM(J21:J23)</f>
        <v>3408038</v>
      </c>
    </row>
    <row r="26" spans="1:10">
      <c r="H26" s="85"/>
      <c r="I26" s="85"/>
      <c r="J26" s="85"/>
    </row>
    <row r="27" spans="1:10">
      <c r="B27" s="5" t="s">
        <v>145</v>
      </c>
      <c r="H27" s="85"/>
      <c r="I27" s="85"/>
      <c r="J27" s="85"/>
    </row>
    <row r="28" spans="1:10">
      <c r="C28" t="s">
        <v>81</v>
      </c>
      <c r="H28" s="97">
        <v>4678377</v>
      </c>
      <c r="I28" s="85"/>
      <c r="J28" s="85">
        <f>SUM(H28:I28)</f>
        <v>4678377</v>
      </c>
    </row>
    <row r="29" spans="1:10">
      <c r="C29" t="s">
        <v>82</v>
      </c>
      <c r="H29" s="79">
        <v>60341208</v>
      </c>
      <c r="I29" s="85">
        <v>572460</v>
      </c>
      <c r="J29" s="85">
        <f>SUM(H29:I29)</f>
        <v>60913668</v>
      </c>
    </row>
    <row r="30" spans="1:10">
      <c r="H30" s="83"/>
      <c r="I30" s="83"/>
      <c r="J30" s="83"/>
    </row>
    <row r="31" spans="1:10">
      <c r="D31" s="107" t="s">
        <v>146</v>
      </c>
      <c r="E31" s="109"/>
      <c r="F31" s="109"/>
      <c r="G31" s="109"/>
      <c r="H31" s="108">
        <f>SUM(H27:H29)</f>
        <v>65019585</v>
      </c>
      <c r="I31" s="108">
        <f>SUM(I27:I29)</f>
        <v>572460</v>
      </c>
      <c r="J31" s="108">
        <f>SUM(J27:J29)</f>
        <v>65592045</v>
      </c>
    </row>
    <row r="32" spans="1:10">
      <c r="H32" s="85"/>
      <c r="I32" s="85"/>
      <c r="J32" s="85"/>
    </row>
    <row r="33" spans="1:10">
      <c r="D33" s="8" t="s">
        <v>33</v>
      </c>
      <c r="E33" s="9"/>
      <c r="F33" s="9"/>
      <c r="G33" s="9"/>
      <c r="H33" s="89">
        <f>SUM(H25+H31)</f>
        <v>68022352</v>
      </c>
      <c r="I33" s="89">
        <f>SUM(I31+I25)</f>
        <v>977731</v>
      </c>
      <c r="J33" s="89">
        <f>SUM(J31+J25)</f>
        <v>69000083</v>
      </c>
    </row>
    <row r="34" spans="1:10">
      <c r="H34" s="85"/>
      <c r="I34" s="85"/>
      <c r="J34" s="85"/>
    </row>
    <row r="35" spans="1:10">
      <c r="A35" s="3" t="s">
        <v>36</v>
      </c>
      <c r="H35" s="85"/>
      <c r="I35" s="85"/>
      <c r="J35" s="85"/>
    </row>
    <row r="36" spans="1:10">
      <c r="B36" t="s">
        <v>37</v>
      </c>
      <c r="H36" s="90">
        <v>226860112</v>
      </c>
      <c r="I36" s="85">
        <v>1704213</v>
      </c>
      <c r="J36" s="85">
        <f>SUM(H36:I36)</f>
        <v>228564325</v>
      </c>
    </row>
    <row r="37" spans="1:10">
      <c r="B37" t="s">
        <v>38</v>
      </c>
      <c r="H37" s="85"/>
      <c r="I37" s="85"/>
      <c r="J37" s="85"/>
    </row>
    <row r="38" spans="1:10">
      <c r="C38" t="s">
        <v>40</v>
      </c>
      <c r="H38" s="91">
        <v>8902048</v>
      </c>
      <c r="I38" s="85"/>
      <c r="J38" s="85">
        <f>SUM(H38:I38)</f>
        <v>8902048</v>
      </c>
    </row>
    <row r="39" spans="1:10">
      <c r="C39" t="s">
        <v>59</v>
      </c>
      <c r="H39" s="91">
        <v>541580</v>
      </c>
      <c r="I39" s="85"/>
      <c r="J39" s="85">
        <f>SUM(H39:I39)</f>
        <v>541580</v>
      </c>
    </row>
    <row r="40" spans="1:10">
      <c r="C40" t="s">
        <v>147</v>
      </c>
      <c r="H40" s="91">
        <v>3674946</v>
      </c>
      <c r="I40" s="85"/>
      <c r="J40" s="85">
        <f>SUM(H40:I40)</f>
        <v>3674946</v>
      </c>
    </row>
    <row r="41" spans="1:10">
      <c r="C41" t="s">
        <v>60</v>
      </c>
      <c r="H41" s="91">
        <v>159526</v>
      </c>
      <c r="I41" s="85"/>
      <c r="J41" s="85">
        <f t="shared" ref="J41:J44" si="3">SUM(H41)</f>
        <v>159526</v>
      </c>
    </row>
    <row r="42" spans="1:10">
      <c r="C42" t="s">
        <v>130</v>
      </c>
      <c r="H42" s="91">
        <v>11586703</v>
      </c>
      <c r="I42" s="85"/>
      <c r="J42" s="85">
        <f t="shared" si="3"/>
        <v>11586703</v>
      </c>
    </row>
    <row r="43" spans="1:10">
      <c r="C43" t="s">
        <v>39</v>
      </c>
      <c r="H43" s="91">
        <v>3467975</v>
      </c>
      <c r="I43" s="85"/>
      <c r="J43" s="85">
        <f t="shared" si="3"/>
        <v>3467975</v>
      </c>
    </row>
    <row r="44" spans="1:10">
      <c r="C44" t="s">
        <v>129</v>
      </c>
      <c r="H44" s="91">
        <v>3000381</v>
      </c>
      <c r="I44" s="85"/>
      <c r="J44" s="85">
        <f t="shared" si="3"/>
        <v>3000381</v>
      </c>
    </row>
    <row r="45" spans="1:10">
      <c r="C45" t="s">
        <v>148</v>
      </c>
      <c r="H45" s="91">
        <v>330557</v>
      </c>
      <c r="I45" s="85"/>
      <c r="J45" s="85">
        <f>SUM(H45:I45)</f>
        <v>330557</v>
      </c>
    </row>
    <row r="46" spans="1:10">
      <c r="B46" t="s">
        <v>42</v>
      </c>
      <c r="H46" s="98">
        <v>23588500</v>
      </c>
      <c r="I46" s="85">
        <v>1031086</v>
      </c>
      <c r="J46" s="85">
        <f>SUM(H46:I46)</f>
        <v>24619586</v>
      </c>
    </row>
    <row r="47" spans="1:10">
      <c r="H47" s="83"/>
      <c r="I47" s="83"/>
      <c r="J47" s="83"/>
    </row>
    <row r="48" spans="1:10" s="3" customFormat="1">
      <c r="C48" s="10" t="s">
        <v>43</v>
      </c>
      <c r="D48" s="10"/>
      <c r="E48" s="10"/>
      <c r="F48" s="10"/>
      <c r="G48" s="10"/>
      <c r="H48" s="99">
        <f>SUM(H36:H46)</f>
        <v>282112328</v>
      </c>
      <c r="I48" s="99">
        <f>SUM(I36:I46)</f>
        <v>2735299</v>
      </c>
      <c r="J48" s="99">
        <f>SUM(J36:J46)</f>
        <v>284847627</v>
      </c>
    </row>
    <row r="49" spans="3:10">
      <c r="H49" s="85"/>
      <c r="I49" s="85"/>
      <c r="J49" s="85"/>
    </row>
    <row r="50" spans="3:10" s="3" customFormat="1">
      <c r="C50" s="11" t="s">
        <v>44</v>
      </c>
      <c r="D50" s="11"/>
      <c r="E50" s="11"/>
      <c r="F50" s="11"/>
      <c r="G50" s="11"/>
      <c r="H50" s="100">
        <f>H33+H48</f>
        <v>350134680</v>
      </c>
      <c r="I50" s="100">
        <f t="shared" ref="I50:J50" si="4">I33+I48</f>
        <v>3713030</v>
      </c>
      <c r="J50" s="100">
        <f t="shared" si="4"/>
        <v>353847710</v>
      </c>
    </row>
    <row r="51" spans="3:10">
      <c r="H51" s="85"/>
      <c r="I51" s="85"/>
      <c r="J51" s="85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7"/>
  <sheetViews>
    <sheetView topLeftCell="A16" workbookViewId="0">
      <selection activeCell="H27" sqref="H27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02" t="s">
        <v>149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14.25" customHeight="1">
      <c r="H4" s="71" t="s">
        <v>2</v>
      </c>
    </row>
    <row r="5" spans="1:10" ht="31.5" customHeight="1">
      <c r="H5" s="2" t="s">
        <v>3</v>
      </c>
      <c r="I5" s="111" t="s">
        <v>101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65</v>
      </c>
      <c r="H7" s="79">
        <v>16689898</v>
      </c>
      <c r="I7" s="85">
        <v>14220362</v>
      </c>
    </row>
    <row r="8" spans="1:10">
      <c r="C8" t="s">
        <v>8</v>
      </c>
      <c r="H8" s="86">
        <v>117520729</v>
      </c>
      <c r="I8" s="85">
        <v>5613349</v>
      </c>
    </row>
    <row r="9" spans="1:10">
      <c r="C9" t="s">
        <v>103</v>
      </c>
      <c r="H9" s="80">
        <v>57370497</v>
      </c>
      <c r="I9" s="85">
        <v>14484609</v>
      </c>
    </row>
    <row r="10" spans="1:10">
      <c r="C10" t="s">
        <v>47</v>
      </c>
      <c r="H10" s="95">
        <v>2164467</v>
      </c>
      <c r="I10" s="85">
        <v>642973</v>
      </c>
    </row>
    <row r="11" spans="1:10">
      <c r="C11" t="s">
        <v>150</v>
      </c>
      <c r="H11" s="141"/>
      <c r="I11" s="85">
        <v>866635</v>
      </c>
    </row>
    <row r="12" spans="1:10">
      <c r="C12" t="s">
        <v>151</v>
      </c>
      <c r="H12" s="81">
        <v>82196</v>
      </c>
      <c r="I12" s="85">
        <v>390937</v>
      </c>
    </row>
    <row r="13" spans="1:10">
      <c r="C13" t="s">
        <v>69</v>
      </c>
      <c r="H13" s="81">
        <v>112394</v>
      </c>
      <c r="I13" s="85">
        <v>8614948</v>
      </c>
    </row>
    <row r="14" spans="1:10">
      <c r="C14" t="s">
        <v>14</v>
      </c>
      <c r="H14" s="85"/>
      <c r="I14" s="85"/>
    </row>
    <row r="15" spans="1:10">
      <c r="D15" t="s">
        <v>107</v>
      </c>
      <c r="H15" s="82">
        <v>28561293</v>
      </c>
      <c r="I15" s="85">
        <v>2604168</v>
      </c>
    </row>
    <row r="16" spans="1:10">
      <c r="D16" t="s">
        <v>152</v>
      </c>
      <c r="H16" s="96">
        <v>181707632</v>
      </c>
      <c r="I16" s="85">
        <v>38525961</v>
      </c>
    </row>
    <row r="17" spans="1:9">
      <c r="H17" s="85"/>
      <c r="I17" s="83"/>
    </row>
    <row r="18" spans="1:9" s="5" customFormat="1">
      <c r="C18" s="6" t="s">
        <v>17</v>
      </c>
      <c r="D18" s="6"/>
      <c r="E18" s="6"/>
      <c r="F18" s="6"/>
      <c r="G18" s="6"/>
      <c r="H18" s="84">
        <f>SUM(H7:H16)</f>
        <v>404209106</v>
      </c>
      <c r="I18" s="84">
        <f>SUM(I7:I16)</f>
        <v>85963942</v>
      </c>
    </row>
    <row r="19" spans="1:9">
      <c r="H19" s="85"/>
      <c r="I19" s="85"/>
    </row>
    <row r="20" spans="1:9">
      <c r="A20" s="5" t="s">
        <v>18</v>
      </c>
      <c r="H20" s="85"/>
      <c r="I20" s="85"/>
    </row>
    <row r="21" spans="1:9">
      <c r="C21" t="s">
        <v>72</v>
      </c>
      <c r="H21" s="142"/>
      <c r="I21" s="142">
        <v>167647</v>
      </c>
    </row>
    <row r="22" spans="1:9">
      <c r="H22" s="85"/>
      <c r="I22" s="85"/>
    </row>
    <row r="23" spans="1:9">
      <c r="E23" s="107" t="s">
        <v>153</v>
      </c>
      <c r="F23" s="107"/>
      <c r="G23" s="107"/>
      <c r="H23" s="108">
        <f>H21+H18</f>
        <v>404209106</v>
      </c>
      <c r="I23" s="108">
        <f>I21+I18</f>
        <v>86131589</v>
      </c>
    </row>
    <row r="24" spans="1:9">
      <c r="H24" s="85"/>
      <c r="I24" s="85"/>
    </row>
    <row r="25" spans="1:9">
      <c r="A25" s="5" t="s">
        <v>20</v>
      </c>
      <c r="H25" s="85"/>
      <c r="I25" s="85"/>
    </row>
    <row r="26" spans="1:9">
      <c r="C26" t="s">
        <v>21</v>
      </c>
      <c r="H26" s="86">
        <v>2761704</v>
      </c>
      <c r="I26" s="85">
        <v>2888481</v>
      </c>
    </row>
    <row r="27" spans="1:9">
      <c r="C27" t="s">
        <v>154</v>
      </c>
      <c r="H27" s="86">
        <v>897757</v>
      </c>
      <c r="I27" s="85">
        <v>1186374</v>
      </c>
    </row>
    <row r="28" spans="1:9">
      <c r="C28" t="s">
        <v>25</v>
      </c>
      <c r="H28" s="86">
        <v>548514</v>
      </c>
      <c r="I28" s="85">
        <v>36663</v>
      </c>
    </row>
    <row r="29" spans="1:9">
      <c r="C29" t="s">
        <v>22</v>
      </c>
      <c r="H29" s="86">
        <v>779557</v>
      </c>
      <c r="I29" s="85"/>
    </row>
    <row r="30" spans="1:9">
      <c r="C30" t="s">
        <v>155</v>
      </c>
      <c r="H30" s="86">
        <v>726491</v>
      </c>
      <c r="I30" s="85">
        <v>486000</v>
      </c>
    </row>
    <row r="31" spans="1:9">
      <c r="C31" t="s">
        <v>156</v>
      </c>
      <c r="H31" s="101">
        <v>859366</v>
      </c>
      <c r="I31" s="85"/>
    </row>
    <row r="32" spans="1:9">
      <c r="C32" t="s">
        <v>157</v>
      </c>
      <c r="H32" s="101">
        <v>554985</v>
      </c>
      <c r="I32" s="85">
        <v>28025</v>
      </c>
    </row>
    <row r="33" spans="1:9">
      <c r="C33" t="s">
        <v>24</v>
      </c>
      <c r="H33" s="81">
        <v>82995</v>
      </c>
      <c r="I33" s="85">
        <v>181892</v>
      </c>
    </row>
    <row r="34" spans="1:9">
      <c r="C34" t="s">
        <v>158</v>
      </c>
      <c r="H34" s="85"/>
      <c r="I34" s="85"/>
    </row>
    <row r="35" spans="1:9">
      <c r="D35" t="s">
        <v>81</v>
      </c>
      <c r="H35" s="97">
        <v>2989243</v>
      </c>
      <c r="I35" s="85">
        <v>3510509</v>
      </c>
    </row>
    <row r="36" spans="1:9">
      <c r="D36" t="s">
        <v>82</v>
      </c>
      <c r="H36" s="79">
        <v>40233745</v>
      </c>
      <c r="I36" s="85">
        <v>21741649</v>
      </c>
    </row>
    <row r="37" spans="1:9">
      <c r="H37" s="83"/>
      <c r="I37" s="83"/>
    </row>
    <row r="38" spans="1:9">
      <c r="D38" s="8" t="s">
        <v>33</v>
      </c>
      <c r="E38" s="9"/>
      <c r="F38" s="9"/>
      <c r="G38" s="9"/>
      <c r="H38" s="89">
        <f>SUM(H26:H36)</f>
        <v>50434357</v>
      </c>
      <c r="I38" s="89">
        <f>SUM(I26:I36)</f>
        <v>30059593</v>
      </c>
    </row>
    <row r="39" spans="1:9">
      <c r="H39" s="85"/>
      <c r="I39" s="85"/>
    </row>
    <row r="40" spans="1:9">
      <c r="A40" s="3" t="s">
        <v>36</v>
      </c>
      <c r="H40" s="85"/>
      <c r="I40" s="85"/>
    </row>
    <row r="41" spans="1:9">
      <c r="B41" t="s">
        <v>37</v>
      </c>
      <c r="H41" s="90">
        <v>180201711</v>
      </c>
      <c r="I41" s="85">
        <v>27322309</v>
      </c>
    </row>
    <row r="42" spans="1:9">
      <c r="B42" t="s">
        <v>38</v>
      </c>
      <c r="H42" s="85"/>
      <c r="I42" s="85"/>
    </row>
    <row r="43" spans="1:9">
      <c r="C43" t="s">
        <v>159</v>
      </c>
      <c r="H43" s="91">
        <v>14820873</v>
      </c>
      <c r="I43" s="85"/>
    </row>
    <row r="44" spans="1:9">
      <c r="C44" t="s">
        <v>129</v>
      </c>
      <c r="H44" s="91">
        <v>4403804</v>
      </c>
      <c r="I44" s="85"/>
    </row>
    <row r="45" spans="1:9">
      <c r="C45" t="s">
        <v>160</v>
      </c>
      <c r="H45" s="91">
        <v>29075379</v>
      </c>
      <c r="I45" s="85"/>
    </row>
    <row r="46" spans="1:9">
      <c r="C46" t="s">
        <v>161</v>
      </c>
      <c r="H46" s="91">
        <v>8754267</v>
      </c>
      <c r="I46" s="85"/>
    </row>
    <row r="47" spans="1:9">
      <c r="C47" t="s">
        <v>61</v>
      </c>
      <c r="H47" s="91">
        <v>20167034</v>
      </c>
      <c r="I47" s="85"/>
    </row>
    <row r="48" spans="1:9">
      <c r="C48" t="s">
        <v>130</v>
      </c>
      <c r="H48" s="91">
        <v>25670154</v>
      </c>
      <c r="I48" s="85"/>
    </row>
    <row r="49" spans="2:9">
      <c r="C49" t="s">
        <v>60</v>
      </c>
      <c r="H49" s="91">
        <v>740175</v>
      </c>
      <c r="I49" s="85">
        <v>7500000</v>
      </c>
    </row>
    <row r="50" spans="2:9">
      <c r="C50" t="s">
        <v>39</v>
      </c>
      <c r="H50" s="91">
        <v>2966081</v>
      </c>
      <c r="I50" s="85">
        <v>2002012</v>
      </c>
    </row>
    <row r="51" spans="2:9">
      <c r="C51" t="s">
        <v>162</v>
      </c>
      <c r="H51" s="85"/>
      <c r="I51" s="85">
        <v>232162</v>
      </c>
    </row>
    <row r="52" spans="2:9">
      <c r="B52" t="s">
        <v>163</v>
      </c>
      <c r="H52" s="98">
        <v>66975271</v>
      </c>
      <c r="I52" s="85">
        <v>19015513</v>
      </c>
    </row>
    <row r="53" spans="2:9">
      <c r="H53" s="83"/>
      <c r="I53" s="83"/>
    </row>
    <row r="54" spans="2:9" s="3" customFormat="1">
      <c r="C54" s="10" t="s">
        <v>43</v>
      </c>
      <c r="D54" s="10"/>
      <c r="E54" s="10"/>
      <c r="F54" s="10"/>
      <c r="G54" s="10"/>
      <c r="H54" s="99">
        <f>SUM(H41:H52)</f>
        <v>353774749</v>
      </c>
      <c r="I54" s="99">
        <f>SUM(I41:I52)</f>
        <v>56071996</v>
      </c>
    </row>
    <row r="55" spans="2:9">
      <c r="H55" s="85"/>
      <c r="I55" s="85"/>
    </row>
    <row r="56" spans="2:9" s="3" customFormat="1">
      <c r="C56" s="11" t="s">
        <v>44</v>
      </c>
      <c r="D56" s="11"/>
      <c r="E56" s="11"/>
      <c r="F56" s="11"/>
      <c r="G56" s="11"/>
      <c r="H56" s="100">
        <f>SUM(H38+H54)</f>
        <v>404209106</v>
      </c>
      <c r="I56" s="100">
        <f>SUM(I54+I38)</f>
        <v>86131589</v>
      </c>
    </row>
    <row r="57" spans="2:9">
      <c r="H57" s="85"/>
      <c r="I57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0"/>
  <sheetViews>
    <sheetView topLeftCell="A13" workbookViewId="0">
      <selection activeCell="H59" sqref="H59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1" ht="18.75" customHeight="1">
      <c r="A1" s="1"/>
      <c r="B1" s="1"/>
      <c r="C1" s="1"/>
      <c r="D1" s="202" t="s">
        <v>164</v>
      </c>
      <c r="E1" s="202"/>
      <c r="F1" s="202"/>
      <c r="G1" s="202"/>
      <c r="H1" s="202"/>
      <c r="I1" s="102"/>
      <c r="J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 ht="14.25" customHeight="1">
      <c r="H4" s="204" t="s">
        <v>2</v>
      </c>
      <c r="I4" s="204"/>
      <c r="J4" s="144"/>
      <c r="K4" s="94"/>
    </row>
    <row r="5" spans="1:11" ht="31.5" customHeight="1">
      <c r="H5" s="110" t="s">
        <v>3</v>
      </c>
      <c r="I5" s="110" t="s">
        <v>137</v>
      </c>
      <c r="J5" s="110" t="s">
        <v>64</v>
      </c>
      <c r="K5" s="111" t="s">
        <v>4</v>
      </c>
    </row>
    <row r="6" spans="1:11">
      <c r="A6" s="3" t="s">
        <v>5</v>
      </c>
      <c r="D6" s="3"/>
      <c r="G6" s="4"/>
      <c r="H6" s="4"/>
      <c r="I6" s="4"/>
      <c r="J6" s="4"/>
    </row>
    <row r="7" spans="1:11">
      <c r="A7" s="3"/>
      <c r="B7" s="5" t="s">
        <v>6</v>
      </c>
      <c r="D7" s="3"/>
      <c r="G7" s="4"/>
      <c r="H7" s="78"/>
      <c r="I7" s="78"/>
      <c r="J7" s="78"/>
      <c r="K7" s="85"/>
    </row>
    <row r="8" spans="1:11">
      <c r="C8" t="s">
        <v>65</v>
      </c>
      <c r="H8" s="79">
        <v>61403447</v>
      </c>
      <c r="I8" s="85">
        <v>286431</v>
      </c>
      <c r="J8" s="85">
        <f t="shared" ref="J8:J25" si="0">SUM(H8:I8)</f>
        <v>61689878</v>
      </c>
      <c r="K8" s="85">
        <v>32642434</v>
      </c>
    </row>
    <row r="9" spans="1:11">
      <c r="C9" t="s">
        <v>8</v>
      </c>
      <c r="H9" s="86">
        <v>193319389</v>
      </c>
      <c r="I9" s="85">
        <v>770334</v>
      </c>
      <c r="J9" s="85">
        <f t="shared" si="0"/>
        <v>194089723</v>
      </c>
      <c r="K9" s="85">
        <v>42289149</v>
      </c>
    </row>
    <row r="10" spans="1:11">
      <c r="C10" t="s">
        <v>165</v>
      </c>
      <c r="H10" s="80">
        <v>54312100</v>
      </c>
      <c r="I10" s="85">
        <v>631792</v>
      </c>
      <c r="J10" s="85">
        <f t="shared" si="0"/>
        <v>54943892</v>
      </c>
      <c r="K10" s="85">
        <v>56808950</v>
      </c>
    </row>
    <row r="11" spans="1:11">
      <c r="C11" t="s">
        <v>166</v>
      </c>
      <c r="H11" s="80">
        <v>5763494</v>
      </c>
      <c r="I11" s="85">
        <v>21180</v>
      </c>
      <c r="J11" s="85">
        <f t="shared" si="0"/>
        <v>5784674</v>
      </c>
      <c r="K11" s="85">
        <v>1140772</v>
      </c>
    </row>
    <row r="12" spans="1:11">
      <c r="C12" t="s">
        <v>67</v>
      </c>
      <c r="H12" s="81">
        <v>43458</v>
      </c>
      <c r="I12" s="85">
        <v>-43458</v>
      </c>
      <c r="J12" s="85">
        <f t="shared" si="0"/>
        <v>0</v>
      </c>
      <c r="K12" s="85"/>
    </row>
    <row r="13" spans="1:11">
      <c r="C13" t="s">
        <v>13</v>
      </c>
      <c r="H13" s="95">
        <v>222898</v>
      </c>
      <c r="I13" s="85"/>
      <c r="J13" s="85">
        <f t="shared" si="0"/>
        <v>222898</v>
      </c>
      <c r="K13" s="85"/>
    </row>
    <row r="14" spans="1:11">
      <c r="C14" t="s">
        <v>150</v>
      </c>
      <c r="H14" s="85"/>
      <c r="I14" s="85"/>
      <c r="J14" s="85">
        <f t="shared" si="0"/>
        <v>0</v>
      </c>
      <c r="K14" s="85">
        <v>458224</v>
      </c>
    </row>
    <row r="15" spans="1:11">
      <c r="C15" t="s">
        <v>167</v>
      </c>
      <c r="H15" s="80">
        <v>48138</v>
      </c>
      <c r="I15" s="85"/>
      <c r="J15" s="85">
        <f t="shared" si="0"/>
        <v>48138</v>
      </c>
      <c r="K15" s="85"/>
    </row>
    <row r="16" spans="1:11">
      <c r="C16" t="s">
        <v>168</v>
      </c>
      <c r="H16" s="81">
        <v>220683</v>
      </c>
      <c r="I16" s="85">
        <v>33427</v>
      </c>
      <c r="J16" s="85">
        <f t="shared" si="0"/>
        <v>254110</v>
      </c>
      <c r="K16" s="85">
        <v>1621791</v>
      </c>
    </row>
    <row r="17" spans="1:11">
      <c r="C17" t="s">
        <v>48</v>
      </c>
      <c r="H17" s="81">
        <v>1092701</v>
      </c>
      <c r="I17" s="85"/>
      <c r="J17" s="85">
        <f t="shared" si="0"/>
        <v>1092701</v>
      </c>
      <c r="K17" s="85">
        <v>1957810</v>
      </c>
    </row>
    <row r="18" spans="1:11">
      <c r="C18" t="s">
        <v>69</v>
      </c>
      <c r="H18" s="85"/>
      <c r="I18" s="85">
        <v>320</v>
      </c>
      <c r="J18" s="85">
        <f t="shared" si="0"/>
        <v>320</v>
      </c>
      <c r="K18" s="85">
        <v>500683</v>
      </c>
    </row>
    <row r="19" spans="1:11">
      <c r="C19" t="s">
        <v>169</v>
      </c>
      <c r="H19" s="85"/>
      <c r="I19" s="85"/>
      <c r="J19" s="85"/>
      <c r="K19" s="85"/>
    </row>
    <row r="20" spans="1:11">
      <c r="D20" t="s">
        <v>65</v>
      </c>
      <c r="H20" s="85"/>
      <c r="I20" s="85">
        <v>13717</v>
      </c>
      <c r="J20" s="85">
        <f t="shared" si="0"/>
        <v>13717</v>
      </c>
      <c r="K20" s="85">
        <v>5461536</v>
      </c>
    </row>
    <row r="21" spans="1:11">
      <c r="D21" t="s">
        <v>8</v>
      </c>
      <c r="H21" s="85"/>
      <c r="I21" s="85">
        <v>199758</v>
      </c>
      <c r="J21" s="85">
        <f t="shared" si="0"/>
        <v>199758</v>
      </c>
      <c r="K21" s="85">
        <v>6924342</v>
      </c>
    </row>
    <row r="22" spans="1:11">
      <c r="D22" t="s">
        <v>170</v>
      </c>
      <c r="H22" s="85"/>
      <c r="I22" s="85"/>
      <c r="J22" s="85"/>
      <c r="K22" s="85">
        <v>3027184</v>
      </c>
    </row>
    <row r="23" spans="1:11">
      <c r="C23" t="s">
        <v>14</v>
      </c>
      <c r="H23" s="85"/>
      <c r="I23" s="85"/>
      <c r="J23" s="85"/>
      <c r="K23" s="85"/>
    </row>
    <row r="24" spans="1:11">
      <c r="D24" t="s">
        <v>15</v>
      </c>
      <c r="H24" s="82">
        <v>417714348</v>
      </c>
      <c r="I24" s="85">
        <v>946740</v>
      </c>
      <c r="J24" s="85">
        <f t="shared" si="0"/>
        <v>418661088</v>
      </c>
      <c r="K24" s="85">
        <v>40031303</v>
      </c>
    </row>
    <row r="25" spans="1:11">
      <c r="D25" t="s">
        <v>16</v>
      </c>
      <c r="H25" s="96">
        <v>92729097</v>
      </c>
      <c r="I25" s="85">
        <v>8300519</v>
      </c>
      <c r="J25" s="85">
        <f t="shared" si="0"/>
        <v>101029616</v>
      </c>
      <c r="K25" s="85">
        <v>205634180</v>
      </c>
    </row>
    <row r="26" spans="1:11">
      <c r="H26" s="85"/>
      <c r="I26" s="83"/>
      <c r="J26" s="83"/>
      <c r="K26" s="83"/>
    </row>
    <row r="27" spans="1:11">
      <c r="A27" s="5"/>
      <c r="B27" s="5"/>
      <c r="C27" s="6" t="s">
        <v>17</v>
      </c>
      <c r="D27" s="6"/>
      <c r="E27" s="6"/>
      <c r="F27" s="6"/>
      <c r="G27" s="6"/>
      <c r="H27" s="84">
        <f>SUM(H8:H25)</f>
        <v>826869753</v>
      </c>
      <c r="I27" s="84">
        <f>SUM(I8:I25)</f>
        <v>11160760</v>
      </c>
      <c r="J27" s="84">
        <f>SUM(J8:J25)</f>
        <v>838030513</v>
      </c>
      <c r="K27" s="84">
        <f>SUM(K8:K25)</f>
        <v>398498358</v>
      </c>
    </row>
    <row r="28" spans="1:11">
      <c r="H28" s="85"/>
      <c r="I28" s="85"/>
      <c r="J28" s="85"/>
      <c r="K28" s="85"/>
    </row>
    <row r="29" spans="1:11">
      <c r="A29" s="5" t="s">
        <v>18</v>
      </c>
      <c r="H29" s="85"/>
      <c r="I29" s="85"/>
      <c r="J29" s="85"/>
      <c r="K29" s="85"/>
    </row>
    <row r="30" spans="1:11">
      <c r="C30" t="s">
        <v>171</v>
      </c>
      <c r="H30" s="142"/>
      <c r="I30" s="142"/>
      <c r="J30" s="142"/>
      <c r="K30" s="142">
        <v>346864</v>
      </c>
    </row>
    <row r="31" spans="1:11">
      <c r="H31" s="85"/>
      <c r="I31" s="85"/>
      <c r="J31" s="85"/>
      <c r="K31" s="85"/>
    </row>
    <row r="32" spans="1:11">
      <c r="A32" s="5" t="s">
        <v>20</v>
      </c>
      <c r="H32" s="85"/>
      <c r="I32" s="85"/>
      <c r="J32" s="85"/>
      <c r="K32" s="85"/>
    </row>
    <row r="33" spans="1:11">
      <c r="C33" t="s">
        <v>172</v>
      </c>
      <c r="H33" s="86">
        <v>8484448</v>
      </c>
      <c r="I33" s="85">
        <v>176343</v>
      </c>
      <c r="J33" s="85">
        <f t="shared" ref="J33:J39" si="1">SUM(H33:I33)</f>
        <v>8660791</v>
      </c>
      <c r="K33" s="85">
        <v>9637074</v>
      </c>
    </row>
    <row r="34" spans="1:11">
      <c r="C34" t="s">
        <v>173</v>
      </c>
      <c r="H34" s="86">
        <v>3403953</v>
      </c>
      <c r="I34" s="85"/>
      <c r="J34" s="85">
        <f t="shared" si="1"/>
        <v>3403953</v>
      </c>
      <c r="K34" s="85">
        <v>1157830</v>
      </c>
    </row>
    <row r="35" spans="1:11">
      <c r="C35" t="s">
        <v>26</v>
      </c>
      <c r="H35" s="85"/>
      <c r="I35" s="85"/>
      <c r="J35" s="85">
        <f t="shared" si="1"/>
        <v>0</v>
      </c>
      <c r="K35" s="85">
        <v>222898</v>
      </c>
    </row>
    <row r="36" spans="1:11">
      <c r="C36" t="s">
        <v>156</v>
      </c>
      <c r="H36" s="101">
        <v>458224</v>
      </c>
      <c r="I36" s="85"/>
      <c r="J36" s="85">
        <f t="shared" si="1"/>
        <v>458224</v>
      </c>
      <c r="K36" s="85"/>
    </row>
    <row r="37" spans="1:11">
      <c r="C37" t="s">
        <v>24</v>
      </c>
      <c r="H37" s="81">
        <v>1102114</v>
      </c>
      <c r="I37" s="85"/>
      <c r="J37" s="85">
        <f t="shared" si="1"/>
        <v>1102114</v>
      </c>
      <c r="K37" s="85">
        <v>100462</v>
      </c>
    </row>
    <row r="38" spans="1:11">
      <c r="C38" t="s">
        <v>174</v>
      </c>
      <c r="H38" s="85"/>
      <c r="I38" s="85">
        <v>114513</v>
      </c>
      <c r="J38" s="85">
        <f t="shared" si="1"/>
        <v>114513</v>
      </c>
      <c r="K38" s="85">
        <v>729820</v>
      </c>
    </row>
    <row r="39" spans="1:11">
      <c r="C39" t="s">
        <v>98</v>
      </c>
      <c r="H39" s="81">
        <v>532001</v>
      </c>
      <c r="I39" s="85"/>
      <c r="J39" s="85">
        <f t="shared" si="1"/>
        <v>532001</v>
      </c>
      <c r="K39" s="85">
        <v>391374</v>
      </c>
    </row>
    <row r="40" spans="1:11">
      <c r="C40" t="s">
        <v>158</v>
      </c>
      <c r="H40" s="85"/>
      <c r="I40" s="85"/>
      <c r="J40" s="85"/>
      <c r="K40" s="85"/>
    </row>
    <row r="41" spans="1:11">
      <c r="D41" t="s">
        <v>81</v>
      </c>
      <c r="H41" s="97">
        <v>2847845</v>
      </c>
      <c r="I41" s="85">
        <v>40835</v>
      </c>
      <c r="J41" s="85">
        <f t="shared" ref="J41" si="2">SUM(H41:I41)</f>
        <v>2888680</v>
      </c>
      <c r="K41" s="85">
        <v>7644678</v>
      </c>
    </row>
    <row r="42" spans="1:11">
      <c r="D42" t="s">
        <v>82</v>
      </c>
      <c r="H42" s="79">
        <v>6582203</v>
      </c>
      <c r="I42" s="85">
        <v>316086</v>
      </c>
      <c r="J42" s="85">
        <f>SUM(H42:I42)</f>
        <v>6898289</v>
      </c>
      <c r="K42" s="85">
        <v>45777600</v>
      </c>
    </row>
    <row r="43" spans="1:11">
      <c r="H43" s="83"/>
      <c r="I43" s="83"/>
      <c r="J43" s="83"/>
      <c r="K43" s="83"/>
    </row>
    <row r="44" spans="1:11">
      <c r="D44" s="8" t="s">
        <v>33</v>
      </c>
      <c r="E44" s="9"/>
      <c r="F44" s="9"/>
      <c r="G44" s="9"/>
      <c r="H44" s="89">
        <f>SUM(H33:H42)</f>
        <v>23410788</v>
      </c>
      <c r="I44" s="89">
        <f>SUM(I33:I42)</f>
        <v>647777</v>
      </c>
      <c r="J44" s="89">
        <f>SUM(J33:J42)</f>
        <v>24058565</v>
      </c>
      <c r="K44" s="89">
        <f>SUM(K33:K42)</f>
        <v>65661736</v>
      </c>
    </row>
    <row r="45" spans="1:11">
      <c r="H45" s="85"/>
      <c r="I45" s="85"/>
      <c r="J45" s="85"/>
      <c r="K45" s="85"/>
    </row>
    <row r="46" spans="1:11">
      <c r="A46" s="5" t="s">
        <v>34</v>
      </c>
      <c r="H46" s="85"/>
      <c r="I46" s="85"/>
      <c r="J46" s="85"/>
      <c r="K46" s="85"/>
    </row>
    <row r="47" spans="1:11">
      <c r="C47" t="s">
        <v>175</v>
      </c>
      <c r="H47" s="142">
        <v>47202105</v>
      </c>
      <c r="I47" s="142"/>
      <c r="J47" s="142">
        <f>SUM(H47:I47)</f>
        <v>47202105</v>
      </c>
      <c r="K47" s="142">
        <v>15598437</v>
      </c>
    </row>
    <row r="48" spans="1:11">
      <c r="H48" s="85"/>
      <c r="I48" s="85"/>
      <c r="J48" s="85"/>
      <c r="K48" s="85"/>
    </row>
    <row r="49" spans="1:11">
      <c r="A49" s="3" t="s">
        <v>36</v>
      </c>
      <c r="H49" s="85"/>
      <c r="I49" s="85"/>
      <c r="J49" s="85"/>
      <c r="K49" s="85"/>
    </row>
    <row r="50" spans="1:11">
      <c r="B50" t="s">
        <v>37</v>
      </c>
      <c r="H50" s="90">
        <v>510443445</v>
      </c>
      <c r="I50" s="85">
        <v>8890338</v>
      </c>
      <c r="J50" s="85">
        <f>SUM(H50:I50)</f>
        <v>519333783</v>
      </c>
      <c r="K50" s="85">
        <v>210897698</v>
      </c>
    </row>
    <row r="51" spans="1:11" s="3" customFormat="1">
      <c r="A51"/>
      <c r="B51" t="s">
        <v>38</v>
      </c>
      <c r="C51"/>
      <c r="D51"/>
      <c r="E51"/>
      <c r="F51"/>
      <c r="G51"/>
      <c r="H51" s="85"/>
      <c r="I51" s="85"/>
      <c r="J51" s="85"/>
      <c r="K51" s="85"/>
    </row>
    <row r="52" spans="1:11" s="3" customFormat="1">
      <c r="A52"/>
      <c r="B52"/>
      <c r="C52" t="s">
        <v>39</v>
      </c>
      <c r="D52"/>
      <c r="E52"/>
      <c r="F52"/>
      <c r="G52"/>
      <c r="H52" s="85"/>
      <c r="I52" s="85">
        <v>103710</v>
      </c>
      <c r="J52" s="85">
        <f t="shared" ref="J52:J53" si="3">SUM(H52:I52)</f>
        <v>103710</v>
      </c>
      <c r="K52" s="85">
        <v>2971793</v>
      </c>
    </row>
    <row r="53" spans="1:11" s="3" customFormat="1">
      <c r="A53"/>
      <c r="B53"/>
      <c r="C53" t="s">
        <v>90</v>
      </c>
      <c r="D53"/>
      <c r="E53"/>
      <c r="F53"/>
      <c r="G53"/>
      <c r="H53" s="91">
        <v>106738240</v>
      </c>
      <c r="I53" s="85"/>
      <c r="J53" s="85">
        <f t="shared" si="3"/>
        <v>106738240</v>
      </c>
      <c r="K53" s="85"/>
    </row>
    <row r="54" spans="1:11">
      <c r="C54" t="s">
        <v>176</v>
      </c>
      <c r="H54" s="91">
        <v>59552603</v>
      </c>
      <c r="I54" s="85"/>
      <c r="J54" s="85">
        <f>SUM(H54:I54)</f>
        <v>59552603</v>
      </c>
      <c r="K54" s="85">
        <v>1975847</v>
      </c>
    </row>
    <row r="55" spans="1:11" s="3" customFormat="1">
      <c r="A55"/>
      <c r="B55" t="s">
        <v>42</v>
      </c>
      <c r="C55"/>
      <c r="D55"/>
      <c r="E55"/>
      <c r="F55"/>
      <c r="G55"/>
      <c r="H55" s="98">
        <v>79522572</v>
      </c>
      <c r="I55" s="85">
        <v>1518935</v>
      </c>
      <c r="J55" s="85">
        <f>SUM(H55:I55)</f>
        <v>81041507</v>
      </c>
      <c r="K55" s="85">
        <v>101739710</v>
      </c>
    </row>
    <row r="56" spans="1:11">
      <c r="H56" s="83"/>
      <c r="I56" s="83"/>
      <c r="J56" s="83"/>
      <c r="K56" s="83"/>
    </row>
    <row r="57" spans="1:11">
      <c r="A57" s="3"/>
      <c r="B57" s="3"/>
      <c r="C57" s="10" t="s">
        <v>43</v>
      </c>
      <c r="D57" s="10"/>
      <c r="E57" s="10"/>
      <c r="F57" s="10"/>
      <c r="G57" s="10"/>
      <c r="H57" s="99">
        <f>SUM(H50:H55)</f>
        <v>756256860</v>
      </c>
      <c r="I57" s="99">
        <f>SUM(I50:I55)</f>
        <v>10512983</v>
      </c>
      <c r="J57" s="99">
        <f>SUM(J50:J55)</f>
        <v>766769843</v>
      </c>
      <c r="K57" s="99">
        <f>SUM(K49:K55)</f>
        <v>317585048</v>
      </c>
    </row>
    <row r="58" spans="1:11">
      <c r="H58" s="85"/>
      <c r="I58" s="85"/>
      <c r="J58" s="85"/>
      <c r="K58" s="85"/>
    </row>
    <row r="59" spans="1:11">
      <c r="A59" s="3"/>
      <c r="B59" s="3"/>
      <c r="C59" s="11" t="s">
        <v>44</v>
      </c>
      <c r="D59" s="11"/>
      <c r="E59" s="11"/>
      <c r="F59" s="11"/>
      <c r="G59" s="11"/>
      <c r="H59" s="100">
        <f>SUM(H44+H57+H47)</f>
        <v>826869753</v>
      </c>
      <c r="I59" s="100">
        <f t="shared" ref="I59:K59" si="4">SUM(I44+I57+I47)</f>
        <v>11160760</v>
      </c>
      <c r="J59" s="100">
        <f t="shared" si="4"/>
        <v>838030513</v>
      </c>
      <c r="K59" s="100">
        <f t="shared" si="4"/>
        <v>398845221</v>
      </c>
    </row>
    <row r="60" spans="1:11">
      <c r="H60" s="85"/>
      <c r="I60" s="85"/>
      <c r="J60" s="85"/>
      <c r="K60" s="85"/>
    </row>
  </sheetData>
  <mergeCells count="3">
    <mergeCell ref="D1:H1"/>
    <mergeCell ref="D2:H2"/>
    <mergeCell ref="H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workbookViewId="0">
      <selection activeCell="G23" sqref="G23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177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6482087</v>
      </c>
    </row>
    <row r="7" spans="1:7">
      <c r="B7" t="s">
        <v>46</v>
      </c>
      <c r="G7" s="80">
        <v>1978585</v>
      </c>
    </row>
    <row r="8" spans="1:7">
      <c r="B8" t="s">
        <v>50</v>
      </c>
      <c r="G8" s="96">
        <v>11719166</v>
      </c>
    </row>
    <row r="9" spans="1:7">
      <c r="G9" s="85"/>
    </row>
    <row r="10" spans="1:7">
      <c r="A10" s="5"/>
      <c r="B10" s="6" t="s">
        <v>17</v>
      </c>
      <c r="C10" s="6"/>
      <c r="D10" s="6"/>
      <c r="E10" s="6"/>
      <c r="F10" s="6"/>
      <c r="G10" s="84">
        <f>SUM(G6:G8)</f>
        <v>20179838</v>
      </c>
    </row>
    <row r="11" spans="1:7">
      <c r="G11" s="85"/>
    </row>
    <row r="12" spans="1:7">
      <c r="A12" s="5" t="s">
        <v>20</v>
      </c>
      <c r="G12" s="85"/>
    </row>
    <row r="13" spans="1:7">
      <c r="A13" s="5"/>
      <c r="B13" t="s">
        <v>126</v>
      </c>
      <c r="G13" s="86">
        <v>152562</v>
      </c>
    </row>
    <row r="14" spans="1:7">
      <c r="B14" t="s">
        <v>178</v>
      </c>
      <c r="G14" s="101">
        <v>57698</v>
      </c>
    </row>
    <row r="15" spans="1:7">
      <c r="B15" t="s">
        <v>96</v>
      </c>
      <c r="G15" s="88">
        <v>119478</v>
      </c>
    </row>
    <row r="16" spans="1:7">
      <c r="G16" s="83"/>
    </row>
    <row r="17" spans="1:7">
      <c r="C17" s="8" t="s">
        <v>33</v>
      </c>
      <c r="D17" s="9"/>
      <c r="E17" s="9"/>
      <c r="F17" s="9"/>
      <c r="G17" s="89">
        <f>SUM(G13:G15)</f>
        <v>329738</v>
      </c>
    </row>
    <row r="18" spans="1:7">
      <c r="G18" s="85"/>
    </row>
    <row r="19" spans="1:7">
      <c r="A19" s="3" t="s">
        <v>36</v>
      </c>
      <c r="G19" s="85"/>
    </row>
    <row r="20" spans="1:7">
      <c r="B20" t="s">
        <v>37</v>
      </c>
      <c r="G20" s="90">
        <v>11719166</v>
      </c>
    </row>
    <row r="21" spans="1:7">
      <c r="B21" t="s">
        <v>179</v>
      </c>
      <c r="G21" s="91">
        <v>5837212</v>
      </c>
    </row>
    <row r="22" spans="1:7">
      <c r="B22" t="s">
        <v>42</v>
      </c>
      <c r="G22" s="98">
        <v>2293722</v>
      </c>
    </row>
    <row r="23" spans="1:7">
      <c r="G23" s="83"/>
    </row>
    <row r="24" spans="1:7">
      <c r="A24" s="3"/>
      <c r="B24" s="10" t="s">
        <v>43</v>
      </c>
      <c r="C24" s="10"/>
      <c r="D24" s="10"/>
      <c r="E24" s="10"/>
      <c r="F24" s="10"/>
      <c r="G24" s="99">
        <f>SUM(G20:G22)</f>
        <v>19850100</v>
      </c>
    </row>
    <row r="25" spans="1:7">
      <c r="G25" s="85"/>
    </row>
    <row r="26" spans="1:7">
      <c r="A26" s="3"/>
      <c r="B26" s="11" t="s">
        <v>44</v>
      </c>
      <c r="C26" s="11"/>
      <c r="D26" s="11"/>
      <c r="E26" s="11"/>
      <c r="F26" s="11"/>
      <c r="G26" s="100">
        <f>SUM(G17+G24)</f>
        <v>20179838</v>
      </c>
    </row>
    <row r="27" spans="1:7">
      <c r="G27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8"/>
  <sheetViews>
    <sheetView workbookViewId="0">
      <selection activeCell="G16" sqref="G16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180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9">
        <v>28095654</v>
      </c>
    </row>
    <row r="7" spans="1:7">
      <c r="B7" t="s">
        <v>103</v>
      </c>
      <c r="G7" s="80">
        <v>19930829</v>
      </c>
    </row>
    <row r="8" spans="1:7">
      <c r="B8" t="s">
        <v>181</v>
      </c>
      <c r="G8" s="81">
        <v>1839555</v>
      </c>
    </row>
    <row r="9" spans="1:7">
      <c r="B9" t="s">
        <v>182</v>
      </c>
      <c r="G9" s="81">
        <v>85154</v>
      </c>
    </row>
    <row r="10" spans="1:7">
      <c r="B10" t="s">
        <v>50</v>
      </c>
      <c r="G10" s="96">
        <v>111753810</v>
      </c>
    </row>
    <row r="11" spans="1:7">
      <c r="G11" s="85"/>
    </row>
    <row r="12" spans="1:7">
      <c r="A12" s="5"/>
      <c r="B12" s="6" t="s">
        <v>17</v>
      </c>
      <c r="C12" s="6"/>
      <c r="D12" s="6"/>
      <c r="E12" s="6"/>
      <c r="F12" s="6"/>
      <c r="G12" s="84">
        <f>SUM(G6:G10)</f>
        <v>161705002</v>
      </c>
    </row>
    <row r="13" spans="1:7">
      <c r="G13" s="85"/>
    </row>
    <row r="14" spans="1:7">
      <c r="A14" s="5" t="s">
        <v>20</v>
      </c>
      <c r="G14" s="85"/>
    </row>
    <row r="15" spans="1:7">
      <c r="A15" s="5"/>
      <c r="B15" t="s">
        <v>126</v>
      </c>
      <c r="G15" s="86">
        <v>4610520</v>
      </c>
    </row>
    <row r="16" spans="1:7">
      <c r="B16" t="s">
        <v>178</v>
      </c>
      <c r="G16" s="101">
        <v>3695066</v>
      </c>
    </row>
    <row r="17" spans="1:7">
      <c r="B17" t="s">
        <v>24</v>
      </c>
      <c r="G17" s="81">
        <v>17231</v>
      </c>
    </row>
    <row r="18" spans="1:7">
      <c r="B18" t="s">
        <v>127</v>
      </c>
      <c r="G18" s="86">
        <v>104867</v>
      </c>
    </row>
    <row r="19" spans="1:7">
      <c r="B19" t="s">
        <v>27</v>
      </c>
      <c r="G19" s="85"/>
    </row>
    <row r="20" spans="1:7">
      <c r="C20" t="s">
        <v>81</v>
      </c>
      <c r="G20" s="97">
        <v>1892917</v>
      </c>
    </row>
    <row r="21" spans="1:7">
      <c r="C21" t="s">
        <v>183</v>
      </c>
      <c r="G21" s="79">
        <v>5190396</v>
      </c>
    </row>
    <row r="22" spans="1:7">
      <c r="G22" s="83"/>
    </row>
    <row r="23" spans="1:7">
      <c r="C23" s="8" t="s">
        <v>33</v>
      </c>
      <c r="D23" s="9"/>
      <c r="E23" s="9"/>
      <c r="F23" s="9"/>
      <c r="G23" s="89">
        <f>SUM(G15:G21)</f>
        <v>15510997</v>
      </c>
    </row>
    <row r="24" spans="1:7">
      <c r="G24" s="85"/>
    </row>
    <row r="25" spans="1:7">
      <c r="A25" s="3" t="s">
        <v>36</v>
      </c>
      <c r="G25" s="85"/>
    </row>
    <row r="26" spans="1:7">
      <c r="B26" t="s">
        <v>99</v>
      </c>
      <c r="G26" s="90">
        <v>104565630</v>
      </c>
    </row>
    <row r="27" spans="1:7">
      <c r="B27" t="s">
        <v>184</v>
      </c>
      <c r="G27" s="85"/>
    </row>
    <row r="28" spans="1:7">
      <c r="C28" t="s">
        <v>56</v>
      </c>
      <c r="G28" s="91">
        <v>6377</v>
      </c>
    </row>
    <row r="29" spans="1:7">
      <c r="C29" t="s">
        <v>39</v>
      </c>
      <c r="G29" s="91">
        <v>1468574</v>
      </c>
    </row>
    <row r="30" spans="1:7">
      <c r="C30" t="s">
        <v>185</v>
      </c>
      <c r="G30" s="91">
        <v>35404</v>
      </c>
    </row>
    <row r="31" spans="1:7">
      <c r="C31" t="s">
        <v>151</v>
      </c>
      <c r="G31" s="91">
        <v>1839555</v>
      </c>
    </row>
    <row r="32" spans="1:7">
      <c r="C32" t="s">
        <v>139</v>
      </c>
      <c r="G32" s="91">
        <v>64152</v>
      </c>
    </row>
    <row r="33" spans="1:7">
      <c r="B33" t="s">
        <v>186</v>
      </c>
      <c r="G33" s="98">
        <v>38214313</v>
      </c>
    </row>
    <row r="34" spans="1:7">
      <c r="G34" s="83"/>
    </row>
    <row r="35" spans="1:7">
      <c r="A35" s="3"/>
      <c r="B35" s="10" t="s">
        <v>43</v>
      </c>
      <c r="C35" s="10"/>
      <c r="D35" s="10"/>
      <c r="E35" s="10"/>
      <c r="F35" s="10"/>
      <c r="G35" s="99">
        <f>SUM(G26:G33)</f>
        <v>146194005</v>
      </c>
    </row>
    <row r="36" spans="1:7">
      <c r="G36" s="85"/>
    </row>
    <row r="37" spans="1:7">
      <c r="A37" s="3"/>
      <c r="B37" s="11" t="s">
        <v>44</v>
      </c>
      <c r="C37" s="11"/>
      <c r="D37" s="11"/>
      <c r="E37" s="11"/>
      <c r="F37" s="11"/>
      <c r="G37" s="100">
        <f>SUM(G23+G35)</f>
        <v>161705002</v>
      </c>
    </row>
    <row r="38" spans="1:7">
      <c r="G38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3"/>
  <sheetViews>
    <sheetView workbookViewId="0">
      <selection activeCell="H33" sqref="H33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02" t="s">
        <v>187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14.25" customHeight="1">
      <c r="H4" s="71" t="s">
        <v>2</v>
      </c>
    </row>
    <row r="5" spans="1:10" ht="31.5" customHeight="1">
      <c r="H5" s="2" t="s">
        <v>3</v>
      </c>
      <c r="I5" s="111" t="s">
        <v>101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65</v>
      </c>
      <c r="H7" s="79">
        <v>1908979</v>
      </c>
      <c r="I7" s="85">
        <v>131356</v>
      </c>
    </row>
    <row r="8" spans="1:10">
      <c r="C8" t="s">
        <v>188</v>
      </c>
      <c r="H8" s="79">
        <v>26325</v>
      </c>
      <c r="I8" s="85"/>
    </row>
    <row r="9" spans="1:10">
      <c r="C9" t="s">
        <v>46</v>
      </c>
      <c r="H9" s="80">
        <v>1411486</v>
      </c>
      <c r="I9" s="85">
        <v>14280</v>
      </c>
    </row>
    <row r="10" spans="1:10">
      <c r="C10" t="s">
        <v>69</v>
      </c>
      <c r="H10" s="81">
        <v>81766</v>
      </c>
      <c r="I10" s="85"/>
    </row>
    <row r="11" spans="1:10">
      <c r="C11" t="s">
        <v>50</v>
      </c>
      <c r="H11" s="96">
        <v>5862816</v>
      </c>
      <c r="I11" s="85">
        <v>88616</v>
      </c>
    </row>
    <row r="12" spans="1:10">
      <c r="H12" s="85"/>
      <c r="I12" s="83"/>
    </row>
    <row r="13" spans="1:10" s="5" customFormat="1">
      <c r="C13" s="6" t="s">
        <v>17</v>
      </c>
      <c r="D13" s="6"/>
      <c r="E13" s="6"/>
      <c r="F13" s="6"/>
      <c r="G13" s="6"/>
      <c r="H13" s="84">
        <f>SUM(H7:H11)</f>
        <v>9291372</v>
      </c>
      <c r="I13" s="84">
        <f>SUM(I7:I11)</f>
        <v>234252</v>
      </c>
    </row>
    <row r="14" spans="1:10">
      <c r="H14" s="85"/>
      <c r="I14" s="85"/>
    </row>
    <row r="15" spans="1:10">
      <c r="A15" s="5" t="s">
        <v>20</v>
      </c>
      <c r="H15" s="85"/>
      <c r="I15" s="85"/>
    </row>
    <row r="16" spans="1:10">
      <c r="C16" t="s">
        <v>126</v>
      </c>
      <c r="H16" s="86">
        <v>551794</v>
      </c>
      <c r="I16" s="85">
        <v>490</v>
      </c>
    </row>
    <row r="17" spans="1:9">
      <c r="C17" t="s">
        <v>30</v>
      </c>
      <c r="H17" s="88">
        <v>27615</v>
      </c>
      <c r="I17" s="85"/>
    </row>
    <row r="18" spans="1:9">
      <c r="C18" t="s">
        <v>189</v>
      </c>
      <c r="H18" s="97">
        <v>120000</v>
      </c>
      <c r="I18" s="85"/>
    </row>
    <row r="19" spans="1:9">
      <c r="C19" t="s">
        <v>190</v>
      </c>
      <c r="H19" s="79">
        <v>51000</v>
      </c>
      <c r="I19" s="85"/>
    </row>
    <row r="20" spans="1:9">
      <c r="H20" s="83"/>
      <c r="I20" s="83"/>
    </row>
    <row r="21" spans="1:9">
      <c r="D21" s="8" t="s">
        <v>33</v>
      </c>
      <c r="E21" s="9"/>
      <c r="F21" s="9"/>
      <c r="G21" s="9"/>
      <c r="H21" s="89">
        <f>SUM(H16:H19)</f>
        <v>750409</v>
      </c>
      <c r="I21" s="89">
        <f>SUM(I16:I19)</f>
        <v>490</v>
      </c>
    </row>
    <row r="22" spans="1:9">
      <c r="H22" s="85"/>
      <c r="I22" s="85"/>
    </row>
    <row r="23" spans="1:9">
      <c r="A23" s="5" t="s">
        <v>191</v>
      </c>
      <c r="H23" s="85"/>
      <c r="I23" s="85"/>
    </row>
    <row r="24" spans="1:9">
      <c r="C24" t="s">
        <v>192</v>
      </c>
      <c r="H24" s="142">
        <v>14777</v>
      </c>
      <c r="I24" s="142"/>
    </row>
    <row r="25" spans="1:9">
      <c r="H25" s="85"/>
      <c r="I25" s="85"/>
    </row>
    <row r="26" spans="1:9">
      <c r="A26" s="3" t="s">
        <v>36</v>
      </c>
      <c r="H26" s="85"/>
      <c r="I26" s="85"/>
    </row>
    <row r="27" spans="1:9">
      <c r="B27" t="s">
        <v>37</v>
      </c>
      <c r="H27" s="90">
        <v>5862816</v>
      </c>
      <c r="I27" s="85">
        <v>88616</v>
      </c>
    </row>
    <row r="28" spans="1:9">
      <c r="B28" t="s">
        <v>118</v>
      </c>
      <c r="H28" s="98">
        <v>2663370</v>
      </c>
      <c r="I28" s="85">
        <v>145146</v>
      </c>
    </row>
    <row r="29" spans="1:9">
      <c r="H29" s="83"/>
      <c r="I29" s="83"/>
    </row>
    <row r="30" spans="1:9" s="3" customFormat="1">
      <c r="C30" s="10" t="s">
        <v>43</v>
      </c>
      <c r="D30" s="10"/>
      <c r="E30" s="10"/>
      <c r="F30" s="10"/>
      <c r="G30" s="10"/>
      <c r="H30" s="99">
        <f>SUM(H27:H28)</f>
        <v>8526186</v>
      </c>
      <c r="I30" s="99">
        <f>SUM(I27:I28)</f>
        <v>233762</v>
      </c>
    </row>
    <row r="31" spans="1:9">
      <c r="H31" s="85"/>
      <c r="I31" s="85"/>
    </row>
    <row r="32" spans="1:9" s="3" customFormat="1">
      <c r="C32" s="11" t="s">
        <v>44</v>
      </c>
      <c r="D32" s="11"/>
      <c r="E32" s="11"/>
      <c r="F32" s="11"/>
      <c r="G32" s="11"/>
      <c r="H32" s="100">
        <f>SUM(H21+H30+H24)</f>
        <v>9291372</v>
      </c>
      <c r="I32" s="100">
        <f>SUM(I30+I21)</f>
        <v>234252</v>
      </c>
    </row>
    <row r="33" spans="8:9">
      <c r="H33" s="85"/>
      <c r="I33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8"/>
  <sheetViews>
    <sheetView workbookViewId="0">
      <selection activeCell="I7" sqref="I7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193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7547110</v>
      </c>
    </row>
    <row r="7" spans="1:7">
      <c r="B7" t="s">
        <v>8</v>
      </c>
      <c r="G7" s="86">
        <v>28082</v>
      </c>
    </row>
    <row r="8" spans="1:7">
      <c r="B8" t="s">
        <v>46</v>
      </c>
      <c r="G8" s="80">
        <v>3215328</v>
      </c>
    </row>
    <row r="9" spans="1:7">
      <c r="B9" t="s">
        <v>194</v>
      </c>
      <c r="G9" s="81">
        <v>113163</v>
      </c>
    </row>
    <row r="10" spans="1:7">
      <c r="B10" t="s">
        <v>50</v>
      </c>
      <c r="G10" s="96">
        <v>7059807</v>
      </c>
    </row>
    <row r="11" spans="1:7">
      <c r="G11" s="85"/>
    </row>
    <row r="12" spans="1:7">
      <c r="A12" s="5"/>
      <c r="B12" s="6" t="s">
        <v>17</v>
      </c>
      <c r="C12" s="6"/>
      <c r="D12" s="6"/>
      <c r="E12" s="6"/>
      <c r="F12" s="6"/>
      <c r="G12" s="84">
        <f>SUM(G6:G10)</f>
        <v>17963490</v>
      </c>
    </row>
    <row r="13" spans="1:7">
      <c r="G13" s="85"/>
    </row>
    <row r="14" spans="1:7">
      <c r="A14" s="5" t="s">
        <v>20</v>
      </c>
      <c r="G14" s="85"/>
    </row>
    <row r="15" spans="1:7">
      <c r="A15" s="5"/>
      <c r="B15" t="s">
        <v>126</v>
      </c>
      <c r="G15" s="86">
        <v>643570</v>
      </c>
    </row>
    <row r="16" spans="1:7">
      <c r="B16" t="s">
        <v>178</v>
      </c>
      <c r="G16" s="101">
        <v>16368</v>
      </c>
    </row>
    <row r="17" spans="1:7">
      <c r="B17" t="s">
        <v>112</v>
      </c>
      <c r="G17" s="81">
        <v>15626</v>
      </c>
    </row>
    <row r="18" spans="1:7">
      <c r="B18" t="s">
        <v>96</v>
      </c>
      <c r="G18" s="88">
        <v>50773</v>
      </c>
    </row>
    <row r="19" spans="1:7">
      <c r="B19" t="s">
        <v>195</v>
      </c>
      <c r="G19" s="97">
        <v>155000</v>
      </c>
    </row>
    <row r="20" spans="1:7">
      <c r="B20" t="s">
        <v>196</v>
      </c>
      <c r="G20" s="79">
        <v>1700000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SUM(G15:G20)</f>
        <v>2581337</v>
      </c>
    </row>
    <row r="23" spans="1:7">
      <c r="G23" s="85"/>
    </row>
    <row r="24" spans="1:7">
      <c r="A24" s="3" t="s">
        <v>36</v>
      </c>
      <c r="G24" s="85"/>
    </row>
    <row r="25" spans="1:7">
      <c r="B25" t="s">
        <v>37</v>
      </c>
      <c r="G25" s="90">
        <v>5048392</v>
      </c>
    </row>
    <row r="26" spans="1:7">
      <c r="B26" t="s">
        <v>38</v>
      </c>
      <c r="G26" s="85"/>
    </row>
    <row r="27" spans="1:7">
      <c r="C27" t="s">
        <v>197</v>
      </c>
      <c r="G27" s="91">
        <v>804147</v>
      </c>
    </row>
    <row r="28" spans="1:7">
      <c r="C28" t="s">
        <v>198</v>
      </c>
      <c r="G28" s="91">
        <v>1473326</v>
      </c>
    </row>
    <row r="29" spans="1:7">
      <c r="C29" t="s">
        <v>59</v>
      </c>
      <c r="G29" s="91">
        <v>876596</v>
      </c>
    </row>
    <row r="30" spans="1:7">
      <c r="C30" t="s">
        <v>58</v>
      </c>
      <c r="G30" s="91">
        <v>256431</v>
      </c>
    </row>
    <row r="31" spans="1:7">
      <c r="C31" t="s">
        <v>129</v>
      </c>
      <c r="G31" s="91">
        <v>253852</v>
      </c>
    </row>
    <row r="32" spans="1:7">
      <c r="C32" t="s">
        <v>130</v>
      </c>
      <c r="G32" s="91">
        <v>995881</v>
      </c>
    </row>
    <row r="33" spans="1:7">
      <c r="B33" t="s">
        <v>42</v>
      </c>
      <c r="G33" s="98">
        <v>5673528</v>
      </c>
    </row>
    <row r="34" spans="1:7">
      <c r="G34" s="83"/>
    </row>
    <row r="35" spans="1:7">
      <c r="A35" s="3"/>
      <c r="B35" s="10" t="s">
        <v>43</v>
      </c>
      <c r="C35" s="10"/>
      <c r="D35" s="10"/>
      <c r="E35" s="10"/>
      <c r="F35" s="10"/>
      <c r="G35" s="99">
        <f>SUM(G25:G33)</f>
        <v>15382153</v>
      </c>
    </row>
    <row r="36" spans="1:7">
      <c r="G36" s="85"/>
    </row>
    <row r="37" spans="1:7">
      <c r="A37" s="3"/>
      <c r="B37" s="11" t="s">
        <v>44</v>
      </c>
      <c r="C37" s="11"/>
      <c r="D37" s="11"/>
      <c r="E37" s="11"/>
      <c r="F37" s="11"/>
      <c r="G37" s="100">
        <f>SUM(G22+G35)</f>
        <v>17963490</v>
      </c>
    </row>
    <row r="38" spans="1:7">
      <c r="G38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4"/>
  <sheetViews>
    <sheetView workbookViewId="0">
      <selection activeCell="G32" sqref="G32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199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9">
        <v>5653482</v>
      </c>
    </row>
    <row r="7" spans="1:7">
      <c r="B7" t="s">
        <v>200</v>
      </c>
      <c r="G7" s="79">
        <v>2396243</v>
      </c>
    </row>
    <row r="8" spans="1:7">
      <c r="B8" t="s">
        <v>46</v>
      </c>
      <c r="G8" s="80">
        <v>2125063</v>
      </c>
    </row>
    <row r="9" spans="1:7">
      <c r="B9" t="s">
        <v>201</v>
      </c>
      <c r="G9" s="81">
        <v>2658</v>
      </c>
    </row>
    <row r="10" spans="1:7">
      <c r="B10" t="s">
        <v>202</v>
      </c>
      <c r="G10" s="96">
        <v>10920531</v>
      </c>
    </row>
    <row r="11" spans="1:7">
      <c r="G11" s="85"/>
    </row>
    <row r="12" spans="1:7">
      <c r="A12" s="5"/>
      <c r="B12" s="6" t="s">
        <v>17</v>
      </c>
      <c r="C12" s="6"/>
      <c r="D12" s="6"/>
      <c r="E12" s="6"/>
      <c r="F12" s="6"/>
      <c r="G12" s="84">
        <f>SUM(G6:G10)</f>
        <v>21097977</v>
      </c>
    </row>
    <row r="13" spans="1:7">
      <c r="G13" s="85"/>
    </row>
    <row r="14" spans="1:7">
      <c r="A14" s="5" t="s">
        <v>20</v>
      </c>
      <c r="G14" s="85"/>
    </row>
    <row r="15" spans="1:7">
      <c r="A15" s="5"/>
      <c r="B15" t="s">
        <v>203</v>
      </c>
      <c r="G15" s="85"/>
    </row>
    <row r="16" spans="1:7">
      <c r="C16" t="s">
        <v>21</v>
      </c>
      <c r="G16" s="86">
        <v>102093</v>
      </c>
    </row>
    <row r="17" spans="1:7">
      <c r="C17" t="s">
        <v>127</v>
      </c>
      <c r="G17" s="86">
        <v>277708</v>
      </c>
    </row>
    <row r="18" spans="1:7">
      <c r="C18" t="s">
        <v>204</v>
      </c>
      <c r="G18" s="97">
        <v>395818</v>
      </c>
    </row>
    <row r="19" spans="1:7">
      <c r="B19" t="s">
        <v>205</v>
      </c>
      <c r="G19" s="85"/>
    </row>
    <row r="20" spans="1:7">
      <c r="C20" t="s">
        <v>206</v>
      </c>
      <c r="G20" s="79">
        <v>9404258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SUM(G15:G20)</f>
        <v>10179877</v>
      </c>
    </row>
    <row r="23" spans="1:7">
      <c r="G23" s="85"/>
    </row>
    <row r="24" spans="1:7">
      <c r="A24" s="3" t="s">
        <v>36</v>
      </c>
      <c r="G24" s="85"/>
    </row>
    <row r="25" spans="1:7">
      <c r="B25" t="s">
        <v>99</v>
      </c>
      <c r="G25" s="90">
        <v>1120455</v>
      </c>
    </row>
    <row r="26" spans="1:7">
      <c r="B26" t="s">
        <v>38</v>
      </c>
      <c r="G26" s="85"/>
    </row>
    <row r="27" spans="1:7">
      <c r="C27" t="s">
        <v>39</v>
      </c>
      <c r="G27" s="91">
        <v>2396243</v>
      </c>
    </row>
    <row r="28" spans="1:7">
      <c r="C28" t="s">
        <v>207</v>
      </c>
      <c r="G28" s="91">
        <v>4394633</v>
      </c>
    </row>
    <row r="29" spans="1:7">
      <c r="B29" t="s">
        <v>42</v>
      </c>
      <c r="G29" s="98">
        <v>3006769</v>
      </c>
    </row>
    <row r="30" spans="1:7">
      <c r="G30" s="83"/>
    </row>
    <row r="31" spans="1:7">
      <c r="A31" s="3"/>
      <c r="B31" s="10" t="s">
        <v>43</v>
      </c>
      <c r="C31" s="10"/>
      <c r="D31" s="10"/>
      <c r="E31" s="10"/>
      <c r="F31" s="10"/>
      <c r="G31" s="99">
        <f>SUM(G25:G29)</f>
        <v>10918100</v>
      </c>
    </row>
    <row r="32" spans="1:7">
      <c r="G32" s="85"/>
    </row>
    <row r="33" spans="1:7">
      <c r="A33" s="3"/>
      <c r="B33" s="11" t="s">
        <v>44</v>
      </c>
      <c r="C33" s="11"/>
      <c r="D33" s="11"/>
      <c r="E33" s="11"/>
      <c r="F33" s="11"/>
      <c r="G33" s="100">
        <f>SUM(G22+G31)</f>
        <v>21097977</v>
      </c>
    </row>
    <row r="34" spans="1:7">
      <c r="G34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5"/>
  <sheetViews>
    <sheetView workbookViewId="0">
      <selection activeCell="I31" sqref="I31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02" t="s">
        <v>208</v>
      </c>
      <c r="E1" s="202"/>
      <c r="F1" s="202"/>
      <c r="G1" s="202"/>
      <c r="H1" s="202"/>
      <c r="I1" s="102"/>
      <c r="J1" s="102"/>
    </row>
    <row r="2" spans="1:11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>
      <c r="H4" s="206" t="s">
        <v>2</v>
      </c>
      <c r="I4" s="206"/>
      <c r="J4" s="206"/>
    </row>
    <row r="5" spans="1:11" ht="29.1">
      <c r="H5" s="110" t="s">
        <v>3</v>
      </c>
      <c r="I5" s="110" t="s">
        <v>137</v>
      </c>
      <c r="J5" s="110" t="s">
        <v>64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65</v>
      </c>
      <c r="H7" s="79">
        <v>9790825</v>
      </c>
      <c r="I7" s="85">
        <v>265</v>
      </c>
      <c r="J7" s="85">
        <f t="shared" ref="J7:J8" si="0">SUM(H7:I7)</f>
        <v>9791090</v>
      </c>
    </row>
    <row r="8" spans="1:11">
      <c r="C8" t="s">
        <v>8</v>
      </c>
      <c r="H8" s="86">
        <v>19901346</v>
      </c>
      <c r="I8" s="85"/>
      <c r="J8" s="85">
        <f t="shared" si="0"/>
        <v>19901346</v>
      </c>
    </row>
    <row r="9" spans="1:11">
      <c r="C9" t="s">
        <v>165</v>
      </c>
      <c r="H9" s="80">
        <v>13582980</v>
      </c>
      <c r="I9" s="85">
        <v>4072</v>
      </c>
      <c r="J9" s="85">
        <f>SUM(H9:I9)</f>
        <v>13587052</v>
      </c>
    </row>
    <row r="10" spans="1:11">
      <c r="C10" t="s">
        <v>47</v>
      </c>
      <c r="H10" s="95">
        <v>2650</v>
      </c>
      <c r="I10" s="85"/>
      <c r="J10" s="85">
        <f>SUM(H10:I10)</f>
        <v>2650</v>
      </c>
    </row>
    <row r="11" spans="1:11">
      <c r="C11" t="s">
        <v>48</v>
      </c>
      <c r="H11" s="81">
        <v>40185</v>
      </c>
      <c r="I11" s="85"/>
      <c r="J11" s="85">
        <f>SUM(H11:I11)</f>
        <v>40185</v>
      </c>
    </row>
    <row r="12" spans="1:11">
      <c r="C12" t="s">
        <v>108</v>
      </c>
      <c r="H12" s="82">
        <v>75371606</v>
      </c>
      <c r="I12" s="85">
        <v>10175</v>
      </c>
      <c r="J12" s="85">
        <f>SUM(H12:I12)</f>
        <v>75381781</v>
      </c>
    </row>
    <row r="13" spans="1:11">
      <c r="H13" s="83"/>
      <c r="I13" s="83"/>
      <c r="J13" s="83"/>
    </row>
    <row r="14" spans="1:11" s="5" customFormat="1">
      <c r="C14" s="6" t="s">
        <v>17</v>
      </c>
      <c r="D14" s="6"/>
      <c r="E14" s="6"/>
      <c r="F14" s="6"/>
      <c r="G14" s="6"/>
      <c r="H14" s="84">
        <f>SUM(H7:H12)</f>
        <v>118689592</v>
      </c>
      <c r="I14" s="84">
        <f>SUM(I7:I12)</f>
        <v>14512</v>
      </c>
      <c r="J14" s="84">
        <f>SUM(J7:J12)</f>
        <v>118704104</v>
      </c>
    </row>
    <row r="15" spans="1:11">
      <c r="H15" s="85"/>
      <c r="I15" s="85"/>
      <c r="J15" s="85"/>
    </row>
    <row r="16" spans="1:11">
      <c r="A16" s="5" t="s">
        <v>20</v>
      </c>
      <c r="H16" s="85"/>
      <c r="I16" s="85"/>
      <c r="J16" s="85"/>
    </row>
    <row r="17" spans="1:10">
      <c r="A17" s="5"/>
      <c r="C17" t="s">
        <v>21</v>
      </c>
      <c r="H17" s="86">
        <v>1173758</v>
      </c>
      <c r="I17" s="85">
        <v>2331</v>
      </c>
      <c r="J17" s="85">
        <f t="shared" ref="J17:J23" si="1">SUM(H17:I17)</f>
        <v>1176089</v>
      </c>
    </row>
    <row r="18" spans="1:10">
      <c r="C18" t="s">
        <v>209</v>
      </c>
      <c r="H18" s="81">
        <v>1100</v>
      </c>
      <c r="I18" s="85">
        <v>270</v>
      </c>
      <c r="J18" s="85">
        <f t="shared" si="1"/>
        <v>1370</v>
      </c>
    </row>
    <row r="19" spans="1:10">
      <c r="C19" t="s">
        <v>210</v>
      </c>
      <c r="H19" s="81">
        <v>67825</v>
      </c>
      <c r="I19" s="85"/>
      <c r="J19" s="85">
        <f t="shared" si="1"/>
        <v>67825</v>
      </c>
    </row>
    <row r="20" spans="1:10">
      <c r="C20" t="s">
        <v>211</v>
      </c>
      <c r="H20" s="101">
        <v>260166</v>
      </c>
      <c r="I20" s="85"/>
      <c r="J20" s="85">
        <f t="shared" si="1"/>
        <v>260166</v>
      </c>
    </row>
    <row r="21" spans="1:10">
      <c r="C21" t="s">
        <v>212</v>
      </c>
      <c r="H21" s="81">
        <v>2165606</v>
      </c>
      <c r="I21" s="85"/>
      <c r="J21" s="85">
        <f t="shared" si="1"/>
        <v>2165606</v>
      </c>
    </row>
    <row r="22" spans="1:10">
      <c r="C22" t="s">
        <v>30</v>
      </c>
      <c r="H22" s="88">
        <v>284258</v>
      </c>
      <c r="I22" s="85"/>
      <c r="J22" s="85">
        <f t="shared" si="1"/>
        <v>284258</v>
      </c>
    </row>
    <row r="23" spans="1:10">
      <c r="C23" t="s">
        <v>213</v>
      </c>
      <c r="H23" s="81">
        <v>2466192</v>
      </c>
      <c r="I23" s="85"/>
      <c r="J23" s="85">
        <f t="shared" si="1"/>
        <v>2466192</v>
      </c>
    </row>
    <row r="24" spans="1:10">
      <c r="C24" t="s">
        <v>27</v>
      </c>
      <c r="H24" s="85"/>
      <c r="I24" s="85"/>
      <c r="J24" s="85"/>
    </row>
    <row r="25" spans="1:10">
      <c r="D25" t="s">
        <v>81</v>
      </c>
      <c r="H25" s="97">
        <v>5641</v>
      </c>
      <c r="I25" s="85"/>
      <c r="J25" s="85">
        <f>SUM(H25:I25)</f>
        <v>5641</v>
      </c>
    </row>
    <row r="26" spans="1:10">
      <c r="D26" t="s">
        <v>82</v>
      </c>
      <c r="H26" s="79">
        <v>5280</v>
      </c>
      <c r="I26" s="85"/>
      <c r="J26" s="85">
        <f>SUM(H26:I26)</f>
        <v>5280</v>
      </c>
    </row>
    <row r="27" spans="1:10">
      <c r="H27" s="83"/>
      <c r="I27" s="83"/>
      <c r="J27" s="83"/>
    </row>
    <row r="28" spans="1:10">
      <c r="D28" s="8" t="s">
        <v>33</v>
      </c>
      <c r="E28" s="9"/>
      <c r="F28" s="9"/>
      <c r="G28" s="9"/>
      <c r="H28" s="89">
        <f>SUM(H17:H26)</f>
        <v>6429826</v>
      </c>
      <c r="I28" s="89">
        <f t="shared" ref="I28:J28" si="2">SUM(I17:I26)</f>
        <v>2601</v>
      </c>
      <c r="J28" s="89">
        <f t="shared" si="2"/>
        <v>6432427</v>
      </c>
    </row>
    <row r="29" spans="1:10">
      <c r="H29" s="85"/>
      <c r="I29" s="85"/>
      <c r="J29" s="85"/>
    </row>
    <row r="30" spans="1:10">
      <c r="A30" s="3" t="s">
        <v>36</v>
      </c>
      <c r="H30" s="85"/>
      <c r="I30" s="85"/>
      <c r="J30" s="85"/>
    </row>
    <row r="31" spans="1:10">
      <c r="B31" t="s">
        <v>37</v>
      </c>
      <c r="H31" s="90">
        <v>75360685</v>
      </c>
      <c r="I31" s="85">
        <v>10175</v>
      </c>
      <c r="J31" s="85">
        <f>SUM(H31:I31)</f>
        <v>75370860</v>
      </c>
    </row>
    <row r="32" spans="1:10">
      <c r="B32" t="s">
        <v>38</v>
      </c>
      <c r="H32" s="85"/>
      <c r="I32" s="85"/>
      <c r="J32" s="85"/>
    </row>
    <row r="33" spans="2:10">
      <c r="C33" t="s">
        <v>214</v>
      </c>
      <c r="H33" s="91">
        <v>7402456</v>
      </c>
      <c r="I33" s="85"/>
      <c r="J33" s="85">
        <f>SUM(H33:I33)</f>
        <v>7402456</v>
      </c>
    </row>
    <row r="34" spans="2:10">
      <c r="C34" t="s">
        <v>215</v>
      </c>
      <c r="H34" s="91">
        <v>98450</v>
      </c>
      <c r="I34" s="85"/>
      <c r="J34" s="85">
        <f>SUM(H34:I34)</f>
        <v>98450</v>
      </c>
    </row>
    <row r="35" spans="2:10">
      <c r="C35" t="s">
        <v>147</v>
      </c>
      <c r="H35" s="91">
        <v>4730847</v>
      </c>
      <c r="I35" s="85"/>
      <c r="J35" s="85">
        <f>SUM(H35:I35)</f>
        <v>4730847</v>
      </c>
    </row>
    <row r="36" spans="2:10">
      <c r="C36" t="s">
        <v>216</v>
      </c>
      <c r="H36" s="91">
        <v>4233180</v>
      </c>
      <c r="I36" s="85"/>
      <c r="J36" s="85">
        <f t="shared" ref="J36:J38" si="3">SUM(H36)</f>
        <v>4233180</v>
      </c>
    </row>
    <row r="37" spans="2:10">
      <c r="C37" t="s">
        <v>61</v>
      </c>
      <c r="H37" s="91">
        <v>12418900</v>
      </c>
      <c r="I37" s="85"/>
      <c r="J37" s="85">
        <f t="shared" si="3"/>
        <v>12418900</v>
      </c>
    </row>
    <row r="38" spans="2:10">
      <c r="C38" t="s">
        <v>129</v>
      </c>
      <c r="H38" s="91">
        <v>6995</v>
      </c>
      <c r="I38" s="85"/>
      <c r="J38" s="85">
        <f t="shared" si="3"/>
        <v>6995</v>
      </c>
    </row>
    <row r="39" spans="2:10">
      <c r="C39" t="s">
        <v>217</v>
      </c>
      <c r="H39" s="91">
        <v>394991</v>
      </c>
      <c r="I39" s="85"/>
      <c r="J39" s="85">
        <f>SUM(H39:I39)</f>
        <v>394991</v>
      </c>
    </row>
    <row r="40" spans="2:10">
      <c r="B40" t="s">
        <v>42</v>
      </c>
      <c r="H40" s="98">
        <v>7613262</v>
      </c>
      <c r="I40" s="85">
        <v>1736</v>
      </c>
      <c r="J40" s="85">
        <f>SUM(H40:I40)</f>
        <v>7614998</v>
      </c>
    </row>
    <row r="41" spans="2:10">
      <c r="H41" s="83"/>
      <c r="I41" s="83"/>
      <c r="J41" s="83"/>
    </row>
    <row r="42" spans="2:10" s="3" customFormat="1">
      <c r="C42" s="10" t="s">
        <v>43</v>
      </c>
      <c r="D42" s="10"/>
      <c r="E42" s="10"/>
      <c r="F42" s="10"/>
      <c r="G42" s="10"/>
      <c r="H42" s="99">
        <f>SUM(H31:H40)</f>
        <v>112259766</v>
      </c>
      <c r="I42" s="99">
        <f>SUM(I31:I40)</f>
        <v>11911</v>
      </c>
      <c r="J42" s="99">
        <f>SUM(J31:J40)</f>
        <v>112271677</v>
      </c>
    </row>
    <row r="43" spans="2:10">
      <c r="H43" s="85"/>
      <c r="I43" s="85"/>
      <c r="J43" s="85"/>
    </row>
    <row r="44" spans="2:10" s="3" customFormat="1">
      <c r="C44" s="11" t="s">
        <v>44</v>
      </c>
      <c r="D44" s="11"/>
      <c r="E44" s="11"/>
      <c r="F44" s="11"/>
      <c r="G44" s="11"/>
      <c r="H44" s="100">
        <f>SUM(H42+H28)</f>
        <v>118689592</v>
      </c>
      <c r="I44" s="100">
        <f t="shared" ref="I44:J44" si="4">SUM(I42+I28)</f>
        <v>14512</v>
      </c>
      <c r="J44" s="100">
        <f t="shared" si="4"/>
        <v>118704104</v>
      </c>
    </row>
    <row r="45" spans="2:10">
      <c r="H45" s="85"/>
      <c r="I45" s="85"/>
      <c r="J45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3"/>
  <sheetViews>
    <sheetView topLeftCell="A16" workbookViewId="0">
      <selection activeCell="V41" sqref="V41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1" ht="18.75" customHeight="1">
      <c r="A1" s="1"/>
      <c r="B1" s="1"/>
      <c r="C1" s="1"/>
      <c r="D1" s="202" t="s">
        <v>218</v>
      </c>
      <c r="E1" s="202"/>
      <c r="F1" s="202"/>
      <c r="G1" s="202"/>
      <c r="H1" s="202"/>
      <c r="I1" s="102"/>
      <c r="J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 ht="14.25" customHeight="1">
      <c r="H4" s="204" t="s">
        <v>2</v>
      </c>
      <c r="I4" s="204"/>
      <c r="J4" s="144"/>
      <c r="K4" s="94"/>
    </row>
    <row r="5" spans="1:11" ht="31.5" customHeight="1">
      <c r="H5" s="110" t="s">
        <v>3</v>
      </c>
      <c r="I5" s="110" t="s">
        <v>137</v>
      </c>
      <c r="J5" s="110" t="s">
        <v>64</v>
      </c>
      <c r="K5" s="111" t="s">
        <v>4</v>
      </c>
    </row>
    <row r="6" spans="1:11">
      <c r="A6" s="3" t="s">
        <v>5</v>
      </c>
      <c r="D6" s="3"/>
      <c r="G6" s="4"/>
      <c r="H6" s="4"/>
      <c r="I6" s="4"/>
      <c r="J6" s="4"/>
    </row>
    <row r="7" spans="1:11">
      <c r="A7" s="3"/>
      <c r="B7" s="5" t="s">
        <v>6</v>
      </c>
      <c r="D7" s="3"/>
      <c r="G7" s="4"/>
      <c r="H7" s="78"/>
      <c r="I7" s="78"/>
      <c r="J7" s="78"/>
      <c r="K7" s="85"/>
    </row>
    <row r="8" spans="1:11">
      <c r="C8" t="s">
        <v>219</v>
      </c>
      <c r="H8" s="79">
        <v>201411313</v>
      </c>
      <c r="I8" s="85">
        <v>117820392</v>
      </c>
      <c r="J8" s="85">
        <f t="shared" ref="J8:J25" si="0">SUM(H8:I8)</f>
        <v>319231705</v>
      </c>
      <c r="K8" s="85">
        <v>25523322</v>
      </c>
    </row>
    <row r="9" spans="1:11">
      <c r="C9" t="s">
        <v>220</v>
      </c>
      <c r="H9" s="86">
        <v>180338007</v>
      </c>
      <c r="I9" s="85">
        <v>121601048</v>
      </c>
      <c r="J9" s="85">
        <f t="shared" si="0"/>
        <v>301939055</v>
      </c>
      <c r="K9" s="85"/>
    </row>
    <row r="10" spans="1:11">
      <c r="C10" t="s">
        <v>221</v>
      </c>
      <c r="H10" s="80">
        <v>51943230</v>
      </c>
      <c r="I10" s="85">
        <v>16302378</v>
      </c>
      <c r="J10" s="85">
        <f t="shared" si="0"/>
        <v>68245608</v>
      </c>
      <c r="K10" s="85">
        <v>15586464</v>
      </c>
    </row>
    <row r="11" spans="1:11">
      <c r="C11" t="s">
        <v>222</v>
      </c>
      <c r="H11" s="95">
        <v>83097626</v>
      </c>
      <c r="I11" s="85">
        <v>5285858</v>
      </c>
      <c r="J11" s="85">
        <f t="shared" si="0"/>
        <v>88383484</v>
      </c>
      <c r="K11" s="85">
        <v>1552267</v>
      </c>
    </row>
    <row r="12" spans="1:11">
      <c r="C12" t="s">
        <v>168</v>
      </c>
      <c r="H12" s="81">
        <v>767695</v>
      </c>
      <c r="I12" s="85">
        <v>209424</v>
      </c>
      <c r="J12" s="85">
        <f t="shared" si="0"/>
        <v>977119</v>
      </c>
      <c r="K12" s="85">
        <v>531507</v>
      </c>
    </row>
    <row r="13" spans="1:11">
      <c r="C13" t="s">
        <v>223</v>
      </c>
      <c r="H13" s="80">
        <v>3530623</v>
      </c>
      <c r="I13" s="85"/>
      <c r="J13" s="85">
        <f t="shared" si="0"/>
        <v>3530623</v>
      </c>
      <c r="K13" s="85">
        <v>1243278</v>
      </c>
    </row>
    <row r="14" spans="1:11">
      <c r="C14" t="s">
        <v>48</v>
      </c>
      <c r="H14" s="81">
        <v>846296</v>
      </c>
      <c r="I14" s="85">
        <v>51347</v>
      </c>
      <c r="J14" s="85">
        <f t="shared" si="0"/>
        <v>897643</v>
      </c>
      <c r="K14" s="85">
        <v>3020853</v>
      </c>
    </row>
    <row r="15" spans="1:11">
      <c r="C15" t="s">
        <v>224</v>
      </c>
      <c r="H15" s="85"/>
      <c r="I15" s="85"/>
      <c r="J15" s="85"/>
      <c r="K15" s="85">
        <v>1590755</v>
      </c>
    </row>
    <row r="16" spans="1:11">
      <c r="C16" t="s">
        <v>69</v>
      </c>
      <c r="H16" s="85"/>
      <c r="I16" s="85"/>
      <c r="J16" s="85"/>
      <c r="K16" s="85">
        <v>599504</v>
      </c>
    </row>
    <row r="17" spans="1:11">
      <c r="C17" t="s">
        <v>169</v>
      </c>
      <c r="H17" s="85"/>
      <c r="I17" s="85"/>
      <c r="J17" s="85"/>
      <c r="K17" s="85"/>
    </row>
    <row r="18" spans="1:11">
      <c r="D18" t="s">
        <v>219</v>
      </c>
      <c r="H18" s="85"/>
      <c r="I18" s="85">
        <v>171497464</v>
      </c>
      <c r="J18" s="85">
        <f t="shared" si="0"/>
        <v>171497464</v>
      </c>
      <c r="K18" s="85">
        <v>12012409</v>
      </c>
    </row>
    <row r="19" spans="1:11">
      <c r="D19" t="s">
        <v>220</v>
      </c>
      <c r="H19" s="85"/>
      <c r="I19" s="85">
        <v>215767910</v>
      </c>
      <c r="J19" s="85">
        <f t="shared" si="0"/>
        <v>215767910</v>
      </c>
      <c r="K19" s="85"/>
    </row>
    <row r="20" spans="1:11">
      <c r="D20" t="s">
        <v>221</v>
      </c>
      <c r="H20" s="85"/>
      <c r="I20" s="85">
        <v>328901</v>
      </c>
      <c r="J20" s="85">
        <f t="shared" si="0"/>
        <v>328901</v>
      </c>
      <c r="K20" s="85"/>
    </row>
    <row r="21" spans="1:11">
      <c r="D21" t="s">
        <v>168</v>
      </c>
      <c r="H21" s="85"/>
      <c r="I21" s="85">
        <v>434949</v>
      </c>
      <c r="J21" s="85">
        <f t="shared" si="0"/>
        <v>434949</v>
      </c>
      <c r="K21" s="85"/>
    </row>
    <row r="22" spans="1:11">
      <c r="C22" t="s">
        <v>225</v>
      </c>
      <c r="H22" s="85"/>
      <c r="I22" s="85">
        <v>1973958</v>
      </c>
      <c r="J22" s="85">
        <f t="shared" si="0"/>
        <v>1973958</v>
      </c>
      <c r="K22" s="85"/>
    </row>
    <row r="23" spans="1:11">
      <c r="C23" t="s">
        <v>14</v>
      </c>
      <c r="H23" s="85"/>
      <c r="I23" s="85"/>
      <c r="J23" s="85"/>
      <c r="K23" s="85"/>
    </row>
    <row r="24" spans="1:11">
      <c r="D24" t="s">
        <v>15</v>
      </c>
      <c r="H24" s="82">
        <v>193385057</v>
      </c>
      <c r="I24" s="85">
        <v>254999935</v>
      </c>
      <c r="J24" s="85">
        <f t="shared" si="0"/>
        <v>448384992</v>
      </c>
      <c r="K24" s="85"/>
    </row>
    <row r="25" spans="1:11">
      <c r="D25" t="s">
        <v>16</v>
      </c>
      <c r="H25" s="96">
        <v>666566380</v>
      </c>
      <c r="I25" s="85">
        <v>1405099819</v>
      </c>
      <c r="J25" s="85">
        <f t="shared" si="0"/>
        <v>2071666199</v>
      </c>
      <c r="K25" s="85">
        <v>110619580</v>
      </c>
    </row>
    <row r="26" spans="1:11">
      <c r="H26" s="85"/>
      <c r="I26" s="83"/>
      <c r="J26" s="83"/>
      <c r="K26" s="83"/>
    </row>
    <row r="27" spans="1:11">
      <c r="A27" s="5"/>
      <c r="B27" s="5"/>
      <c r="C27" s="6" t="s">
        <v>17</v>
      </c>
      <c r="D27" s="6"/>
      <c r="E27" s="6"/>
      <c r="F27" s="6"/>
      <c r="G27" s="6"/>
      <c r="H27" s="84">
        <f>SUM(H8:H25)</f>
        <v>1381886227</v>
      </c>
      <c r="I27" s="84">
        <f>SUM(I8:I25)</f>
        <v>2311373383</v>
      </c>
      <c r="J27" s="84">
        <f>SUM(J8:J25)</f>
        <v>3693259610</v>
      </c>
      <c r="K27" s="84">
        <f>SUM(K8:K25)</f>
        <v>172279939</v>
      </c>
    </row>
    <row r="28" spans="1:11">
      <c r="A28" s="5"/>
      <c r="B28" s="5"/>
      <c r="C28" s="5"/>
      <c r="D28" s="5"/>
      <c r="E28" s="5"/>
      <c r="F28" s="5"/>
      <c r="G28" s="5"/>
      <c r="H28" s="105"/>
      <c r="I28" s="105"/>
      <c r="J28" s="105"/>
      <c r="K28" s="105"/>
    </row>
    <row r="29" spans="1:11">
      <c r="A29" s="5" t="s">
        <v>71</v>
      </c>
      <c r="B29" s="5"/>
      <c r="C29" s="5"/>
      <c r="D29" s="5"/>
      <c r="E29" s="5"/>
      <c r="F29" s="5"/>
      <c r="G29" s="5"/>
      <c r="H29" s="105"/>
      <c r="I29" s="105"/>
      <c r="J29" s="105"/>
      <c r="K29" s="105"/>
    </row>
    <row r="30" spans="1:11">
      <c r="A30" s="5"/>
      <c r="B30" t="s">
        <v>226</v>
      </c>
      <c r="C30" s="5"/>
      <c r="D30" s="5"/>
      <c r="E30" s="5"/>
      <c r="F30" s="5"/>
      <c r="G30" s="5"/>
      <c r="H30" s="85">
        <v>6298894</v>
      </c>
      <c r="I30" s="85">
        <v>3831563</v>
      </c>
      <c r="J30" s="85">
        <f>SUM(H30:I30)</f>
        <v>10130457</v>
      </c>
      <c r="K30" s="85">
        <v>0</v>
      </c>
    </row>
    <row r="31" spans="1:11">
      <c r="A31" s="5"/>
      <c r="B31" t="s">
        <v>227</v>
      </c>
      <c r="C31" s="5"/>
      <c r="D31" s="5"/>
      <c r="E31" s="5"/>
      <c r="F31" s="5"/>
      <c r="G31" s="5"/>
      <c r="H31" s="142">
        <v>10609916</v>
      </c>
      <c r="I31" s="142">
        <v>41015560</v>
      </c>
      <c r="J31" s="142">
        <f>SUM(H31:I31)</f>
        <v>51625476</v>
      </c>
      <c r="K31" s="142">
        <v>0</v>
      </c>
    </row>
    <row r="32" spans="1:11">
      <c r="A32" s="5"/>
      <c r="C32" s="5"/>
      <c r="D32" s="5"/>
      <c r="E32" s="5"/>
      <c r="F32" s="5"/>
      <c r="G32" s="5"/>
      <c r="H32" s="85"/>
      <c r="I32" s="85"/>
      <c r="J32" s="85"/>
      <c r="K32" s="85"/>
    </row>
    <row r="33" spans="1:11">
      <c r="C33" s="107" t="s">
        <v>228</v>
      </c>
      <c r="D33" s="109"/>
      <c r="E33" s="109"/>
      <c r="F33" s="109"/>
      <c r="G33" s="109"/>
      <c r="H33" s="108">
        <f>SUM(H30:H31)</f>
        <v>16908810</v>
      </c>
      <c r="I33" s="108">
        <f>SUM(I30:I31)</f>
        <v>44847123</v>
      </c>
      <c r="J33" s="108">
        <f>SUM(J30:J31)</f>
        <v>61755933</v>
      </c>
      <c r="K33" s="108">
        <f>SUM(K30:K31)</f>
        <v>0</v>
      </c>
    </row>
    <row r="34" spans="1:11">
      <c r="H34" s="85"/>
      <c r="I34" s="85"/>
      <c r="J34" s="85"/>
      <c r="K34" s="85"/>
    </row>
    <row r="35" spans="1:11">
      <c r="A35" s="5" t="s">
        <v>20</v>
      </c>
      <c r="H35" s="85"/>
      <c r="I35" s="85"/>
      <c r="J35" s="85"/>
      <c r="K35" s="85"/>
    </row>
    <row r="36" spans="1:11">
      <c r="C36" t="s">
        <v>229</v>
      </c>
      <c r="H36" s="86">
        <v>37439384</v>
      </c>
      <c r="I36" s="85">
        <v>50703777</v>
      </c>
      <c r="J36" s="85">
        <f t="shared" ref="J36:J39" si="1">SUM(H36:I36)</f>
        <v>88143161</v>
      </c>
      <c r="K36" s="85">
        <v>1930897</v>
      </c>
    </row>
    <row r="37" spans="1:11">
      <c r="C37" t="s">
        <v>211</v>
      </c>
      <c r="H37" s="101">
        <v>7390530</v>
      </c>
      <c r="I37" s="85"/>
      <c r="J37" s="85">
        <f t="shared" si="1"/>
        <v>7390530</v>
      </c>
      <c r="K37" s="85">
        <v>375598</v>
      </c>
    </row>
    <row r="38" spans="1:11">
      <c r="C38" t="s">
        <v>230</v>
      </c>
      <c r="H38" s="81">
        <v>15541911</v>
      </c>
      <c r="I38" s="85">
        <v>26034074</v>
      </c>
      <c r="J38" s="85">
        <f t="shared" si="1"/>
        <v>41575985</v>
      </c>
      <c r="K38" s="85">
        <v>1345157</v>
      </c>
    </row>
    <row r="39" spans="1:11">
      <c r="C39" t="s">
        <v>24</v>
      </c>
      <c r="H39" s="81">
        <v>1709094</v>
      </c>
      <c r="I39" s="85">
        <v>1224069</v>
      </c>
      <c r="J39" s="85">
        <f t="shared" si="1"/>
        <v>2933163</v>
      </c>
      <c r="K39" s="85"/>
    </row>
    <row r="40" spans="1:11">
      <c r="C40" t="s">
        <v>231</v>
      </c>
      <c r="H40" s="81">
        <v>22503554</v>
      </c>
      <c r="I40" s="85"/>
      <c r="J40" s="85">
        <v>22503554</v>
      </c>
      <c r="K40" s="85"/>
    </row>
    <row r="41" spans="1:11">
      <c r="C41" t="s">
        <v>98</v>
      </c>
      <c r="H41" s="85"/>
      <c r="I41" s="85"/>
      <c r="J41" s="85"/>
      <c r="K41" s="85">
        <v>420865</v>
      </c>
    </row>
    <row r="42" spans="1:11">
      <c r="C42" t="s">
        <v>232</v>
      </c>
      <c r="H42" s="85"/>
      <c r="I42" s="85"/>
      <c r="J42" s="85">
        <f t="shared" ref="J42:J43" si="2">SUM(H42:I42)</f>
        <v>0</v>
      </c>
      <c r="K42" s="85"/>
    </row>
    <row r="43" spans="1:11">
      <c r="D43" t="s">
        <v>81</v>
      </c>
      <c r="H43" s="97">
        <v>33495310</v>
      </c>
      <c r="I43" s="85">
        <v>18764052</v>
      </c>
      <c r="J43" s="85">
        <f t="shared" si="2"/>
        <v>52259362</v>
      </c>
      <c r="K43" s="85">
        <v>3270518</v>
      </c>
    </row>
    <row r="44" spans="1:11">
      <c r="D44" t="s">
        <v>82</v>
      </c>
      <c r="H44" s="79">
        <v>665555682</v>
      </c>
      <c r="I44" s="85">
        <v>1333967445</v>
      </c>
      <c r="J44" s="85">
        <f>SUM(H44:I44)</f>
        <v>1999523127</v>
      </c>
      <c r="K44" s="85">
        <v>117232768</v>
      </c>
    </row>
    <row r="45" spans="1:11">
      <c r="H45" s="83"/>
      <c r="I45" s="83"/>
      <c r="J45" s="83"/>
      <c r="K45" s="83"/>
    </row>
    <row r="46" spans="1:11">
      <c r="D46" s="8" t="s">
        <v>33</v>
      </c>
      <c r="E46" s="9"/>
      <c r="F46" s="9"/>
      <c r="G46" s="9"/>
      <c r="H46" s="89">
        <f>SUM(H36:H44)</f>
        <v>783635465</v>
      </c>
      <c r="I46" s="89">
        <f>SUM(I36:I44)</f>
        <v>1430693417</v>
      </c>
      <c r="J46" s="89">
        <f>SUM(J36:J44)</f>
        <v>2214328882</v>
      </c>
      <c r="K46" s="89">
        <f>SUM(K36:K44)</f>
        <v>124575803</v>
      </c>
    </row>
    <row r="47" spans="1:11">
      <c r="H47" s="85"/>
      <c r="I47" s="85"/>
      <c r="J47" s="85"/>
      <c r="K47" s="85"/>
    </row>
    <row r="48" spans="1:11">
      <c r="A48" s="5" t="s">
        <v>233</v>
      </c>
      <c r="H48" s="85"/>
      <c r="I48" s="85"/>
      <c r="J48" s="85"/>
      <c r="K48" s="85"/>
    </row>
    <row r="49" spans="1:11">
      <c r="B49" t="s">
        <v>234</v>
      </c>
      <c r="H49" s="85">
        <v>526276</v>
      </c>
      <c r="I49" s="85">
        <v>0</v>
      </c>
      <c r="J49" s="85">
        <f>SUM(H49:I49)</f>
        <v>526276</v>
      </c>
      <c r="K49" s="85">
        <v>0</v>
      </c>
    </row>
    <row r="50" spans="1:11">
      <c r="H50" s="83"/>
      <c r="I50" s="83"/>
      <c r="J50" s="83"/>
      <c r="K50" s="83"/>
    </row>
    <row r="51" spans="1:11">
      <c r="A51" s="3" t="s">
        <v>36</v>
      </c>
      <c r="H51" s="85"/>
      <c r="I51" s="85"/>
      <c r="J51" s="85"/>
      <c r="K51" s="85"/>
    </row>
    <row r="52" spans="1:11">
      <c r="B52" t="s">
        <v>37</v>
      </c>
      <c r="H52" s="90">
        <v>626659126</v>
      </c>
      <c r="I52" s="85">
        <v>704171906</v>
      </c>
      <c r="J52" s="85">
        <f>SUM(H52:I52)</f>
        <v>1330831032</v>
      </c>
      <c r="K52" s="85">
        <v>14980551</v>
      </c>
    </row>
    <row r="53" spans="1:11" s="3" customFormat="1">
      <c r="A53"/>
      <c r="B53" t="s">
        <v>235</v>
      </c>
      <c r="C53"/>
      <c r="D53"/>
      <c r="E53"/>
      <c r="F53"/>
      <c r="G53"/>
      <c r="H53" s="85"/>
      <c r="I53" s="85"/>
      <c r="J53" s="85"/>
      <c r="K53" s="85"/>
    </row>
    <row r="54" spans="1:11" s="3" customFormat="1">
      <c r="A54"/>
      <c r="B54"/>
      <c r="C54" t="s">
        <v>40</v>
      </c>
      <c r="D54"/>
      <c r="E54"/>
      <c r="F54"/>
      <c r="G54"/>
      <c r="H54" s="91">
        <v>87023236</v>
      </c>
      <c r="I54" s="85">
        <v>9649394</v>
      </c>
      <c r="J54" s="85">
        <f t="shared" ref="J54:J56" si="3">SUM(H54:I54)</f>
        <v>96672630</v>
      </c>
      <c r="K54" s="85"/>
    </row>
    <row r="55" spans="1:11" s="3" customFormat="1">
      <c r="A55"/>
      <c r="B55"/>
      <c r="C55" t="s">
        <v>39</v>
      </c>
      <c r="D55"/>
      <c r="E55"/>
      <c r="F55"/>
      <c r="G55"/>
      <c r="H55" s="91">
        <v>8693142</v>
      </c>
      <c r="I55" s="85">
        <v>51268170</v>
      </c>
      <c r="J55" s="85">
        <f t="shared" si="3"/>
        <v>59961312</v>
      </c>
      <c r="K55" s="85">
        <v>12282495</v>
      </c>
    </row>
    <row r="56" spans="1:11" s="3" customFormat="1">
      <c r="A56"/>
      <c r="B56"/>
      <c r="C56" t="s">
        <v>236</v>
      </c>
      <c r="D56"/>
      <c r="E56"/>
      <c r="F56"/>
      <c r="G56"/>
      <c r="H56" s="85"/>
      <c r="I56" s="85">
        <v>391611</v>
      </c>
      <c r="J56" s="85">
        <f t="shared" si="3"/>
        <v>391611</v>
      </c>
      <c r="K56" s="85"/>
    </row>
    <row r="57" spans="1:11">
      <c r="C57" t="s">
        <v>90</v>
      </c>
      <c r="H57" s="91">
        <v>102785974</v>
      </c>
      <c r="I57" s="85">
        <v>10000000</v>
      </c>
      <c r="J57" s="85">
        <f>SUM(H57:I57)</f>
        <v>112785974</v>
      </c>
      <c r="K57" s="85">
        <v>8946251</v>
      </c>
    </row>
    <row r="58" spans="1:11" s="3" customFormat="1">
      <c r="A58"/>
      <c r="B58" t="s">
        <v>42</v>
      </c>
      <c r="C58"/>
      <c r="D58"/>
      <c r="E58"/>
      <c r="F58"/>
      <c r="G58"/>
      <c r="H58" s="98">
        <v>-210528182</v>
      </c>
      <c r="I58" s="85">
        <v>150046008</v>
      </c>
      <c r="J58" s="85">
        <f>SUM(H58:I58)</f>
        <v>-60482174</v>
      </c>
      <c r="K58" s="85">
        <v>11494839</v>
      </c>
    </row>
    <row r="59" spans="1:11">
      <c r="H59" s="83"/>
      <c r="I59" s="83"/>
      <c r="J59" s="83"/>
      <c r="K59" s="83"/>
    </row>
    <row r="60" spans="1:11">
      <c r="A60" s="3"/>
      <c r="B60" s="3"/>
      <c r="C60" s="10" t="s">
        <v>43</v>
      </c>
      <c r="D60" s="10"/>
      <c r="E60" s="10"/>
      <c r="F60" s="10"/>
      <c r="G60" s="10"/>
      <c r="H60" s="99">
        <f>SUM(H52:H58)</f>
        <v>614633296</v>
      </c>
      <c r="I60" s="99">
        <f>SUM(I52:I58)</f>
        <v>925527089</v>
      </c>
      <c r="J60" s="99">
        <f>SUM(J52:J58)</f>
        <v>1540160385</v>
      </c>
      <c r="K60" s="99">
        <f>SUM(K51:K58)</f>
        <v>47704136</v>
      </c>
    </row>
    <row r="61" spans="1:11">
      <c r="H61" s="85"/>
      <c r="I61" s="85"/>
      <c r="J61" s="85"/>
      <c r="K61" s="85"/>
    </row>
    <row r="62" spans="1:11">
      <c r="A62" s="3"/>
      <c r="B62" s="3"/>
      <c r="C62" s="11" t="s">
        <v>44</v>
      </c>
      <c r="D62" s="11"/>
      <c r="E62" s="11"/>
      <c r="F62" s="11"/>
      <c r="G62" s="11"/>
      <c r="H62" s="100">
        <f>SUM(H46+H60+H49)</f>
        <v>1398795037</v>
      </c>
      <c r="I62" s="100">
        <f t="shared" ref="I62:K62" si="4">SUM(I46+I60+I49)</f>
        <v>2356220506</v>
      </c>
      <c r="J62" s="100">
        <f t="shared" si="4"/>
        <v>3755015543</v>
      </c>
      <c r="K62" s="100">
        <f t="shared" si="4"/>
        <v>172279939</v>
      </c>
    </row>
    <row r="63" spans="1:11">
      <c r="H63" s="85"/>
      <c r="I63" s="85"/>
      <c r="J63" s="85"/>
      <c r="K63" s="85"/>
    </row>
  </sheetData>
  <mergeCells count="3">
    <mergeCell ref="D1:H1"/>
    <mergeCell ref="D2:H2"/>
    <mergeCell ref="H4:I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5"/>
  <sheetViews>
    <sheetView workbookViewId="0">
      <selection activeCell="G35" sqref="G35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02" t="s">
        <v>237</v>
      </c>
      <c r="E1" s="202"/>
      <c r="F1" s="202"/>
      <c r="G1" s="202"/>
      <c r="H1" s="202"/>
      <c r="I1" s="102"/>
      <c r="J1" s="102"/>
    </row>
    <row r="2" spans="1:11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>
      <c r="H4" s="206" t="s">
        <v>2</v>
      </c>
      <c r="I4" s="206"/>
      <c r="J4" s="206"/>
    </row>
    <row r="5" spans="1:11" ht="29.1">
      <c r="H5" s="110" t="s">
        <v>3</v>
      </c>
      <c r="I5" s="110" t="s">
        <v>137</v>
      </c>
      <c r="J5" s="110" t="s">
        <v>64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65</v>
      </c>
      <c r="H7" s="79">
        <v>2754931</v>
      </c>
      <c r="I7" s="85">
        <v>15702</v>
      </c>
      <c r="J7" s="85">
        <f t="shared" ref="J7:J8" si="0">SUM(H7:I7)</f>
        <v>2770633</v>
      </c>
    </row>
    <row r="8" spans="1:11">
      <c r="C8" t="s">
        <v>8</v>
      </c>
      <c r="H8" s="86">
        <v>836856</v>
      </c>
      <c r="I8" s="85"/>
      <c r="J8" s="85">
        <f t="shared" si="0"/>
        <v>836856</v>
      </c>
    </row>
    <row r="9" spans="1:11">
      <c r="C9" t="s">
        <v>46</v>
      </c>
      <c r="H9" s="80">
        <v>2244765</v>
      </c>
      <c r="I9" s="85"/>
      <c r="J9" s="85">
        <f>SUM(H9:I9)</f>
        <v>2244765</v>
      </c>
    </row>
    <row r="10" spans="1:11">
      <c r="C10" t="s">
        <v>168</v>
      </c>
      <c r="H10" s="85"/>
      <c r="I10" s="85">
        <v>3090</v>
      </c>
      <c r="J10" s="85">
        <f>SUM(H10:I10)</f>
        <v>3090</v>
      </c>
    </row>
    <row r="11" spans="1:11">
      <c r="C11" t="s">
        <v>238</v>
      </c>
      <c r="H11" s="85"/>
      <c r="I11" s="85">
        <v>15218</v>
      </c>
      <c r="J11" s="85">
        <f>SUM(H11:I11)</f>
        <v>15218</v>
      </c>
    </row>
    <row r="12" spans="1:11">
      <c r="C12" t="s">
        <v>239</v>
      </c>
      <c r="H12" s="82">
        <v>637429</v>
      </c>
      <c r="I12" s="85"/>
      <c r="J12" s="85">
        <f>SUM(H12:I12)</f>
        <v>637429</v>
      </c>
    </row>
    <row r="13" spans="1:11">
      <c r="C13" t="s">
        <v>50</v>
      </c>
      <c r="H13" s="82">
        <v>4917326</v>
      </c>
      <c r="I13" s="85"/>
      <c r="J13" s="85">
        <f>SUM(H13:I13)</f>
        <v>4917326</v>
      </c>
    </row>
    <row r="14" spans="1:11">
      <c r="H14" s="83"/>
      <c r="I14" s="83"/>
      <c r="J14" s="83"/>
    </row>
    <row r="15" spans="1:11" s="5" customFormat="1">
      <c r="C15" s="6" t="s">
        <v>17</v>
      </c>
      <c r="D15" s="6"/>
      <c r="E15" s="6"/>
      <c r="F15" s="6"/>
      <c r="G15" s="6"/>
      <c r="H15" s="84">
        <f>SUM(H7:H13)</f>
        <v>11391307</v>
      </c>
      <c r="I15" s="84">
        <f>SUM(I7:I13)</f>
        <v>34010</v>
      </c>
      <c r="J15" s="84">
        <f>SUM(J7:J13)</f>
        <v>11425317</v>
      </c>
    </row>
    <row r="16" spans="1:11">
      <c r="H16" s="85"/>
      <c r="I16" s="85"/>
      <c r="J16" s="85"/>
    </row>
    <row r="17" spans="1:10">
      <c r="A17" s="5" t="s">
        <v>20</v>
      </c>
      <c r="H17" s="85"/>
      <c r="I17" s="85"/>
      <c r="J17" s="85"/>
    </row>
    <row r="18" spans="1:10">
      <c r="A18" s="5"/>
      <c r="C18" t="s">
        <v>21</v>
      </c>
      <c r="H18" s="86">
        <v>218903</v>
      </c>
      <c r="I18" s="85">
        <v>5776</v>
      </c>
      <c r="J18" s="85">
        <f t="shared" ref="J18:J20" si="1">SUM(H18:I18)</f>
        <v>224679</v>
      </c>
    </row>
    <row r="19" spans="1:10">
      <c r="C19" t="s">
        <v>127</v>
      </c>
      <c r="H19" s="86">
        <v>5987</v>
      </c>
      <c r="I19" s="85"/>
      <c r="J19" s="85">
        <f t="shared" si="1"/>
        <v>5987</v>
      </c>
    </row>
    <row r="20" spans="1:10">
      <c r="C20" t="s">
        <v>24</v>
      </c>
      <c r="H20" s="85"/>
      <c r="I20" s="85">
        <v>151</v>
      </c>
      <c r="J20" s="85">
        <f t="shared" si="1"/>
        <v>151</v>
      </c>
    </row>
    <row r="21" spans="1:10">
      <c r="C21" t="s">
        <v>27</v>
      </c>
      <c r="H21" s="85"/>
      <c r="I21" s="85"/>
      <c r="J21" s="85"/>
    </row>
    <row r="22" spans="1:10">
      <c r="D22" t="s">
        <v>81</v>
      </c>
      <c r="H22" s="97">
        <v>120776</v>
      </c>
      <c r="I22" s="85">
        <v>744</v>
      </c>
      <c r="J22" s="85">
        <f>SUM(H22:I22)</f>
        <v>121520</v>
      </c>
    </row>
    <row r="23" spans="1:10">
      <c r="D23" t="s">
        <v>82</v>
      </c>
      <c r="H23" s="79">
        <v>423316</v>
      </c>
      <c r="I23" s="85"/>
      <c r="J23" s="85">
        <f>SUM(H23:I23)</f>
        <v>423316</v>
      </c>
    </row>
    <row r="24" spans="1:10">
      <c r="H24" s="85"/>
      <c r="I24" s="85"/>
      <c r="J24" s="85"/>
    </row>
    <row r="25" spans="1:10">
      <c r="D25" s="8" t="s">
        <v>33</v>
      </c>
      <c r="E25" s="9"/>
      <c r="F25" s="9"/>
      <c r="G25" s="9"/>
      <c r="H25" s="89">
        <f>SUM(H18:H23)</f>
        <v>768982</v>
      </c>
      <c r="I25" s="89">
        <f>SUM(I18:I23)</f>
        <v>6671</v>
      </c>
      <c r="J25" s="89">
        <f>SUM(J18:J23)</f>
        <v>775653</v>
      </c>
    </row>
    <row r="26" spans="1:10">
      <c r="H26" s="85"/>
      <c r="I26" s="85"/>
      <c r="J26" s="85"/>
    </row>
    <row r="27" spans="1:10">
      <c r="A27" s="3" t="s">
        <v>36</v>
      </c>
      <c r="H27" s="85"/>
      <c r="I27" s="85"/>
      <c r="J27" s="85"/>
    </row>
    <row r="28" spans="1:10">
      <c r="B28" t="s">
        <v>37</v>
      </c>
      <c r="H28" s="90">
        <v>5017234</v>
      </c>
      <c r="I28" s="85"/>
      <c r="J28" s="85">
        <f>SUM(H28:I28)</f>
        <v>5017234</v>
      </c>
    </row>
    <row r="29" spans="1:10">
      <c r="B29" t="s">
        <v>38</v>
      </c>
      <c r="H29" s="85"/>
      <c r="I29" s="85"/>
      <c r="J29" s="85"/>
    </row>
    <row r="30" spans="1:10">
      <c r="C30" t="s">
        <v>39</v>
      </c>
      <c r="H30" s="91">
        <v>96497</v>
      </c>
      <c r="I30" s="85"/>
      <c r="J30" s="85">
        <f>SUM(H30:I30)</f>
        <v>96497</v>
      </c>
    </row>
    <row r="31" spans="1:10">
      <c r="C31" t="s">
        <v>240</v>
      </c>
      <c r="H31" s="91">
        <v>1440460</v>
      </c>
      <c r="I31" s="85"/>
      <c r="J31" s="85">
        <f>SUM(H31:I31)</f>
        <v>1440460</v>
      </c>
    </row>
    <row r="32" spans="1:10">
      <c r="C32" t="s">
        <v>241</v>
      </c>
      <c r="H32" s="91">
        <v>791427</v>
      </c>
      <c r="I32" s="85"/>
      <c r="J32" s="85">
        <f t="shared" ref="J32:J39" si="2">SUM(H32:I32)</f>
        <v>791427</v>
      </c>
    </row>
    <row r="33" spans="2:10">
      <c r="C33" t="s">
        <v>242</v>
      </c>
      <c r="H33" s="91">
        <v>590967</v>
      </c>
      <c r="I33" s="85"/>
      <c r="J33" s="85">
        <f t="shared" si="2"/>
        <v>590967</v>
      </c>
    </row>
    <row r="34" spans="2:10">
      <c r="C34" t="s">
        <v>243</v>
      </c>
      <c r="H34" s="91">
        <v>795219</v>
      </c>
      <c r="I34" s="85"/>
      <c r="J34" s="85">
        <f t="shared" si="2"/>
        <v>795219</v>
      </c>
    </row>
    <row r="35" spans="2:10">
      <c r="C35" t="s">
        <v>244</v>
      </c>
      <c r="H35" s="91">
        <v>3057</v>
      </c>
      <c r="I35" s="85"/>
      <c r="J35" s="85">
        <f t="shared" si="2"/>
        <v>3057</v>
      </c>
    </row>
    <row r="36" spans="2:10">
      <c r="C36" t="s">
        <v>245</v>
      </c>
      <c r="H36" s="91">
        <v>380303</v>
      </c>
      <c r="I36" s="85"/>
      <c r="J36" s="85">
        <f t="shared" si="2"/>
        <v>380303</v>
      </c>
    </row>
    <row r="37" spans="2:10">
      <c r="C37" t="s">
        <v>246</v>
      </c>
      <c r="H37" s="91">
        <v>181990</v>
      </c>
      <c r="I37" s="85"/>
      <c r="J37" s="85">
        <f t="shared" si="2"/>
        <v>181990</v>
      </c>
    </row>
    <row r="38" spans="2:10">
      <c r="C38" t="s">
        <v>247</v>
      </c>
      <c r="H38" s="91">
        <v>512372</v>
      </c>
      <c r="I38" s="85"/>
      <c r="J38" s="85">
        <f t="shared" si="2"/>
        <v>512372</v>
      </c>
    </row>
    <row r="39" spans="2:10">
      <c r="C39" t="s">
        <v>248</v>
      </c>
      <c r="H39" s="85"/>
      <c r="I39" s="85">
        <v>15218</v>
      </c>
      <c r="J39" s="85">
        <f t="shared" si="2"/>
        <v>15218</v>
      </c>
    </row>
    <row r="40" spans="2:10">
      <c r="B40" t="s">
        <v>42</v>
      </c>
      <c r="H40" s="98">
        <v>812799</v>
      </c>
      <c r="I40" s="85">
        <v>12121</v>
      </c>
      <c r="J40" s="85">
        <f>SUM(H40:I40)</f>
        <v>824920</v>
      </c>
    </row>
    <row r="41" spans="2:10">
      <c r="H41" s="83"/>
      <c r="I41" s="83"/>
      <c r="J41" s="83"/>
    </row>
    <row r="42" spans="2:10" s="3" customFormat="1">
      <c r="C42" s="10" t="s">
        <v>43</v>
      </c>
      <c r="D42" s="10"/>
      <c r="E42" s="10"/>
      <c r="F42" s="10"/>
      <c r="G42" s="10"/>
      <c r="H42" s="99">
        <f>SUM(H28:H40)</f>
        <v>10622325</v>
      </c>
      <c r="I42" s="99">
        <f>SUM(I28:I40)</f>
        <v>27339</v>
      </c>
      <c r="J42" s="99">
        <f>SUM(J28:J40)</f>
        <v>10649664</v>
      </c>
    </row>
    <row r="43" spans="2:10">
      <c r="H43" s="85"/>
      <c r="I43" s="85"/>
      <c r="J43" s="85"/>
    </row>
    <row r="44" spans="2:10" s="3" customFormat="1">
      <c r="C44" s="11" t="s">
        <v>44</v>
      </c>
      <c r="D44" s="11"/>
      <c r="E44" s="11"/>
      <c r="F44" s="11"/>
      <c r="G44" s="11"/>
      <c r="H44" s="100">
        <f>SUM(H42+H25)</f>
        <v>11391307</v>
      </c>
      <c r="I44" s="100">
        <f t="shared" ref="I44:J44" si="3">SUM(I42+I25)</f>
        <v>34010</v>
      </c>
      <c r="J44" s="100">
        <f t="shared" si="3"/>
        <v>11425317</v>
      </c>
    </row>
    <row r="45" spans="2:10">
      <c r="H45" s="85"/>
      <c r="I45" s="85"/>
      <c r="J45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4"/>
  <sheetViews>
    <sheetView workbookViewId="0">
      <selection activeCell="G32" sqref="G32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249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159">
        <v>5513411.7599999998</v>
      </c>
    </row>
    <row r="7" spans="1:7">
      <c r="B7" t="s">
        <v>103</v>
      </c>
      <c r="G7" s="160">
        <v>838202.1</v>
      </c>
    </row>
    <row r="8" spans="1:7">
      <c r="B8" t="s">
        <v>250</v>
      </c>
      <c r="G8" s="161">
        <v>1597760.02</v>
      </c>
    </row>
    <row r="9" spans="1:7">
      <c r="B9" t="s">
        <v>251</v>
      </c>
      <c r="G9" s="161">
        <v>122932.96</v>
      </c>
    </row>
    <row r="10" spans="1:7">
      <c r="B10" t="s">
        <v>108</v>
      </c>
      <c r="G10" s="162">
        <v>8313076.6100000003</v>
      </c>
    </row>
    <row r="11" spans="1:7">
      <c r="G11" s="85"/>
    </row>
    <row r="12" spans="1:7">
      <c r="A12" s="5"/>
      <c r="B12" s="6" t="s">
        <v>17</v>
      </c>
      <c r="C12" s="6"/>
      <c r="D12" s="6"/>
      <c r="E12" s="6"/>
      <c r="F12" s="6"/>
      <c r="G12" s="163">
        <f>SUM(G6:G10)</f>
        <v>16385383.449999999</v>
      </c>
    </row>
    <row r="13" spans="1:7">
      <c r="G13" s="85"/>
    </row>
    <row r="14" spans="1:7">
      <c r="A14" s="5" t="s">
        <v>20</v>
      </c>
      <c r="G14" s="85"/>
    </row>
    <row r="15" spans="1:7">
      <c r="A15" s="5"/>
      <c r="B15" t="s">
        <v>21</v>
      </c>
      <c r="G15" s="164">
        <v>235942.02</v>
      </c>
    </row>
    <row r="16" spans="1:7">
      <c r="B16" t="s">
        <v>252</v>
      </c>
      <c r="G16" s="165">
        <v>1452400.93</v>
      </c>
    </row>
    <row r="17" spans="1:7">
      <c r="B17" t="s">
        <v>157</v>
      </c>
      <c r="G17" s="165">
        <v>12350.44</v>
      </c>
    </row>
    <row r="18" spans="1:7">
      <c r="B18" t="s">
        <v>253</v>
      </c>
      <c r="G18" s="164">
        <v>16548.419999999998</v>
      </c>
    </row>
    <row r="19" spans="1:7">
      <c r="B19" t="s">
        <v>30</v>
      </c>
      <c r="G19" s="166">
        <v>13428</v>
      </c>
    </row>
    <row r="20" spans="1:7">
      <c r="G20" s="167"/>
    </row>
    <row r="21" spans="1:7">
      <c r="C21" s="8" t="s">
        <v>33</v>
      </c>
      <c r="D21" s="9"/>
      <c r="E21" s="9"/>
      <c r="F21" s="9"/>
      <c r="G21" s="168">
        <f>SUM(G15:G19)</f>
        <v>1730669.8099999998</v>
      </c>
    </row>
    <row r="22" spans="1:7">
      <c r="G22" s="169"/>
    </row>
    <row r="23" spans="1:7">
      <c r="A23" s="3" t="s">
        <v>36</v>
      </c>
      <c r="G23" s="85"/>
    </row>
    <row r="24" spans="1:7">
      <c r="B24" t="s">
        <v>37</v>
      </c>
      <c r="G24" s="170">
        <v>8313076.6100000003</v>
      </c>
    </row>
    <row r="25" spans="1:7">
      <c r="B25" t="s">
        <v>38</v>
      </c>
      <c r="G25" s="169"/>
    </row>
    <row r="26" spans="1:7">
      <c r="C26" t="s">
        <v>254</v>
      </c>
      <c r="G26" s="171">
        <v>532497.89</v>
      </c>
    </row>
    <row r="27" spans="1:7">
      <c r="C27" t="s">
        <v>255</v>
      </c>
      <c r="G27" s="171">
        <v>49454.42</v>
      </c>
    </row>
    <row r="28" spans="1:7">
      <c r="C28" t="s">
        <v>256</v>
      </c>
      <c r="G28" s="171">
        <v>3333393.02</v>
      </c>
    </row>
    <row r="29" spans="1:7">
      <c r="B29" t="s">
        <v>42</v>
      </c>
      <c r="G29" s="172">
        <v>2426291.7000000002</v>
      </c>
    </row>
    <row r="30" spans="1:7">
      <c r="G30" s="167"/>
    </row>
    <row r="31" spans="1:7">
      <c r="A31" s="3"/>
      <c r="B31" s="10" t="s">
        <v>43</v>
      </c>
      <c r="C31" s="10"/>
      <c r="D31" s="10"/>
      <c r="E31" s="10"/>
      <c r="F31" s="10"/>
      <c r="G31" s="173">
        <f>SUM(G24:G29)</f>
        <v>14654713.640000001</v>
      </c>
    </row>
    <row r="32" spans="1:7">
      <c r="G32" s="85"/>
    </row>
    <row r="33" spans="1:7">
      <c r="A33" s="3"/>
      <c r="B33" s="11" t="s">
        <v>44</v>
      </c>
      <c r="C33" s="11"/>
      <c r="D33" s="11"/>
      <c r="E33" s="11"/>
      <c r="F33" s="11"/>
      <c r="G33" s="100">
        <f>G31+G21</f>
        <v>16385383.450000001</v>
      </c>
    </row>
    <row r="34" spans="1:7">
      <c r="G34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9"/>
  <sheetViews>
    <sheetView workbookViewId="0">
      <selection activeCell="H48" sqref="H48:K4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02" t="s">
        <v>257</v>
      </c>
      <c r="E1" s="202"/>
      <c r="F1" s="202"/>
      <c r="G1" s="202"/>
      <c r="H1" s="202"/>
      <c r="I1" s="102"/>
      <c r="J1" s="102"/>
    </row>
    <row r="2" spans="1:12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2" ht="15" customHeight="1">
      <c r="H4" s="206" t="s">
        <v>2</v>
      </c>
      <c r="I4" s="206"/>
      <c r="J4" s="206"/>
      <c r="K4" s="151" t="s">
        <v>4</v>
      </c>
    </row>
    <row r="5" spans="1:12" ht="29.1">
      <c r="H5" s="110" t="s">
        <v>3</v>
      </c>
      <c r="I5" s="110" t="s">
        <v>137</v>
      </c>
      <c r="J5" s="110" t="s">
        <v>64</v>
      </c>
      <c r="K5" s="111" t="s">
        <v>258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102</v>
      </c>
      <c r="H7" s="79">
        <v>9772120</v>
      </c>
      <c r="I7" s="85">
        <v>100123</v>
      </c>
      <c r="J7" s="85">
        <f t="shared" ref="J7" si="0">SUM(H7:I7)</f>
        <v>9872243</v>
      </c>
      <c r="K7" s="85"/>
    </row>
    <row r="8" spans="1:12">
      <c r="C8" t="s">
        <v>103</v>
      </c>
      <c r="H8" s="80">
        <v>5534711</v>
      </c>
      <c r="I8" s="85">
        <v>14143</v>
      </c>
      <c r="J8" s="85">
        <f>SUM(H8:I8)</f>
        <v>5548854</v>
      </c>
      <c r="K8" s="85">
        <v>84972</v>
      </c>
    </row>
    <row r="9" spans="1:12">
      <c r="C9" t="s">
        <v>104</v>
      </c>
      <c r="H9" s="95">
        <v>372502</v>
      </c>
      <c r="I9" s="85"/>
      <c r="J9" s="85">
        <f>SUM(H9:I9)</f>
        <v>372502</v>
      </c>
      <c r="K9" s="85">
        <v>6141</v>
      </c>
    </row>
    <row r="10" spans="1:12">
      <c r="C10" t="s">
        <v>69</v>
      </c>
      <c r="H10" s="81">
        <v>20960</v>
      </c>
      <c r="I10" s="85"/>
      <c r="J10" s="85">
        <f>SUM(H10:I10)</f>
        <v>20960</v>
      </c>
      <c r="K10" s="85"/>
    </row>
    <row r="11" spans="1:12">
      <c r="C11" t="s">
        <v>169</v>
      </c>
      <c r="H11" s="85"/>
      <c r="I11" s="85"/>
      <c r="J11" s="85"/>
      <c r="K11" s="85"/>
    </row>
    <row r="12" spans="1:12">
      <c r="D12" t="s">
        <v>102</v>
      </c>
      <c r="H12" s="85"/>
      <c r="I12" s="85">
        <v>20831</v>
      </c>
      <c r="J12" s="85">
        <f>SUM(I12)</f>
        <v>20831</v>
      </c>
      <c r="K12" s="85"/>
    </row>
    <row r="13" spans="1:12">
      <c r="D13" t="s">
        <v>8</v>
      </c>
      <c r="H13" s="86">
        <v>28970121</v>
      </c>
      <c r="I13" s="85"/>
      <c r="J13" s="85">
        <f>SUM(H13:I13)</f>
        <v>28970121</v>
      </c>
      <c r="K13" s="85"/>
    </row>
    <row r="14" spans="1:12">
      <c r="C14" t="s">
        <v>108</v>
      </c>
      <c r="H14" s="82">
        <v>24663497</v>
      </c>
      <c r="I14" s="85">
        <v>291100</v>
      </c>
      <c r="J14" s="85">
        <f>SUM(H14:I14)</f>
        <v>24954597</v>
      </c>
      <c r="K14" s="85"/>
    </row>
    <row r="15" spans="1:12">
      <c r="H15" s="83"/>
      <c r="I15" s="83"/>
      <c r="J15" s="83"/>
      <c r="K15" s="83"/>
    </row>
    <row r="16" spans="1:12" s="5" customFormat="1">
      <c r="C16" s="6" t="s">
        <v>17</v>
      </c>
      <c r="D16" s="6"/>
      <c r="E16" s="6"/>
      <c r="F16" s="6"/>
      <c r="G16" s="6"/>
      <c r="H16" s="84">
        <f>SUM(H7:H14)</f>
        <v>69333911</v>
      </c>
      <c r="I16" s="84">
        <f t="shared" ref="I16:K16" si="1">SUM(I7:I14)</f>
        <v>426197</v>
      </c>
      <c r="J16" s="84">
        <f t="shared" si="1"/>
        <v>69760108</v>
      </c>
      <c r="K16" s="84">
        <f t="shared" si="1"/>
        <v>91113</v>
      </c>
    </row>
    <row r="17" spans="1:11">
      <c r="H17" s="85"/>
      <c r="I17" s="85"/>
      <c r="J17" s="85"/>
      <c r="K17" s="85"/>
    </row>
    <row r="18" spans="1:11">
      <c r="A18" s="5" t="s">
        <v>20</v>
      </c>
      <c r="H18" s="85"/>
      <c r="I18" s="85"/>
      <c r="J18" s="85"/>
      <c r="K18" s="85"/>
    </row>
    <row r="19" spans="1:11">
      <c r="A19" s="5"/>
      <c r="C19" t="s">
        <v>259</v>
      </c>
      <c r="H19" s="81">
        <v>44286</v>
      </c>
      <c r="I19" s="85"/>
      <c r="J19" s="85">
        <f t="shared" ref="J19:J28" si="2">SUM(H19:I19)</f>
        <v>44286</v>
      </c>
      <c r="K19" s="85">
        <v>112041</v>
      </c>
    </row>
    <row r="20" spans="1:11">
      <c r="C20" t="s">
        <v>260</v>
      </c>
      <c r="H20" s="86">
        <v>453124</v>
      </c>
      <c r="I20" s="85">
        <v>1476</v>
      </c>
      <c r="J20" s="85">
        <f t="shared" si="2"/>
        <v>454600</v>
      </c>
      <c r="K20" s="85">
        <v>1159</v>
      </c>
    </row>
    <row r="21" spans="1:11">
      <c r="C21" t="s">
        <v>201</v>
      </c>
      <c r="H21" s="86">
        <v>94056</v>
      </c>
      <c r="I21" s="85"/>
      <c r="J21" s="85">
        <f t="shared" si="2"/>
        <v>94056</v>
      </c>
      <c r="K21" s="85"/>
    </row>
    <row r="22" spans="1:11">
      <c r="C22" t="s">
        <v>261</v>
      </c>
      <c r="H22" s="86">
        <v>300318</v>
      </c>
      <c r="I22" s="85"/>
      <c r="J22" s="85">
        <f t="shared" si="2"/>
        <v>300318</v>
      </c>
      <c r="K22" s="85"/>
    </row>
    <row r="23" spans="1:11">
      <c r="C23" t="s">
        <v>24</v>
      </c>
      <c r="H23" s="81">
        <v>69456</v>
      </c>
      <c r="I23" s="85">
        <v>1175</v>
      </c>
      <c r="J23" s="85">
        <f t="shared" si="2"/>
        <v>70631</v>
      </c>
      <c r="K23" s="85"/>
    </row>
    <row r="24" spans="1:11">
      <c r="C24" t="s">
        <v>158</v>
      </c>
      <c r="H24" s="85"/>
      <c r="I24" s="85"/>
      <c r="J24" s="85"/>
      <c r="K24" s="85"/>
    </row>
    <row r="25" spans="1:11">
      <c r="D25" t="s">
        <v>262</v>
      </c>
      <c r="H25" s="85"/>
      <c r="I25" s="85"/>
      <c r="J25" s="85"/>
      <c r="K25" s="85"/>
    </row>
    <row r="26" spans="1:11">
      <c r="E26" t="s">
        <v>96</v>
      </c>
      <c r="H26" s="88">
        <v>8669</v>
      </c>
      <c r="I26" s="85"/>
      <c r="J26" s="85">
        <f>SUM(H26:I26)</f>
        <v>8669</v>
      </c>
      <c r="K26" s="85"/>
    </row>
    <row r="27" spans="1:11">
      <c r="E27" t="s">
        <v>263</v>
      </c>
      <c r="H27" s="97">
        <v>27459</v>
      </c>
      <c r="I27" s="85"/>
      <c r="J27" s="85">
        <f t="shared" si="2"/>
        <v>27459</v>
      </c>
      <c r="K27" s="85"/>
    </row>
    <row r="28" spans="1:11">
      <c r="E28" t="s">
        <v>264</v>
      </c>
      <c r="H28" s="87">
        <v>222000</v>
      </c>
      <c r="I28" s="85">
        <v>1819</v>
      </c>
      <c r="J28" s="85">
        <f t="shared" si="2"/>
        <v>223819</v>
      </c>
      <c r="K28" s="85"/>
    </row>
    <row r="29" spans="1:11">
      <c r="D29" t="s">
        <v>265</v>
      </c>
      <c r="H29" s="85"/>
      <c r="I29" s="85"/>
      <c r="J29" s="85"/>
      <c r="K29" s="85"/>
    </row>
    <row r="30" spans="1:11">
      <c r="E30" t="s">
        <v>266</v>
      </c>
      <c r="H30" s="79">
        <v>10182</v>
      </c>
      <c r="I30" s="85">
        <v>11191</v>
      </c>
      <c r="J30" s="85">
        <f t="shared" ref="J30:J33" si="3">SUM(H30:I30)</f>
        <v>21373</v>
      </c>
      <c r="K30" s="85"/>
    </row>
    <row r="31" spans="1:11">
      <c r="E31" t="s">
        <v>96</v>
      </c>
      <c r="H31" s="88">
        <v>52810</v>
      </c>
      <c r="I31" s="85"/>
      <c r="J31" s="85">
        <f t="shared" si="3"/>
        <v>52810</v>
      </c>
      <c r="K31" s="85"/>
    </row>
    <row r="32" spans="1:11">
      <c r="E32" t="s">
        <v>263</v>
      </c>
      <c r="H32" s="79">
        <v>2338</v>
      </c>
      <c r="I32" s="85"/>
      <c r="J32" s="85">
        <f t="shared" si="3"/>
        <v>2338</v>
      </c>
      <c r="K32" s="85"/>
    </row>
    <row r="33" spans="1:11">
      <c r="E33" t="s">
        <v>264</v>
      </c>
      <c r="H33" s="80">
        <v>31902009</v>
      </c>
      <c r="I33" s="85">
        <v>59732</v>
      </c>
      <c r="J33" s="85">
        <f t="shared" si="3"/>
        <v>31961741</v>
      </c>
      <c r="K33" s="85"/>
    </row>
    <row r="34" spans="1:11">
      <c r="H34" s="83"/>
      <c r="I34" s="83"/>
      <c r="J34" s="83"/>
      <c r="K34" s="83"/>
    </row>
    <row r="35" spans="1:11">
      <c r="D35" s="8" t="s">
        <v>33</v>
      </c>
      <c r="E35" s="9"/>
      <c r="F35" s="9"/>
      <c r="G35" s="9"/>
      <c r="H35" s="89">
        <f>SUM(H19:H33)</f>
        <v>33186707</v>
      </c>
      <c r="I35" s="89">
        <f t="shared" ref="I35:K35" si="4">SUM(I19:I33)</f>
        <v>75393</v>
      </c>
      <c r="J35" s="89">
        <f t="shared" si="4"/>
        <v>33262100</v>
      </c>
      <c r="K35" s="89">
        <f t="shared" si="4"/>
        <v>113200</v>
      </c>
    </row>
    <row r="36" spans="1:11">
      <c r="H36" s="85"/>
      <c r="I36" s="85"/>
      <c r="J36" s="85"/>
      <c r="K36" s="85"/>
    </row>
    <row r="37" spans="1:11">
      <c r="A37" s="5" t="s">
        <v>34</v>
      </c>
      <c r="H37" s="85"/>
      <c r="I37" s="85"/>
      <c r="J37" s="85"/>
      <c r="K37" s="85"/>
    </row>
    <row r="38" spans="1:11">
      <c r="C38" t="s">
        <v>267</v>
      </c>
      <c r="H38" s="142">
        <v>271333</v>
      </c>
      <c r="I38" s="142"/>
      <c r="J38" s="142">
        <f>SUM(H38:I38)</f>
        <v>271333</v>
      </c>
      <c r="K38" s="142"/>
    </row>
    <row r="39" spans="1:11">
      <c r="H39" s="85"/>
      <c r="I39" s="85"/>
      <c r="J39" s="85"/>
      <c r="K39" s="85"/>
    </row>
    <row r="40" spans="1:11">
      <c r="A40" s="3" t="s">
        <v>36</v>
      </c>
      <c r="H40" s="85"/>
      <c r="I40" s="85"/>
      <c r="J40" s="85"/>
      <c r="K40" s="85"/>
    </row>
    <row r="41" spans="1:11">
      <c r="B41" t="s">
        <v>37</v>
      </c>
      <c r="H41" s="90">
        <v>22524204</v>
      </c>
      <c r="I41" s="85">
        <v>231368</v>
      </c>
      <c r="J41" s="85">
        <f>SUM(H41:I41)</f>
        <v>22755572</v>
      </c>
      <c r="K41" s="85"/>
    </row>
    <row r="42" spans="1:11">
      <c r="B42" t="s">
        <v>268</v>
      </c>
      <c r="H42" s="91">
        <v>3177</v>
      </c>
      <c r="I42" s="85">
        <v>7821</v>
      </c>
      <c r="J42" s="85">
        <f>SUM(H42:I42)</f>
        <v>10998</v>
      </c>
      <c r="K42" s="85"/>
    </row>
    <row r="43" spans="1:11">
      <c r="B43" t="s">
        <v>269</v>
      </c>
      <c r="H43" s="85"/>
      <c r="I43" s="85">
        <v>9853</v>
      </c>
      <c r="J43" s="85">
        <f>SUM(H43:I43)</f>
        <v>9853</v>
      </c>
      <c r="K43" s="85"/>
    </row>
    <row r="44" spans="1:11">
      <c r="B44" t="s">
        <v>163</v>
      </c>
      <c r="H44" s="98">
        <v>13348490</v>
      </c>
      <c r="I44" s="85">
        <v>101762</v>
      </c>
      <c r="J44" s="85">
        <f>SUM(H44:I44)</f>
        <v>13450252</v>
      </c>
      <c r="K44" s="85">
        <v>-22086</v>
      </c>
    </row>
    <row r="45" spans="1:11">
      <c r="H45" s="83"/>
      <c r="I45" s="83"/>
      <c r="J45" s="83"/>
      <c r="K45" s="83"/>
    </row>
    <row r="46" spans="1:11" s="3" customFormat="1">
      <c r="C46" s="10" t="s">
        <v>43</v>
      </c>
      <c r="D46" s="10"/>
      <c r="E46" s="10"/>
      <c r="F46" s="10"/>
      <c r="G46" s="10"/>
      <c r="H46" s="99">
        <f>SUM(H41:H44)</f>
        <v>35875871</v>
      </c>
      <c r="I46" s="99">
        <f>SUM(I41:I44)</f>
        <v>350804</v>
      </c>
      <c r="J46" s="99">
        <f>SUM(J41:J44)</f>
        <v>36226675</v>
      </c>
      <c r="K46" s="99">
        <f>SUM(K40:K44)</f>
        <v>-22086</v>
      </c>
    </row>
    <row r="47" spans="1:11">
      <c r="H47" s="85"/>
      <c r="I47" s="85"/>
      <c r="J47" s="85"/>
      <c r="K47" s="85"/>
    </row>
    <row r="48" spans="1:11" s="3" customFormat="1">
      <c r="C48" s="11" t="s">
        <v>44</v>
      </c>
      <c r="D48" s="11"/>
      <c r="E48" s="11"/>
      <c r="F48" s="11"/>
      <c r="G48" s="11"/>
      <c r="H48" s="100">
        <f>SUM(H46+H35+H38)</f>
        <v>69333911</v>
      </c>
      <c r="I48" s="100">
        <f t="shared" ref="I48:K48" si="5">SUM(I46+I35+I38)</f>
        <v>426197</v>
      </c>
      <c r="J48" s="100">
        <f t="shared" si="5"/>
        <v>69760108</v>
      </c>
      <c r="K48" s="100">
        <f t="shared" si="5"/>
        <v>91114</v>
      </c>
    </row>
    <row r="49" spans="8:11">
      <c r="H49" s="85"/>
      <c r="I49" s="85"/>
      <c r="J49" s="85"/>
      <c r="K49" s="85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>
      <selection activeCell="G26" sqref="G26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270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7269664</v>
      </c>
    </row>
    <row r="7" spans="1:7">
      <c r="B7" t="s">
        <v>46</v>
      </c>
      <c r="G7" s="80">
        <v>3659846</v>
      </c>
    </row>
    <row r="8" spans="1:7">
      <c r="B8" t="s">
        <v>49</v>
      </c>
      <c r="G8" s="81">
        <v>4140</v>
      </c>
    </row>
    <row r="9" spans="1:7">
      <c r="B9" t="s">
        <v>202</v>
      </c>
      <c r="G9" s="96">
        <v>17836416</v>
      </c>
    </row>
    <row r="10" spans="1:7">
      <c r="G10" s="85"/>
    </row>
    <row r="11" spans="1:7">
      <c r="A11" s="5"/>
      <c r="B11" s="6" t="s">
        <v>17</v>
      </c>
      <c r="C11" s="6"/>
      <c r="D11" s="6"/>
      <c r="E11" s="6"/>
      <c r="F11" s="6"/>
      <c r="G11" s="84">
        <f>SUM(G6:G9)</f>
        <v>28770066</v>
      </c>
    </row>
    <row r="12" spans="1:7">
      <c r="G12" s="85"/>
    </row>
    <row r="13" spans="1:7">
      <c r="A13" s="5" t="s">
        <v>20</v>
      </c>
      <c r="G13" s="85"/>
    </row>
    <row r="14" spans="1:7">
      <c r="A14" s="5"/>
      <c r="B14" t="s">
        <v>21</v>
      </c>
      <c r="G14" s="86">
        <v>382154</v>
      </c>
    </row>
    <row r="15" spans="1:7">
      <c r="B15" t="s">
        <v>271</v>
      </c>
      <c r="G15" s="86">
        <v>66963</v>
      </c>
    </row>
    <row r="16" spans="1:7">
      <c r="B16" t="s">
        <v>96</v>
      </c>
      <c r="G16" s="88">
        <v>131420</v>
      </c>
    </row>
    <row r="17" spans="1:7">
      <c r="B17" t="s">
        <v>272</v>
      </c>
      <c r="G17" s="86">
        <v>49970</v>
      </c>
    </row>
    <row r="18" spans="1:7">
      <c r="B18" t="s">
        <v>273</v>
      </c>
      <c r="G18" s="101">
        <v>20000</v>
      </c>
    </row>
    <row r="19" spans="1:7">
      <c r="B19" t="s">
        <v>274</v>
      </c>
      <c r="G19" s="81">
        <v>1337359</v>
      </c>
    </row>
    <row r="20" spans="1:7">
      <c r="G20" s="83"/>
    </row>
    <row r="21" spans="1:7">
      <c r="C21" s="8" t="s">
        <v>33</v>
      </c>
      <c r="D21" s="9"/>
      <c r="E21" s="9"/>
      <c r="F21" s="9"/>
      <c r="G21" s="89">
        <f>SUM(G14:G19)</f>
        <v>1987866</v>
      </c>
    </row>
    <row r="22" spans="1:7">
      <c r="G22" s="85"/>
    </row>
    <row r="23" spans="1:7">
      <c r="A23" s="3" t="s">
        <v>36</v>
      </c>
      <c r="G23" s="85"/>
    </row>
    <row r="24" spans="1:7">
      <c r="B24" t="s">
        <v>99</v>
      </c>
      <c r="G24" s="90">
        <v>17786447</v>
      </c>
    </row>
    <row r="25" spans="1:7">
      <c r="B25" t="s">
        <v>42</v>
      </c>
      <c r="G25" s="98">
        <v>8995753</v>
      </c>
    </row>
    <row r="26" spans="1:7">
      <c r="G26" s="83"/>
    </row>
    <row r="27" spans="1:7">
      <c r="A27" s="3"/>
      <c r="B27" s="10" t="s">
        <v>43</v>
      </c>
      <c r="C27" s="10"/>
      <c r="D27" s="10"/>
      <c r="E27" s="10"/>
      <c r="F27" s="10"/>
      <c r="G27" s="99">
        <f>SUM(G24:G25)</f>
        <v>26782200</v>
      </c>
    </row>
    <row r="28" spans="1:7">
      <c r="G28" s="85"/>
    </row>
    <row r="29" spans="1:7">
      <c r="A29" s="3"/>
      <c r="B29" s="11" t="s">
        <v>44</v>
      </c>
      <c r="C29" s="11"/>
      <c r="D29" s="11"/>
      <c r="E29" s="11"/>
      <c r="F29" s="11"/>
      <c r="G29" s="100">
        <f>SUM(G21+G27)</f>
        <v>28770066</v>
      </c>
    </row>
    <row r="30" spans="1:7">
      <c r="G30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40"/>
  <sheetViews>
    <sheetView workbookViewId="0">
      <selection activeCell="H36" sqref="H3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</cols>
  <sheetData>
    <row r="1" spans="1:11" ht="18.600000000000001">
      <c r="A1" s="1"/>
      <c r="B1" s="1"/>
      <c r="C1" s="1"/>
      <c r="D1" s="202" t="s">
        <v>275</v>
      </c>
      <c r="E1" s="202"/>
      <c r="F1" s="202"/>
      <c r="G1" s="202"/>
      <c r="H1" s="202"/>
      <c r="I1" s="102"/>
      <c r="J1" s="102"/>
    </row>
    <row r="2" spans="1:11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>
      <c r="H4" s="206" t="s">
        <v>2</v>
      </c>
      <c r="I4" s="206"/>
      <c r="J4" s="206"/>
    </row>
    <row r="5" spans="1:11" ht="29.1">
      <c r="H5" s="110" t="s">
        <v>3</v>
      </c>
      <c r="I5" s="110" t="s">
        <v>137</v>
      </c>
      <c r="J5" s="110" t="s">
        <v>64</v>
      </c>
      <c r="K5" s="5"/>
    </row>
    <row r="6" spans="1:11">
      <c r="A6" s="3" t="s">
        <v>5</v>
      </c>
      <c r="D6" s="3"/>
      <c r="G6" s="4"/>
      <c r="H6" s="4"/>
      <c r="I6" s="4"/>
      <c r="J6" s="4"/>
    </row>
    <row r="7" spans="1:11">
      <c r="C7" t="s">
        <v>65</v>
      </c>
      <c r="H7" s="79">
        <v>1681553</v>
      </c>
      <c r="I7" s="85">
        <v>363999</v>
      </c>
      <c r="J7" s="85">
        <f t="shared" ref="J7" si="0">SUM(H7:I7)</f>
        <v>2045552</v>
      </c>
    </row>
    <row r="8" spans="1:11">
      <c r="C8" t="s">
        <v>276</v>
      </c>
      <c r="H8" s="80">
        <v>1486129</v>
      </c>
      <c r="I8" s="85">
        <v>105407</v>
      </c>
      <c r="J8" s="85">
        <f>SUM(H8:I8)</f>
        <v>1591536</v>
      </c>
    </row>
    <row r="9" spans="1:11">
      <c r="C9" t="s">
        <v>14</v>
      </c>
      <c r="H9" s="85"/>
      <c r="I9" s="85"/>
      <c r="J9" s="85"/>
    </row>
    <row r="10" spans="1:11">
      <c r="D10" t="s">
        <v>277</v>
      </c>
      <c r="H10" s="85"/>
      <c r="I10" s="85"/>
      <c r="J10" s="85"/>
    </row>
    <row r="11" spans="1:11">
      <c r="E11" t="s">
        <v>125</v>
      </c>
      <c r="H11" s="82">
        <v>37900</v>
      </c>
      <c r="I11" s="85"/>
      <c r="J11" s="85">
        <f>SUM(H11:I11)</f>
        <v>37900</v>
      </c>
    </row>
    <row r="12" spans="1:11">
      <c r="E12" t="s">
        <v>121</v>
      </c>
      <c r="H12" s="82">
        <v>203250</v>
      </c>
      <c r="I12" s="85"/>
      <c r="J12" s="85">
        <f>SUM(H12:I12)</f>
        <v>203250</v>
      </c>
    </row>
    <row r="13" spans="1:11">
      <c r="D13" t="s">
        <v>278</v>
      </c>
      <c r="H13" s="82">
        <v>5842328</v>
      </c>
      <c r="I13" s="85">
        <v>357194</v>
      </c>
      <c r="J13" s="85">
        <f>SUM(H13:I13)</f>
        <v>6199522</v>
      </c>
    </row>
    <row r="14" spans="1:11">
      <c r="H14" s="83"/>
      <c r="I14" s="83"/>
      <c r="J14" s="83"/>
    </row>
    <row r="15" spans="1:11" s="5" customFormat="1">
      <c r="C15" s="6" t="s">
        <v>17</v>
      </c>
      <c r="D15" s="6"/>
      <c r="E15" s="6"/>
      <c r="F15" s="6"/>
      <c r="G15" s="6"/>
      <c r="H15" s="84">
        <f>SUM(H7:H13)</f>
        <v>9251160</v>
      </c>
      <c r="I15" s="84">
        <f>SUM(I7:I13)</f>
        <v>826600</v>
      </c>
      <c r="J15" s="84">
        <f>SUM(J7:J13)</f>
        <v>10077760</v>
      </c>
    </row>
    <row r="16" spans="1:11">
      <c r="H16" s="85"/>
      <c r="I16" s="85"/>
      <c r="J16" s="85"/>
    </row>
    <row r="17" spans="1:10">
      <c r="A17" s="5" t="s">
        <v>20</v>
      </c>
      <c r="H17" s="85"/>
      <c r="I17" s="85"/>
      <c r="J17" s="85"/>
    </row>
    <row r="18" spans="1:10">
      <c r="A18" s="5"/>
      <c r="C18" t="s">
        <v>260</v>
      </c>
      <c r="H18" s="86">
        <v>379081</v>
      </c>
      <c r="I18" s="85">
        <v>33092</v>
      </c>
      <c r="J18" s="85">
        <f>SUM(H18:I18)</f>
        <v>412173</v>
      </c>
    </row>
    <row r="19" spans="1:10">
      <c r="C19" t="s">
        <v>279</v>
      </c>
      <c r="H19" s="85"/>
      <c r="I19" s="85">
        <v>76433</v>
      </c>
      <c r="J19" s="85">
        <f t="shared" ref="J19:J24" si="1">SUM(H19:I19)</f>
        <v>76433</v>
      </c>
    </row>
    <row r="20" spans="1:10">
      <c r="C20" t="s">
        <v>280</v>
      </c>
      <c r="H20" s="81">
        <v>2266</v>
      </c>
      <c r="I20" s="85"/>
      <c r="J20" s="85">
        <f t="shared" si="1"/>
        <v>2266</v>
      </c>
    </row>
    <row r="21" spans="1:10">
      <c r="C21" t="s">
        <v>27</v>
      </c>
      <c r="H21" s="85"/>
      <c r="I21" s="85"/>
      <c r="J21" s="85"/>
    </row>
    <row r="22" spans="1:10">
      <c r="D22" t="s">
        <v>30</v>
      </c>
      <c r="H22" s="88">
        <v>42221</v>
      </c>
      <c r="I22" s="85">
        <v>9025</v>
      </c>
      <c r="J22" s="85">
        <f t="shared" si="1"/>
        <v>51246</v>
      </c>
    </row>
    <row r="23" spans="1:10">
      <c r="D23" t="s">
        <v>281</v>
      </c>
      <c r="H23" s="85"/>
      <c r="I23" s="85"/>
      <c r="J23" s="85"/>
    </row>
    <row r="24" spans="1:10">
      <c r="E24" t="s">
        <v>81</v>
      </c>
      <c r="H24" s="97">
        <v>92877</v>
      </c>
      <c r="I24" s="85"/>
      <c r="J24" s="85">
        <f t="shared" si="1"/>
        <v>92877</v>
      </c>
    </row>
    <row r="25" spans="1:10">
      <c r="E25" t="s">
        <v>82</v>
      </c>
      <c r="H25" s="79">
        <v>339716</v>
      </c>
      <c r="I25" s="85"/>
      <c r="J25" s="85">
        <f>SUM(H25:I25)</f>
        <v>339716</v>
      </c>
    </row>
    <row r="26" spans="1:10">
      <c r="H26" s="85"/>
      <c r="I26" s="85"/>
      <c r="J26" s="85"/>
    </row>
    <row r="27" spans="1:10">
      <c r="D27" s="8" t="s">
        <v>33</v>
      </c>
      <c r="E27" s="9"/>
      <c r="F27" s="9"/>
      <c r="G27" s="9"/>
      <c r="H27" s="89">
        <f>SUM(H18:H25)</f>
        <v>856161</v>
      </c>
      <c r="I27" s="89">
        <f>SUM(I18:I25)</f>
        <v>118550</v>
      </c>
      <c r="J27" s="89">
        <f>SUM(J18:J25)</f>
        <v>974711</v>
      </c>
    </row>
    <row r="28" spans="1:10">
      <c r="H28" s="85"/>
      <c r="I28" s="85"/>
      <c r="J28" s="85"/>
    </row>
    <row r="29" spans="1:10">
      <c r="A29" s="3" t="s">
        <v>36</v>
      </c>
      <c r="H29" s="85"/>
      <c r="I29" s="85"/>
      <c r="J29" s="85"/>
    </row>
    <row r="30" spans="1:10">
      <c r="B30" t="s">
        <v>99</v>
      </c>
      <c r="H30" s="90">
        <v>5650885</v>
      </c>
      <c r="I30" s="85">
        <v>357194</v>
      </c>
      <c r="J30" s="85">
        <f>SUM(H30:I30)</f>
        <v>6008079</v>
      </c>
    </row>
    <row r="31" spans="1:10">
      <c r="B31" t="s">
        <v>282</v>
      </c>
      <c r="H31" s="85"/>
      <c r="I31" s="85"/>
      <c r="J31" s="85"/>
    </row>
    <row r="32" spans="1:10">
      <c r="C32" t="s">
        <v>283</v>
      </c>
      <c r="H32" s="91">
        <v>1893524</v>
      </c>
      <c r="I32" s="85"/>
      <c r="J32" s="85">
        <f>SUM(H32:I32)</f>
        <v>1893524</v>
      </c>
    </row>
    <row r="33" spans="2:10">
      <c r="C33" t="s">
        <v>56</v>
      </c>
      <c r="H33" s="91">
        <v>24781</v>
      </c>
      <c r="I33" s="85"/>
      <c r="J33" s="85">
        <f>SUM(H33:I33)</f>
        <v>24781</v>
      </c>
    </row>
    <row r="34" spans="2:10">
      <c r="C34" t="s">
        <v>284</v>
      </c>
      <c r="H34" s="91">
        <v>51625</v>
      </c>
      <c r="I34" s="85"/>
      <c r="J34" s="85">
        <f t="shared" ref="J34" si="2">SUM(H34:I34)</f>
        <v>51625</v>
      </c>
    </row>
    <row r="35" spans="2:10">
      <c r="B35" t="s">
        <v>42</v>
      </c>
      <c r="H35" s="98">
        <v>774184</v>
      </c>
      <c r="I35" s="85">
        <v>350856</v>
      </c>
      <c r="J35" s="85">
        <f>SUM(H35:I35)</f>
        <v>1125040</v>
      </c>
    </row>
    <row r="36" spans="2:10">
      <c r="H36" s="83"/>
      <c r="I36" s="83"/>
      <c r="J36" s="83"/>
    </row>
    <row r="37" spans="2:10" s="3" customFormat="1">
      <c r="C37" s="10" t="s">
        <v>43</v>
      </c>
      <c r="D37" s="10"/>
      <c r="E37" s="10"/>
      <c r="F37" s="10"/>
      <c r="G37" s="10"/>
      <c r="H37" s="99">
        <f>SUM(H30:H35)</f>
        <v>8394999</v>
      </c>
      <c r="I37" s="99">
        <f>SUM(I30:I35)</f>
        <v>708050</v>
      </c>
      <c r="J37" s="99">
        <f>SUM(J30:J35)</f>
        <v>9103049</v>
      </c>
    </row>
    <row r="38" spans="2:10">
      <c r="H38" s="85"/>
      <c r="I38" s="85"/>
      <c r="J38" s="85"/>
    </row>
    <row r="39" spans="2:10" s="3" customFormat="1">
      <c r="C39" s="11" t="s">
        <v>44</v>
      </c>
      <c r="D39" s="11"/>
      <c r="E39" s="11"/>
      <c r="F39" s="11"/>
      <c r="G39" s="11"/>
      <c r="H39" s="100">
        <f>SUM(H37+H27)</f>
        <v>9251160</v>
      </c>
      <c r="I39" s="100">
        <f>SUM(I37+I27)</f>
        <v>826600</v>
      </c>
      <c r="J39" s="100">
        <f>SUM(J37+J27)</f>
        <v>10077760</v>
      </c>
    </row>
    <row r="40" spans="2:10">
      <c r="H40" s="85"/>
      <c r="I40" s="85"/>
      <c r="J40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48"/>
  <sheetViews>
    <sheetView workbookViewId="0">
      <selection activeCell="I22" sqref="I2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5.7109375" customWidth="1"/>
  </cols>
  <sheetData>
    <row r="1" spans="1:10" ht="18.75" customHeight="1">
      <c r="A1" s="1"/>
      <c r="B1" s="1"/>
      <c r="C1" s="1"/>
      <c r="D1" s="202" t="s">
        <v>285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14.25" customHeight="1">
      <c r="H4" s="71" t="s">
        <v>2</v>
      </c>
    </row>
    <row r="5" spans="1:10" ht="31.5" customHeight="1">
      <c r="H5" s="2" t="s">
        <v>3</v>
      </c>
      <c r="I5" s="111" t="s">
        <v>101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102</v>
      </c>
      <c r="H7" s="79">
        <v>39934830</v>
      </c>
      <c r="I7" s="85">
        <v>39091186</v>
      </c>
    </row>
    <row r="8" spans="1:10">
      <c r="C8" t="s">
        <v>8</v>
      </c>
      <c r="H8" s="86">
        <v>83378</v>
      </c>
      <c r="I8" s="85"/>
    </row>
    <row r="9" spans="1:10">
      <c r="C9" t="s">
        <v>103</v>
      </c>
      <c r="H9" s="80">
        <v>8030264</v>
      </c>
      <c r="I9" s="85">
        <v>10729454</v>
      </c>
    </row>
    <row r="10" spans="1:10">
      <c r="C10" t="s">
        <v>286</v>
      </c>
      <c r="H10" s="81">
        <v>1416411</v>
      </c>
      <c r="I10" s="85"/>
    </row>
    <row r="11" spans="1:10">
      <c r="C11" t="s">
        <v>251</v>
      </c>
      <c r="H11" s="95">
        <v>5793561</v>
      </c>
      <c r="I11" s="85">
        <v>925334</v>
      </c>
    </row>
    <row r="12" spans="1:10">
      <c r="C12" t="s">
        <v>150</v>
      </c>
      <c r="H12" s="141"/>
      <c r="I12" s="85">
        <v>627437</v>
      </c>
    </row>
    <row r="13" spans="1:10">
      <c r="C13" t="s">
        <v>151</v>
      </c>
      <c r="H13" s="85"/>
      <c r="I13" s="85">
        <v>1951088</v>
      </c>
    </row>
    <row r="14" spans="1:10">
      <c r="C14" t="s">
        <v>168</v>
      </c>
      <c r="H14" s="85"/>
      <c r="I14" s="85">
        <v>667027</v>
      </c>
    </row>
    <row r="15" spans="1:10">
      <c r="C15" t="s">
        <v>287</v>
      </c>
      <c r="H15" s="85"/>
      <c r="I15" s="85">
        <v>375146</v>
      </c>
    </row>
    <row r="16" spans="1:10">
      <c r="C16" t="s">
        <v>68</v>
      </c>
      <c r="H16" s="85"/>
      <c r="I16" s="85">
        <v>3633711</v>
      </c>
    </row>
    <row r="17" spans="1:9">
      <c r="C17" t="s">
        <v>14</v>
      </c>
      <c r="H17" s="85"/>
      <c r="I17" s="85"/>
    </row>
    <row r="18" spans="1:9">
      <c r="D18" t="s">
        <v>15</v>
      </c>
      <c r="H18" s="82">
        <v>5456279</v>
      </c>
      <c r="I18" s="85">
        <v>13538519</v>
      </c>
    </row>
    <row r="19" spans="1:9">
      <c r="D19" t="s">
        <v>16</v>
      </c>
      <c r="H19" s="96">
        <v>90480984</v>
      </c>
      <c r="I19" s="85">
        <v>60219171</v>
      </c>
    </row>
    <row r="20" spans="1:9">
      <c r="H20" s="85"/>
      <c r="I20" s="83"/>
    </row>
    <row r="21" spans="1:9" s="5" customFormat="1">
      <c r="C21" s="6" t="s">
        <v>17</v>
      </c>
      <c r="D21" s="6"/>
      <c r="E21" s="6"/>
      <c r="F21" s="6"/>
      <c r="G21" s="6"/>
      <c r="H21" s="84">
        <f>SUM(H7:H19)</f>
        <v>151195707</v>
      </c>
      <c r="I21" s="84">
        <f>SUM(I7:I19)</f>
        <v>131758073</v>
      </c>
    </row>
    <row r="22" spans="1:9">
      <c r="H22" s="85"/>
      <c r="I22" s="85"/>
    </row>
    <row r="23" spans="1:9">
      <c r="A23" s="5" t="s">
        <v>20</v>
      </c>
      <c r="H23" s="85"/>
      <c r="I23" s="85"/>
    </row>
    <row r="24" spans="1:9">
      <c r="C24" t="s">
        <v>21</v>
      </c>
      <c r="H24" s="86">
        <v>1802114</v>
      </c>
      <c r="I24" s="85">
        <v>3237190</v>
      </c>
    </row>
    <row r="25" spans="1:9">
      <c r="C25" t="s">
        <v>288</v>
      </c>
      <c r="H25" s="86">
        <v>181539</v>
      </c>
      <c r="I25" s="85">
        <v>6909924</v>
      </c>
    </row>
    <row r="26" spans="1:9">
      <c r="C26" t="s">
        <v>289</v>
      </c>
      <c r="H26" s="86">
        <v>604712</v>
      </c>
      <c r="I26" s="85">
        <v>732472</v>
      </c>
    </row>
    <row r="27" spans="1:9">
      <c r="C27" t="s">
        <v>157</v>
      </c>
      <c r="H27" s="101">
        <v>337184</v>
      </c>
      <c r="I27" s="85">
        <v>91132</v>
      </c>
    </row>
    <row r="28" spans="1:9">
      <c r="C28" t="s">
        <v>290</v>
      </c>
      <c r="H28" s="101">
        <v>627437</v>
      </c>
      <c r="I28" s="85"/>
    </row>
    <row r="29" spans="1:9">
      <c r="C29" t="s">
        <v>291</v>
      </c>
      <c r="H29" s="85"/>
      <c r="I29" s="85">
        <v>1416411</v>
      </c>
    </row>
    <row r="30" spans="1:9">
      <c r="C30" t="s">
        <v>292</v>
      </c>
      <c r="H30" s="81">
        <v>171235</v>
      </c>
      <c r="I30" s="85">
        <v>110549</v>
      </c>
    </row>
    <row r="31" spans="1:9">
      <c r="C31" t="s">
        <v>293</v>
      </c>
      <c r="H31" s="85"/>
      <c r="I31" s="85">
        <v>270125</v>
      </c>
    </row>
    <row r="32" spans="1:9">
      <c r="C32" t="s">
        <v>25</v>
      </c>
      <c r="H32" s="86">
        <v>42018</v>
      </c>
      <c r="I32" s="85">
        <v>126013</v>
      </c>
    </row>
    <row r="33" spans="1:9">
      <c r="C33" t="s">
        <v>27</v>
      </c>
      <c r="H33" s="85"/>
      <c r="I33" s="85"/>
    </row>
    <row r="34" spans="1:9">
      <c r="D34" t="s">
        <v>294</v>
      </c>
      <c r="H34" s="81">
        <v>3453813</v>
      </c>
      <c r="I34" s="85">
        <v>1514778</v>
      </c>
    </row>
    <row r="35" spans="1:9">
      <c r="D35" t="s">
        <v>81</v>
      </c>
      <c r="H35" s="97">
        <v>1464872</v>
      </c>
      <c r="I35" s="85">
        <v>3107445</v>
      </c>
    </row>
    <row r="36" spans="1:9">
      <c r="D36" t="s">
        <v>82</v>
      </c>
      <c r="H36" s="79">
        <v>9078674</v>
      </c>
      <c r="I36" s="85">
        <v>32542923</v>
      </c>
    </row>
    <row r="37" spans="1:9">
      <c r="H37" s="83"/>
      <c r="I37" s="83"/>
    </row>
    <row r="38" spans="1:9">
      <c r="D38" s="8" t="s">
        <v>33</v>
      </c>
      <c r="E38" s="9"/>
      <c r="F38" s="9"/>
      <c r="G38" s="9"/>
      <c r="H38" s="89">
        <f>SUM(H24:H36)</f>
        <v>17763598</v>
      </c>
      <c r="I38" s="89">
        <f>SUM(I24:I36)</f>
        <v>50058962</v>
      </c>
    </row>
    <row r="39" spans="1:9">
      <c r="H39" s="85"/>
      <c r="I39" s="85"/>
    </row>
    <row r="40" spans="1:9">
      <c r="A40" s="3" t="s">
        <v>36</v>
      </c>
      <c r="H40" s="85"/>
      <c r="I40" s="85"/>
    </row>
    <row r="41" spans="1:9">
      <c r="B41" t="s">
        <v>37</v>
      </c>
      <c r="H41" s="90">
        <v>86345332</v>
      </c>
      <c r="I41" s="85">
        <v>52359053</v>
      </c>
    </row>
    <row r="42" spans="1:9">
      <c r="B42" t="s">
        <v>179</v>
      </c>
      <c r="H42" s="91">
        <v>564816</v>
      </c>
      <c r="I42" s="85">
        <v>12300232</v>
      </c>
    </row>
    <row r="43" spans="1:9">
      <c r="B43" t="s">
        <v>42</v>
      </c>
      <c r="H43" s="98">
        <v>46521961</v>
      </c>
      <c r="I43" s="85">
        <v>17039826</v>
      </c>
    </row>
    <row r="44" spans="1:9">
      <c r="H44" s="83"/>
      <c r="I44" s="83"/>
    </row>
    <row r="45" spans="1:9" s="3" customFormat="1">
      <c r="C45" s="10" t="s">
        <v>43</v>
      </c>
      <c r="D45" s="10"/>
      <c r="E45" s="10"/>
      <c r="F45" s="10"/>
      <c r="G45" s="10"/>
      <c r="H45" s="99">
        <f>SUM(H41:H43)</f>
        <v>133432109</v>
      </c>
      <c r="I45" s="99">
        <f>SUM(I41:I43)</f>
        <v>81699111</v>
      </c>
    </row>
    <row r="46" spans="1:9">
      <c r="H46" s="85"/>
      <c r="I46" s="85"/>
    </row>
    <row r="47" spans="1:9" s="3" customFormat="1">
      <c r="C47" s="11" t="s">
        <v>44</v>
      </c>
      <c r="D47" s="11"/>
      <c r="E47" s="11"/>
      <c r="F47" s="11"/>
      <c r="G47" s="11"/>
      <c r="H47" s="100">
        <f>SUM(H38+H45)</f>
        <v>151195707</v>
      </c>
      <c r="I47" s="100">
        <f>SUM(I45+I38)</f>
        <v>131758073</v>
      </c>
    </row>
    <row r="48" spans="1:9">
      <c r="H48" s="85"/>
      <c r="I48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8"/>
  <sheetViews>
    <sheetView workbookViewId="0">
      <selection activeCell="G46" sqref="G4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1" width="17.140625" customWidth="1"/>
    <col min="12" max="12" width="17.28515625" customWidth="1"/>
  </cols>
  <sheetData>
    <row r="1" spans="1:13" ht="18.75" customHeight="1">
      <c r="A1" s="1"/>
      <c r="B1" s="1"/>
      <c r="C1" s="1"/>
      <c r="D1" s="202" t="s">
        <v>295</v>
      </c>
      <c r="E1" s="202"/>
      <c r="F1" s="202"/>
      <c r="G1" s="202"/>
      <c r="H1" s="202"/>
      <c r="I1" s="102"/>
      <c r="J1" s="102"/>
      <c r="K1" s="102"/>
    </row>
    <row r="2" spans="1:13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  <c r="K2" s="103"/>
    </row>
    <row r="4" spans="1:13" ht="14.25" customHeight="1">
      <c r="H4" s="206" t="s">
        <v>2</v>
      </c>
      <c r="I4" s="206"/>
      <c r="J4" s="206"/>
      <c r="K4" s="207" t="s">
        <v>296</v>
      </c>
      <c r="L4" s="207"/>
    </row>
    <row r="5" spans="1:13" ht="31.5" customHeight="1">
      <c r="H5" s="110" t="s">
        <v>3</v>
      </c>
      <c r="I5" s="110" t="s">
        <v>137</v>
      </c>
      <c r="J5" s="110" t="s">
        <v>64</v>
      </c>
      <c r="K5" s="110" t="s">
        <v>3</v>
      </c>
      <c r="L5" s="113" t="s">
        <v>63</v>
      </c>
      <c r="M5" s="5"/>
    </row>
    <row r="6" spans="1:13">
      <c r="A6" s="3" t="s">
        <v>5</v>
      </c>
      <c r="D6" s="3"/>
      <c r="G6" s="4"/>
      <c r="H6" s="4"/>
      <c r="I6" s="4"/>
      <c r="J6" s="4"/>
      <c r="K6" s="4"/>
    </row>
    <row r="7" spans="1:13">
      <c r="A7" s="3"/>
      <c r="B7" s="5" t="s">
        <v>6</v>
      </c>
      <c r="D7" s="3"/>
      <c r="G7" s="4"/>
      <c r="H7" s="78"/>
      <c r="I7" s="78"/>
      <c r="J7" s="78"/>
      <c r="K7" s="78"/>
      <c r="L7" s="85"/>
    </row>
    <row r="8" spans="1:13">
      <c r="C8" t="s">
        <v>65</v>
      </c>
      <c r="H8" s="79">
        <v>16410571</v>
      </c>
      <c r="I8" s="85">
        <v>1795376</v>
      </c>
      <c r="J8" s="85">
        <f>SUM(H8:I8)</f>
        <v>18205947</v>
      </c>
      <c r="K8" s="85">
        <v>1177559</v>
      </c>
      <c r="L8" s="85">
        <v>712715</v>
      </c>
    </row>
    <row r="9" spans="1:13">
      <c r="C9" t="s">
        <v>165</v>
      </c>
      <c r="H9" s="80">
        <v>9074534</v>
      </c>
      <c r="I9" s="85">
        <v>995840</v>
      </c>
      <c r="J9" s="85">
        <f>SUM(H9:I9)</f>
        <v>10070374</v>
      </c>
      <c r="K9" s="85">
        <v>3439297</v>
      </c>
      <c r="L9" s="85">
        <v>202002</v>
      </c>
    </row>
    <row r="10" spans="1:13">
      <c r="C10" t="s">
        <v>151</v>
      </c>
      <c r="H10" s="85"/>
      <c r="I10" s="85">
        <v>132465</v>
      </c>
      <c r="J10" s="85">
        <f>SUM(H10:I10)</f>
        <v>132465</v>
      </c>
      <c r="K10" s="85"/>
      <c r="L10" s="85"/>
    </row>
    <row r="11" spans="1:13">
      <c r="C11" t="s">
        <v>168</v>
      </c>
      <c r="H11" s="81">
        <v>870703</v>
      </c>
      <c r="I11" s="85"/>
      <c r="J11" s="85">
        <f>SUM(H11:I11)</f>
        <v>870703</v>
      </c>
      <c r="K11" s="85"/>
      <c r="L11" s="85">
        <v>14931</v>
      </c>
    </row>
    <row r="12" spans="1:13">
      <c r="C12" t="s">
        <v>69</v>
      </c>
      <c r="H12" s="81">
        <v>100000</v>
      </c>
      <c r="I12" s="85">
        <v>348456</v>
      </c>
      <c r="J12" s="85">
        <f>SUM(H12:I12)</f>
        <v>448456</v>
      </c>
      <c r="K12" s="85">
        <v>103972</v>
      </c>
      <c r="L12" s="85">
        <v>260524</v>
      </c>
    </row>
    <row r="13" spans="1:13">
      <c r="C13" t="s">
        <v>68</v>
      </c>
      <c r="H13" s="85"/>
      <c r="I13" s="85"/>
      <c r="J13" s="85"/>
      <c r="K13" s="85"/>
      <c r="L13" s="85"/>
    </row>
    <row r="14" spans="1:13">
      <c r="D14" t="s">
        <v>65</v>
      </c>
      <c r="H14" s="85"/>
      <c r="I14" s="85">
        <v>882151</v>
      </c>
      <c r="J14" s="85">
        <f>SUM(H14:I14)</f>
        <v>882151</v>
      </c>
      <c r="K14" s="85"/>
      <c r="L14" s="85">
        <v>767572</v>
      </c>
    </row>
    <row r="15" spans="1:13">
      <c r="C15" t="s">
        <v>297</v>
      </c>
      <c r="H15" s="85"/>
      <c r="I15" s="85"/>
      <c r="J15" s="85"/>
      <c r="K15" s="85"/>
      <c r="L15" s="85"/>
    </row>
    <row r="16" spans="1:13">
      <c r="D16" t="s">
        <v>121</v>
      </c>
      <c r="H16" s="82">
        <v>2975825</v>
      </c>
      <c r="I16" s="85">
        <v>193511</v>
      </c>
      <c r="J16" s="85">
        <f>SUM(H16:I16)</f>
        <v>3169336</v>
      </c>
      <c r="K16" s="85">
        <v>435740</v>
      </c>
      <c r="L16" s="85"/>
    </row>
    <row r="17" spans="1:12">
      <c r="D17" t="s">
        <v>298</v>
      </c>
      <c r="H17" s="82">
        <v>31725027</v>
      </c>
      <c r="I17" s="85">
        <v>10071429</v>
      </c>
      <c r="J17" s="85">
        <f>SUM(H17:I17)</f>
        <v>41796456</v>
      </c>
      <c r="K17" s="85">
        <v>999067</v>
      </c>
      <c r="L17" s="85">
        <v>3405591</v>
      </c>
    </row>
    <row r="18" spans="1:12">
      <c r="D18" t="s">
        <v>299</v>
      </c>
      <c r="H18" s="82">
        <v>55243002</v>
      </c>
      <c r="I18" s="85"/>
      <c r="J18" s="85">
        <f>SUM(H18:I18)</f>
        <v>55243002</v>
      </c>
      <c r="K18" s="85">
        <v>331118</v>
      </c>
      <c r="L18" s="85">
        <v>1757047</v>
      </c>
    </row>
    <row r="19" spans="1:12">
      <c r="D19" t="s">
        <v>300</v>
      </c>
      <c r="H19" s="82">
        <v>4023678</v>
      </c>
      <c r="I19" s="85">
        <v>154513</v>
      </c>
      <c r="J19" s="85">
        <f>SUM(H19:I19)</f>
        <v>4178191</v>
      </c>
      <c r="K19" s="85">
        <v>368125</v>
      </c>
      <c r="L19" s="85">
        <v>1277720</v>
      </c>
    </row>
    <row r="20" spans="1:12">
      <c r="D20" t="s">
        <v>125</v>
      </c>
      <c r="H20" s="96">
        <v>6218861</v>
      </c>
      <c r="I20" s="85">
        <v>156733</v>
      </c>
      <c r="J20" s="85">
        <f>SUM(H20:I20)</f>
        <v>6375594</v>
      </c>
      <c r="K20" s="85"/>
      <c r="L20" s="85"/>
    </row>
    <row r="21" spans="1:12">
      <c r="H21" s="85"/>
      <c r="I21" s="83"/>
      <c r="J21" s="83"/>
      <c r="K21" s="83"/>
      <c r="L21" s="83"/>
    </row>
    <row r="22" spans="1:12" s="5" customFormat="1">
      <c r="C22" s="6" t="s">
        <v>17</v>
      </c>
      <c r="D22" s="6"/>
      <c r="E22" s="6"/>
      <c r="F22" s="6"/>
      <c r="G22" s="6"/>
      <c r="H22" s="84">
        <f>SUM(H8:H20)</f>
        <v>126642201</v>
      </c>
      <c r="I22" s="84">
        <f>SUM(I8:I20)</f>
        <v>14730474</v>
      </c>
      <c r="J22" s="84">
        <f>SUM(J8:J20)</f>
        <v>141372675</v>
      </c>
      <c r="K22" s="84">
        <f>SUM(K8:K20)</f>
        <v>6854878</v>
      </c>
      <c r="L22" s="84">
        <f>SUM(L8:L20)</f>
        <v>8398102</v>
      </c>
    </row>
    <row r="23" spans="1:12">
      <c r="H23" s="85"/>
      <c r="I23" s="85"/>
      <c r="J23" s="85"/>
      <c r="K23" s="85"/>
      <c r="L23" s="85"/>
    </row>
    <row r="24" spans="1:12">
      <c r="A24" s="5" t="s">
        <v>20</v>
      </c>
      <c r="H24" s="85"/>
      <c r="I24" s="85"/>
      <c r="J24" s="85"/>
      <c r="K24" s="85"/>
      <c r="L24" s="85"/>
    </row>
    <row r="25" spans="1:12">
      <c r="A25" s="5"/>
      <c r="C25" t="s">
        <v>229</v>
      </c>
      <c r="H25" s="86">
        <v>2043820</v>
      </c>
      <c r="I25" s="85">
        <v>520051</v>
      </c>
      <c r="J25" s="85">
        <f t="shared" ref="J25:J30" si="0">SUM(H25:I25)</f>
        <v>2563871</v>
      </c>
      <c r="K25" s="85">
        <v>28218</v>
      </c>
      <c r="L25" s="85">
        <v>74793</v>
      </c>
    </row>
    <row r="26" spans="1:12">
      <c r="C26" t="s">
        <v>301</v>
      </c>
      <c r="H26" s="85"/>
      <c r="I26" s="85"/>
      <c r="J26" s="85">
        <f t="shared" si="0"/>
        <v>0</v>
      </c>
      <c r="K26" s="85"/>
      <c r="L26" s="85"/>
    </row>
    <row r="27" spans="1:12">
      <c r="C27" t="s">
        <v>25</v>
      </c>
      <c r="H27" s="85"/>
      <c r="I27" s="85"/>
      <c r="J27" s="85">
        <f t="shared" si="0"/>
        <v>0</v>
      </c>
      <c r="K27" s="85"/>
      <c r="L27" s="85"/>
    </row>
    <row r="28" spans="1:12">
      <c r="C28" t="s">
        <v>302</v>
      </c>
      <c r="H28" s="85"/>
      <c r="I28" s="85"/>
      <c r="J28" s="85">
        <f t="shared" si="0"/>
        <v>0</v>
      </c>
      <c r="K28" s="85"/>
      <c r="L28" s="85"/>
    </row>
    <row r="29" spans="1:12">
      <c r="C29" t="s">
        <v>303</v>
      </c>
      <c r="H29" s="86">
        <v>795376</v>
      </c>
      <c r="I29" s="85"/>
      <c r="J29" s="85">
        <f t="shared" si="0"/>
        <v>795376</v>
      </c>
      <c r="K29" s="85">
        <v>159045</v>
      </c>
      <c r="L29" s="85"/>
    </row>
    <row r="30" spans="1:12">
      <c r="C30" t="s">
        <v>174</v>
      </c>
      <c r="H30" s="85"/>
      <c r="I30" s="85">
        <v>279573</v>
      </c>
      <c r="J30" s="85">
        <f t="shared" si="0"/>
        <v>279573</v>
      </c>
      <c r="K30" s="85"/>
      <c r="L30" s="85">
        <v>122661</v>
      </c>
    </row>
    <row r="31" spans="1:12">
      <c r="C31" t="s">
        <v>158</v>
      </c>
      <c r="H31" s="85"/>
      <c r="I31" s="85"/>
      <c r="J31" s="85"/>
      <c r="K31" s="85"/>
      <c r="L31" s="85"/>
    </row>
    <row r="32" spans="1:12">
      <c r="D32" t="s">
        <v>304</v>
      </c>
      <c r="H32" s="81">
        <v>485401</v>
      </c>
      <c r="I32" s="85"/>
      <c r="J32" s="85">
        <f>SUM(H32:I32)</f>
        <v>485401</v>
      </c>
      <c r="K32" s="85">
        <v>69779</v>
      </c>
      <c r="L32" s="85"/>
    </row>
    <row r="33" spans="1:12">
      <c r="D33" t="s">
        <v>305</v>
      </c>
      <c r="H33" s="97">
        <v>1091504</v>
      </c>
      <c r="I33" s="85">
        <v>55000</v>
      </c>
      <c r="J33" s="85">
        <f>SUM(H33:I33)</f>
        <v>1146504</v>
      </c>
      <c r="K33" s="85">
        <v>9000</v>
      </c>
      <c r="L33" s="85">
        <v>73441</v>
      </c>
    </row>
    <row r="34" spans="1:12">
      <c r="D34" t="s">
        <v>82</v>
      </c>
      <c r="H34" s="79">
        <v>17258488</v>
      </c>
      <c r="I34" s="85">
        <v>545000</v>
      </c>
      <c r="J34" s="85">
        <f>SUM(H34:I34)</f>
        <v>17803488</v>
      </c>
      <c r="K34" s="85">
        <v>320458</v>
      </c>
      <c r="L34" s="85">
        <v>3337547</v>
      </c>
    </row>
    <row r="35" spans="1:12">
      <c r="H35" s="83"/>
      <c r="I35" s="83"/>
      <c r="J35" s="83"/>
      <c r="K35" s="83"/>
      <c r="L35" s="83"/>
    </row>
    <row r="36" spans="1:12">
      <c r="D36" s="8" t="s">
        <v>33</v>
      </c>
      <c r="E36" s="9"/>
      <c r="F36" s="9"/>
      <c r="G36" s="9"/>
      <c r="H36" s="89">
        <f>SUM(H25:H34)</f>
        <v>21674589</v>
      </c>
      <c r="I36" s="89">
        <f>SUM(I25:I34)</f>
        <v>1399624</v>
      </c>
      <c r="J36" s="89">
        <f>SUM(J25:J34)</f>
        <v>23074213</v>
      </c>
      <c r="K36" s="89">
        <f>SUM(K25:K34)</f>
        <v>586500</v>
      </c>
      <c r="L36" s="89">
        <f>SUM(L25:L34)</f>
        <v>3608442</v>
      </c>
    </row>
    <row r="37" spans="1:12">
      <c r="H37" s="85"/>
      <c r="I37" s="85"/>
      <c r="J37" s="85"/>
      <c r="K37" s="85"/>
      <c r="L37" s="85"/>
    </row>
    <row r="38" spans="1:12">
      <c r="A38" s="5" t="s">
        <v>306</v>
      </c>
      <c r="H38" s="85"/>
      <c r="I38" s="85"/>
      <c r="J38" s="85"/>
      <c r="K38" s="85"/>
      <c r="L38" s="85"/>
    </row>
    <row r="39" spans="1:12">
      <c r="B39" t="s">
        <v>307</v>
      </c>
      <c r="H39" s="142">
        <v>0</v>
      </c>
      <c r="I39" s="142">
        <v>0</v>
      </c>
      <c r="J39" s="142">
        <v>0</v>
      </c>
      <c r="K39" s="142">
        <v>12809</v>
      </c>
      <c r="L39" s="142">
        <v>0</v>
      </c>
    </row>
    <row r="40" spans="1:12">
      <c r="H40" s="85"/>
      <c r="I40" s="85"/>
      <c r="J40" s="85"/>
      <c r="K40" s="85"/>
      <c r="L40" s="85"/>
    </row>
    <row r="41" spans="1:12">
      <c r="D41" s="107" t="s">
        <v>308</v>
      </c>
      <c r="E41" s="109"/>
      <c r="F41" s="109"/>
      <c r="G41" s="109"/>
      <c r="H41" s="157">
        <v>0</v>
      </c>
      <c r="I41" s="157">
        <v>0</v>
      </c>
      <c r="J41" s="157">
        <v>0</v>
      </c>
      <c r="K41" s="157">
        <v>12809</v>
      </c>
      <c r="L41" s="157">
        <v>0</v>
      </c>
    </row>
    <row r="42" spans="1:12">
      <c r="H42" s="85"/>
      <c r="I42" s="85"/>
      <c r="J42" s="85"/>
      <c r="K42" s="85"/>
      <c r="L42" s="85"/>
    </row>
    <row r="43" spans="1:12">
      <c r="A43" s="3" t="s">
        <v>36</v>
      </c>
      <c r="H43" s="85"/>
      <c r="I43" s="85"/>
      <c r="J43" s="85"/>
      <c r="K43" s="85"/>
      <c r="L43" s="85"/>
    </row>
    <row r="44" spans="1:12">
      <c r="B44" t="s">
        <v>99</v>
      </c>
      <c r="H44" s="90">
        <v>84078829</v>
      </c>
      <c r="I44" s="85">
        <v>10031185</v>
      </c>
      <c r="J44" s="85">
        <f>SUM(H44:I44)</f>
        <v>94110014</v>
      </c>
      <c r="K44" s="85">
        <v>2066050</v>
      </c>
      <c r="L44" s="85">
        <v>3064555</v>
      </c>
    </row>
    <row r="45" spans="1:12">
      <c r="B45" t="s">
        <v>38</v>
      </c>
      <c r="H45" s="85"/>
      <c r="I45" s="85"/>
      <c r="J45" s="85"/>
      <c r="K45" s="85"/>
      <c r="L45" s="85"/>
    </row>
    <row r="46" spans="1:12">
      <c r="C46" t="s">
        <v>309</v>
      </c>
      <c r="H46" s="91">
        <v>1087400</v>
      </c>
      <c r="I46" s="85"/>
      <c r="J46" s="85">
        <f t="shared" ref="J46:J53" si="1">SUM(H46:I46)</f>
        <v>1087400</v>
      </c>
      <c r="K46" s="85"/>
      <c r="L46" s="85"/>
    </row>
    <row r="47" spans="1:12">
      <c r="C47" t="s">
        <v>243</v>
      </c>
      <c r="H47" s="91">
        <v>2465926</v>
      </c>
      <c r="I47" s="85"/>
      <c r="J47" s="85">
        <f t="shared" si="1"/>
        <v>2465926</v>
      </c>
      <c r="K47" s="85"/>
      <c r="L47" s="85"/>
    </row>
    <row r="48" spans="1:12">
      <c r="C48" t="s">
        <v>310</v>
      </c>
      <c r="H48" s="91">
        <v>2886771</v>
      </c>
      <c r="I48" s="85"/>
      <c r="J48" s="85">
        <f t="shared" si="1"/>
        <v>2886771</v>
      </c>
      <c r="K48" s="85"/>
      <c r="L48" s="85"/>
    </row>
    <row r="49" spans="2:12">
      <c r="C49" t="s">
        <v>311</v>
      </c>
      <c r="H49" s="91">
        <v>2522779</v>
      </c>
      <c r="I49" s="85"/>
      <c r="J49" s="85">
        <f t="shared" si="1"/>
        <v>2522779</v>
      </c>
      <c r="K49" s="85"/>
      <c r="L49" s="85"/>
    </row>
    <row r="50" spans="2:12">
      <c r="C50" t="s">
        <v>312</v>
      </c>
      <c r="H50" s="91">
        <v>704838</v>
      </c>
      <c r="I50" s="85"/>
      <c r="J50" s="85">
        <f t="shared" si="1"/>
        <v>704838</v>
      </c>
      <c r="K50" s="85"/>
      <c r="L50" s="85"/>
    </row>
    <row r="51" spans="2:12">
      <c r="C51" t="s">
        <v>39</v>
      </c>
      <c r="H51" s="91">
        <v>2368629</v>
      </c>
      <c r="I51" s="85"/>
      <c r="J51" s="85">
        <f t="shared" si="1"/>
        <v>2368629</v>
      </c>
      <c r="K51" s="85"/>
      <c r="L51" s="85">
        <v>604787</v>
      </c>
    </row>
    <row r="52" spans="2:12">
      <c r="C52" t="s">
        <v>182</v>
      </c>
      <c r="H52" s="91">
        <v>5259184</v>
      </c>
      <c r="I52" s="85">
        <v>545000</v>
      </c>
      <c r="J52" s="85">
        <f t="shared" si="1"/>
        <v>5804184</v>
      </c>
      <c r="K52" s="85"/>
      <c r="L52" s="85"/>
    </row>
    <row r="53" spans="2:12">
      <c r="B53" t="s">
        <v>42</v>
      </c>
      <c r="H53" s="98">
        <v>3593255</v>
      </c>
      <c r="I53" s="85">
        <v>2754666</v>
      </c>
      <c r="J53" s="85">
        <f t="shared" si="1"/>
        <v>6347921</v>
      </c>
      <c r="K53" s="85">
        <v>4189519</v>
      </c>
      <c r="L53" s="85">
        <v>1120318</v>
      </c>
    </row>
    <row r="54" spans="2:12">
      <c r="H54" s="83"/>
      <c r="I54" s="83"/>
      <c r="J54" s="83"/>
      <c r="K54" s="83"/>
      <c r="L54" s="83"/>
    </row>
    <row r="55" spans="2:12" s="3" customFormat="1">
      <c r="C55" s="10" t="s">
        <v>43</v>
      </c>
      <c r="D55" s="10"/>
      <c r="E55" s="10"/>
      <c r="F55" s="10"/>
      <c r="G55" s="10"/>
      <c r="H55" s="99">
        <f>SUM(H44:H53)</f>
        <v>104967611</v>
      </c>
      <c r="I55" s="99">
        <f>SUM(I44:I53)</f>
        <v>13330851</v>
      </c>
      <c r="J55" s="99">
        <f>SUM(J44:J53)</f>
        <v>118298462</v>
      </c>
      <c r="K55" s="99">
        <f>SUM(K44:K53)</f>
        <v>6255569</v>
      </c>
      <c r="L55" s="99">
        <f>SUM(L43:L53)</f>
        <v>4789660</v>
      </c>
    </row>
    <row r="56" spans="2:12">
      <c r="H56" s="85"/>
      <c r="I56" s="85"/>
      <c r="J56" s="85"/>
      <c r="K56" s="85"/>
      <c r="L56" s="85"/>
    </row>
    <row r="57" spans="2:12" s="3" customFormat="1">
      <c r="C57" s="11" t="s">
        <v>44</v>
      </c>
      <c r="D57" s="11"/>
      <c r="E57" s="11"/>
      <c r="F57" s="11"/>
      <c r="G57" s="11"/>
      <c r="H57" s="100">
        <f>SUM(H36+H55)</f>
        <v>126642200</v>
      </c>
      <c r="I57" s="100">
        <f>SUM(I36+I55)</f>
        <v>14730475</v>
      </c>
      <c r="J57" s="100">
        <f>SUM(J36+J55)</f>
        <v>141372675</v>
      </c>
      <c r="K57" s="100">
        <f>SUM(K36+K55)</f>
        <v>6842069</v>
      </c>
      <c r="L57" s="100">
        <f>SUM(L36+L55)</f>
        <v>8398102</v>
      </c>
    </row>
    <row r="58" spans="2:12">
      <c r="H58" s="85"/>
      <c r="I58" s="85"/>
      <c r="J58" s="85"/>
      <c r="K58" s="85"/>
      <c r="L58" s="85"/>
    </row>
  </sheetData>
  <mergeCells count="4">
    <mergeCell ref="D1:H1"/>
    <mergeCell ref="D2:H2"/>
    <mergeCell ref="H4:J4"/>
    <mergeCell ref="K4:L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1"/>
  <sheetViews>
    <sheetView workbookViewId="0">
      <selection activeCell="G17" sqref="G17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313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9622291</v>
      </c>
    </row>
    <row r="7" spans="1:7">
      <c r="B7" t="s">
        <v>46</v>
      </c>
      <c r="G7" s="80">
        <v>4755981</v>
      </c>
    </row>
    <row r="8" spans="1:7">
      <c r="B8" t="s">
        <v>168</v>
      </c>
      <c r="G8" s="81">
        <v>70256</v>
      </c>
    </row>
    <row r="9" spans="1:7">
      <c r="B9" t="s">
        <v>14</v>
      </c>
      <c r="G9" s="85"/>
    </row>
    <row r="10" spans="1:7">
      <c r="C10" t="s">
        <v>107</v>
      </c>
      <c r="G10" s="82">
        <v>1117140</v>
      </c>
    </row>
    <row r="11" spans="1:7">
      <c r="C11" t="s">
        <v>314</v>
      </c>
      <c r="G11" s="96">
        <v>15282488</v>
      </c>
    </row>
    <row r="12" spans="1:7">
      <c r="G12" s="85"/>
    </row>
    <row r="13" spans="1:7">
      <c r="A13" s="5"/>
      <c r="B13" s="6" t="s">
        <v>17</v>
      </c>
      <c r="C13" s="6"/>
      <c r="D13" s="6"/>
      <c r="E13" s="6"/>
      <c r="F13" s="6"/>
      <c r="G13" s="84">
        <f>SUM(G6:G11)</f>
        <v>30848156</v>
      </c>
    </row>
    <row r="14" spans="1:7">
      <c r="G14" s="85"/>
    </row>
    <row r="15" spans="1:7">
      <c r="A15" s="5" t="s">
        <v>20</v>
      </c>
      <c r="G15" s="85"/>
    </row>
    <row r="16" spans="1:7">
      <c r="A16" s="5"/>
      <c r="B16" t="s">
        <v>126</v>
      </c>
      <c r="G16" s="86">
        <v>342065</v>
      </c>
    </row>
    <row r="17" spans="1:7">
      <c r="B17" t="s">
        <v>315</v>
      </c>
      <c r="G17" s="81">
        <v>31249</v>
      </c>
    </row>
    <row r="18" spans="1:7">
      <c r="B18" t="s">
        <v>27</v>
      </c>
      <c r="G18" s="85"/>
    </row>
    <row r="19" spans="1:7">
      <c r="C19" t="s">
        <v>81</v>
      </c>
      <c r="G19" s="97">
        <v>139468</v>
      </c>
    </row>
    <row r="20" spans="1:7">
      <c r="C20" t="s">
        <v>82</v>
      </c>
      <c r="G20" s="79">
        <v>443412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SUM(G16:G20)</f>
        <v>956194</v>
      </c>
    </row>
    <row r="23" spans="1:7">
      <c r="G23" s="85"/>
    </row>
    <row r="24" spans="1:7">
      <c r="A24" s="3" t="s">
        <v>36</v>
      </c>
      <c r="G24" s="85"/>
    </row>
    <row r="25" spans="1:7">
      <c r="B25" t="s">
        <v>37</v>
      </c>
      <c r="G25" s="90">
        <v>16399628</v>
      </c>
    </row>
    <row r="26" spans="1:7">
      <c r="B26" t="s">
        <v>38</v>
      </c>
      <c r="G26" s="85"/>
    </row>
    <row r="27" spans="1:7">
      <c r="C27" t="s">
        <v>316</v>
      </c>
      <c r="G27" s="91">
        <v>4726132</v>
      </c>
    </row>
    <row r="28" spans="1:7">
      <c r="C28" t="s">
        <v>317</v>
      </c>
      <c r="G28" s="91">
        <v>1518466</v>
      </c>
    </row>
    <row r="29" spans="1:7">
      <c r="C29" t="s">
        <v>242</v>
      </c>
      <c r="G29" s="91">
        <v>3226859</v>
      </c>
    </row>
    <row r="30" spans="1:7">
      <c r="C30" t="s">
        <v>247</v>
      </c>
      <c r="G30" s="91">
        <v>152363</v>
      </c>
    </row>
    <row r="31" spans="1:7">
      <c r="C31" t="s">
        <v>318</v>
      </c>
      <c r="G31" s="91">
        <v>45549</v>
      </c>
    </row>
    <row r="32" spans="1:7">
      <c r="C32" t="s">
        <v>319</v>
      </c>
      <c r="G32" s="91">
        <v>547090</v>
      </c>
    </row>
    <row r="33" spans="1:7">
      <c r="C33" t="s">
        <v>320</v>
      </c>
      <c r="G33" s="91">
        <v>252644</v>
      </c>
    </row>
    <row r="34" spans="1:7">
      <c r="C34" t="s">
        <v>321</v>
      </c>
      <c r="G34" s="91">
        <v>19871</v>
      </c>
    </row>
    <row r="35" spans="1:7">
      <c r="C35" t="s">
        <v>322</v>
      </c>
      <c r="G35" s="91">
        <v>13023</v>
      </c>
    </row>
    <row r="36" spans="1:7">
      <c r="B36" t="s">
        <v>42</v>
      </c>
      <c r="G36" s="98">
        <v>2990337</v>
      </c>
    </row>
    <row r="37" spans="1:7">
      <c r="G37" s="83"/>
    </row>
    <row r="38" spans="1:7">
      <c r="A38" s="3"/>
      <c r="B38" s="10" t="s">
        <v>43</v>
      </c>
      <c r="C38" s="10"/>
      <c r="D38" s="10"/>
      <c r="E38" s="10"/>
      <c r="F38" s="10"/>
      <c r="G38" s="99">
        <f>SUM(G25:G36)</f>
        <v>29891962</v>
      </c>
    </row>
    <row r="39" spans="1:7">
      <c r="G39" s="85"/>
    </row>
    <row r="40" spans="1:7">
      <c r="A40" s="3"/>
      <c r="B40" s="11" t="s">
        <v>44</v>
      </c>
      <c r="C40" s="11"/>
      <c r="D40" s="11"/>
      <c r="E40" s="11"/>
      <c r="F40" s="11"/>
      <c r="G40" s="100">
        <f>SUM(G22+G38)</f>
        <v>30848156</v>
      </c>
    </row>
    <row r="41" spans="1:7">
      <c r="G41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9"/>
  <sheetViews>
    <sheetView workbookViewId="0">
      <selection activeCell="G49" sqref="G49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323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17705770</v>
      </c>
    </row>
    <row r="7" spans="1:7">
      <c r="B7" t="s">
        <v>8</v>
      </c>
      <c r="G7" s="86">
        <v>2101032</v>
      </c>
    </row>
    <row r="8" spans="1:7">
      <c r="B8" t="s">
        <v>46</v>
      </c>
      <c r="G8" s="80">
        <v>799744</v>
      </c>
    </row>
    <row r="9" spans="1:7">
      <c r="B9" t="s">
        <v>168</v>
      </c>
      <c r="G9" s="81">
        <v>68433</v>
      </c>
    </row>
    <row r="10" spans="1:7">
      <c r="B10" t="s">
        <v>324</v>
      </c>
      <c r="G10" s="79">
        <v>2695412</v>
      </c>
    </row>
    <row r="11" spans="1:7">
      <c r="B11" t="s">
        <v>202</v>
      </c>
      <c r="G11" s="96">
        <v>33564914</v>
      </c>
    </row>
    <row r="12" spans="1:7">
      <c r="G12" s="85"/>
    </row>
    <row r="13" spans="1:7">
      <c r="A13" s="5"/>
      <c r="B13" s="6" t="s">
        <v>17</v>
      </c>
      <c r="C13" s="6"/>
      <c r="D13" s="6"/>
      <c r="E13" s="6"/>
      <c r="F13" s="6"/>
      <c r="G13" s="84">
        <f>SUM(G6:G11)</f>
        <v>56935305</v>
      </c>
    </row>
    <row r="14" spans="1:7">
      <c r="G14" s="85"/>
    </row>
    <row r="15" spans="1:7">
      <c r="A15" s="5" t="s">
        <v>18</v>
      </c>
      <c r="G15" s="85"/>
    </row>
    <row r="16" spans="1:7">
      <c r="B16" t="s">
        <v>325</v>
      </c>
      <c r="G16" s="142">
        <v>84323</v>
      </c>
    </row>
    <row r="17" spans="1:7">
      <c r="G17" s="85"/>
    </row>
    <row r="18" spans="1:7">
      <c r="A18" s="5" t="s">
        <v>20</v>
      </c>
      <c r="G18" s="85"/>
    </row>
    <row r="19" spans="1:7">
      <c r="A19" s="5"/>
      <c r="B19" t="s">
        <v>126</v>
      </c>
      <c r="G19" s="86">
        <v>827133</v>
      </c>
    </row>
    <row r="20" spans="1:7">
      <c r="A20" s="5"/>
      <c r="B20" t="s">
        <v>75</v>
      </c>
      <c r="G20" s="86">
        <v>31096</v>
      </c>
    </row>
    <row r="21" spans="1:7">
      <c r="A21" s="5"/>
      <c r="B21" t="s">
        <v>279</v>
      </c>
      <c r="G21" s="101">
        <v>368500</v>
      </c>
    </row>
    <row r="22" spans="1:7">
      <c r="A22" s="5"/>
      <c r="B22" t="s">
        <v>98</v>
      </c>
      <c r="G22" s="81">
        <v>140</v>
      </c>
    </row>
    <row r="23" spans="1:7">
      <c r="A23" s="5"/>
      <c r="B23" t="s">
        <v>25</v>
      </c>
      <c r="G23" s="86">
        <v>301928</v>
      </c>
    </row>
    <row r="24" spans="1:7">
      <c r="A24" s="5"/>
      <c r="B24" t="s">
        <v>326</v>
      </c>
      <c r="G24" s="81">
        <v>1732554</v>
      </c>
    </row>
    <row r="25" spans="1:7">
      <c r="B25" t="s">
        <v>327</v>
      </c>
      <c r="G25" s="87">
        <v>1000000</v>
      </c>
    </row>
    <row r="26" spans="1:7">
      <c r="B26" t="s">
        <v>328</v>
      </c>
      <c r="G26" s="86">
        <v>112761</v>
      </c>
    </row>
    <row r="27" spans="1:7">
      <c r="B27" t="s">
        <v>272</v>
      </c>
      <c r="G27" s="86">
        <v>645690</v>
      </c>
    </row>
    <row r="28" spans="1:7">
      <c r="B28" t="s">
        <v>29</v>
      </c>
      <c r="G28" s="80">
        <v>15670000</v>
      </c>
    </row>
    <row r="29" spans="1:7">
      <c r="G29" s="83"/>
    </row>
    <row r="30" spans="1:7">
      <c r="C30" s="8" t="s">
        <v>33</v>
      </c>
      <c r="D30" s="9"/>
      <c r="E30" s="9"/>
      <c r="F30" s="9"/>
      <c r="G30" s="89">
        <f>SUM(G19:G28)</f>
        <v>20689802</v>
      </c>
    </row>
    <row r="31" spans="1:7">
      <c r="G31" s="85"/>
    </row>
    <row r="32" spans="1:7">
      <c r="A32" s="5" t="s">
        <v>34</v>
      </c>
      <c r="G32" s="85"/>
    </row>
    <row r="33" spans="1:7">
      <c r="B33" t="s">
        <v>134</v>
      </c>
      <c r="G33" s="142">
        <v>46979</v>
      </c>
    </row>
    <row r="34" spans="1:7">
      <c r="G34" s="85"/>
    </row>
    <row r="35" spans="1:7">
      <c r="A35" s="3" t="s">
        <v>36</v>
      </c>
      <c r="G35" s="85"/>
    </row>
    <row r="36" spans="1:7">
      <c r="B36" t="s">
        <v>37</v>
      </c>
      <c r="G36" s="90">
        <v>15843535</v>
      </c>
    </row>
    <row r="37" spans="1:7">
      <c r="B37" t="s">
        <v>38</v>
      </c>
      <c r="G37" s="85"/>
    </row>
    <row r="38" spans="1:7">
      <c r="C38" t="s">
        <v>58</v>
      </c>
      <c r="G38" s="91">
        <v>3901978</v>
      </c>
    </row>
    <row r="39" spans="1:7">
      <c r="C39" t="s">
        <v>59</v>
      </c>
      <c r="G39" s="91">
        <v>7087706</v>
      </c>
    </row>
    <row r="40" spans="1:7">
      <c r="C40" t="s">
        <v>129</v>
      </c>
      <c r="G40" s="91">
        <v>366708</v>
      </c>
    </row>
    <row r="41" spans="1:7">
      <c r="C41" t="s">
        <v>39</v>
      </c>
      <c r="G41" s="91">
        <v>2652177</v>
      </c>
    </row>
    <row r="42" spans="1:7">
      <c r="C42" t="s">
        <v>40</v>
      </c>
      <c r="G42" s="91">
        <v>2477</v>
      </c>
    </row>
    <row r="43" spans="1:7">
      <c r="C43" t="s">
        <v>57</v>
      </c>
      <c r="G43" s="91">
        <v>1251900</v>
      </c>
    </row>
    <row r="44" spans="1:7">
      <c r="B44" t="s">
        <v>42</v>
      </c>
      <c r="G44" s="98">
        <v>5176366</v>
      </c>
    </row>
    <row r="45" spans="1:7">
      <c r="G45" s="83"/>
    </row>
    <row r="46" spans="1:7">
      <c r="A46" s="3"/>
      <c r="B46" s="10" t="s">
        <v>43</v>
      </c>
      <c r="C46" s="10"/>
      <c r="D46" s="10"/>
      <c r="E46" s="10"/>
      <c r="F46" s="10"/>
      <c r="G46" s="99">
        <f>SUM(G36:G44)</f>
        <v>36282847</v>
      </c>
    </row>
    <row r="47" spans="1:7">
      <c r="G47" s="85"/>
    </row>
    <row r="48" spans="1:7">
      <c r="A48" s="3"/>
      <c r="B48" s="11" t="s">
        <v>44</v>
      </c>
      <c r="C48" s="11"/>
      <c r="D48" s="11"/>
      <c r="E48" s="11"/>
      <c r="F48" s="11"/>
      <c r="G48" s="100">
        <f>SUM(G30+G46+G33)</f>
        <v>57019628</v>
      </c>
    </row>
    <row r="49" spans="7:7">
      <c r="G49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95"/>
  <sheetViews>
    <sheetView topLeftCell="A45" workbookViewId="0">
      <selection activeCell="H96" sqref="H9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02" t="s">
        <v>329</v>
      </c>
      <c r="E1" s="202"/>
      <c r="F1" s="202"/>
      <c r="G1" s="202"/>
      <c r="H1" s="202"/>
      <c r="I1" s="102"/>
      <c r="J1" s="102"/>
    </row>
    <row r="2" spans="1:12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3" spans="1:12">
      <c r="G3" t="s">
        <v>330</v>
      </c>
    </row>
    <row r="5" spans="1:12" ht="15" customHeight="1">
      <c r="H5" s="206" t="s">
        <v>2</v>
      </c>
      <c r="I5" s="206"/>
      <c r="J5" s="206"/>
      <c r="K5" s="115"/>
    </row>
    <row r="6" spans="1:12" ht="29.1">
      <c r="H6" s="110" t="s">
        <v>3</v>
      </c>
      <c r="I6" s="110" t="s">
        <v>137</v>
      </c>
      <c r="J6" s="110" t="s">
        <v>64</v>
      </c>
      <c r="K6" s="94" t="s">
        <v>4</v>
      </c>
      <c r="L6" s="5"/>
    </row>
    <row r="7" spans="1:12">
      <c r="A7" s="3" t="s">
        <v>5</v>
      </c>
      <c r="D7" s="3"/>
      <c r="G7" s="4"/>
      <c r="H7" s="4"/>
      <c r="I7" s="4"/>
      <c r="J7" s="4"/>
    </row>
    <row r="8" spans="1:12">
      <c r="A8" s="3"/>
      <c r="B8" s="5" t="s">
        <v>6</v>
      </c>
      <c r="D8" s="3"/>
      <c r="G8" s="4"/>
      <c r="H8" s="78"/>
      <c r="I8" s="78"/>
      <c r="J8" s="78"/>
      <c r="K8" s="85"/>
    </row>
    <row r="9" spans="1:12">
      <c r="C9" t="s">
        <v>65</v>
      </c>
      <c r="H9" s="79">
        <v>18642000</v>
      </c>
      <c r="I9" s="85">
        <v>4829000</v>
      </c>
      <c r="J9" s="85">
        <f t="shared" ref="J9:J10" si="0">SUM(H9:I9)</f>
        <v>23471000</v>
      </c>
      <c r="K9" s="85">
        <v>26503000</v>
      </c>
    </row>
    <row r="10" spans="1:12">
      <c r="C10" t="s">
        <v>8</v>
      </c>
      <c r="H10" s="86">
        <v>75588000</v>
      </c>
      <c r="I10" s="85"/>
      <c r="J10" s="85">
        <f t="shared" si="0"/>
        <v>75588000</v>
      </c>
      <c r="K10" s="85">
        <v>87829000</v>
      </c>
    </row>
    <row r="11" spans="1:12">
      <c r="C11" t="s">
        <v>331</v>
      </c>
      <c r="H11" s="81">
        <v>470672000</v>
      </c>
      <c r="I11" s="85">
        <v>20780000</v>
      </c>
      <c r="J11" s="85">
        <f>SUM(H11:I11)</f>
        <v>491452000</v>
      </c>
      <c r="K11" s="85"/>
    </row>
    <row r="12" spans="1:12">
      <c r="C12" t="s">
        <v>332</v>
      </c>
      <c r="H12" s="85"/>
      <c r="I12" s="85"/>
      <c r="J12" s="85"/>
      <c r="K12" s="85"/>
    </row>
    <row r="13" spans="1:12">
      <c r="D13" t="s">
        <v>333</v>
      </c>
      <c r="H13" s="85"/>
      <c r="I13" s="85"/>
      <c r="J13" s="85"/>
      <c r="K13" s="85"/>
    </row>
    <row r="14" spans="1:12">
      <c r="D14" t="s">
        <v>334</v>
      </c>
      <c r="H14" s="80">
        <v>107000</v>
      </c>
      <c r="I14" s="85"/>
      <c r="J14" s="85">
        <f>SUM(H14:I14)</f>
        <v>107000</v>
      </c>
      <c r="K14" s="85">
        <v>298000</v>
      </c>
    </row>
    <row r="15" spans="1:12">
      <c r="D15" t="s">
        <v>335</v>
      </c>
      <c r="H15" s="80">
        <v>176257000</v>
      </c>
      <c r="I15" s="85">
        <v>9065000</v>
      </c>
      <c r="J15" s="85">
        <f>SUM(H15:I15)</f>
        <v>185322000</v>
      </c>
      <c r="K15" s="85"/>
    </row>
    <row r="16" spans="1:12">
      <c r="D16" t="s">
        <v>336</v>
      </c>
      <c r="H16" s="80">
        <v>5215000</v>
      </c>
      <c r="I16" s="85">
        <v>6071000</v>
      </c>
      <c r="J16" s="85">
        <f>SUM(H16:I16)</f>
        <v>11286000</v>
      </c>
      <c r="K16" s="85">
        <v>82451000</v>
      </c>
    </row>
    <row r="17" spans="2:11">
      <c r="D17" t="s">
        <v>337</v>
      </c>
      <c r="H17" s="85"/>
      <c r="I17" s="85"/>
      <c r="J17" s="85"/>
      <c r="K17" s="85">
        <v>6587000</v>
      </c>
    </row>
    <row r="18" spans="2:11">
      <c r="D18" t="s">
        <v>338</v>
      </c>
      <c r="H18" s="85"/>
      <c r="I18" s="85"/>
      <c r="J18" s="85"/>
      <c r="K18" s="85"/>
    </row>
    <row r="19" spans="2:11">
      <c r="D19" t="s">
        <v>339</v>
      </c>
      <c r="H19" s="80">
        <v>65745000</v>
      </c>
      <c r="I19" s="85">
        <v>28000</v>
      </c>
      <c r="J19" s="85">
        <f>SUM(H19:I19)</f>
        <v>65773000</v>
      </c>
      <c r="K19" s="85">
        <v>1578000</v>
      </c>
    </row>
    <row r="20" spans="2:11">
      <c r="D20" t="s">
        <v>182</v>
      </c>
      <c r="H20" s="85"/>
      <c r="I20" s="85"/>
      <c r="J20" s="85"/>
      <c r="K20" s="85">
        <v>10645000</v>
      </c>
    </row>
    <row r="21" spans="2:11">
      <c r="C21" t="s">
        <v>151</v>
      </c>
      <c r="H21" s="81">
        <v>3077000</v>
      </c>
      <c r="I21" s="85">
        <v>8250000</v>
      </c>
      <c r="J21" s="85">
        <f>SUM(H21:I21)</f>
        <v>11327000</v>
      </c>
      <c r="K21" s="85">
        <v>15636000</v>
      </c>
    </row>
    <row r="22" spans="2:11">
      <c r="C22" t="s">
        <v>168</v>
      </c>
      <c r="H22" s="85"/>
      <c r="I22" s="85"/>
      <c r="J22" s="85"/>
      <c r="K22" s="85">
        <v>19270000</v>
      </c>
    </row>
    <row r="23" spans="2:11">
      <c r="C23" t="s">
        <v>169</v>
      </c>
      <c r="H23" s="85"/>
      <c r="I23" s="85"/>
      <c r="J23" s="85"/>
      <c r="K23" s="85"/>
    </row>
    <row r="24" spans="2:11">
      <c r="D24" t="s">
        <v>65</v>
      </c>
      <c r="H24" s="85"/>
      <c r="I24" s="85">
        <v>82000</v>
      </c>
      <c r="J24" s="85">
        <f>SUM(I24)</f>
        <v>82000</v>
      </c>
      <c r="K24" s="85"/>
    </row>
    <row r="25" spans="2:11">
      <c r="D25" t="s">
        <v>8</v>
      </c>
      <c r="H25" s="85"/>
      <c r="I25" s="85">
        <v>15681000</v>
      </c>
      <c r="J25" s="85">
        <f>SUM(H25:I25)</f>
        <v>15681000</v>
      </c>
      <c r="K25" s="85">
        <v>247889000</v>
      </c>
    </row>
    <row r="26" spans="2:11">
      <c r="D26" t="s">
        <v>331</v>
      </c>
      <c r="H26" s="85"/>
      <c r="I26" s="85">
        <v>44315000</v>
      </c>
      <c r="J26" s="85">
        <f>SUM(H26:I26)</f>
        <v>44315000</v>
      </c>
      <c r="K26" s="85"/>
    </row>
    <row r="27" spans="2:11">
      <c r="D27" t="s">
        <v>46</v>
      </c>
      <c r="H27" s="85"/>
      <c r="I27" s="85">
        <v>5227000</v>
      </c>
      <c r="J27" s="85">
        <f>SUM(H27:I27)</f>
        <v>5227000</v>
      </c>
      <c r="K27" s="85"/>
    </row>
    <row r="28" spans="2:11">
      <c r="H28" s="83"/>
      <c r="I28" s="83"/>
      <c r="J28" s="83"/>
      <c r="K28" s="83"/>
    </row>
    <row r="29" spans="2:11" s="5" customFormat="1">
      <c r="C29" s="107" t="s">
        <v>105</v>
      </c>
      <c r="D29" s="107"/>
      <c r="E29" s="107"/>
      <c r="F29" s="107"/>
      <c r="G29" s="107"/>
      <c r="H29" s="108">
        <f>SUM(H9:H27)</f>
        <v>815303000</v>
      </c>
      <c r="I29" s="108">
        <f>SUM(I9:I27)</f>
        <v>114328000</v>
      </c>
      <c r="J29" s="108">
        <f>SUM(J9:J27)</f>
        <v>929631000</v>
      </c>
      <c r="K29" s="108">
        <f>SUM(K9:K27)</f>
        <v>498686000</v>
      </c>
    </row>
    <row r="30" spans="2:11">
      <c r="H30" s="85"/>
      <c r="I30" s="85"/>
      <c r="J30" s="85"/>
      <c r="K30" s="85"/>
    </row>
    <row r="31" spans="2:11" s="5" customFormat="1">
      <c r="B31" s="5" t="s">
        <v>340</v>
      </c>
      <c r="H31" s="105"/>
      <c r="I31" s="105"/>
      <c r="J31" s="105"/>
      <c r="K31" s="105"/>
    </row>
    <row r="32" spans="2:11">
      <c r="C32" t="s">
        <v>169</v>
      </c>
      <c r="H32" s="85"/>
      <c r="I32" s="85"/>
      <c r="J32" s="85"/>
      <c r="K32" s="85"/>
    </row>
    <row r="33" spans="1:11">
      <c r="D33" t="s">
        <v>341</v>
      </c>
      <c r="H33" s="81">
        <v>7938000</v>
      </c>
      <c r="I33" s="85"/>
      <c r="J33" s="85">
        <f>SUM(H33:I33)</f>
        <v>7938000</v>
      </c>
      <c r="K33" s="85">
        <v>28679000</v>
      </c>
    </row>
    <row r="34" spans="1:11">
      <c r="C34" t="s">
        <v>342</v>
      </c>
      <c r="H34" s="85"/>
      <c r="I34" s="85"/>
      <c r="J34" s="85"/>
      <c r="K34" s="85">
        <v>70850000</v>
      </c>
    </row>
    <row r="35" spans="1:11">
      <c r="C35" t="s">
        <v>239</v>
      </c>
      <c r="H35" s="82">
        <v>243181000</v>
      </c>
      <c r="I35" s="85">
        <v>16703000</v>
      </c>
      <c r="J35" s="85">
        <f>SUM(H35:I35)</f>
        <v>259884000</v>
      </c>
      <c r="K35" s="85"/>
    </row>
    <row r="36" spans="1:11">
      <c r="C36" t="s">
        <v>343</v>
      </c>
      <c r="H36" s="82">
        <v>930821000</v>
      </c>
      <c r="I36" s="85">
        <v>529954000</v>
      </c>
      <c r="J36" s="85">
        <f>SUM(H36:I36)</f>
        <v>1460775000</v>
      </c>
      <c r="K36" s="85">
        <v>378862000</v>
      </c>
    </row>
    <row r="37" spans="1:11">
      <c r="H37" s="83"/>
      <c r="I37" s="83"/>
      <c r="J37" s="83"/>
      <c r="K37" s="83"/>
    </row>
    <row r="38" spans="1:11" s="5" customFormat="1">
      <c r="C38" s="107" t="s">
        <v>344</v>
      </c>
      <c r="D38" s="107"/>
      <c r="E38" s="107"/>
      <c r="F38" s="107"/>
      <c r="G38" s="107"/>
      <c r="H38" s="108">
        <f>SUM(H31:H36)</f>
        <v>1181940000</v>
      </c>
      <c r="I38" s="108">
        <f>SUM(I31:I36)</f>
        <v>546657000</v>
      </c>
      <c r="J38" s="108">
        <f t="shared" ref="J38:K38" si="1">SUM(J31:J36)</f>
        <v>1728597000</v>
      </c>
      <c r="K38" s="108">
        <f t="shared" si="1"/>
        <v>478391000</v>
      </c>
    </row>
    <row r="39" spans="1:11">
      <c r="H39" s="85"/>
      <c r="I39" s="85"/>
      <c r="J39" s="85"/>
      <c r="K39" s="85"/>
    </row>
    <row r="40" spans="1:11" s="5" customFormat="1">
      <c r="C40" s="6" t="s">
        <v>17</v>
      </c>
      <c r="D40" s="6"/>
      <c r="E40" s="6"/>
      <c r="F40" s="6"/>
      <c r="G40" s="6"/>
      <c r="H40" s="84">
        <f>SUM(H38+H29)</f>
        <v>1997243000</v>
      </c>
      <c r="I40" s="84">
        <f>SUM(I38+I29)</f>
        <v>660985000</v>
      </c>
      <c r="J40" s="84">
        <f>SUM(J29+J38)</f>
        <v>2658228000</v>
      </c>
      <c r="K40" s="84">
        <f>SUM(K29+K38)</f>
        <v>977077000</v>
      </c>
    </row>
    <row r="41" spans="1:11">
      <c r="H41" s="85"/>
      <c r="I41" s="85"/>
      <c r="J41" s="85"/>
      <c r="K41" s="85"/>
    </row>
    <row r="42" spans="1:11" s="5" customFormat="1">
      <c r="B42" s="5" t="s">
        <v>345</v>
      </c>
      <c r="H42" s="105"/>
      <c r="I42" s="105"/>
      <c r="J42" s="105"/>
      <c r="K42" s="105"/>
    </row>
    <row r="43" spans="1:11">
      <c r="C43" t="s">
        <v>346</v>
      </c>
      <c r="H43" s="85">
        <v>7537000</v>
      </c>
      <c r="I43" s="85"/>
      <c r="J43" s="85">
        <f>SUM(H43:I43)</f>
        <v>7537000</v>
      </c>
      <c r="K43" s="85"/>
    </row>
    <row r="44" spans="1:11">
      <c r="H44" s="83"/>
      <c r="I44" s="83"/>
      <c r="J44" s="83"/>
      <c r="K44" s="83"/>
    </row>
    <row r="45" spans="1:11" s="5" customFormat="1">
      <c r="C45" s="107" t="s">
        <v>347</v>
      </c>
      <c r="D45" s="107"/>
      <c r="E45" s="107"/>
      <c r="F45" s="107"/>
      <c r="G45" s="107"/>
      <c r="H45" s="108">
        <f>H43</f>
        <v>7537000</v>
      </c>
      <c r="I45" s="108">
        <f t="shared" ref="I45:K45" si="2">I43</f>
        <v>0</v>
      </c>
      <c r="J45" s="108">
        <f t="shared" si="2"/>
        <v>7537000</v>
      </c>
      <c r="K45" s="108">
        <f t="shared" si="2"/>
        <v>0</v>
      </c>
    </row>
    <row r="46" spans="1:11">
      <c r="H46" s="85"/>
      <c r="I46" s="85"/>
      <c r="J46" s="85"/>
      <c r="K46" s="85"/>
    </row>
    <row r="47" spans="1:11">
      <c r="A47" s="5" t="s">
        <v>20</v>
      </c>
      <c r="H47" s="85"/>
      <c r="I47" s="85"/>
      <c r="J47" s="85"/>
      <c r="K47" s="85"/>
    </row>
    <row r="48" spans="1:11">
      <c r="B48" s="5" t="s">
        <v>142</v>
      </c>
      <c r="C48" s="5"/>
      <c r="D48" s="5"/>
      <c r="E48" s="5"/>
      <c r="H48" s="85"/>
      <c r="I48" s="85"/>
      <c r="J48" s="85"/>
      <c r="K48" s="85"/>
    </row>
    <row r="49" spans="1:11">
      <c r="A49" s="5"/>
      <c r="C49" t="s">
        <v>348</v>
      </c>
      <c r="H49" s="86">
        <v>37457000</v>
      </c>
      <c r="I49" s="85">
        <v>186000</v>
      </c>
      <c r="J49" s="85">
        <f t="shared" ref="J49:J57" si="3">SUM(H49:I49)</f>
        <v>37643000</v>
      </c>
      <c r="K49" s="85">
        <v>28756000</v>
      </c>
    </row>
    <row r="50" spans="1:11">
      <c r="C50" t="s">
        <v>349</v>
      </c>
      <c r="H50" s="86">
        <v>5615000</v>
      </c>
      <c r="I50" s="85"/>
      <c r="J50" s="85">
        <f t="shared" si="3"/>
        <v>5615000</v>
      </c>
      <c r="K50" s="85"/>
    </row>
    <row r="51" spans="1:11">
      <c r="C51" t="s">
        <v>173</v>
      </c>
      <c r="H51" s="86">
        <v>2189000</v>
      </c>
      <c r="I51" s="85"/>
      <c r="J51" s="85">
        <f t="shared" si="3"/>
        <v>2189000</v>
      </c>
      <c r="K51" s="85"/>
    </row>
    <row r="52" spans="1:11">
      <c r="C52" t="s">
        <v>350</v>
      </c>
      <c r="H52" s="97">
        <v>31102000</v>
      </c>
      <c r="I52" s="85">
        <v>66000</v>
      </c>
      <c r="J52" s="85">
        <f t="shared" si="3"/>
        <v>31168000</v>
      </c>
      <c r="K52" s="85">
        <v>8729000</v>
      </c>
    </row>
    <row r="53" spans="1:11">
      <c r="C53" t="s">
        <v>293</v>
      </c>
      <c r="H53" s="81">
        <v>81000</v>
      </c>
      <c r="I53" s="85"/>
      <c r="J53" s="85">
        <f t="shared" si="3"/>
        <v>81000</v>
      </c>
      <c r="K53" s="85"/>
    </row>
    <row r="54" spans="1:11">
      <c r="C54" t="s">
        <v>351</v>
      </c>
      <c r="H54" s="86">
        <v>5241000</v>
      </c>
      <c r="I54" s="85"/>
      <c r="J54" s="85">
        <f t="shared" si="3"/>
        <v>5241000</v>
      </c>
      <c r="K54" s="85"/>
    </row>
    <row r="55" spans="1:11">
      <c r="C55" t="s">
        <v>25</v>
      </c>
      <c r="H55" s="86">
        <v>1519000</v>
      </c>
      <c r="I55" s="85"/>
      <c r="J55" s="85">
        <f>SUM(H55:I55)</f>
        <v>1519000</v>
      </c>
      <c r="K55" s="85">
        <v>1980000</v>
      </c>
    </row>
    <row r="56" spans="1:11">
      <c r="C56" t="s">
        <v>352</v>
      </c>
      <c r="H56" s="86">
        <v>4036000</v>
      </c>
      <c r="I56" s="85">
        <v>4211000</v>
      </c>
      <c r="J56" s="85">
        <f t="shared" si="3"/>
        <v>8247000</v>
      </c>
      <c r="K56" s="85">
        <v>46532000</v>
      </c>
    </row>
    <row r="57" spans="1:11">
      <c r="C57" t="s">
        <v>24</v>
      </c>
      <c r="H57" s="81">
        <v>180070000</v>
      </c>
      <c r="I57" s="85">
        <v>9074000</v>
      </c>
      <c r="J57" s="85">
        <f t="shared" si="3"/>
        <v>189144000</v>
      </c>
      <c r="K57" s="85"/>
    </row>
    <row r="58" spans="1:11">
      <c r="C58" t="s">
        <v>144</v>
      </c>
      <c r="H58" s="85"/>
      <c r="I58" s="85"/>
      <c r="J58" s="85"/>
      <c r="K58" s="85"/>
    </row>
    <row r="59" spans="1:11">
      <c r="D59" t="s">
        <v>21</v>
      </c>
      <c r="H59" s="85"/>
      <c r="I59" s="85">
        <v>2860000</v>
      </c>
      <c r="J59" s="85">
        <f t="shared" ref="J59:J63" si="4">SUM(H59:I59)</f>
        <v>2860000</v>
      </c>
      <c r="K59" s="85"/>
    </row>
    <row r="60" spans="1:11">
      <c r="D60" t="s">
        <v>353</v>
      </c>
      <c r="H60" s="85"/>
      <c r="I60" s="85">
        <v>305000</v>
      </c>
      <c r="J60" s="85">
        <f t="shared" si="4"/>
        <v>305000</v>
      </c>
      <c r="K60" s="85"/>
    </row>
    <row r="61" spans="1:11">
      <c r="D61" t="s">
        <v>25</v>
      </c>
      <c r="H61" s="85"/>
      <c r="I61" s="85"/>
      <c r="J61" s="85">
        <f t="shared" si="4"/>
        <v>0</v>
      </c>
      <c r="K61" s="85">
        <v>8706000</v>
      </c>
    </row>
    <row r="62" spans="1:11">
      <c r="D62" t="s">
        <v>303</v>
      </c>
      <c r="H62" s="85"/>
      <c r="I62" s="85"/>
      <c r="J62" s="85">
        <f t="shared" si="4"/>
        <v>0</v>
      </c>
      <c r="K62" s="85"/>
    </row>
    <row r="63" spans="1:11">
      <c r="D63" t="s">
        <v>24</v>
      </c>
      <c r="H63" s="85"/>
      <c r="I63" s="85">
        <v>2525000</v>
      </c>
      <c r="J63" s="85">
        <f t="shared" si="4"/>
        <v>2525000</v>
      </c>
      <c r="K63" s="85"/>
    </row>
    <row r="64" spans="1:11">
      <c r="H64" s="83"/>
      <c r="I64" s="83"/>
      <c r="J64" s="83"/>
      <c r="K64" s="83"/>
    </row>
    <row r="65" spans="1:11">
      <c r="D65" s="107" t="s">
        <v>114</v>
      </c>
      <c r="E65" s="109"/>
      <c r="F65" s="109"/>
      <c r="G65" s="109"/>
      <c r="H65" s="108">
        <f>SUM(H49:H63)</f>
        <v>267310000</v>
      </c>
      <c r="I65" s="108">
        <f>SUM(I49:I63)</f>
        <v>19227000</v>
      </c>
      <c r="J65" s="108">
        <f>SUM(J49:J63)</f>
        <v>286537000</v>
      </c>
      <c r="K65" s="108">
        <f>SUM(K49:K63)</f>
        <v>94703000</v>
      </c>
    </row>
    <row r="66" spans="1:11">
      <c r="H66" s="85"/>
      <c r="I66" s="85"/>
      <c r="J66" s="85"/>
      <c r="K66" s="85"/>
    </row>
    <row r="67" spans="1:11">
      <c r="B67" t="s">
        <v>145</v>
      </c>
      <c r="H67" s="85"/>
      <c r="I67" s="85"/>
      <c r="J67" s="85"/>
      <c r="K67" s="85"/>
    </row>
    <row r="68" spans="1:11">
      <c r="C68" t="s">
        <v>354</v>
      </c>
      <c r="H68" s="85"/>
      <c r="I68" s="85">
        <v>8827000</v>
      </c>
      <c r="J68" s="85">
        <f>SUM(H68:I68)</f>
        <v>8827000</v>
      </c>
      <c r="K68" s="85"/>
    </row>
    <row r="69" spans="1:11">
      <c r="C69" t="s">
        <v>82</v>
      </c>
      <c r="H69" s="79">
        <v>463060000</v>
      </c>
      <c r="I69" s="85">
        <v>4723000</v>
      </c>
      <c r="J69" s="85">
        <f>SUM(H69:I69)</f>
        <v>467783000</v>
      </c>
      <c r="K69" s="85">
        <v>404975000</v>
      </c>
    </row>
    <row r="70" spans="1:11">
      <c r="H70" s="83"/>
      <c r="I70" s="83"/>
      <c r="J70" s="83"/>
      <c r="K70" s="83"/>
    </row>
    <row r="71" spans="1:11">
      <c r="D71" s="107" t="s">
        <v>146</v>
      </c>
      <c r="E71" s="109"/>
      <c r="F71" s="109"/>
      <c r="G71" s="109"/>
      <c r="H71" s="108">
        <f>SUM(H67:H69)</f>
        <v>463060000</v>
      </c>
      <c r="I71" s="108">
        <f>SUM(I67:I69)</f>
        <v>13550000</v>
      </c>
      <c r="J71" s="108">
        <f>SUM(J67:J69)</f>
        <v>476610000</v>
      </c>
      <c r="K71" s="108">
        <f>SUM(K67:K69)</f>
        <v>404975000</v>
      </c>
    </row>
    <row r="72" spans="1:11">
      <c r="H72" s="85"/>
      <c r="I72" s="85"/>
      <c r="J72" s="85"/>
      <c r="K72" s="85"/>
    </row>
    <row r="73" spans="1:11">
      <c r="D73" s="8" t="s">
        <v>33</v>
      </c>
      <c r="E73" s="9"/>
      <c r="F73" s="9"/>
      <c r="G73" s="9"/>
      <c r="H73" s="89">
        <f>SUM(H65+H71)</f>
        <v>730370000</v>
      </c>
      <c r="I73" s="89">
        <f>SUM(I71+I65)</f>
        <v>32777000</v>
      </c>
      <c r="J73" s="89">
        <f>SUM(J71+J65)</f>
        <v>763147000</v>
      </c>
      <c r="K73" s="89">
        <f>SUM(K65+K71)</f>
        <v>499678000</v>
      </c>
    </row>
    <row r="74" spans="1:11">
      <c r="H74" s="85"/>
      <c r="I74" s="85"/>
      <c r="J74" s="85"/>
      <c r="K74" s="85"/>
    </row>
    <row r="75" spans="1:11">
      <c r="A75" s="3" t="s">
        <v>36</v>
      </c>
      <c r="H75" s="85"/>
      <c r="I75" s="85"/>
      <c r="J75" s="85"/>
      <c r="K75" s="85"/>
    </row>
    <row r="76" spans="1:11">
      <c r="B76" t="s">
        <v>99</v>
      </c>
      <c r="H76" s="90">
        <v>800435000</v>
      </c>
      <c r="I76" s="85">
        <v>546657000</v>
      </c>
      <c r="J76" s="85">
        <f>SUM(H76:I76)</f>
        <v>1347092000</v>
      </c>
      <c r="K76" s="85">
        <v>89244000</v>
      </c>
    </row>
    <row r="77" spans="1:11">
      <c r="B77" t="s">
        <v>38</v>
      </c>
      <c r="H77" s="85"/>
      <c r="I77" s="85"/>
      <c r="J77" s="85"/>
      <c r="K77" s="85"/>
    </row>
    <row r="78" spans="1:11">
      <c r="C78" t="s">
        <v>355</v>
      </c>
      <c r="H78" s="91">
        <v>1681000</v>
      </c>
      <c r="I78" s="85"/>
      <c r="J78" s="85">
        <f>SUM(H78:I78)</f>
        <v>1681000</v>
      </c>
      <c r="K78" s="85"/>
    </row>
    <row r="79" spans="1:11">
      <c r="C79" t="s">
        <v>197</v>
      </c>
      <c r="H79" s="91">
        <v>33000</v>
      </c>
      <c r="I79" s="85"/>
      <c r="J79" s="85">
        <f>SUM(H79:I79)</f>
        <v>33000</v>
      </c>
      <c r="K79" s="85"/>
    </row>
    <row r="80" spans="1:11">
      <c r="C80" t="s">
        <v>147</v>
      </c>
      <c r="H80" s="91">
        <v>30618000</v>
      </c>
      <c r="I80" s="85"/>
      <c r="J80" s="85">
        <f>SUM(H80:I80)</f>
        <v>30618000</v>
      </c>
      <c r="K80" s="85"/>
    </row>
    <row r="81" spans="2:11">
      <c r="C81" t="s">
        <v>59</v>
      </c>
      <c r="H81" s="91">
        <v>34836000</v>
      </c>
      <c r="I81" s="85"/>
      <c r="J81" s="85">
        <f t="shared" ref="J81:J86" si="5">SUM(H81)</f>
        <v>34836000</v>
      </c>
      <c r="K81" s="85"/>
    </row>
    <row r="82" spans="2:11">
      <c r="C82" t="s">
        <v>356</v>
      </c>
      <c r="H82" s="91">
        <v>20674000</v>
      </c>
      <c r="I82" s="85"/>
      <c r="J82" s="85">
        <f t="shared" si="5"/>
        <v>20674000</v>
      </c>
      <c r="K82" s="85"/>
    </row>
    <row r="83" spans="2:11">
      <c r="C83" t="s">
        <v>129</v>
      </c>
      <c r="H83" s="91">
        <v>6280000</v>
      </c>
      <c r="I83" s="85"/>
      <c r="J83" s="85">
        <f t="shared" si="5"/>
        <v>6280000</v>
      </c>
      <c r="K83" s="85"/>
    </row>
    <row r="84" spans="2:11">
      <c r="C84" t="s">
        <v>130</v>
      </c>
      <c r="H84" s="91">
        <v>38765000</v>
      </c>
      <c r="I84" s="85"/>
      <c r="J84" s="85">
        <f t="shared" si="5"/>
        <v>38765000</v>
      </c>
      <c r="K84" s="85"/>
    </row>
    <row r="85" spans="2:11">
      <c r="C85" t="s">
        <v>60</v>
      </c>
      <c r="H85" s="91">
        <v>3693000</v>
      </c>
      <c r="I85" s="85"/>
      <c r="J85" s="85">
        <f t="shared" si="5"/>
        <v>3693000</v>
      </c>
      <c r="K85" s="85"/>
    </row>
    <row r="86" spans="2:11">
      <c r="C86" t="s">
        <v>357</v>
      </c>
      <c r="H86" s="91">
        <v>285000</v>
      </c>
      <c r="I86" s="85"/>
      <c r="J86" s="85">
        <f t="shared" si="5"/>
        <v>285000</v>
      </c>
      <c r="K86" s="85">
        <v>11655000</v>
      </c>
    </row>
    <row r="87" spans="2:11">
      <c r="C87" t="s">
        <v>284</v>
      </c>
      <c r="H87" s="91">
        <v>240214000</v>
      </c>
      <c r="I87" s="85">
        <v>45280000</v>
      </c>
      <c r="J87" s="85">
        <f>SUM(H87:I87)</f>
        <v>285494000</v>
      </c>
      <c r="K87" s="85"/>
    </row>
    <row r="88" spans="2:11">
      <c r="C88" t="s">
        <v>39</v>
      </c>
      <c r="H88" s="85"/>
      <c r="I88" s="85">
        <v>38000</v>
      </c>
      <c r="J88" s="85">
        <f>SUM(H88:I88)</f>
        <v>38000</v>
      </c>
      <c r="K88" s="85">
        <v>104830000</v>
      </c>
    </row>
    <row r="89" spans="2:11">
      <c r="C89" t="s">
        <v>349</v>
      </c>
      <c r="H89" s="91">
        <v>3599000</v>
      </c>
      <c r="I89" s="85"/>
      <c r="J89" s="85">
        <f>SUM(H89:I89)</f>
        <v>3599000</v>
      </c>
      <c r="K89" s="85"/>
    </row>
    <row r="90" spans="2:11">
      <c r="B90" t="s">
        <v>42</v>
      </c>
      <c r="H90" s="98">
        <v>93297000</v>
      </c>
      <c r="I90" s="85">
        <v>36233000</v>
      </c>
      <c r="J90" s="85">
        <f>SUM(H90:I90)</f>
        <v>129530000</v>
      </c>
      <c r="K90" s="85">
        <v>271670000</v>
      </c>
    </row>
    <row r="91" spans="2:11">
      <c r="H91" s="83"/>
      <c r="I91" s="83"/>
      <c r="J91" s="83"/>
      <c r="K91" s="83"/>
    </row>
    <row r="92" spans="2:11" s="3" customFormat="1">
      <c r="C92" s="10" t="s">
        <v>43</v>
      </c>
      <c r="D92" s="10"/>
      <c r="E92" s="10"/>
      <c r="F92" s="10"/>
      <c r="G92" s="10"/>
      <c r="H92" s="99">
        <f>SUM(H76:H90)</f>
        <v>1274410000</v>
      </c>
      <c r="I92" s="99">
        <f>SUM(I76:I90)</f>
        <v>628208000</v>
      </c>
      <c r="J92" s="99">
        <f>SUM(J76:J90)</f>
        <v>1902618000</v>
      </c>
      <c r="K92" s="99">
        <f>SUM(K75:K90)</f>
        <v>477399000</v>
      </c>
    </row>
    <row r="93" spans="2:11">
      <c r="H93" s="85"/>
      <c r="I93" s="85"/>
      <c r="J93" s="85"/>
      <c r="K93" s="85"/>
    </row>
    <row r="94" spans="2:11" s="3" customFormat="1">
      <c r="C94" s="11" t="s">
        <v>44</v>
      </c>
      <c r="D94" s="11"/>
      <c r="E94" s="11"/>
      <c r="F94" s="11"/>
      <c r="G94" s="11"/>
      <c r="H94" s="100">
        <f>SUM(H73+H92)</f>
        <v>2004780000</v>
      </c>
      <c r="I94" s="100">
        <f>SUM(I73+I92)</f>
        <v>660985000</v>
      </c>
      <c r="J94" s="100">
        <f>SUM(J73+J92)</f>
        <v>2665765000</v>
      </c>
      <c r="K94" s="100">
        <f>SUM(K73+K92)</f>
        <v>977077000</v>
      </c>
    </row>
    <row r="95" spans="2:11">
      <c r="H95" s="85"/>
      <c r="I95" s="85"/>
      <c r="J95" s="85"/>
      <c r="K95" s="85"/>
    </row>
  </sheetData>
  <mergeCells count="3">
    <mergeCell ref="D1:H1"/>
    <mergeCell ref="D2:H2"/>
    <mergeCell ref="H5:J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1"/>
  <sheetViews>
    <sheetView workbookViewId="0">
      <selection activeCell="G27" sqref="G27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358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2504699</v>
      </c>
    </row>
    <row r="7" spans="1:7">
      <c r="B7" t="s">
        <v>46</v>
      </c>
      <c r="G7" s="80">
        <v>3366905</v>
      </c>
    </row>
    <row r="8" spans="1:7">
      <c r="B8" t="s">
        <v>359</v>
      </c>
      <c r="G8" s="81">
        <v>7476</v>
      </c>
    </row>
    <row r="9" spans="1:7">
      <c r="B9" t="s">
        <v>202</v>
      </c>
      <c r="G9" s="96">
        <v>5846162</v>
      </c>
    </row>
    <row r="10" spans="1:7">
      <c r="G10" s="85"/>
    </row>
    <row r="11" spans="1:7">
      <c r="A11" s="5"/>
      <c r="B11" s="6" t="s">
        <v>17</v>
      </c>
      <c r="C11" s="6"/>
      <c r="D11" s="6"/>
      <c r="E11" s="6"/>
      <c r="F11" s="6"/>
      <c r="G11" s="84">
        <f>SUM(G6:G9)</f>
        <v>11725242</v>
      </c>
    </row>
    <row r="12" spans="1:7">
      <c r="G12" s="85"/>
    </row>
    <row r="13" spans="1:7">
      <c r="A13" s="5" t="s">
        <v>20</v>
      </c>
      <c r="G13" s="85"/>
    </row>
    <row r="14" spans="1:7">
      <c r="A14" s="5"/>
      <c r="B14" t="s">
        <v>259</v>
      </c>
      <c r="G14" s="81">
        <v>216358</v>
      </c>
    </row>
    <row r="15" spans="1:7">
      <c r="A15" s="5"/>
      <c r="B15" t="s">
        <v>21</v>
      </c>
      <c r="G15" s="86">
        <v>275032</v>
      </c>
    </row>
    <row r="16" spans="1:7">
      <c r="A16" s="5"/>
      <c r="B16" t="s">
        <v>360</v>
      </c>
      <c r="G16" s="86">
        <v>37855</v>
      </c>
    </row>
    <row r="17" spans="1:7">
      <c r="A17" s="5"/>
      <c r="B17" t="s">
        <v>361</v>
      </c>
      <c r="G17" s="81">
        <v>69188</v>
      </c>
    </row>
    <row r="18" spans="1:7">
      <c r="A18" s="5"/>
      <c r="B18" t="s">
        <v>362</v>
      </c>
      <c r="G18" s="85"/>
    </row>
    <row r="19" spans="1:7">
      <c r="A19" s="5"/>
      <c r="C19" t="s">
        <v>81</v>
      </c>
      <c r="G19" s="97">
        <v>221535</v>
      </c>
    </row>
    <row r="20" spans="1:7">
      <c r="C20" t="s">
        <v>82</v>
      </c>
      <c r="G20" s="79">
        <v>125749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SUM(G14:G20)</f>
        <v>945717</v>
      </c>
    </row>
    <row r="23" spans="1:7">
      <c r="G23" s="85"/>
    </row>
    <row r="24" spans="1:7">
      <c r="A24" s="3" t="s">
        <v>36</v>
      </c>
      <c r="G24" s="85"/>
    </row>
    <row r="25" spans="1:7">
      <c r="B25" t="s">
        <v>99</v>
      </c>
      <c r="G25" s="90">
        <v>5498878</v>
      </c>
    </row>
    <row r="26" spans="1:7">
      <c r="B26" t="s">
        <v>42</v>
      </c>
      <c r="G26" s="98">
        <v>5280647</v>
      </c>
    </row>
    <row r="27" spans="1:7">
      <c r="G27" s="83"/>
    </row>
    <row r="28" spans="1:7">
      <c r="A28" s="3"/>
      <c r="B28" s="10" t="s">
        <v>43</v>
      </c>
      <c r="C28" s="10"/>
      <c r="D28" s="10"/>
      <c r="E28" s="10"/>
      <c r="F28" s="10"/>
      <c r="G28" s="99">
        <f>SUM(G25:G26)</f>
        <v>10779525</v>
      </c>
    </row>
    <row r="29" spans="1:7">
      <c r="G29" s="85"/>
    </row>
    <row r="30" spans="1:7">
      <c r="A30" s="3"/>
      <c r="B30" s="11" t="s">
        <v>44</v>
      </c>
      <c r="C30" s="11"/>
      <c r="D30" s="11"/>
      <c r="E30" s="11"/>
      <c r="F30" s="11"/>
      <c r="G30" s="100">
        <f>SUM(G22+G28)</f>
        <v>11725242</v>
      </c>
    </row>
    <row r="31" spans="1:7">
      <c r="G31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65"/>
  <sheetViews>
    <sheetView topLeftCell="A23" workbookViewId="0">
      <selection activeCell="H61" sqref="H61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75" customHeight="1">
      <c r="A1" s="1"/>
      <c r="B1" s="1"/>
      <c r="C1" s="1"/>
      <c r="D1" s="202" t="s">
        <v>363</v>
      </c>
      <c r="E1" s="202"/>
      <c r="F1" s="202"/>
      <c r="G1" s="202"/>
      <c r="H1" s="202"/>
      <c r="I1" s="102"/>
      <c r="J1" s="102"/>
    </row>
    <row r="2" spans="1:12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2" ht="14.25" customHeight="1">
      <c r="H4" s="206" t="s">
        <v>2</v>
      </c>
      <c r="I4" s="206"/>
      <c r="J4" s="206"/>
    </row>
    <row r="5" spans="1:12" ht="31.5" customHeight="1">
      <c r="H5" s="2" t="s">
        <v>3</v>
      </c>
      <c r="I5" s="2" t="s">
        <v>137</v>
      </c>
      <c r="J5" s="2" t="s">
        <v>64</v>
      </c>
      <c r="K5" s="94" t="s">
        <v>4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A7" s="3"/>
      <c r="B7" s="5" t="s">
        <v>6</v>
      </c>
      <c r="D7" s="3"/>
      <c r="G7" s="4"/>
      <c r="H7" s="78"/>
      <c r="I7" s="78"/>
      <c r="J7" s="78"/>
      <c r="K7" s="85"/>
    </row>
    <row r="8" spans="1:12">
      <c r="C8" t="s">
        <v>102</v>
      </c>
      <c r="H8" s="79">
        <v>7721845</v>
      </c>
      <c r="I8" s="85">
        <v>2848461</v>
      </c>
      <c r="J8" s="85">
        <f t="shared" ref="J8:J14" si="0">SUM(H8:I8)</f>
        <v>10570306</v>
      </c>
      <c r="K8" s="85">
        <v>50132926</v>
      </c>
    </row>
    <row r="9" spans="1:12">
      <c r="C9" t="s">
        <v>8</v>
      </c>
      <c r="H9" s="86">
        <v>278852022</v>
      </c>
      <c r="I9" s="85">
        <v>16027117</v>
      </c>
      <c r="J9" s="85">
        <f t="shared" si="0"/>
        <v>294879139</v>
      </c>
      <c r="K9" s="85">
        <v>16338139</v>
      </c>
    </row>
    <row r="10" spans="1:12">
      <c r="C10" t="s">
        <v>66</v>
      </c>
      <c r="H10" s="80">
        <v>2270885</v>
      </c>
      <c r="I10" s="85">
        <v>27658362</v>
      </c>
      <c r="J10" s="85">
        <f t="shared" si="0"/>
        <v>29929247</v>
      </c>
      <c r="K10" s="85">
        <v>2002495</v>
      </c>
    </row>
    <row r="11" spans="1:12">
      <c r="C11" t="s">
        <v>364</v>
      </c>
      <c r="H11" s="80">
        <v>2140411</v>
      </c>
      <c r="I11" s="85"/>
      <c r="J11" s="85">
        <f t="shared" si="0"/>
        <v>2140411</v>
      </c>
      <c r="K11" s="85">
        <v>6171947</v>
      </c>
    </row>
    <row r="12" spans="1:12">
      <c r="C12" t="s">
        <v>365</v>
      </c>
      <c r="H12" s="85"/>
      <c r="I12" s="85"/>
      <c r="J12" s="85">
        <f t="shared" si="0"/>
        <v>0</v>
      </c>
      <c r="K12" s="85">
        <v>1371542</v>
      </c>
    </row>
    <row r="13" spans="1:12">
      <c r="C13" t="s">
        <v>366</v>
      </c>
      <c r="H13" s="80">
        <v>273120</v>
      </c>
      <c r="I13" s="85"/>
      <c r="J13" s="85">
        <f t="shared" si="0"/>
        <v>273120</v>
      </c>
      <c r="K13" s="85"/>
    </row>
    <row r="14" spans="1:12">
      <c r="C14" t="s">
        <v>367</v>
      </c>
      <c r="H14" s="80">
        <v>310013</v>
      </c>
      <c r="I14" s="85">
        <v>1099</v>
      </c>
      <c r="J14" s="85">
        <f t="shared" si="0"/>
        <v>311112</v>
      </c>
      <c r="K14" s="85">
        <v>93598</v>
      </c>
    </row>
    <row r="15" spans="1:12">
      <c r="C15" t="s">
        <v>67</v>
      </c>
      <c r="H15" s="81">
        <v>3559213</v>
      </c>
      <c r="I15" s="85">
        <v>-3559213</v>
      </c>
      <c r="J15" s="85">
        <f t="shared" ref="J15:J21" si="1">SUM(H15:I15)</f>
        <v>0</v>
      </c>
      <c r="K15" s="85"/>
    </row>
    <row r="16" spans="1:12">
      <c r="C16" t="s">
        <v>150</v>
      </c>
      <c r="H16" s="85"/>
      <c r="I16" s="85"/>
      <c r="J16" s="85">
        <f t="shared" si="1"/>
        <v>0</v>
      </c>
      <c r="K16" s="85">
        <v>73188</v>
      </c>
    </row>
    <row r="17" spans="3:11">
      <c r="C17" t="s">
        <v>13</v>
      </c>
      <c r="H17" s="95">
        <v>177735</v>
      </c>
      <c r="I17" s="85">
        <v>1879</v>
      </c>
      <c r="J17" s="85">
        <f t="shared" si="1"/>
        <v>179614</v>
      </c>
      <c r="K17" s="85"/>
    </row>
    <row r="18" spans="3:11">
      <c r="C18" t="s">
        <v>251</v>
      </c>
      <c r="H18" s="95">
        <v>18499918</v>
      </c>
      <c r="I18" s="85">
        <v>3456198</v>
      </c>
      <c r="J18" s="85">
        <f t="shared" si="1"/>
        <v>21956116</v>
      </c>
      <c r="K18" s="85">
        <v>7986272</v>
      </c>
    </row>
    <row r="19" spans="3:11">
      <c r="C19" t="s">
        <v>11</v>
      </c>
      <c r="H19" s="85"/>
      <c r="I19" s="85"/>
      <c r="J19" s="85">
        <f t="shared" si="1"/>
        <v>0</v>
      </c>
      <c r="K19" s="85">
        <v>15000</v>
      </c>
    </row>
    <row r="20" spans="3:11">
      <c r="C20" t="s">
        <v>368</v>
      </c>
      <c r="H20" s="81">
        <v>419825</v>
      </c>
      <c r="I20" s="85">
        <v>31932260</v>
      </c>
      <c r="J20" s="85">
        <f t="shared" si="1"/>
        <v>32352085</v>
      </c>
      <c r="K20" s="85">
        <v>218586</v>
      </c>
    </row>
    <row r="21" spans="3:11">
      <c r="C21" t="s">
        <v>168</v>
      </c>
      <c r="H21" s="81">
        <v>149592</v>
      </c>
      <c r="I21" s="85">
        <v>293411</v>
      </c>
      <c r="J21" s="85">
        <f t="shared" si="1"/>
        <v>443003</v>
      </c>
      <c r="K21" s="85">
        <v>378702</v>
      </c>
    </row>
    <row r="22" spans="3:11">
      <c r="C22" t="s">
        <v>69</v>
      </c>
      <c r="H22" s="85"/>
      <c r="I22" s="85"/>
      <c r="J22" s="85"/>
      <c r="K22" s="85">
        <v>1346182</v>
      </c>
    </row>
    <row r="23" spans="3:11">
      <c r="C23" t="s">
        <v>169</v>
      </c>
      <c r="H23" s="85"/>
      <c r="I23" s="85"/>
      <c r="J23" s="85"/>
      <c r="K23" s="85"/>
    </row>
    <row r="24" spans="3:11">
      <c r="D24" t="s">
        <v>7</v>
      </c>
      <c r="H24" s="85"/>
      <c r="I24" s="85">
        <v>8101700</v>
      </c>
      <c r="J24" s="85">
        <f>SUM(H24:I24)</f>
        <v>8101700</v>
      </c>
      <c r="K24" s="85">
        <v>3981944</v>
      </c>
    </row>
    <row r="25" spans="3:11">
      <c r="D25" t="s">
        <v>8</v>
      </c>
      <c r="H25" s="85"/>
      <c r="I25" s="85">
        <v>209339409</v>
      </c>
      <c r="J25" s="85">
        <v>209339409</v>
      </c>
      <c r="K25" s="85">
        <v>20708601</v>
      </c>
    </row>
    <row r="26" spans="3:11">
      <c r="D26" t="s">
        <v>46</v>
      </c>
      <c r="H26" s="85"/>
      <c r="I26" s="85">
        <v>111938</v>
      </c>
      <c r="J26" s="85">
        <f>SUM(H26:I26)</f>
        <v>111938</v>
      </c>
      <c r="K26" s="85">
        <v>44820</v>
      </c>
    </row>
    <row r="27" spans="3:11">
      <c r="C27" t="s">
        <v>369</v>
      </c>
      <c r="H27" s="81">
        <v>4415993</v>
      </c>
      <c r="I27" s="85">
        <v>5108695</v>
      </c>
      <c r="J27" s="85">
        <f>SUM(H27:I27)</f>
        <v>9524688</v>
      </c>
      <c r="K27" s="85"/>
    </row>
    <row r="28" spans="3:11">
      <c r="C28" t="s">
        <v>370</v>
      </c>
      <c r="H28" s="85"/>
      <c r="I28" s="85">
        <v>1960661</v>
      </c>
      <c r="J28" s="85">
        <f>SUM(H28:I28)</f>
        <v>1960661</v>
      </c>
      <c r="K28" s="85"/>
    </row>
    <row r="29" spans="3:11">
      <c r="C29" t="s">
        <v>14</v>
      </c>
      <c r="H29" s="85"/>
      <c r="I29" s="85"/>
      <c r="J29" s="85"/>
      <c r="K29" s="85"/>
    </row>
    <row r="30" spans="3:11">
      <c r="D30" t="s">
        <v>15</v>
      </c>
      <c r="H30" s="82">
        <v>70197995</v>
      </c>
      <c r="I30" s="85">
        <v>66232170</v>
      </c>
      <c r="J30" s="85">
        <f>SUM(H30:I30)</f>
        <v>136430165</v>
      </c>
      <c r="K30" s="85">
        <v>29146560</v>
      </c>
    </row>
    <row r="31" spans="3:11">
      <c r="D31" t="s">
        <v>371</v>
      </c>
      <c r="H31" s="96">
        <v>517241758</v>
      </c>
      <c r="I31" s="85">
        <v>662632316</v>
      </c>
      <c r="J31" s="85">
        <f>SUM(H31:I31)</f>
        <v>1179874074</v>
      </c>
      <c r="K31" s="85">
        <v>90812166</v>
      </c>
    </row>
    <row r="32" spans="3:11">
      <c r="H32" s="85"/>
      <c r="I32" s="83"/>
      <c r="J32" s="83"/>
      <c r="K32" s="83"/>
    </row>
    <row r="33" spans="1:11" s="5" customFormat="1">
      <c r="C33" s="6" t="s">
        <v>17</v>
      </c>
      <c r="D33" s="6"/>
      <c r="E33" s="6"/>
      <c r="F33" s="6"/>
      <c r="G33" s="6"/>
      <c r="H33" s="84">
        <f>SUM(H8:H31)</f>
        <v>906230325</v>
      </c>
      <c r="I33" s="84">
        <f>SUM(I8:I31)</f>
        <v>1032146463</v>
      </c>
      <c r="J33" s="84">
        <f>SUM(J8:J31)</f>
        <v>1938376788</v>
      </c>
      <c r="K33" s="84">
        <f>SUM(K8:K31)</f>
        <v>230822668</v>
      </c>
    </row>
    <row r="34" spans="1:11">
      <c r="H34" s="85"/>
      <c r="I34" s="85"/>
      <c r="J34" s="85"/>
      <c r="K34" s="85"/>
    </row>
    <row r="35" spans="1:11">
      <c r="A35" s="5" t="s">
        <v>20</v>
      </c>
      <c r="H35" s="85"/>
      <c r="I35" s="85"/>
      <c r="J35" s="85"/>
      <c r="K35" s="85"/>
    </row>
    <row r="36" spans="1:11">
      <c r="A36" s="5"/>
      <c r="C36" t="s">
        <v>259</v>
      </c>
      <c r="H36" s="85"/>
      <c r="I36" s="85">
        <v>2167552</v>
      </c>
      <c r="J36" s="85">
        <f t="shared" ref="J36:J41" si="2">SUM(H36:I36)</f>
        <v>2167552</v>
      </c>
      <c r="K36" s="85">
        <v>173447</v>
      </c>
    </row>
    <row r="37" spans="1:11">
      <c r="A37" s="5"/>
      <c r="C37" t="s">
        <v>372</v>
      </c>
      <c r="H37" s="86">
        <v>3505182</v>
      </c>
      <c r="I37" s="85">
        <v>6433320</v>
      </c>
      <c r="J37" s="85">
        <f t="shared" si="2"/>
        <v>9938502</v>
      </c>
      <c r="K37" s="85">
        <v>4651833</v>
      </c>
    </row>
    <row r="38" spans="1:11">
      <c r="A38" s="5"/>
      <c r="C38" t="s">
        <v>154</v>
      </c>
      <c r="H38" s="81">
        <v>4204230</v>
      </c>
      <c r="I38" s="85">
        <v>1831756</v>
      </c>
      <c r="J38" s="85">
        <f t="shared" si="2"/>
        <v>6035986</v>
      </c>
      <c r="K38" s="85">
        <v>834353</v>
      </c>
    </row>
    <row r="39" spans="1:11">
      <c r="C39" t="s">
        <v>75</v>
      </c>
      <c r="H39" s="86">
        <v>2352712</v>
      </c>
      <c r="I39" s="85">
        <v>4514145</v>
      </c>
      <c r="J39" s="85">
        <f t="shared" si="2"/>
        <v>6866857</v>
      </c>
      <c r="K39" s="85"/>
    </row>
    <row r="40" spans="1:11">
      <c r="C40" t="s">
        <v>22</v>
      </c>
      <c r="H40" s="86">
        <v>2067414</v>
      </c>
      <c r="I40" s="85">
        <v>1452778</v>
      </c>
      <c r="J40" s="85">
        <f t="shared" si="2"/>
        <v>3520192</v>
      </c>
      <c r="K40" s="85"/>
    </row>
    <row r="41" spans="1:11">
      <c r="C41" t="s">
        <v>303</v>
      </c>
      <c r="H41" s="86">
        <v>444275</v>
      </c>
      <c r="I41" s="85"/>
      <c r="J41" s="85">
        <f t="shared" si="2"/>
        <v>444275</v>
      </c>
      <c r="K41" s="85"/>
    </row>
    <row r="42" spans="1:11">
      <c r="C42" t="s">
        <v>26</v>
      </c>
      <c r="H42" s="85"/>
      <c r="I42" s="85"/>
      <c r="J42" s="85">
        <f t="shared" ref="J42" si="3">SUM(H42:I42)</f>
        <v>0</v>
      </c>
      <c r="K42" s="85">
        <v>179614</v>
      </c>
    </row>
    <row r="43" spans="1:11">
      <c r="C43" t="s">
        <v>156</v>
      </c>
      <c r="H43" s="101">
        <v>73188</v>
      </c>
      <c r="I43" s="85"/>
      <c r="J43" s="85">
        <f>SUM(H43:I43)</f>
        <v>73188</v>
      </c>
      <c r="K43" s="85"/>
    </row>
    <row r="44" spans="1:11">
      <c r="C44" t="s">
        <v>157</v>
      </c>
      <c r="H44" s="101">
        <v>714973</v>
      </c>
      <c r="I44" s="85"/>
      <c r="J44" s="85">
        <f>SUM(H44:I44)</f>
        <v>714973</v>
      </c>
      <c r="K44" s="85">
        <v>4507</v>
      </c>
    </row>
    <row r="45" spans="1:11">
      <c r="C45" t="s">
        <v>24</v>
      </c>
      <c r="H45" s="81">
        <v>281108</v>
      </c>
      <c r="I45" s="85">
        <v>2989</v>
      </c>
      <c r="J45" s="85">
        <f>SUM(H45:I45)</f>
        <v>284097</v>
      </c>
      <c r="K45" s="85">
        <v>2513461</v>
      </c>
    </row>
    <row r="46" spans="1:11">
      <c r="C46" t="s">
        <v>25</v>
      </c>
      <c r="H46" s="86">
        <v>1916210</v>
      </c>
      <c r="I46" s="85">
        <v>2150966</v>
      </c>
      <c r="J46" s="85">
        <f>SUM(H46:I46)</f>
        <v>4067176</v>
      </c>
      <c r="K46" s="85">
        <v>159675</v>
      </c>
    </row>
    <row r="47" spans="1:11">
      <c r="C47" t="s">
        <v>78</v>
      </c>
      <c r="H47" s="85"/>
      <c r="I47" s="85">
        <v>8151514</v>
      </c>
      <c r="J47" s="85">
        <f>SUM(H47:I47)</f>
        <v>8151514</v>
      </c>
      <c r="K47" s="85">
        <v>101171</v>
      </c>
    </row>
    <row r="48" spans="1:11">
      <c r="C48" t="s">
        <v>27</v>
      </c>
      <c r="H48" s="85"/>
      <c r="I48" s="85"/>
      <c r="J48" s="85"/>
      <c r="K48" s="85"/>
    </row>
    <row r="49" spans="1:11">
      <c r="D49" t="s">
        <v>373</v>
      </c>
      <c r="H49" s="97">
        <v>34417905</v>
      </c>
      <c r="I49" s="85">
        <v>5045582</v>
      </c>
      <c r="J49" s="85">
        <f>SUM(H49:I49)</f>
        <v>39463487</v>
      </c>
      <c r="K49" s="85">
        <v>7960162</v>
      </c>
    </row>
    <row r="50" spans="1:11">
      <c r="D50" t="s">
        <v>374</v>
      </c>
      <c r="H50" s="79">
        <v>409431497</v>
      </c>
      <c r="I50" s="85">
        <v>494865322</v>
      </c>
      <c r="J50" s="85">
        <f>SUM(H50:I50)</f>
        <v>904296819</v>
      </c>
      <c r="K50" s="85">
        <v>22626084</v>
      </c>
    </row>
    <row r="51" spans="1:11">
      <c r="H51" s="83"/>
      <c r="I51" s="83"/>
      <c r="J51" s="83"/>
      <c r="K51" s="83"/>
    </row>
    <row r="52" spans="1:11">
      <c r="D52" s="8" t="s">
        <v>33</v>
      </c>
      <c r="E52" s="9"/>
      <c r="F52" s="9"/>
      <c r="G52" s="9"/>
      <c r="H52" s="89">
        <f>SUM(H37:H50)</f>
        <v>459408694</v>
      </c>
      <c r="I52" s="89">
        <f>SUM(I36:I50)</f>
        <v>526615924</v>
      </c>
      <c r="J52" s="89">
        <f>SUM(J36:J50)</f>
        <v>986024618</v>
      </c>
      <c r="K52" s="89">
        <f>SUM(K36:K50)</f>
        <v>39204307</v>
      </c>
    </row>
    <row r="53" spans="1:11">
      <c r="H53" s="85"/>
      <c r="I53" s="85"/>
      <c r="J53" s="85"/>
      <c r="K53" s="85"/>
    </row>
    <row r="54" spans="1:11">
      <c r="A54" s="3" t="s">
        <v>36</v>
      </c>
      <c r="H54" s="85"/>
      <c r="I54" s="85"/>
      <c r="J54" s="85"/>
      <c r="K54" s="85"/>
    </row>
    <row r="55" spans="1:11">
      <c r="B55" t="s">
        <v>99</v>
      </c>
      <c r="H55" s="90">
        <v>304942786</v>
      </c>
      <c r="I55" s="85">
        <v>306572079</v>
      </c>
      <c r="J55" s="85">
        <f>SUM(H55:I55)</f>
        <v>611514865</v>
      </c>
      <c r="K55" s="85">
        <v>111883759</v>
      </c>
    </row>
    <row r="56" spans="1:11">
      <c r="B56" t="s">
        <v>38</v>
      </c>
      <c r="H56" s="85"/>
      <c r="I56" s="85"/>
      <c r="J56" s="85"/>
      <c r="K56" s="85"/>
    </row>
    <row r="57" spans="1:11">
      <c r="C57" t="s">
        <v>40</v>
      </c>
      <c r="H57" s="91">
        <v>74069893</v>
      </c>
      <c r="I57" s="85"/>
      <c r="J57" s="85">
        <f>SUM(H57:I57)</f>
        <v>74069893</v>
      </c>
      <c r="K57" s="85">
        <v>2337789</v>
      </c>
    </row>
    <row r="58" spans="1:11">
      <c r="C58" t="s">
        <v>39</v>
      </c>
      <c r="H58" s="91">
        <v>45756145</v>
      </c>
      <c r="I58" s="85">
        <v>124301456</v>
      </c>
      <c r="J58" s="85">
        <f>SUM(H58:I58)</f>
        <v>170057601</v>
      </c>
      <c r="K58" s="85">
        <v>4929977</v>
      </c>
    </row>
    <row r="59" spans="1:11">
      <c r="C59" t="s">
        <v>182</v>
      </c>
      <c r="H59" s="91">
        <v>50174981</v>
      </c>
      <c r="I59" s="85"/>
      <c r="J59" s="85">
        <f>SUM(H59:I59)</f>
        <v>50174981</v>
      </c>
      <c r="K59" s="85">
        <v>596720</v>
      </c>
    </row>
    <row r="60" spans="1:11">
      <c r="B60" t="s">
        <v>163</v>
      </c>
      <c r="H60" s="98">
        <v>-28122174</v>
      </c>
      <c r="I60" s="85">
        <v>74657004</v>
      </c>
      <c r="J60" s="85">
        <f>SUM(H60:I60)</f>
        <v>46534830</v>
      </c>
      <c r="K60" s="85">
        <v>71870116</v>
      </c>
    </row>
    <row r="61" spans="1:11">
      <c r="H61" s="83"/>
      <c r="I61" s="83"/>
      <c r="J61" s="83"/>
      <c r="K61" s="83"/>
    </row>
    <row r="62" spans="1:11" s="3" customFormat="1">
      <c r="C62" s="10" t="s">
        <v>43</v>
      </c>
      <c r="D62" s="10"/>
      <c r="E62" s="10"/>
      <c r="F62" s="10"/>
      <c r="G62" s="10"/>
      <c r="H62" s="99">
        <f>SUM(H55:H60)</f>
        <v>446821631</v>
      </c>
      <c r="I62" s="99">
        <f>SUM(I55:I60)</f>
        <v>505530539</v>
      </c>
      <c r="J62" s="99">
        <f>SUM(J55:J60)</f>
        <v>952352170</v>
      </c>
      <c r="K62" s="99">
        <f>SUM(K54:K60)</f>
        <v>191618361</v>
      </c>
    </row>
    <row r="63" spans="1:11">
      <c r="H63" s="85"/>
      <c r="I63" s="85"/>
      <c r="J63" s="85"/>
      <c r="K63" s="85"/>
    </row>
    <row r="64" spans="1:11" s="3" customFormat="1">
      <c r="C64" s="11" t="s">
        <v>44</v>
      </c>
      <c r="D64" s="11"/>
      <c r="E64" s="11"/>
      <c r="F64" s="11"/>
      <c r="G64" s="11"/>
      <c r="H64" s="100">
        <f>SUM(H52+H62)</f>
        <v>906230325</v>
      </c>
      <c r="I64" s="100">
        <f>SUM(I62+I52)</f>
        <v>1032146463</v>
      </c>
      <c r="J64" s="100">
        <f>SUM(J62+J52)</f>
        <v>1938376788</v>
      </c>
      <c r="K64" s="100">
        <f>SUM(K62+K52)</f>
        <v>230822668</v>
      </c>
    </row>
    <row r="65" spans="8:11">
      <c r="H65" s="85"/>
      <c r="I65" s="85"/>
      <c r="J65" s="85"/>
      <c r="K65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4"/>
  <sheetViews>
    <sheetView workbookViewId="0">
      <selection activeCell="H40" sqref="H40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02" t="s">
        <v>375</v>
      </c>
      <c r="E1" s="202"/>
      <c r="F1" s="202"/>
      <c r="G1" s="202"/>
      <c r="H1" s="202"/>
      <c r="I1" s="102"/>
      <c r="J1" s="102"/>
    </row>
    <row r="2" spans="1:12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2" ht="15" customHeight="1">
      <c r="H4" s="206" t="s">
        <v>2</v>
      </c>
      <c r="I4" s="206"/>
      <c r="J4" s="206"/>
      <c r="K4" s="94" t="s">
        <v>4</v>
      </c>
    </row>
    <row r="5" spans="1:12" ht="29.1">
      <c r="H5" s="110" t="s">
        <v>3</v>
      </c>
      <c r="I5" s="110" t="s">
        <v>137</v>
      </c>
      <c r="J5" s="110" t="s">
        <v>64</v>
      </c>
      <c r="K5" s="145" t="s">
        <v>64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376</v>
      </c>
      <c r="H7" s="79">
        <v>28390862</v>
      </c>
      <c r="I7" s="85"/>
      <c r="J7" s="85">
        <f>SUM(H7:I7)</f>
        <v>28390862</v>
      </c>
      <c r="K7" s="85">
        <v>198057510</v>
      </c>
    </row>
    <row r="8" spans="1:12">
      <c r="C8" t="s">
        <v>8</v>
      </c>
      <c r="H8" s="86">
        <v>19417222</v>
      </c>
      <c r="I8" s="85"/>
      <c r="J8" s="85">
        <f>SUM(H8:I8)</f>
        <v>19417222</v>
      </c>
      <c r="K8" s="85">
        <v>24203089</v>
      </c>
    </row>
    <row r="9" spans="1:12">
      <c r="A9" t="s">
        <v>377</v>
      </c>
      <c r="C9" t="s">
        <v>46</v>
      </c>
      <c r="H9" s="80">
        <v>2513853</v>
      </c>
      <c r="I9" s="85">
        <v>17430</v>
      </c>
      <c r="J9" s="85">
        <f>SUM(H9:I9)</f>
        <v>2531283</v>
      </c>
      <c r="K9" s="85">
        <v>36021414</v>
      </c>
    </row>
    <row r="10" spans="1:12">
      <c r="C10" t="s">
        <v>104</v>
      </c>
      <c r="H10" s="95">
        <v>32644660</v>
      </c>
      <c r="I10" s="85"/>
      <c r="J10" s="85">
        <f>SUM(H10:I10)</f>
        <v>32644660</v>
      </c>
      <c r="K10" s="85"/>
    </row>
    <row r="11" spans="1:12">
      <c r="C11" t="s">
        <v>378</v>
      </c>
      <c r="H11" s="81">
        <v>1525426</v>
      </c>
      <c r="I11" s="85"/>
      <c r="J11" s="85">
        <f>SUM(H11:I11)</f>
        <v>1525426</v>
      </c>
      <c r="K11" s="85">
        <v>21575554</v>
      </c>
    </row>
    <row r="12" spans="1:12">
      <c r="C12" t="s">
        <v>14</v>
      </c>
      <c r="H12" s="85"/>
      <c r="I12" s="85"/>
      <c r="J12" s="85"/>
      <c r="K12" s="85"/>
    </row>
    <row r="13" spans="1:12">
      <c r="D13" t="s">
        <v>15</v>
      </c>
      <c r="H13" s="82">
        <v>25100579</v>
      </c>
      <c r="I13" s="85"/>
      <c r="J13" s="85">
        <f>SUM(H13:I13)</f>
        <v>25100579</v>
      </c>
      <c r="K13" s="85">
        <v>29927075</v>
      </c>
    </row>
    <row r="14" spans="1:12">
      <c r="D14" t="s">
        <v>379</v>
      </c>
      <c r="H14" s="82">
        <v>57951906</v>
      </c>
      <c r="I14" s="85">
        <v>3062776</v>
      </c>
      <c r="J14" s="85">
        <f>SUM(H14:I14)</f>
        <v>61014682</v>
      </c>
      <c r="K14" s="85">
        <v>198267967</v>
      </c>
    </row>
    <row r="15" spans="1:12">
      <c r="H15" s="83"/>
      <c r="I15" s="83"/>
      <c r="J15" s="83"/>
      <c r="K15" s="83"/>
    </row>
    <row r="16" spans="1:12" s="5" customFormat="1">
      <c r="C16" s="6" t="s">
        <v>17</v>
      </c>
      <c r="D16" s="6"/>
      <c r="E16" s="6"/>
      <c r="F16" s="6"/>
      <c r="G16" s="6"/>
      <c r="H16" s="84">
        <f>SUM(H7:H14)</f>
        <v>167544508</v>
      </c>
      <c r="I16" s="84">
        <f>SUM(I7:I14)</f>
        <v>3080206</v>
      </c>
      <c r="J16" s="84">
        <f>SUM(J7:J14)</f>
        <v>170624714</v>
      </c>
      <c r="K16" s="84">
        <f>SUM(K7:K14)</f>
        <v>508052609</v>
      </c>
    </row>
    <row r="17" spans="1:11">
      <c r="H17" s="85"/>
      <c r="I17" s="85"/>
      <c r="J17" s="85"/>
      <c r="K17" s="85"/>
    </row>
    <row r="18" spans="1:11" s="5" customFormat="1">
      <c r="B18" s="5" t="s">
        <v>345</v>
      </c>
      <c r="H18" s="105"/>
      <c r="I18" s="105"/>
      <c r="J18" s="105"/>
      <c r="K18" s="105"/>
    </row>
    <row r="19" spans="1:11">
      <c r="C19" t="s">
        <v>380</v>
      </c>
      <c r="H19" s="85">
        <v>1077879</v>
      </c>
      <c r="I19" s="85"/>
      <c r="J19" s="85">
        <f>SUM(H19:I19)</f>
        <v>1077879</v>
      </c>
      <c r="K19" s="85"/>
    </row>
    <row r="20" spans="1:11">
      <c r="H20" s="83"/>
      <c r="I20" s="83"/>
      <c r="J20" s="83"/>
      <c r="K20" s="83"/>
    </row>
    <row r="21" spans="1:11" s="5" customFormat="1">
      <c r="C21" s="107" t="s">
        <v>347</v>
      </c>
      <c r="D21" s="107"/>
      <c r="E21" s="107"/>
      <c r="F21" s="107"/>
      <c r="G21" s="107"/>
      <c r="H21" s="108">
        <f>H19</f>
        <v>1077879</v>
      </c>
      <c r="I21" s="108">
        <f t="shared" ref="I21:K21" si="0">I19</f>
        <v>0</v>
      </c>
      <c r="J21" s="108">
        <f t="shared" si="0"/>
        <v>1077879</v>
      </c>
      <c r="K21" s="108">
        <f t="shared" si="0"/>
        <v>0</v>
      </c>
    </row>
    <row r="22" spans="1:11">
      <c r="H22" s="85"/>
      <c r="I22" s="85"/>
      <c r="J22" s="85"/>
      <c r="K22" s="85"/>
    </row>
    <row r="23" spans="1:11">
      <c r="A23" s="5" t="s">
        <v>20</v>
      </c>
      <c r="H23" s="85"/>
      <c r="I23" s="85"/>
      <c r="J23" s="85"/>
      <c r="K23" s="85"/>
    </row>
    <row r="24" spans="1:11">
      <c r="A24" s="5"/>
      <c r="C24" t="s">
        <v>143</v>
      </c>
      <c r="H24" s="86">
        <v>7236302</v>
      </c>
      <c r="I24" s="85">
        <v>16352</v>
      </c>
      <c r="J24" s="85">
        <f t="shared" ref="J24:J30" si="1">SUM(H24:I24)</f>
        <v>7252654</v>
      </c>
      <c r="K24" s="85">
        <v>18038291</v>
      </c>
    </row>
    <row r="25" spans="1:11">
      <c r="C25" t="s">
        <v>381</v>
      </c>
      <c r="H25" s="81">
        <v>517734</v>
      </c>
      <c r="I25" s="85"/>
      <c r="J25" s="85">
        <f t="shared" si="1"/>
        <v>517734</v>
      </c>
      <c r="K25" s="85">
        <v>5286633</v>
      </c>
    </row>
    <row r="26" spans="1:11">
      <c r="C26" t="s">
        <v>25</v>
      </c>
      <c r="H26" s="86">
        <v>664933</v>
      </c>
      <c r="I26" s="85"/>
      <c r="J26" s="85">
        <f>SUM(H26:I26)</f>
        <v>664933</v>
      </c>
      <c r="K26" s="85"/>
    </row>
    <row r="27" spans="1:11">
      <c r="C27" t="s">
        <v>113</v>
      </c>
      <c r="H27" s="101">
        <v>383924</v>
      </c>
      <c r="I27" s="85">
        <v>199494</v>
      </c>
      <c r="J27" s="85">
        <f t="shared" si="1"/>
        <v>583418</v>
      </c>
      <c r="K27" s="85"/>
    </row>
    <row r="28" spans="1:11">
      <c r="C28" t="s">
        <v>382</v>
      </c>
      <c r="H28" s="85"/>
      <c r="I28" s="85"/>
      <c r="J28" s="85">
        <f t="shared" si="1"/>
        <v>0</v>
      </c>
      <c r="K28" s="85"/>
    </row>
    <row r="29" spans="1:11">
      <c r="D29" t="s">
        <v>81</v>
      </c>
      <c r="H29" s="97">
        <v>8630887</v>
      </c>
      <c r="I29" s="85"/>
      <c r="J29" s="85">
        <f t="shared" si="1"/>
        <v>8630887</v>
      </c>
      <c r="K29" s="85">
        <v>4017837</v>
      </c>
    </row>
    <row r="30" spans="1:11">
      <c r="D30" t="s">
        <v>82</v>
      </c>
      <c r="H30" s="79">
        <v>46541145</v>
      </c>
      <c r="I30" s="85"/>
      <c r="J30" s="85">
        <f t="shared" si="1"/>
        <v>46541145</v>
      </c>
      <c r="K30" s="85">
        <v>26224316</v>
      </c>
    </row>
    <row r="31" spans="1:11">
      <c r="H31" s="83"/>
      <c r="I31" s="83"/>
      <c r="J31" s="83"/>
      <c r="K31" s="83"/>
    </row>
    <row r="32" spans="1:11">
      <c r="D32" s="8" t="s">
        <v>33</v>
      </c>
      <c r="E32" s="9"/>
      <c r="F32" s="9"/>
      <c r="G32" s="9"/>
      <c r="H32" s="89">
        <f>SUM(H24:H30)</f>
        <v>63974925</v>
      </c>
      <c r="I32" s="89">
        <f>SUM(I24:I30)</f>
        <v>215846</v>
      </c>
      <c r="J32" s="89">
        <f>SUM(J24:J30)</f>
        <v>64190771</v>
      </c>
      <c r="K32" s="89">
        <f>SUM(K24:K30)</f>
        <v>53567077</v>
      </c>
    </row>
    <row r="33" spans="1:11">
      <c r="H33" s="85"/>
      <c r="I33" s="85"/>
      <c r="J33" s="85"/>
      <c r="K33" s="85"/>
    </row>
    <row r="34" spans="1:11">
      <c r="A34" s="3" t="s">
        <v>36</v>
      </c>
      <c r="H34" s="85"/>
      <c r="I34" s="85"/>
      <c r="J34" s="85"/>
      <c r="K34" s="85"/>
    </row>
    <row r="35" spans="1:11">
      <c r="B35" t="s">
        <v>383</v>
      </c>
      <c r="H35" s="90">
        <v>34851386</v>
      </c>
      <c r="I35" s="85">
        <v>3062776</v>
      </c>
      <c r="J35" s="85">
        <f>SUM(H35:I35)</f>
        <v>37914162</v>
      </c>
      <c r="K35" s="85">
        <v>199214122</v>
      </c>
    </row>
    <row r="36" spans="1:11">
      <c r="B36" t="s">
        <v>38</v>
      </c>
      <c r="H36" s="85"/>
      <c r="I36" s="85"/>
      <c r="J36" s="85"/>
      <c r="K36" s="85"/>
    </row>
    <row r="37" spans="1:11">
      <c r="C37" t="s">
        <v>40</v>
      </c>
      <c r="H37" s="91">
        <v>31251705</v>
      </c>
      <c r="I37" s="85"/>
      <c r="J37" s="85">
        <f>SUM(H37:I37)</f>
        <v>31251705</v>
      </c>
      <c r="K37" s="85">
        <v>1653013</v>
      </c>
    </row>
    <row r="38" spans="1:11">
      <c r="C38" t="s">
        <v>39</v>
      </c>
      <c r="H38" s="91">
        <v>6243097</v>
      </c>
      <c r="I38" s="85"/>
      <c r="J38" s="85">
        <f>SUM(H38:I38)</f>
        <v>6243097</v>
      </c>
      <c r="K38" s="85">
        <v>3694956</v>
      </c>
    </row>
    <row r="39" spans="1:11">
      <c r="B39" t="s">
        <v>163</v>
      </c>
      <c r="H39" s="98">
        <v>32301274</v>
      </c>
      <c r="I39" s="85">
        <v>-198416</v>
      </c>
      <c r="J39" s="85">
        <f>SUM(H39:I39)</f>
        <v>32102858</v>
      </c>
      <c r="K39" s="85">
        <v>249923441</v>
      </c>
    </row>
    <row r="40" spans="1:11">
      <c r="H40" s="83"/>
      <c r="I40" s="83"/>
      <c r="J40" s="83"/>
      <c r="K40" s="83"/>
    </row>
    <row r="41" spans="1:11" s="3" customFormat="1">
      <c r="C41" s="10" t="s">
        <v>43</v>
      </c>
      <c r="D41" s="10"/>
      <c r="E41" s="10"/>
      <c r="F41" s="10"/>
      <c r="G41" s="10"/>
      <c r="H41" s="99">
        <f>SUM(H35:H39)</f>
        <v>104647462</v>
      </c>
      <c r="I41" s="99">
        <f>SUM(I35:I39)</f>
        <v>2864360</v>
      </c>
      <c r="J41" s="99">
        <f>SUM(J35:J39)</f>
        <v>107511822</v>
      </c>
      <c r="K41" s="99">
        <f>SUM(K34:K39)</f>
        <v>454485532</v>
      </c>
    </row>
    <row r="42" spans="1:11">
      <c r="H42" s="85"/>
      <c r="I42" s="85"/>
      <c r="J42" s="85"/>
      <c r="K42" s="85"/>
    </row>
    <row r="43" spans="1:11" s="3" customFormat="1">
      <c r="C43" s="11" t="s">
        <v>44</v>
      </c>
      <c r="D43" s="11"/>
      <c r="E43" s="11"/>
      <c r="F43" s="11"/>
      <c r="G43" s="11"/>
      <c r="H43" s="100">
        <f>SUM(H41+H32)</f>
        <v>168622387</v>
      </c>
      <c r="I43" s="100">
        <f>SUM(I32+I41)</f>
        <v>3080206</v>
      </c>
      <c r="J43" s="100">
        <f>SUM(J32+J41)</f>
        <v>171702593</v>
      </c>
      <c r="K43" s="100">
        <f>SUM(K41+K32)</f>
        <v>508052609</v>
      </c>
    </row>
    <row r="44" spans="1:11">
      <c r="H44" s="85"/>
      <c r="I44" s="85"/>
      <c r="J44" s="85"/>
      <c r="K44" s="85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44"/>
  <sheetViews>
    <sheetView workbookViewId="0"/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384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9">
        <v>9270701</v>
      </c>
    </row>
    <row r="7" spans="1:7">
      <c r="B7" t="s">
        <v>8</v>
      </c>
      <c r="G7" s="86">
        <v>22426630</v>
      </c>
    </row>
    <row r="8" spans="1:7">
      <c r="B8" t="s">
        <v>385</v>
      </c>
      <c r="G8" s="80">
        <v>7709169</v>
      </c>
    </row>
    <row r="9" spans="1:7">
      <c r="B9" t="s">
        <v>386</v>
      </c>
      <c r="G9" s="95">
        <v>236078</v>
      </c>
    </row>
    <row r="10" spans="1:7">
      <c r="B10" t="s">
        <v>48</v>
      </c>
      <c r="G10" s="81">
        <v>11582</v>
      </c>
    </row>
    <row r="11" spans="1:7">
      <c r="B11" t="s">
        <v>14</v>
      </c>
      <c r="G11" s="85"/>
    </row>
    <row r="12" spans="1:7">
      <c r="C12" t="s">
        <v>387</v>
      </c>
      <c r="G12" s="82">
        <v>1775786</v>
      </c>
    </row>
    <row r="13" spans="1:7">
      <c r="C13" t="s">
        <v>379</v>
      </c>
      <c r="G13" s="96">
        <v>22094399</v>
      </c>
    </row>
    <row r="14" spans="1:7">
      <c r="G14" s="85"/>
    </row>
    <row r="15" spans="1:7">
      <c r="A15" s="5"/>
      <c r="B15" s="6" t="s">
        <v>17</v>
      </c>
      <c r="C15" s="6"/>
      <c r="D15" s="6"/>
      <c r="E15" s="6"/>
      <c r="F15" s="6"/>
      <c r="G15" s="84">
        <f>SUM(G6:G13)</f>
        <v>63524345</v>
      </c>
    </row>
    <row r="16" spans="1:7">
      <c r="G16" s="85"/>
    </row>
    <row r="17" spans="1:7">
      <c r="A17" s="5" t="s">
        <v>18</v>
      </c>
      <c r="G17" s="85"/>
    </row>
    <row r="18" spans="1:7">
      <c r="B18" t="s">
        <v>139</v>
      </c>
      <c r="G18" s="142">
        <v>3008</v>
      </c>
    </row>
    <row r="19" spans="1:7">
      <c r="G19" s="85"/>
    </row>
    <row r="20" spans="1:7">
      <c r="A20" s="5" t="s">
        <v>20</v>
      </c>
      <c r="G20" s="85"/>
    </row>
    <row r="21" spans="1:7">
      <c r="A21" s="5"/>
      <c r="B21" t="s">
        <v>21</v>
      </c>
      <c r="G21" s="86">
        <v>1372481</v>
      </c>
    </row>
    <row r="22" spans="1:7">
      <c r="A22" s="5"/>
      <c r="B22" t="s">
        <v>388</v>
      </c>
      <c r="G22" s="101">
        <v>1330002</v>
      </c>
    </row>
    <row r="23" spans="1:7">
      <c r="A23" s="5"/>
      <c r="B23" t="s">
        <v>158</v>
      </c>
      <c r="G23" s="85"/>
    </row>
    <row r="24" spans="1:7">
      <c r="A24" s="5"/>
      <c r="C24" t="s">
        <v>389</v>
      </c>
      <c r="G24" s="85"/>
    </row>
    <row r="25" spans="1:7">
      <c r="A25" s="5"/>
      <c r="D25" t="s">
        <v>29</v>
      </c>
      <c r="G25" s="87">
        <v>466000</v>
      </c>
    </row>
    <row r="26" spans="1:7">
      <c r="A26" s="5"/>
      <c r="C26" t="s">
        <v>390</v>
      </c>
      <c r="G26" s="85"/>
    </row>
    <row r="27" spans="1:7">
      <c r="D27" t="s">
        <v>30</v>
      </c>
      <c r="G27" s="88">
        <v>114162</v>
      </c>
    </row>
    <row r="28" spans="1:7">
      <c r="D28" t="s">
        <v>29</v>
      </c>
      <c r="G28" s="80">
        <v>3476000</v>
      </c>
    </row>
    <row r="29" spans="1:7">
      <c r="C29" t="s">
        <v>391</v>
      </c>
      <c r="G29" s="85"/>
    </row>
    <row r="30" spans="1:7">
      <c r="D30" t="s">
        <v>392</v>
      </c>
      <c r="G30" s="81">
        <v>1605571</v>
      </c>
    </row>
    <row r="31" spans="1:7">
      <c r="G31" s="83"/>
    </row>
    <row r="32" spans="1:7">
      <c r="C32" s="8" t="s">
        <v>33</v>
      </c>
      <c r="D32" s="9"/>
      <c r="E32" s="9"/>
      <c r="F32" s="9"/>
      <c r="G32" s="89">
        <f>SUM(G21:G30)</f>
        <v>8364216</v>
      </c>
    </row>
    <row r="33" spans="1:7">
      <c r="G33" s="85"/>
    </row>
    <row r="34" spans="1:7">
      <c r="A34" s="3" t="s">
        <v>36</v>
      </c>
      <c r="G34" s="85"/>
    </row>
    <row r="35" spans="1:7">
      <c r="B35" t="s">
        <v>37</v>
      </c>
      <c r="G35" s="90">
        <v>23870185</v>
      </c>
    </row>
    <row r="36" spans="1:7">
      <c r="B36" t="s">
        <v>38</v>
      </c>
      <c r="G36" s="85"/>
    </row>
    <row r="37" spans="1:7">
      <c r="C37" t="s">
        <v>40</v>
      </c>
      <c r="G37" s="91">
        <v>1998577</v>
      </c>
    </row>
    <row r="38" spans="1:7">
      <c r="C38" t="s">
        <v>39</v>
      </c>
      <c r="G38" s="91">
        <v>990393</v>
      </c>
    </row>
    <row r="39" spans="1:7">
      <c r="B39" t="s">
        <v>42</v>
      </c>
      <c r="G39" s="98">
        <v>28303982</v>
      </c>
    </row>
    <row r="40" spans="1:7">
      <c r="G40" s="83"/>
    </row>
    <row r="41" spans="1:7">
      <c r="A41" s="3"/>
      <c r="B41" s="10" t="s">
        <v>43</v>
      </c>
      <c r="C41" s="10"/>
      <c r="D41" s="10"/>
      <c r="E41" s="10"/>
      <c r="F41" s="10"/>
      <c r="G41" s="99">
        <f>SUM(G35:G39)</f>
        <v>55163137</v>
      </c>
    </row>
    <row r="42" spans="1:7">
      <c r="G42" s="85"/>
    </row>
    <row r="43" spans="1:7">
      <c r="A43" s="3"/>
      <c r="B43" s="11" t="s">
        <v>44</v>
      </c>
      <c r="C43" s="11"/>
      <c r="D43" s="11"/>
      <c r="E43" s="11"/>
      <c r="F43" s="11"/>
      <c r="G43" s="100">
        <f>SUM(G32+G41)</f>
        <v>63527353</v>
      </c>
    </row>
    <row r="44" spans="1:7">
      <c r="G44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55"/>
  <sheetViews>
    <sheetView topLeftCell="A13" workbookViewId="0">
      <selection activeCell="I31" sqref="I31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710937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393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1" ht="14.25" customHeight="1">
      <c r="H4" s="204" t="s">
        <v>2</v>
      </c>
      <c r="I4" s="204"/>
    </row>
    <row r="5" spans="1:11" ht="31.5" customHeight="1">
      <c r="H5" s="110" t="s">
        <v>3</v>
      </c>
      <c r="I5" s="110" t="s">
        <v>137</v>
      </c>
      <c r="J5" s="111" t="s">
        <v>64</v>
      </c>
      <c r="K5" s="5"/>
    </row>
    <row r="6" spans="1:11">
      <c r="A6" s="3" t="s">
        <v>5</v>
      </c>
      <c r="D6" s="3"/>
      <c r="G6" s="4"/>
      <c r="H6" s="4"/>
      <c r="I6" s="4"/>
    </row>
    <row r="7" spans="1:11">
      <c r="A7" s="3"/>
      <c r="B7" s="5" t="s">
        <v>6</v>
      </c>
      <c r="D7" s="3"/>
      <c r="G7" s="4"/>
      <c r="H7" s="78"/>
      <c r="I7" s="78"/>
      <c r="J7" s="85"/>
    </row>
    <row r="8" spans="1:11">
      <c r="C8" t="s">
        <v>65</v>
      </c>
      <c r="H8" s="79">
        <v>5509530</v>
      </c>
      <c r="I8" s="85">
        <v>325932</v>
      </c>
      <c r="J8" s="85">
        <f t="shared" ref="J8:J18" si="0">SUM(H8:I8)</f>
        <v>5835462</v>
      </c>
    </row>
    <row r="9" spans="1:11">
      <c r="C9" t="s">
        <v>8</v>
      </c>
      <c r="H9" s="86">
        <v>3407261</v>
      </c>
      <c r="I9" s="85"/>
      <c r="J9" s="85">
        <f>SUM(H9:I9)</f>
        <v>3407261</v>
      </c>
    </row>
    <row r="10" spans="1:11">
      <c r="C10" t="s">
        <v>394</v>
      </c>
      <c r="H10" s="80">
        <v>1643857</v>
      </c>
      <c r="I10" s="85">
        <v>125158</v>
      </c>
      <c r="J10" s="85">
        <f t="shared" si="0"/>
        <v>1769015</v>
      </c>
    </row>
    <row r="11" spans="1:11">
      <c r="C11" t="s">
        <v>48</v>
      </c>
      <c r="H11" s="81">
        <v>186604</v>
      </c>
      <c r="I11" s="85"/>
      <c r="J11" s="85">
        <f>SUM(H11:I11)</f>
        <v>186604</v>
      </c>
    </row>
    <row r="12" spans="1:11">
      <c r="C12" t="s">
        <v>67</v>
      </c>
      <c r="H12" s="81">
        <v>222383</v>
      </c>
      <c r="I12" s="85">
        <v>-222383</v>
      </c>
      <c r="J12" s="85">
        <f t="shared" si="0"/>
        <v>0</v>
      </c>
    </row>
    <row r="13" spans="1:11">
      <c r="C13" t="s">
        <v>47</v>
      </c>
      <c r="H13" s="95">
        <v>12320275</v>
      </c>
      <c r="I13" s="85"/>
      <c r="J13" s="85">
        <f t="shared" si="0"/>
        <v>12320275</v>
      </c>
    </row>
    <row r="14" spans="1:11">
      <c r="C14" t="s">
        <v>395</v>
      </c>
      <c r="H14" s="95">
        <v>2945</v>
      </c>
      <c r="I14" s="85"/>
      <c r="J14" s="85">
        <f>SUM(H14:I14)</f>
        <v>2945</v>
      </c>
    </row>
    <row r="15" spans="1:11">
      <c r="C15" t="s">
        <v>396</v>
      </c>
      <c r="H15" s="81">
        <v>653977</v>
      </c>
      <c r="I15" s="85"/>
      <c r="J15" s="85">
        <f>SUM(H15:I15)</f>
        <v>653977</v>
      </c>
    </row>
    <row r="16" spans="1:11">
      <c r="C16" t="s">
        <v>168</v>
      </c>
      <c r="H16" s="81">
        <v>266580</v>
      </c>
      <c r="I16" s="85">
        <v>670</v>
      </c>
      <c r="J16" s="85">
        <f>SUM(H16:I16)</f>
        <v>267250</v>
      </c>
    </row>
    <row r="17" spans="1:10">
      <c r="C17" t="s">
        <v>68</v>
      </c>
      <c r="H17" s="85"/>
      <c r="I17" s="85"/>
      <c r="J17" s="85"/>
    </row>
    <row r="18" spans="1:10">
      <c r="D18" t="s">
        <v>7</v>
      </c>
      <c r="H18" s="79">
        <v>6871428</v>
      </c>
      <c r="I18" s="85">
        <v>78945</v>
      </c>
      <c r="J18" s="85">
        <f t="shared" si="0"/>
        <v>6950373</v>
      </c>
    </row>
    <row r="19" spans="1:10">
      <c r="D19" t="s">
        <v>8</v>
      </c>
      <c r="H19" s="86">
        <v>8630079</v>
      </c>
      <c r="I19" s="85"/>
      <c r="J19" s="85">
        <f>SUM(H19:I19)</f>
        <v>8630079</v>
      </c>
    </row>
    <row r="20" spans="1:10">
      <c r="C20" t="s">
        <v>397</v>
      </c>
      <c r="H20" s="85"/>
      <c r="I20" s="85"/>
      <c r="J20" s="85"/>
    </row>
    <row r="21" spans="1:10">
      <c r="D21" t="s">
        <v>15</v>
      </c>
      <c r="H21" s="82">
        <v>20955526</v>
      </c>
      <c r="I21" s="85">
        <v>190726</v>
      </c>
      <c r="J21" s="85">
        <f>SUM(H21:I21)</f>
        <v>21146252</v>
      </c>
    </row>
    <row r="22" spans="1:10">
      <c r="D22" t="s">
        <v>278</v>
      </c>
      <c r="H22" s="96">
        <v>122717002</v>
      </c>
      <c r="I22" s="85">
        <v>8106754</v>
      </c>
      <c r="J22" s="85">
        <f>SUM(H22:I22)</f>
        <v>130823756</v>
      </c>
    </row>
    <row r="23" spans="1:10">
      <c r="H23" s="85"/>
      <c r="I23" s="83"/>
      <c r="J23" s="83"/>
    </row>
    <row r="24" spans="1:10" s="5" customFormat="1">
      <c r="C24" s="6" t="s">
        <v>17</v>
      </c>
      <c r="D24" s="6"/>
      <c r="E24" s="6"/>
      <c r="F24" s="6"/>
      <c r="G24" s="6"/>
      <c r="H24" s="84">
        <f>SUM(H8:H22)</f>
        <v>183387447</v>
      </c>
      <c r="I24" s="84">
        <f>SUM(I8:I22)</f>
        <v>8605802</v>
      </c>
      <c r="J24" s="84">
        <f>SUM(J8:J22)</f>
        <v>191993249</v>
      </c>
    </row>
    <row r="25" spans="1:10">
      <c r="H25" s="85"/>
      <c r="I25" s="85"/>
      <c r="J25" s="85"/>
    </row>
    <row r="26" spans="1:10">
      <c r="B26" t="s">
        <v>71</v>
      </c>
      <c r="H26" s="85"/>
      <c r="I26" s="85"/>
      <c r="J26" s="85"/>
    </row>
    <row r="27" spans="1:10">
      <c r="C27" t="s">
        <v>398</v>
      </c>
      <c r="H27" s="85">
        <v>377331</v>
      </c>
      <c r="I27" s="85"/>
      <c r="J27" s="85">
        <f>SUM(H27:I27)</f>
        <v>377331</v>
      </c>
    </row>
    <row r="28" spans="1:10">
      <c r="H28" s="83"/>
      <c r="I28" s="83"/>
      <c r="J28" s="83"/>
    </row>
    <row r="29" spans="1:10">
      <c r="E29" s="132" t="s">
        <v>399</v>
      </c>
      <c r="F29" s="132"/>
      <c r="G29" s="132"/>
      <c r="H29" s="133">
        <f>SUM(H24+H27)</f>
        <v>183764778</v>
      </c>
      <c r="I29" s="133">
        <f>SUM(I24+I27)</f>
        <v>8605802</v>
      </c>
      <c r="J29" s="133">
        <f>SUM(J24+J27)</f>
        <v>192370580</v>
      </c>
    </row>
    <row r="30" spans="1:10">
      <c r="H30" s="85"/>
      <c r="I30" s="85"/>
      <c r="J30" s="85"/>
    </row>
    <row r="31" spans="1:10">
      <c r="A31" s="5" t="s">
        <v>20</v>
      </c>
      <c r="H31" s="85"/>
      <c r="I31" s="85"/>
      <c r="J31" s="85"/>
    </row>
    <row r="32" spans="1:10">
      <c r="C32" t="s">
        <v>143</v>
      </c>
      <c r="H32" s="86">
        <v>5537668</v>
      </c>
      <c r="I32" s="85">
        <v>149695</v>
      </c>
      <c r="J32" s="85">
        <f>SUM(H32:I32)</f>
        <v>5687363</v>
      </c>
    </row>
    <row r="33" spans="1:10">
      <c r="C33" t="s">
        <v>400</v>
      </c>
      <c r="H33" s="81">
        <v>1092566</v>
      </c>
      <c r="I33" s="85"/>
      <c r="J33" s="85">
        <f>SUM(H33:I33)</f>
        <v>1092566</v>
      </c>
    </row>
    <row r="34" spans="1:10">
      <c r="C34" t="s">
        <v>211</v>
      </c>
      <c r="H34" s="131">
        <v>574768</v>
      </c>
      <c r="I34" s="85"/>
      <c r="J34" s="85">
        <f>SUM(H34:I34)</f>
        <v>574768</v>
      </c>
    </row>
    <row r="35" spans="1:10">
      <c r="C35" t="s">
        <v>280</v>
      </c>
      <c r="H35" s="81">
        <v>19700</v>
      </c>
      <c r="I35" s="85"/>
      <c r="J35" s="85">
        <f>SUM(H35:I35)</f>
        <v>19700</v>
      </c>
    </row>
    <row r="36" spans="1:10">
      <c r="C36" t="s">
        <v>401</v>
      </c>
      <c r="H36" s="86">
        <v>1284931</v>
      </c>
      <c r="I36" s="85">
        <v>2881</v>
      </c>
      <c r="J36" s="85">
        <f>SUM(H36:I36)</f>
        <v>1287812</v>
      </c>
    </row>
    <row r="37" spans="1:10">
      <c r="C37" t="s">
        <v>402</v>
      </c>
      <c r="H37" s="85"/>
      <c r="I37" s="85"/>
      <c r="J37" s="85"/>
    </row>
    <row r="38" spans="1:10">
      <c r="E38" t="s">
        <v>81</v>
      </c>
      <c r="H38" s="97">
        <v>6216751</v>
      </c>
      <c r="I38" s="85">
        <v>84949</v>
      </c>
      <c r="J38" s="85">
        <f>SUM(H38:I38)</f>
        <v>6301700</v>
      </c>
    </row>
    <row r="39" spans="1:10">
      <c r="E39" t="s">
        <v>82</v>
      </c>
      <c r="H39" s="79">
        <v>80849877</v>
      </c>
      <c r="I39" s="85">
        <v>2493066</v>
      </c>
      <c r="J39" s="85">
        <f>SUM(H39:I39)</f>
        <v>83342943</v>
      </c>
    </row>
    <row r="40" spans="1:10">
      <c r="H40" s="83"/>
      <c r="I40" s="83"/>
      <c r="J40" s="83"/>
    </row>
    <row r="41" spans="1:10">
      <c r="D41" s="8" t="s">
        <v>33</v>
      </c>
      <c r="E41" s="9"/>
      <c r="F41" s="9"/>
      <c r="G41" s="9"/>
      <c r="H41" s="89">
        <f>SUM(H32:H39)</f>
        <v>95576261</v>
      </c>
      <c r="I41" s="89">
        <f>SUM(I32:I39)</f>
        <v>2730591</v>
      </c>
      <c r="J41" s="89">
        <f>SUM(J32:J39)</f>
        <v>98306852</v>
      </c>
    </row>
    <row r="42" spans="1:10">
      <c r="H42" s="85"/>
      <c r="I42" s="85"/>
      <c r="J42" s="85"/>
    </row>
    <row r="43" spans="1:10">
      <c r="A43" s="3" t="s">
        <v>36</v>
      </c>
      <c r="H43" s="85"/>
      <c r="I43" s="85"/>
      <c r="J43" s="85"/>
    </row>
    <row r="44" spans="1:10">
      <c r="B44" t="s">
        <v>99</v>
      </c>
      <c r="H44" s="90">
        <v>63010299</v>
      </c>
      <c r="I44" s="85">
        <v>5719966</v>
      </c>
      <c r="J44" s="85">
        <f>SUM(H44:I44)</f>
        <v>68730265</v>
      </c>
    </row>
    <row r="45" spans="1:10">
      <c r="B45" t="s">
        <v>38</v>
      </c>
      <c r="H45" s="85"/>
      <c r="I45" s="85"/>
      <c r="J45" s="85"/>
    </row>
    <row r="46" spans="1:10">
      <c r="C46" t="s">
        <v>284</v>
      </c>
      <c r="H46" s="91">
        <v>7492916</v>
      </c>
      <c r="I46" s="85"/>
      <c r="J46" s="85">
        <f t="shared" ref="J46:J50" si="1">SUM(H46:I46)</f>
        <v>7492916</v>
      </c>
    </row>
    <row r="47" spans="1:10">
      <c r="C47" t="s">
        <v>403</v>
      </c>
      <c r="H47" s="91">
        <v>54995</v>
      </c>
      <c r="I47" s="85"/>
      <c r="J47" s="85">
        <f t="shared" si="1"/>
        <v>54995</v>
      </c>
    </row>
    <row r="48" spans="1:10">
      <c r="C48" t="s">
        <v>404</v>
      </c>
      <c r="H48" s="91">
        <v>8821586</v>
      </c>
      <c r="I48" s="85"/>
      <c r="J48" s="85">
        <f t="shared" si="1"/>
        <v>8821586</v>
      </c>
    </row>
    <row r="49" spans="2:10">
      <c r="C49" t="s">
        <v>405</v>
      </c>
      <c r="H49" s="91">
        <v>92784</v>
      </c>
      <c r="I49" s="85"/>
      <c r="J49" s="85">
        <f t="shared" si="1"/>
        <v>92784</v>
      </c>
    </row>
    <row r="50" spans="2:10">
      <c r="B50" t="s">
        <v>42</v>
      </c>
      <c r="H50" s="98">
        <v>8715937</v>
      </c>
      <c r="I50" s="85">
        <v>155245</v>
      </c>
      <c r="J50" s="85">
        <f t="shared" si="1"/>
        <v>8871182</v>
      </c>
    </row>
    <row r="51" spans="2:10">
      <c r="H51" s="83"/>
      <c r="I51" s="83"/>
      <c r="J51" s="83"/>
    </row>
    <row r="52" spans="2:10" s="3" customFormat="1">
      <c r="C52" s="10" t="s">
        <v>43</v>
      </c>
      <c r="D52" s="10"/>
      <c r="E52" s="10"/>
      <c r="F52" s="10"/>
      <c r="G52" s="10"/>
      <c r="H52" s="99">
        <f>SUM(H44:H50)</f>
        <v>88188517</v>
      </c>
      <c r="I52" s="99">
        <f>SUM(I44:I50)</f>
        <v>5875211</v>
      </c>
      <c r="J52" s="99">
        <f>SUM(J43:J50)</f>
        <v>94063728</v>
      </c>
    </row>
    <row r="53" spans="2:10">
      <c r="H53" s="85"/>
      <c r="I53" s="85"/>
      <c r="J53" s="85"/>
    </row>
    <row r="54" spans="2:10" s="3" customFormat="1">
      <c r="C54" s="11" t="s">
        <v>44</v>
      </c>
      <c r="D54" s="11"/>
      <c r="E54" s="11"/>
      <c r="F54" s="11"/>
      <c r="G54" s="11"/>
      <c r="H54" s="100">
        <f>SUM(H41+H52)</f>
        <v>183764778</v>
      </c>
      <c r="I54" s="100">
        <f>SUM(I52+I41)</f>
        <v>8605802</v>
      </c>
      <c r="J54" s="100">
        <f>SUM(J52+J41)</f>
        <v>192370580</v>
      </c>
    </row>
    <row r="55" spans="2:10">
      <c r="H55" s="85"/>
      <c r="I55" s="85"/>
      <c r="J55" s="85"/>
    </row>
  </sheetData>
  <mergeCells count="3">
    <mergeCell ref="D1:H1"/>
    <mergeCell ref="D2:H2"/>
    <mergeCell ref="H4:I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5"/>
  <sheetViews>
    <sheetView workbookViewId="0">
      <selection activeCell="J18" sqref="J18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406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4448930</v>
      </c>
    </row>
    <row r="7" spans="1:7">
      <c r="B7" t="s">
        <v>8</v>
      </c>
      <c r="G7" s="86">
        <v>2949665</v>
      </c>
    </row>
    <row r="8" spans="1:7">
      <c r="B8" t="s">
        <v>276</v>
      </c>
      <c r="G8" s="80">
        <v>5726410</v>
      </c>
    </row>
    <row r="9" spans="1:7">
      <c r="B9" t="s">
        <v>108</v>
      </c>
      <c r="G9" s="96">
        <v>8177367</v>
      </c>
    </row>
    <row r="10" spans="1:7">
      <c r="G10" s="85"/>
    </row>
    <row r="11" spans="1:7">
      <c r="A11" s="5"/>
      <c r="B11" s="6" t="s">
        <v>17</v>
      </c>
      <c r="C11" s="6"/>
      <c r="D11" s="6"/>
      <c r="E11" s="6"/>
      <c r="F11" s="6"/>
      <c r="G11" s="84">
        <f>SUM(G6:G9)</f>
        <v>21302372</v>
      </c>
    </row>
    <row r="12" spans="1:7">
      <c r="G12" s="85"/>
    </row>
    <row r="13" spans="1:7">
      <c r="A13" s="5" t="s">
        <v>20</v>
      </c>
      <c r="G13" s="85"/>
    </row>
    <row r="14" spans="1:7">
      <c r="A14" s="5"/>
      <c r="B14" t="s">
        <v>407</v>
      </c>
      <c r="G14" s="86">
        <v>272870</v>
      </c>
    </row>
    <row r="15" spans="1:7">
      <c r="A15" s="5"/>
      <c r="B15" t="s">
        <v>27</v>
      </c>
      <c r="G15" s="85"/>
    </row>
    <row r="16" spans="1:7">
      <c r="A16" s="5"/>
      <c r="C16" t="s">
        <v>81</v>
      </c>
      <c r="G16" s="97">
        <v>39058</v>
      </c>
    </row>
    <row r="17" spans="1:7">
      <c r="A17" s="5"/>
      <c r="C17" t="s">
        <v>82</v>
      </c>
      <c r="G17" s="79">
        <v>514428</v>
      </c>
    </row>
    <row r="18" spans="1:7">
      <c r="G18" s="83"/>
    </row>
    <row r="19" spans="1:7">
      <c r="C19" s="8" t="s">
        <v>33</v>
      </c>
      <c r="D19" s="9"/>
      <c r="E19" s="9"/>
      <c r="F19" s="9"/>
      <c r="G19" s="89">
        <f>SUM(G14:G17)</f>
        <v>826356</v>
      </c>
    </row>
    <row r="20" spans="1:7">
      <c r="G20" s="85"/>
    </row>
    <row r="21" spans="1:7">
      <c r="A21" s="3" t="s">
        <v>36</v>
      </c>
      <c r="G21" s="85"/>
    </row>
    <row r="22" spans="1:7">
      <c r="B22" t="s">
        <v>99</v>
      </c>
      <c r="G22" s="90">
        <v>8055870</v>
      </c>
    </row>
    <row r="23" spans="1:7">
      <c r="B23" t="s">
        <v>38</v>
      </c>
      <c r="G23" s="85"/>
    </row>
    <row r="24" spans="1:7">
      <c r="C24" t="s">
        <v>242</v>
      </c>
      <c r="G24" s="91">
        <v>1314818</v>
      </c>
    </row>
    <row r="25" spans="1:7">
      <c r="C25" t="s">
        <v>408</v>
      </c>
      <c r="G25" s="91">
        <v>1553590</v>
      </c>
    </row>
    <row r="26" spans="1:7">
      <c r="C26" t="s">
        <v>247</v>
      </c>
      <c r="G26" s="91">
        <v>1004915</v>
      </c>
    </row>
    <row r="27" spans="1:7">
      <c r="C27" t="s">
        <v>409</v>
      </c>
      <c r="G27" s="91">
        <v>1771399</v>
      </c>
    </row>
    <row r="28" spans="1:7">
      <c r="C28" t="s">
        <v>410</v>
      </c>
      <c r="G28" s="91">
        <v>5024280</v>
      </c>
    </row>
    <row r="29" spans="1:7">
      <c r="C29" t="s">
        <v>411</v>
      </c>
      <c r="G29" s="91">
        <v>1307046</v>
      </c>
    </row>
    <row r="30" spans="1:7">
      <c r="B30" t="s">
        <v>42</v>
      </c>
      <c r="G30" s="98">
        <v>444098</v>
      </c>
    </row>
    <row r="31" spans="1:7">
      <c r="G31" s="83"/>
    </row>
    <row r="32" spans="1:7">
      <c r="A32" s="3"/>
      <c r="B32" s="10" t="s">
        <v>43</v>
      </c>
      <c r="C32" s="10"/>
      <c r="D32" s="10"/>
      <c r="E32" s="10"/>
      <c r="F32" s="10"/>
      <c r="G32" s="99">
        <f>SUM(G22:G30)</f>
        <v>20476016</v>
      </c>
    </row>
    <row r="33" spans="1:7">
      <c r="G33" s="85"/>
    </row>
    <row r="34" spans="1:7">
      <c r="A34" s="3"/>
      <c r="B34" s="11" t="s">
        <v>44</v>
      </c>
      <c r="C34" s="11"/>
      <c r="D34" s="11"/>
      <c r="E34" s="11"/>
      <c r="F34" s="11"/>
      <c r="G34" s="100">
        <f>SUM(G19+G32)</f>
        <v>21302372</v>
      </c>
    </row>
    <row r="35" spans="1:7">
      <c r="G35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5"/>
  <sheetViews>
    <sheetView workbookViewId="0">
      <selection activeCell="G35" sqref="G35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412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9">
        <v>3855174</v>
      </c>
    </row>
    <row r="7" spans="1:7">
      <c r="B7" t="s">
        <v>8</v>
      </c>
      <c r="G7" s="86">
        <v>525000</v>
      </c>
    </row>
    <row r="8" spans="1:7">
      <c r="B8" t="s">
        <v>46</v>
      </c>
      <c r="G8" s="80">
        <v>2339602</v>
      </c>
    </row>
    <row r="9" spans="1:7">
      <c r="B9" t="s">
        <v>14</v>
      </c>
      <c r="G9" s="85"/>
    </row>
    <row r="10" spans="1:7">
      <c r="C10" t="s">
        <v>121</v>
      </c>
      <c r="G10" s="82">
        <v>778626</v>
      </c>
    </row>
    <row r="11" spans="1:7">
      <c r="C11" t="s">
        <v>152</v>
      </c>
      <c r="G11" s="96">
        <v>12865795</v>
      </c>
    </row>
    <row r="12" spans="1:7">
      <c r="G12" s="85"/>
    </row>
    <row r="13" spans="1:7">
      <c r="A13" s="5"/>
      <c r="B13" s="6" t="s">
        <v>17</v>
      </c>
      <c r="C13" s="6"/>
      <c r="D13" s="6"/>
      <c r="E13" s="6"/>
      <c r="F13" s="6"/>
      <c r="G13" s="84">
        <f>SUM(G6:G11)</f>
        <v>20364197</v>
      </c>
    </row>
    <row r="14" spans="1:7">
      <c r="G14" s="85"/>
    </row>
    <row r="15" spans="1:7">
      <c r="A15" s="5" t="s">
        <v>20</v>
      </c>
      <c r="G15" s="85"/>
    </row>
    <row r="16" spans="1:7">
      <c r="A16" s="5"/>
      <c r="B16" t="s">
        <v>413</v>
      </c>
      <c r="G16" s="81">
        <v>2067087</v>
      </c>
    </row>
    <row r="17" spans="1:7">
      <c r="B17" t="s">
        <v>21</v>
      </c>
      <c r="G17" s="86">
        <v>253492</v>
      </c>
    </row>
    <row r="18" spans="1:7">
      <c r="B18" t="s">
        <v>414</v>
      </c>
      <c r="G18" s="86">
        <v>27496</v>
      </c>
    </row>
    <row r="19" spans="1:7">
      <c r="B19" t="s">
        <v>27</v>
      </c>
      <c r="G19" s="85"/>
    </row>
    <row r="20" spans="1:7">
      <c r="C20" t="s">
        <v>81</v>
      </c>
      <c r="G20" s="97">
        <v>34542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SUM(G16:G20)</f>
        <v>2382617</v>
      </c>
    </row>
    <row r="23" spans="1:7">
      <c r="G23" s="85"/>
    </row>
    <row r="24" spans="1:7">
      <c r="A24" s="5" t="s">
        <v>84</v>
      </c>
      <c r="G24" s="85"/>
    </row>
    <row r="25" spans="1:7">
      <c r="B25" t="s">
        <v>415</v>
      </c>
      <c r="G25" s="85">
        <v>2110568</v>
      </c>
    </row>
    <row r="26" spans="1:7">
      <c r="G26" s="83"/>
    </row>
    <row r="27" spans="1:7">
      <c r="A27" s="3" t="s">
        <v>36</v>
      </c>
      <c r="G27" s="85"/>
    </row>
    <row r="28" spans="1:7">
      <c r="B28" t="s">
        <v>416</v>
      </c>
      <c r="G28" s="90">
        <v>13644421</v>
      </c>
    </row>
    <row r="29" spans="1:7">
      <c r="B29" t="s">
        <v>417</v>
      </c>
      <c r="G29" s="91">
        <v>4215876</v>
      </c>
    </row>
    <row r="30" spans="1:7">
      <c r="B30" t="s">
        <v>42</v>
      </c>
      <c r="G30" s="98">
        <v>-1989285</v>
      </c>
    </row>
    <row r="31" spans="1:7">
      <c r="G31" s="83"/>
    </row>
    <row r="32" spans="1:7">
      <c r="A32" s="3"/>
      <c r="B32" s="10" t="s">
        <v>43</v>
      </c>
      <c r="C32" s="10"/>
      <c r="D32" s="10"/>
      <c r="E32" s="10"/>
      <c r="F32" s="10"/>
      <c r="G32" s="99">
        <f>SUM(G28:G30)</f>
        <v>15871012</v>
      </c>
    </row>
    <row r="33" spans="1:7">
      <c r="G33" s="85"/>
    </row>
    <row r="34" spans="1:7">
      <c r="A34" s="3"/>
      <c r="B34" s="11" t="s">
        <v>44</v>
      </c>
      <c r="C34" s="11"/>
      <c r="D34" s="11"/>
      <c r="E34" s="11"/>
      <c r="F34" s="11"/>
      <c r="G34" s="100">
        <f>SUM(G22+G32+G25)</f>
        <v>20364197</v>
      </c>
    </row>
    <row r="35" spans="1:7">
      <c r="G35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42"/>
  <sheetViews>
    <sheetView workbookViewId="0">
      <selection activeCell="E26" sqref="E26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3" customWidth="1"/>
    <col min="8" max="8" width="17.140625" customWidth="1"/>
  </cols>
  <sheetData>
    <row r="1" spans="1:9" ht="18.75" customHeight="1">
      <c r="A1" s="1"/>
      <c r="B1" s="1"/>
      <c r="C1" s="1"/>
      <c r="D1" s="202" t="s">
        <v>418</v>
      </c>
      <c r="E1" s="202"/>
      <c r="F1" s="202"/>
      <c r="G1" s="202"/>
      <c r="H1" s="202"/>
    </row>
    <row r="2" spans="1:9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9" ht="31.5" customHeight="1">
      <c r="H4" s="110" t="s">
        <v>3</v>
      </c>
      <c r="I4" s="5"/>
    </row>
    <row r="5" spans="1:9">
      <c r="A5" s="3" t="s">
        <v>5</v>
      </c>
      <c r="D5" s="3"/>
      <c r="G5" s="4"/>
      <c r="H5" s="4"/>
    </row>
    <row r="6" spans="1:9">
      <c r="A6" s="3"/>
      <c r="B6" s="5" t="s">
        <v>6</v>
      </c>
      <c r="D6" s="3"/>
      <c r="G6" s="4"/>
      <c r="H6" s="78"/>
    </row>
    <row r="7" spans="1:9">
      <c r="C7" t="s">
        <v>65</v>
      </c>
      <c r="H7" s="79">
        <v>6692314</v>
      </c>
    </row>
    <row r="8" spans="1:9">
      <c r="C8" t="s">
        <v>419</v>
      </c>
      <c r="H8" s="80">
        <v>6580976</v>
      </c>
    </row>
    <row r="9" spans="1:9">
      <c r="H9" s="83"/>
    </row>
    <row r="10" spans="1:9" s="5" customFormat="1">
      <c r="C10" s="107" t="s">
        <v>105</v>
      </c>
      <c r="D10" s="107"/>
      <c r="E10" s="107"/>
      <c r="F10" s="107"/>
      <c r="G10" s="107"/>
      <c r="H10" s="108">
        <f>SUM(H7:H8)</f>
        <v>13273290</v>
      </c>
    </row>
    <row r="11" spans="1:9">
      <c r="H11" s="85"/>
    </row>
    <row r="12" spans="1:9" s="5" customFormat="1">
      <c r="B12" s="5" t="s">
        <v>106</v>
      </c>
      <c r="H12" s="105"/>
    </row>
    <row r="13" spans="1:9">
      <c r="C13" t="s">
        <v>50</v>
      </c>
      <c r="H13" s="82">
        <v>10706052</v>
      </c>
    </row>
    <row r="14" spans="1:9">
      <c r="H14" s="83"/>
    </row>
    <row r="15" spans="1:9" s="5" customFormat="1">
      <c r="C15" s="107" t="s">
        <v>109</v>
      </c>
      <c r="D15" s="107"/>
      <c r="E15" s="107"/>
      <c r="F15" s="107"/>
      <c r="G15" s="107"/>
      <c r="H15" s="108">
        <f>SUM(H13)</f>
        <v>10706052</v>
      </c>
    </row>
    <row r="16" spans="1:9">
      <c r="H16" s="85"/>
    </row>
    <row r="17" spans="1:8" s="5" customFormat="1">
      <c r="C17" s="6" t="s">
        <v>17</v>
      </c>
      <c r="D17" s="6"/>
      <c r="E17" s="6"/>
      <c r="F17" s="6"/>
      <c r="G17" s="6"/>
      <c r="H17" s="84">
        <f>SUM(H10+H15)</f>
        <v>23979342</v>
      </c>
    </row>
    <row r="18" spans="1:8">
      <c r="H18" s="85"/>
    </row>
    <row r="19" spans="1:8">
      <c r="A19" s="5" t="s">
        <v>20</v>
      </c>
      <c r="H19" s="85"/>
    </row>
    <row r="20" spans="1:8" s="5" customFormat="1">
      <c r="B20" s="5" t="s">
        <v>110</v>
      </c>
      <c r="H20" s="105"/>
    </row>
    <row r="21" spans="1:8">
      <c r="A21" s="5"/>
      <c r="C21" t="s">
        <v>259</v>
      </c>
      <c r="H21" s="112">
        <v>27017</v>
      </c>
    </row>
    <row r="22" spans="1:8">
      <c r="C22" t="s">
        <v>21</v>
      </c>
      <c r="H22" s="86">
        <v>623794</v>
      </c>
    </row>
    <row r="23" spans="1:8">
      <c r="C23" t="s">
        <v>77</v>
      </c>
      <c r="H23" s="116">
        <v>402461</v>
      </c>
    </row>
    <row r="24" spans="1:8">
      <c r="C24" t="s">
        <v>211</v>
      </c>
      <c r="H24" s="101">
        <v>894223</v>
      </c>
    </row>
    <row r="25" spans="1:8">
      <c r="H25" s="83"/>
    </row>
    <row r="26" spans="1:8">
      <c r="D26" s="107" t="s">
        <v>114</v>
      </c>
      <c r="E26" s="109"/>
      <c r="F26" s="109"/>
      <c r="G26" s="109"/>
      <c r="H26" s="108">
        <f>SUM(H21:H24)</f>
        <v>1947495</v>
      </c>
    </row>
    <row r="27" spans="1:8">
      <c r="H27" s="85"/>
    </row>
    <row r="28" spans="1:8" s="5" customFormat="1">
      <c r="B28" s="5" t="s">
        <v>420</v>
      </c>
      <c r="H28" s="105"/>
    </row>
    <row r="29" spans="1:8" s="5" customFormat="1">
      <c r="C29" t="s">
        <v>421</v>
      </c>
      <c r="H29" s="88">
        <v>142189</v>
      </c>
    </row>
    <row r="30" spans="1:8">
      <c r="H30" s="83"/>
    </row>
    <row r="31" spans="1:8">
      <c r="D31" s="107" t="s">
        <v>116</v>
      </c>
      <c r="E31" s="109"/>
      <c r="F31" s="109"/>
      <c r="G31" s="109"/>
      <c r="H31" s="108">
        <f>SUM(H29:H29)</f>
        <v>142189</v>
      </c>
    </row>
    <row r="32" spans="1:8">
      <c r="H32" s="85"/>
    </row>
    <row r="33" spans="1:8">
      <c r="D33" s="8" t="s">
        <v>33</v>
      </c>
      <c r="E33" s="9"/>
      <c r="F33" s="9"/>
      <c r="G33" s="9"/>
      <c r="H33" s="89">
        <f>SUM(H26+H31)</f>
        <v>2089684</v>
      </c>
    </row>
    <row r="34" spans="1:8">
      <c r="H34" s="85"/>
    </row>
    <row r="35" spans="1:8">
      <c r="A35" s="3" t="s">
        <v>36</v>
      </c>
      <c r="H35" s="85"/>
    </row>
    <row r="36" spans="1:8">
      <c r="B36" t="s">
        <v>37</v>
      </c>
      <c r="H36" s="90">
        <v>10706052</v>
      </c>
    </row>
    <row r="37" spans="1:8">
      <c r="B37" t="s">
        <v>42</v>
      </c>
      <c r="H37" s="98">
        <v>11183606</v>
      </c>
    </row>
    <row r="38" spans="1:8">
      <c r="H38" s="83"/>
    </row>
    <row r="39" spans="1:8" s="3" customFormat="1">
      <c r="C39" s="10" t="s">
        <v>43</v>
      </c>
      <c r="D39" s="10"/>
      <c r="E39" s="10"/>
      <c r="F39" s="10"/>
      <c r="G39" s="10"/>
      <c r="H39" s="99">
        <f>SUM(H36:H37)</f>
        <v>21889658</v>
      </c>
    </row>
    <row r="40" spans="1:8">
      <c r="H40" s="85"/>
    </row>
    <row r="41" spans="1:8" s="3" customFormat="1">
      <c r="C41" s="11" t="s">
        <v>44</v>
      </c>
      <c r="D41" s="11"/>
      <c r="E41" s="11"/>
      <c r="F41" s="11"/>
      <c r="G41" s="11"/>
      <c r="H41" s="100">
        <f>SUM(H33+H39)</f>
        <v>23979342</v>
      </c>
    </row>
    <row r="42" spans="1:8">
      <c r="H42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58"/>
  <sheetViews>
    <sheetView workbookViewId="0">
      <selection activeCell="H57" sqref="H57:I57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02" t="s">
        <v>422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14.25" customHeight="1">
      <c r="H4" s="71" t="s">
        <v>2</v>
      </c>
    </row>
    <row r="5" spans="1:10" ht="31.5" customHeight="1">
      <c r="H5" s="2" t="s">
        <v>3</v>
      </c>
      <c r="I5" s="94" t="s">
        <v>4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65</v>
      </c>
      <c r="H7" s="79">
        <v>62125000</v>
      </c>
      <c r="I7" s="85">
        <v>116617000</v>
      </c>
    </row>
    <row r="8" spans="1:10">
      <c r="C8" t="s">
        <v>8</v>
      </c>
      <c r="H8" s="86">
        <v>165644000</v>
      </c>
      <c r="I8" s="85">
        <v>68472000</v>
      </c>
    </row>
    <row r="9" spans="1:10">
      <c r="C9" t="s">
        <v>423</v>
      </c>
      <c r="H9" s="85"/>
      <c r="I9" s="85"/>
    </row>
    <row r="10" spans="1:10">
      <c r="D10" t="s">
        <v>424</v>
      </c>
      <c r="H10" s="80">
        <v>31443000</v>
      </c>
      <c r="I10" s="85">
        <v>8390000</v>
      </c>
    </row>
    <row r="11" spans="1:10">
      <c r="D11" t="s">
        <v>336</v>
      </c>
      <c r="H11" s="80">
        <v>10841000</v>
      </c>
      <c r="I11" s="85">
        <v>26138000</v>
      </c>
    </row>
    <row r="12" spans="1:10">
      <c r="D12" t="s">
        <v>334</v>
      </c>
      <c r="H12" s="141"/>
      <c r="I12" s="85">
        <v>28000</v>
      </c>
    </row>
    <row r="13" spans="1:10">
      <c r="D13" t="s">
        <v>425</v>
      </c>
      <c r="H13" s="80">
        <v>1517000</v>
      </c>
      <c r="I13" s="85">
        <v>12432000</v>
      </c>
    </row>
    <row r="14" spans="1:10">
      <c r="D14" t="s">
        <v>182</v>
      </c>
      <c r="H14" s="85"/>
      <c r="I14" s="85">
        <v>21467000</v>
      </c>
    </row>
    <row r="15" spans="1:10">
      <c r="C15" t="s">
        <v>13</v>
      </c>
      <c r="H15" s="95">
        <v>19627000</v>
      </c>
      <c r="I15" s="85"/>
    </row>
    <row r="16" spans="1:10">
      <c r="C16" t="s">
        <v>47</v>
      </c>
      <c r="H16" s="95">
        <v>53213000</v>
      </c>
      <c r="I16" s="85">
        <v>2674000</v>
      </c>
    </row>
    <row r="17" spans="1:9">
      <c r="C17" t="s">
        <v>69</v>
      </c>
      <c r="H17" s="81">
        <v>24000</v>
      </c>
      <c r="I17" s="85">
        <v>36304000</v>
      </c>
    </row>
    <row r="18" spans="1:9">
      <c r="C18" t="s">
        <v>426</v>
      </c>
      <c r="H18" s="85"/>
      <c r="I18" s="85">
        <v>199268000</v>
      </c>
    </row>
    <row r="19" spans="1:9">
      <c r="C19" t="s">
        <v>297</v>
      </c>
      <c r="H19" s="96">
        <v>1550110000</v>
      </c>
      <c r="I19" s="85">
        <v>2945985000</v>
      </c>
    </row>
    <row r="20" spans="1:9">
      <c r="H20" s="85"/>
      <c r="I20" s="83"/>
    </row>
    <row r="21" spans="1:9" s="5" customFormat="1">
      <c r="C21" s="6" t="s">
        <v>17</v>
      </c>
      <c r="D21" s="6"/>
      <c r="E21" s="6"/>
      <c r="F21" s="6"/>
      <c r="G21" s="6"/>
      <c r="H21" s="84">
        <f>SUM(H7:H19)</f>
        <v>1894544000</v>
      </c>
      <c r="I21" s="84">
        <f>SUM(I7:I19)</f>
        <v>3437775000</v>
      </c>
    </row>
    <row r="22" spans="1:9">
      <c r="H22" s="85"/>
      <c r="I22" s="85"/>
    </row>
    <row r="23" spans="1:9">
      <c r="A23" s="5" t="s">
        <v>71</v>
      </c>
      <c r="H23" s="85"/>
      <c r="I23" s="85"/>
    </row>
    <row r="24" spans="1:9">
      <c r="B24" t="s">
        <v>427</v>
      </c>
      <c r="H24" s="142">
        <v>7241</v>
      </c>
      <c r="I24" s="142">
        <v>20654</v>
      </c>
    </row>
    <row r="25" spans="1:9">
      <c r="H25" s="85"/>
      <c r="I25" s="85"/>
    </row>
    <row r="26" spans="1:9">
      <c r="C26" s="107" t="s">
        <v>228</v>
      </c>
      <c r="D26" s="107"/>
      <c r="E26" s="107"/>
      <c r="F26" s="107"/>
      <c r="G26" s="107"/>
      <c r="H26" s="108">
        <f>H24</f>
        <v>7241</v>
      </c>
      <c r="I26" s="108">
        <f>I24</f>
        <v>20654</v>
      </c>
    </row>
    <row r="27" spans="1:9">
      <c r="H27" s="85"/>
      <c r="I27" s="85"/>
    </row>
    <row r="28" spans="1:9">
      <c r="A28" s="5" t="s">
        <v>20</v>
      </c>
      <c r="H28" s="85"/>
      <c r="I28" s="85"/>
    </row>
    <row r="29" spans="1:9">
      <c r="C29" t="s">
        <v>21</v>
      </c>
      <c r="H29" s="86">
        <v>84953000</v>
      </c>
      <c r="I29" s="85">
        <v>57297000</v>
      </c>
    </row>
    <row r="30" spans="1:9">
      <c r="C30" t="s">
        <v>22</v>
      </c>
      <c r="H30" s="86">
        <v>3728000</v>
      </c>
      <c r="I30" s="85">
        <v>6548000</v>
      </c>
    </row>
    <row r="31" spans="1:9">
      <c r="C31" t="s">
        <v>288</v>
      </c>
      <c r="H31" s="81">
        <v>1001000</v>
      </c>
      <c r="I31" s="85">
        <v>29846000</v>
      </c>
    </row>
    <row r="32" spans="1:9">
      <c r="C32" t="s">
        <v>428</v>
      </c>
      <c r="H32" s="86">
        <v>5422000</v>
      </c>
      <c r="I32" s="85"/>
    </row>
    <row r="33" spans="1:9">
      <c r="C33" t="s">
        <v>429</v>
      </c>
      <c r="H33" s="86">
        <v>6218000</v>
      </c>
      <c r="I33" s="85">
        <v>13653000</v>
      </c>
    </row>
    <row r="34" spans="1:9">
      <c r="C34" t="s">
        <v>156</v>
      </c>
      <c r="H34" s="101">
        <v>59000</v>
      </c>
      <c r="I34" s="85"/>
    </row>
    <row r="35" spans="1:9">
      <c r="C35" t="s">
        <v>211</v>
      </c>
      <c r="H35" s="101">
        <v>10217000</v>
      </c>
      <c r="I35" s="85">
        <v>31650000</v>
      </c>
    </row>
    <row r="36" spans="1:9">
      <c r="C36" t="s">
        <v>24</v>
      </c>
      <c r="H36" s="81">
        <v>2744000</v>
      </c>
      <c r="I36" s="85"/>
    </row>
    <row r="37" spans="1:9">
      <c r="C37" t="s">
        <v>174</v>
      </c>
      <c r="H37" s="85"/>
      <c r="I37" s="85">
        <v>17460000</v>
      </c>
    </row>
    <row r="38" spans="1:9">
      <c r="C38" t="s">
        <v>430</v>
      </c>
      <c r="H38" s="97">
        <v>163403000</v>
      </c>
      <c r="I38" s="85">
        <v>44880000</v>
      </c>
    </row>
    <row r="39" spans="1:9">
      <c r="C39" t="s">
        <v>206</v>
      </c>
      <c r="H39" s="79">
        <v>1431852000</v>
      </c>
      <c r="I39" s="85">
        <v>810323000</v>
      </c>
    </row>
    <row r="40" spans="1:9">
      <c r="H40" s="83"/>
      <c r="I40" s="83"/>
    </row>
    <row r="41" spans="1:9">
      <c r="D41" s="8" t="s">
        <v>33</v>
      </c>
      <c r="E41" s="9"/>
      <c r="F41" s="9"/>
      <c r="G41" s="9"/>
      <c r="H41" s="89">
        <f>SUM(H29:H39)</f>
        <v>1709597000</v>
      </c>
      <c r="I41" s="89">
        <f>SUM(I29:I39)</f>
        <v>1011657000</v>
      </c>
    </row>
    <row r="42" spans="1:9">
      <c r="H42" s="85"/>
      <c r="I42" s="85"/>
    </row>
    <row r="43" spans="1:9">
      <c r="A43" s="5" t="s">
        <v>84</v>
      </c>
      <c r="H43" s="85"/>
      <c r="I43" s="85"/>
    </row>
    <row r="44" spans="1:9">
      <c r="B44" t="s">
        <v>431</v>
      </c>
      <c r="H44" s="142">
        <v>7386</v>
      </c>
      <c r="I44" s="142">
        <v>2031</v>
      </c>
    </row>
    <row r="45" spans="1:9">
      <c r="H45" s="85"/>
      <c r="I45" s="85"/>
    </row>
    <row r="46" spans="1:9">
      <c r="C46" s="107" t="s">
        <v>87</v>
      </c>
      <c r="D46" s="107"/>
      <c r="E46" s="107"/>
      <c r="F46" s="107"/>
      <c r="G46" s="107"/>
      <c r="H46" s="108">
        <f>H44</f>
        <v>7386</v>
      </c>
      <c r="I46" s="108">
        <f>I44</f>
        <v>2031</v>
      </c>
    </row>
    <row r="47" spans="1:9">
      <c r="H47" s="85"/>
      <c r="I47" s="85"/>
    </row>
    <row r="48" spans="1:9">
      <c r="A48" s="3" t="s">
        <v>36</v>
      </c>
      <c r="H48" s="85"/>
      <c r="I48" s="85"/>
    </row>
    <row r="49" spans="2:9">
      <c r="B49" t="s">
        <v>37</v>
      </c>
      <c r="H49" s="90">
        <v>894662000</v>
      </c>
      <c r="I49" s="85">
        <v>2358587000</v>
      </c>
    </row>
    <row r="50" spans="2:9">
      <c r="B50" t="s">
        <v>268</v>
      </c>
      <c r="H50" s="91">
        <v>77759000</v>
      </c>
      <c r="I50" s="85">
        <v>80009000</v>
      </c>
    </row>
    <row r="51" spans="2:9">
      <c r="B51" t="s">
        <v>432</v>
      </c>
      <c r="H51" s="91">
        <v>35445000</v>
      </c>
      <c r="I51" s="85">
        <v>50009000</v>
      </c>
    </row>
    <row r="52" spans="2:9">
      <c r="B52" t="s">
        <v>433</v>
      </c>
      <c r="H52" s="85"/>
      <c r="I52" s="85">
        <v>16030000</v>
      </c>
    </row>
    <row r="53" spans="2:9">
      <c r="B53" t="s">
        <v>163</v>
      </c>
      <c r="H53" s="98">
        <v>-823064000</v>
      </c>
      <c r="I53" s="85">
        <v>-59894000</v>
      </c>
    </row>
    <row r="54" spans="2:9">
      <c r="H54" s="83"/>
      <c r="I54" s="83"/>
    </row>
    <row r="55" spans="2:9" s="3" customFormat="1">
      <c r="C55" s="10" t="s">
        <v>43</v>
      </c>
      <c r="D55" s="10"/>
      <c r="E55" s="10"/>
      <c r="F55" s="10"/>
      <c r="G55" s="10"/>
      <c r="H55" s="99">
        <f>SUM(H49:H53)</f>
        <v>184802000</v>
      </c>
      <c r="I55" s="99">
        <f>SUM(I48:I53)</f>
        <v>2444741000</v>
      </c>
    </row>
    <row r="56" spans="2:9">
      <c r="H56" s="85"/>
      <c r="I56" s="85"/>
    </row>
    <row r="57" spans="2:9" s="3" customFormat="1">
      <c r="C57" s="11" t="s">
        <v>44</v>
      </c>
      <c r="D57" s="11"/>
      <c r="E57" s="11"/>
      <c r="F57" s="11"/>
      <c r="G57" s="11"/>
      <c r="H57" s="100">
        <f>SUM(H41+H55+H46)</f>
        <v>1894406386</v>
      </c>
      <c r="I57" s="100">
        <f>SUM(I41+I55+I46)</f>
        <v>3456400031</v>
      </c>
    </row>
    <row r="58" spans="2:9">
      <c r="H58" s="85"/>
      <c r="I58" s="85"/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0"/>
  <sheetViews>
    <sheetView workbookViewId="0">
      <selection activeCell="G54" sqref="G54"/>
    </sheetView>
  </sheetViews>
  <sheetFormatPr defaultColWidth="8.85546875" defaultRowHeight="14.45"/>
  <cols>
    <col min="1" max="1" width="3.28515625" customWidth="1"/>
    <col min="2" max="2" width="4.140625" customWidth="1"/>
    <col min="5" max="5" width="21" customWidth="1"/>
    <col min="6" max="6" width="13.7109375" customWidth="1"/>
    <col min="7" max="7" width="16.28515625" customWidth="1"/>
    <col min="8" max="8" width="11.7109375" customWidth="1"/>
  </cols>
  <sheetData>
    <row r="1" spans="1:8" ht="18.600000000000001">
      <c r="A1" s="1"/>
      <c r="B1" s="1"/>
      <c r="C1" s="1" t="s">
        <v>434</v>
      </c>
      <c r="D1" s="1"/>
      <c r="E1" s="102"/>
      <c r="F1" s="102"/>
      <c r="G1" s="102"/>
    </row>
    <row r="2" spans="1:8" ht="18.600000000000001">
      <c r="A2" s="1"/>
      <c r="B2" s="1"/>
      <c r="C2" s="1"/>
      <c r="D2" s="203" t="s">
        <v>1</v>
      </c>
      <c r="E2" s="203"/>
      <c r="F2" s="203"/>
      <c r="G2" s="103"/>
    </row>
    <row r="4" spans="1:8">
      <c r="F4" s="204" t="s">
        <v>2</v>
      </c>
      <c r="G4" s="204"/>
    </row>
    <row r="5" spans="1:8" ht="29.1">
      <c r="F5" s="110" t="s">
        <v>3</v>
      </c>
      <c r="G5" s="110" t="s">
        <v>137</v>
      </c>
      <c r="H5" s="111" t="s">
        <v>64</v>
      </c>
    </row>
    <row r="6" spans="1:8">
      <c r="A6" s="3" t="s">
        <v>5</v>
      </c>
      <c r="D6" s="3"/>
      <c r="F6" s="4"/>
      <c r="G6" s="4"/>
    </row>
    <row r="7" spans="1:8">
      <c r="B7" t="s">
        <v>65</v>
      </c>
      <c r="F7" s="79">
        <v>42454537</v>
      </c>
      <c r="G7" s="85">
        <v>157585</v>
      </c>
      <c r="H7" s="85">
        <f>SUM(F7:G7)</f>
        <v>42612122</v>
      </c>
    </row>
    <row r="8" spans="1:8">
      <c r="B8" t="s">
        <v>435</v>
      </c>
      <c r="F8" s="86">
        <v>12027474</v>
      </c>
      <c r="G8" s="85"/>
      <c r="H8" s="85">
        <f t="shared" ref="H8:H19" si="0">SUM(F8:G8)</f>
        <v>12027474</v>
      </c>
    </row>
    <row r="9" spans="1:8">
      <c r="B9" t="s">
        <v>436</v>
      </c>
      <c r="F9" s="141"/>
      <c r="G9" s="85"/>
      <c r="H9" s="85"/>
    </row>
    <row r="10" spans="1:8">
      <c r="C10" t="s">
        <v>437</v>
      </c>
      <c r="F10" s="80">
        <v>31569922</v>
      </c>
      <c r="G10" s="85"/>
      <c r="H10" s="85">
        <f t="shared" si="0"/>
        <v>31569922</v>
      </c>
    </row>
    <row r="11" spans="1:8">
      <c r="C11" t="s">
        <v>438</v>
      </c>
      <c r="F11" s="80">
        <v>3017501</v>
      </c>
      <c r="G11" s="85"/>
      <c r="H11" s="85">
        <f t="shared" si="0"/>
        <v>3017501</v>
      </c>
    </row>
    <row r="12" spans="1:8">
      <c r="C12" t="s">
        <v>439</v>
      </c>
      <c r="F12" s="80">
        <v>198068</v>
      </c>
      <c r="G12" s="85"/>
      <c r="H12" s="85">
        <f t="shared" si="0"/>
        <v>198068</v>
      </c>
    </row>
    <row r="13" spans="1:8">
      <c r="C13" t="s">
        <v>440</v>
      </c>
      <c r="F13" s="80">
        <v>900245</v>
      </c>
      <c r="G13" s="85">
        <v>30574</v>
      </c>
      <c r="H13" s="85">
        <f t="shared" si="0"/>
        <v>930819</v>
      </c>
    </row>
    <row r="14" spans="1:8">
      <c r="C14" t="s">
        <v>182</v>
      </c>
      <c r="F14" s="85"/>
      <c r="G14" s="85">
        <v>15309</v>
      </c>
      <c r="H14" s="85">
        <f t="shared" si="0"/>
        <v>15309</v>
      </c>
    </row>
    <row r="15" spans="1:8">
      <c r="B15" t="s">
        <v>441</v>
      </c>
      <c r="F15" s="95">
        <v>4118714</v>
      </c>
      <c r="G15" s="85">
        <v>2193</v>
      </c>
      <c r="H15" s="85">
        <f t="shared" si="0"/>
        <v>4120907</v>
      </c>
    </row>
    <row r="16" spans="1:8">
      <c r="B16" t="s">
        <v>67</v>
      </c>
      <c r="F16" s="81">
        <v>106520</v>
      </c>
      <c r="G16" s="85">
        <v>-106520</v>
      </c>
      <c r="H16" s="85">
        <f t="shared" si="0"/>
        <v>0</v>
      </c>
    </row>
    <row r="17" spans="1:8">
      <c r="B17" t="s">
        <v>139</v>
      </c>
      <c r="F17" s="81">
        <v>315747</v>
      </c>
      <c r="G17" s="85"/>
      <c r="H17" s="85">
        <f t="shared" si="0"/>
        <v>315747</v>
      </c>
    </row>
    <row r="18" spans="1:8">
      <c r="B18" t="s">
        <v>151</v>
      </c>
      <c r="F18" s="81">
        <v>610322</v>
      </c>
      <c r="G18" s="85"/>
      <c r="H18" s="85">
        <f t="shared" si="0"/>
        <v>610322</v>
      </c>
    </row>
    <row r="19" spans="1:8">
      <c r="B19" t="s">
        <v>108</v>
      </c>
      <c r="F19" s="96">
        <v>181359356</v>
      </c>
      <c r="G19" s="85">
        <v>2574363</v>
      </c>
      <c r="H19" s="85">
        <f t="shared" si="0"/>
        <v>183933719</v>
      </c>
    </row>
    <row r="20" spans="1:8">
      <c r="F20" s="85"/>
      <c r="G20" s="83"/>
      <c r="H20" s="83"/>
    </row>
    <row r="21" spans="1:8">
      <c r="A21" s="5"/>
      <c r="B21" s="5"/>
      <c r="C21" s="6" t="s">
        <v>17</v>
      </c>
      <c r="D21" s="6"/>
      <c r="E21" s="6"/>
      <c r="F21" s="84">
        <f>SUM(F7:F19)</f>
        <v>276678406</v>
      </c>
      <c r="G21" s="84">
        <f>SUM(G7:G19)</f>
        <v>2673504</v>
      </c>
      <c r="H21" s="84">
        <f>SUM(H7:H19)</f>
        <v>279351910</v>
      </c>
    </row>
    <row r="22" spans="1:8">
      <c r="F22" s="85"/>
      <c r="G22" s="85"/>
      <c r="H22" s="85"/>
    </row>
    <row r="23" spans="1:8">
      <c r="A23" s="5" t="s">
        <v>20</v>
      </c>
      <c r="F23" s="85"/>
      <c r="G23" s="85"/>
      <c r="H23" s="85"/>
    </row>
    <row r="24" spans="1:8">
      <c r="B24" t="s">
        <v>143</v>
      </c>
      <c r="F24" s="116">
        <v>5273831</v>
      </c>
      <c r="G24" s="85">
        <v>51035</v>
      </c>
      <c r="H24" s="85">
        <f>SUM(F24:G24)</f>
        <v>5324866</v>
      </c>
    </row>
    <row r="25" spans="1:8">
      <c r="B25" t="s">
        <v>280</v>
      </c>
      <c r="F25" s="81">
        <v>1295186</v>
      </c>
      <c r="G25" s="85"/>
      <c r="H25" s="85">
        <f t="shared" ref="H25:H29" si="1">SUM(F25:G25)</f>
        <v>1295186</v>
      </c>
    </row>
    <row r="26" spans="1:8">
      <c r="B26" t="s">
        <v>442</v>
      </c>
      <c r="F26" s="81">
        <v>201234</v>
      </c>
      <c r="G26" s="85"/>
      <c r="H26" s="85">
        <f t="shared" si="1"/>
        <v>201234</v>
      </c>
    </row>
    <row r="27" spans="1:8">
      <c r="B27" t="s">
        <v>443</v>
      </c>
      <c r="F27" s="85"/>
      <c r="G27" s="85"/>
      <c r="H27" s="85"/>
    </row>
    <row r="28" spans="1:8">
      <c r="C28" t="s">
        <v>81</v>
      </c>
      <c r="D28" s="5"/>
      <c r="F28" s="97">
        <v>1956292</v>
      </c>
      <c r="G28" s="85">
        <v>24000</v>
      </c>
      <c r="H28" s="85">
        <f t="shared" si="1"/>
        <v>1980292</v>
      </c>
    </row>
    <row r="29" spans="1:8">
      <c r="A29" s="5"/>
      <c r="B29" s="5"/>
      <c r="C29" t="s">
        <v>82</v>
      </c>
      <c r="D29" s="5"/>
      <c r="E29" s="5"/>
      <c r="F29" s="79">
        <v>5916082</v>
      </c>
      <c r="G29" s="85">
        <v>401000</v>
      </c>
      <c r="H29" s="85">
        <f t="shared" si="1"/>
        <v>6317082</v>
      </c>
    </row>
    <row r="30" spans="1:8">
      <c r="A30" s="5"/>
      <c r="B30" t="s">
        <v>444</v>
      </c>
      <c r="D30" s="5"/>
      <c r="E30" s="5"/>
      <c r="F30" s="85"/>
      <c r="G30" s="85">
        <v>3662</v>
      </c>
      <c r="H30" s="85">
        <f>SUM(F30:G30)</f>
        <v>3662</v>
      </c>
    </row>
    <row r="31" spans="1:8">
      <c r="F31" s="83"/>
      <c r="G31" s="83"/>
      <c r="H31" s="83"/>
    </row>
    <row r="32" spans="1:8">
      <c r="D32" s="8" t="s">
        <v>33</v>
      </c>
      <c r="E32" s="9"/>
      <c r="F32" s="89">
        <f>SUM(F24:F30)</f>
        <v>14642625</v>
      </c>
      <c r="G32" s="89">
        <f t="shared" ref="G32:H32" si="2">SUM(G24:G30)</f>
        <v>479697</v>
      </c>
      <c r="H32" s="89">
        <f t="shared" si="2"/>
        <v>15122322</v>
      </c>
    </row>
    <row r="33" spans="1:8">
      <c r="F33" s="85"/>
      <c r="G33" s="85"/>
      <c r="H33" s="85"/>
    </row>
    <row r="34" spans="1:8">
      <c r="A34" s="3" t="s">
        <v>36</v>
      </c>
      <c r="F34" s="85"/>
      <c r="G34" s="85"/>
      <c r="H34" s="85"/>
    </row>
    <row r="35" spans="1:8">
      <c r="B35" t="s">
        <v>37</v>
      </c>
      <c r="F35" s="90">
        <v>181359356</v>
      </c>
      <c r="G35" s="85">
        <v>2149363</v>
      </c>
      <c r="H35" s="85">
        <f>SUM(F35:G35)</f>
        <v>183508719</v>
      </c>
    </row>
    <row r="36" spans="1:8">
      <c r="B36" t="s">
        <v>38</v>
      </c>
      <c r="F36" s="85"/>
      <c r="G36" s="85"/>
      <c r="H36" s="85"/>
    </row>
    <row r="37" spans="1:8">
      <c r="C37" t="s">
        <v>59</v>
      </c>
      <c r="F37" s="91">
        <v>5229069</v>
      </c>
      <c r="G37" s="85"/>
      <c r="H37" s="85">
        <f t="shared" ref="H37:H46" si="3">SUM(F37:G37)</f>
        <v>5229069</v>
      </c>
    </row>
    <row r="38" spans="1:8">
      <c r="C38" t="s">
        <v>58</v>
      </c>
      <c r="F38" s="91">
        <v>40084163</v>
      </c>
      <c r="G38" s="85"/>
      <c r="H38" s="85">
        <f t="shared" si="3"/>
        <v>40084163</v>
      </c>
    </row>
    <row r="39" spans="1:8">
      <c r="C39" t="s">
        <v>129</v>
      </c>
      <c r="F39" s="91">
        <v>5540067</v>
      </c>
      <c r="G39" s="85"/>
      <c r="H39" s="85">
        <f t="shared" si="3"/>
        <v>5540067</v>
      </c>
    </row>
    <row r="40" spans="1:8">
      <c r="C40" t="s">
        <v>130</v>
      </c>
      <c r="F40" s="91">
        <v>9670569</v>
      </c>
      <c r="G40" s="85"/>
      <c r="H40" s="85">
        <f t="shared" si="3"/>
        <v>9670569</v>
      </c>
    </row>
    <row r="41" spans="1:8">
      <c r="C41" t="s">
        <v>60</v>
      </c>
      <c r="F41" s="91">
        <v>755593</v>
      </c>
      <c r="G41" s="85"/>
      <c r="H41" s="85">
        <f t="shared" si="3"/>
        <v>755593</v>
      </c>
    </row>
    <row r="42" spans="1:8">
      <c r="C42" t="s">
        <v>56</v>
      </c>
      <c r="F42" s="91">
        <v>1442907</v>
      </c>
      <c r="G42" s="85"/>
      <c r="H42" s="85">
        <f t="shared" si="3"/>
        <v>1442907</v>
      </c>
    </row>
    <row r="43" spans="1:8">
      <c r="C43" t="s">
        <v>39</v>
      </c>
      <c r="F43" s="91">
        <v>58523</v>
      </c>
      <c r="G43" s="85">
        <v>93446</v>
      </c>
      <c r="H43" s="85">
        <f t="shared" si="3"/>
        <v>151969</v>
      </c>
    </row>
    <row r="44" spans="1:8">
      <c r="C44" t="s">
        <v>445</v>
      </c>
      <c r="F44" s="91">
        <v>7377501</v>
      </c>
      <c r="G44" s="85"/>
      <c r="H44" s="85">
        <f t="shared" si="3"/>
        <v>7377501</v>
      </c>
    </row>
    <row r="45" spans="1:8">
      <c r="C45" t="s">
        <v>446</v>
      </c>
      <c r="F45" s="91">
        <v>6919183</v>
      </c>
      <c r="G45" s="85"/>
      <c r="H45" s="85">
        <f t="shared" si="3"/>
        <v>6919183</v>
      </c>
    </row>
    <row r="46" spans="1:8">
      <c r="B46" t="s">
        <v>42</v>
      </c>
      <c r="F46" s="98">
        <v>3598850</v>
      </c>
      <c r="G46" s="85">
        <v>-49002</v>
      </c>
      <c r="H46" s="85">
        <f t="shared" si="3"/>
        <v>3549848</v>
      </c>
    </row>
    <row r="47" spans="1:8">
      <c r="F47" s="83"/>
      <c r="G47" s="83"/>
      <c r="H47" s="83"/>
    </row>
    <row r="48" spans="1:8">
      <c r="A48" s="3"/>
      <c r="B48" s="3"/>
      <c r="C48" s="10" t="s">
        <v>43</v>
      </c>
      <c r="D48" s="10"/>
      <c r="E48" s="10"/>
      <c r="F48" s="99">
        <f>SUM(F35:F46)</f>
        <v>262035781</v>
      </c>
      <c r="G48" s="99">
        <f>SUM(G35:G46)</f>
        <v>2193807</v>
      </c>
      <c r="H48" s="99">
        <f>SUM(H34:H46)</f>
        <v>264229588</v>
      </c>
    </row>
    <row r="49" spans="1:8">
      <c r="F49" s="85"/>
      <c r="G49" s="85"/>
      <c r="H49" s="85"/>
    </row>
    <row r="50" spans="1:8">
      <c r="A50" s="3"/>
      <c r="B50" s="3"/>
      <c r="C50" s="11" t="s">
        <v>44</v>
      </c>
      <c r="D50" s="11"/>
      <c r="E50" s="11"/>
      <c r="F50" s="100">
        <f>SUM(F32+F48)</f>
        <v>276678406</v>
      </c>
      <c r="G50" s="100">
        <f>SUM(G48+G32)</f>
        <v>2673504</v>
      </c>
      <c r="H50" s="100">
        <f>SUM(H48+H32)</f>
        <v>279351910</v>
      </c>
    </row>
  </sheetData>
  <mergeCells count="2">
    <mergeCell ref="D2:F2"/>
    <mergeCell ref="F4:G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57"/>
  <sheetViews>
    <sheetView topLeftCell="A20" workbookViewId="0">
      <selection activeCell="K4" sqref="K4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447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1" ht="31.5" customHeight="1">
      <c r="H4" s="110" t="s">
        <v>3</v>
      </c>
      <c r="I4" s="110" t="s">
        <v>137</v>
      </c>
      <c r="J4" s="111" t="s">
        <v>64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A6" s="3"/>
      <c r="B6" s="5" t="s">
        <v>6</v>
      </c>
      <c r="D6" s="3"/>
      <c r="G6" s="4"/>
      <c r="H6" s="78"/>
      <c r="I6" s="78"/>
      <c r="J6" s="85"/>
    </row>
    <row r="7" spans="1:11">
      <c r="C7" t="s">
        <v>65</v>
      </c>
      <c r="H7" s="79">
        <v>132705600</v>
      </c>
      <c r="I7" s="85">
        <v>304223</v>
      </c>
      <c r="J7" s="85">
        <f>SUM(H7:I7)</f>
        <v>133009823</v>
      </c>
    </row>
    <row r="8" spans="1:11">
      <c r="C8" t="s">
        <v>8</v>
      </c>
      <c r="H8" s="86">
        <v>4998456</v>
      </c>
      <c r="I8" s="85"/>
      <c r="J8" s="85">
        <f t="shared" ref="J8:J10" si="0">SUM(H8:I8)</f>
        <v>4998456</v>
      </c>
    </row>
    <row r="9" spans="1:11">
      <c r="C9" t="s">
        <v>448</v>
      </c>
      <c r="H9" s="80">
        <v>91095902</v>
      </c>
      <c r="I9" s="85">
        <v>4952675</v>
      </c>
      <c r="J9" s="85">
        <f t="shared" si="0"/>
        <v>96048577</v>
      </c>
    </row>
    <row r="10" spans="1:11">
      <c r="C10" t="s">
        <v>67</v>
      </c>
      <c r="H10" s="81">
        <v>60000</v>
      </c>
      <c r="I10" s="85">
        <v>-60000</v>
      </c>
      <c r="J10" s="85">
        <f t="shared" si="0"/>
        <v>0</v>
      </c>
    </row>
    <row r="11" spans="1:11">
      <c r="C11" t="s">
        <v>168</v>
      </c>
      <c r="H11" s="81">
        <v>904373</v>
      </c>
      <c r="I11" s="85">
        <v>3435</v>
      </c>
      <c r="J11" s="85">
        <f>SUM(H11:I11)</f>
        <v>907808</v>
      </c>
    </row>
    <row r="12" spans="1:11">
      <c r="H12" s="83"/>
      <c r="I12" s="83"/>
      <c r="J12" s="83"/>
    </row>
    <row r="13" spans="1:11" s="5" customFormat="1">
      <c r="C13" s="107" t="s">
        <v>105</v>
      </c>
      <c r="D13" s="107"/>
      <c r="E13" s="107"/>
      <c r="F13" s="107"/>
      <c r="G13" s="107"/>
      <c r="H13" s="108">
        <f>SUM(H7:H11)</f>
        <v>229764331</v>
      </c>
      <c r="I13" s="108">
        <f>SUM(I7:I12)</f>
        <v>5200333</v>
      </c>
      <c r="J13" s="108">
        <f>SUM(J7:J11)</f>
        <v>234964664</v>
      </c>
    </row>
    <row r="14" spans="1:11">
      <c r="H14" s="85"/>
      <c r="I14" s="85"/>
      <c r="J14" s="85"/>
    </row>
    <row r="15" spans="1:11" s="5" customFormat="1">
      <c r="B15" s="5" t="s">
        <v>106</v>
      </c>
      <c r="H15" s="105"/>
      <c r="I15" s="105"/>
      <c r="J15" s="105"/>
    </row>
    <row r="16" spans="1:11" s="5" customFormat="1">
      <c r="C16" t="s">
        <v>67</v>
      </c>
      <c r="H16" s="81">
        <v>2073727</v>
      </c>
      <c r="I16" s="85">
        <v>-2073727</v>
      </c>
      <c r="J16" s="85">
        <f>SUM(H16:I16)</f>
        <v>0</v>
      </c>
    </row>
    <row r="17" spans="1:10">
      <c r="C17" t="s">
        <v>50</v>
      </c>
      <c r="H17" s="82">
        <v>298451667</v>
      </c>
      <c r="I17" s="85">
        <v>59770882</v>
      </c>
      <c r="J17" s="85">
        <f>SUM(H17:I17)</f>
        <v>358222549</v>
      </c>
    </row>
    <row r="18" spans="1:10">
      <c r="C18" t="s">
        <v>239</v>
      </c>
      <c r="H18" s="82">
        <v>139378928</v>
      </c>
      <c r="I18" s="85">
        <v>31053463</v>
      </c>
      <c r="J18" s="85">
        <f>SUM(H18:I18)</f>
        <v>170432391</v>
      </c>
    </row>
    <row r="19" spans="1:10">
      <c r="H19" s="83"/>
      <c r="I19" s="83"/>
      <c r="J19" s="83"/>
    </row>
    <row r="20" spans="1:10" s="5" customFormat="1">
      <c r="C20" s="107" t="s">
        <v>109</v>
      </c>
      <c r="D20" s="107"/>
      <c r="E20" s="107"/>
      <c r="F20" s="107"/>
      <c r="G20" s="107"/>
      <c r="H20" s="108">
        <f>SUM(H15:H18)</f>
        <v>439904322</v>
      </c>
      <c r="I20" s="108">
        <f>SUM(I15:I18)</f>
        <v>88750618</v>
      </c>
      <c r="J20" s="108">
        <f>SUM(J15:J18)</f>
        <v>528654940</v>
      </c>
    </row>
    <row r="21" spans="1:10">
      <c r="H21" s="85"/>
      <c r="I21" s="85"/>
      <c r="J21" s="85"/>
    </row>
    <row r="22" spans="1:10" s="5" customFormat="1">
      <c r="C22" s="6" t="s">
        <v>17</v>
      </c>
      <c r="D22" s="6"/>
      <c r="E22" s="6"/>
      <c r="F22" s="6"/>
      <c r="G22" s="6"/>
      <c r="H22" s="84">
        <f>SUM(H13+H20)</f>
        <v>669668653</v>
      </c>
      <c r="I22" s="84">
        <f>SUM(I13+I20)</f>
        <v>93950951</v>
      </c>
      <c r="J22" s="84">
        <f>SUM(J13+J20)</f>
        <v>763619604</v>
      </c>
    </row>
    <row r="23" spans="1:10">
      <c r="H23" s="85"/>
      <c r="I23" s="85"/>
      <c r="J23" s="85"/>
    </row>
    <row r="24" spans="1:10">
      <c r="A24" s="5" t="s">
        <v>20</v>
      </c>
      <c r="H24" s="85"/>
      <c r="I24" s="85"/>
      <c r="J24" s="85"/>
    </row>
    <row r="25" spans="1:10" s="5" customFormat="1">
      <c r="B25" s="5" t="s">
        <v>110</v>
      </c>
      <c r="H25" s="105"/>
      <c r="I25" s="105"/>
      <c r="J25" s="105"/>
    </row>
    <row r="26" spans="1:10">
      <c r="A26" s="5"/>
      <c r="C26" t="s">
        <v>259</v>
      </c>
      <c r="H26" s="147"/>
      <c r="I26" s="85">
        <v>4120246</v>
      </c>
      <c r="J26" s="85">
        <f t="shared" ref="J26:J34" si="1">SUM(H26:I26)</f>
        <v>4120246</v>
      </c>
    </row>
    <row r="27" spans="1:10">
      <c r="C27" t="s">
        <v>111</v>
      </c>
      <c r="H27" s="86">
        <v>19335807</v>
      </c>
      <c r="I27" s="85">
        <v>886074</v>
      </c>
      <c r="J27" s="85">
        <f t="shared" si="1"/>
        <v>20221881</v>
      </c>
    </row>
    <row r="28" spans="1:10">
      <c r="C28" t="s">
        <v>29</v>
      </c>
      <c r="H28" s="153">
        <v>3965000</v>
      </c>
      <c r="I28" s="85"/>
      <c r="J28" s="85">
        <f t="shared" si="1"/>
        <v>3965000</v>
      </c>
    </row>
    <row r="29" spans="1:10">
      <c r="C29" t="s">
        <v>272</v>
      </c>
      <c r="H29" s="116">
        <v>33932</v>
      </c>
      <c r="I29" s="85"/>
      <c r="J29" s="85">
        <f t="shared" si="1"/>
        <v>33932</v>
      </c>
    </row>
    <row r="30" spans="1:10">
      <c r="C30" t="s">
        <v>280</v>
      </c>
      <c r="H30" s="112">
        <v>6684526</v>
      </c>
      <c r="I30" s="85"/>
      <c r="J30" s="85">
        <f t="shared" si="1"/>
        <v>6684526</v>
      </c>
    </row>
    <row r="31" spans="1:10">
      <c r="C31" t="s">
        <v>25</v>
      </c>
      <c r="H31" s="116">
        <v>3432235</v>
      </c>
      <c r="I31" s="85"/>
      <c r="J31" s="85">
        <f t="shared" si="1"/>
        <v>3432235</v>
      </c>
    </row>
    <row r="32" spans="1:10">
      <c r="C32" t="s">
        <v>96</v>
      </c>
      <c r="H32" s="154">
        <v>1134856</v>
      </c>
      <c r="I32" s="85">
        <v>29245</v>
      </c>
      <c r="J32" s="85">
        <f t="shared" si="1"/>
        <v>1164101</v>
      </c>
    </row>
    <row r="33" spans="2:10">
      <c r="C33" t="s">
        <v>279</v>
      </c>
      <c r="H33" s="101">
        <v>52325</v>
      </c>
      <c r="I33" s="85">
        <v>407643</v>
      </c>
      <c r="J33" s="85">
        <f>SUM(H33:I33)</f>
        <v>459968</v>
      </c>
    </row>
    <row r="34" spans="2:10">
      <c r="C34" t="s">
        <v>182</v>
      </c>
      <c r="H34" s="81">
        <v>1105011</v>
      </c>
      <c r="I34" s="85">
        <v>127040</v>
      </c>
      <c r="J34" s="85">
        <f t="shared" si="1"/>
        <v>1232051</v>
      </c>
    </row>
    <row r="35" spans="2:10">
      <c r="H35" s="83"/>
      <c r="I35" s="83"/>
      <c r="J35" s="83"/>
    </row>
    <row r="36" spans="2:10">
      <c r="D36" s="107" t="s">
        <v>114</v>
      </c>
      <c r="E36" s="109"/>
      <c r="F36" s="109"/>
      <c r="G36" s="109"/>
      <c r="H36" s="108">
        <f>SUM(H27:H34)</f>
        <v>35743692</v>
      </c>
      <c r="I36" s="108">
        <f>SUM(I26:I34)</f>
        <v>5570248</v>
      </c>
      <c r="J36" s="108">
        <f>SUM(J26:J34)</f>
        <v>41313940</v>
      </c>
    </row>
    <row r="37" spans="2:10">
      <c r="H37" s="85"/>
      <c r="I37" s="85"/>
      <c r="J37" s="85"/>
    </row>
    <row r="38" spans="2:10" s="5" customFormat="1">
      <c r="B38" s="5" t="s">
        <v>115</v>
      </c>
      <c r="H38" s="105"/>
      <c r="I38" s="105"/>
      <c r="J38" s="105"/>
    </row>
    <row r="39" spans="2:10" s="5" customFormat="1">
      <c r="C39" t="s">
        <v>449</v>
      </c>
      <c r="H39" s="81">
        <v>4591376</v>
      </c>
      <c r="I39" s="105"/>
      <c r="J39" s="85">
        <f t="shared" ref="J39:J41" si="2">SUM(H39:I39)</f>
        <v>4591376</v>
      </c>
    </row>
    <row r="40" spans="2:10" s="5" customFormat="1">
      <c r="C40" t="s">
        <v>272</v>
      </c>
      <c r="H40" s="86">
        <v>58290</v>
      </c>
      <c r="I40" s="105"/>
      <c r="J40" s="85">
        <f t="shared" si="2"/>
        <v>58290</v>
      </c>
    </row>
    <row r="41" spans="2:10" s="5" customFormat="1">
      <c r="C41" t="s">
        <v>450</v>
      </c>
      <c r="H41" s="80">
        <v>8900000</v>
      </c>
      <c r="I41" s="105"/>
      <c r="J41" s="85">
        <f t="shared" si="2"/>
        <v>8900000</v>
      </c>
    </row>
    <row r="42" spans="2:10">
      <c r="C42" t="s">
        <v>451</v>
      </c>
      <c r="H42" s="80">
        <v>121195000</v>
      </c>
      <c r="I42" s="85"/>
      <c r="J42" s="85">
        <f>SUM(H42:I42)</f>
        <v>121195000</v>
      </c>
    </row>
    <row r="43" spans="2:10">
      <c r="C43" t="s">
        <v>97</v>
      </c>
      <c r="H43" s="86">
        <v>18671611</v>
      </c>
      <c r="I43" s="85">
        <v>677457</v>
      </c>
      <c r="J43" s="85">
        <f>SUM(H43:I43)</f>
        <v>19349068</v>
      </c>
    </row>
    <row r="44" spans="2:10">
      <c r="H44" s="83"/>
      <c r="I44" s="83"/>
      <c r="J44" s="83"/>
    </row>
    <row r="45" spans="2:10">
      <c r="D45" s="107" t="s">
        <v>116</v>
      </c>
      <c r="E45" s="109"/>
      <c r="F45" s="109"/>
      <c r="G45" s="109"/>
      <c r="H45" s="108">
        <f>SUM(H39:H43)</f>
        <v>153416277</v>
      </c>
      <c r="I45" s="108">
        <f t="shared" ref="I45:J45" si="3">SUM(I39:I43)</f>
        <v>677457</v>
      </c>
      <c r="J45" s="108">
        <f t="shared" si="3"/>
        <v>154093734</v>
      </c>
    </row>
    <row r="46" spans="2:10">
      <c r="H46" s="85"/>
      <c r="I46" s="85"/>
      <c r="J46" s="85"/>
    </row>
    <row r="47" spans="2:10">
      <c r="D47" s="8" t="s">
        <v>33</v>
      </c>
      <c r="E47" s="9"/>
      <c r="F47" s="9"/>
      <c r="G47" s="9"/>
      <c r="H47" s="89">
        <f>SUM(H36+H45)</f>
        <v>189159969</v>
      </c>
      <c r="I47" s="89">
        <f>SUM(I45+I36)</f>
        <v>6247705</v>
      </c>
      <c r="J47" s="89">
        <f>SUM(J36+J45)</f>
        <v>195407674</v>
      </c>
    </row>
    <row r="48" spans="2:10">
      <c r="H48" s="85"/>
      <c r="I48" s="85"/>
      <c r="J48" s="85"/>
    </row>
    <row r="49" spans="1:10">
      <c r="A49" s="3" t="s">
        <v>36</v>
      </c>
      <c r="H49" s="85"/>
      <c r="I49" s="85"/>
      <c r="J49" s="85"/>
    </row>
    <row r="50" spans="1:10">
      <c r="B50" t="s">
        <v>99</v>
      </c>
      <c r="H50" s="90">
        <v>312670595</v>
      </c>
      <c r="I50" s="85">
        <v>90824345</v>
      </c>
      <c r="J50" s="85">
        <f>SUM(H50:I50)</f>
        <v>403494940</v>
      </c>
    </row>
    <row r="51" spans="1:10">
      <c r="B51" t="s">
        <v>179</v>
      </c>
      <c r="H51" s="91">
        <v>108839363</v>
      </c>
      <c r="I51" s="85"/>
      <c r="J51" s="85">
        <f>SUM(H51:I51)</f>
        <v>108839363</v>
      </c>
    </row>
    <row r="52" spans="1:10">
      <c r="B52" t="s">
        <v>163</v>
      </c>
      <c r="H52" s="98">
        <v>58998726</v>
      </c>
      <c r="I52" s="85">
        <v>-3121099</v>
      </c>
      <c r="J52" s="85">
        <f t="shared" ref="J52" si="4">SUM(H52:I52)</f>
        <v>55877627</v>
      </c>
    </row>
    <row r="53" spans="1:10">
      <c r="H53" s="83"/>
      <c r="I53" s="83"/>
      <c r="J53" s="83"/>
    </row>
    <row r="54" spans="1:10" s="3" customFormat="1">
      <c r="C54" s="10" t="s">
        <v>43</v>
      </c>
      <c r="D54" s="10"/>
      <c r="E54" s="10"/>
      <c r="F54" s="10"/>
      <c r="G54" s="10"/>
      <c r="H54" s="99">
        <f>SUM(H50:H52)</f>
        <v>480508684</v>
      </c>
      <c r="I54" s="99">
        <f>SUM(I50:I52)</f>
        <v>87703246</v>
      </c>
      <c r="J54" s="99">
        <f>SUM(J49:J52)</f>
        <v>568211930</v>
      </c>
    </row>
    <row r="55" spans="1:10">
      <c r="H55" s="85"/>
      <c r="I55" s="85"/>
      <c r="J55" s="85"/>
    </row>
    <row r="56" spans="1:10" s="3" customFormat="1">
      <c r="C56" s="11" t="s">
        <v>44</v>
      </c>
      <c r="D56" s="11"/>
      <c r="E56" s="11"/>
      <c r="F56" s="11"/>
      <c r="G56" s="11"/>
      <c r="H56" s="100">
        <f>SUM(H47+H54)</f>
        <v>669668653</v>
      </c>
      <c r="I56" s="100">
        <f>SUM(I54+I47)</f>
        <v>93950951</v>
      </c>
      <c r="J56" s="100">
        <f>SUM(J54+J47)</f>
        <v>763619604</v>
      </c>
    </row>
    <row r="57" spans="1:10">
      <c r="H57" s="85"/>
      <c r="I57" s="85"/>
      <c r="J57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44"/>
  <sheetViews>
    <sheetView workbookViewId="0">
      <selection activeCell="F44" sqref="F44:J44"/>
    </sheetView>
  </sheetViews>
  <sheetFormatPr defaultColWidth="8.85546875" defaultRowHeight="14.45"/>
  <cols>
    <col min="1" max="1" width="3.28515625" customWidth="1"/>
    <col min="2" max="2" width="4.140625" customWidth="1"/>
    <col min="5" max="5" width="17.28515625" customWidth="1"/>
    <col min="6" max="6" width="13.7109375" customWidth="1"/>
    <col min="7" max="7" width="16.28515625" customWidth="1"/>
    <col min="8" max="8" width="11.7109375" customWidth="1"/>
    <col min="9" max="9" width="13.28515625" customWidth="1"/>
    <col min="10" max="10" width="15" customWidth="1"/>
  </cols>
  <sheetData>
    <row r="1" spans="1:10" ht="18.600000000000001">
      <c r="A1" s="1"/>
      <c r="B1" s="1"/>
      <c r="C1" s="1" t="s">
        <v>452</v>
      </c>
      <c r="D1" s="1"/>
      <c r="E1" s="102"/>
      <c r="F1" s="102"/>
      <c r="G1" s="102"/>
    </row>
    <row r="2" spans="1:10" ht="18.600000000000001">
      <c r="A2" s="1"/>
      <c r="B2" s="1"/>
      <c r="C2" s="1"/>
      <c r="D2" s="203" t="s">
        <v>1</v>
      </c>
      <c r="E2" s="203"/>
      <c r="F2" s="203"/>
      <c r="G2" s="103"/>
    </row>
    <row r="4" spans="1:10">
      <c r="F4" s="204" t="s">
        <v>2</v>
      </c>
      <c r="G4" s="204"/>
      <c r="I4" s="204" t="s">
        <v>101</v>
      </c>
      <c r="J4" s="204"/>
    </row>
    <row r="5" spans="1:10" ht="33.75" customHeight="1">
      <c r="F5" s="110" t="s">
        <v>3</v>
      </c>
      <c r="G5" s="110" t="s">
        <v>137</v>
      </c>
      <c r="H5" s="111" t="s">
        <v>64</v>
      </c>
      <c r="I5" s="110" t="s">
        <v>3</v>
      </c>
      <c r="J5" s="110" t="s">
        <v>137</v>
      </c>
    </row>
    <row r="6" spans="1:10">
      <c r="A6" s="3" t="s">
        <v>5</v>
      </c>
      <c r="D6" s="3"/>
      <c r="F6" s="4"/>
      <c r="G6" s="4"/>
      <c r="I6" s="4"/>
      <c r="J6" s="4"/>
    </row>
    <row r="7" spans="1:10">
      <c r="B7" t="s">
        <v>65</v>
      </c>
      <c r="F7" s="79">
        <v>2478409</v>
      </c>
      <c r="G7" s="85">
        <v>92267</v>
      </c>
      <c r="H7" s="85">
        <f>SUM(F7:G7)</f>
        <v>2570676</v>
      </c>
      <c r="I7" s="85">
        <v>3892288</v>
      </c>
      <c r="J7" s="85">
        <v>4577798</v>
      </c>
    </row>
    <row r="8" spans="1:10">
      <c r="B8" t="s">
        <v>8</v>
      </c>
      <c r="F8" s="86">
        <v>702328</v>
      </c>
      <c r="G8" s="85"/>
      <c r="H8" s="85">
        <f t="shared" ref="H8:H16" si="0">SUM(F8:G8)</f>
        <v>702328</v>
      </c>
      <c r="I8" s="85">
        <v>10190976</v>
      </c>
      <c r="J8" s="85">
        <v>15134224</v>
      </c>
    </row>
    <row r="9" spans="1:10">
      <c r="B9" t="s">
        <v>66</v>
      </c>
      <c r="F9" s="80">
        <v>3448430</v>
      </c>
      <c r="G9" s="85">
        <v>807584</v>
      </c>
      <c r="H9" s="85">
        <f t="shared" si="0"/>
        <v>4256014</v>
      </c>
      <c r="I9" s="85">
        <v>3415485</v>
      </c>
      <c r="J9" s="85">
        <v>3584469</v>
      </c>
    </row>
    <row r="10" spans="1:10">
      <c r="B10" t="s">
        <v>47</v>
      </c>
      <c r="F10" s="143">
        <v>679093</v>
      </c>
      <c r="G10" s="85">
        <v>49378</v>
      </c>
      <c r="H10" s="85">
        <f t="shared" si="0"/>
        <v>728471</v>
      </c>
      <c r="I10" s="85">
        <v>308283</v>
      </c>
      <c r="J10" s="85">
        <v>291941</v>
      </c>
    </row>
    <row r="11" spans="1:10">
      <c r="B11" t="s">
        <v>453</v>
      </c>
      <c r="F11" s="143">
        <v>135860</v>
      </c>
      <c r="G11" s="85"/>
      <c r="H11" s="85">
        <f t="shared" si="0"/>
        <v>135860</v>
      </c>
      <c r="I11" s="85"/>
      <c r="J11" s="85"/>
    </row>
    <row r="12" spans="1:10">
      <c r="B12" t="s">
        <v>67</v>
      </c>
      <c r="F12" s="81">
        <v>-982000</v>
      </c>
      <c r="G12" s="85">
        <v>966000</v>
      </c>
      <c r="H12" s="85">
        <f t="shared" si="0"/>
        <v>-16000</v>
      </c>
      <c r="I12" s="85"/>
      <c r="J12" s="85">
        <v>16000</v>
      </c>
    </row>
    <row r="13" spans="1:10">
      <c r="B13" t="s">
        <v>168</v>
      </c>
      <c r="F13" s="81">
        <v>62357</v>
      </c>
      <c r="G13" s="85">
        <v>1136</v>
      </c>
      <c r="H13" s="85">
        <f t="shared" si="0"/>
        <v>63493</v>
      </c>
      <c r="I13" s="85">
        <v>77928</v>
      </c>
      <c r="J13" s="85">
        <v>695521</v>
      </c>
    </row>
    <row r="14" spans="1:10">
      <c r="B14" t="s">
        <v>69</v>
      </c>
      <c r="F14" s="81">
        <v>9008</v>
      </c>
      <c r="G14" s="85">
        <v>11617</v>
      </c>
      <c r="H14" s="85">
        <f t="shared" si="0"/>
        <v>20625</v>
      </c>
      <c r="I14" s="85">
        <v>31650</v>
      </c>
      <c r="J14" s="85">
        <v>2595</v>
      </c>
    </row>
    <row r="15" spans="1:10">
      <c r="A15" s="5"/>
      <c r="B15" t="s">
        <v>14</v>
      </c>
      <c r="C15" s="5"/>
      <c r="D15" s="5"/>
      <c r="E15" s="5"/>
      <c r="F15" s="105"/>
      <c r="G15" s="105"/>
      <c r="H15" s="85">
        <f t="shared" si="0"/>
        <v>0</v>
      </c>
      <c r="I15" s="105"/>
      <c r="J15" s="105"/>
    </row>
    <row r="16" spans="1:10">
      <c r="C16" t="s">
        <v>15</v>
      </c>
      <c r="F16" s="82">
        <v>3554457</v>
      </c>
      <c r="G16" s="85">
        <v>45233</v>
      </c>
      <c r="H16" s="85">
        <f t="shared" si="0"/>
        <v>3599690</v>
      </c>
      <c r="I16" s="85">
        <v>630268</v>
      </c>
      <c r="J16" s="85">
        <v>5712933</v>
      </c>
    </row>
    <row r="17" spans="1:10">
      <c r="C17" t="s">
        <v>16</v>
      </c>
      <c r="F17" s="96">
        <v>13600295</v>
      </c>
      <c r="G17" s="85">
        <v>2117538</v>
      </c>
      <c r="H17" s="85">
        <f>SUM(F17:G17)</f>
        <v>15717833</v>
      </c>
      <c r="I17" s="142">
        <v>13308143</v>
      </c>
      <c r="J17" s="85">
        <v>23147380</v>
      </c>
    </row>
    <row r="18" spans="1:10">
      <c r="F18" s="85"/>
      <c r="G18" s="83"/>
      <c r="H18" s="83"/>
      <c r="I18" s="85"/>
      <c r="J18" s="83"/>
    </row>
    <row r="19" spans="1:10">
      <c r="A19" s="5"/>
      <c r="B19" s="5"/>
      <c r="C19" s="6" t="s">
        <v>17</v>
      </c>
      <c r="D19" s="6"/>
      <c r="E19" s="6"/>
      <c r="F19" s="84">
        <f>SUM(F7:F17)</f>
        <v>23688237</v>
      </c>
      <c r="G19" s="84">
        <f t="shared" ref="G19:J19" si="1">SUM(G7:G17)</f>
        <v>4090753</v>
      </c>
      <c r="H19" s="84">
        <f t="shared" si="1"/>
        <v>27778990</v>
      </c>
      <c r="I19" s="84">
        <f t="shared" si="1"/>
        <v>31855021</v>
      </c>
      <c r="J19" s="84">
        <f t="shared" si="1"/>
        <v>53162861</v>
      </c>
    </row>
    <row r="20" spans="1:10">
      <c r="F20" s="85"/>
      <c r="G20" s="85"/>
      <c r="H20" s="85"/>
      <c r="I20" s="85"/>
      <c r="J20" s="85"/>
    </row>
    <row r="21" spans="1:10">
      <c r="A21" s="5" t="s">
        <v>20</v>
      </c>
      <c r="F21" s="114"/>
      <c r="G21" s="85"/>
      <c r="H21" s="85"/>
      <c r="I21" s="85"/>
      <c r="J21" s="85"/>
    </row>
    <row r="22" spans="1:10">
      <c r="B22" t="s">
        <v>74</v>
      </c>
      <c r="F22" s="116">
        <v>1495978</v>
      </c>
      <c r="G22" s="85">
        <v>649805</v>
      </c>
      <c r="H22" s="85">
        <f>SUM(F22:G22)</f>
        <v>2145783</v>
      </c>
      <c r="I22" s="85">
        <v>1680390</v>
      </c>
      <c r="J22" s="85">
        <v>4035532</v>
      </c>
    </row>
    <row r="23" spans="1:10">
      <c r="B23" t="s">
        <v>211</v>
      </c>
      <c r="F23" s="101">
        <v>421610</v>
      </c>
      <c r="G23" s="85"/>
      <c r="H23" s="85">
        <f t="shared" ref="H23:H27" si="2">SUM(F23:G23)</f>
        <v>421610</v>
      </c>
      <c r="I23" s="114">
        <v>8308</v>
      </c>
      <c r="J23" s="85"/>
    </row>
    <row r="24" spans="1:10">
      <c r="B24" t="s">
        <v>454</v>
      </c>
      <c r="F24" s="141"/>
      <c r="G24" s="85">
        <v>765232</v>
      </c>
      <c r="H24" s="85">
        <f t="shared" si="2"/>
        <v>765232</v>
      </c>
      <c r="I24" s="85"/>
      <c r="J24" s="85">
        <v>301550</v>
      </c>
    </row>
    <row r="25" spans="1:10">
      <c r="B25" t="s">
        <v>443</v>
      </c>
      <c r="F25" s="85"/>
      <c r="G25" s="85"/>
      <c r="H25" s="85">
        <f t="shared" si="2"/>
        <v>0</v>
      </c>
      <c r="I25" s="85"/>
      <c r="J25" s="85"/>
    </row>
    <row r="26" spans="1:10">
      <c r="C26" t="s">
        <v>81</v>
      </c>
      <c r="D26" s="5"/>
      <c r="F26" s="97">
        <v>429289</v>
      </c>
      <c r="G26" s="85">
        <v>104924</v>
      </c>
      <c r="H26" s="85">
        <f t="shared" si="2"/>
        <v>534213</v>
      </c>
      <c r="I26" s="85">
        <v>425347</v>
      </c>
      <c r="J26" s="85">
        <v>190002</v>
      </c>
    </row>
    <row r="27" spans="1:10">
      <c r="A27" s="5"/>
      <c r="B27" s="5"/>
      <c r="C27" t="s">
        <v>82</v>
      </c>
      <c r="D27" s="5"/>
      <c r="E27" s="5"/>
      <c r="F27" s="79">
        <v>7837889</v>
      </c>
      <c r="G27" s="85">
        <v>550161</v>
      </c>
      <c r="H27" s="85">
        <f t="shared" si="2"/>
        <v>8388050</v>
      </c>
      <c r="I27" s="85">
        <v>1610718</v>
      </c>
      <c r="J27" s="85">
        <v>6339016</v>
      </c>
    </row>
    <row r="28" spans="1:10">
      <c r="F28" s="83"/>
      <c r="G28" s="83"/>
      <c r="H28" s="83"/>
      <c r="I28" s="83"/>
      <c r="J28" s="83"/>
    </row>
    <row r="29" spans="1:10">
      <c r="D29" s="8" t="s">
        <v>33</v>
      </c>
      <c r="E29" s="9"/>
      <c r="F29" s="89">
        <f>SUM(F22:F27)</f>
        <v>10184766</v>
      </c>
      <c r="G29" s="89">
        <f t="shared" ref="G29:H29" si="3">SUM(G22:G27)</f>
        <v>2070122</v>
      </c>
      <c r="H29" s="89">
        <f t="shared" si="3"/>
        <v>12254888</v>
      </c>
      <c r="I29" s="89">
        <f>SUM(I22:I27)</f>
        <v>3724763</v>
      </c>
      <c r="J29" s="89">
        <f>SUM(J22:J27)</f>
        <v>10866100</v>
      </c>
    </row>
    <row r="30" spans="1:10">
      <c r="F30" s="85"/>
      <c r="G30" s="85"/>
      <c r="H30" s="85"/>
      <c r="I30" s="85"/>
      <c r="J30" s="85"/>
    </row>
    <row r="31" spans="1:10">
      <c r="A31" s="5" t="s">
        <v>84</v>
      </c>
      <c r="F31" s="85"/>
      <c r="G31" s="85"/>
      <c r="H31" s="85"/>
      <c r="I31" s="85"/>
      <c r="J31" s="85"/>
    </row>
    <row r="32" spans="1:10">
      <c r="B32" t="s">
        <v>455</v>
      </c>
      <c r="F32" s="142">
        <v>2473</v>
      </c>
      <c r="G32" s="142">
        <v>0</v>
      </c>
      <c r="H32" s="142">
        <f>SUM(F32:G32)</f>
        <v>2473</v>
      </c>
      <c r="I32" s="142">
        <v>979528</v>
      </c>
      <c r="J32" s="142">
        <v>0</v>
      </c>
    </row>
    <row r="33" spans="1:10">
      <c r="F33" s="85"/>
      <c r="G33" s="85"/>
      <c r="H33" s="85"/>
      <c r="I33" s="85"/>
      <c r="J33" s="85"/>
    </row>
    <row r="34" spans="1:10">
      <c r="A34" s="3" t="s">
        <v>36</v>
      </c>
      <c r="F34" s="85"/>
      <c r="G34" s="85"/>
      <c r="H34" s="85"/>
      <c r="I34" s="85"/>
      <c r="J34" s="85"/>
    </row>
    <row r="35" spans="1:10">
      <c r="B35" t="s">
        <v>99</v>
      </c>
      <c r="F35" s="90">
        <v>8887574</v>
      </c>
      <c r="G35" s="85">
        <v>1507686</v>
      </c>
      <c r="H35" s="85">
        <f>SUM(F35:G35)</f>
        <v>10395260</v>
      </c>
      <c r="I35" s="85">
        <v>11897324</v>
      </c>
      <c r="J35" s="85">
        <v>21833078</v>
      </c>
    </row>
    <row r="36" spans="1:10">
      <c r="B36" t="s">
        <v>38</v>
      </c>
      <c r="F36" s="85"/>
      <c r="G36" s="85"/>
      <c r="H36" s="85"/>
      <c r="I36" s="85"/>
      <c r="J36" s="85"/>
    </row>
    <row r="37" spans="1:10">
      <c r="C37" t="s">
        <v>456</v>
      </c>
      <c r="F37" s="91">
        <v>439483</v>
      </c>
      <c r="G37" s="85"/>
      <c r="H37" s="85">
        <f t="shared" ref="H37:H40" si="4">SUM(F37:G37)</f>
        <v>439483</v>
      </c>
      <c r="I37" s="85"/>
      <c r="J37" s="85"/>
    </row>
    <row r="38" spans="1:10">
      <c r="C38" t="s">
        <v>39</v>
      </c>
      <c r="F38" s="91">
        <v>1551372</v>
      </c>
      <c r="G38" s="85">
        <v>35491</v>
      </c>
      <c r="H38" s="85">
        <f t="shared" si="4"/>
        <v>1586863</v>
      </c>
      <c r="I38" s="85"/>
      <c r="J38" s="85">
        <v>394078</v>
      </c>
    </row>
    <row r="39" spans="1:10">
      <c r="C39" t="s">
        <v>41</v>
      </c>
      <c r="F39" s="91">
        <v>159340</v>
      </c>
      <c r="G39" s="85"/>
      <c r="H39" s="85">
        <f t="shared" si="4"/>
        <v>159340</v>
      </c>
      <c r="I39" s="85">
        <v>643298</v>
      </c>
      <c r="J39" s="85"/>
    </row>
    <row r="40" spans="1:10">
      <c r="B40" t="s">
        <v>42</v>
      </c>
      <c r="F40" s="98">
        <v>2463229</v>
      </c>
      <c r="G40" s="85">
        <v>477454</v>
      </c>
      <c r="H40" s="85">
        <f t="shared" si="4"/>
        <v>2940683</v>
      </c>
      <c r="I40" s="85">
        <v>14610108</v>
      </c>
      <c r="J40" s="85">
        <v>20069605</v>
      </c>
    </row>
    <row r="41" spans="1:10">
      <c r="F41" s="83"/>
      <c r="G41" s="83"/>
      <c r="H41" s="83"/>
      <c r="I41" s="83"/>
      <c r="J41" s="83"/>
    </row>
    <row r="42" spans="1:10">
      <c r="A42" s="3"/>
      <c r="B42" s="3"/>
      <c r="C42" s="10" t="s">
        <v>43</v>
      </c>
      <c r="D42" s="10"/>
      <c r="E42" s="10"/>
      <c r="F42" s="99">
        <f>SUM(F35:F40)</f>
        <v>13500998</v>
      </c>
      <c r="G42" s="99">
        <f>SUM(G35:G40)</f>
        <v>2020631</v>
      </c>
      <c r="H42" s="99">
        <f>SUM(H34:H40)</f>
        <v>15521629</v>
      </c>
      <c r="I42" s="99">
        <f>SUM(I35:I40)</f>
        <v>27150730</v>
      </c>
      <c r="J42" s="99">
        <f>SUM(J35:J40)</f>
        <v>42296761</v>
      </c>
    </row>
    <row r="43" spans="1:10">
      <c r="F43" s="85"/>
      <c r="G43" s="85"/>
      <c r="H43" s="85"/>
      <c r="I43" s="85"/>
      <c r="J43" s="85"/>
    </row>
    <row r="44" spans="1:10">
      <c r="A44" s="3"/>
      <c r="B44" s="3"/>
      <c r="C44" s="11" t="s">
        <v>44</v>
      </c>
      <c r="D44" s="11"/>
      <c r="E44" s="11"/>
      <c r="F44" s="100">
        <f>SUM(F29+F42+F32)</f>
        <v>23688237</v>
      </c>
      <c r="G44" s="100">
        <f t="shared" ref="G44:J44" si="5">SUM(G29+G42+G32)</f>
        <v>4090753</v>
      </c>
      <c r="H44" s="100">
        <f t="shared" si="5"/>
        <v>27778990</v>
      </c>
      <c r="I44" s="100">
        <f t="shared" si="5"/>
        <v>31855021</v>
      </c>
      <c r="J44" s="100">
        <f t="shared" si="5"/>
        <v>53162861</v>
      </c>
    </row>
  </sheetData>
  <mergeCells count="3">
    <mergeCell ref="D2:F2"/>
    <mergeCell ref="F4:G4"/>
    <mergeCell ref="I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39"/>
  <sheetViews>
    <sheetView workbookViewId="0">
      <selection activeCell="I35" sqref="I35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2.710937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02" t="s">
        <v>457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10" ht="14.25" customHeight="1">
      <c r="H4" s="71" t="s">
        <v>2</v>
      </c>
    </row>
    <row r="5" spans="1:10" ht="31.5" customHeight="1">
      <c r="H5" s="2">
        <v>2013</v>
      </c>
      <c r="I5" s="111">
        <v>2012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65</v>
      </c>
      <c r="H7" s="79">
        <v>50024032</v>
      </c>
      <c r="I7" s="85">
        <v>25937860</v>
      </c>
    </row>
    <row r="8" spans="1:10">
      <c r="C8" t="s">
        <v>46</v>
      </c>
      <c r="H8" s="80">
        <v>22585071</v>
      </c>
      <c r="I8" s="85">
        <v>18491555</v>
      </c>
    </row>
    <row r="9" spans="1:10">
      <c r="C9" t="s">
        <v>69</v>
      </c>
      <c r="H9" s="81">
        <v>492</v>
      </c>
      <c r="I9" s="85">
        <v>13514</v>
      </c>
    </row>
    <row r="10" spans="1:10">
      <c r="C10" t="s">
        <v>120</v>
      </c>
      <c r="H10" s="141"/>
      <c r="I10" s="85"/>
    </row>
    <row r="11" spans="1:10">
      <c r="D11" t="s">
        <v>458</v>
      </c>
      <c r="H11" s="85"/>
      <c r="I11" s="85"/>
    </row>
    <row r="12" spans="1:10">
      <c r="E12" t="s">
        <v>121</v>
      </c>
      <c r="H12" s="82">
        <v>1689373</v>
      </c>
      <c r="I12" s="85">
        <v>1694373</v>
      </c>
    </row>
    <row r="13" spans="1:10">
      <c r="E13" t="s">
        <v>125</v>
      </c>
      <c r="H13" s="82">
        <v>1375268</v>
      </c>
      <c r="I13" s="85">
        <v>1141822</v>
      </c>
    </row>
    <row r="14" spans="1:10">
      <c r="D14" t="s">
        <v>459</v>
      </c>
      <c r="H14" s="85"/>
      <c r="I14" s="85"/>
    </row>
    <row r="15" spans="1:10">
      <c r="E15" t="s">
        <v>122</v>
      </c>
      <c r="H15" s="82">
        <v>10856728</v>
      </c>
      <c r="I15" s="85">
        <v>10366723</v>
      </c>
    </row>
    <row r="16" spans="1:10">
      <c r="E16" t="s">
        <v>460</v>
      </c>
      <c r="H16" s="82">
        <v>7063409</v>
      </c>
      <c r="I16" s="85">
        <v>7429862</v>
      </c>
    </row>
    <row r="17" spans="1:9">
      <c r="E17" t="s">
        <v>124</v>
      </c>
      <c r="H17" s="96">
        <v>30119389</v>
      </c>
      <c r="I17" s="85">
        <v>32243929</v>
      </c>
    </row>
    <row r="18" spans="1:9">
      <c r="H18" s="85"/>
      <c r="I18" s="83"/>
    </row>
    <row r="19" spans="1:9" s="5" customFormat="1">
      <c r="C19" s="6" t="s">
        <v>17</v>
      </c>
      <c r="D19" s="6"/>
      <c r="E19" s="6"/>
      <c r="F19" s="6"/>
      <c r="G19" s="6"/>
      <c r="H19" s="84">
        <f>SUM(H7:H17)</f>
        <v>123713762</v>
      </c>
      <c r="I19" s="84">
        <f>SUM(I7:I17)</f>
        <v>97319638</v>
      </c>
    </row>
    <row r="20" spans="1:9">
      <c r="H20" s="85"/>
      <c r="I20" s="85"/>
    </row>
    <row r="21" spans="1:9">
      <c r="A21" s="5" t="s">
        <v>20</v>
      </c>
      <c r="H21" s="85"/>
      <c r="I21" s="85"/>
    </row>
    <row r="22" spans="1:9">
      <c r="C22" t="s">
        <v>126</v>
      </c>
      <c r="H22" s="86">
        <v>1276458</v>
      </c>
      <c r="I22" s="85">
        <v>618828</v>
      </c>
    </row>
    <row r="23" spans="1:9">
      <c r="C23" t="s">
        <v>134</v>
      </c>
      <c r="H23" s="81">
        <v>1693311</v>
      </c>
      <c r="I23" s="85">
        <v>412472</v>
      </c>
    </row>
    <row r="24" spans="1:9">
      <c r="C24" t="s">
        <v>127</v>
      </c>
      <c r="H24" s="86">
        <v>1097664</v>
      </c>
      <c r="I24" s="85">
        <v>66424</v>
      </c>
    </row>
    <row r="25" spans="1:9">
      <c r="C25" t="s">
        <v>27</v>
      </c>
      <c r="H25" s="85"/>
      <c r="I25" s="85"/>
    </row>
    <row r="26" spans="1:9">
      <c r="D26" t="s">
        <v>81</v>
      </c>
      <c r="H26" s="97">
        <v>1649430</v>
      </c>
      <c r="I26" s="85">
        <v>1526095</v>
      </c>
    </row>
    <row r="27" spans="1:9">
      <c r="D27" t="s">
        <v>82</v>
      </c>
      <c r="H27" s="79">
        <v>48762251</v>
      </c>
      <c r="I27" s="85">
        <v>21238906</v>
      </c>
    </row>
    <row r="28" spans="1:9">
      <c r="H28" s="83"/>
      <c r="I28" s="83"/>
    </row>
    <row r="29" spans="1:9">
      <c r="D29" s="8" t="s">
        <v>33</v>
      </c>
      <c r="E29" s="9"/>
      <c r="F29" s="9"/>
      <c r="G29" s="9"/>
      <c r="H29" s="89">
        <f>SUM(H22:H27)</f>
        <v>54479114</v>
      </c>
      <c r="I29" s="89">
        <f>SUM(I22:I27)</f>
        <v>23862725</v>
      </c>
    </row>
    <row r="30" spans="1:9">
      <c r="H30" s="85"/>
      <c r="I30" s="85"/>
    </row>
    <row r="31" spans="1:9">
      <c r="A31" s="3" t="s">
        <v>36</v>
      </c>
      <c r="H31" s="85"/>
      <c r="I31" s="85"/>
    </row>
    <row r="32" spans="1:9">
      <c r="B32" t="s">
        <v>99</v>
      </c>
      <c r="H32" s="90">
        <v>24889814</v>
      </c>
      <c r="I32" s="85">
        <v>50532341</v>
      </c>
    </row>
    <row r="33" spans="2:9">
      <c r="B33" t="s">
        <v>268</v>
      </c>
      <c r="H33" s="91">
        <v>2945708</v>
      </c>
      <c r="I33" s="85">
        <v>41385</v>
      </c>
    </row>
    <row r="34" spans="2:9">
      <c r="B34" t="s">
        <v>42</v>
      </c>
      <c r="H34" s="98">
        <v>41399125</v>
      </c>
      <c r="I34" s="85">
        <v>22883185</v>
      </c>
    </row>
    <row r="35" spans="2:9">
      <c r="H35" s="83"/>
      <c r="I35" s="83"/>
    </row>
    <row r="36" spans="2:9" s="3" customFormat="1">
      <c r="C36" s="10" t="s">
        <v>43</v>
      </c>
      <c r="D36" s="10"/>
      <c r="E36" s="10"/>
      <c r="F36" s="10"/>
      <c r="G36" s="10"/>
      <c r="H36" s="99">
        <f>SUM(H32:H34)</f>
        <v>69234647</v>
      </c>
      <c r="I36" s="99">
        <f>SUM(I31:I34)</f>
        <v>73456911</v>
      </c>
    </row>
    <row r="37" spans="2:9">
      <c r="H37" s="85"/>
      <c r="I37" s="85"/>
    </row>
    <row r="38" spans="2:9" s="3" customFormat="1">
      <c r="C38" s="11" t="s">
        <v>44</v>
      </c>
      <c r="D38" s="11"/>
      <c r="E38" s="11"/>
      <c r="F38" s="11"/>
      <c r="G38" s="11"/>
      <c r="H38" s="100">
        <f>SUM(H29+H36)</f>
        <v>123713761</v>
      </c>
      <c r="I38" s="100">
        <f>SUM(I36+I29)</f>
        <v>97319636</v>
      </c>
    </row>
    <row r="39" spans="2:9">
      <c r="H39" s="85"/>
      <c r="I39" s="85"/>
    </row>
  </sheetData>
  <mergeCells count="2">
    <mergeCell ref="D1:H1"/>
    <mergeCell ref="D2:H2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49"/>
  <sheetViews>
    <sheetView topLeftCell="A3" workbookViewId="0">
      <selection activeCell="J42" sqref="J4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8.28515625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461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1" ht="31.5" customHeight="1">
      <c r="H4" s="110" t="s">
        <v>3</v>
      </c>
      <c r="I4" s="110" t="s">
        <v>137</v>
      </c>
      <c r="J4" s="111" t="s">
        <v>64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A6" s="3"/>
      <c r="B6" s="5" t="s">
        <v>6</v>
      </c>
      <c r="D6" s="3"/>
      <c r="G6" s="4"/>
      <c r="H6" s="78"/>
      <c r="I6" s="78"/>
      <c r="J6" s="85"/>
    </row>
    <row r="7" spans="1:11">
      <c r="C7" t="s">
        <v>65</v>
      </c>
      <c r="H7" s="79">
        <v>14939159</v>
      </c>
      <c r="I7" s="85">
        <v>27597</v>
      </c>
      <c r="J7" s="85">
        <f>SUM(H7:I7)</f>
        <v>14966756</v>
      </c>
    </row>
    <row r="8" spans="1:11">
      <c r="C8" t="s">
        <v>8</v>
      </c>
      <c r="H8" s="86">
        <v>15927098</v>
      </c>
      <c r="I8" s="85"/>
      <c r="J8" s="85">
        <f t="shared" ref="J8:J9" si="0">SUM(H8:I8)</f>
        <v>15927098</v>
      </c>
    </row>
    <row r="9" spans="1:11">
      <c r="C9" t="s">
        <v>46</v>
      </c>
      <c r="H9" s="80">
        <v>4231862</v>
      </c>
      <c r="I9" s="85">
        <v>3052</v>
      </c>
      <c r="J9" s="85">
        <f t="shared" si="0"/>
        <v>4234914</v>
      </c>
    </row>
    <row r="10" spans="1:11">
      <c r="C10" t="s">
        <v>462</v>
      </c>
      <c r="H10" s="81">
        <v>20301</v>
      </c>
      <c r="I10" s="85"/>
      <c r="J10" s="85">
        <f>SUM(H10:I10)</f>
        <v>20301</v>
      </c>
    </row>
    <row r="11" spans="1:11">
      <c r="H11" s="83"/>
      <c r="I11" s="83"/>
      <c r="J11" s="83"/>
    </row>
    <row r="12" spans="1:11" s="5" customFormat="1">
      <c r="C12" s="107" t="s">
        <v>105</v>
      </c>
      <c r="D12" s="107"/>
      <c r="E12" s="107"/>
      <c r="F12" s="107"/>
      <c r="G12" s="107"/>
      <c r="H12" s="108">
        <f>SUM(H7:H10)</f>
        <v>35118420</v>
      </c>
      <c r="I12" s="108">
        <f>SUM(I7:I11)</f>
        <v>30649</v>
      </c>
      <c r="J12" s="108">
        <f>SUM(J7:J10)</f>
        <v>35149069</v>
      </c>
    </row>
    <row r="13" spans="1:11">
      <c r="H13" s="85"/>
      <c r="I13" s="85"/>
      <c r="J13" s="85"/>
    </row>
    <row r="14" spans="1:11" s="5" customFormat="1">
      <c r="B14" s="5" t="s">
        <v>106</v>
      </c>
      <c r="H14" s="105"/>
      <c r="I14" s="105"/>
      <c r="J14" s="105"/>
    </row>
    <row r="15" spans="1:11">
      <c r="C15" t="s">
        <v>50</v>
      </c>
      <c r="H15" s="82">
        <v>14236061</v>
      </c>
      <c r="I15" s="85">
        <v>354991</v>
      </c>
      <c r="J15" s="85">
        <f>SUM(H15:I15)</f>
        <v>14591052</v>
      </c>
    </row>
    <row r="16" spans="1:11">
      <c r="H16" s="83"/>
      <c r="I16" s="83"/>
      <c r="J16" s="83"/>
    </row>
    <row r="17" spans="1:10" s="5" customFormat="1">
      <c r="C17" s="107" t="s">
        <v>109</v>
      </c>
      <c r="D17" s="107"/>
      <c r="E17" s="107"/>
      <c r="F17" s="107"/>
      <c r="G17" s="107"/>
      <c r="H17" s="108">
        <f>SUM(H14:H15)</f>
        <v>14236061</v>
      </c>
      <c r="I17" s="108">
        <f>SUM(I14:I15)</f>
        <v>354991</v>
      </c>
      <c r="J17" s="108">
        <f>SUM(J14:J15)</f>
        <v>14591052</v>
      </c>
    </row>
    <row r="18" spans="1:10">
      <c r="H18" s="85"/>
      <c r="I18" s="85"/>
      <c r="J18" s="85"/>
    </row>
    <row r="19" spans="1:10" s="5" customFormat="1">
      <c r="C19" s="6" t="s">
        <v>17</v>
      </c>
      <c r="D19" s="6"/>
      <c r="E19" s="6"/>
      <c r="F19" s="6"/>
      <c r="G19" s="6"/>
      <c r="H19" s="84">
        <f>SUM(H12+H17)</f>
        <v>49354481</v>
      </c>
      <c r="I19" s="84">
        <f>SUM(I12+I17)</f>
        <v>385640</v>
      </c>
      <c r="J19" s="84">
        <f>SUM(J12+J17)</f>
        <v>49740121</v>
      </c>
    </row>
    <row r="20" spans="1:10">
      <c r="H20" s="85"/>
      <c r="I20" s="85"/>
      <c r="J20" s="85"/>
    </row>
    <row r="21" spans="1:10">
      <c r="A21" s="5" t="s">
        <v>20</v>
      </c>
      <c r="H21" s="85"/>
      <c r="I21" s="85"/>
      <c r="J21" s="85"/>
    </row>
    <row r="22" spans="1:10" s="5" customFormat="1">
      <c r="B22" s="5" t="s">
        <v>110</v>
      </c>
      <c r="H22" s="105"/>
      <c r="I22" s="105"/>
      <c r="J22" s="105"/>
    </row>
    <row r="23" spans="1:10">
      <c r="A23" s="5"/>
      <c r="C23" t="s">
        <v>96</v>
      </c>
      <c r="H23" s="154">
        <v>25335</v>
      </c>
      <c r="I23" s="85"/>
      <c r="J23" s="85">
        <f t="shared" ref="J23:J26" si="1">SUM(H23:I23)</f>
        <v>25335</v>
      </c>
    </row>
    <row r="24" spans="1:10">
      <c r="C24" t="s">
        <v>463</v>
      </c>
      <c r="H24" s="81">
        <v>236000</v>
      </c>
      <c r="I24" s="85"/>
      <c r="J24" s="85">
        <f t="shared" si="1"/>
        <v>236000</v>
      </c>
    </row>
    <row r="25" spans="1:10">
      <c r="C25" t="s">
        <v>74</v>
      </c>
      <c r="H25" s="116">
        <v>382459</v>
      </c>
      <c r="I25" s="85">
        <v>5021</v>
      </c>
      <c r="J25" s="85">
        <f t="shared" si="1"/>
        <v>387480</v>
      </c>
    </row>
    <row r="26" spans="1:10">
      <c r="C26" t="s">
        <v>127</v>
      </c>
      <c r="H26" s="116">
        <v>6510</v>
      </c>
      <c r="I26" s="85"/>
      <c r="J26" s="85">
        <f t="shared" si="1"/>
        <v>6510</v>
      </c>
    </row>
    <row r="27" spans="1:10">
      <c r="H27" s="83"/>
      <c r="I27" s="83"/>
      <c r="J27" s="83"/>
    </row>
    <row r="28" spans="1:10">
      <c r="D28" s="107" t="s">
        <v>114</v>
      </c>
      <c r="E28" s="109"/>
      <c r="F28" s="109"/>
      <c r="G28" s="109"/>
      <c r="H28" s="108">
        <f>SUM(H23:H26)</f>
        <v>650304</v>
      </c>
      <c r="I28" s="108">
        <f>SUM(I23:I26)</f>
        <v>5021</v>
      </c>
      <c r="J28" s="108">
        <f>SUM(J23:J26)</f>
        <v>655325</v>
      </c>
    </row>
    <row r="29" spans="1:10">
      <c r="H29" s="85"/>
      <c r="I29" s="85"/>
      <c r="J29" s="85"/>
    </row>
    <row r="30" spans="1:10" s="5" customFormat="1">
      <c r="B30" s="5" t="s">
        <v>115</v>
      </c>
      <c r="H30" s="105"/>
      <c r="I30" s="105"/>
      <c r="J30" s="105"/>
    </row>
    <row r="31" spans="1:10" s="5" customFormat="1">
      <c r="C31" t="s">
        <v>464</v>
      </c>
      <c r="H31" s="88">
        <v>51438</v>
      </c>
      <c r="I31" s="105"/>
      <c r="J31" s="85">
        <f t="shared" ref="J31:J32" si="2">SUM(H31:I31)</f>
        <v>51438</v>
      </c>
    </row>
    <row r="32" spans="1:10" s="5" customFormat="1">
      <c r="C32" t="s">
        <v>465</v>
      </c>
      <c r="H32" s="81">
        <v>734000</v>
      </c>
      <c r="I32" s="105"/>
      <c r="J32" s="85">
        <f t="shared" si="2"/>
        <v>734000</v>
      </c>
    </row>
    <row r="33" spans="1:10">
      <c r="C33" t="s">
        <v>97</v>
      </c>
      <c r="H33" s="86">
        <v>109950</v>
      </c>
      <c r="I33" s="85"/>
      <c r="J33" s="85">
        <f>SUM(H33:I33)</f>
        <v>109950</v>
      </c>
    </row>
    <row r="34" spans="1:10">
      <c r="H34" s="83"/>
      <c r="I34" s="83"/>
      <c r="J34" s="83"/>
    </row>
    <row r="35" spans="1:10">
      <c r="D35" s="107" t="s">
        <v>116</v>
      </c>
      <c r="E35" s="109"/>
      <c r="F35" s="109"/>
      <c r="G35" s="109"/>
      <c r="H35" s="108">
        <f>SUM(H31:H33)</f>
        <v>895388</v>
      </c>
      <c r="I35" s="108">
        <f>SUM(I31:I33)</f>
        <v>0</v>
      </c>
      <c r="J35" s="108">
        <f>SUM(J31:J33)</f>
        <v>895388</v>
      </c>
    </row>
    <row r="36" spans="1:10">
      <c r="H36" s="85"/>
      <c r="I36" s="85"/>
      <c r="J36" s="85"/>
    </row>
    <row r="37" spans="1:10">
      <c r="D37" s="8" t="s">
        <v>33</v>
      </c>
      <c r="E37" s="9"/>
      <c r="F37" s="9"/>
      <c r="G37" s="9"/>
      <c r="H37" s="89">
        <f>SUM(H28+H35)</f>
        <v>1545692</v>
      </c>
      <c r="I37" s="89">
        <f>SUM(I35+I28)</f>
        <v>5021</v>
      </c>
      <c r="J37" s="89">
        <f>SUM(J28+J35)</f>
        <v>1550713</v>
      </c>
    </row>
    <row r="38" spans="1:10">
      <c r="H38" s="85"/>
      <c r="I38" s="85"/>
      <c r="J38" s="85"/>
    </row>
    <row r="39" spans="1:10">
      <c r="A39" s="3" t="s">
        <v>36</v>
      </c>
      <c r="H39" s="85"/>
      <c r="I39" s="85"/>
      <c r="J39" s="85"/>
    </row>
    <row r="40" spans="1:10">
      <c r="B40" t="s">
        <v>37</v>
      </c>
      <c r="H40" s="90">
        <v>13266061</v>
      </c>
      <c r="I40" s="85">
        <v>354991</v>
      </c>
      <c r="J40" s="85">
        <f>SUM(H40:I40)</f>
        <v>13621052</v>
      </c>
    </row>
    <row r="41" spans="1:10">
      <c r="B41" t="s">
        <v>38</v>
      </c>
      <c r="H41" s="85"/>
      <c r="I41" s="85"/>
      <c r="J41" s="85"/>
    </row>
    <row r="42" spans="1:10">
      <c r="C42" t="s">
        <v>466</v>
      </c>
      <c r="H42" s="91">
        <v>1958751</v>
      </c>
      <c r="I42" s="85"/>
      <c r="J42" s="85">
        <f t="shared" ref="J42:J43" si="3">SUM(H42:I42)</f>
        <v>1958751</v>
      </c>
    </row>
    <row r="43" spans="1:10">
      <c r="C43" t="s">
        <v>467</v>
      </c>
      <c r="H43" s="91">
        <v>9595343</v>
      </c>
      <c r="I43" s="85"/>
      <c r="J43" s="85">
        <f t="shared" si="3"/>
        <v>9595343</v>
      </c>
    </row>
    <row r="44" spans="1:10">
      <c r="B44" t="s">
        <v>42</v>
      </c>
      <c r="H44" s="98">
        <v>22988634</v>
      </c>
      <c r="I44" s="85">
        <v>25628</v>
      </c>
      <c r="J44" s="85">
        <f t="shared" ref="J44" si="4">SUM(H44:I44)</f>
        <v>23014262</v>
      </c>
    </row>
    <row r="45" spans="1:10">
      <c r="H45" s="83"/>
      <c r="I45" s="83"/>
      <c r="J45" s="83"/>
    </row>
    <row r="46" spans="1:10" s="3" customFormat="1">
      <c r="C46" s="10" t="s">
        <v>43</v>
      </c>
      <c r="D46" s="10"/>
      <c r="E46" s="10"/>
      <c r="F46" s="10"/>
      <c r="G46" s="10"/>
      <c r="H46" s="99">
        <f>SUM(H40:H44)</f>
        <v>47808789</v>
      </c>
      <c r="I46" s="99">
        <f>SUM(I40:I44)</f>
        <v>380619</v>
      </c>
      <c r="J46" s="99">
        <f>SUM(J39:J44)</f>
        <v>48189408</v>
      </c>
    </row>
    <row r="47" spans="1:10">
      <c r="H47" s="85"/>
      <c r="I47" s="85"/>
      <c r="J47" s="85"/>
    </row>
    <row r="48" spans="1:10" s="3" customFormat="1">
      <c r="C48" s="11" t="s">
        <v>44</v>
      </c>
      <c r="D48" s="11"/>
      <c r="E48" s="11"/>
      <c r="F48" s="11"/>
      <c r="G48" s="11"/>
      <c r="H48" s="100">
        <f>SUM(H37+H46)</f>
        <v>49354481</v>
      </c>
      <c r="I48" s="100">
        <f>SUM(I46+I37)</f>
        <v>385640</v>
      </c>
      <c r="J48" s="100">
        <f>SUM(J46+J37)</f>
        <v>49740121</v>
      </c>
    </row>
    <row r="49" spans="8:10">
      <c r="H49" s="85"/>
      <c r="I49" s="85"/>
      <c r="J49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1"/>
  <sheetViews>
    <sheetView workbookViewId="0">
      <selection activeCell="G31" sqref="G31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468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7</v>
      </c>
      <c r="G6" s="79">
        <v>7877011</v>
      </c>
    </row>
    <row r="7" spans="1:7">
      <c r="B7" t="s">
        <v>46</v>
      </c>
      <c r="G7" s="80">
        <v>2803917</v>
      </c>
    </row>
    <row r="8" spans="1:7">
      <c r="B8" t="s">
        <v>14</v>
      </c>
      <c r="G8" s="85"/>
    </row>
    <row r="9" spans="1:7">
      <c r="C9" t="s">
        <v>121</v>
      </c>
      <c r="G9" s="82">
        <v>300273</v>
      </c>
    </row>
    <row r="10" spans="1:7">
      <c r="C10" t="s">
        <v>152</v>
      </c>
      <c r="G10" s="96">
        <v>2137747</v>
      </c>
    </row>
    <row r="11" spans="1:7">
      <c r="G11" s="85"/>
    </row>
    <row r="12" spans="1:7">
      <c r="A12" s="5"/>
      <c r="B12" s="6" t="s">
        <v>17</v>
      </c>
      <c r="C12" s="6"/>
      <c r="D12" s="6"/>
      <c r="E12" s="6"/>
      <c r="F12" s="6"/>
      <c r="G12" s="84">
        <f>SUM(G6:G10)</f>
        <v>13118948</v>
      </c>
    </row>
    <row r="13" spans="1:7">
      <c r="G13" s="85"/>
    </row>
    <row r="14" spans="1:7">
      <c r="A14" s="5" t="s">
        <v>20</v>
      </c>
      <c r="G14" s="85"/>
    </row>
    <row r="15" spans="1:7">
      <c r="B15" t="s">
        <v>21</v>
      </c>
      <c r="G15" s="86">
        <v>219835</v>
      </c>
    </row>
    <row r="16" spans="1:7">
      <c r="B16" t="s">
        <v>469</v>
      </c>
      <c r="G16" s="86">
        <v>94972</v>
      </c>
    </row>
    <row r="17" spans="1:7">
      <c r="G17" s="83"/>
    </row>
    <row r="18" spans="1:7">
      <c r="C18" s="8" t="s">
        <v>33</v>
      </c>
      <c r="D18" s="9"/>
      <c r="E18" s="9"/>
      <c r="F18" s="9"/>
      <c r="G18" s="89">
        <f>SUM(G15:G16)</f>
        <v>314807</v>
      </c>
    </row>
    <row r="19" spans="1:7">
      <c r="G19" s="85"/>
    </row>
    <row r="20" spans="1:7">
      <c r="A20" s="5" t="s">
        <v>34</v>
      </c>
      <c r="G20" s="85"/>
    </row>
    <row r="21" spans="1:7">
      <c r="B21" t="s">
        <v>470</v>
      </c>
      <c r="G21" s="142">
        <v>2680349</v>
      </c>
    </row>
    <row r="22" spans="1:7">
      <c r="G22" s="85"/>
    </row>
    <row r="23" spans="1:7">
      <c r="A23" s="3" t="s">
        <v>36</v>
      </c>
      <c r="G23" s="85"/>
    </row>
    <row r="24" spans="1:7">
      <c r="B24" t="s">
        <v>416</v>
      </c>
      <c r="G24" s="90">
        <v>2438020</v>
      </c>
    </row>
    <row r="25" spans="1:7">
      <c r="B25" t="s">
        <v>417</v>
      </c>
      <c r="G25" s="91">
        <v>6161125</v>
      </c>
    </row>
    <row r="26" spans="1:7">
      <c r="B26" t="s">
        <v>42</v>
      </c>
      <c r="G26" s="98">
        <v>1524647</v>
      </c>
    </row>
    <row r="27" spans="1:7">
      <c r="G27" s="83"/>
    </row>
    <row r="28" spans="1:7">
      <c r="A28" s="3"/>
      <c r="B28" s="10" t="s">
        <v>43</v>
      </c>
      <c r="C28" s="10"/>
      <c r="D28" s="10"/>
      <c r="E28" s="10"/>
      <c r="F28" s="10"/>
      <c r="G28" s="99">
        <f>SUM(G24:G26)</f>
        <v>10123792</v>
      </c>
    </row>
    <row r="29" spans="1:7">
      <c r="G29" s="85"/>
    </row>
    <row r="30" spans="1:7">
      <c r="A30" s="3"/>
      <c r="B30" s="11" t="s">
        <v>44</v>
      </c>
      <c r="C30" s="11"/>
      <c r="D30" s="11"/>
      <c r="E30" s="11"/>
      <c r="F30" s="11"/>
      <c r="G30" s="100">
        <f>SUM(G18+G28+G21)</f>
        <v>13118948</v>
      </c>
    </row>
    <row r="31" spans="1:7">
      <c r="G31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38"/>
  <sheetViews>
    <sheetView workbookViewId="0">
      <selection activeCell="I28" sqref="I28"/>
    </sheetView>
  </sheetViews>
  <sheetFormatPr defaultColWidth="8.85546875" defaultRowHeight="14.45"/>
  <cols>
    <col min="1" max="1" width="3.28515625" customWidth="1"/>
    <col min="2" max="2" width="3" customWidth="1"/>
    <col min="3" max="3" width="3.28515625" customWidth="1"/>
    <col min="4" max="4" width="4.28515625" customWidth="1"/>
    <col min="5" max="5" width="5.28515625" customWidth="1"/>
    <col min="6" max="6" width="12.710937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02" t="s">
        <v>471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3" spans="1:10" ht="15.75" customHeight="1">
      <c r="A3" s="1"/>
      <c r="B3" s="1"/>
      <c r="C3" s="1"/>
      <c r="D3" s="103"/>
      <c r="E3" s="103"/>
      <c r="F3" s="103"/>
      <c r="G3" s="103"/>
      <c r="H3" s="103"/>
    </row>
    <row r="5" spans="1:10" ht="31.5" customHeight="1">
      <c r="H5" s="2">
        <v>2013</v>
      </c>
      <c r="I5" s="111">
        <v>2012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65</v>
      </c>
      <c r="H7" s="79">
        <v>8931765</v>
      </c>
      <c r="I7" s="85">
        <v>10539101</v>
      </c>
    </row>
    <row r="8" spans="1:10">
      <c r="C8" t="s">
        <v>46</v>
      </c>
      <c r="H8" s="80">
        <v>3916001</v>
      </c>
      <c r="I8" s="85">
        <v>3153470</v>
      </c>
    </row>
    <row r="9" spans="1:10">
      <c r="C9" t="s">
        <v>120</v>
      </c>
      <c r="H9" s="141"/>
      <c r="I9" s="85"/>
    </row>
    <row r="10" spans="1:10">
      <c r="E10" t="s">
        <v>121</v>
      </c>
      <c r="H10" s="82">
        <v>639576</v>
      </c>
      <c r="I10" s="85">
        <v>595253</v>
      </c>
    </row>
    <row r="11" spans="1:10">
      <c r="E11" t="s">
        <v>125</v>
      </c>
      <c r="H11" s="82">
        <v>540422</v>
      </c>
      <c r="I11" s="85"/>
    </row>
    <row r="12" spans="1:10">
      <c r="E12" t="s">
        <v>122</v>
      </c>
      <c r="H12" s="82">
        <v>1720235</v>
      </c>
      <c r="I12" s="85">
        <v>1647721</v>
      </c>
    </row>
    <row r="13" spans="1:10">
      <c r="E13" t="s">
        <v>300</v>
      </c>
      <c r="H13" s="82">
        <v>3069475</v>
      </c>
      <c r="I13" s="85">
        <v>2926989</v>
      </c>
    </row>
    <row r="14" spans="1:10">
      <c r="E14" t="s">
        <v>460</v>
      </c>
      <c r="H14" s="82">
        <v>15328</v>
      </c>
      <c r="I14" s="85">
        <v>19296</v>
      </c>
    </row>
    <row r="15" spans="1:10">
      <c r="E15" t="s">
        <v>472</v>
      </c>
      <c r="H15" s="85"/>
      <c r="I15" s="85"/>
    </row>
    <row r="16" spans="1:10">
      <c r="F16" t="s">
        <v>216</v>
      </c>
      <c r="H16" s="82">
        <v>1849947</v>
      </c>
      <c r="I16" s="85">
        <v>2976835</v>
      </c>
    </row>
    <row r="17" spans="1:9">
      <c r="F17" t="s">
        <v>473</v>
      </c>
      <c r="H17" s="82">
        <v>991177</v>
      </c>
      <c r="I17" s="85">
        <v>987759</v>
      </c>
    </row>
    <row r="18" spans="1:9">
      <c r="F18" t="s">
        <v>474</v>
      </c>
      <c r="H18" s="96">
        <v>3769263</v>
      </c>
      <c r="I18" s="85">
        <v>3463123</v>
      </c>
    </row>
    <row r="19" spans="1:9">
      <c r="H19" s="85"/>
      <c r="I19" s="83"/>
    </row>
    <row r="20" spans="1:9" s="5" customFormat="1">
      <c r="C20" s="6" t="s">
        <v>17</v>
      </c>
      <c r="D20" s="6"/>
      <c r="E20" s="6"/>
      <c r="F20" s="6"/>
      <c r="G20" s="6"/>
      <c r="H20" s="84">
        <f>SUM(H7:H18)</f>
        <v>25443189</v>
      </c>
      <c r="I20" s="84">
        <f>SUM(I7:I18)</f>
        <v>26309547</v>
      </c>
    </row>
    <row r="21" spans="1:9">
      <c r="H21" s="85"/>
      <c r="I21" s="85"/>
    </row>
    <row r="22" spans="1:9">
      <c r="A22" s="5" t="s">
        <v>20</v>
      </c>
      <c r="H22" s="85"/>
      <c r="I22" s="85"/>
    </row>
    <row r="23" spans="1:9">
      <c r="C23" t="s">
        <v>126</v>
      </c>
      <c r="H23" s="86">
        <v>752592</v>
      </c>
      <c r="I23" s="85">
        <v>822300</v>
      </c>
    </row>
    <row r="24" spans="1:9">
      <c r="C24" t="s">
        <v>127</v>
      </c>
      <c r="H24" s="86">
        <v>12512</v>
      </c>
      <c r="I24" s="85">
        <v>14942</v>
      </c>
    </row>
    <row r="25" spans="1:9">
      <c r="C25" t="s">
        <v>27</v>
      </c>
      <c r="H25" s="85"/>
      <c r="I25" s="85"/>
    </row>
    <row r="26" spans="1:9">
      <c r="D26" t="s">
        <v>81</v>
      </c>
      <c r="H26" s="97">
        <v>372094</v>
      </c>
      <c r="I26" s="85">
        <v>280194</v>
      </c>
    </row>
    <row r="27" spans="1:9">
      <c r="D27" t="s">
        <v>82</v>
      </c>
      <c r="H27" s="79">
        <v>910569</v>
      </c>
      <c r="I27" s="85">
        <v>657951</v>
      </c>
    </row>
    <row r="28" spans="1:9">
      <c r="H28" s="83"/>
      <c r="I28" s="83"/>
    </row>
    <row r="29" spans="1:9">
      <c r="D29" s="8" t="s">
        <v>33</v>
      </c>
      <c r="E29" s="9"/>
      <c r="F29" s="9"/>
      <c r="G29" s="9"/>
      <c r="H29" s="89">
        <f>SUM(H23:H27)</f>
        <v>2047767</v>
      </c>
      <c r="I29" s="89">
        <f>SUM(I23:I27)</f>
        <v>1775387</v>
      </c>
    </row>
    <row r="30" spans="1:9">
      <c r="H30" s="85"/>
      <c r="I30" s="85"/>
    </row>
    <row r="31" spans="1:9">
      <c r="A31" s="3" t="s">
        <v>36</v>
      </c>
      <c r="H31" s="85"/>
      <c r="I31" s="85"/>
    </row>
    <row r="32" spans="1:9">
      <c r="B32" t="s">
        <v>99</v>
      </c>
      <c r="H32" s="90">
        <v>11935674</v>
      </c>
      <c r="I32" s="85">
        <v>11978775</v>
      </c>
    </row>
    <row r="33" spans="2:9">
      <c r="B33" t="s">
        <v>42</v>
      </c>
      <c r="H33" s="98">
        <v>11459748</v>
      </c>
      <c r="I33" s="85">
        <v>12555384</v>
      </c>
    </row>
    <row r="34" spans="2:9">
      <c r="H34" s="83"/>
      <c r="I34" s="83"/>
    </row>
    <row r="35" spans="2:9" s="3" customFormat="1">
      <c r="C35" s="10" t="s">
        <v>43</v>
      </c>
      <c r="D35" s="10"/>
      <c r="E35" s="10"/>
      <c r="F35" s="10"/>
      <c r="G35" s="10"/>
      <c r="H35" s="99">
        <f>SUM(H32:H33)</f>
        <v>23395422</v>
      </c>
      <c r="I35" s="99">
        <f>SUM(I31:I33)</f>
        <v>24534159</v>
      </c>
    </row>
    <row r="36" spans="2:9">
      <c r="H36" s="85"/>
      <c r="I36" s="85"/>
    </row>
    <row r="37" spans="2:9" s="3" customFormat="1">
      <c r="C37" s="11" t="s">
        <v>44</v>
      </c>
      <c r="D37" s="11"/>
      <c r="E37" s="11"/>
      <c r="F37" s="11"/>
      <c r="G37" s="11"/>
      <c r="H37" s="100">
        <f>SUM(H29+H35)</f>
        <v>25443189</v>
      </c>
      <c r="I37" s="100">
        <f>SUM(I35+I29)</f>
        <v>26309546</v>
      </c>
    </row>
    <row r="38" spans="2:9">
      <c r="H38" s="85"/>
      <c r="I38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53"/>
  <sheetViews>
    <sheetView topLeftCell="A17" workbookViewId="0">
      <selection activeCell="G23" sqref="G23"/>
    </sheetView>
  </sheetViews>
  <sheetFormatPr defaultColWidth="8.85546875" defaultRowHeight="14.45"/>
  <cols>
    <col min="1" max="1" width="3.28515625" customWidth="1"/>
    <col min="2" max="2" width="4.140625" customWidth="1"/>
    <col min="5" max="5" width="21" customWidth="1"/>
    <col min="6" max="6" width="13.7109375" customWidth="1"/>
    <col min="7" max="7" width="16.28515625" customWidth="1"/>
    <col min="8" max="8" width="11.7109375" customWidth="1"/>
  </cols>
  <sheetData>
    <row r="1" spans="1:8" ht="18.600000000000001">
      <c r="A1" s="1"/>
      <c r="B1" s="1"/>
      <c r="C1" s="1" t="s">
        <v>475</v>
      </c>
      <c r="D1" s="1"/>
      <c r="E1" s="102"/>
      <c r="F1" s="102"/>
      <c r="G1" s="102"/>
    </row>
    <row r="2" spans="1:8" ht="18.600000000000001">
      <c r="A2" s="1"/>
      <c r="B2" s="1"/>
      <c r="C2" s="1"/>
      <c r="D2" s="203" t="s">
        <v>1</v>
      </c>
      <c r="E2" s="203"/>
      <c r="F2" s="203"/>
      <c r="G2" s="103"/>
    </row>
    <row r="4" spans="1:8">
      <c r="F4" s="204" t="s">
        <v>2</v>
      </c>
      <c r="G4" s="204"/>
    </row>
    <row r="5" spans="1:8" ht="29.1">
      <c r="F5" s="110" t="s">
        <v>3</v>
      </c>
      <c r="G5" s="110" t="s">
        <v>137</v>
      </c>
      <c r="H5" s="111" t="s">
        <v>64</v>
      </c>
    </row>
    <row r="6" spans="1:8">
      <c r="A6" s="3" t="s">
        <v>5</v>
      </c>
      <c r="D6" s="3"/>
      <c r="F6" s="4"/>
      <c r="G6" s="4"/>
    </row>
    <row r="7" spans="1:8">
      <c r="B7" t="s">
        <v>65</v>
      </c>
      <c r="F7" s="79">
        <v>33550215</v>
      </c>
      <c r="G7" s="85">
        <v>4748123</v>
      </c>
      <c r="H7" s="85">
        <f>SUM(F7:G7)</f>
        <v>38298338</v>
      </c>
    </row>
    <row r="8" spans="1:8">
      <c r="B8" t="s">
        <v>8</v>
      </c>
      <c r="F8" s="86">
        <v>864327</v>
      </c>
      <c r="G8" s="85"/>
      <c r="H8" s="85">
        <f t="shared" ref="H8:H24" si="0">SUM(F8:G8)</f>
        <v>864327</v>
      </c>
    </row>
    <row r="9" spans="1:8">
      <c r="B9" t="s">
        <v>476</v>
      </c>
      <c r="F9" s="86">
        <v>5326500</v>
      </c>
      <c r="G9" s="85"/>
      <c r="H9" s="85">
        <f t="shared" si="0"/>
        <v>5326500</v>
      </c>
    </row>
    <row r="10" spans="1:8">
      <c r="B10" t="s">
        <v>165</v>
      </c>
      <c r="F10" s="141"/>
      <c r="G10" s="85"/>
      <c r="H10" s="85">
        <f t="shared" si="0"/>
        <v>0</v>
      </c>
    </row>
    <row r="11" spans="1:8">
      <c r="C11" t="s">
        <v>477</v>
      </c>
      <c r="F11" s="80">
        <v>2306121</v>
      </c>
      <c r="G11" s="85"/>
      <c r="H11" s="85">
        <f t="shared" si="0"/>
        <v>2306121</v>
      </c>
    </row>
    <row r="12" spans="1:8">
      <c r="C12" t="s">
        <v>437</v>
      </c>
      <c r="F12" s="80">
        <v>12263645</v>
      </c>
      <c r="G12" s="85"/>
      <c r="H12" s="85">
        <f t="shared" si="0"/>
        <v>12263645</v>
      </c>
    </row>
    <row r="13" spans="1:8">
      <c r="C13" t="s">
        <v>478</v>
      </c>
      <c r="F13" s="80">
        <v>99097</v>
      </c>
      <c r="G13" s="85"/>
      <c r="H13" s="85">
        <f t="shared" si="0"/>
        <v>99097</v>
      </c>
    </row>
    <row r="14" spans="1:8">
      <c r="C14" t="s">
        <v>479</v>
      </c>
      <c r="F14" s="85"/>
      <c r="G14" s="85">
        <v>150423</v>
      </c>
      <c r="H14" s="85">
        <f t="shared" si="0"/>
        <v>150423</v>
      </c>
    </row>
    <row r="15" spans="1:8">
      <c r="C15" t="s">
        <v>339</v>
      </c>
      <c r="F15" s="80">
        <v>18006253</v>
      </c>
      <c r="G15" s="85"/>
      <c r="H15" s="85">
        <f t="shared" si="0"/>
        <v>18006253</v>
      </c>
    </row>
    <row r="16" spans="1:8">
      <c r="C16" t="s">
        <v>182</v>
      </c>
      <c r="F16" s="80">
        <v>1690983</v>
      </c>
      <c r="G16" s="85">
        <v>4</v>
      </c>
      <c r="H16" s="85">
        <f t="shared" si="0"/>
        <v>1690987</v>
      </c>
    </row>
    <row r="17" spans="1:8">
      <c r="B17" t="s">
        <v>480</v>
      </c>
      <c r="F17" s="85"/>
      <c r="G17" s="85">
        <v>345364</v>
      </c>
      <c r="H17" s="85">
        <f t="shared" si="0"/>
        <v>345364</v>
      </c>
    </row>
    <row r="18" spans="1:8">
      <c r="B18" t="s">
        <v>67</v>
      </c>
      <c r="F18" s="81">
        <v>-2721617</v>
      </c>
      <c r="G18" s="85">
        <v>2721617</v>
      </c>
      <c r="H18" s="85">
        <f t="shared" si="0"/>
        <v>0</v>
      </c>
    </row>
    <row r="19" spans="1:8">
      <c r="B19" t="s">
        <v>481</v>
      </c>
      <c r="F19" s="81">
        <v>202937</v>
      </c>
      <c r="G19" s="85">
        <v>78429</v>
      </c>
      <c r="H19" s="85">
        <f t="shared" si="0"/>
        <v>281366</v>
      </c>
    </row>
    <row r="20" spans="1:8">
      <c r="B20" t="s">
        <v>48</v>
      </c>
      <c r="F20" s="85"/>
      <c r="G20" s="85">
        <v>367950</v>
      </c>
      <c r="H20" s="85">
        <f t="shared" si="0"/>
        <v>367950</v>
      </c>
    </row>
    <row r="21" spans="1:8">
      <c r="B21" t="s">
        <v>482</v>
      </c>
      <c r="F21" s="85"/>
      <c r="G21" s="85">
        <v>12806176</v>
      </c>
      <c r="H21" s="85">
        <f t="shared" si="0"/>
        <v>12806176</v>
      </c>
    </row>
    <row r="22" spans="1:8">
      <c r="B22" t="s">
        <v>483</v>
      </c>
      <c r="F22" s="85"/>
      <c r="G22" s="85">
        <v>576528</v>
      </c>
      <c r="H22" s="85">
        <f t="shared" si="0"/>
        <v>576528</v>
      </c>
    </row>
    <row r="23" spans="1:8">
      <c r="B23" t="s">
        <v>69</v>
      </c>
      <c r="F23" s="81">
        <v>9714</v>
      </c>
      <c r="G23" s="85">
        <v>744000</v>
      </c>
      <c r="H23" s="85">
        <f t="shared" si="0"/>
        <v>753714</v>
      </c>
    </row>
    <row r="24" spans="1:8">
      <c r="B24" t="s">
        <v>314</v>
      </c>
      <c r="F24" s="96">
        <v>386140491</v>
      </c>
      <c r="G24" s="85">
        <v>204966155</v>
      </c>
      <c r="H24" s="85">
        <f t="shared" si="0"/>
        <v>591106646</v>
      </c>
    </row>
    <row r="25" spans="1:8">
      <c r="F25" s="85"/>
      <c r="G25" s="83"/>
      <c r="H25" s="83"/>
    </row>
    <row r="26" spans="1:8">
      <c r="A26" s="5"/>
      <c r="B26" s="5"/>
      <c r="C26" s="6" t="s">
        <v>17</v>
      </c>
      <c r="D26" s="6"/>
      <c r="E26" s="6"/>
      <c r="F26" s="84">
        <f>SUM(F7:F24)</f>
        <v>457738666</v>
      </c>
      <c r="G26" s="84">
        <f>SUM(G7:G24)</f>
        <v>227504769</v>
      </c>
      <c r="H26" s="84">
        <f>SUM(H7:H24)</f>
        <v>685243435</v>
      </c>
    </row>
    <row r="27" spans="1:8">
      <c r="F27" s="85"/>
      <c r="G27" s="85"/>
      <c r="H27" s="85"/>
    </row>
    <row r="28" spans="1:8">
      <c r="A28" s="5" t="s">
        <v>20</v>
      </c>
      <c r="F28" s="85"/>
      <c r="G28" s="85"/>
      <c r="H28" s="85"/>
    </row>
    <row r="29" spans="1:8">
      <c r="B29" t="s">
        <v>74</v>
      </c>
      <c r="F29" s="116">
        <v>16376944</v>
      </c>
      <c r="G29" s="85">
        <v>492771</v>
      </c>
      <c r="H29" s="85">
        <f>SUM(F29:G29)</f>
        <v>16869715</v>
      </c>
    </row>
    <row r="30" spans="1:8">
      <c r="B30" t="s">
        <v>484</v>
      </c>
      <c r="F30" s="86">
        <v>4121020</v>
      </c>
      <c r="G30" s="85">
        <v>587474</v>
      </c>
      <c r="H30" s="85">
        <f t="shared" ref="H30:H39" si="1">SUM(F30:G30)</f>
        <v>4708494</v>
      </c>
    </row>
    <row r="31" spans="1:8">
      <c r="B31" t="s">
        <v>22</v>
      </c>
      <c r="F31" s="86">
        <v>8050192</v>
      </c>
      <c r="G31" s="85"/>
      <c r="H31" s="85">
        <f t="shared" si="1"/>
        <v>8050192</v>
      </c>
    </row>
    <row r="32" spans="1:8">
      <c r="B32" t="s">
        <v>485</v>
      </c>
      <c r="F32" s="86">
        <v>1658955</v>
      </c>
      <c r="G32" s="85">
        <v>118593</v>
      </c>
      <c r="H32" s="85">
        <f t="shared" si="1"/>
        <v>1777548</v>
      </c>
    </row>
    <row r="33" spans="1:8">
      <c r="B33" t="s">
        <v>486</v>
      </c>
      <c r="F33" s="141"/>
      <c r="G33" s="85">
        <v>1220560</v>
      </c>
      <c r="H33" s="85">
        <f t="shared" si="1"/>
        <v>1220560</v>
      </c>
    </row>
    <row r="34" spans="1:8">
      <c r="B34" t="s">
        <v>25</v>
      </c>
      <c r="F34" s="86">
        <v>526421</v>
      </c>
      <c r="G34" s="85">
        <v>157703</v>
      </c>
      <c r="H34" s="85">
        <f t="shared" si="1"/>
        <v>684124</v>
      </c>
    </row>
    <row r="35" spans="1:8">
      <c r="B35" t="s">
        <v>24</v>
      </c>
      <c r="F35" s="141"/>
      <c r="G35" s="85">
        <v>338023</v>
      </c>
      <c r="H35" s="85">
        <f t="shared" si="1"/>
        <v>338023</v>
      </c>
    </row>
    <row r="36" spans="1:8">
      <c r="B36" t="s">
        <v>487</v>
      </c>
      <c r="F36" s="81">
        <v>9356000</v>
      </c>
      <c r="G36" s="85"/>
      <c r="H36" s="85">
        <f t="shared" si="1"/>
        <v>9356000</v>
      </c>
    </row>
    <row r="37" spans="1:8">
      <c r="B37" t="s">
        <v>443</v>
      </c>
      <c r="F37" s="85"/>
      <c r="G37" s="85"/>
      <c r="H37" s="85"/>
    </row>
    <row r="38" spans="1:8">
      <c r="C38" t="s">
        <v>81</v>
      </c>
      <c r="D38" s="5"/>
      <c r="F38" s="97">
        <v>1870020</v>
      </c>
      <c r="G38" s="85">
        <v>3108455</v>
      </c>
      <c r="H38" s="85">
        <f t="shared" si="1"/>
        <v>4978475</v>
      </c>
    </row>
    <row r="39" spans="1:8">
      <c r="A39" s="5"/>
      <c r="B39" s="5"/>
      <c r="C39" t="s">
        <v>82</v>
      </c>
      <c r="D39" s="5"/>
      <c r="E39" s="5"/>
      <c r="F39" s="79">
        <v>37379219</v>
      </c>
      <c r="G39" s="85">
        <v>4463880</v>
      </c>
      <c r="H39" s="85">
        <f t="shared" si="1"/>
        <v>41843099</v>
      </c>
    </row>
    <row r="40" spans="1:8">
      <c r="F40" s="83"/>
      <c r="G40" s="83"/>
      <c r="H40" s="83"/>
    </row>
    <row r="41" spans="1:8">
      <c r="D41" s="8" t="s">
        <v>33</v>
      </c>
      <c r="E41" s="9"/>
      <c r="F41" s="89">
        <f>SUM(F29:F39)</f>
        <v>79338771</v>
      </c>
      <c r="G41" s="89">
        <f t="shared" ref="G41:H41" si="2">SUM(G29:G39)</f>
        <v>10487459</v>
      </c>
      <c r="H41" s="89">
        <f t="shared" si="2"/>
        <v>89826230</v>
      </c>
    </row>
    <row r="42" spans="1:8">
      <c r="F42" s="85"/>
      <c r="G42" s="85"/>
      <c r="H42" s="85"/>
    </row>
    <row r="43" spans="1:8">
      <c r="A43" s="3" t="s">
        <v>36</v>
      </c>
      <c r="F43" s="85"/>
      <c r="G43" s="85"/>
      <c r="H43" s="85"/>
    </row>
    <row r="44" spans="1:8">
      <c r="B44" t="s">
        <v>99</v>
      </c>
      <c r="F44" s="90">
        <v>350256061</v>
      </c>
      <c r="G44" s="85">
        <v>204966155</v>
      </c>
      <c r="H44" s="85">
        <f>SUM(F44:G44)</f>
        <v>555222216</v>
      </c>
    </row>
    <row r="45" spans="1:8">
      <c r="B45" t="s">
        <v>38</v>
      </c>
      <c r="F45" s="85"/>
      <c r="G45" s="85"/>
      <c r="H45" s="85"/>
    </row>
    <row r="46" spans="1:8">
      <c r="C46" t="s">
        <v>40</v>
      </c>
      <c r="F46" s="91">
        <v>452609</v>
      </c>
      <c r="G46" s="85"/>
      <c r="H46" s="85">
        <f t="shared" ref="H46:H49" si="3">SUM(F46:G46)</f>
        <v>452609</v>
      </c>
    </row>
    <row r="47" spans="1:8">
      <c r="C47" t="s">
        <v>39</v>
      </c>
      <c r="F47" s="91">
        <v>1232224</v>
      </c>
      <c r="G47" s="85">
        <v>353165</v>
      </c>
      <c r="H47" s="85">
        <f t="shared" si="3"/>
        <v>1585389</v>
      </c>
    </row>
    <row r="48" spans="1:8">
      <c r="C48" t="s">
        <v>41</v>
      </c>
      <c r="F48" s="91">
        <v>7785544</v>
      </c>
      <c r="G48" s="85">
        <v>503968</v>
      </c>
      <c r="H48" s="85">
        <f t="shared" si="3"/>
        <v>8289512</v>
      </c>
    </row>
    <row r="49" spans="1:8">
      <c r="B49" t="s">
        <v>42</v>
      </c>
      <c r="F49" s="98">
        <v>18673457</v>
      </c>
      <c r="G49" s="85">
        <v>11194022</v>
      </c>
      <c r="H49" s="85">
        <f t="shared" si="3"/>
        <v>29867479</v>
      </c>
    </row>
    <row r="50" spans="1:8">
      <c r="F50" s="83"/>
      <c r="G50" s="83"/>
      <c r="H50" s="83"/>
    </row>
    <row r="51" spans="1:8">
      <c r="A51" s="3"/>
      <c r="B51" s="3"/>
      <c r="C51" s="10" t="s">
        <v>43</v>
      </c>
      <c r="D51" s="10"/>
      <c r="E51" s="10"/>
      <c r="F51" s="99">
        <f>SUM(F44:F49)</f>
        <v>378399895</v>
      </c>
      <c r="G51" s="99">
        <f>SUM(G44:G49)</f>
        <v>217017310</v>
      </c>
      <c r="H51" s="99">
        <f>SUM(H43:H49)</f>
        <v>595417205</v>
      </c>
    </row>
    <row r="52" spans="1:8">
      <c r="F52" s="85"/>
      <c r="G52" s="85"/>
      <c r="H52" s="85"/>
    </row>
    <row r="53" spans="1:8">
      <c r="A53" s="3"/>
      <c r="B53" s="3"/>
      <c r="C53" s="11" t="s">
        <v>44</v>
      </c>
      <c r="D53" s="11"/>
      <c r="E53" s="11"/>
      <c r="F53" s="100">
        <f>SUM(F41+F51)</f>
        <v>457738666</v>
      </c>
      <c r="G53" s="100">
        <f>SUM(G51+G41)</f>
        <v>227504769</v>
      </c>
      <c r="H53" s="100">
        <f>SUM(H51+H41)</f>
        <v>685243435</v>
      </c>
    </row>
  </sheetData>
  <mergeCells count="2">
    <mergeCell ref="D2:F2"/>
    <mergeCell ref="F4:G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63"/>
  <sheetViews>
    <sheetView topLeftCell="A10" workbookViewId="0">
      <selection activeCell="H63" sqref="H63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600000000000001">
      <c r="A1" s="1"/>
      <c r="B1" s="1"/>
      <c r="C1" s="1"/>
      <c r="D1" s="202" t="s">
        <v>488</v>
      </c>
      <c r="E1" s="202"/>
      <c r="F1" s="202"/>
      <c r="G1" s="202"/>
      <c r="H1" s="202"/>
      <c r="I1" s="102"/>
      <c r="J1" s="102"/>
    </row>
    <row r="2" spans="1:12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2" ht="15" customHeight="1">
      <c r="H4" s="206" t="s">
        <v>2</v>
      </c>
      <c r="I4" s="206"/>
      <c r="J4" s="206"/>
      <c r="K4" s="123"/>
    </row>
    <row r="5" spans="1:12" ht="29.1">
      <c r="H5" s="110" t="s">
        <v>3</v>
      </c>
      <c r="I5" s="110" t="s">
        <v>137</v>
      </c>
      <c r="J5" s="110" t="s">
        <v>64</v>
      </c>
      <c r="K5" s="145" t="s">
        <v>101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65</v>
      </c>
      <c r="H7" s="79">
        <v>3477479</v>
      </c>
      <c r="I7" s="85">
        <v>170148</v>
      </c>
      <c r="J7" s="85">
        <f t="shared" ref="J7:J15" si="0">SUM(H7:I7)</f>
        <v>3647627</v>
      </c>
      <c r="K7" s="85">
        <v>180688</v>
      </c>
    </row>
    <row r="8" spans="1:12">
      <c r="C8" t="s">
        <v>8</v>
      </c>
      <c r="H8" s="86">
        <v>86002362</v>
      </c>
      <c r="I8" s="85">
        <v>1051238</v>
      </c>
      <c r="J8" s="85">
        <f t="shared" si="0"/>
        <v>87053600</v>
      </c>
      <c r="K8" s="85">
        <v>7251309</v>
      </c>
    </row>
    <row r="9" spans="1:12">
      <c r="A9" t="s">
        <v>377</v>
      </c>
      <c r="C9" t="s">
        <v>103</v>
      </c>
      <c r="H9" s="80">
        <v>29876291</v>
      </c>
      <c r="I9" s="85">
        <v>2923747</v>
      </c>
      <c r="J9" s="85">
        <f t="shared" si="0"/>
        <v>32800038</v>
      </c>
      <c r="K9" s="85">
        <v>12199202</v>
      </c>
    </row>
    <row r="10" spans="1:12">
      <c r="C10" t="s">
        <v>13</v>
      </c>
      <c r="H10" s="95">
        <v>40</v>
      </c>
      <c r="I10" s="85"/>
      <c r="J10" s="85">
        <f t="shared" si="0"/>
        <v>40</v>
      </c>
      <c r="K10" s="85"/>
    </row>
    <row r="11" spans="1:12">
      <c r="C11" t="s">
        <v>47</v>
      </c>
      <c r="H11" s="95">
        <v>3220427</v>
      </c>
      <c r="I11" s="85">
        <v>109118</v>
      </c>
      <c r="J11" s="85">
        <f t="shared" si="0"/>
        <v>3329545</v>
      </c>
      <c r="K11" s="85">
        <v>15949</v>
      </c>
    </row>
    <row r="12" spans="1:12">
      <c r="C12" t="s">
        <v>150</v>
      </c>
      <c r="H12" s="114"/>
      <c r="I12" s="85"/>
      <c r="J12" s="85">
        <f t="shared" si="0"/>
        <v>0</v>
      </c>
      <c r="K12" s="85">
        <v>85495</v>
      </c>
    </row>
    <row r="13" spans="1:12">
      <c r="C13" t="s">
        <v>48</v>
      </c>
      <c r="H13" s="114"/>
      <c r="I13" s="85">
        <v>467658</v>
      </c>
      <c r="J13" s="85">
        <f t="shared" si="0"/>
        <v>467658</v>
      </c>
      <c r="K13" s="85">
        <v>1323914</v>
      </c>
    </row>
    <row r="14" spans="1:12">
      <c r="C14" t="s">
        <v>489</v>
      </c>
      <c r="H14" s="81">
        <v>560135</v>
      </c>
      <c r="I14" s="85">
        <v>38918</v>
      </c>
      <c r="J14" s="85">
        <f t="shared" si="0"/>
        <v>599053</v>
      </c>
      <c r="K14" s="85">
        <v>1387809</v>
      </c>
    </row>
    <row r="15" spans="1:12">
      <c r="C15" t="s">
        <v>69</v>
      </c>
      <c r="H15" s="81">
        <v>4343</v>
      </c>
      <c r="I15" s="85">
        <v>182</v>
      </c>
      <c r="J15" s="85">
        <f t="shared" si="0"/>
        <v>4525</v>
      </c>
      <c r="K15" s="85">
        <v>1167218</v>
      </c>
    </row>
    <row r="16" spans="1:12">
      <c r="C16" t="s">
        <v>68</v>
      </c>
      <c r="H16" s="85"/>
      <c r="I16" s="85"/>
      <c r="J16" s="85"/>
      <c r="K16" s="85"/>
    </row>
    <row r="17" spans="1:11">
      <c r="D17" t="s">
        <v>65</v>
      </c>
      <c r="H17" s="85"/>
      <c r="I17" s="85">
        <v>25471</v>
      </c>
      <c r="J17" s="85">
        <f>SUM(H17:I17)</f>
        <v>25471</v>
      </c>
      <c r="K17" s="85">
        <v>5911014</v>
      </c>
    </row>
    <row r="18" spans="1:11">
      <c r="D18" t="s">
        <v>8</v>
      </c>
      <c r="H18" s="85"/>
      <c r="I18" s="85">
        <v>7997735</v>
      </c>
      <c r="J18" s="85">
        <f>SUM(H18:I18)</f>
        <v>7997735</v>
      </c>
      <c r="K18" s="85"/>
    </row>
    <row r="19" spans="1:11">
      <c r="C19" t="s">
        <v>108</v>
      </c>
      <c r="H19" s="85"/>
      <c r="I19" s="85"/>
      <c r="J19" s="85"/>
      <c r="K19" s="85"/>
    </row>
    <row r="20" spans="1:11">
      <c r="D20" t="s">
        <v>121</v>
      </c>
      <c r="H20" s="82">
        <v>10141106</v>
      </c>
      <c r="I20" s="85">
        <v>824777</v>
      </c>
      <c r="J20" s="85">
        <f>SUM(H20:I20)</f>
        <v>10965883</v>
      </c>
      <c r="K20" s="85">
        <v>876676</v>
      </c>
    </row>
    <row r="21" spans="1:11">
      <c r="D21" t="s">
        <v>124</v>
      </c>
      <c r="H21" s="82">
        <v>59749009</v>
      </c>
      <c r="I21" s="85"/>
      <c r="J21" s="85">
        <f>SUM(H21:I21)</f>
        <v>59749009</v>
      </c>
      <c r="K21" s="85"/>
    </row>
    <row r="22" spans="1:11">
      <c r="D22" t="s">
        <v>490</v>
      </c>
      <c r="H22" s="82">
        <v>74316961</v>
      </c>
      <c r="I22" s="85">
        <v>128248435</v>
      </c>
      <c r="J22" s="85">
        <f>SUM(H22:I22)</f>
        <v>202565396</v>
      </c>
      <c r="K22" s="85">
        <v>32133420</v>
      </c>
    </row>
    <row r="23" spans="1:11">
      <c r="D23" t="s">
        <v>125</v>
      </c>
      <c r="H23" s="82">
        <v>50057093</v>
      </c>
      <c r="I23" s="85">
        <v>5726853</v>
      </c>
      <c r="J23" s="85">
        <f>SUM(H23:I23)</f>
        <v>55783946</v>
      </c>
      <c r="K23" s="85">
        <v>332123</v>
      </c>
    </row>
    <row r="24" spans="1:11">
      <c r="H24" s="83"/>
      <c r="I24" s="83"/>
      <c r="J24" s="83"/>
      <c r="K24" s="83"/>
    </row>
    <row r="25" spans="1:11" s="5" customFormat="1">
      <c r="C25" s="6" t="s">
        <v>17</v>
      </c>
      <c r="D25" s="6"/>
      <c r="E25" s="6"/>
      <c r="F25" s="6"/>
      <c r="G25" s="6"/>
      <c r="H25" s="84">
        <f>SUM(H7:H23)</f>
        <v>317405246</v>
      </c>
      <c r="I25" s="84">
        <f>SUM(I7:I23)</f>
        <v>147584280</v>
      </c>
      <c r="J25" s="84">
        <f>SUM(J7:J23)</f>
        <v>464989526</v>
      </c>
      <c r="K25" s="84">
        <f>SUM(K7:K23)</f>
        <v>62864817</v>
      </c>
    </row>
    <row r="26" spans="1:11">
      <c r="H26" s="85"/>
      <c r="I26" s="85"/>
      <c r="J26" s="85"/>
      <c r="K26" s="85"/>
    </row>
    <row r="27" spans="1:11">
      <c r="A27" s="5" t="s">
        <v>20</v>
      </c>
      <c r="H27" s="85"/>
      <c r="I27" s="85"/>
      <c r="J27" s="85"/>
      <c r="K27" s="85"/>
    </row>
    <row r="28" spans="1:11">
      <c r="A28" s="5"/>
      <c r="C28" t="s">
        <v>491</v>
      </c>
      <c r="H28" s="85"/>
      <c r="I28" s="85"/>
      <c r="J28" s="85">
        <f t="shared" ref="J28:J41" si="1">SUM(H28:I28)</f>
        <v>0</v>
      </c>
      <c r="K28" s="85">
        <v>372206</v>
      </c>
    </row>
    <row r="29" spans="1:11">
      <c r="A29" s="5"/>
      <c r="C29" t="s">
        <v>229</v>
      </c>
      <c r="H29" s="86">
        <v>6550411</v>
      </c>
      <c r="I29" s="85">
        <v>1128204</v>
      </c>
      <c r="J29" s="85">
        <f>SUM(H29:I29)</f>
        <v>7678615</v>
      </c>
      <c r="K29" s="85">
        <v>3284364</v>
      </c>
    </row>
    <row r="30" spans="1:11">
      <c r="A30" s="5"/>
      <c r="C30" t="s">
        <v>67</v>
      </c>
      <c r="H30" s="81">
        <v>35744</v>
      </c>
      <c r="I30" s="85">
        <v>-35744</v>
      </c>
      <c r="J30" s="85">
        <f>SUM(H30:I30)</f>
        <v>0</v>
      </c>
      <c r="K30" s="85"/>
    </row>
    <row r="31" spans="1:11">
      <c r="C31" t="s">
        <v>156</v>
      </c>
      <c r="H31" s="101">
        <v>85495</v>
      </c>
      <c r="I31" s="85"/>
      <c r="J31" s="85">
        <f t="shared" si="1"/>
        <v>85495</v>
      </c>
      <c r="K31" s="85"/>
    </row>
    <row r="32" spans="1:11">
      <c r="C32" t="s">
        <v>211</v>
      </c>
      <c r="H32" s="101">
        <v>370046</v>
      </c>
      <c r="I32" s="85"/>
      <c r="J32" s="85">
        <f t="shared" ref="J32" si="2">SUM(H32:I32)</f>
        <v>370046</v>
      </c>
      <c r="K32" s="85"/>
    </row>
    <row r="33" spans="1:11">
      <c r="C33" t="s">
        <v>26</v>
      </c>
      <c r="H33" s="85"/>
      <c r="I33" s="85"/>
      <c r="J33" s="85"/>
      <c r="K33" s="85">
        <v>40</v>
      </c>
    </row>
    <row r="34" spans="1:11">
      <c r="C34" t="s">
        <v>127</v>
      </c>
      <c r="H34" s="86">
        <v>124402</v>
      </c>
      <c r="I34" s="85"/>
      <c r="J34" s="85">
        <f>SUM(H34:I34)</f>
        <v>124402</v>
      </c>
      <c r="K34" s="85"/>
    </row>
    <row r="35" spans="1:11">
      <c r="C35" t="s">
        <v>492</v>
      </c>
      <c r="H35" s="81">
        <v>1224892</v>
      </c>
      <c r="I35" s="85">
        <v>223224</v>
      </c>
      <c r="J35" s="85">
        <f t="shared" si="1"/>
        <v>1448116</v>
      </c>
      <c r="K35" s="85">
        <v>2914079</v>
      </c>
    </row>
    <row r="36" spans="1:11">
      <c r="C36" t="s">
        <v>174</v>
      </c>
      <c r="H36" s="85"/>
      <c r="I36" s="85">
        <v>1466890</v>
      </c>
      <c r="J36" s="85">
        <f>SUM(H36:I36)</f>
        <v>1466890</v>
      </c>
      <c r="K36" s="85"/>
    </row>
    <row r="37" spans="1:11">
      <c r="C37" t="s">
        <v>402</v>
      </c>
      <c r="H37" s="85"/>
      <c r="I37" s="85"/>
      <c r="J37" s="85">
        <f t="shared" si="1"/>
        <v>0</v>
      </c>
      <c r="K37" s="85"/>
    </row>
    <row r="38" spans="1:11">
      <c r="D38" t="s">
        <v>493</v>
      </c>
      <c r="H38" s="97">
        <v>2625000</v>
      </c>
      <c r="I38" s="85">
        <v>1563000</v>
      </c>
      <c r="J38" s="85">
        <f t="shared" si="1"/>
        <v>4188000</v>
      </c>
      <c r="K38" s="85">
        <v>3738280</v>
      </c>
    </row>
    <row r="39" spans="1:11">
      <c r="D39" t="s">
        <v>494</v>
      </c>
      <c r="H39" s="79">
        <v>29848009</v>
      </c>
      <c r="I39" s="85">
        <v>29629890</v>
      </c>
      <c r="J39" s="85">
        <f>SUM(H39:I39)</f>
        <v>59477899</v>
      </c>
      <c r="K39" s="85">
        <v>45395315</v>
      </c>
    </row>
    <row r="40" spans="1:11">
      <c r="D40" t="s">
        <v>495</v>
      </c>
      <c r="H40" s="85"/>
      <c r="I40" s="85"/>
      <c r="J40" s="85"/>
      <c r="K40" s="85">
        <v>4079418</v>
      </c>
    </row>
    <row r="41" spans="1:11">
      <c r="D41" t="s">
        <v>496</v>
      </c>
      <c r="H41" s="85"/>
      <c r="I41" s="85"/>
      <c r="J41" s="85">
        <f t="shared" si="1"/>
        <v>0</v>
      </c>
      <c r="K41" s="85">
        <v>17452</v>
      </c>
    </row>
    <row r="42" spans="1:11">
      <c r="H42" s="83"/>
      <c r="I42" s="83"/>
      <c r="J42" s="83"/>
      <c r="K42" s="83"/>
    </row>
    <row r="43" spans="1:11">
      <c r="D43" s="8" t="s">
        <v>33</v>
      </c>
      <c r="E43" s="9"/>
      <c r="F43" s="9"/>
      <c r="G43" s="9"/>
      <c r="H43" s="89">
        <f>SUM(H28:H41)</f>
        <v>40863999</v>
      </c>
      <c r="I43" s="89">
        <f>SUM(I28:I41)</f>
        <v>33975464</v>
      </c>
      <c r="J43" s="89">
        <f>SUM(J28:J41)</f>
        <v>74839463</v>
      </c>
      <c r="K43" s="89">
        <f>SUM(K28:K41)</f>
        <v>59801154</v>
      </c>
    </row>
    <row r="44" spans="1:11">
      <c r="H44" s="83"/>
      <c r="I44" s="83"/>
      <c r="J44" s="83"/>
      <c r="K44" s="83"/>
    </row>
    <row r="45" spans="1:11">
      <c r="A45" s="5" t="s">
        <v>84</v>
      </c>
      <c r="H45" s="85"/>
      <c r="I45" s="85"/>
      <c r="J45" s="85"/>
      <c r="K45" s="85"/>
    </row>
    <row r="46" spans="1:11">
      <c r="B46" t="s">
        <v>497</v>
      </c>
      <c r="H46" s="142">
        <v>25111217</v>
      </c>
      <c r="I46" s="142">
        <v>0</v>
      </c>
      <c r="J46" s="142">
        <f>SUM(H46:I46)</f>
        <v>25111217</v>
      </c>
      <c r="K46" s="142">
        <v>5262456</v>
      </c>
    </row>
    <row r="47" spans="1:11">
      <c r="H47" s="85"/>
      <c r="I47" s="85"/>
      <c r="J47" s="85"/>
      <c r="K47" s="85"/>
    </row>
    <row r="48" spans="1:11">
      <c r="D48" s="107" t="s">
        <v>87</v>
      </c>
      <c r="E48" s="107"/>
      <c r="F48" s="107"/>
      <c r="G48" s="107"/>
      <c r="H48" s="108">
        <f>H46</f>
        <v>25111217</v>
      </c>
      <c r="I48" s="108">
        <f>I46</f>
        <v>0</v>
      </c>
      <c r="J48" s="108">
        <f>J46</f>
        <v>25111217</v>
      </c>
      <c r="K48" s="108">
        <f>K46</f>
        <v>5262456</v>
      </c>
    </row>
    <row r="49" spans="1:11">
      <c r="H49" s="85"/>
      <c r="I49" s="85"/>
      <c r="J49" s="85"/>
      <c r="K49" s="85"/>
    </row>
    <row r="50" spans="1:11">
      <c r="A50" s="3" t="s">
        <v>36</v>
      </c>
      <c r="H50" s="85"/>
      <c r="I50" s="85"/>
      <c r="J50" s="85"/>
      <c r="K50" s="85"/>
    </row>
    <row r="51" spans="1:11">
      <c r="B51" t="s">
        <v>99</v>
      </c>
      <c r="H51" s="90">
        <v>175989169</v>
      </c>
      <c r="I51" s="85">
        <v>103607176</v>
      </c>
      <c r="J51" s="85">
        <f t="shared" ref="J51:J58" si="3">SUM(H51:I51)</f>
        <v>279596345</v>
      </c>
      <c r="K51" s="85">
        <v>-161595</v>
      </c>
    </row>
    <row r="52" spans="1:11">
      <c r="B52" t="s">
        <v>38</v>
      </c>
      <c r="H52" s="85"/>
      <c r="I52" s="85"/>
      <c r="J52" s="85">
        <f t="shared" si="3"/>
        <v>0</v>
      </c>
      <c r="K52" s="85"/>
    </row>
    <row r="53" spans="1:11">
      <c r="C53" t="s">
        <v>498</v>
      </c>
      <c r="H53" s="91">
        <v>32432876</v>
      </c>
      <c r="I53" s="85"/>
      <c r="J53" s="85">
        <f t="shared" si="3"/>
        <v>32432876</v>
      </c>
      <c r="K53" s="85"/>
    </row>
    <row r="54" spans="1:11">
      <c r="C54" t="s">
        <v>39</v>
      </c>
      <c r="H54" s="91">
        <v>4474558</v>
      </c>
      <c r="I54" s="85">
        <v>2857886</v>
      </c>
      <c r="J54" s="85">
        <f t="shared" si="3"/>
        <v>7332444</v>
      </c>
      <c r="K54" s="85"/>
    </row>
    <row r="55" spans="1:11">
      <c r="C55" t="s">
        <v>40</v>
      </c>
      <c r="H55" s="91">
        <v>2573931</v>
      </c>
      <c r="I55" s="85">
        <v>6366278</v>
      </c>
      <c r="J55" s="85">
        <f t="shared" si="3"/>
        <v>8940209</v>
      </c>
      <c r="K55" s="85">
        <v>58185</v>
      </c>
    </row>
    <row r="56" spans="1:11">
      <c r="C56" t="s">
        <v>499</v>
      </c>
      <c r="H56" s="91">
        <v>984893</v>
      </c>
      <c r="I56" s="85"/>
      <c r="J56" s="85">
        <f t="shared" si="3"/>
        <v>984893</v>
      </c>
      <c r="K56" s="85"/>
    </row>
    <row r="57" spans="1:11">
      <c r="C57" t="s">
        <v>41</v>
      </c>
      <c r="H57" s="91">
        <v>2638212</v>
      </c>
      <c r="I57" s="85"/>
      <c r="J57" s="85">
        <f t="shared" si="3"/>
        <v>2638212</v>
      </c>
      <c r="K57" s="85"/>
    </row>
    <row r="58" spans="1:11">
      <c r="B58" t="s">
        <v>42</v>
      </c>
      <c r="H58" s="98">
        <v>32336391</v>
      </c>
      <c r="I58" s="85">
        <v>777476</v>
      </c>
      <c r="J58" s="85">
        <f t="shared" si="3"/>
        <v>33113867</v>
      </c>
      <c r="K58" s="85">
        <v>-2095383</v>
      </c>
    </row>
    <row r="59" spans="1:11">
      <c r="H59" s="83"/>
      <c r="I59" s="83"/>
      <c r="J59" s="83"/>
      <c r="K59" s="83"/>
    </row>
    <row r="60" spans="1:11" s="3" customFormat="1">
      <c r="C60" s="10" t="s">
        <v>43</v>
      </c>
      <c r="D60" s="10"/>
      <c r="E60" s="10"/>
      <c r="F60" s="10"/>
      <c r="G60" s="10"/>
      <c r="H60" s="99">
        <f>SUM(H51:H58)</f>
        <v>251430030</v>
      </c>
      <c r="I60" s="99">
        <f>SUM(I51:I58)</f>
        <v>113608816</v>
      </c>
      <c r="J60" s="99">
        <f>SUM(J51:J58)</f>
        <v>365038846</v>
      </c>
      <c r="K60" s="99">
        <f>SUM(K50:K58)</f>
        <v>-2198793</v>
      </c>
    </row>
    <row r="61" spans="1:11">
      <c r="H61" s="85"/>
      <c r="I61" s="85"/>
      <c r="J61" s="85"/>
      <c r="K61" s="85"/>
    </row>
    <row r="62" spans="1:11" s="3" customFormat="1">
      <c r="C62" s="11" t="s">
        <v>44</v>
      </c>
      <c r="D62" s="11"/>
      <c r="E62" s="11"/>
      <c r="F62" s="11"/>
      <c r="G62" s="11"/>
      <c r="H62" s="100">
        <f>SUM(H60+H43+H48)</f>
        <v>317405246</v>
      </c>
      <c r="I62" s="100">
        <f>SUM(I43+I60)</f>
        <v>147584280</v>
      </c>
      <c r="J62" s="100">
        <f>SUM(J43+J60)</f>
        <v>439878309</v>
      </c>
      <c r="K62" s="100">
        <f>SUM(K60+K43)</f>
        <v>57602361</v>
      </c>
    </row>
    <row r="63" spans="1:11">
      <c r="H63" s="85"/>
      <c r="I63" s="85"/>
      <c r="J63" s="85"/>
      <c r="K63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63"/>
  <sheetViews>
    <sheetView workbookViewId="0">
      <selection activeCell="K59" sqref="K59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5.7109375" customWidth="1"/>
    <col min="8" max="11" width="17.140625" customWidth="1"/>
    <col min="12" max="12" width="17.28515625" customWidth="1"/>
  </cols>
  <sheetData>
    <row r="1" spans="1:13" ht="18.600000000000001">
      <c r="A1" s="1"/>
      <c r="B1" s="1"/>
      <c r="C1" s="1"/>
      <c r="D1" s="202" t="s">
        <v>500</v>
      </c>
      <c r="E1" s="202"/>
      <c r="F1" s="202"/>
      <c r="G1" s="202"/>
      <c r="H1" s="202"/>
      <c r="I1" s="102"/>
      <c r="J1" s="102"/>
      <c r="K1" s="102"/>
    </row>
    <row r="2" spans="1:13" ht="18.60000000000000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  <c r="K2" s="103"/>
    </row>
    <row r="4" spans="1:13" ht="33" customHeight="1">
      <c r="H4" s="146" t="s">
        <v>2</v>
      </c>
      <c r="I4" s="206" t="s">
        <v>101</v>
      </c>
      <c r="J4" s="206"/>
      <c r="K4" s="206"/>
      <c r="L4" s="206"/>
      <c r="M4" s="148"/>
    </row>
    <row r="5" spans="1:13" ht="43.5">
      <c r="H5" s="110" t="s">
        <v>3</v>
      </c>
      <c r="I5" s="110" t="s">
        <v>501</v>
      </c>
      <c r="J5" s="110" t="s">
        <v>502</v>
      </c>
      <c r="K5" s="110" t="s">
        <v>503</v>
      </c>
      <c r="L5" s="145" t="s">
        <v>296</v>
      </c>
    </row>
    <row r="6" spans="1:13">
      <c r="A6" s="3" t="s">
        <v>5</v>
      </c>
      <c r="D6" s="3"/>
      <c r="G6" s="4"/>
      <c r="H6" s="4"/>
      <c r="I6" s="4"/>
      <c r="J6" s="4"/>
      <c r="K6" s="4"/>
    </row>
    <row r="7" spans="1:13">
      <c r="A7" s="3"/>
      <c r="B7" t="s">
        <v>504</v>
      </c>
      <c r="D7" s="3"/>
      <c r="G7" s="4"/>
      <c r="H7" s="4"/>
      <c r="I7" s="4"/>
      <c r="J7" s="4"/>
      <c r="K7" s="4"/>
    </row>
    <row r="8" spans="1:13">
      <c r="C8" t="s">
        <v>65</v>
      </c>
      <c r="H8" s="79">
        <v>6030167</v>
      </c>
      <c r="I8" s="85">
        <v>2241455</v>
      </c>
      <c r="J8" s="85">
        <v>531342</v>
      </c>
      <c r="K8" s="85">
        <v>317975</v>
      </c>
      <c r="L8" s="85">
        <f>SUM(I8:K8)</f>
        <v>3090772</v>
      </c>
    </row>
    <row r="9" spans="1:13">
      <c r="C9" t="s">
        <v>8</v>
      </c>
      <c r="H9" s="86">
        <v>980608</v>
      </c>
      <c r="I9" s="85"/>
      <c r="J9" s="85"/>
      <c r="K9" s="85"/>
      <c r="L9" s="85">
        <f t="shared" ref="L9:L13" si="0">SUM(I9:K9)</f>
        <v>0</v>
      </c>
    </row>
    <row r="10" spans="1:13">
      <c r="A10" t="s">
        <v>377</v>
      </c>
      <c r="C10" t="s">
        <v>103</v>
      </c>
      <c r="H10" s="80">
        <v>2218238</v>
      </c>
      <c r="I10" s="85">
        <v>2721872</v>
      </c>
      <c r="J10" s="85">
        <v>162562</v>
      </c>
      <c r="K10" s="85">
        <v>335331</v>
      </c>
      <c r="L10" s="85">
        <f t="shared" si="0"/>
        <v>3219765</v>
      </c>
    </row>
    <row r="11" spans="1:13">
      <c r="C11" t="s">
        <v>13</v>
      </c>
      <c r="H11" s="85"/>
      <c r="I11" s="85"/>
      <c r="J11" s="85"/>
      <c r="K11" s="85"/>
      <c r="L11" s="85">
        <f t="shared" si="0"/>
        <v>0</v>
      </c>
    </row>
    <row r="12" spans="1:13">
      <c r="C12" t="s">
        <v>48</v>
      </c>
      <c r="H12" s="114"/>
      <c r="I12" s="85">
        <v>348823</v>
      </c>
      <c r="J12" s="85">
        <v>29079</v>
      </c>
      <c r="K12" s="85"/>
      <c r="L12" s="85">
        <f t="shared" si="0"/>
        <v>377902</v>
      </c>
    </row>
    <row r="13" spans="1:13">
      <c r="C13" t="s">
        <v>505</v>
      </c>
      <c r="H13" s="81">
        <v>110731</v>
      </c>
      <c r="I13" s="85">
        <v>83620</v>
      </c>
      <c r="J13" s="85">
        <v>5736</v>
      </c>
      <c r="K13" s="85">
        <v>6241</v>
      </c>
      <c r="L13" s="85">
        <f t="shared" si="0"/>
        <v>95597</v>
      </c>
    </row>
    <row r="14" spans="1:13">
      <c r="B14" s="138" t="s">
        <v>506</v>
      </c>
      <c r="C14" s="138"/>
      <c r="D14" s="138"/>
      <c r="E14" s="138"/>
      <c r="F14" s="138"/>
      <c r="G14" s="138"/>
      <c r="H14" s="149">
        <f>SUM(H8:H13)</f>
        <v>9339744</v>
      </c>
      <c r="I14" s="149">
        <f t="shared" ref="I14:L14" si="1">SUM(I8:I13)</f>
        <v>5395770</v>
      </c>
      <c r="J14" s="149">
        <f t="shared" si="1"/>
        <v>728719</v>
      </c>
      <c r="K14" s="149">
        <f t="shared" si="1"/>
        <v>659547</v>
      </c>
      <c r="L14" s="149">
        <f t="shared" si="1"/>
        <v>6784036</v>
      </c>
    </row>
    <row r="16" spans="1:13">
      <c r="B16" t="s">
        <v>169</v>
      </c>
      <c r="H16" s="85"/>
      <c r="I16" s="85"/>
      <c r="J16" s="85"/>
      <c r="K16" s="85"/>
      <c r="L16" s="85"/>
    </row>
    <row r="17" spans="1:12">
      <c r="C17" t="s">
        <v>324</v>
      </c>
      <c r="H17" s="79">
        <v>420892</v>
      </c>
      <c r="I17" s="85">
        <v>278293</v>
      </c>
      <c r="J17" s="85">
        <v>533179</v>
      </c>
      <c r="K17" s="85"/>
      <c r="L17" s="85">
        <f>SUM(I17:K17)</f>
        <v>811472</v>
      </c>
    </row>
    <row r="18" spans="1:12">
      <c r="B18" s="138" t="s">
        <v>507</v>
      </c>
      <c r="C18" s="138"/>
      <c r="D18" s="138"/>
      <c r="E18" s="138"/>
      <c r="F18" s="138"/>
      <c r="G18" s="138"/>
      <c r="H18" s="149">
        <f>SUM(H17)</f>
        <v>420892</v>
      </c>
      <c r="I18" s="149">
        <f>SUM(I17)</f>
        <v>278293</v>
      </c>
      <c r="J18" s="149">
        <f t="shared" ref="J18:L18" si="2">SUM(J17)</f>
        <v>533179</v>
      </c>
      <c r="K18" s="149">
        <f t="shared" si="2"/>
        <v>0</v>
      </c>
      <c r="L18" s="149">
        <f t="shared" si="2"/>
        <v>811472</v>
      </c>
    </row>
    <row r="19" spans="1:12">
      <c r="H19" s="85"/>
      <c r="I19" s="85"/>
      <c r="J19" s="85"/>
      <c r="K19" s="85"/>
      <c r="L19" s="85"/>
    </row>
    <row r="20" spans="1:12">
      <c r="B20" t="s">
        <v>508</v>
      </c>
      <c r="H20" s="85"/>
      <c r="I20" s="85"/>
      <c r="J20" s="85"/>
      <c r="K20" s="85"/>
      <c r="L20" s="85"/>
    </row>
    <row r="21" spans="1:12">
      <c r="C21" t="s">
        <v>8</v>
      </c>
      <c r="H21" s="85"/>
      <c r="I21" s="85"/>
      <c r="J21" s="85"/>
      <c r="K21" s="85"/>
      <c r="L21" s="85"/>
    </row>
    <row r="22" spans="1:12">
      <c r="B22" s="138" t="s">
        <v>509</v>
      </c>
      <c r="C22" s="138"/>
      <c r="D22" s="138"/>
      <c r="E22" s="138"/>
      <c r="F22" s="138"/>
      <c r="G22" s="138"/>
      <c r="H22" s="149"/>
      <c r="I22" s="149"/>
      <c r="J22" s="149"/>
      <c r="K22" s="149"/>
      <c r="L22" s="149"/>
    </row>
    <row r="23" spans="1:12">
      <c r="H23" s="85"/>
      <c r="I23" s="85"/>
      <c r="J23" s="85"/>
      <c r="K23" s="85"/>
      <c r="L23" s="85"/>
    </row>
    <row r="24" spans="1:12">
      <c r="B24" t="s">
        <v>14</v>
      </c>
      <c r="H24" s="85"/>
      <c r="I24" s="85"/>
      <c r="J24" s="85"/>
      <c r="K24" s="85"/>
      <c r="L24" s="85"/>
    </row>
    <row r="25" spans="1:12">
      <c r="C25" t="s">
        <v>121</v>
      </c>
      <c r="H25" s="82">
        <v>227865</v>
      </c>
      <c r="I25" s="85"/>
      <c r="J25" s="85"/>
      <c r="K25" s="85"/>
      <c r="L25" s="85">
        <f>SUM(I25:K25)</f>
        <v>0</v>
      </c>
    </row>
    <row r="26" spans="1:12">
      <c r="C26" t="s">
        <v>108</v>
      </c>
      <c r="H26" s="82">
        <v>12311341</v>
      </c>
      <c r="I26" s="85">
        <v>6506375</v>
      </c>
      <c r="J26" s="85">
        <v>5981938</v>
      </c>
      <c r="K26" s="85">
        <v>762324</v>
      </c>
      <c r="L26" s="85">
        <f>SUM(I26:K26)</f>
        <v>13250637</v>
      </c>
    </row>
    <row r="27" spans="1:12">
      <c r="B27" s="138" t="s">
        <v>510</v>
      </c>
      <c r="C27" s="138"/>
      <c r="D27" s="138"/>
      <c r="E27" s="138"/>
      <c r="F27" s="138"/>
      <c r="G27" s="138"/>
      <c r="H27" s="150">
        <f>SUM(H25:H26)</f>
        <v>12539206</v>
      </c>
      <c r="I27" s="150">
        <f t="shared" ref="I27:L27" si="3">SUM(I25:I26)</f>
        <v>6506375</v>
      </c>
      <c r="J27" s="150">
        <f t="shared" si="3"/>
        <v>5981938</v>
      </c>
      <c r="K27" s="150">
        <f t="shared" si="3"/>
        <v>762324</v>
      </c>
      <c r="L27" s="150">
        <f t="shared" si="3"/>
        <v>13250637</v>
      </c>
    </row>
    <row r="28" spans="1:12">
      <c r="H28" s="83"/>
      <c r="I28" s="83"/>
      <c r="J28" s="83"/>
      <c r="K28" s="83"/>
      <c r="L28" s="83"/>
    </row>
    <row r="29" spans="1:12">
      <c r="A29" s="5"/>
      <c r="B29" s="5"/>
      <c r="C29" s="6" t="s">
        <v>17</v>
      </c>
      <c r="D29" s="6"/>
      <c r="E29" s="6"/>
      <c r="F29" s="6"/>
      <c r="G29" s="6"/>
      <c r="H29" s="84">
        <f>H27+H22+H18+H14</f>
        <v>22299842</v>
      </c>
      <c r="I29" s="84">
        <f t="shared" ref="I29:L29" si="4">I27+I22+I18+I14</f>
        <v>12180438</v>
      </c>
      <c r="J29" s="84">
        <f t="shared" si="4"/>
        <v>7243836</v>
      </c>
      <c r="K29" s="84">
        <f t="shared" si="4"/>
        <v>1421871</v>
      </c>
      <c r="L29" s="84">
        <f t="shared" si="4"/>
        <v>20846145</v>
      </c>
    </row>
    <row r="30" spans="1:12">
      <c r="H30" s="85"/>
      <c r="I30" s="85"/>
      <c r="J30" s="85"/>
      <c r="K30" s="85"/>
      <c r="L30" s="85"/>
    </row>
    <row r="31" spans="1:12">
      <c r="A31" s="5" t="s">
        <v>20</v>
      </c>
      <c r="H31" s="85"/>
      <c r="I31" s="85"/>
      <c r="J31" s="85"/>
      <c r="K31" s="85"/>
      <c r="L31" s="85"/>
    </row>
    <row r="32" spans="1:12">
      <c r="A32" s="5"/>
      <c r="B32" t="s">
        <v>203</v>
      </c>
      <c r="H32" s="85"/>
      <c r="I32" s="85"/>
      <c r="J32" s="85"/>
      <c r="K32" s="85"/>
      <c r="L32" s="85"/>
    </row>
    <row r="33" spans="1:12">
      <c r="A33" s="5"/>
      <c r="C33" t="s">
        <v>21</v>
      </c>
      <c r="H33" s="86">
        <v>407278</v>
      </c>
      <c r="I33" s="85">
        <v>1654799</v>
      </c>
      <c r="J33" s="85">
        <v>222736</v>
      </c>
      <c r="K33" s="85">
        <v>10528</v>
      </c>
      <c r="L33" s="85">
        <f>SUM(I33:K33)</f>
        <v>1888063</v>
      </c>
    </row>
    <row r="34" spans="1:12">
      <c r="A34" s="5"/>
      <c r="C34" t="s">
        <v>511</v>
      </c>
      <c r="H34" s="86">
        <v>60238</v>
      </c>
      <c r="I34" s="85"/>
      <c r="J34" s="85"/>
      <c r="K34" s="85">
        <v>11693</v>
      </c>
      <c r="L34" s="85">
        <f t="shared" ref="L34:L40" si="5">SUM(I34:K34)</f>
        <v>11693</v>
      </c>
    </row>
    <row r="35" spans="1:12">
      <c r="C35" t="s">
        <v>512</v>
      </c>
      <c r="H35" s="85"/>
      <c r="I35" s="85"/>
      <c r="J35" s="85">
        <v>2005871</v>
      </c>
      <c r="K35" s="85"/>
      <c r="L35" s="85">
        <f t="shared" si="5"/>
        <v>2005871</v>
      </c>
    </row>
    <row r="36" spans="1:12">
      <c r="C36" t="s">
        <v>513</v>
      </c>
      <c r="H36" s="81">
        <v>15768</v>
      </c>
      <c r="I36" s="85"/>
      <c r="J36" s="85">
        <v>43497</v>
      </c>
      <c r="K36" s="85">
        <v>2728</v>
      </c>
      <c r="L36" s="85">
        <f t="shared" si="5"/>
        <v>46225</v>
      </c>
    </row>
    <row r="37" spans="1:12">
      <c r="C37" t="s">
        <v>78</v>
      </c>
      <c r="H37" s="85"/>
      <c r="I37" s="85"/>
      <c r="J37" s="85">
        <v>88025</v>
      </c>
      <c r="K37" s="85"/>
      <c r="L37" s="85">
        <f t="shared" si="5"/>
        <v>88025</v>
      </c>
    </row>
    <row r="38" spans="1:12">
      <c r="C38" t="s">
        <v>514</v>
      </c>
      <c r="H38" s="85"/>
      <c r="I38" s="85"/>
      <c r="J38" s="85"/>
      <c r="K38" s="85"/>
      <c r="L38" s="85"/>
    </row>
    <row r="39" spans="1:12">
      <c r="D39" t="s">
        <v>29</v>
      </c>
      <c r="H39" s="87">
        <v>287718</v>
      </c>
      <c r="I39" s="85">
        <v>774714</v>
      </c>
      <c r="J39" s="85">
        <v>57583</v>
      </c>
      <c r="K39" s="85">
        <v>25000</v>
      </c>
      <c r="L39" s="85">
        <f t="shared" si="5"/>
        <v>857297</v>
      </c>
    </row>
    <row r="40" spans="1:12">
      <c r="D40" t="s">
        <v>515</v>
      </c>
      <c r="H40" s="81">
        <v>71465</v>
      </c>
      <c r="I40" s="85"/>
      <c r="J40" s="85"/>
      <c r="K40" s="85"/>
      <c r="L40" s="85">
        <f t="shared" si="5"/>
        <v>0</v>
      </c>
    </row>
    <row r="41" spans="1:12">
      <c r="B41" s="138" t="s">
        <v>516</v>
      </c>
      <c r="C41" s="138"/>
      <c r="D41" s="138"/>
      <c r="E41" s="138"/>
      <c r="F41" s="138"/>
      <c r="G41" s="138"/>
      <c r="H41" s="149">
        <f>SUM(H33:H40)</f>
        <v>842467</v>
      </c>
      <c r="I41" s="149">
        <f t="shared" ref="I41:L41" si="6">SUM(I33:I40)</f>
        <v>2429513</v>
      </c>
      <c r="J41" s="149">
        <f t="shared" si="6"/>
        <v>2417712</v>
      </c>
      <c r="K41" s="149">
        <f t="shared" si="6"/>
        <v>49949</v>
      </c>
      <c r="L41" s="149">
        <f t="shared" si="6"/>
        <v>4897174</v>
      </c>
    </row>
    <row r="42" spans="1:12">
      <c r="H42" s="85"/>
      <c r="I42" s="85"/>
      <c r="J42" s="85"/>
      <c r="K42" s="85"/>
      <c r="L42" s="85"/>
    </row>
    <row r="43" spans="1:12">
      <c r="B43" t="s">
        <v>362</v>
      </c>
      <c r="H43" s="85"/>
      <c r="I43" s="85"/>
      <c r="J43" s="85"/>
      <c r="K43" s="85"/>
      <c r="L43" s="85"/>
    </row>
    <row r="44" spans="1:12">
      <c r="C44" t="s">
        <v>29</v>
      </c>
      <c r="H44" s="80">
        <v>793199</v>
      </c>
      <c r="I44" s="85">
        <v>4480601</v>
      </c>
      <c r="J44" s="85">
        <v>886583</v>
      </c>
      <c r="K44" s="85">
        <v>200000</v>
      </c>
      <c r="L44" s="85">
        <f>SUM(I44:K44)</f>
        <v>5567184</v>
      </c>
    </row>
    <row r="45" spans="1:12">
      <c r="C45" t="s">
        <v>515</v>
      </c>
      <c r="H45" s="86">
        <v>230754</v>
      </c>
      <c r="I45" s="85"/>
      <c r="J45" s="85"/>
      <c r="K45" s="85"/>
      <c r="L45" s="85">
        <f t="shared" ref="L45:L47" si="7">SUM(I45:K45)</f>
        <v>0</v>
      </c>
    </row>
    <row r="46" spans="1:12">
      <c r="C46" t="s">
        <v>96</v>
      </c>
      <c r="H46" s="88">
        <v>186139</v>
      </c>
      <c r="I46" s="85"/>
      <c r="J46" s="85"/>
      <c r="K46" s="85"/>
      <c r="L46" s="85">
        <f t="shared" si="7"/>
        <v>0</v>
      </c>
    </row>
    <row r="47" spans="1:12">
      <c r="C47" t="s">
        <v>517</v>
      </c>
      <c r="H47" s="81">
        <v>850540</v>
      </c>
      <c r="I47" s="85"/>
      <c r="J47" s="85"/>
      <c r="K47" s="85"/>
      <c r="L47" s="85">
        <f t="shared" si="7"/>
        <v>0</v>
      </c>
    </row>
    <row r="48" spans="1:12">
      <c r="B48" s="138" t="s">
        <v>518</v>
      </c>
      <c r="C48" s="138"/>
      <c r="D48" s="138"/>
      <c r="E48" s="138"/>
      <c r="F48" s="138"/>
      <c r="G48" s="138"/>
      <c r="H48" s="149">
        <f>SUM(H44:H47)</f>
        <v>2060632</v>
      </c>
      <c r="I48" s="149">
        <f t="shared" ref="I48:J48" si="8">SUM(I44:I47)</f>
        <v>4480601</v>
      </c>
      <c r="J48" s="149">
        <f t="shared" si="8"/>
        <v>886583</v>
      </c>
      <c r="K48" s="149">
        <f t="shared" ref="K48" si="9">SUM(K44:K47)</f>
        <v>200000</v>
      </c>
      <c r="L48" s="149">
        <f t="shared" ref="L48" si="10">SUM(L44:L47)</f>
        <v>5567184</v>
      </c>
    </row>
    <row r="49" spans="1:13">
      <c r="H49" s="85"/>
      <c r="I49" s="85"/>
      <c r="J49" s="85"/>
      <c r="K49" s="85"/>
      <c r="L49" s="85"/>
    </row>
    <row r="50" spans="1:13">
      <c r="D50" s="8" t="s">
        <v>33</v>
      </c>
      <c r="E50" s="9"/>
      <c r="F50" s="9"/>
      <c r="G50" s="9"/>
      <c r="H50" s="89">
        <f>H41+H48</f>
        <v>2903099</v>
      </c>
      <c r="I50" s="89">
        <f t="shared" ref="I50:L50" si="11">I41+I48</f>
        <v>6910114</v>
      </c>
      <c r="J50" s="89">
        <f t="shared" si="11"/>
        <v>3304295</v>
      </c>
      <c r="K50" s="89">
        <f t="shared" si="11"/>
        <v>249949</v>
      </c>
      <c r="L50" s="89">
        <f t="shared" si="11"/>
        <v>10464358</v>
      </c>
    </row>
    <row r="51" spans="1:13">
      <c r="H51" s="83"/>
      <c r="I51" s="83"/>
      <c r="J51" s="83"/>
      <c r="K51" s="83"/>
      <c r="L51" s="83"/>
    </row>
    <row r="52" spans="1:13">
      <c r="A52" s="3" t="s">
        <v>36</v>
      </c>
      <c r="H52" s="85"/>
      <c r="I52" s="85"/>
      <c r="J52" s="85"/>
      <c r="K52" s="85"/>
      <c r="L52" s="85"/>
    </row>
    <row r="53" spans="1:13">
      <c r="B53" t="s">
        <v>37</v>
      </c>
      <c r="H53" s="90">
        <v>11140302</v>
      </c>
      <c r="I53" s="85">
        <v>2966022</v>
      </c>
      <c r="J53" s="85">
        <v>3031901</v>
      </c>
      <c r="K53" s="85">
        <v>534596</v>
      </c>
      <c r="L53" s="85">
        <f>SUM(I53:K53)</f>
        <v>6532519</v>
      </c>
      <c r="M53" s="85"/>
    </row>
    <row r="54" spans="1:13">
      <c r="B54" t="s">
        <v>38</v>
      </c>
      <c r="H54" s="85"/>
      <c r="I54" s="85"/>
      <c r="J54" s="85"/>
      <c r="K54" s="85"/>
      <c r="L54" s="85">
        <f t="shared" ref="L54:L58" si="12">SUM(I54:K54)</f>
        <v>0</v>
      </c>
    </row>
    <row r="55" spans="1:13">
      <c r="C55" t="s">
        <v>39</v>
      </c>
      <c r="H55" s="91">
        <v>32795</v>
      </c>
      <c r="I55" s="85"/>
      <c r="J55" s="85">
        <v>279101</v>
      </c>
      <c r="K55" s="85">
        <v>54097</v>
      </c>
      <c r="L55" s="85">
        <f t="shared" si="12"/>
        <v>333198</v>
      </c>
    </row>
    <row r="56" spans="1:13">
      <c r="C56" t="s">
        <v>40</v>
      </c>
      <c r="H56" s="91">
        <v>321481</v>
      </c>
      <c r="I56" s="85"/>
      <c r="J56" s="85"/>
      <c r="K56" s="85"/>
      <c r="L56" s="85">
        <f t="shared" si="12"/>
        <v>0</v>
      </c>
    </row>
    <row r="57" spans="1:13">
      <c r="C57" t="s">
        <v>41</v>
      </c>
      <c r="H57" s="91">
        <v>7761624</v>
      </c>
      <c r="I57" s="85"/>
      <c r="J57" s="85"/>
      <c r="K57" s="85"/>
      <c r="L57" s="85">
        <f t="shared" si="12"/>
        <v>0</v>
      </c>
    </row>
    <row r="58" spans="1:13">
      <c r="B58" t="s">
        <v>42</v>
      </c>
      <c r="H58" s="98">
        <v>140541</v>
      </c>
      <c r="I58" s="85">
        <v>2304302</v>
      </c>
      <c r="J58" s="85">
        <v>628539</v>
      </c>
      <c r="K58" s="85">
        <v>583229</v>
      </c>
      <c r="L58" s="85">
        <f t="shared" si="12"/>
        <v>3516070</v>
      </c>
    </row>
    <row r="59" spans="1:13">
      <c r="H59" s="83"/>
      <c r="I59" s="83"/>
      <c r="J59" s="83"/>
      <c r="K59" s="83"/>
      <c r="L59" s="83"/>
    </row>
    <row r="60" spans="1:13">
      <c r="A60" s="3"/>
      <c r="B60" s="3"/>
      <c r="C60" s="10" t="s">
        <v>43</v>
      </c>
      <c r="D60" s="10"/>
      <c r="E60" s="10"/>
      <c r="F60" s="10"/>
      <c r="G60" s="10"/>
      <c r="H60" s="99">
        <f>SUM(H53:H58)</f>
        <v>19396743</v>
      </c>
      <c r="I60" s="99">
        <f>SUM(I53:I58)</f>
        <v>5270324</v>
      </c>
      <c r="J60" s="99">
        <f>SUM(J53:J58)</f>
        <v>3939541</v>
      </c>
      <c r="K60" s="99">
        <f>SUM(K53:K58)</f>
        <v>1171922</v>
      </c>
      <c r="L60" s="99">
        <f>SUM(L52:L58)</f>
        <v>10381787</v>
      </c>
    </row>
    <row r="61" spans="1:13">
      <c r="H61" s="85"/>
      <c r="I61" s="85"/>
      <c r="J61" s="85"/>
      <c r="K61" s="85"/>
      <c r="L61" s="85"/>
    </row>
    <row r="62" spans="1:13">
      <c r="A62" s="3"/>
      <c r="B62" s="3"/>
      <c r="C62" s="11" t="s">
        <v>44</v>
      </c>
      <c r="D62" s="11"/>
      <c r="E62" s="11"/>
      <c r="F62" s="11"/>
      <c r="G62" s="11"/>
      <c r="H62" s="100">
        <f>SUM(H60+H50)</f>
        <v>22299842</v>
      </c>
      <c r="I62" s="100">
        <f>SUM(I50+I60)</f>
        <v>12180438</v>
      </c>
      <c r="J62" s="100">
        <f>SUM(J50+J60)</f>
        <v>7243836</v>
      </c>
      <c r="K62" s="100">
        <f>SUM(K50+K60)</f>
        <v>1421871</v>
      </c>
      <c r="L62" s="100">
        <f>SUM(L60+L50)</f>
        <v>20846145</v>
      </c>
    </row>
    <row r="63" spans="1:13">
      <c r="H63" s="85"/>
      <c r="I63" s="85"/>
      <c r="J63" s="85"/>
      <c r="K63" s="85"/>
      <c r="L63" s="85"/>
    </row>
  </sheetData>
  <mergeCells count="3">
    <mergeCell ref="D1:H1"/>
    <mergeCell ref="D2:H2"/>
    <mergeCell ref="I4:L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55"/>
  <sheetViews>
    <sheetView topLeftCell="A13" workbookViewId="0">
      <selection activeCell="I50" sqref="I50"/>
    </sheetView>
  </sheetViews>
  <sheetFormatPr defaultColWidth="8.85546875" defaultRowHeight="14.45"/>
  <cols>
    <col min="1" max="1" width="3.28515625" customWidth="1"/>
    <col min="2" max="3" width="2.140625" customWidth="1"/>
    <col min="4" max="4" width="8.7109375" customWidth="1"/>
    <col min="5" max="5" width="12.7109375" customWidth="1"/>
    <col min="6" max="6" width="23" customWidth="1"/>
    <col min="7" max="8" width="17.140625" customWidth="1"/>
    <col min="9" max="9" width="17.28515625" customWidth="1"/>
    <col min="10" max="10" width="13" customWidth="1"/>
  </cols>
  <sheetData>
    <row r="1" spans="1:10" ht="18.75" customHeight="1">
      <c r="A1" s="1"/>
      <c r="B1" s="1"/>
      <c r="C1" s="202" t="s">
        <v>519</v>
      </c>
      <c r="D1" s="202"/>
      <c r="E1" s="202"/>
      <c r="F1" s="202"/>
      <c r="G1" s="202"/>
      <c r="H1" s="102"/>
    </row>
    <row r="2" spans="1:10" ht="15.75" customHeight="1">
      <c r="A2" s="1"/>
      <c r="B2" s="1"/>
      <c r="C2" s="203" t="s">
        <v>1</v>
      </c>
      <c r="D2" s="203"/>
      <c r="E2" s="203"/>
      <c r="F2" s="203"/>
      <c r="G2" s="203"/>
      <c r="H2" s="103"/>
    </row>
    <row r="4" spans="1:10" ht="26.25" customHeight="1">
      <c r="G4" s="204" t="s">
        <v>2</v>
      </c>
      <c r="H4" s="204"/>
      <c r="J4" s="115" t="s">
        <v>4</v>
      </c>
    </row>
    <row r="5" spans="1:10" ht="45" customHeight="1">
      <c r="G5" s="110" t="s">
        <v>3</v>
      </c>
      <c r="H5" s="110" t="s">
        <v>137</v>
      </c>
      <c r="I5" s="111" t="s">
        <v>64</v>
      </c>
      <c r="J5" s="151" t="s">
        <v>520</v>
      </c>
    </row>
    <row r="6" spans="1:10">
      <c r="A6" s="3" t="s">
        <v>5</v>
      </c>
      <c r="C6" s="3"/>
      <c r="F6" s="4"/>
      <c r="G6" s="4"/>
      <c r="H6" s="4"/>
    </row>
    <row r="7" spans="1:10">
      <c r="B7" t="s">
        <v>65</v>
      </c>
      <c r="G7" s="79">
        <v>21299609</v>
      </c>
      <c r="H7" s="85">
        <v>7093238</v>
      </c>
      <c r="I7" s="85">
        <f>SUM(G7:H7)</f>
        <v>28392847</v>
      </c>
      <c r="J7">
        <v>8236245</v>
      </c>
    </row>
    <row r="8" spans="1:10">
      <c r="B8" t="s">
        <v>8</v>
      </c>
      <c r="G8" s="86">
        <v>10986073</v>
      </c>
      <c r="H8" s="85"/>
      <c r="I8" s="85">
        <f>SUM(G8:H8)</f>
        <v>10986073</v>
      </c>
    </row>
    <row r="9" spans="1:10">
      <c r="B9" t="s">
        <v>165</v>
      </c>
      <c r="G9" s="80">
        <v>20348518</v>
      </c>
      <c r="H9" s="85">
        <v>1487343</v>
      </c>
      <c r="I9" s="85">
        <f t="shared" ref="I9:I20" si="0">SUM(G9:H9)</f>
        <v>21835861</v>
      </c>
      <c r="J9">
        <v>3556709</v>
      </c>
    </row>
    <row r="10" spans="1:10">
      <c r="B10" t="s">
        <v>521</v>
      </c>
      <c r="G10" s="85"/>
      <c r="H10" s="85"/>
      <c r="I10" s="85"/>
    </row>
    <row r="11" spans="1:10">
      <c r="C11" t="s">
        <v>81</v>
      </c>
      <c r="G11" s="95">
        <v>481000</v>
      </c>
      <c r="H11" s="85"/>
      <c r="I11" s="85">
        <f t="shared" si="0"/>
        <v>481000</v>
      </c>
    </row>
    <row r="12" spans="1:10">
      <c r="C12" t="s">
        <v>82</v>
      </c>
      <c r="G12" s="95">
        <v>1590000</v>
      </c>
      <c r="H12" s="85"/>
      <c r="I12" s="85">
        <f t="shared" si="0"/>
        <v>1590000</v>
      </c>
    </row>
    <row r="13" spans="1:10">
      <c r="B13" t="s">
        <v>522</v>
      </c>
      <c r="G13" s="81">
        <v>43987</v>
      </c>
      <c r="H13" s="85">
        <v>-43987</v>
      </c>
      <c r="I13" s="85">
        <f t="shared" si="0"/>
        <v>0</v>
      </c>
    </row>
    <row r="14" spans="1:10">
      <c r="B14" t="s">
        <v>151</v>
      </c>
      <c r="G14" s="81">
        <v>35049</v>
      </c>
      <c r="H14" s="85">
        <v>294560</v>
      </c>
      <c r="I14" s="85">
        <f t="shared" ref="I14" si="1">SUM(G14:H14)</f>
        <v>329609</v>
      </c>
      <c r="J14">
        <v>334518</v>
      </c>
    </row>
    <row r="15" spans="1:10">
      <c r="B15" t="s">
        <v>168</v>
      </c>
      <c r="G15" s="81">
        <v>160909</v>
      </c>
      <c r="H15" s="85">
        <v>36471</v>
      </c>
      <c r="I15" s="85">
        <f t="shared" si="0"/>
        <v>197380</v>
      </c>
      <c r="J15">
        <v>731135</v>
      </c>
    </row>
    <row r="16" spans="1:10">
      <c r="B16" t="s">
        <v>68</v>
      </c>
      <c r="G16" s="85"/>
      <c r="H16" s="85"/>
      <c r="I16" s="85"/>
    </row>
    <row r="17" spans="1:10">
      <c r="C17" t="s">
        <v>65</v>
      </c>
      <c r="G17" s="85"/>
      <c r="H17" s="85">
        <v>491249</v>
      </c>
      <c r="I17" s="85">
        <f t="shared" si="0"/>
        <v>491249</v>
      </c>
    </row>
    <row r="18" spans="1:10">
      <c r="C18" t="s">
        <v>523</v>
      </c>
      <c r="G18" s="85"/>
      <c r="H18" s="85"/>
      <c r="I18" s="85"/>
      <c r="J18">
        <v>1272606</v>
      </c>
    </row>
    <row r="19" spans="1:10">
      <c r="C19" t="s">
        <v>524</v>
      </c>
      <c r="G19" s="85"/>
      <c r="H19" s="85"/>
      <c r="I19" s="85"/>
      <c r="J19">
        <v>8553171</v>
      </c>
    </row>
    <row r="20" spans="1:10">
      <c r="B20" t="s">
        <v>297</v>
      </c>
      <c r="G20" s="82">
        <v>56279384</v>
      </c>
      <c r="H20" s="85">
        <v>14520264</v>
      </c>
      <c r="I20" s="85">
        <f t="shared" si="0"/>
        <v>70799648</v>
      </c>
      <c r="J20">
        <v>22549068</v>
      </c>
    </row>
    <row r="21" spans="1:10">
      <c r="B21" t="s">
        <v>525</v>
      </c>
      <c r="G21" s="85"/>
      <c r="H21" s="85">
        <v>245</v>
      </c>
      <c r="I21" s="85">
        <f>SUM(G21:H21)</f>
        <v>245</v>
      </c>
      <c r="J21" s="142"/>
    </row>
    <row r="22" spans="1:10">
      <c r="G22" s="83"/>
      <c r="H22" s="83"/>
      <c r="I22" s="83"/>
    </row>
    <row r="23" spans="1:10" s="5" customFormat="1">
      <c r="B23" s="6" t="s">
        <v>17</v>
      </c>
      <c r="C23" s="6"/>
      <c r="D23" s="6"/>
      <c r="E23" s="6"/>
      <c r="F23" s="6"/>
      <c r="G23" s="84">
        <f>SUM(G7:G20)</f>
        <v>111224529</v>
      </c>
      <c r="H23" s="84">
        <f>SUM(H7:H21)</f>
        <v>23879383</v>
      </c>
      <c r="I23" s="84">
        <f>SUM(I7:I21)</f>
        <v>135103912</v>
      </c>
      <c r="J23" s="84">
        <f>SUM(J7:J21)</f>
        <v>45233452</v>
      </c>
    </row>
    <row r="24" spans="1:10">
      <c r="G24" s="85"/>
      <c r="H24" s="85"/>
      <c r="I24" s="85"/>
    </row>
    <row r="25" spans="1:10">
      <c r="A25" s="5" t="s">
        <v>20</v>
      </c>
      <c r="G25" s="85"/>
      <c r="H25" s="85"/>
      <c r="I25" s="85"/>
    </row>
    <row r="26" spans="1:10">
      <c r="B26" t="s">
        <v>143</v>
      </c>
      <c r="G26" s="86">
        <v>3254897</v>
      </c>
      <c r="H26" s="85">
        <v>412534</v>
      </c>
      <c r="I26" s="85">
        <f>SUM(G26:H26)</f>
        <v>3667431</v>
      </c>
      <c r="J26">
        <v>570191</v>
      </c>
    </row>
    <row r="27" spans="1:10">
      <c r="B27" t="s">
        <v>526</v>
      </c>
      <c r="G27" s="114"/>
      <c r="H27" s="85"/>
      <c r="I27" s="85">
        <f>SUM(G27:H27)</f>
        <v>0</v>
      </c>
      <c r="J27">
        <v>870161</v>
      </c>
    </row>
    <row r="28" spans="1:10">
      <c r="B28" t="s">
        <v>98</v>
      </c>
      <c r="G28" s="112">
        <v>73989</v>
      </c>
      <c r="H28" s="85"/>
      <c r="I28" s="85">
        <f>SUM(G28:H28)</f>
        <v>73989</v>
      </c>
    </row>
    <row r="29" spans="1:10">
      <c r="B29" t="s">
        <v>303</v>
      </c>
      <c r="G29" s="114"/>
      <c r="H29" s="85"/>
      <c r="I29" s="85"/>
    </row>
    <row r="30" spans="1:10">
      <c r="B30" t="s">
        <v>288</v>
      </c>
      <c r="G30" s="81">
        <v>1331822</v>
      </c>
      <c r="H30" s="85">
        <v>131837</v>
      </c>
      <c r="I30" s="85">
        <f>SUM(G30:H30)</f>
        <v>1463659</v>
      </c>
      <c r="J30">
        <v>2852138</v>
      </c>
    </row>
    <row r="31" spans="1:10">
      <c r="B31" t="s">
        <v>174</v>
      </c>
      <c r="G31" s="85"/>
      <c r="H31" s="85">
        <v>466696</v>
      </c>
      <c r="I31" s="85">
        <f>SUM(G31:H31)</f>
        <v>466696</v>
      </c>
    </row>
    <row r="32" spans="1:10">
      <c r="B32" t="s">
        <v>27</v>
      </c>
      <c r="G32" s="85"/>
      <c r="H32" s="85"/>
      <c r="I32" s="85"/>
    </row>
    <row r="33" spans="1:10">
      <c r="D33" t="s">
        <v>81</v>
      </c>
      <c r="G33" s="97">
        <v>1465822</v>
      </c>
      <c r="H33" s="85">
        <v>55654</v>
      </c>
      <c r="I33" s="85">
        <f>SUM(G33:H33)</f>
        <v>1521476</v>
      </c>
      <c r="J33">
        <v>242644</v>
      </c>
    </row>
    <row r="34" spans="1:10">
      <c r="D34" t="s">
        <v>82</v>
      </c>
      <c r="G34" s="79">
        <v>9397585</v>
      </c>
      <c r="H34" s="85">
        <v>413108</v>
      </c>
      <c r="I34" s="85">
        <f>SUM(G34:H34)</f>
        <v>9810693</v>
      </c>
      <c r="J34" s="152">
        <v>15467065</v>
      </c>
    </row>
    <row r="35" spans="1:10">
      <c r="G35" s="83"/>
      <c r="H35" s="83"/>
      <c r="I35" s="83"/>
    </row>
    <row r="36" spans="1:10">
      <c r="C36" s="8" t="s">
        <v>33</v>
      </c>
      <c r="D36" s="9"/>
      <c r="E36" s="9"/>
      <c r="F36" s="9"/>
      <c r="G36" s="89">
        <f>SUM(G26:G34)</f>
        <v>15524115</v>
      </c>
      <c r="H36" s="89">
        <f>SUM(H26:H34)</f>
        <v>1479829</v>
      </c>
      <c r="I36" s="89">
        <f>SUM(I26:I34)</f>
        <v>17003944</v>
      </c>
      <c r="J36" s="89">
        <f>SUM(J26:J34)</f>
        <v>20002199</v>
      </c>
    </row>
    <row r="37" spans="1:10">
      <c r="G37" s="85"/>
      <c r="H37" s="85"/>
      <c r="I37" s="85"/>
    </row>
    <row r="38" spans="1:10">
      <c r="A38" s="3" t="s">
        <v>36</v>
      </c>
      <c r="G38" s="85"/>
      <c r="H38" s="85"/>
      <c r="I38" s="85"/>
    </row>
    <row r="39" spans="1:10">
      <c r="B39" t="s">
        <v>383</v>
      </c>
      <c r="G39" s="90">
        <v>50197934</v>
      </c>
      <c r="H39" s="85">
        <v>14520264</v>
      </c>
      <c r="I39" s="85">
        <f>SUM(G39:H39)</f>
        <v>64718198</v>
      </c>
      <c r="J39">
        <v>6839359</v>
      </c>
    </row>
    <row r="40" spans="1:10">
      <c r="B40" t="s">
        <v>38</v>
      </c>
      <c r="G40" s="85"/>
      <c r="H40" s="85"/>
      <c r="I40" s="85"/>
    </row>
    <row r="41" spans="1:10">
      <c r="C41" t="s">
        <v>197</v>
      </c>
      <c r="G41" s="91">
        <v>6378749</v>
      </c>
      <c r="H41" s="85"/>
      <c r="I41" s="85">
        <f t="shared" ref="I41:I50" si="2">SUM(G41:H41)</f>
        <v>6378749</v>
      </c>
    </row>
    <row r="42" spans="1:10">
      <c r="C42" t="s">
        <v>130</v>
      </c>
      <c r="G42" s="91">
        <v>4707191</v>
      </c>
      <c r="H42" s="85"/>
      <c r="I42" s="85">
        <f t="shared" si="2"/>
        <v>4707191</v>
      </c>
    </row>
    <row r="43" spans="1:10">
      <c r="C43" t="s">
        <v>39</v>
      </c>
      <c r="G43" s="91">
        <v>1801474</v>
      </c>
      <c r="H43" s="85"/>
      <c r="I43" s="85">
        <f t="shared" ref="I43" si="3">SUM(G43:H43)</f>
        <v>1801474</v>
      </c>
      <c r="J43">
        <v>1272606</v>
      </c>
    </row>
    <row r="44" spans="1:10">
      <c r="C44" t="s">
        <v>40</v>
      </c>
      <c r="G44" s="91">
        <v>1107620</v>
      </c>
      <c r="H44" s="85"/>
      <c r="I44" s="85">
        <f>SUM(G44:H44)</f>
        <v>1107620</v>
      </c>
    </row>
    <row r="45" spans="1:10">
      <c r="C45" t="s">
        <v>129</v>
      </c>
      <c r="G45" s="91">
        <v>5272994</v>
      </c>
      <c r="H45" s="85"/>
      <c r="I45" s="85">
        <f t="shared" si="2"/>
        <v>5272994</v>
      </c>
    </row>
    <row r="46" spans="1:10">
      <c r="C46" t="s">
        <v>527</v>
      </c>
      <c r="G46" s="91">
        <v>4277291</v>
      </c>
      <c r="H46" s="85"/>
      <c r="I46" s="85">
        <f t="shared" si="2"/>
        <v>4277291</v>
      </c>
    </row>
    <row r="47" spans="1:10">
      <c r="C47" t="s">
        <v>58</v>
      </c>
      <c r="G47" s="91">
        <v>11784280</v>
      </c>
      <c r="H47" s="85"/>
      <c r="I47" s="85">
        <f t="shared" si="2"/>
        <v>11784280</v>
      </c>
    </row>
    <row r="48" spans="1:10">
      <c r="C48" t="s">
        <v>61</v>
      </c>
      <c r="G48" s="91">
        <v>3501473</v>
      </c>
      <c r="H48" s="85"/>
      <c r="I48" s="85">
        <f t="shared" si="2"/>
        <v>3501473</v>
      </c>
    </row>
    <row r="49" spans="2:10">
      <c r="C49" t="s">
        <v>528</v>
      </c>
      <c r="G49" s="91">
        <v>2050925</v>
      </c>
      <c r="H49" s="85"/>
      <c r="I49" s="85">
        <f t="shared" si="2"/>
        <v>2050925</v>
      </c>
    </row>
    <row r="50" spans="2:10">
      <c r="B50" t="s">
        <v>42</v>
      </c>
      <c r="G50" s="98">
        <v>4620483</v>
      </c>
      <c r="H50" s="85">
        <v>7879290</v>
      </c>
      <c r="I50" s="85">
        <f t="shared" si="2"/>
        <v>12499773</v>
      </c>
      <c r="J50" s="152">
        <v>17119288</v>
      </c>
    </row>
    <row r="51" spans="2:10">
      <c r="G51" s="83"/>
      <c r="H51" s="83"/>
      <c r="I51" s="83"/>
    </row>
    <row r="52" spans="2:10" s="3" customFormat="1">
      <c r="B52" s="10" t="s">
        <v>43</v>
      </c>
      <c r="C52" s="10"/>
      <c r="D52" s="10"/>
      <c r="E52" s="10"/>
      <c r="F52" s="10"/>
      <c r="G52" s="99">
        <f>SUM(G39:G50)</f>
        <v>95700414</v>
      </c>
      <c r="H52" s="99">
        <f t="shared" ref="H52:J52" si="4">SUM(H39:H50)</f>
        <v>22399554</v>
      </c>
      <c r="I52" s="99">
        <f>SUM(I39:I50)</f>
        <v>118099968</v>
      </c>
      <c r="J52" s="99">
        <f t="shared" si="4"/>
        <v>25231253</v>
      </c>
    </row>
    <row r="53" spans="2:10">
      <c r="G53" s="85"/>
      <c r="H53" s="85"/>
      <c r="I53" s="85"/>
    </row>
    <row r="54" spans="2:10" s="3" customFormat="1">
      <c r="B54" s="11" t="s">
        <v>44</v>
      </c>
      <c r="C54" s="11"/>
      <c r="D54" s="11"/>
      <c r="E54" s="11"/>
      <c r="F54" s="11"/>
      <c r="G54" s="100">
        <f>G36+G52</f>
        <v>111224529</v>
      </c>
      <c r="H54" s="100">
        <f t="shared" ref="H54:J54" si="5">H36+H52</f>
        <v>23879383</v>
      </c>
      <c r="I54" s="100">
        <f>I36+I52</f>
        <v>135103912</v>
      </c>
      <c r="J54" s="100">
        <f t="shared" si="5"/>
        <v>45233452</v>
      </c>
    </row>
    <row r="55" spans="2:10">
      <c r="G55" s="85"/>
      <c r="H55" s="85"/>
      <c r="I55" s="85"/>
    </row>
  </sheetData>
  <mergeCells count="3">
    <mergeCell ref="C1:G1"/>
    <mergeCell ref="C2:G2"/>
    <mergeCell ref="G4:H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0"/>
  <sheetViews>
    <sheetView topLeftCell="B5" workbookViewId="0">
      <selection activeCell="J21" sqref="J21"/>
    </sheetView>
  </sheetViews>
  <sheetFormatPr defaultColWidth="8.85546875" defaultRowHeight="14.45"/>
  <cols>
    <col min="1" max="1" width="3.28515625" customWidth="1"/>
    <col min="2" max="3" width="2.140625" customWidth="1"/>
    <col min="4" max="4" width="8.7109375" customWidth="1"/>
    <col min="5" max="5" width="12.7109375" customWidth="1"/>
    <col min="6" max="6" width="23" customWidth="1"/>
    <col min="7" max="7" width="18.85546875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202" t="s">
        <v>529</v>
      </c>
      <c r="D1" s="202"/>
      <c r="E1" s="202"/>
      <c r="F1" s="202"/>
      <c r="G1" s="202"/>
      <c r="H1" s="102"/>
      <c r="I1" s="102"/>
    </row>
    <row r="2" spans="1:11" ht="15.75" customHeight="1">
      <c r="A2" s="1"/>
      <c r="B2" s="1"/>
      <c r="C2" s="203" t="s">
        <v>1</v>
      </c>
      <c r="D2" s="203"/>
      <c r="E2" s="203"/>
      <c r="F2" s="203"/>
      <c r="G2" s="203"/>
      <c r="H2" s="103"/>
      <c r="I2" s="103"/>
    </row>
    <row r="3" spans="1:11" ht="11.25" customHeight="1"/>
    <row r="4" spans="1:11" ht="15" customHeight="1">
      <c r="G4" s="206" t="s">
        <v>2</v>
      </c>
      <c r="H4" s="206"/>
      <c r="I4" s="206"/>
      <c r="J4" s="129" t="s">
        <v>4</v>
      </c>
    </row>
    <row r="5" spans="1:11" ht="31.5" customHeight="1">
      <c r="G5" s="110" t="s">
        <v>3</v>
      </c>
      <c r="H5" s="110" t="s">
        <v>137</v>
      </c>
      <c r="I5" s="110" t="s">
        <v>64</v>
      </c>
      <c r="J5" s="134" t="s">
        <v>242</v>
      </c>
      <c r="K5" s="5"/>
    </row>
    <row r="6" spans="1:11">
      <c r="A6" s="3" t="s">
        <v>5</v>
      </c>
      <c r="C6" s="3"/>
      <c r="F6" s="4"/>
      <c r="G6" s="4"/>
      <c r="H6" s="4"/>
      <c r="I6" s="4"/>
    </row>
    <row r="7" spans="1:11">
      <c r="B7" t="s">
        <v>65</v>
      </c>
      <c r="G7" s="79">
        <v>58246102</v>
      </c>
      <c r="H7" s="85">
        <v>2662147</v>
      </c>
      <c r="I7" s="85">
        <f t="shared" ref="I7:I8" si="0">SUM(G7:H7)</f>
        <v>60908249</v>
      </c>
      <c r="J7" s="85">
        <v>3644502</v>
      </c>
    </row>
    <row r="8" spans="1:11">
      <c r="B8" t="s">
        <v>181</v>
      </c>
      <c r="G8" s="85"/>
      <c r="H8" s="85">
        <v>363526</v>
      </c>
      <c r="I8" s="85">
        <f t="shared" si="0"/>
        <v>363526</v>
      </c>
      <c r="J8" s="85"/>
    </row>
    <row r="9" spans="1:11">
      <c r="B9" t="s">
        <v>530</v>
      </c>
      <c r="G9" s="85"/>
      <c r="H9" s="85"/>
      <c r="I9" s="85"/>
      <c r="J9" s="85"/>
    </row>
    <row r="10" spans="1:11">
      <c r="C10" t="s">
        <v>336</v>
      </c>
      <c r="G10" s="80">
        <v>1444935</v>
      </c>
      <c r="H10" s="85">
        <v>2536807</v>
      </c>
      <c r="I10" s="85">
        <f t="shared" ref="I10:I14" si="1">SUM(G10:H10)</f>
        <v>3981742</v>
      </c>
      <c r="J10" s="85"/>
    </row>
    <row r="11" spans="1:11">
      <c r="C11" t="s">
        <v>437</v>
      </c>
      <c r="G11" s="80">
        <v>11902039</v>
      </c>
      <c r="H11" s="85"/>
      <c r="I11" s="85">
        <f t="shared" si="1"/>
        <v>11902039</v>
      </c>
      <c r="J11" s="85">
        <v>4344320</v>
      </c>
    </row>
    <row r="12" spans="1:11">
      <c r="C12" t="s">
        <v>477</v>
      </c>
      <c r="G12" s="80">
        <v>3481479</v>
      </c>
      <c r="H12" s="85"/>
      <c r="I12" s="85">
        <f t="shared" si="1"/>
        <v>3481479</v>
      </c>
      <c r="J12" s="85"/>
    </row>
    <row r="13" spans="1:11">
      <c r="C13" t="s">
        <v>182</v>
      </c>
      <c r="G13" s="80">
        <v>315907</v>
      </c>
      <c r="H13" s="85"/>
      <c r="I13" s="85">
        <f t="shared" si="1"/>
        <v>315907</v>
      </c>
      <c r="J13" s="85">
        <v>63067</v>
      </c>
    </row>
    <row r="14" spans="1:11">
      <c r="B14" t="s">
        <v>47</v>
      </c>
      <c r="G14" s="95">
        <v>782043</v>
      </c>
      <c r="H14" s="85">
        <v>301586</v>
      </c>
      <c r="I14" s="85">
        <f t="shared" si="1"/>
        <v>1083629</v>
      </c>
      <c r="J14" s="85"/>
    </row>
    <row r="15" spans="1:11">
      <c r="B15" t="s">
        <v>168</v>
      </c>
      <c r="G15" s="81">
        <v>137860</v>
      </c>
      <c r="H15" s="85">
        <v>116002</v>
      </c>
      <c r="I15" s="85">
        <f>SUM(G15:H15)</f>
        <v>253862</v>
      </c>
      <c r="J15" s="85"/>
    </row>
    <row r="16" spans="1:11">
      <c r="B16" t="s">
        <v>68</v>
      </c>
      <c r="G16" s="81"/>
      <c r="H16" s="85">
        <v>1229264</v>
      </c>
      <c r="I16" s="85">
        <f>SUM(G16:H16)</f>
        <v>1229264</v>
      </c>
      <c r="J16" s="85"/>
    </row>
    <row r="17" spans="1:10">
      <c r="B17" t="s">
        <v>67</v>
      </c>
      <c r="G17" s="81">
        <v>402344</v>
      </c>
      <c r="H17" s="85">
        <v>-402344</v>
      </c>
      <c r="I17" s="85">
        <f>SUM(G17:H17)</f>
        <v>0</v>
      </c>
      <c r="J17" s="85"/>
    </row>
    <row r="18" spans="1:10">
      <c r="B18" t="s">
        <v>239</v>
      </c>
      <c r="G18" s="82">
        <v>8723315</v>
      </c>
      <c r="H18" s="85">
        <v>2031419</v>
      </c>
      <c r="I18" s="85">
        <f>SUM(G18:H18)</f>
        <v>10754734</v>
      </c>
      <c r="J18" s="85">
        <v>40000</v>
      </c>
    </row>
    <row r="19" spans="1:10">
      <c r="B19" t="s">
        <v>531</v>
      </c>
      <c r="G19" s="85"/>
      <c r="H19" s="85"/>
      <c r="I19" s="85"/>
      <c r="J19" s="85"/>
    </row>
    <row r="20" spans="1:10">
      <c r="C20" t="s">
        <v>532</v>
      </c>
      <c r="G20" s="82">
        <v>68660908</v>
      </c>
      <c r="H20" s="85">
        <v>126935340</v>
      </c>
      <c r="I20" s="85">
        <f>SUM(G20:H20)</f>
        <v>195596248</v>
      </c>
      <c r="J20" s="85">
        <v>5351171</v>
      </c>
    </row>
    <row r="21" spans="1:10">
      <c r="G21" s="83"/>
      <c r="H21" s="83"/>
      <c r="I21" s="83"/>
      <c r="J21" s="83"/>
    </row>
    <row r="22" spans="1:10" s="5" customFormat="1">
      <c r="B22" s="6" t="s">
        <v>17</v>
      </c>
      <c r="C22" s="6"/>
      <c r="D22" s="6"/>
      <c r="E22" s="6"/>
      <c r="F22" s="6"/>
      <c r="G22" s="84">
        <f>SUM(G7:G20)</f>
        <v>154096932</v>
      </c>
      <c r="H22" s="84">
        <f>SUM(H7:H20)</f>
        <v>135773747</v>
      </c>
      <c r="I22" s="84">
        <f>SUM(I7:I20)</f>
        <v>289870679</v>
      </c>
      <c r="J22" s="84">
        <f>SUM(J7:J20)</f>
        <v>13443060</v>
      </c>
    </row>
    <row r="23" spans="1:10">
      <c r="G23" s="85"/>
      <c r="H23" s="85"/>
      <c r="I23" s="85"/>
      <c r="J23" s="85"/>
    </row>
    <row r="24" spans="1:10">
      <c r="A24" s="5" t="s">
        <v>20</v>
      </c>
      <c r="G24" s="85"/>
      <c r="H24" s="85"/>
      <c r="I24" s="85"/>
      <c r="J24" s="85"/>
    </row>
    <row r="25" spans="1:10">
      <c r="A25" s="5"/>
      <c r="B25" t="s">
        <v>126</v>
      </c>
      <c r="G25" s="86">
        <v>3755988</v>
      </c>
      <c r="H25" s="85">
        <v>2759562</v>
      </c>
      <c r="I25" s="85">
        <f t="shared" ref="I25:I31" si="2">SUM(G25:H25)</f>
        <v>6515550</v>
      </c>
      <c r="J25" s="85">
        <v>28851</v>
      </c>
    </row>
    <row r="26" spans="1:10">
      <c r="B26" t="s">
        <v>75</v>
      </c>
      <c r="G26" s="81">
        <v>78792</v>
      </c>
      <c r="H26" s="85"/>
      <c r="I26" s="85">
        <f t="shared" si="2"/>
        <v>78792</v>
      </c>
      <c r="J26" s="85"/>
    </row>
    <row r="27" spans="1:10">
      <c r="B27" t="s">
        <v>211</v>
      </c>
      <c r="G27" s="101">
        <v>53604</v>
      </c>
      <c r="H27" s="85"/>
      <c r="I27" s="85">
        <f t="shared" si="2"/>
        <v>53604</v>
      </c>
      <c r="J27" s="85"/>
    </row>
    <row r="28" spans="1:10">
      <c r="B28" t="s">
        <v>279</v>
      </c>
      <c r="G28" s="85"/>
      <c r="H28" s="85">
        <v>1302904</v>
      </c>
      <c r="I28" s="85">
        <f t="shared" si="2"/>
        <v>1302904</v>
      </c>
      <c r="J28" s="85"/>
    </row>
    <row r="29" spans="1:10">
      <c r="B29" t="s">
        <v>98</v>
      </c>
      <c r="G29" s="85"/>
      <c r="H29" s="85">
        <v>161659</v>
      </c>
      <c r="I29" s="85">
        <f t="shared" si="2"/>
        <v>161659</v>
      </c>
      <c r="J29" s="85">
        <v>185724</v>
      </c>
    </row>
    <row r="30" spans="1:10">
      <c r="B30" t="s">
        <v>127</v>
      </c>
      <c r="G30" s="81">
        <v>698968</v>
      </c>
      <c r="H30" s="85">
        <v>9661</v>
      </c>
      <c r="I30" s="85">
        <f t="shared" si="2"/>
        <v>708629</v>
      </c>
      <c r="J30" s="85"/>
    </row>
    <row r="31" spans="1:10">
      <c r="B31" t="s">
        <v>158</v>
      </c>
      <c r="G31" s="85"/>
      <c r="H31" s="85"/>
      <c r="I31" s="85">
        <f t="shared" si="2"/>
        <v>0</v>
      </c>
      <c r="J31" s="85"/>
    </row>
    <row r="32" spans="1:10">
      <c r="C32" t="s">
        <v>533</v>
      </c>
      <c r="G32" s="97">
        <v>6203877</v>
      </c>
      <c r="H32" s="85">
        <v>261000</v>
      </c>
      <c r="I32" s="85">
        <f>SUM(G32:H32)</f>
        <v>6464877</v>
      </c>
      <c r="J32" s="85"/>
    </row>
    <row r="33" spans="1:10">
      <c r="C33" t="s">
        <v>82</v>
      </c>
      <c r="G33" s="79">
        <v>69298429</v>
      </c>
      <c r="H33" s="85">
        <v>4367478</v>
      </c>
      <c r="I33" s="85">
        <f>SUM(G33:H33)</f>
        <v>73665907</v>
      </c>
      <c r="J33" s="85">
        <v>962113</v>
      </c>
    </row>
    <row r="34" spans="1:10">
      <c r="G34" s="83"/>
      <c r="H34" s="83"/>
      <c r="I34" s="83"/>
      <c r="J34" s="83"/>
    </row>
    <row r="35" spans="1:10">
      <c r="C35" s="8" t="s">
        <v>33</v>
      </c>
      <c r="D35" s="9"/>
      <c r="E35" s="9"/>
      <c r="F35" s="9"/>
      <c r="G35" s="89">
        <f>SUM(G25:G33)</f>
        <v>80089658</v>
      </c>
      <c r="H35" s="89">
        <f>SUM(H25:H33)</f>
        <v>8862264</v>
      </c>
      <c r="I35" s="89">
        <f>SUM(I25:I33)</f>
        <v>88951922</v>
      </c>
      <c r="J35" s="89">
        <f>SUM(J25:J33)</f>
        <v>1176688</v>
      </c>
    </row>
    <row r="36" spans="1:10">
      <c r="G36" s="85"/>
      <c r="H36" s="85"/>
      <c r="I36" s="85"/>
      <c r="J36" s="85"/>
    </row>
    <row r="37" spans="1:10">
      <c r="A37" s="3" t="s">
        <v>36</v>
      </c>
      <c r="G37" s="85"/>
      <c r="H37" s="85"/>
      <c r="I37" s="85"/>
      <c r="J37" s="85"/>
    </row>
    <row r="38" spans="1:10">
      <c r="B38" t="s">
        <v>37</v>
      </c>
      <c r="G38" s="90">
        <v>10633141</v>
      </c>
      <c r="H38" s="85">
        <v>124338281</v>
      </c>
      <c r="I38" s="85">
        <f>SUM(G38:H38)</f>
        <v>134971422</v>
      </c>
      <c r="J38" s="85">
        <v>5391171</v>
      </c>
    </row>
    <row r="39" spans="1:10">
      <c r="B39" t="s">
        <v>38</v>
      </c>
      <c r="G39" s="85"/>
      <c r="H39" s="85"/>
      <c r="I39" s="85"/>
      <c r="J39" s="85"/>
    </row>
    <row r="40" spans="1:10">
      <c r="C40" t="s">
        <v>534</v>
      </c>
      <c r="G40" s="91">
        <v>34178846</v>
      </c>
      <c r="H40" s="85"/>
      <c r="I40" s="85">
        <f t="shared" ref="I40:I45" si="3">SUM(G40:H40)</f>
        <v>34178846</v>
      </c>
      <c r="J40" s="85"/>
    </row>
    <row r="41" spans="1:10">
      <c r="C41" t="s">
        <v>39</v>
      </c>
      <c r="G41" s="91">
        <v>13956797</v>
      </c>
      <c r="H41" s="85">
        <v>420000</v>
      </c>
      <c r="I41" s="85">
        <f t="shared" si="3"/>
        <v>14376797</v>
      </c>
      <c r="J41" s="85"/>
    </row>
    <row r="42" spans="1:10">
      <c r="C42" t="s">
        <v>40</v>
      </c>
      <c r="G42" s="91">
        <v>8420546</v>
      </c>
      <c r="H42" s="85"/>
      <c r="I42" s="85">
        <f t="shared" si="3"/>
        <v>8420546</v>
      </c>
      <c r="J42" s="85"/>
    </row>
    <row r="43" spans="1:10">
      <c r="C43" t="s">
        <v>78</v>
      </c>
      <c r="G43" s="85"/>
      <c r="H43" s="85">
        <v>73640</v>
      </c>
      <c r="I43" s="85">
        <f t="shared" si="3"/>
        <v>73640</v>
      </c>
      <c r="J43" s="85"/>
    </row>
    <row r="44" spans="1:10">
      <c r="C44" t="s">
        <v>535</v>
      </c>
      <c r="G44" s="85"/>
      <c r="H44" s="85"/>
      <c r="I44" s="85"/>
      <c r="J44" s="85">
        <v>5000</v>
      </c>
    </row>
    <row r="45" spans="1:10">
      <c r="B45" t="s">
        <v>42</v>
      </c>
      <c r="G45" s="98">
        <v>6817944</v>
      </c>
      <c r="H45" s="85">
        <v>2079562</v>
      </c>
      <c r="I45" s="85">
        <f t="shared" si="3"/>
        <v>8897506</v>
      </c>
      <c r="J45" s="85">
        <v>6870201</v>
      </c>
    </row>
    <row r="46" spans="1:10">
      <c r="G46" s="83"/>
      <c r="H46" s="83"/>
      <c r="I46" s="83"/>
      <c r="J46" s="83"/>
    </row>
    <row r="47" spans="1:10" s="3" customFormat="1">
      <c r="B47" s="10" t="s">
        <v>43</v>
      </c>
      <c r="C47" s="10"/>
      <c r="D47" s="10"/>
      <c r="E47" s="10"/>
      <c r="F47" s="10"/>
      <c r="G47" s="99">
        <f>SUM(G38:G45)</f>
        <v>74007274</v>
      </c>
      <c r="H47" s="99">
        <f>SUM(H38:H45)</f>
        <v>126911483</v>
      </c>
      <c r="I47" s="99">
        <f>SUM(I38:I45)</f>
        <v>200918757</v>
      </c>
      <c r="J47" s="99">
        <f>SUM(J37:J45)</f>
        <v>12266372</v>
      </c>
    </row>
    <row r="48" spans="1:10">
      <c r="G48" s="85"/>
      <c r="H48" s="85"/>
      <c r="I48" s="85"/>
      <c r="J48" s="85"/>
    </row>
    <row r="49" spans="2:10" s="3" customFormat="1">
      <c r="B49" s="11" t="s">
        <v>44</v>
      </c>
      <c r="C49" s="11"/>
      <c r="D49" s="11"/>
      <c r="E49" s="11"/>
      <c r="F49" s="11"/>
      <c r="G49" s="100">
        <f>SUM(G35+G47)</f>
        <v>154096932</v>
      </c>
      <c r="H49" s="100">
        <f>SUM(H47+H35)</f>
        <v>135773747</v>
      </c>
      <c r="I49" s="100">
        <f>SUM(I47+I35)</f>
        <v>289870679</v>
      </c>
      <c r="J49" s="100">
        <f>SUM(J47+J35)</f>
        <v>13443060</v>
      </c>
    </row>
    <row r="50" spans="2:10">
      <c r="G50" s="85"/>
      <c r="H50" s="85"/>
      <c r="I50" s="85"/>
      <c r="J50" s="85"/>
    </row>
  </sheetData>
  <mergeCells count="3">
    <mergeCell ref="C1:G1"/>
    <mergeCell ref="C2:G2"/>
    <mergeCell ref="G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3"/>
  <sheetViews>
    <sheetView workbookViewId="0">
      <selection activeCell="J48" sqref="J48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536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1" ht="31.5" customHeight="1">
      <c r="H4" s="110" t="s">
        <v>3</v>
      </c>
      <c r="I4" s="146" t="s">
        <v>101</v>
      </c>
      <c r="J4" s="145" t="s">
        <v>64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A6" s="3"/>
      <c r="B6" s="5" t="s">
        <v>6</v>
      </c>
      <c r="D6" s="3"/>
      <c r="G6" s="4"/>
      <c r="H6" s="78"/>
      <c r="I6" s="78"/>
      <c r="J6" s="85"/>
    </row>
    <row r="7" spans="1:11">
      <c r="C7" t="s">
        <v>102</v>
      </c>
      <c r="H7" s="79">
        <v>1555264</v>
      </c>
      <c r="I7" s="85">
        <v>1373535</v>
      </c>
      <c r="J7" s="85">
        <f t="shared" ref="J7:J13" si="0">SUM(H7:I7)</f>
        <v>2928799</v>
      </c>
    </row>
    <row r="8" spans="1:11">
      <c r="C8" t="s">
        <v>103</v>
      </c>
      <c r="H8" s="80">
        <v>5692205</v>
      </c>
      <c r="I8" s="85">
        <v>542188</v>
      </c>
      <c r="J8" s="85">
        <f t="shared" si="0"/>
        <v>6234393</v>
      </c>
    </row>
    <row r="9" spans="1:11">
      <c r="C9" t="s">
        <v>537</v>
      </c>
      <c r="H9" s="81">
        <v>42458</v>
      </c>
      <c r="I9" s="85"/>
      <c r="J9" s="85">
        <f t="shared" si="0"/>
        <v>42458</v>
      </c>
    </row>
    <row r="10" spans="1:11">
      <c r="C10" t="s">
        <v>538</v>
      </c>
      <c r="H10" s="95">
        <v>290254</v>
      </c>
      <c r="I10" s="85"/>
      <c r="J10" s="85">
        <f t="shared" si="0"/>
        <v>290254</v>
      </c>
    </row>
    <row r="11" spans="1:11">
      <c r="C11" t="s">
        <v>13</v>
      </c>
      <c r="H11" s="95">
        <v>4357</v>
      </c>
      <c r="I11" s="85"/>
      <c r="J11" s="85">
        <f t="shared" si="0"/>
        <v>4357</v>
      </c>
    </row>
    <row r="12" spans="1:11">
      <c r="C12" t="s">
        <v>47</v>
      </c>
      <c r="H12" s="95">
        <v>20051</v>
      </c>
      <c r="I12" s="85"/>
      <c r="J12" s="85">
        <f t="shared" si="0"/>
        <v>20051</v>
      </c>
    </row>
    <row r="13" spans="1:11">
      <c r="C13" t="s">
        <v>150</v>
      </c>
      <c r="H13" s="85"/>
      <c r="I13" s="85">
        <v>6389</v>
      </c>
      <c r="J13" s="85">
        <f t="shared" si="0"/>
        <v>6389</v>
      </c>
    </row>
    <row r="14" spans="1:11">
      <c r="H14" s="83"/>
      <c r="I14" s="83"/>
      <c r="J14" s="83"/>
    </row>
    <row r="15" spans="1:11" s="5" customFormat="1">
      <c r="C15" s="107" t="s">
        <v>105</v>
      </c>
      <c r="D15" s="107"/>
      <c r="E15" s="107"/>
      <c r="F15" s="107"/>
      <c r="G15" s="107"/>
      <c r="H15" s="108">
        <f>SUM(H7:H13)</f>
        <v>7604589</v>
      </c>
      <c r="I15" s="108">
        <f>SUM(I7:I13)</f>
        <v>1922112</v>
      </c>
      <c r="J15" s="108">
        <f>SUM(J7:J13)</f>
        <v>9526701</v>
      </c>
    </row>
    <row r="16" spans="1:11">
      <c r="H16" s="85"/>
      <c r="I16" s="85"/>
      <c r="J16" s="85"/>
    </row>
    <row r="17" spans="1:10" s="5" customFormat="1">
      <c r="B17" s="5" t="s">
        <v>539</v>
      </c>
      <c r="H17" s="105"/>
      <c r="I17" s="105"/>
      <c r="J17" s="105"/>
    </row>
    <row r="18" spans="1:10">
      <c r="C18" t="s">
        <v>108</v>
      </c>
      <c r="H18" s="82">
        <v>9506315</v>
      </c>
      <c r="I18" s="85">
        <v>2833181</v>
      </c>
      <c r="J18" s="85">
        <f>SUM(H18:I18)</f>
        <v>12339496</v>
      </c>
    </row>
    <row r="19" spans="1:10">
      <c r="H19" s="83"/>
      <c r="I19" s="83"/>
      <c r="J19" s="83"/>
    </row>
    <row r="20" spans="1:10" s="5" customFormat="1">
      <c r="C20" s="6" t="s">
        <v>17</v>
      </c>
      <c r="D20" s="6"/>
      <c r="E20" s="6"/>
      <c r="F20" s="6"/>
      <c r="G20" s="6"/>
      <c r="H20" s="84">
        <f>SUM(H15:H19)</f>
        <v>17110904</v>
      </c>
      <c r="I20" s="84">
        <f>SUM(I15:I18)</f>
        <v>4755293</v>
      </c>
      <c r="J20" s="84">
        <f>SUM(J15:J18)</f>
        <v>21866197</v>
      </c>
    </row>
    <row r="21" spans="1:10">
      <c r="H21" s="85"/>
      <c r="I21" s="85"/>
      <c r="J21" s="85"/>
    </row>
    <row r="22" spans="1:10">
      <c r="A22" s="5" t="s">
        <v>20</v>
      </c>
      <c r="H22" s="85"/>
      <c r="I22" s="85"/>
      <c r="J22" s="85"/>
    </row>
    <row r="23" spans="1:10" s="5" customFormat="1">
      <c r="B23" s="5" t="s">
        <v>540</v>
      </c>
      <c r="H23" s="105"/>
      <c r="I23" s="105"/>
      <c r="J23" s="105"/>
    </row>
    <row r="24" spans="1:10">
      <c r="C24" t="s">
        <v>21</v>
      </c>
      <c r="H24" s="86">
        <v>2100083</v>
      </c>
      <c r="I24" s="85">
        <v>190379</v>
      </c>
      <c r="J24" s="85">
        <f t="shared" ref="J24:J32" si="1">SUM(H24:I24)</f>
        <v>2290462</v>
      </c>
    </row>
    <row r="25" spans="1:10">
      <c r="C25" t="s">
        <v>288</v>
      </c>
      <c r="H25" s="81">
        <v>214419</v>
      </c>
      <c r="I25" s="85"/>
      <c r="J25" s="85">
        <f t="shared" si="1"/>
        <v>214419</v>
      </c>
    </row>
    <row r="26" spans="1:10">
      <c r="C26" t="s">
        <v>29</v>
      </c>
      <c r="H26" s="87">
        <v>58000</v>
      </c>
      <c r="I26" s="85">
        <v>80000</v>
      </c>
      <c r="J26" s="85">
        <f t="shared" si="1"/>
        <v>138000</v>
      </c>
    </row>
    <row r="27" spans="1:10">
      <c r="C27" t="s">
        <v>201</v>
      </c>
      <c r="H27" s="81">
        <v>3082</v>
      </c>
      <c r="I27" s="85">
        <v>21916</v>
      </c>
      <c r="J27" s="85">
        <f t="shared" si="1"/>
        <v>24998</v>
      </c>
    </row>
    <row r="28" spans="1:10">
      <c r="C28" t="s">
        <v>112</v>
      </c>
      <c r="H28" s="81">
        <v>4737</v>
      </c>
      <c r="I28" s="85"/>
      <c r="J28" s="85">
        <f t="shared" si="1"/>
        <v>4737</v>
      </c>
    </row>
    <row r="29" spans="1:10">
      <c r="C29" t="s">
        <v>30</v>
      </c>
      <c r="H29" s="88">
        <v>121245</v>
      </c>
      <c r="I29" s="85">
        <v>8538</v>
      </c>
      <c r="J29" s="85">
        <f t="shared" si="1"/>
        <v>129783</v>
      </c>
    </row>
    <row r="30" spans="1:10">
      <c r="C30" t="s">
        <v>541</v>
      </c>
      <c r="H30" s="101">
        <v>95000</v>
      </c>
      <c r="I30" s="85"/>
      <c r="J30" s="85">
        <f t="shared" si="1"/>
        <v>95000</v>
      </c>
    </row>
    <row r="31" spans="1:10">
      <c r="C31" t="s">
        <v>156</v>
      </c>
      <c r="H31" s="101">
        <v>6389</v>
      </c>
      <c r="I31" s="85"/>
      <c r="J31" s="85">
        <f t="shared" si="1"/>
        <v>6389</v>
      </c>
    </row>
    <row r="32" spans="1:10">
      <c r="C32" t="s">
        <v>542</v>
      </c>
      <c r="H32" s="85"/>
      <c r="I32" s="85">
        <v>4357</v>
      </c>
      <c r="J32" s="85">
        <f t="shared" si="1"/>
        <v>4357</v>
      </c>
    </row>
    <row r="33" spans="1:10">
      <c r="H33" s="83"/>
      <c r="I33" s="83"/>
      <c r="J33" s="83"/>
    </row>
    <row r="34" spans="1:10">
      <c r="D34" s="107" t="s">
        <v>114</v>
      </c>
      <c r="E34" s="109"/>
      <c r="F34" s="109"/>
      <c r="G34" s="109"/>
      <c r="H34" s="108">
        <f>SUM(H24:H32)</f>
        <v>2602955</v>
      </c>
      <c r="I34" s="108">
        <f>SUM(I23:I32)</f>
        <v>305190</v>
      </c>
      <c r="J34" s="108">
        <f>SUM(J24:J32)</f>
        <v>2908145</v>
      </c>
    </row>
    <row r="35" spans="1:10">
      <c r="H35" s="85"/>
      <c r="I35" s="85"/>
      <c r="J35" s="85"/>
    </row>
    <row r="36" spans="1:10" s="5" customFormat="1">
      <c r="B36" s="5" t="s">
        <v>543</v>
      </c>
      <c r="H36" s="105"/>
      <c r="I36" s="105"/>
      <c r="J36" s="105"/>
    </row>
    <row r="37" spans="1:10">
      <c r="C37" t="s">
        <v>484</v>
      </c>
      <c r="H37" s="86">
        <v>171605</v>
      </c>
      <c r="I37" s="85"/>
      <c r="J37" s="85">
        <f>SUM(H37:I37)</f>
        <v>171605</v>
      </c>
    </row>
    <row r="38" spans="1:10">
      <c r="C38" t="s">
        <v>29</v>
      </c>
      <c r="H38" s="80">
        <v>60000</v>
      </c>
      <c r="I38" s="85">
        <v>1180000</v>
      </c>
      <c r="J38" s="85">
        <f>SUM(H38:I38)</f>
        <v>1240000</v>
      </c>
    </row>
    <row r="39" spans="1:10" s="5" customFormat="1">
      <c r="H39" s="124"/>
      <c r="I39" s="124"/>
      <c r="J39" s="124"/>
    </row>
    <row r="40" spans="1:10">
      <c r="D40" s="107" t="s">
        <v>146</v>
      </c>
      <c r="E40" s="109"/>
      <c r="F40" s="109"/>
      <c r="G40" s="109"/>
      <c r="H40" s="108">
        <f>SUM(H36:H38)</f>
        <v>231605</v>
      </c>
      <c r="I40" s="108">
        <f>SUM(I37:I38)</f>
        <v>1180000</v>
      </c>
      <c r="J40" s="108">
        <f>SUM(J37:J38)</f>
        <v>1411605</v>
      </c>
    </row>
    <row r="41" spans="1:10">
      <c r="H41" s="85"/>
      <c r="I41" s="85"/>
      <c r="J41" s="85"/>
    </row>
    <row r="42" spans="1:10">
      <c r="D42" s="8" t="s">
        <v>33</v>
      </c>
      <c r="E42" s="9"/>
      <c r="F42" s="9"/>
      <c r="G42" s="9"/>
      <c r="H42" s="89">
        <f>SUM(H34+H40)</f>
        <v>2834560</v>
      </c>
      <c r="I42" s="89">
        <f>SUM(I34+I40)</f>
        <v>1485190</v>
      </c>
      <c r="J42" s="89">
        <f>SUM(J34+J40)</f>
        <v>4319750</v>
      </c>
    </row>
    <row r="43" spans="1:10">
      <c r="D43" s="5"/>
      <c r="H43" s="105"/>
      <c r="I43" s="105"/>
      <c r="J43" s="85"/>
    </row>
    <row r="44" spans="1:10">
      <c r="A44" s="3" t="s">
        <v>36</v>
      </c>
      <c r="H44" s="85"/>
      <c r="I44" s="85"/>
      <c r="J44" s="85"/>
    </row>
    <row r="45" spans="1:10">
      <c r="B45" t="s">
        <v>99</v>
      </c>
      <c r="H45" s="90">
        <v>9506315</v>
      </c>
      <c r="I45" s="85">
        <v>1573181</v>
      </c>
      <c r="J45" s="85">
        <f>SUM(H45:I45)</f>
        <v>11079496</v>
      </c>
    </row>
    <row r="46" spans="1:10">
      <c r="B46" t="s">
        <v>268</v>
      </c>
      <c r="H46" s="91">
        <v>42458</v>
      </c>
      <c r="I46" s="85"/>
      <c r="J46" s="85">
        <f>SUM(H46:I46)</f>
        <v>42458</v>
      </c>
    </row>
    <row r="47" spans="1:10">
      <c r="B47" t="s">
        <v>544</v>
      </c>
      <c r="H47" s="91">
        <v>663515</v>
      </c>
      <c r="I47" s="85"/>
      <c r="J47" s="85">
        <f t="shared" ref="J47:J48" si="2">SUM(H47:I47)</f>
        <v>663515</v>
      </c>
    </row>
    <row r="48" spans="1:10">
      <c r="B48" t="s">
        <v>42</v>
      </c>
      <c r="H48" s="98">
        <v>4064056</v>
      </c>
      <c r="I48" s="85">
        <v>1696922</v>
      </c>
      <c r="J48" s="85">
        <f t="shared" si="2"/>
        <v>5760978</v>
      </c>
    </row>
    <row r="49" spans="3:10">
      <c r="H49" s="83"/>
      <c r="I49" s="83"/>
      <c r="J49" s="83"/>
    </row>
    <row r="50" spans="3:10" s="3" customFormat="1">
      <c r="C50" s="10" t="s">
        <v>43</v>
      </c>
      <c r="D50" s="10"/>
      <c r="E50" s="10"/>
      <c r="F50" s="10"/>
      <c r="G50" s="10"/>
      <c r="H50" s="99">
        <f>SUM(H45:H48)</f>
        <v>14276344</v>
      </c>
      <c r="I50" s="99">
        <f>SUM(I45:I48)</f>
        <v>3270103</v>
      </c>
      <c r="J50" s="99">
        <f>SUM(J44:J48)</f>
        <v>17546447</v>
      </c>
    </row>
    <row r="51" spans="3:10">
      <c r="H51" s="85"/>
      <c r="I51" s="85"/>
      <c r="J51" s="85"/>
    </row>
    <row r="52" spans="3:10" s="3" customFormat="1">
      <c r="C52" s="11" t="s">
        <v>44</v>
      </c>
      <c r="D52" s="11"/>
      <c r="E52" s="11"/>
      <c r="F52" s="11"/>
      <c r="G52" s="11"/>
      <c r="H52" s="100">
        <f>SUM(H42+H50)</f>
        <v>17110904</v>
      </c>
      <c r="I52" s="100">
        <f>SUM(I50+I42)</f>
        <v>4755293</v>
      </c>
      <c r="J52" s="100">
        <f>SUM(J50+J42)</f>
        <v>21866197</v>
      </c>
    </row>
    <row r="53" spans="3:10">
      <c r="H53" s="85"/>
      <c r="I53" s="85"/>
      <c r="J53" s="85"/>
    </row>
  </sheetData>
  <mergeCells count="2">
    <mergeCell ref="D1:H1"/>
    <mergeCell ref="D2:H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42"/>
  <sheetViews>
    <sheetView workbookViewId="0">
      <selection activeCell="G32" sqref="G32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545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1" ht="31.5" customHeight="1">
      <c r="H4" s="110" t="s">
        <v>3</v>
      </c>
      <c r="I4" s="110" t="s">
        <v>137</v>
      </c>
      <c r="J4" s="111" t="s">
        <v>64</v>
      </c>
      <c r="K4" s="5"/>
    </row>
    <row r="5" spans="1:11">
      <c r="A5" s="3" t="s">
        <v>5</v>
      </c>
      <c r="D5" s="3"/>
      <c r="G5" s="4"/>
      <c r="H5" s="4"/>
      <c r="I5" s="4"/>
    </row>
    <row r="6" spans="1:11">
      <c r="C6" t="s">
        <v>546</v>
      </c>
      <c r="H6" s="79">
        <v>23148572</v>
      </c>
      <c r="I6" s="85"/>
      <c r="J6" s="85">
        <f>SUM(H6:I6)</f>
        <v>23148572</v>
      </c>
    </row>
    <row r="7" spans="1:11">
      <c r="C7" t="s">
        <v>46</v>
      </c>
      <c r="H7" s="80">
        <v>11004695</v>
      </c>
      <c r="I7" s="85">
        <v>368645</v>
      </c>
      <c r="J7" s="85">
        <f t="shared" ref="J7:J8" si="0">SUM(H7:I7)</f>
        <v>11373340</v>
      </c>
    </row>
    <row r="8" spans="1:11">
      <c r="C8" t="s">
        <v>67</v>
      </c>
      <c r="H8" s="81">
        <v>204890</v>
      </c>
      <c r="I8" s="85"/>
      <c r="J8" s="85">
        <f t="shared" si="0"/>
        <v>204890</v>
      </c>
    </row>
    <row r="9" spans="1:11">
      <c r="C9" t="s">
        <v>47</v>
      </c>
      <c r="H9" s="95">
        <v>183431</v>
      </c>
      <c r="I9" s="85"/>
      <c r="J9" s="85">
        <f>SUM(H9:I9)</f>
        <v>183431</v>
      </c>
    </row>
    <row r="10" spans="1:11" s="5" customFormat="1">
      <c r="C10" t="s">
        <v>14</v>
      </c>
      <c r="H10" s="85"/>
      <c r="I10" s="85"/>
      <c r="J10" s="85"/>
    </row>
    <row r="11" spans="1:11">
      <c r="D11" t="s">
        <v>15</v>
      </c>
      <c r="H11" s="82">
        <v>10938131</v>
      </c>
      <c r="I11" s="85"/>
      <c r="J11" s="85">
        <f>SUM(H11:I11)</f>
        <v>10938131</v>
      </c>
    </row>
    <row r="12" spans="1:11">
      <c r="D12" t="s">
        <v>141</v>
      </c>
      <c r="H12" s="82">
        <v>59422704</v>
      </c>
      <c r="I12" s="85"/>
      <c r="J12" s="85">
        <f>SUM(H12:I12)</f>
        <v>59422704</v>
      </c>
    </row>
    <row r="13" spans="1:11">
      <c r="H13" s="83"/>
      <c r="I13" s="83"/>
      <c r="J13" s="83"/>
    </row>
    <row r="14" spans="1:11" s="5" customFormat="1">
      <c r="C14" s="6" t="s">
        <v>17</v>
      </c>
      <c r="D14" s="6"/>
      <c r="E14" s="6"/>
      <c r="F14" s="6"/>
      <c r="G14" s="6"/>
      <c r="H14" s="84">
        <f>SUM(H6:H12)</f>
        <v>104902423</v>
      </c>
      <c r="I14" s="84">
        <f t="shared" ref="I14:J14" si="1">SUM(I6:I12)</f>
        <v>368645</v>
      </c>
      <c r="J14" s="84">
        <f t="shared" si="1"/>
        <v>105271068</v>
      </c>
    </row>
    <row r="15" spans="1:11">
      <c r="H15" s="85"/>
      <c r="I15" s="85"/>
      <c r="J15" s="85"/>
    </row>
    <row r="16" spans="1:11">
      <c r="A16" s="5" t="s">
        <v>20</v>
      </c>
      <c r="H16" s="85"/>
      <c r="I16" s="85"/>
      <c r="J16" s="85"/>
    </row>
    <row r="17" spans="1:10">
      <c r="C17" t="s">
        <v>21</v>
      </c>
      <c r="H17" s="86">
        <v>76361</v>
      </c>
      <c r="I17" s="85">
        <v>209728</v>
      </c>
      <c r="J17" s="85">
        <f t="shared" ref="J17:J24" si="2">SUM(H17:I17)</f>
        <v>286089</v>
      </c>
    </row>
    <row r="18" spans="1:10">
      <c r="C18" t="s">
        <v>67</v>
      </c>
      <c r="H18" s="114"/>
      <c r="I18" s="85">
        <v>204890</v>
      </c>
      <c r="J18" s="85">
        <f t="shared" si="2"/>
        <v>204890</v>
      </c>
    </row>
    <row r="19" spans="1:10">
      <c r="C19" t="s">
        <v>25</v>
      </c>
      <c r="H19" s="116">
        <v>231068</v>
      </c>
      <c r="I19" s="85"/>
      <c r="J19" s="85">
        <f t="shared" si="2"/>
        <v>231068</v>
      </c>
    </row>
    <row r="20" spans="1:10">
      <c r="C20" t="s">
        <v>211</v>
      </c>
      <c r="H20" s="131">
        <v>93304</v>
      </c>
      <c r="I20" s="85"/>
      <c r="J20" s="85">
        <f t="shared" si="2"/>
        <v>93304</v>
      </c>
    </row>
    <row r="21" spans="1:10">
      <c r="C21" t="s">
        <v>98</v>
      </c>
      <c r="H21" s="112">
        <v>308916</v>
      </c>
      <c r="I21" s="85">
        <v>2293</v>
      </c>
      <c r="J21" s="85">
        <f t="shared" si="2"/>
        <v>311209</v>
      </c>
    </row>
    <row r="22" spans="1:10">
      <c r="C22" t="s">
        <v>27</v>
      </c>
      <c r="H22" s="114"/>
      <c r="I22" s="85"/>
      <c r="J22" s="85"/>
    </row>
    <row r="23" spans="1:10">
      <c r="D23" t="s">
        <v>547</v>
      </c>
      <c r="H23" s="87">
        <v>1781000</v>
      </c>
      <c r="I23" s="85"/>
      <c r="J23" s="85">
        <f>SUM(H23:I23)</f>
        <v>1781000</v>
      </c>
    </row>
    <row r="24" spans="1:10">
      <c r="D24" t="s">
        <v>548</v>
      </c>
      <c r="H24" s="80">
        <v>22494000</v>
      </c>
      <c r="I24" s="85"/>
      <c r="J24" s="85">
        <f t="shared" si="2"/>
        <v>22494000</v>
      </c>
    </row>
    <row r="25" spans="1:10" s="5" customFormat="1">
      <c r="C25"/>
      <c r="D25" t="s">
        <v>549</v>
      </c>
      <c r="H25" s="97">
        <v>193138</v>
      </c>
      <c r="I25" s="105"/>
      <c r="J25" s="85">
        <f t="shared" ref="J25:J26" si="3">SUM(H25:I25)</f>
        <v>193138</v>
      </c>
    </row>
    <row r="26" spans="1:10" s="5" customFormat="1">
      <c r="C26"/>
      <c r="D26" t="s">
        <v>550</v>
      </c>
      <c r="H26" s="79">
        <v>150518</v>
      </c>
      <c r="I26" s="105"/>
      <c r="J26" s="85">
        <f t="shared" si="3"/>
        <v>150518</v>
      </c>
    </row>
    <row r="27" spans="1:10">
      <c r="D27" t="s">
        <v>551</v>
      </c>
      <c r="H27" s="81">
        <v>5646858</v>
      </c>
      <c r="I27" s="85"/>
      <c r="J27" s="85">
        <f>SUM(H27:I27)</f>
        <v>5646858</v>
      </c>
    </row>
    <row r="28" spans="1:10">
      <c r="D28" t="s">
        <v>96</v>
      </c>
      <c r="H28" s="88">
        <v>410568</v>
      </c>
      <c r="I28" s="85"/>
      <c r="J28" s="85">
        <f>SUM(H28:I28)</f>
        <v>410568</v>
      </c>
    </row>
    <row r="29" spans="1:10">
      <c r="H29" s="83"/>
      <c r="I29" s="83"/>
      <c r="J29" s="83"/>
    </row>
    <row r="30" spans="1:10">
      <c r="D30" s="8" t="s">
        <v>33</v>
      </c>
      <c r="E30" s="9"/>
      <c r="F30" s="9"/>
      <c r="G30" s="9"/>
      <c r="H30" s="89">
        <f>SUM(H17:H28)</f>
        <v>31385731</v>
      </c>
      <c r="I30" s="89">
        <f t="shared" ref="I30:J30" si="4">SUM(I17:I28)</f>
        <v>416911</v>
      </c>
      <c r="J30" s="89">
        <f t="shared" si="4"/>
        <v>31802642</v>
      </c>
    </row>
    <row r="31" spans="1:10">
      <c r="H31" s="85"/>
      <c r="I31" s="85"/>
      <c r="J31" s="85"/>
    </row>
    <row r="32" spans="1:10">
      <c r="A32" s="3" t="s">
        <v>36</v>
      </c>
      <c r="H32" s="85"/>
      <c r="I32" s="85"/>
      <c r="J32" s="85"/>
    </row>
    <row r="33" spans="2:10">
      <c r="B33" t="s">
        <v>37</v>
      </c>
      <c r="H33" s="90">
        <v>45511111</v>
      </c>
      <c r="I33" s="85"/>
      <c r="J33" s="85">
        <f>SUM(H33:I33)</f>
        <v>45511111</v>
      </c>
    </row>
    <row r="34" spans="2:10">
      <c r="B34" t="s">
        <v>38</v>
      </c>
      <c r="H34" s="85"/>
      <c r="I34" s="85"/>
      <c r="J34" s="85"/>
    </row>
    <row r="35" spans="2:10">
      <c r="C35" t="s">
        <v>39</v>
      </c>
      <c r="H35" s="91">
        <v>4608471</v>
      </c>
      <c r="I35" s="85"/>
      <c r="J35" s="85">
        <f t="shared" ref="J35" si="5">SUM(H35:I35)</f>
        <v>4608471</v>
      </c>
    </row>
    <row r="36" spans="2:10">
      <c r="C36" t="s">
        <v>41</v>
      </c>
      <c r="H36" s="91">
        <v>24603290</v>
      </c>
      <c r="I36" s="85">
        <v>30996</v>
      </c>
      <c r="J36" s="85">
        <f>SUM(H36:I36)</f>
        <v>24634286</v>
      </c>
    </row>
    <row r="37" spans="2:10">
      <c r="B37" t="s">
        <v>163</v>
      </c>
      <c r="H37" s="98">
        <v>-1893420</v>
      </c>
      <c r="I37" s="85">
        <v>-79262</v>
      </c>
      <c r="J37" s="85">
        <f t="shared" ref="J37" si="6">SUM(H37:I37)</f>
        <v>-1972682</v>
      </c>
    </row>
    <row r="38" spans="2:10">
      <c r="H38" s="83"/>
      <c r="I38" s="83"/>
      <c r="J38" s="83"/>
    </row>
    <row r="39" spans="2:10" s="3" customFormat="1">
      <c r="C39" s="10" t="s">
        <v>43</v>
      </c>
      <c r="D39" s="10"/>
      <c r="E39" s="10"/>
      <c r="F39" s="10"/>
      <c r="G39" s="10"/>
      <c r="H39" s="99">
        <f>SUM(H33:H37)</f>
        <v>72829452</v>
      </c>
      <c r="I39" s="99">
        <f>SUM(I33:I37)</f>
        <v>-48266</v>
      </c>
      <c r="J39" s="99">
        <f>SUM(J32:J37)</f>
        <v>72781186</v>
      </c>
    </row>
    <row r="40" spans="2:10">
      <c r="H40" s="85"/>
      <c r="I40" s="85"/>
      <c r="J40" s="85"/>
    </row>
    <row r="41" spans="2:10" s="3" customFormat="1">
      <c r="C41" s="11" t="s">
        <v>44</v>
      </c>
      <c r="D41" s="11"/>
      <c r="E41" s="11"/>
      <c r="F41" s="11"/>
      <c r="G41" s="11"/>
      <c r="H41" s="100">
        <f>SUM(H30+H39)</f>
        <v>104215183</v>
      </c>
      <c r="I41" s="100">
        <f>SUM(I39+I30)</f>
        <v>368645</v>
      </c>
      <c r="J41" s="100">
        <f>SUM(J39+J30)</f>
        <v>104583828</v>
      </c>
    </row>
    <row r="42" spans="2:10">
      <c r="H42" s="85"/>
      <c r="I42" s="85"/>
      <c r="J42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75"/>
  <sheetViews>
    <sheetView topLeftCell="A36" workbookViewId="0">
      <selection activeCell="H42" sqref="H42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</cols>
  <sheetData>
    <row r="1" spans="1:11" ht="18.75" customHeight="1">
      <c r="A1" s="1"/>
      <c r="B1" s="1"/>
      <c r="C1" s="1"/>
      <c r="D1" s="202" t="s">
        <v>552</v>
      </c>
      <c r="E1" s="202"/>
      <c r="F1" s="202"/>
      <c r="G1" s="202"/>
      <c r="H1" s="202"/>
      <c r="I1" s="102"/>
      <c r="J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1" ht="14.25" customHeight="1">
      <c r="H4" s="204" t="s">
        <v>2</v>
      </c>
      <c r="I4" s="204"/>
      <c r="J4" s="204"/>
    </row>
    <row r="5" spans="1:11" ht="31.5" customHeight="1">
      <c r="H5" s="104" t="s">
        <v>3</v>
      </c>
      <c r="I5" s="104" t="s">
        <v>63</v>
      </c>
      <c r="J5" s="104" t="s">
        <v>64</v>
      </c>
      <c r="K5" s="85"/>
    </row>
    <row r="6" spans="1:11">
      <c r="A6" s="3" t="s">
        <v>5</v>
      </c>
      <c r="D6" s="3"/>
      <c r="G6" s="4"/>
      <c r="H6" s="78"/>
      <c r="I6" s="78"/>
      <c r="J6" s="78"/>
      <c r="K6" s="85"/>
    </row>
    <row r="7" spans="1:11">
      <c r="A7" s="3"/>
      <c r="B7" s="5" t="s">
        <v>6</v>
      </c>
      <c r="D7" s="3"/>
      <c r="G7" s="4"/>
      <c r="H7" s="78"/>
      <c r="I7" s="78"/>
      <c r="J7" s="78"/>
      <c r="K7" s="85"/>
    </row>
    <row r="8" spans="1:11">
      <c r="C8" t="s">
        <v>65</v>
      </c>
      <c r="H8" s="79">
        <v>4392344</v>
      </c>
      <c r="I8" s="85">
        <v>230569</v>
      </c>
      <c r="J8" s="85">
        <f t="shared" ref="J8:J14" si="0">SUM(H8:I8)</f>
        <v>4622913</v>
      </c>
      <c r="K8" s="85"/>
    </row>
    <row r="9" spans="1:11">
      <c r="C9" t="s">
        <v>8</v>
      </c>
      <c r="H9" s="86">
        <v>14775501</v>
      </c>
      <c r="I9" s="85">
        <v>1996024</v>
      </c>
      <c r="J9" s="85">
        <f t="shared" si="0"/>
        <v>16771525</v>
      </c>
      <c r="K9" s="85"/>
    </row>
    <row r="10" spans="1:11">
      <c r="C10" t="s">
        <v>553</v>
      </c>
      <c r="H10" s="80">
        <v>1166958</v>
      </c>
      <c r="I10" s="85">
        <v>515375</v>
      </c>
      <c r="J10" s="85">
        <f t="shared" si="0"/>
        <v>1682333</v>
      </c>
      <c r="K10" s="85"/>
    </row>
    <row r="11" spans="1:11">
      <c r="C11" t="s">
        <v>13</v>
      </c>
      <c r="H11" s="95">
        <v>1975880</v>
      </c>
      <c r="I11" s="85"/>
      <c r="J11" s="85">
        <f t="shared" si="0"/>
        <v>1975880</v>
      </c>
      <c r="K11" s="85"/>
    </row>
    <row r="12" spans="1:11">
      <c r="C12" t="s">
        <v>47</v>
      </c>
      <c r="H12" s="95">
        <v>10764256</v>
      </c>
      <c r="I12" s="85">
        <v>101291</v>
      </c>
      <c r="J12" s="85">
        <f t="shared" si="0"/>
        <v>10865547</v>
      </c>
      <c r="K12" s="85"/>
    </row>
    <row r="13" spans="1:11">
      <c r="C13" t="s">
        <v>69</v>
      </c>
      <c r="H13" s="81">
        <v>4220</v>
      </c>
      <c r="I13" s="85"/>
      <c r="J13" s="85">
        <f t="shared" si="0"/>
        <v>4220</v>
      </c>
      <c r="K13" s="85"/>
    </row>
    <row r="14" spans="1:11">
      <c r="C14" t="s">
        <v>67</v>
      </c>
      <c r="H14" s="81">
        <v>-8111173</v>
      </c>
      <c r="I14" s="85">
        <v>8111173</v>
      </c>
      <c r="J14" s="85">
        <f t="shared" si="0"/>
        <v>0</v>
      </c>
      <c r="K14" s="85"/>
    </row>
    <row r="15" spans="1:11">
      <c r="H15" s="83"/>
      <c r="I15" s="83"/>
      <c r="J15" s="83"/>
      <c r="K15" s="85"/>
    </row>
    <row r="16" spans="1:11" s="5" customFormat="1">
      <c r="C16" s="107" t="s">
        <v>105</v>
      </c>
      <c r="D16" s="107"/>
      <c r="E16" s="107"/>
      <c r="F16" s="107"/>
      <c r="G16" s="107"/>
      <c r="H16" s="108">
        <f>SUM(H8:H14)</f>
        <v>24967986</v>
      </c>
      <c r="I16" s="108">
        <f>SUM(I8:I14)</f>
        <v>10954432</v>
      </c>
      <c r="J16" s="108">
        <f>SUM(J8:J14)</f>
        <v>35922418</v>
      </c>
      <c r="K16" s="105"/>
    </row>
    <row r="17" spans="2:11">
      <c r="H17" s="85"/>
      <c r="I17" s="85"/>
      <c r="J17" s="85"/>
      <c r="K17" s="85"/>
    </row>
    <row r="18" spans="2:11">
      <c r="B18" s="5" t="s">
        <v>340</v>
      </c>
      <c r="H18" s="85"/>
      <c r="I18" s="85"/>
      <c r="J18" s="85"/>
      <c r="K18" s="85"/>
    </row>
    <row r="19" spans="2:11">
      <c r="C19" t="s">
        <v>138</v>
      </c>
      <c r="H19" s="85"/>
      <c r="I19" s="85">
        <v>2279994</v>
      </c>
      <c r="J19" s="85">
        <f>SUM(H19:I19)</f>
        <v>2279994</v>
      </c>
      <c r="K19" s="85"/>
    </row>
    <row r="20" spans="2:11">
      <c r="C20" t="s">
        <v>554</v>
      </c>
      <c r="H20" s="85"/>
      <c r="I20" s="85">
        <v>829958</v>
      </c>
      <c r="J20" s="85">
        <f>SUM(H20:I20)</f>
        <v>829958</v>
      </c>
      <c r="K20" s="85"/>
    </row>
    <row r="21" spans="2:11">
      <c r="H21" s="83"/>
      <c r="I21" s="83"/>
      <c r="J21" s="83">
        <f>SUM(H21:I21)</f>
        <v>0</v>
      </c>
      <c r="K21" s="85"/>
    </row>
    <row r="22" spans="2:11">
      <c r="C22" s="138" t="s">
        <v>507</v>
      </c>
      <c r="D22" s="135"/>
      <c r="E22" s="135"/>
      <c r="F22" s="135"/>
      <c r="G22" s="135"/>
      <c r="H22" s="139"/>
      <c r="I22" s="139">
        <f>SUM(I19:I20)</f>
        <v>3109952</v>
      </c>
      <c r="J22" s="139">
        <f t="shared" ref="J22" si="1">SUM(J19:J20)</f>
        <v>3109952</v>
      </c>
      <c r="K22" s="85"/>
    </row>
    <row r="23" spans="2:11">
      <c r="H23" s="85"/>
      <c r="I23" s="85"/>
      <c r="J23" s="85"/>
      <c r="K23" s="85"/>
    </row>
    <row r="24" spans="2:11">
      <c r="B24" s="5" t="s">
        <v>397</v>
      </c>
      <c r="H24" s="85"/>
      <c r="I24" s="85"/>
      <c r="J24" s="85"/>
      <c r="K24" s="85"/>
    </row>
    <row r="25" spans="2:11">
      <c r="C25" t="s">
        <v>555</v>
      </c>
      <c r="H25" s="82">
        <v>1870876</v>
      </c>
      <c r="I25" s="85">
        <v>3802599</v>
      </c>
      <c r="J25" s="85">
        <f>SUM(H25:I25)</f>
        <v>5673475</v>
      </c>
      <c r="K25" s="85"/>
    </row>
    <row r="26" spans="2:11">
      <c r="C26" t="s">
        <v>556</v>
      </c>
      <c r="H26" s="82">
        <v>10520454</v>
      </c>
      <c r="I26" s="85">
        <v>152238</v>
      </c>
      <c r="J26" s="85">
        <f t="shared" ref="J26:J32" si="2">SUM(H26:I26)</f>
        <v>10672692</v>
      </c>
      <c r="K26" s="85"/>
    </row>
    <row r="27" spans="2:11">
      <c r="C27" t="s">
        <v>557</v>
      </c>
      <c r="H27" s="85"/>
      <c r="I27" s="85"/>
      <c r="J27" s="85">
        <f t="shared" si="2"/>
        <v>0</v>
      </c>
      <c r="K27" s="85"/>
    </row>
    <row r="28" spans="2:11">
      <c r="D28" t="s">
        <v>558</v>
      </c>
      <c r="H28" s="82">
        <v>13744984</v>
      </c>
      <c r="I28" s="85">
        <v>14748782</v>
      </c>
      <c r="J28" s="85">
        <f t="shared" si="2"/>
        <v>28493766</v>
      </c>
      <c r="K28" s="85"/>
    </row>
    <row r="29" spans="2:11">
      <c r="C29" t="s">
        <v>559</v>
      </c>
      <c r="H29" s="85"/>
      <c r="I29" s="85"/>
      <c r="J29" s="85">
        <f t="shared" si="2"/>
        <v>0</v>
      </c>
      <c r="K29" s="85"/>
    </row>
    <row r="30" spans="2:11">
      <c r="D30" t="s">
        <v>560</v>
      </c>
      <c r="H30" s="82">
        <v>2023025</v>
      </c>
      <c r="I30" s="85">
        <v>2065040</v>
      </c>
      <c r="J30" s="85">
        <f t="shared" si="2"/>
        <v>4088065</v>
      </c>
      <c r="K30" s="85"/>
    </row>
    <row r="31" spans="2:11">
      <c r="C31" t="s">
        <v>561</v>
      </c>
      <c r="H31" s="82">
        <v>78560660</v>
      </c>
      <c r="I31" s="85"/>
      <c r="J31" s="85">
        <f t="shared" si="2"/>
        <v>78560660</v>
      </c>
      <c r="K31" s="85"/>
    </row>
    <row r="32" spans="2:11">
      <c r="C32" t="s">
        <v>125</v>
      </c>
      <c r="H32" s="82">
        <v>1887343</v>
      </c>
      <c r="I32" s="85">
        <v>314569</v>
      </c>
      <c r="J32" s="85">
        <f t="shared" si="2"/>
        <v>2201912</v>
      </c>
      <c r="K32" s="85"/>
    </row>
    <row r="33" spans="1:11">
      <c r="H33" s="83"/>
      <c r="I33" s="83"/>
      <c r="J33" s="83"/>
      <c r="K33" s="85"/>
    </row>
    <row r="34" spans="1:11" s="5" customFormat="1">
      <c r="C34" s="107" t="s">
        <v>344</v>
      </c>
      <c r="D34" s="107"/>
      <c r="E34" s="107"/>
      <c r="F34" s="107"/>
      <c r="G34" s="107"/>
      <c r="H34" s="108">
        <f>SUM(H25:H32)</f>
        <v>108607342</v>
      </c>
      <c r="I34" s="108">
        <f>SUM(I25:I32)</f>
        <v>21083228</v>
      </c>
      <c r="J34" s="108">
        <f>SUM(J25:J32)</f>
        <v>129690570</v>
      </c>
      <c r="K34" s="105"/>
    </row>
    <row r="35" spans="1:11">
      <c r="H35" s="85"/>
      <c r="I35" s="85"/>
      <c r="J35" s="85"/>
      <c r="K35" s="85"/>
    </row>
    <row r="36" spans="1:11" s="5" customFormat="1">
      <c r="C36" s="6" t="s">
        <v>17</v>
      </c>
      <c r="D36" s="6"/>
      <c r="E36" s="6"/>
      <c r="F36" s="6"/>
      <c r="G36" s="6"/>
      <c r="H36" s="84">
        <f>SUM(H34+H22+H16)</f>
        <v>133575328</v>
      </c>
      <c r="I36" s="84">
        <f>SUM(I34+I22+I16)</f>
        <v>35147612</v>
      </c>
      <c r="J36" s="84">
        <f>SUM(J34+J22+J16)</f>
        <v>168722940</v>
      </c>
      <c r="K36" s="105"/>
    </row>
    <row r="37" spans="1:11">
      <c r="H37" s="85"/>
      <c r="I37" s="85"/>
      <c r="J37" s="85"/>
      <c r="K37" s="85"/>
    </row>
    <row r="38" spans="1:11" s="5" customFormat="1">
      <c r="A38" s="5" t="s">
        <v>562</v>
      </c>
      <c r="H38" s="105"/>
      <c r="I38" s="105">
        <v>245000</v>
      </c>
      <c r="J38" s="105">
        <f>I38</f>
        <v>245000</v>
      </c>
      <c r="K38" s="105"/>
    </row>
    <row r="39" spans="1:11" s="5" customFormat="1">
      <c r="C39" s="5" t="s">
        <v>228</v>
      </c>
      <c r="H39" s="124"/>
      <c r="I39" s="124"/>
      <c r="J39" s="124"/>
      <c r="K39" s="105"/>
    </row>
    <row r="40" spans="1:11" s="5" customFormat="1">
      <c r="H40" s="105"/>
      <c r="I40" s="105"/>
      <c r="J40" s="105"/>
      <c r="K40" s="105"/>
    </row>
    <row r="41" spans="1:11" s="5" customFormat="1">
      <c r="C41" s="5" t="s">
        <v>73</v>
      </c>
      <c r="H41" s="140">
        <f>H36</f>
        <v>133575328</v>
      </c>
      <c r="I41" s="140">
        <f>SUM(I36:I38)</f>
        <v>35392612</v>
      </c>
      <c r="J41" s="140">
        <f>SUM(J36:J38)</f>
        <v>168967940</v>
      </c>
      <c r="K41" s="105"/>
    </row>
    <row r="42" spans="1:11">
      <c r="H42" s="85"/>
      <c r="I42" s="85"/>
      <c r="J42" s="85"/>
      <c r="K42" s="85"/>
    </row>
    <row r="43" spans="1:11">
      <c r="A43" s="5" t="s">
        <v>20</v>
      </c>
      <c r="H43" s="85"/>
      <c r="I43" s="85"/>
      <c r="J43" s="85"/>
      <c r="K43" s="85"/>
    </row>
    <row r="44" spans="1:11">
      <c r="A44" s="5"/>
      <c r="B44" s="5" t="s">
        <v>142</v>
      </c>
      <c r="H44" s="85"/>
      <c r="I44" s="85"/>
      <c r="J44" s="85"/>
      <c r="K44" s="85"/>
    </row>
    <row r="45" spans="1:11">
      <c r="C45" t="s">
        <v>372</v>
      </c>
      <c r="H45" s="86">
        <v>1093698</v>
      </c>
      <c r="I45" s="85">
        <v>327975</v>
      </c>
      <c r="J45" s="85">
        <f t="shared" ref="J45:J50" si="3">SUM(H45:I45)</f>
        <v>1421673</v>
      </c>
      <c r="K45" s="85"/>
    </row>
    <row r="46" spans="1:11">
      <c r="C46" t="s">
        <v>22</v>
      </c>
      <c r="H46" s="86">
        <v>159540</v>
      </c>
      <c r="I46" s="85">
        <v>10932</v>
      </c>
      <c r="J46" s="85">
        <f t="shared" si="3"/>
        <v>170472</v>
      </c>
      <c r="K46" s="85"/>
    </row>
    <row r="47" spans="1:11">
      <c r="C47" t="s">
        <v>154</v>
      </c>
      <c r="H47" s="81">
        <v>428191</v>
      </c>
      <c r="I47" s="85"/>
      <c r="J47" s="85">
        <f t="shared" si="3"/>
        <v>428191</v>
      </c>
      <c r="K47" s="85"/>
    </row>
    <row r="48" spans="1:11">
      <c r="C48" t="s">
        <v>211</v>
      </c>
      <c r="H48" s="101">
        <v>663469</v>
      </c>
      <c r="I48" s="85"/>
      <c r="J48" s="85">
        <f t="shared" si="3"/>
        <v>663469</v>
      </c>
      <c r="K48" s="85"/>
    </row>
    <row r="49" spans="1:11">
      <c r="C49" t="s">
        <v>563</v>
      </c>
      <c r="H49" s="86">
        <v>273245</v>
      </c>
      <c r="I49" s="85"/>
      <c r="J49" s="85">
        <f t="shared" si="3"/>
        <v>273245</v>
      </c>
      <c r="K49" s="85"/>
    </row>
    <row r="50" spans="1:11">
      <c r="C50" t="s">
        <v>463</v>
      </c>
      <c r="H50" s="81">
        <v>2624000</v>
      </c>
      <c r="I50" s="85">
        <v>715000</v>
      </c>
      <c r="J50" s="85">
        <f t="shared" si="3"/>
        <v>3339000</v>
      </c>
      <c r="K50" s="85"/>
    </row>
    <row r="51" spans="1:11">
      <c r="H51" s="83"/>
      <c r="I51" s="83"/>
      <c r="J51" s="83"/>
      <c r="K51" s="85"/>
    </row>
    <row r="52" spans="1:11" s="5" customFormat="1">
      <c r="D52" s="107" t="s">
        <v>114</v>
      </c>
      <c r="E52" s="107"/>
      <c r="F52" s="107"/>
      <c r="G52" s="107"/>
      <c r="H52" s="108">
        <f>SUM(H45:H50)</f>
        <v>5242143</v>
      </c>
      <c r="I52" s="108">
        <f>SUM(I44:I50)</f>
        <v>1053907</v>
      </c>
      <c r="J52" s="108">
        <f>SUM(J45:J50)</f>
        <v>6296050</v>
      </c>
      <c r="K52" s="105"/>
    </row>
    <row r="53" spans="1:11">
      <c r="H53" s="85"/>
      <c r="I53" s="85"/>
      <c r="J53" s="85"/>
      <c r="K53" s="85"/>
    </row>
    <row r="54" spans="1:11">
      <c r="B54" s="5" t="s">
        <v>145</v>
      </c>
      <c r="H54" s="85"/>
      <c r="I54" s="85"/>
      <c r="J54" s="85"/>
      <c r="K54" s="85"/>
    </row>
    <row r="55" spans="1:11">
      <c r="C55" t="s">
        <v>135</v>
      </c>
      <c r="H55" s="81">
        <v>5880700</v>
      </c>
      <c r="I55" s="85">
        <v>867600</v>
      </c>
      <c r="J55" s="85">
        <f>SUM(H55:I55)</f>
        <v>6748300</v>
      </c>
      <c r="K55" s="85"/>
    </row>
    <row r="56" spans="1:11">
      <c r="C56" t="s">
        <v>30</v>
      </c>
      <c r="H56" s="88">
        <v>165000</v>
      </c>
      <c r="I56" s="85"/>
      <c r="J56" s="85">
        <f>SUM(H56:I56)</f>
        <v>165000</v>
      </c>
      <c r="K56" s="85"/>
    </row>
    <row r="57" spans="1:11">
      <c r="C57" t="s">
        <v>564</v>
      </c>
      <c r="H57" s="81">
        <v>22254694</v>
      </c>
      <c r="I57" s="85">
        <v>12891980</v>
      </c>
      <c r="J57" s="85">
        <f>SUM(H57:I57)</f>
        <v>35146674</v>
      </c>
      <c r="K57" s="85"/>
    </row>
    <row r="58" spans="1:11">
      <c r="C58" t="s">
        <v>565</v>
      </c>
      <c r="H58" s="85"/>
      <c r="I58" s="85">
        <v>3728000</v>
      </c>
      <c r="J58" s="85">
        <f>SUM(H58:I58)</f>
        <v>3728000</v>
      </c>
      <c r="K58" s="85"/>
    </row>
    <row r="59" spans="1:11">
      <c r="H59" s="83"/>
      <c r="I59" s="83"/>
      <c r="J59" s="83"/>
      <c r="K59" s="85"/>
    </row>
    <row r="60" spans="1:11" s="5" customFormat="1">
      <c r="D60" s="107" t="s">
        <v>146</v>
      </c>
      <c r="E60" s="107"/>
      <c r="F60" s="107"/>
      <c r="G60" s="107"/>
      <c r="H60" s="108">
        <f>SUM(H54:H58)</f>
        <v>28300394</v>
      </c>
      <c r="I60" s="108">
        <f>SUM(I54:I58)</f>
        <v>17487580</v>
      </c>
      <c r="J60" s="108">
        <f>SUM(J54:J58)</f>
        <v>45787974</v>
      </c>
      <c r="K60" s="105"/>
    </row>
    <row r="61" spans="1:11">
      <c r="H61" s="85"/>
      <c r="I61" s="85"/>
      <c r="J61" s="85"/>
      <c r="K61" s="85"/>
    </row>
    <row r="62" spans="1:11" s="5" customFormat="1">
      <c r="D62" s="8" t="s">
        <v>33</v>
      </c>
      <c r="E62" s="8"/>
      <c r="F62" s="8"/>
      <c r="G62" s="8"/>
      <c r="H62" s="89">
        <f>SUM(H52+H60)</f>
        <v>33542537</v>
      </c>
      <c r="I62" s="89">
        <f>SUM(I60+I52)</f>
        <v>18541487</v>
      </c>
      <c r="J62" s="89">
        <f>SUM(J52+J60)</f>
        <v>52084024</v>
      </c>
      <c r="K62" s="105"/>
    </row>
    <row r="63" spans="1:11">
      <c r="H63" s="85"/>
      <c r="I63" s="85"/>
      <c r="J63" s="85"/>
      <c r="K63" s="85"/>
    </row>
    <row r="64" spans="1:11">
      <c r="A64" s="3" t="s">
        <v>36</v>
      </c>
      <c r="H64" s="85"/>
      <c r="I64" s="85"/>
      <c r="J64" s="85"/>
      <c r="K64" s="85"/>
    </row>
    <row r="65" spans="2:11">
      <c r="B65" t="s">
        <v>117</v>
      </c>
      <c r="H65" s="90">
        <v>83404108</v>
      </c>
      <c r="I65" s="85">
        <v>7476248</v>
      </c>
      <c r="J65" s="85">
        <f>SUM(H65:I65)</f>
        <v>90880356</v>
      </c>
      <c r="K65" s="85"/>
    </row>
    <row r="66" spans="2:11">
      <c r="B66" t="s">
        <v>38</v>
      </c>
      <c r="H66" s="85"/>
      <c r="I66" s="85"/>
      <c r="J66" s="85"/>
      <c r="K66" s="85"/>
    </row>
    <row r="67" spans="2:11">
      <c r="C67" t="s">
        <v>39</v>
      </c>
      <c r="H67" s="91">
        <v>2327076</v>
      </c>
      <c r="I67" s="85">
        <v>788182</v>
      </c>
      <c r="J67" s="85">
        <f>SUM(H67:I67)</f>
        <v>3115258</v>
      </c>
      <c r="K67" s="85"/>
    </row>
    <row r="68" spans="2:11">
      <c r="C68" t="s">
        <v>91</v>
      </c>
      <c r="H68" s="91">
        <v>14118675</v>
      </c>
      <c r="I68" s="85">
        <v>-1554648</v>
      </c>
      <c r="J68" s="85">
        <f>SUM(H68:I68)</f>
        <v>12564027</v>
      </c>
      <c r="K68" s="85"/>
    </row>
    <row r="69" spans="2:11">
      <c r="B69" t="s">
        <v>42</v>
      </c>
      <c r="H69" s="98">
        <v>182932</v>
      </c>
      <c r="I69" s="85">
        <v>10141343</v>
      </c>
      <c r="J69" s="85">
        <f>SUM(H69:I69)</f>
        <v>10324275</v>
      </c>
      <c r="K69" s="85"/>
    </row>
    <row r="70" spans="2:11">
      <c r="H70" s="83"/>
      <c r="I70" s="83"/>
      <c r="J70" s="83"/>
      <c r="K70" s="85"/>
    </row>
    <row r="71" spans="2:11" s="3" customFormat="1">
      <c r="C71" s="10" t="s">
        <v>43</v>
      </c>
      <c r="D71" s="10"/>
      <c r="E71" s="10"/>
      <c r="F71" s="10"/>
      <c r="G71" s="10"/>
      <c r="H71" s="99">
        <f>SUM(H65:H69)</f>
        <v>100032791</v>
      </c>
      <c r="I71" s="99">
        <f>SUM(I65:I69)</f>
        <v>16851125</v>
      </c>
      <c r="J71" s="99">
        <f>SUM(J65:J69)</f>
        <v>116883916</v>
      </c>
      <c r="K71" s="106"/>
    </row>
    <row r="72" spans="2:11">
      <c r="H72" s="85"/>
      <c r="I72" s="85"/>
      <c r="J72" s="85"/>
      <c r="K72" s="85"/>
    </row>
    <row r="73" spans="2:11" s="3" customFormat="1">
      <c r="C73" s="11" t="s">
        <v>44</v>
      </c>
      <c r="D73" s="11"/>
      <c r="E73" s="11"/>
      <c r="F73" s="11"/>
      <c r="G73" s="11"/>
      <c r="H73" s="100">
        <f>SUM(H62+H71)</f>
        <v>133575328</v>
      </c>
      <c r="I73" s="100">
        <f>SUM(I71+I62)</f>
        <v>35392612</v>
      </c>
      <c r="J73" s="100">
        <f>SUM(J62+J71)</f>
        <v>168967940</v>
      </c>
      <c r="K73" s="106"/>
    </row>
    <row r="74" spans="2:11">
      <c r="H74" s="85"/>
      <c r="I74" s="85"/>
      <c r="J74" s="85"/>
      <c r="K74" s="85"/>
    </row>
    <row r="75" spans="2:11">
      <c r="H75" s="85"/>
      <c r="I75" s="85"/>
      <c r="J75" s="85"/>
      <c r="K75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58"/>
  <sheetViews>
    <sheetView topLeftCell="A17" workbookViewId="0">
      <selection activeCell="J56" sqref="J5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  <col min="12" max="12" width="17.7109375" customWidth="1"/>
  </cols>
  <sheetData>
    <row r="1" spans="1:13" ht="18.75" customHeight="1">
      <c r="A1" s="1"/>
      <c r="B1" s="1"/>
      <c r="C1" s="1"/>
      <c r="D1" s="202" t="s">
        <v>566</v>
      </c>
      <c r="E1" s="202"/>
      <c r="F1" s="202"/>
      <c r="G1" s="202"/>
      <c r="H1" s="202"/>
      <c r="I1" s="102"/>
      <c r="J1" s="102"/>
    </row>
    <row r="2" spans="1:13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4" spans="1:13" ht="14.25" customHeight="1">
      <c r="H4" s="204" t="s">
        <v>2</v>
      </c>
      <c r="I4" s="204"/>
      <c r="J4" s="204"/>
      <c r="K4" s="5"/>
      <c r="L4" s="5"/>
    </row>
    <row r="5" spans="1:13" ht="31.5" customHeight="1">
      <c r="H5" s="104" t="s">
        <v>3</v>
      </c>
      <c r="I5" s="104" t="s">
        <v>63</v>
      </c>
      <c r="J5" s="125" t="s">
        <v>64</v>
      </c>
      <c r="K5" s="125" t="s">
        <v>101</v>
      </c>
      <c r="L5" s="126" t="s">
        <v>64</v>
      </c>
      <c r="M5" s="85"/>
    </row>
    <row r="6" spans="1:13">
      <c r="A6" s="3" t="s">
        <v>5</v>
      </c>
      <c r="D6" s="3"/>
      <c r="G6" s="4"/>
      <c r="H6" s="78"/>
      <c r="I6" s="78"/>
      <c r="J6" s="78"/>
      <c r="K6" s="85"/>
      <c r="L6" s="85"/>
      <c r="M6" s="85"/>
    </row>
    <row r="7" spans="1:13">
      <c r="C7" t="s">
        <v>65</v>
      </c>
      <c r="H7" s="79">
        <v>33410917</v>
      </c>
      <c r="I7" s="85">
        <v>1487270</v>
      </c>
      <c r="J7" s="85">
        <f t="shared" ref="J7:J17" si="0">SUM(H7:I7)</f>
        <v>34898187</v>
      </c>
      <c r="K7" s="85">
        <v>30579366</v>
      </c>
      <c r="L7" s="85">
        <f t="shared" ref="L7:L17" si="1">SUM(J7:K7)</f>
        <v>65477553</v>
      </c>
      <c r="M7" s="85"/>
    </row>
    <row r="8" spans="1:13">
      <c r="C8" t="s">
        <v>8</v>
      </c>
      <c r="H8" s="86">
        <v>147136813</v>
      </c>
      <c r="I8" s="85">
        <v>9165500</v>
      </c>
      <c r="J8" s="85">
        <f t="shared" si="0"/>
        <v>156302313</v>
      </c>
      <c r="K8" s="85">
        <v>17696642</v>
      </c>
      <c r="L8" s="85">
        <f t="shared" si="1"/>
        <v>173998955</v>
      </c>
      <c r="M8" s="85"/>
    </row>
    <row r="9" spans="1:13">
      <c r="C9" t="s">
        <v>553</v>
      </c>
      <c r="H9" s="80">
        <v>49934017</v>
      </c>
      <c r="I9" s="85">
        <v>849148</v>
      </c>
      <c r="J9" s="85">
        <f t="shared" si="0"/>
        <v>50783165</v>
      </c>
      <c r="K9" s="85">
        <v>59452937</v>
      </c>
      <c r="L9" s="85">
        <f t="shared" si="1"/>
        <v>110236102</v>
      </c>
      <c r="M9" s="85"/>
    </row>
    <row r="10" spans="1:13">
      <c r="C10" t="s">
        <v>567</v>
      </c>
      <c r="H10" s="95">
        <v>24006</v>
      </c>
      <c r="I10" s="85"/>
      <c r="J10" s="85">
        <f t="shared" si="0"/>
        <v>24006</v>
      </c>
      <c r="K10" s="85">
        <v>8639997</v>
      </c>
      <c r="L10" s="85">
        <f t="shared" si="1"/>
        <v>8664003</v>
      </c>
      <c r="M10" s="85"/>
    </row>
    <row r="11" spans="1:13">
      <c r="C11" t="s">
        <v>48</v>
      </c>
      <c r="H11" s="85"/>
      <c r="I11" s="85"/>
      <c r="J11" s="85">
        <f t="shared" si="0"/>
        <v>0</v>
      </c>
      <c r="K11" s="85">
        <v>2274324</v>
      </c>
      <c r="L11" s="85">
        <f t="shared" si="1"/>
        <v>2274324</v>
      </c>
      <c r="M11" s="85"/>
    </row>
    <row r="12" spans="1:13">
      <c r="C12" t="s">
        <v>168</v>
      </c>
      <c r="H12" s="81">
        <v>87540</v>
      </c>
      <c r="I12" s="85"/>
      <c r="J12" s="85">
        <f t="shared" si="0"/>
        <v>87540</v>
      </c>
      <c r="K12" s="85">
        <v>570291</v>
      </c>
      <c r="L12" s="85">
        <f t="shared" si="1"/>
        <v>657831</v>
      </c>
      <c r="M12" s="85"/>
    </row>
    <row r="13" spans="1:13">
      <c r="C13" t="s">
        <v>68</v>
      </c>
      <c r="H13" s="81">
        <v>9765448</v>
      </c>
      <c r="I13" s="85">
        <v>4196582</v>
      </c>
      <c r="J13" s="85">
        <f t="shared" si="0"/>
        <v>13962030</v>
      </c>
      <c r="K13" s="85">
        <v>4149109</v>
      </c>
      <c r="L13" s="85">
        <f t="shared" si="1"/>
        <v>18111139</v>
      </c>
      <c r="M13" s="85"/>
    </row>
    <row r="14" spans="1:13">
      <c r="C14" t="s">
        <v>69</v>
      </c>
      <c r="H14" s="81">
        <v>2120</v>
      </c>
      <c r="I14" s="85">
        <v>13159</v>
      </c>
      <c r="J14" s="85">
        <f t="shared" si="0"/>
        <v>15279</v>
      </c>
      <c r="K14" s="85">
        <v>22974</v>
      </c>
      <c r="L14" s="85">
        <f t="shared" si="1"/>
        <v>38253</v>
      </c>
      <c r="M14" s="85"/>
    </row>
    <row r="15" spans="1:13">
      <c r="C15" t="s">
        <v>14</v>
      </c>
      <c r="H15" s="85"/>
      <c r="I15" s="85"/>
      <c r="J15" s="85">
        <f t="shared" si="0"/>
        <v>0</v>
      </c>
      <c r="K15" s="85"/>
      <c r="L15" s="85">
        <f t="shared" si="1"/>
        <v>0</v>
      </c>
      <c r="M15" s="85"/>
    </row>
    <row r="16" spans="1:13">
      <c r="D16" t="s">
        <v>568</v>
      </c>
      <c r="H16" s="82">
        <v>105108197</v>
      </c>
      <c r="I16" s="85">
        <v>1167018</v>
      </c>
      <c r="J16" s="85">
        <f>SUM(H16:I16)</f>
        <v>106275215</v>
      </c>
      <c r="K16" s="85">
        <v>11307617</v>
      </c>
      <c r="L16" s="85">
        <f t="shared" si="1"/>
        <v>117582832</v>
      </c>
      <c r="M16" s="85"/>
    </row>
    <row r="17" spans="1:13">
      <c r="D17" t="s">
        <v>152</v>
      </c>
      <c r="H17" s="82">
        <v>308418347</v>
      </c>
      <c r="I17" s="85">
        <v>39486517</v>
      </c>
      <c r="J17" s="85">
        <f t="shared" si="0"/>
        <v>347904864</v>
      </c>
      <c r="K17" s="85">
        <v>80491864</v>
      </c>
      <c r="L17" s="85">
        <f t="shared" si="1"/>
        <v>428396728</v>
      </c>
      <c r="M17" s="85"/>
    </row>
    <row r="18" spans="1:13">
      <c r="H18" s="83"/>
      <c r="I18" s="83"/>
      <c r="J18" s="83"/>
      <c r="K18" s="83"/>
      <c r="L18" s="83"/>
      <c r="M18" s="85"/>
    </row>
    <row r="19" spans="1:13" s="5" customFormat="1">
      <c r="C19" s="6" t="s">
        <v>17</v>
      </c>
      <c r="D19" s="6"/>
      <c r="E19" s="6"/>
      <c r="F19" s="6"/>
      <c r="G19" s="6"/>
      <c r="H19" s="84">
        <f>SUM(H7:H17)</f>
        <v>653887405</v>
      </c>
      <c r="I19" s="84">
        <f>SUM(I7:I17)</f>
        <v>56365194</v>
      </c>
      <c r="J19" s="84">
        <f>SUM(J7:J17)</f>
        <v>710252599</v>
      </c>
      <c r="K19" s="84">
        <f>SUM(K7:K17)</f>
        <v>215185121</v>
      </c>
      <c r="L19" s="84">
        <f>SUM(L7:L17)</f>
        <v>925437720</v>
      </c>
      <c r="M19" s="105"/>
    </row>
    <row r="20" spans="1:13">
      <c r="H20" s="85"/>
      <c r="I20" s="85"/>
      <c r="J20" s="85"/>
      <c r="K20" s="85"/>
      <c r="L20" s="85"/>
      <c r="M20" s="85"/>
    </row>
    <row r="21" spans="1:13">
      <c r="B21" s="5" t="s">
        <v>345</v>
      </c>
      <c r="H21" s="85"/>
      <c r="I21" s="85"/>
      <c r="J21" s="85"/>
      <c r="K21" s="85"/>
      <c r="L21" s="85"/>
      <c r="M21" s="85"/>
    </row>
    <row r="22" spans="1:13">
      <c r="C22" t="s">
        <v>569</v>
      </c>
      <c r="H22" s="85">
        <v>5106064</v>
      </c>
      <c r="I22" s="85"/>
      <c r="J22" s="85">
        <f>SUM(H22:I22)</f>
        <v>5106064</v>
      </c>
      <c r="K22" s="85">
        <v>296771</v>
      </c>
      <c r="L22" s="85">
        <f>SUM(J22:K22)</f>
        <v>5402835</v>
      </c>
      <c r="M22" s="85"/>
    </row>
    <row r="23" spans="1:13">
      <c r="H23" s="83"/>
      <c r="I23" s="83"/>
      <c r="J23" s="83"/>
      <c r="K23" s="83"/>
      <c r="L23" s="83"/>
      <c r="M23" s="85"/>
    </row>
    <row r="24" spans="1:13" s="5" customFormat="1">
      <c r="C24" s="107" t="s">
        <v>347</v>
      </c>
      <c r="D24" s="107"/>
      <c r="E24" s="107"/>
      <c r="F24" s="107"/>
      <c r="G24" s="107"/>
      <c r="H24" s="108">
        <f>SUM(H21:H22)</f>
        <v>5106064</v>
      </c>
      <c r="I24" s="108">
        <f>SUM(I22)</f>
        <v>0</v>
      </c>
      <c r="J24" s="108">
        <f>SUM(J22)</f>
        <v>5106064</v>
      </c>
      <c r="K24" s="108">
        <f>SUM(K22)</f>
        <v>296771</v>
      </c>
      <c r="L24" s="108">
        <f>SUM(L22)</f>
        <v>5402835</v>
      </c>
      <c r="M24" s="105"/>
    </row>
    <row r="25" spans="1:13">
      <c r="H25" s="85"/>
      <c r="I25" s="85"/>
      <c r="J25" s="85"/>
      <c r="K25" s="85"/>
      <c r="L25" s="85"/>
      <c r="M25" s="85"/>
    </row>
    <row r="26" spans="1:13">
      <c r="A26" s="5" t="s">
        <v>20</v>
      </c>
      <c r="H26" s="85"/>
      <c r="I26" s="85"/>
      <c r="J26" s="85"/>
      <c r="K26" s="85"/>
      <c r="L26" s="85"/>
      <c r="M26" s="85"/>
    </row>
    <row r="27" spans="1:13">
      <c r="C27" t="s">
        <v>126</v>
      </c>
      <c r="H27" s="86">
        <v>19836750</v>
      </c>
      <c r="I27" s="85">
        <v>675938</v>
      </c>
      <c r="J27" s="85">
        <f t="shared" ref="J27:J32" si="2">SUM(H27:I27)</f>
        <v>20512688</v>
      </c>
      <c r="K27" s="85">
        <v>3549524</v>
      </c>
      <c r="L27" s="85">
        <f t="shared" ref="L27:L35" si="3">SUM(J27:K27)</f>
        <v>24062212</v>
      </c>
      <c r="M27" s="85"/>
    </row>
    <row r="28" spans="1:13">
      <c r="C28" t="s">
        <v>486</v>
      </c>
      <c r="H28" s="85"/>
      <c r="I28" s="85"/>
      <c r="J28" s="85">
        <f t="shared" si="2"/>
        <v>0</v>
      </c>
      <c r="K28" s="85">
        <v>128082</v>
      </c>
      <c r="L28" s="85">
        <f t="shared" si="3"/>
        <v>128082</v>
      </c>
      <c r="M28" s="85"/>
    </row>
    <row r="29" spans="1:13">
      <c r="C29" t="s">
        <v>570</v>
      </c>
      <c r="H29" s="101">
        <v>8555724</v>
      </c>
      <c r="I29" s="85"/>
      <c r="J29" s="85">
        <f t="shared" si="2"/>
        <v>8555724</v>
      </c>
      <c r="K29" s="85">
        <v>108279</v>
      </c>
      <c r="L29" s="85">
        <f t="shared" si="3"/>
        <v>8664003</v>
      </c>
      <c r="M29" s="85"/>
    </row>
    <row r="30" spans="1:13">
      <c r="C30" t="s">
        <v>280</v>
      </c>
      <c r="H30" s="81">
        <v>3491906</v>
      </c>
      <c r="I30" s="85"/>
      <c r="J30" s="85">
        <f t="shared" si="2"/>
        <v>3491906</v>
      </c>
      <c r="K30" s="85">
        <v>734354</v>
      </c>
      <c r="L30" s="85">
        <f t="shared" si="3"/>
        <v>4226260</v>
      </c>
      <c r="M30" s="85"/>
    </row>
    <row r="31" spans="1:13">
      <c r="C31" t="s">
        <v>98</v>
      </c>
      <c r="H31" s="81">
        <v>2319255</v>
      </c>
      <c r="I31" s="85">
        <v>1163951</v>
      </c>
      <c r="J31" s="85">
        <f t="shared" si="2"/>
        <v>3483206</v>
      </c>
      <c r="K31" s="85">
        <v>111663</v>
      </c>
      <c r="L31" s="85">
        <f t="shared" si="3"/>
        <v>3594869</v>
      </c>
      <c r="M31" s="85"/>
    </row>
    <row r="32" spans="1:13">
      <c r="C32" t="s">
        <v>127</v>
      </c>
      <c r="H32" s="86">
        <v>634737</v>
      </c>
      <c r="I32" s="85">
        <v>826945</v>
      </c>
      <c r="J32" s="85">
        <f t="shared" si="2"/>
        <v>1461682</v>
      </c>
      <c r="K32" s="85">
        <v>471123</v>
      </c>
      <c r="L32" s="85">
        <f t="shared" si="3"/>
        <v>1932805</v>
      </c>
      <c r="M32" s="85"/>
    </row>
    <row r="33" spans="1:13">
      <c r="C33" t="s">
        <v>571</v>
      </c>
      <c r="H33" s="85"/>
      <c r="I33" s="85"/>
      <c r="J33" s="85"/>
      <c r="K33" s="85"/>
      <c r="L33" s="85">
        <f t="shared" si="3"/>
        <v>0</v>
      </c>
      <c r="M33" s="85"/>
    </row>
    <row r="34" spans="1:13">
      <c r="D34" t="s">
        <v>81</v>
      </c>
      <c r="H34" s="97">
        <v>9708024</v>
      </c>
      <c r="I34" s="85">
        <v>710000</v>
      </c>
      <c r="J34" s="85">
        <f>SUM(H34:I34)</f>
        <v>10418024</v>
      </c>
      <c r="K34" s="85">
        <v>4760420</v>
      </c>
      <c r="L34" s="85">
        <f t="shared" si="3"/>
        <v>15178444</v>
      </c>
      <c r="M34" s="85"/>
    </row>
    <row r="35" spans="1:13">
      <c r="D35" t="s">
        <v>82</v>
      </c>
      <c r="H35" s="79">
        <v>97673633</v>
      </c>
      <c r="I35" s="85">
        <v>41425586</v>
      </c>
      <c r="J35" s="85">
        <f>SUM(H35:I35)</f>
        <v>139099219</v>
      </c>
      <c r="K35" s="85">
        <v>31502713</v>
      </c>
      <c r="L35" s="85">
        <f t="shared" si="3"/>
        <v>170601932</v>
      </c>
      <c r="M35" s="85"/>
    </row>
    <row r="36" spans="1:13">
      <c r="H36" s="83"/>
      <c r="I36" s="83"/>
      <c r="J36" s="83"/>
      <c r="K36" s="83"/>
      <c r="L36" s="83"/>
      <c r="M36" s="85"/>
    </row>
    <row r="37" spans="1:13" s="5" customFormat="1">
      <c r="D37" s="8" t="s">
        <v>33</v>
      </c>
      <c r="E37" s="8"/>
      <c r="F37" s="8"/>
      <c r="G37" s="8"/>
      <c r="H37" s="89">
        <f>SUM(H27:H35)</f>
        <v>142220029</v>
      </c>
      <c r="I37" s="89">
        <f>SUM(I27:I35)</f>
        <v>44802420</v>
      </c>
      <c r="J37" s="89">
        <f>SUM(J27:J35)</f>
        <v>187022449</v>
      </c>
      <c r="K37" s="89">
        <f>SUM(K27:K35)</f>
        <v>41366158</v>
      </c>
      <c r="L37" s="89">
        <f>SUM(L27:L35)</f>
        <v>228388607</v>
      </c>
      <c r="M37" s="105"/>
    </row>
    <row r="38" spans="1:13">
      <c r="H38" s="85"/>
      <c r="I38" s="85"/>
      <c r="J38" s="85"/>
      <c r="K38" s="85"/>
      <c r="L38" s="85"/>
      <c r="M38" s="85"/>
    </row>
    <row r="39" spans="1:13">
      <c r="A39" s="3" t="s">
        <v>36</v>
      </c>
      <c r="H39" s="85"/>
      <c r="I39" s="85"/>
      <c r="J39" s="85"/>
      <c r="K39" s="85"/>
      <c r="L39" s="85"/>
      <c r="M39" s="85"/>
    </row>
    <row r="40" spans="1:13">
      <c r="B40" t="s">
        <v>37</v>
      </c>
      <c r="H40" s="90">
        <v>337361295</v>
      </c>
      <c r="I40" s="85">
        <v>-1482051</v>
      </c>
      <c r="J40" s="85">
        <f>SUM(H40:I40)</f>
        <v>335879244</v>
      </c>
      <c r="K40" s="85">
        <v>60872039</v>
      </c>
      <c r="L40" s="85">
        <f t="shared" ref="L40:L52" si="4">SUM(J40:K40)</f>
        <v>396751283</v>
      </c>
      <c r="M40" s="85"/>
    </row>
    <row r="41" spans="1:13">
      <c r="B41" t="s">
        <v>38</v>
      </c>
      <c r="H41" s="85"/>
      <c r="I41" s="85"/>
      <c r="J41" s="85">
        <f t="shared" ref="J41:J52" si="5">SUM(H41:I41)</f>
        <v>0</v>
      </c>
      <c r="K41" s="85"/>
      <c r="L41" s="85">
        <f t="shared" si="4"/>
        <v>0</v>
      </c>
      <c r="M41" s="85"/>
    </row>
    <row r="42" spans="1:13">
      <c r="C42" t="s">
        <v>572</v>
      </c>
      <c r="H42" s="91">
        <v>8167272</v>
      </c>
      <c r="I42" s="85">
        <v>457268</v>
      </c>
      <c r="J42" s="85">
        <f t="shared" si="5"/>
        <v>8624540</v>
      </c>
      <c r="K42" s="85">
        <v>3002091</v>
      </c>
      <c r="L42" s="85">
        <f t="shared" si="4"/>
        <v>11626631</v>
      </c>
      <c r="M42" s="85"/>
    </row>
    <row r="43" spans="1:13">
      <c r="C43" t="s">
        <v>130</v>
      </c>
      <c r="H43" s="91">
        <v>199753</v>
      </c>
      <c r="I43" s="85"/>
      <c r="J43" s="85">
        <f t="shared" si="5"/>
        <v>199753</v>
      </c>
      <c r="K43" s="85"/>
      <c r="L43" s="85">
        <f t="shared" si="4"/>
        <v>199753</v>
      </c>
      <c r="M43" s="85"/>
    </row>
    <row r="44" spans="1:13">
      <c r="C44" t="s">
        <v>39</v>
      </c>
      <c r="H44" s="91">
        <v>9765448</v>
      </c>
      <c r="I44" s="85">
        <v>3739314</v>
      </c>
      <c r="J44" s="85">
        <f t="shared" si="5"/>
        <v>13504762</v>
      </c>
      <c r="K44" s="85">
        <v>4640487</v>
      </c>
      <c r="L44" s="85">
        <f t="shared" si="4"/>
        <v>18145249</v>
      </c>
      <c r="M44" s="85"/>
    </row>
    <row r="45" spans="1:13">
      <c r="C45" t="s">
        <v>60</v>
      </c>
      <c r="H45" s="91">
        <v>256520</v>
      </c>
      <c r="I45" s="85"/>
      <c r="J45" s="85">
        <f t="shared" si="5"/>
        <v>256520</v>
      </c>
      <c r="K45" s="85"/>
      <c r="L45" s="85">
        <f t="shared" si="4"/>
        <v>256520</v>
      </c>
      <c r="M45" s="85"/>
    </row>
    <row r="46" spans="1:13">
      <c r="C46" t="s">
        <v>129</v>
      </c>
      <c r="H46" s="91">
        <v>9096739</v>
      </c>
      <c r="I46" s="85"/>
      <c r="J46" s="85">
        <f t="shared" si="5"/>
        <v>9096739</v>
      </c>
      <c r="K46" s="85"/>
      <c r="L46" s="85">
        <f t="shared" si="4"/>
        <v>9096739</v>
      </c>
      <c r="M46" s="85"/>
    </row>
    <row r="47" spans="1:13">
      <c r="C47" t="s">
        <v>56</v>
      </c>
      <c r="H47" s="91">
        <v>10019657</v>
      </c>
      <c r="I47" s="85"/>
      <c r="J47" s="85">
        <f t="shared" si="5"/>
        <v>10019657</v>
      </c>
      <c r="K47" s="85"/>
      <c r="L47" s="85">
        <f t="shared" si="4"/>
        <v>10019657</v>
      </c>
      <c r="M47" s="85"/>
    </row>
    <row r="48" spans="1:13">
      <c r="C48" t="s">
        <v>573</v>
      </c>
      <c r="H48" s="91">
        <v>4769924</v>
      </c>
      <c r="I48" s="85"/>
      <c r="J48" s="85">
        <f t="shared" si="5"/>
        <v>4769924</v>
      </c>
      <c r="K48" s="85"/>
      <c r="L48" s="85">
        <f t="shared" si="4"/>
        <v>4769924</v>
      </c>
      <c r="M48" s="85"/>
    </row>
    <row r="49" spans="2:13">
      <c r="C49" t="s">
        <v>58</v>
      </c>
      <c r="H49" s="91">
        <v>12086291</v>
      </c>
      <c r="I49" s="85"/>
      <c r="J49" s="85">
        <f t="shared" si="5"/>
        <v>12086291</v>
      </c>
      <c r="K49" s="85"/>
      <c r="L49" s="85">
        <f t="shared" si="4"/>
        <v>12086291</v>
      </c>
      <c r="M49" s="85"/>
    </row>
    <row r="50" spans="2:13">
      <c r="C50" t="s">
        <v>574</v>
      </c>
      <c r="H50" s="91">
        <v>88774950</v>
      </c>
      <c r="I50" s="85"/>
      <c r="J50" s="85">
        <f t="shared" si="5"/>
        <v>88774950</v>
      </c>
      <c r="K50" s="85"/>
      <c r="L50" s="85">
        <f t="shared" si="4"/>
        <v>88774950</v>
      </c>
      <c r="M50" s="85"/>
    </row>
    <row r="51" spans="2:13">
      <c r="C51" t="s">
        <v>356</v>
      </c>
      <c r="H51" s="91">
        <v>726746</v>
      </c>
      <c r="I51" s="85"/>
      <c r="J51" s="85">
        <f t="shared" si="5"/>
        <v>726746</v>
      </c>
      <c r="K51" s="85"/>
      <c r="L51" s="85">
        <f t="shared" si="4"/>
        <v>726746</v>
      </c>
      <c r="M51" s="85"/>
    </row>
    <row r="52" spans="2:13">
      <c r="B52" t="s">
        <v>42</v>
      </c>
      <c r="H52" s="98">
        <v>35548845</v>
      </c>
      <c r="I52" s="85">
        <v>8848243</v>
      </c>
      <c r="J52" s="85">
        <f t="shared" si="5"/>
        <v>44397088</v>
      </c>
      <c r="K52" s="85">
        <v>105601117</v>
      </c>
      <c r="L52" s="85">
        <f t="shared" si="4"/>
        <v>149998205</v>
      </c>
      <c r="M52" s="85"/>
    </row>
    <row r="53" spans="2:13">
      <c r="H53" s="83"/>
      <c r="I53" s="83"/>
      <c r="J53" s="83"/>
      <c r="K53" s="83"/>
      <c r="L53" s="83"/>
      <c r="M53" s="85"/>
    </row>
    <row r="54" spans="2:13" s="3" customFormat="1">
      <c r="C54" s="10" t="s">
        <v>43</v>
      </c>
      <c r="D54" s="10"/>
      <c r="E54" s="10"/>
      <c r="F54" s="10"/>
      <c r="G54" s="10"/>
      <c r="H54" s="99">
        <f>SUM(H40:H52)</f>
        <v>516773440</v>
      </c>
      <c r="I54" s="99">
        <f>SUM(I40:I52)</f>
        <v>11562774</v>
      </c>
      <c r="J54" s="99">
        <f>SUM(J40:J52)</f>
        <v>528336214</v>
      </c>
      <c r="K54" s="99">
        <f>SUM(K40:K52)</f>
        <v>174115734</v>
      </c>
      <c r="L54" s="99">
        <f>SUM(L40:L52)</f>
        <v>702451948</v>
      </c>
      <c r="M54" s="106"/>
    </row>
    <row r="55" spans="2:13">
      <c r="H55" s="85"/>
      <c r="I55" s="85"/>
      <c r="J55" s="85"/>
      <c r="K55" s="85"/>
      <c r="L55" s="85"/>
      <c r="M55" s="85"/>
    </row>
    <row r="56" spans="2:13" s="3" customFormat="1">
      <c r="C56" s="11" t="s">
        <v>44</v>
      </c>
      <c r="D56" s="11"/>
      <c r="E56" s="11"/>
      <c r="F56" s="11"/>
      <c r="G56" s="11"/>
      <c r="H56" s="100">
        <f>SUM(H37+H54)</f>
        <v>658993469</v>
      </c>
      <c r="I56" s="100">
        <f t="shared" ref="I56:L56" si="6">SUM(I37+I54)</f>
        <v>56365194</v>
      </c>
      <c r="J56" s="100">
        <f t="shared" si="6"/>
        <v>715358663</v>
      </c>
      <c r="K56" s="100">
        <f t="shared" si="6"/>
        <v>215481892</v>
      </c>
      <c r="L56" s="100">
        <f t="shared" si="6"/>
        <v>930840555</v>
      </c>
    </row>
    <row r="57" spans="2:13">
      <c r="H57" s="85"/>
      <c r="I57" s="85"/>
      <c r="J57" s="85"/>
      <c r="K57" s="85"/>
      <c r="L57" s="85"/>
      <c r="M57" s="85"/>
    </row>
    <row r="58" spans="2:13">
      <c r="H58" s="85"/>
      <c r="I58" s="85"/>
      <c r="J58" s="85"/>
      <c r="K58" s="85"/>
      <c r="L58" s="85"/>
      <c r="M58" s="85"/>
    </row>
  </sheetData>
  <mergeCells count="3">
    <mergeCell ref="D1:H1"/>
    <mergeCell ref="D2:H2"/>
    <mergeCell ref="H4:J4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45"/>
  <sheetViews>
    <sheetView workbookViewId="0">
      <selection activeCell="H44" sqref="H44:I4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02" t="s">
        <v>575</v>
      </c>
      <c r="E1" s="202"/>
      <c r="F1" s="202"/>
      <c r="G1" s="202"/>
      <c r="H1" s="202"/>
    </row>
    <row r="2" spans="1:9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9" ht="27" customHeight="1">
      <c r="H4" s="136" t="s">
        <v>2</v>
      </c>
      <c r="I4" s="5" t="s">
        <v>101</v>
      </c>
    </row>
    <row r="5" spans="1:9" ht="29.1">
      <c r="H5" s="110" t="s">
        <v>3</v>
      </c>
      <c r="I5" s="110" t="s">
        <v>3</v>
      </c>
    </row>
    <row r="6" spans="1:9">
      <c r="A6" s="3" t="s">
        <v>5</v>
      </c>
      <c r="D6" s="3"/>
      <c r="G6" s="4"/>
      <c r="H6" s="4"/>
    </row>
    <row r="7" spans="1:9">
      <c r="C7" t="s">
        <v>65</v>
      </c>
      <c r="H7" s="79">
        <v>17398202</v>
      </c>
      <c r="I7">
        <v>5455651</v>
      </c>
    </row>
    <row r="8" spans="1:9">
      <c r="C8" t="s">
        <v>576</v>
      </c>
      <c r="H8" s="85"/>
      <c r="I8">
        <v>1405848</v>
      </c>
    </row>
    <row r="9" spans="1:9">
      <c r="C9" t="s">
        <v>577</v>
      </c>
      <c r="H9" s="80">
        <v>8935241</v>
      </c>
      <c r="I9">
        <v>5924672</v>
      </c>
    </row>
    <row r="10" spans="1:9">
      <c r="C10" t="s">
        <v>47</v>
      </c>
      <c r="H10" s="95">
        <v>42692</v>
      </c>
    </row>
    <row r="11" spans="1:9">
      <c r="C11" t="s">
        <v>578</v>
      </c>
      <c r="H11" s="81">
        <v>898211</v>
      </c>
      <c r="I11">
        <v>3784</v>
      </c>
    </row>
    <row r="12" spans="1:9">
      <c r="C12" t="s">
        <v>579</v>
      </c>
      <c r="H12" s="85"/>
      <c r="I12">
        <v>59520</v>
      </c>
    </row>
    <row r="13" spans="1:9">
      <c r="C13" t="s">
        <v>202</v>
      </c>
      <c r="H13" s="82">
        <v>178240431</v>
      </c>
      <c r="I13">
        <v>9545067</v>
      </c>
    </row>
    <row r="14" spans="1:9">
      <c r="H14" s="83"/>
      <c r="I14" s="137"/>
    </row>
    <row r="15" spans="1:9">
      <c r="C15" s="6" t="s">
        <v>17</v>
      </c>
      <c r="D15" s="7"/>
      <c r="E15" s="7"/>
      <c r="F15" s="7"/>
      <c r="G15" s="7"/>
      <c r="H15" s="84">
        <f>SUM(H7:H13)</f>
        <v>205514777</v>
      </c>
      <c r="I15" s="84">
        <f>SUM(I7:I13)</f>
        <v>22394542</v>
      </c>
    </row>
    <row r="16" spans="1:9">
      <c r="H16" s="85"/>
    </row>
    <row r="17" spans="1:9">
      <c r="A17" s="5" t="s">
        <v>20</v>
      </c>
      <c r="H17" s="85"/>
    </row>
    <row r="18" spans="1:9">
      <c r="C18" t="s">
        <v>259</v>
      </c>
      <c r="H18" s="81">
        <v>515</v>
      </c>
    </row>
    <row r="19" spans="1:9">
      <c r="C19" t="s">
        <v>126</v>
      </c>
      <c r="H19" s="86">
        <v>4186126</v>
      </c>
      <c r="I19">
        <v>397478</v>
      </c>
    </row>
    <row r="20" spans="1:9">
      <c r="C20" t="s">
        <v>211</v>
      </c>
      <c r="H20" s="101">
        <v>383324</v>
      </c>
      <c r="I20">
        <v>71532</v>
      </c>
    </row>
    <row r="21" spans="1:9">
      <c r="C21" t="s">
        <v>580</v>
      </c>
      <c r="H21" s="85"/>
      <c r="I21">
        <v>1427112</v>
      </c>
    </row>
    <row r="22" spans="1:9">
      <c r="C22" t="s">
        <v>581</v>
      </c>
      <c r="H22" s="85"/>
    </row>
    <row r="23" spans="1:9">
      <c r="D23" t="s">
        <v>81</v>
      </c>
      <c r="H23" s="97">
        <v>90000</v>
      </c>
      <c r="I23">
        <v>280408</v>
      </c>
    </row>
    <row r="24" spans="1:9">
      <c r="D24" t="s">
        <v>82</v>
      </c>
      <c r="H24" s="79">
        <v>8104902</v>
      </c>
      <c r="I24">
        <v>1196363</v>
      </c>
    </row>
    <row r="25" spans="1:9">
      <c r="D25" t="s">
        <v>582</v>
      </c>
      <c r="H25" s="81">
        <v>1567398</v>
      </c>
    </row>
    <row r="26" spans="1:9">
      <c r="H26" s="83"/>
      <c r="I26" s="137"/>
    </row>
    <row r="27" spans="1:9">
      <c r="D27" s="8" t="s">
        <v>33</v>
      </c>
      <c r="E27" s="9"/>
      <c r="F27" s="9"/>
      <c r="G27" s="9"/>
      <c r="H27" s="89">
        <f>SUM(H18:H25)</f>
        <v>14332265</v>
      </c>
      <c r="I27" s="89">
        <f>SUM(I18:I25)</f>
        <v>3372893</v>
      </c>
    </row>
    <row r="28" spans="1:9">
      <c r="H28" s="85"/>
    </row>
    <row r="29" spans="1:9">
      <c r="A29" s="5" t="s">
        <v>583</v>
      </c>
      <c r="B29" s="5"/>
      <c r="C29" s="5"/>
      <c r="D29" s="5"/>
      <c r="E29" s="5"/>
      <c r="F29" s="5"/>
      <c r="H29" s="85"/>
    </row>
    <row r="30" spans="1:9">
      <c r="C30" t="s">
        <v>584</v>
      </c>
      <c r="H30" s="85">
        <v>53394</v>
      </c>
    </row>
    <row r="31" spans="1:9">
      <c r="H31" s="83"/>
      <c r="I31" s="137"/>
    </row>
    <row r="32" spans="1:9" s="3" customFormat="1">
      <c r="C32" s="127" t="s">
        <v>585</v>
      </c>
      <c r="D32" s="127"/>
      <c r="E32" s="127"/>
      <c r="F32" s="127"/>
      <c r="G32" s="127"/>
      <c r="H32" s="128">
        <f>SUM(H30:H30)</f>
        <v>53394</v>
      </c>
      <c r="I32" s="128">
        <f>SUM(I30:I30)</f>
        <v>0</v>
      </c>
    </row>
    <row r="33" spans="1:10">
      <c r="H33" s="85"/>
    </row>
    <row r="34" spans="1:10">
      <c r="A34" s="3" t="s">
        <v>36</v>
      </c>
      <c r="H34" s="85"/>
    </row>
    <row r="35" spans="1:10">
      <c r="B35" t="s">
        <v>99</v>
      </c>
      <c r="H35" s="90">
        <v>175665431</v>
      </c>
      <c r="I35">
        <v>8303477</v>
      </c>
    </row>
    <row r="36" spans="1:10">
      <c r="B36" t="s">
        <v>38</v>
      </c>
      <c r="H36" s="85"/>
    </row>
    <row r="37" spans="1:10">
      <c r="C37" t="s">
        <v>40</v>
      </c>
      <c r="H37" s="91">
        <v>239065</v>
      </c>
    </row>
    <row r="38" spans="1:10">
      <c r="C38" t="s">
        <v>586</v>
      </c>
      <c r="H38" s="91">
        <v>354764</v>
      </c>
      <c r="I38">
        <v>3784</v>
      </c>
    </row>
    <row r="39" spans="1:10">
      <c r="C39" t="s">
        <v>41</v>
      </c>
      <c r="H39" s="91">
        <v>746958</v>
      </c>
      <c r="I39">
        <v>10714688</v>
      </c>
    </row>
    <row r="40" spans="1:10">
      <c r="B40" t="s">
        <v>42</v>
      </c>
      <c r="H40" s="92">
        <v>14122900</v>
      </c>
    </row>
    <row r="41" spans="1:10">
      <c r="H41" s="85"/>
      <c r="I41" s="137"/>
    </row>
    <row r="42" spans="1:10" s="3" customFormat="1">
      <c r="C42" s="10" t="s">
        <v>43</v>
      </c>
      <c r="D42" s="10"/>
      <c r="E42" s="10"/>
      <c r="F42" s="10"/>
      <c r="G42" s="10"/>
      <c r="H42" s="93">
        <f>SUM(H35:H40)</f>
        <v>191129118</v>
      </c>
      <c r="I42" s="93">
        <f>SUM(I35:I40)</f>
        <v>19021949</v>
      </c>
    </row>
    <row r="43" spans="1:10">
      <c r="H43" s="85"/>
    </row>
    <row r="44" spans="1:10" s="3" customFormat="1">
      <c r="C44" s="11" t="s">
        <v>44</v>
      </c>
      <c r="D44" s="11"/>
      <c r="E44" s="11"/>
      <c r="F44" s="11"/>
      <c r="G44" s="11"/>
      <c r="H44" s="100">
        <f>SUM(H42+H27+H32)</f>
        <v>205514777</v>
      </c>
      <c r="I44" s="100">
        <f>SUM(I42+I27+I32)</f>
        <v>22394842</v>
      </c>
      <c r="J44" s="106"/>
    </row>
    <row r="45" spans="1:10">
      <c r="H45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34"/>
  <sheetViews>
    <sheetView workbookViewId="0">
      <selection activeCell="G30" sqref="G30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587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2313344</v>
      </c>
    </row>
    <row r="7" spans="1:7">
      <c r="B7" t="s">
        <v>46</v>
      </c>
      <c r="G7" s="80">
        <v>763109</v>
      </c>
    </row>
    <row r="8" spans="1:7">
      <c r="B8" t="s">
        <v>588</v>
      </c>
      <c r="G8" s="85"/>
    </row>
    <row r="9" spans="1:7">
      <c r="C9" t="s">
        <v>589</v>
      </c>
      <c r="G9" s="81">
        <v>944665</v>
      </c>
    </row>
    <row r="10" spans="1:7">
      <c r="B10" t="s">
        <v>68</v>
      </c>
      <c r="G10" s="81">
        <v>29094</v>
      </c>
    </row>
    <row r="11" spans="1:7">
      <c r="B11" t="s">
        <v>108</v>
      </c>
      <c r="G11" s="96">
        <v>8567911</v>
      </c>
    </row>
    <row r="12" spans="1:7">
      <c r="G12" s="85"/>
    </row>
    <row r="13" spans="1:7">
      <c r="A13" s="5"/>
      <c r="B13" s="6" t="s">
        <v>17</v>
      </c>
      <c r="C13" s="6"/>
      <c r="D13" s="6"/>
      <c r="E13" s="6"/>
      <c r="F13" s="6"/>
      <c r="G13" s="84">
        <f>SUM(G6:G11)</f>
        <v>12618123</v>
      </c>
    </row>
    <row r="14" spans="1:7">
      <c r="G14" s="85"/>
    </row>
    <row r="15" spans="1:7">
      <c r="A15" s="5" t="s">
        <v>20</v>
      </c>
      <c r="G15" s="85"/>
    </row>
    <row r="16" spans="1:7">
      <c r="A16" s="5"/>
      <c r="B16" t="s">
        <v>126</v>
      </c>
      <c r="G16" s="86">
        <v>156049</v>
      </c>
    </row>
    <row r="17" spans="1:7">
      <c r="B17" t="s">
        <v>590</v>
      </c>
      <c r="G17" s="101">
        <v>54048</v>
      </c>
    </row>
    <row r="18" spans="1:7">
      <c r="B18" t="s">
        <v>27</v>
      </c>
      <c r="G18" s="85"/>
    </row>
    <row r="19" spans="1:7">
      <c r="C19" t="s">
        <v>81</v>
      </c>
      <c r="G19" s="97">
        <v>39882</v>
      </c>
    </row>
    <row r="20" spans="1:7">
      <c r="C20" t="s">
        <v>82</v>
      </c>
      <c r="G20" s="79">
        <v>1255223</v>
      </c>
    </row>
    <row r="21" spans="1:7">
      <c r="G21" s="83"/>
    </row>
    <row r="22" spans="1:7">
      <c r="C22" s="8" t="s">
        <v>33</v>
      </c>
      <c r="D22" s="9"/>
      <c r="E22" s="9"/>
      <c r="F22" s="9"/>
      <c r="G22" s="89">
        <f>SUM(G16:G20)</f>
        <v>1505202</v>
      </c>
    </row>
    <row r="23" spans="1:7">
      <c r="G23" s="85"/>
    </row>
    <row r="24" spans="1:7">
      <c r="A24" s="3" t="s">
        <v>36</v>
      </c>
      <c r="G24" s="85"/>
    </row>
    <row r="25" spans="1:7">
      <c r="B25" t="s">
        <v>99</v>
      </c>
      <c r="G25" s="90">
        <v>7414340</v>
      </c>
    </row>
    <row r="26" spans="1:7">
      <c r="B26" t="s">
        <v>38</v>
      </c>
      <c r="G26" s="85"/>
    </row>
    <row r="27" spans="1:7">
      <c r="C27" t="s">
        <v>39</v>
      </c>
      <c r="G27" s="91">
        <v>29094</v>
      </c>
    </row>
    <row r="28" spans="1:7">
      <c r="C28" t="s">
        <v>319</v>
      </c>
      <c r="G28" s="91">
        <v>944665</v>
      </c>
    </row>
    <row r="29" spans="1:7">
      <c r="B29" t="s">
        <v>42</v>
      </c>
      <c r="G29" s="98">
        <v>2724822</v>
      </c>
    </row>
    <row r="30" spans="1:7">
      <c r="G30" s="83"/>
    </row>
    <row r="31" spans="1:7">
      <c r="A31" s="3"/>
      <c r="B31" s="10" t="s">
        <v>43</v>
      </c>
      <c r="C31" s="10"/>
      <c r="D31" s="10"/>
      <c r="E31" s="10"/>
      <c r="F31" s="10"/>
      <c r="G31" s="99">
        <f>SUM(G25:G29)</f>
        <v>11112921</v>
      </c>
    </row>
    <row r="32" spans="1:7">
      <c r="G32" s="85"/>
    </row>
    <row r="33" spans="1:7">
      <c r="A33" s="3"/>
      <c r="B33" s="11" t="s">
        <v>44</v>
      </c>
      <c r="C33" s="11"/>
      <c r="D33" s="11"/>
      <c r="E33" s="11"/>
      <c r="F33" s="11"/>
      <c r="G33" s="100">
        <f>SUM(G22+G31)</f>
        <v>12618123</v>
      </c>
    </row>
    <row r="34" spans="1:7">
      <c r="G34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L65"/>
  <sheetViews>
    <sheetView topLeftCell="A24" workbookViewId="0">
      <selection activeCell="H64" sqref="H64:K6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75" customHeight="1">
      <c r="A1" s="1"/>
      <c r="B1" s="1"/>
      <c r="C1" s="1"/>
      <c r="D1" s="202" t="s">
        <v>591</v>
      </c>
      <c r="E1" s="202"/>
      <c r="F1" s="202"/>
      <c r="G1" s="202"/>
      <c r="H1" s="202"/>
      <c r="I1" s="102"/>
      <c r="J1" s="102"/>
    </row>
    <row r="2" spans="1:12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3" spans="1:12" ht="11.25" customHeight="1"/>
    <row r="4" spans="1:12" ht="15" customHeight="1">
      <c r="H4" s="206" t="s">
        <v>2</v>
      </c>
      <c r="I4" s="206"/>
      <c r="J4" s="206"/>
      <c r="K4" s="129"/>
    </row>
    <row r="5" spans="1:12" ht="31.5" customHeight="1">
      <c r="H5" s="110" t="s">
        <v>3</v>
      </c>
      <c r="I5" s="110" t="s">
        <v>137</v>
      </c>
      <c r="J5" s="110" t="s">
        <v>64</v>
      </c>
      <c r="K5" s="129" t="s">
        <v>4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65</v>
      </c>
      <c r="H7" s="79">
        <v>25560944</v>
      </c>
      <c r="I7" s="85">
        <v>19476492</v>
      </c>
      <c r="J7" s="85">
        <f t="shared" ref="J7:J8" si="0">SUM(H7:I7)</f>
        <v>45037436</v>
      </c>
      <c r="K7" s="85">
        <v>71367610</v>
      </c>
    </row>
    <row r="8" spans="1:12">
      <c r="C8" t="s">
        <v>8</v>
      </c>
      <c r="H8" s="86">
        <v>91704922</v>
      </c>
      <c r="I8" s="85">
        <v>25186798</v>
      </c>
      <c r="J8" s="85">
        <f t="shared" si="0"/>
        <v>116891720</v>
      </c>
      <c r="K8" s="85">
        <v>190895040</v>
      </c>
    </row>
    <row r="9" spans="1:12">
      <c r="C9" t="s">
        <v>46</v>
      </c>
      <c r="H9" s="80">
        <v>9293551</v>
      </c>
      <c r="I9" s="85">
        <v>9902100</v>
      </c>
      <c r="J9" s="85">
        <f t="shared" ref="J9:J15" si="1">SUM(H9:I9)</f>
        <v>19195651</v>
      </c>
      <c r="K9" s="85">
        <v>41102618</v>
      </c>
    </row>
    <row r="10" spans="1:12">
      <c r="C10" t="s">
        <v>67</v>
      </c>
      <c r="H10" s="81">
        <v>4475677</v>
      </c>
      <c r="I10" s="85">
        <v>-4475677</v>
      </c>
      <c r="J10" s="85">
        <f t="shared" si="1"/>
        <v>0</v>
      </c>
      <c r="K10" s="85"/>
    </row>
    <row r="11" spans="1:12">
      <c r="C11" t="s">
        <v>47</v>
      </c>
      <c r="H11" s="95">
        <v>69924659</v>
      </c>
      <c r="I11" s="85">
        <v>10561703</v>
      </c>
      <c r="J11" s="85">
        <f t="shared" si="1"/>
        <v>80486362</v>
      </c>
      <c r="K11" s="85">
        <v>22383791</v>
      </c>
    </row>
    <row r="12" spans="1:12">
      <c r="C12" t="s">
        <v>13</v>
      </c>
      <c r="H12" s="95">
        <v>28642</v>
      </c>
      <c r="I12" s="85"/>
      <c r="J12" s="85">
        <f t="shared" si="1"/>
        <v>28642</v>
      </c>
      <c r="K12" s="85"/>
    </row>
    <row r="13" spans="1:12">
      <c r="C13" t="s">
        <v>150</v>
      </c>
      <c r="H13" s="85"/>
      <c r="I13" s="85"/>
      <c r="J13" s="85"/>
      <c r="K13" s="85">
        <v>2438</v>
      </c>
    </row>
    <row r="14" spans="1:12">
      <c r="C14" t="s">
        <v>151</v>
      </c>
      <c r="H14" s="81">
        <v>2019531</v>
      </c>
      <c r="I14" s="85">
        <v>19722</v>
      </c>
      <c r="J14" s="85">
        <f t="shared" si="1"/>
        <v>2039253</v>
      </c>
      <c r="K14" s="85">
        <v>4217818</v>
      </c>
    </row>
    <row r="15" spans="1:12">
      <c r="C15" t="s">
        <v>69</v>
      </c>
      <c r="H15" s="81">
        <v>1346260</v>
      </c>
      <c r="I15" s="85">
        <v>1938576</v>
      </c>
      <c r="J15" s="85">
        <f t="shared" si="1"/>
        <v>3284836</v>
      </c>
      <c r="K15" s="85">
        <v>10993935</v>
      </c>
    </row>
    <row r="16" spans="1:12">
      <c r="C16" t="s">
        <v>169</v>
      </c>
      <c r="H16" s="85"/>
      <c r="I16" s="85"/>
      <c r="J16" s="85"/>
      <c r="K16" s="85"/>
    </row>
    <row r="17" spans="1:11">
      <c r="D17" t="s">
        <v>65</v>
      </c>
      <c r="H17" s="79">
        <v>205485</v>
      </c>
      <c r="I17" s="85">
        <v>3491836</v>
      </c>
      <c r="J17" s="85">
        <f>SUM(H17:I17)</f>
        <v>3697321</v>
      </c>
      <c r="K17" s="85">
        <v>24569845</v>
      </c>
    </row>
    <row r="18" spans="1:11">
      <c r="D18" t="s">
        <v>8</v>
      </c>
      <c r="H18" s="85"/>
      <c r="I18" s="85">
        <v>2288502</v>
      </c>
      <c r="J18" s="85">
        <f>SUM(I18)</f>
        <v>2288502</v>
      </c>
      <c r="K18" s="85"/>
    </row>
    <row r="19" spans="1:11">
      <c r="D19" t="s">
        <v>46</v>
      </c>
      <c r="H19" s="85"/>
      <c r="I19" s="85">
        <v>50641</v>
      </c>
      <c r="J19" s="85">
        <f>SUM(I19)</f>
        <v>50641</v>
      </c>
      <c r="K19" s="85"/>
    </row>
    <row r="20" spans="1:11">
      <c r="D20" t="s">
        <v>47</v>
      </c>
      <c r="H20" s="85"/>
      <c r="I20" s="85">
        <v>602975</v>
      </c>
      <c r="J20" s="85">
        <f>SUM(I20)</f>
        <v>602975</v>
      </c>
      <c r="K20" s="85"/>
    </row>
    <row r="21" spans="1:11">
      <c r="C21" t="s">
        <v>592</v>
      </c>
      <c r="H21" s="85"/>
      <c r="I21" s="85">
        <v>1103465</v>
      </c>
      <c r="J21" s="85">
        <f>SUM(I21)</f>
        <v>1103465</v>
      </c>
      <c r="K21" s="85"/>
    </row>
    <row r="22" spans="1:11">
      <c r="C22" t="s">
        <v>14</v>
      </c>
      <c r="H22" s="85"/>
      <c r="I22" s="85"/>
      <c r="J22" s="85">
        <f>SUM(H22:I22)</f>
        <v>0</v>
      </c>
      <c r="K22" s="85"/>
    </row>
    <row r="23" spans="1:11">
      <c r="D23" t="s">
        <v>15</v>
      </c>
      <c r="H23" s="82">
        <v>49093810</v>
      </c>
      <c r="I23" s="85">
        <v>15668393</v>
      </c>
      <c r="J23" s="85">
        <f>SUM(H23:I23)</f>
        <v>64762203</v>
      </c>
      <c r="K23" s="85">
        <v>49448854</v>
      </c>
    </row>
    <row r="24" spans="1:11">
      <c r="D24" t="s">
        <v>16</v>
      </c>
      <c r="H24" s="82">
        <v>248631957</v>
      </c>
      <c r="I24" s="85">
        <v>135434728</v>
      </c>
      <c r="J24" s="85">
        <f>SUM(H24:I24)</f>
        <v>384066685</v>
      </c>
      <c r="K24" s="85">
        <v>592717622</v>
      </c>
    </row>
    <row r="25" spans="1:11">
      <c r="H25" s="83"/>
      <c r="I25" s="83"/>
      <c r="J25" s="83"/>
      <c r="K25" s="83"/>
    </row>
    <row r="26" spans="1:11" s="5" customFormat="1">
      <c r="C26" s="6" t="s">
        <v>17</v>
      </c>
      <c r="D26" s="6"/>
      <c r="E26" s="6"/>
      <c r="F26" s="6"/>
      <c r="G26" s="6"/>
      <c r="H26" s="84">
        <f>SUM(H7:H24)</f>
        <v>502285438</v>
      </c>
      <c r="I26" s="84">
        <f>SUM(I7:I24)</f>
        <v>221250254</v>
      </c>
      <c r="J26" s="84">
        <f>SUM(J7:J24)</f>
        <v>723535692</v>
      </c>
      <c r="K26" s="84">
        <f>SUM(K7:K24)</f>
        <v>1007699571</v>
      </c>
    </row>
    <row r="27" spans="1:11">
      <c r="H27" s="85"/>
      <c r="I27" s="85"/>
      <c r="J27" s="85"/>
      <c r="K27" s="85"/>
    </row>
    <row r="28" spans="1:11" s="5" customFormat="1">
      <c r="A28" s="5" t="s">
        <v>71</v>
      </c>
      <c r="H28" s="105">
        <v>132278</v>
      </c>
      <c r="I28" s="105"/>
      <c r="J28" s="105">
        <f>SUM(H28:I28)</f>
        <v>132278</v>
      </c>
      <c r="K28" s="105">
        <v>383427</v>
      </c>
    </row>
    <row r="29" spans="1:11">
      <c r="H29" s="83"/>
      <c r="I29" s="83"/>
      <c r="J29" s="83"/>
      <c r="K29" s="83"/>
    </row>
    <row r="30" spans="1:11">
      <c r="A30" s="5" t="s">
        <v>20</v>
      </c>
      <c r="H30" s="85"/>
      <c r="I30" s="85"/>
      <c r="J30" s="85"/>
      <c r="K30" s="85"/>
    </row>
    <row r="31" spans="1:11">
      <c r="A31" s="5"/>
      <c r="C31" t="s">
        <v>229</v>
      </c>
      <c r="H31" s="86">
        <v>22525998</v>
      </c>
      <c r="I31" s="85">
        <v>7214755</v>
      </c>
      <c r="J31" s="85">
        <f t="shared" ref="J31:J38" si="2">SUM(H31:I31)</f>
        <v>29740753</v>
      </c>
      <c r="K31" s="85">
        <v>34872706</v>
      </c>
    </row>
    <row r="32" spans="1:11">
      <c r="C32" t="s">
        <v>25</v>
      </c>
      <c r="H32" s="86">
        <v>1439333</v>
      </c>
      <c r="I32" s="85"/>
      <c r="J32" s="85">
        <f t="shared" si="2"/>
        <v>1439333</v>
      </c>
      <c r="K32" s="85"/>
    </row>
    <row r="33" spans="1:11">
      <c r="C33" t="s">
        <v>211</v>
      </c>
      <c r="H33" s="101">
        <v>7589076</v>
      </c>
      <c r="I33" s="85">
        <v>550233</v>
      </c>
      <c r="J33" s="85">
        <f t="shared" si="2"/>
        <v>8139309</v>
      </c>
      <c r="K33" s="85">
        <v>887373</v>
      </c>
    </row>
    <row r="34" spans="1:11">
      <c r="C34" t="s">
        <v>156</v>
      </c>
      <c r="H34" s="101">
        <v>2438</v>
      </c>
      <c r="I34" s="85"/>
      <c r="J34" s="85">
        <f t="shared" si="2"/>
        <v>2438</v>
      </c>
      <c r="K34" s="85"/>
    </row>
    <row r="35" spans="1:11">
      <c r="C35" t="s">
        <v>26</v>
      </c>
      <c r="H35" s="85"/>
      <c r="I35" s="85"/>
      <c r="J35" s="85"/>
      <c r="K35" s="85">
        <v>28642</v>
      </c>
    </row>
    <row r="36" spans="1:11">
      <c r="C36" t="s">
        <v>593</v>
      </c>
      <c r="H36" s="101">
        <v>1149808</v>
      </c>
      <c r="I36" s="85"/>
      <c r="J36" s="85">
        <f t="shared" si="2"/>
        <v>1149808</v>
      </c>
      <c r="K36" s="85"/>
    </row>
    <row r="37" spans="1:11">
      <c r="C37" t="s">
        <v>174</v>
      </c>
      <c r="H37" s="86">
        <v>135065</v>
      </c>
      <c r="I37" s="85">
        <v>1624702</v>
      </c>
      <c r="J37" s="85">
        <f t="shared" si="2"/>
        <v>1759767</v>
      </c>
      <c r="K37" s="85"/>
    </row>
    <row r="38" spans="1:11">
      <c r="C38" t="s">
        <v>158</v>
      </c>
      <c r="H38" s="85"/>
      <c r="I38" s="85"/>
      <c r="J38" s="85">
        <f t="shared" si="2"/>
        <v>0</v>
      </c>
      <c r="K38" s="85"/>
    </row>
    <row r="39" spans="1:11">
      <c r="D39" t="s">
        <v>81</v>
      </c>
      <c r="H39" s="97">
        <v>6196610</v>
      </c>
      <c r="I39" s="85">
        <v>1236088</v>
      </c>
      <c r="J39" s="85">
        <f>SUM(H39:I39)</f>
        <v>7432698</v>
      </c>
      <c r="K39" s="85">
        <v>6131660</v>
      </c>
    </row>
    <row r="40" spans="1:11" ht="14.25" customHeight="1">
      <c r="D40" t="s">
        <v>82</v>
      </c>
      <c r="H40" s="79">
        <v>119817673</v>
      </c>
      <c r="I40" s="85">
        <v>16790963</v>
      </c>
      <c r="J40" s="85">
        <f>SUM(H40:I40)</f>
        <v>136608636</v>
      </c>
      <c r="K40" s="85">
        <v>115711002</v>
      </c>
    </row>
    <row r="41" spans="1:11">
      <c r="H41" s="83"/>
      <c r="I41" s="83"/>
      <c r="J41" s="83"/>
      <c r="K41" s="83"/>
    </row>
    <row r="42" spans="1:11">
      <c r="D42" s="8" t="s">
        <v>33</v>
      </c>
      <c r="E42" s="9"/>
      <c r="F42" s="9"/>
      <c r="G42" s="9"/>
      <c r="H42" s="89">
        <f>SUM(H31:H40)</f>
        <v>158856001</v>
      </c>
      <c r="I42" s="89">
        <f>SUM(I31:I40)</f>
        <v>27416741</v>
      </c>
      <c r="J42" s="89">
        <f>SUM(J31:J40)</f>
        <v>186272742</v>
      </c>
      <c r="K42" s="89">
        <f>SUM(K31:K40)</f>
        <v>157631383</v>
      </c>
    </row>
    <row r="43" spans="1:11">
      <c r="H43" s="85"/>
      <c r="I43" s="85"/>
      <c r="J43" s="85"/>
      <c r="K43" s="85"/>
    </row>
    <row r="44" spans="1:11">
      <c r="A44" s="5" t="s">
        <v>84</v>
      </c>
      <c r="H44" s="105">
        <v>27193917</v>
      </c>
      <c r="I44" s="105">
        <v>9974005</v>
      </c>
      <c r="J44" s="105">
        <f>SUM(H44:I44)</f>
        <v>37167922</v>
      </c>
      <c r="K44" s="105">
        <v>26961437</v>
      </c>
    </row>
    <row r="45" spans="1:11">
      <c r="H45" s="83"/>
      <c r="I45" s="83"/>
      <c r="J45" s="83"/>
      <c r="K45" s="83"/>
    </row>
    <row r="46" spans="1:11">
      <c r="A46" s="3" t="s">
        <v>36</v>
      </c>
      <c r="H46" s="85"/>
      <c r="I46" s="85"/>
      <c r="J46" s="85"/>
      <c r="K46" s="85"/>
    </row>
    <row r="47" spans="1:11">
      <c r="B47" t="s">
        <v>99</v>
      </c>
      <c r="H47" s="90">
        <v>236913363</v>
      </c>
      <c r="I47" s="85">
        <v>137504660</v>
      </c>
      <c r="J47" s="85">
        <f>SUM(H47:I47)</f>
        <v>374418023</v>
      </c>
      <c r="K47" s="85">
        <v>540431339</v>
      </c>
    </row>
    <row r="48" spans="1:11">
      <c r="B48" t="s">
        <v>38</v>
      </c>
      <c r="H48" s="85"/>
      <c r="I48" s="85"/>
      <c r="J48" s="85">
        <f>SUM(H48:I48)</f>
        <v>0</v>
      </c>
      <c r="K48" s="85"/>
    </row>
    <row r="49" spans="2:11">
      <c r="C49" t="s">
        <v>594</v>
      </c>
      <c r="H49" s="91">
        <v>226735</v>
      </c>
      <c r="I49" s="85"/>
      <c r="J49" s="85">
        <f>SUM(H49:I49)</f>
        <v>226735</v>
      </c>
      <c r="K49" s="85"/>
    </row>
    <row r="50" spans="2:11">
      <c r="C50" t="s">
        <v>595</v>
      </c>
      <c r="H50" s="91">
        <v>11405690</v>
      </c>
      <c r="I50" s="85"/>
      <c r="J50" s="85">
        <f>SUM(H50)</f>
        <v>11405690</v>
      </c>
      <c r="K50" s="85"/>
    </row>
    <row r="51" spans="2:11">
      <c r="C51" t="s">
        <v>40</v>
      </c>
      <c r="H51" s="91">
        <v>27192190</v>
      </c>
      <c r="I51" s="85"/>
      <c r="J51" s="85">
        <f>SUM(H51)</f>
        <v>27192190</v>
      </c>
      <c r="K51" s="85">
        <v>7820662</v>
      </c>
    </row>
    <row r="52" spans="2:11">
      <c r="C52" t="s">
        <v>39</v>
      </c>
      <c r="H52" s="91">
        <v>15506186</v>
      </c>
      <c r="I52" s="85">
        <v>3186302</v>
      </c>
      <c r="J52" s="85">
        <f>SUM(H52:I52)</f>
        <v>18692488</v>
      </c>
      <c r="K52" s="85">
        <v>10630866</v>
      </c>
    </row>
    <row r="53" spans="2:11">
      <c r="C53" t="s">
        <v>129</v>
      </c>
      <c r="H53" s="91">
        <v>5177929</v>
      </c>
      <c r="I53" s="85"/>
      <c r="J53" s="85">
        <f>SUM(H53)</f>
        <v>5177929</v>
      </c>
      <c r="K53" s="85"/>
    </row>
    <row r="54" spans="2:11">
      <c r="C54" t="s">
        <v>596</v>
      </c>
      <c r="H54" s="91">
        <v>740952</v>
      </c>
      <c r="I54" s="85"/>
      <c r="J54" s="85">
        <f>SUM(H54)</f>
        <v>740952</v>
      </c>
      <c r="K54" s="85"/>
    </row>
    <row r="55" spans="2:11">
      <c r="C55" t="s">
        <v>597</v>
      </c>
      <c r="H55" s="91">
        <v>2424405</v>
      </c>
      <c r="I55" s="85"/>
      <c r="J55" s="85">
        <f>SUM(H55)</f>
        <v>2424405</v>
      </c>
      <c r="K55" s="85"/>
    </row>
    <row r="56" spans="2:11">
      <c r="C56" t="s">
        <v>598</v>
      </c>
      <c r="H56" s="85"/>
      <c r="I56" s="85">
        <v>28247764</v>
      </c>
      <c r="J56" s="85">
        <f>SUM(I56)</f>
        <v>28247764</v>
      </c>
      <c r="K56" s="85"/>
    </row>
    <row r="57" spans="2:11">
      <c r="C57" t="s">
        <v>599</v>
      </c>
      <c r="H57" s="85"/>
      <c r="I57" s="85">
        <v>1886064</v>
      </c>
      <c r="J57" s="85">
        <f>SUM(I57)</f>
        <v>1886064</v>
      </c>
      <c r="K57" s="85"/>
    </row>
    <row r="58" spans="2:11">
      <c r="C58" t="s">
        <v>61</v>
      </c>
      <c r="H58" s="85"/>
      <c r="I58" s="85">
        <v>13147447</v>
      </c>
      <c r="J58" s="85">
        <f>SUM(I58)</f>
        <v>13147447</v>
      </c>
      <c r="K58" s="85"/>
    </row>
    <row r="59" spans="2:11">
      <c r="C59" t="s">
        <v>41</v>
      </c>
      <c r="H59" s="85"/>
      <c r="I59" s="85"/>
      <c r="J59" s="85"/>
      <c r="K59" s="85">
        <v>5115491</v>
      </c>
    </row>
    <row r="60" spans="2:11">
      <c r="B60" t="s">
        <v>163</v>
      </c>
      <c r="H60" s="98">
        <v>16780348</v>
      </c>
      <c r="I60" s="85">
        <v>-112729</v>
      </c>
      <c r="J60" s="85">
        <f>SUM(H60:I60)</f>
        <v>16667619</v>
      </c>
      <c r="K60" s="85">
        <v>259491820</v>
      </c>
    </row>
    <row r="61" spans="2:11">
      <c r="H61" s="83"/>
      <c r="I61" s="83"/>
      <c r="J61" s="83"/>
      <c r="K61" s="83"/>
    </row>
    <row r="62" spans="2:11" s="3" customFormat="1">
      <c r="C62" s="10" t="s">
        <v>43</v>
      </c>
      <c r="D62" s="10"/>
      <c r="E62" s="10"/>
      <c r="F62" s="10"/>
      <c r="G62" s="10"/>
      <c r="H62" s="99">
        <f>SUM(H47:H60)</f>
        <v>316367798</v>
      </c>
      <c r="I62" s="99">
        <f>SUM(I47:I60)</f>
        <v>183859508</v>
      </c>
      <c r="J62" s="99">
        <f>SUM(J47:J60)</f>
        <v>500227306</v>
      </c>
      <c r="K62" s="99">
        <f>SUM(K46:K60)</f>
        <v>823490178</v>
      </c>
    </row>
    <row r="63" spans="2:11">
      <c r="H63" s="85"/>
      <c r="I63" s="85"/>
      <c r="J63" s="85"/>
      <c r="K63" s="85"/>
    </row>
    <row r="64" spans="2:11" s="3" customFormat="1">
      <c r="C64" s="11" t="s">
        <v>44</v>
      </c>
      <c r="D64" s="11"/>
      <c r="E64" s="11"/>
      <c r="F64" s="11"/>
      <c r="G64" s="11"/>
      <c r="H64" s="100">
        <f>SUM(H62+H42+H44)</f>
        <v>502417716</v>
      </c>
      <c r="I64" s="100">
        <f t="shared" ref="I64:K64" si="3">SUM(I62+I42+I44)</f>
        <v>221250254</v>
      </c>
      <c r="J64" s="100">
        <f t="shared" si="3"/>
        <v>723667970</v>
      </c>
      <c r="K64" s="100">
        <f t="shared" si="3"/>
        <v>1008082998</v>
      </c>
    </row>
    <row r="65" spans="8:11">
      <c r="H65" s="85"/>
      <c r="I65" s="85"/>
      <c r="J65" s="85"/>
      <c r="K65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38"/>
  <sheetViews>
    <sheetView workbookViewId="0">
      <selection activeCell="G27" sqref="G27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2.7109375" customWidth="1"/>
    <col min="6" max="6" width="26.7109375" customWidth="1"/>
    <col min="7" max="7" width="17.140625" customWidth="1"/>
  </cols>
  <sheetData>
    <row r="1" spans="1:7" ht="18.600000000000001">
      <c r="A1" s="1"/>
      <c r="B1" s="1"/>
      <c r="C1" s="202" t="s">
        <v>600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4" spans="1:7" ht="29.1">
      <c r="G4" s="2" t="s">
        <v>3</v>
      </c>
    </row>
    <row r="5" spans="1:7">
      <c r="A5" s="3" t="s">
        <v>5</v>
      </c>
      <c r="C5" s="3"/>
      <c r="F5" s="4"/>
      <c r="G5" s="4"/>
    </row>
    <row r="6" spans="1:7">
      <c r="B6" t="s">
        <v>65</v>
      </c>
      <c r="G6" s="79">
        <v>7110474</v>
      </c>
    </row>
    <row r="7" spans="1:7">
      <c r="B7" t="s">
        <v>8</v>
      </c>
      <c r="G7" s="86">
        <v>7240283</v>
      </c>
    </row>
    <row r="8" spans="1:7">
      <c r="B8" t="s">
        <v>46</v>
      </c>
      <c r="G8" s="80">
        <v>4749704</v>
      </c>
    </row>
    <row r="9" spans="1:7">
      <c r="B9" t="s">
        <v>50</v>
      </c>
      <c r="G9" s="96">
        <v>12207847</v>
      </c>
    </row>
    <row r="10" spans="1:7">
      <c r="G10" s="85"/>
    </row>
    <row r="11" spans="1:7">
      <c r="A11" s="5"/>
      <c r="B11" s="6" t="s">
        <v>17</v>
      </c>
      <c r="C11" s="6"/>
      <c r="D11" s="6"/>
      <c r="E11" s="6"/>
      <c r="F11" s="6"/>
      <c r="G11" s="84">
        <f>SUM(G6:G9)</f>
        <v>31308308</v>
      </c>
    </row>
    <row r="12" spans="1:7">
      <c r="G12" s="85"/>
    </row>
    <row r="13" spans="1:7">
      <c r="A13" s="5" t="s">
        <v>20</v>
      </c>
      <c r="G13" s="85"/>
    </row>
    <row r="14" spans="1:7">
      <c r="A14" s="5"/>
      <c r="B14" t="s">
        <v>259</v>
      </c>
      <c r="G14" s="81">
        <v>987165</v>
      </c>
    </row>
    <row r="15" spans="1:7">
      <c r="A15" s="5"/>
      <c r="B15" t="s">
        <v>407</v>
      </c>
      <c r="G15" s="86">
        <v>1373845</v>
      </c>
    </row>
    <row r="16" spans="1:7">
      <c r="B16" t="s">
        <v>279</v>
      </c>
      <c r="G16" s="101">
        <v>260018</v>
      </c>
    </row>
    <row r="17" spans="1:7">
      <c r="B17" t="s">
        <v>30</v>
      </c>
      <c r="G17" s="88">
        <v>219368</v>
      </c>
    </row>
    <row r="18" spans="1:7">
      <c r="B18" t="s">
        <v>189</v>
      </c>
      <c r="G18" s="97">
        <v>174000</v>
      </c>
    </row>
    <row r="19" spans="1:7">
      <c r="B19" t="s">
        <v>601</v>
      </c>
      <c r="G19" s="79">
        <v>180000</v>
      </c>
    </row>
    <row r="20" spans="1:7">
      <c r="B20" t="s">
        <v>602</v>
      </c>
      <c r="G20" s="87">
        <v>18000</v>
      </c>
    </row>
    <row r="21" spans="1:7">
      <c r="B21" t="s">
        <v>603</v>
      </c>
      <c r="G21" s="80">
        <v>235000</v>
      </c>
    </row>
    <row r="22" spans="1:7">
      <c r="B22" t="s">
        <v>274</v>
      </c>
      <c r="G22" s="81">
        <v>1012903</v>
      </c>
    </row>
    <row r="23" spans="1:7">
      <c r="B23" t="s">
        <v>604</v>
      </c>
      <c r="G23" s="81">
        <v>6907020</v>
      </c>
    </row>
    <row r="24" spans="1:7">
      <c r="G24" s="83"/>
    </row>
    <row r="25" spans="1:7">
      <c r="C25" s="8" t="s">
        <v>33</v>
      </c>
      <c r="D25" s="9"/>
      <c r="E25" s="9"/>
      <c r="F25" s="9"/>
      <c r="G25" s="89">
        <f>SUM(G14:G23)</f>
        <v>11367319</v>
      </c>
    </row>
    <row r="26" spans="1:7">
      <c r="G26" s="85" t="s">
        <v>605</v>
      </c>
    </row>
    <row r="27" spans="1:7">
      <c r="A27" s="5" t="s">
        <v>191</v>
      </c>
      <c r="G27" s="85"/>
    </row>
    <row r="28" spans="1:7">
      <c r="B28" t="s">
        <v>192</v>
      </c>
      <c r="G28" s="142">
        <v>14194</v>
      </c>
    </row>
    <row r="29" spans="1:7">
      <c r="G29" s="85"/>
    </row>
    <row r="30" spans="1:7">
      <c r="A30" s="3" t="s">
        <v>36</v>
      </c>
      <c r="G30" s="85"/>
    </row>
    <row r="31" spans="1:7">
      <c r="B31" t="s">
        <v>37</v>
      </c>
      <c r="G31" s="90">
        <v>11600847</v>
      </c>
    </row>
    <row r="32" spans="1:7">
      <c r="B32" t="s">
        <v>606</v>
      </c>
      <c r="G32" s="91">
        <v>4765799</v>
      </c>
    </row>
    <row r="33" spans="1:7">
      <c r="B33" t="s">
        <v>42</v>
      </c>
      <c r="G33" s="98">
        <v>3560149</v>
      </c>
    </row>
    <row r="34" spans="1:7">
      <c r="G34" s="83"/>
    </row>
    <row r="35" spans="1:7">
      <c r="A35" s="3"/>
      <c r="B35" s="10" t="s">
        <v>43</v>
      </c>
      <c r="C35" s="10"/>
      <c r="D35" s="10"/>
      <c r="E35" s="10"/>
      <c r="F35" s="10"/>
      <c r="G35" s="99">
        <f>SUM(G31:G33)</f>
        <v>19926795</v>
      </c>
    </row>
    <row r="36" spans="1:7">
      <c r="G36" s="85"/>
    </row>
    <row r="37" spans="1:7">
      <c r="A37" s="3"/>
      <c r="B37" s="11" t="s">
        <v>44</v>
      </c>
      <c r="C37" s="11"/>
      <c r="D37" s="11"/>
      <c r="E37" s="11"/>
      <c r="F37" s="11"/>
      <c r="G37" s="100">
        <f>SUM(G25+G35+G28)</f>
        <v>31308308</v>
      </c>
    </row>
    <row r="38" spans="1:7">
      <c r="G38" s="85"/>
    </row>
  </sheetData>
  <mergeCells count="2">
    <mergeCell ref="C1:G1"/>
    <mergeCell ref="C2:G2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42"/>
  <sheetViews>
    <sheetView workbookViewId="0">
      <selection activeCell="H43" sqref="H43"/>
    </sheetView>
  </sheetViews>
  <sheetFormatPr defaultColWidth="8.85546875" defaultRowHeight="14.45"/>
  <cols>
    <col min="1" max="1" width="3.28515625" customWidth="1"/>
    <col min="2" max="2" width="3" customWidth="1"/>
    <col min="3" max="3" width="2.140625" customWidth="1"/>
    <col min="4" max="4" width="3.28515625" customWidth="1"/>
    <col min="5" max="5" width="8.7109375" customWidth="1"/>
    <col min="6" max="6" width="12.710937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607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3" spans="1:11" ht="15.75" customHeight="1">
      <c r="A3" s="1"/>
      <c r="B3" s="1"/>
      <c r="C3" s="1"/>
      <c r="D3" s="103"/>
      <c r="E3" s="103"/>
      <c r="F3" s="103"/>
      <c r="G3" s="103"/>
      <c r="H3" s="103"/>
      <c r="I3" s="103"/>
    </row>
    <row r="4" spans="1:11">
      <c r="H4" s="155" t="s">
        <v>2</v>
      </c>
      <c r="I4" s="208" t="s">
        <v>101</v>
      </c>
      <c r="J4" s="208"/>
    </row>
    <row r="5" spans="1:11" ht="31.5" customHeight="1">
      <c r="H5" s="110" t="s">
        <v>3</v>
      </c>
      <c r="I5" s="110" t="s">
        <v>258</v>
      </c>
      <c r="J5" s="111" t="s">
        <v>608</v>
      </c>
      <c r="K5" s="5"/>
    </row>
    <row r="6" spans="1:11">
      <c r="A6" s="3" t="s">
        <v>5</v>
      </c>
      <c r="D6" s="3"/>
      <c r="G6" s="4"/>
      <c r="H6" s="4"/>
      <c r="I6" s="4"/>
    </row>
    <row r="7" spans="1:11">
      <c r="C7" t="s">
        <v>102</v>
      </c>
      <c r="H7" s="79">
        <v>53128318</v>
      </c>
      <c r="I7" s="85">
        <v>60326</v>
      </c>
      <c r="J7" s="85">
        <v>205047</v>
      </c>
    </row>
    <row r="8" spans="1:11">
      <c r="C8" t="s">
        <v>103</v>
      </c>
      <c r="H8" s="80">
        <v>381262</v>
      </c>
      <c r="I8" s="85"/>
      <c r="J8" s="85">
        <v>100</v>
      </c>
    </row>
    <row r="9" spans="1:11">
      <c r="C9" t="s">
        <v>395</v>
      </c>
      <c r="H9" s="95">
        <v>630</v>
      </c>
      <c r="I9" s="85"/>
      <c r="J9" s="85"/>
    </row>
    <row r="10" spans="1:11">
      <c r="C10" t="s">
        <v>104</v>
      </c>
      <c r="H10" s="95">
        <v>8635042</v>
      </c>
      <c r="I10" s="85">
        <v>186781</v>
      </c>
      <c r="J10" s="85">
        <v>60361</v>
      </c>
    </row>
    <row r="11" spans="1:11">
      <c r="C11" t="s">
        <v>139</v>
      </c>
      <c r="H11" s="81">
        <v>56444</v>
      </c>
      <c r="I11" s="85"/>
      <c r="J11" s="85"/>
    </row>
    <row r="12" spans="1:11">
      <c r="C12" t="s">
        <v>108</v>
      </c>
      <c r="H12" s="82">
        <v>82500254</v>
      </c>
      <c r="I12" s="85"/>
      <c r="J12" s="85"/>
    </row>
    <row r="13" spans="1:11">
      <c r="H13" s="83"/>
      <c r="I13" s="83"/>
      <c r="J13" s="83"/>
    </row>
    <row r="14" spans="1:11" s="5" customFormat="1">
      <c r="C14" s="6" t="s">
        <v>17</v>
      </c>
      <c r="D14" s="6"/>
      <c r="E14" s="6"/>
      <c r="F14" s="6"/>
      <c r="G14" s="6"/>
      <c r="H14" s="84">
        <f>SUM(H7:H12)</f>
        <v>144701950</v>
      </c>
      <c r="I14" s="84">
        <f>SUM(I7:I12)</f>
        <v>247107</v>
      </c>
      <c r="J14" s="84">
        <f>SUM(J7:J12)</f>
        <v>265508</v>
      </c>
    </row>
    <row r="15" spans="1:11">
      <c r="H15" s="85"/>
      <c r="I15" s="85"/>
      <c r="J15" s="85"/>
    </row>
    <row r="16" spans="1:11">
      <c r="A16" s="5" t="s">
        <v>20</v>
      </c>
      <c r="H16" s="85"/>
      <c r="I16" s="85"/>
      <c r="J16" s="85"/>
    </row>
    <row r="17" spans="1:10">
      <c r="C17" t="s">
        <v>260</v>
      </c>
      <c r="H17" s="86">
        <v>1215562</v>
      </c>
      <c r="I17" s="85">
        <v>28729</v>
      </c>
      <c r="J17" s="85">
        <v>21343</v>
      </c>
    </row>
    <row r="18" spans="1:10">
      <c r="C18" t="s">
        <v>75</v>
      </c>
      <c r="H18" s="116">
        <v>818573</v>
      </c>
      <c r="I18" s="85"/>
      <c r="J18" s="85"/>
    </row>
    <row r="19" spans="1:10">
      <c r="C19" t="s">
        <v>22</v>
      </c>
      <c r="H19" s="116">
        <v>151097</v>
      </c>
      <c r="I19" s="85"/>
      <c r="J19" s="85"/>
    </row>
    <row r="20" spans="1:10">
      <c r="C20" t="s">
        <v>26</v>
      </c>
      <c r="H20" s="114"/>
      <c r="I20" s="85">
        <v>630</v>
      </c>
      <c r="J20" s="85"/>
    </row>
    <row r="21" spans="1:10">
      <c r="C21" t="s">
        <v>211</v>
      </c>
      <c r="H21" s="131">
        <v>58759</v>
      </c>
      <c r="I21" s="85"/>
      <c r="J21" s="85"/>
    </row>
    <row r="22" spans="1:10">
      <c r="C22" t="s">
        <v>25</v>
      </c>
      <c r="H22" s="116">
        <v>31076</v>
      </c>
      <c r="I22" s="85"/>
      <c r="J22" s="85"/>
    </row>
    <row r="23" spans="1:10">
      <c r="C23" t="s">
        <v>27</v>
      </c>
      <c r="H23" s="85"/>
      <c r="I23" s="85"/>
      <c r="J23" s="85"/>
    </row>
    <row r="24" spans="1:10" s="5" customFormat="1">
      <c r="C24"/>
      <c r="D24" t="s">
        <v>81</v>
      </c>
      <c r="H24" s="97">
        <v>365000</v>
      </c>
      <c r="I24" s="105"/>
      <c r="J24" s="85"/>
    </row>
    <row r="25" spans="1:10" s="5" customFormat="1">
      <c r="C25"/>
      <c r="D25" t="s">
        <v>82</v>
      </c>
      <c r="H25" s="79">
        <v>5463515</v>
      </c>
      <c r="I25" s="105"/>
      <c r="J25" s="85"/>
    </row>
    <row r="26" spans="1:10">
      <c r="H26" s="83"/>
      <c r="I26" s="83"/>
      <c r="J26" s="83"/>
    </row>
    <row r="27" spans="1:10">
      <c r="D27" s="8" t="s">
        <v>33</v>
      </c>
      <c r="E27" s="9"/>
      <c r="F27" s="9"/>
      <c r="G27" s="9"/>
      <c r="H27" s="89">
        <f>SUM(H17:H25)</f>
        <v>8103582</v>
      </c>
      <c r="I27" s="89">
        <f>SUM(I17:I25)</f>
        <v>29359</v>
      </c>
      <c r="J27" s="89">
        <f>SUM(J17:J25)</f>
        <v>21343</v>
      </c>
    </row>
    <row r="28" spans="1:10">
      <c r="H28" s="85"/>
      <c r="I28" s="85"/>
      <c r="J28" s="85"/>
    </row>
    <row r="29" spans="1:10">
      <c r="A29" s="5" t="s">
        <v>34</v>
      </c>
      <c r="H29" s="85"/>
      <c r="I29" s="85"/>
      <c r="J29" s="85"/>
    </row>
    <row r="30" spans="1:10">
      <c r="C30" t="s">
        <v>112</v>
      </c>
      <c r="H30" s="142">
        <v>948391</v>
      </c>
      <c r="I30" s="142"/>
      <c r="J30" s="142"/>
    </row>
    <row r="31" spans="1:10">
      <c r="H31" s="85"/>
      <c r="I31" s="85"/>
      <c r="J31" s="85"/>
    </row>
    <row r="32" spans="1:10">
      <c r="A32" s="3" t="s">
        <v>36</v>
      </c>
      <c r="H32" s="85"/>
      <c r="I32" s="85"/>
      <c r="J32" s="85"/>
    </row>
    <row r="33" spans="2:10">
      <c r="B33" t="s">
        <v>37</v>
      </c>
      <c r="H33" s="90">
        <v>80370929</v>
      </c>
      <c r="I33" s="85"/>
      <c r="J33" s="85"/>
    </row>
    <row r="34" spans="2:10">
      <c r="B34" t="s">
        <v>38</v>
      </c>
      <c r="H34" s="85"/>
      <c r="I34" s="85"/>
      <c r="J34" s="85"/>
    </row>
    <row r="35" spans="2:10">
      <c r="C35" t="s">
        <v>39</v>
      </c>
      <c r="H35" s="91">
        <v>1615102</v>
      </c>
      <c r="I35" s="85"/>
      <c r="J35" s="85"/>
    </row>
    <row r="36" spans="2:10">
      <c r="C36" t="s">
        <v>41</v>
      </c>
      <c r="H36" s="91">
        <v>36016375</v>
      </c>
      <c r="I36" s="85"/>
      <c r="J36" s="85"/>
    </row>
    <row r="37" spans="2:10">
      <c r="B37" t="s">
        <v>42</v>
      </c>
      <c r="H37" s="98">
        <v>17647571</v>
      </c>
      <c r="I37" s="85">
        <v>217748</v>
      </c>
      <c r="J37" s="85">
        <v>244165</v>
      </c>
    </row>
    <row r="38" spans="2:10">
      <c r="H38" s="83"/>
      <c r="I38" s="83"/>
      <c r="J38" s="83"/>
    </row>
    <row r="39" spans="2:10" s="3" customFormat="1">
      <c r="C39" s="10" t="s">
        <v>43</v>
      </c>
      <c r="D39" s="10"/>
      <c r="E39" s="10"/>
      <c r="F39" s="10"/>
      <c r="G39" s="10"/>
      <c r="H39" s="99">
        <f>SUM(H33:H37)</f>
        <v>135649977</v>
      </c>
      <c r="I39" s="99">
        <f>SUM(I33:I37)</f>
        <v>217748</v>
      </c>
      <c r="J39" s="99">
        <f>SUM(J32:J37)</f>
        <v>244165</v>
      </c>
    </row>
    <row r="40" spans="2:10">
      <c r="H40" s="85"/>
      <c r="I40" s="85"/>
      <c r="J40" s="85"/>
    </row>
    <row r="41" spans="2:10" s="3" customFormat="1">
      <c r="C41" s="11" t="s">
        <v>44</v>
      </c>
      <c r="D41" s="11"/>
      <c r="E41" s="11"/>
      <c r="F41" s="11"/>
      <c r="G41" s="11"/>
      <c r="H41" s="100">
        <f>SUM(H27+H39+H30)</f>
        <v>144701950</v>
      </c>
      <c r="I41" s="100">
        <f t="shared" ref="I41:J41" si="0">SUM(I27+I39+I30)</f>
        <v>247107</v>
      </c>
      <c r="J41" s="100">
        <f t="shared" si="0"/>
        <v>265508</v>
      </c>
    </row>
    <row r="42" spans="2:10">
      <c r="H42" s="85"/>
      <c r="I42" s="85"/>
      <c r="J42" s="85"/>
    </row>
  </sheetData>
  <mergeCells count="3">
    <mergeCell ref="D1:H1"/>
    <mergeCell ref="D2:H2"/>
    <mergeCell ref="I4:J4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2D050"/>
  </sheetPr>
  <dimension ref="A1:J40"/>
  <sheetViews>
    <sheetView topLeftCell="A4" workbookViewId="0">
      <selection activeCell="H37" sqref="H37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02" t="s">
        <v>609</v>
      </c>
      <c r="E1" s="202"/>
      <c r="F1" s="202"/>
      <c r="G1" s="202"/>
      <c r="H1" s="202"/>
    </row>
    <row r="2" spans="1:9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9" ht="27" customHeight="1">
      <c r="H4" s="136"/>
      <c r="I4" s="5"/>
    </row>
    <row r="5" spans="1:9">
      <c r="H5" s="110">
        <v>2013</v>
      </c>
      <c r="I5" s="110">
        <v>2012</v>
      </c>
    </row>
    <row r="6" spans="1:9">
      <c r="A6" s="3" t="s">
        <v>5</v>
      </c>
      <c r="D6" s="3"/>
      <c r="G6" s="4"/>
      <c r="H6" s="4"/>
    </row>
    <row r="7" spans="1:9">
      <c r="C7" t="s">
        <v>65</v>
      </c>
      <c r="H7" s="79">
        <v>23897070</v>
      </c>
      <c r="I7">
        <v>23444012</v>
      </c>
    </row>
    <row r="8" spans="1:9">
      <c r="C8" t="s">
        <v>610</v>
      </c>
      <c r="H8" s="86">
        <v>1246021</v>
      </c>
      <c r="I8">
        <v>1243260</v>
      </c>
    </row>
    <row r="9" spans="1:9">
      <c r="C9" t="s">
        <v>611</v>
      </c>
      <c r="H9" s="80">
        <v>6132255</v>
      </c>
      <c r="I9">
        <v>5819491</v>
      </c>
    </row>
    <row r="10" spans="1:9">
      <c r="C10" t="s">
        <v>182</v>
      </c>
      <c r="H10" s="81">
        <v>21627</v>
      </c>
    </row>
    <row r="11" spans="1:9">
      <c r="C11" t="s">
        <v>120</v>
      </c>
      <c r="H11" s="85"/>
    </row>
    <row r="12" spans="1:9">
      <c r="D12" t="s">
        <v>121</v>
      </c>
      <c r="H12" s="82">
        <v>1695977</v>
      </c>
      <c r="I12">
        <v>1675227</v>
      </c>
    </row>
    <row r="13" spans="1:9">
      <c r="D13" t="s">
        <v>122</v>
      </c>
      <c r="H13" s="82">
        <v>6348922</v>
      </c>
      <c r="I13">
        <v>6507783</v>
      </c>
    </row>
    <row r="14" spans="1:9">
      <c r="D14" t="s">
        <v>123</v>
      </c>
      <c r="H14" s="82">
        <v>8930284</v>
      </c>
      <c r="I14">
        <v>8408447</v>
      </c>
    </row>
    <row r="15" spans="1:9">
      <c r="D15" t="s">
        <v>124</v>
      </c>
      <c r="H15" s="82">
        <v>27802037</v>
      </c>
      <c r="I15">
        <v>27562146</v>
      </c>
    </row>
    <row r="16" spans="1:9">
      <c r="D16" t="s">
        <v>612</v>
      </c>
      <c r="H16" s="82">
        <v>544834</v>
      </c>
      <c r="I16">
        <v>509728</v>
      </c>
    </row>
    <row r="17" spans="1:9">
      <c r="H17" s="83"/>
      <c r="I17" s="137"/>
    </row>
    <row r="18" spans="1:9">
      <c r="C18" s="6" t="s">
        <v>17</v>
      </c>
      <c r="D18" s="7"/>
      <c r="E18" s="7"/>
      <c r="F18" s="7"/>
      <c r="G18" s="7"/>
      <c r="H18" s="84">
        <f>SUM(H7:H16)</f>
        <v>76619027</v>
      </c>
      <c r="I18" s="84">
        <f>SUM(I7:I16)</f>
        <v>75170094</v>
      </c>
    </row>
    <row r="19" spans="1:9">
      <c r="H19" s="85"/>
    </row>
    <row r="20" spans="1:9">
      <c r="A20" s="5" t="s">
        <v>20</v>
      </c>
      <c r="H20" s="85"/>
    </row>
    <row r="21" spans="1:9">
      <c r="C21" t="s">
        <v>126</v>
      </c>
      <c r="H21" s="86">
        <v>831526</v>
      </c>
      <c r="I21">
        <v>755784</v>
      </c>
    </row>
    <row r="22" spans="1:9">
      <c r="C22" t="s">
        <v>112</v>
      </c>
      <c r="H22" s="81">
        <v>110008</v>
      </c>
      <c r="I22">
        <v>2230</v>
      </c>
    </row>
    <row r="23" spans="1:9">
      <c r="C23" t="s">
        <v>127</v>
      </c>
      <c r="H23" s="86">
        <v>382172</v>
      </c>
      <c r="I23">
        <v>388877</v>
      </c>
    </row>
    <row r="24" spans="1:9">
      <c r="C24" t="s">
        <v>27</v>
      </c>
      <c r="H24" s="85"/>
    </row>
    <row r="25" spans="1:9">
      <c r="D25" t="s">
        <v>81</v>
      </c>
      <c r="H25" s="97">
        <v>812070</v>
      </c>
      <c r="I25">
        <v>698388</v>
      </c>
    </row>
    <row r="26" spans="1:9">
      <c r="D26" t="s">
        <v>82</v>
      </c>
      <c r="H26" s="79">
        <v>19678827</v>
      </c>
      <c r="I26">
        <v>17831812</v>
      </c>
    </row>
    <row r="27" spans="1:9">
      <c r="H27" s="83"/>
      <c r="I27" s="137"/>
    </row>
    <row r="28" spans="1:9">
      <c r="D28" s="8" t="s">
        <v>33</v>
      </c>
      <c r="E28" s="9"/>
      <c r="F28" s="9"/>
      <c r="G28" s="9"/>
      <c r="H28" s="89">
        <f>SUM(H21:H26)</f>
        <v>21814603</v>
      </c>
      <c r="I28" s="89">
        <f>SUM(I21:I26)</f>
        <v>19677091</v>
      </c>
    </row>
    <row r="29" spans="1:9">
      <c r="H29" s="85"/>
    </row>
    <row r="30" spans="1:9">
      <c r="A30" s="3" t="s">
        <v>36</v>
      </c>
      <c r="H30" s="85"/>
    </row>
    <row r="31" spans="1:9">
      <c r="B31" t="s">
        <v>99</v>
      </c>
      <c r="H31" s="90">
        <v>35813460</v>
      </c>
      <c r="I31">
        <v>35183499</v>
      </c>
    </row>
    <row r="32" spans="1:9">
      <c r="B32" t="s">
        <v>38</v>
      </c>
      <c r="H32" s="85"/>
    </row>
    <row r="33" spans="2:10">
      <c r="C33" t="s">
        <v>586</v>
      </c>
      <c r="H33" s="91">
        <v>749979</v>
      </c>
      <c r="I33">
        <v>797878</v>
      </c>
    </row>
    <row r="34" spans="2:10">
      <c r="C34" t="s">
        <v>613</v>
      </c>
      <c r="H34" s="91">
        <v>2213890</v>
      </c>
      <c r="I34">
        <v>2285219</v>
      </c>
    </row>
    <row r="35" spans="2:10">
      <c r="B35" t="s">
        <v>42</v>
      </c>
      <c r="H35" s="92">
        <v>16036096</v>
      </c>
      <c r="I35">
        <v>17226407</v>
      </c>
    </row>
    <row r="36" spans="2:10">
      <c r="H36" s="85"/>
      <c r="I36" s="137"/>
    </row>
    <row r="37" spans="2:10" s="3" customFormat="1">
      <c r="C37" s="10" t="s">
        <v>43</v>
      </c>
      <c r="D37" s="10"/>
      <c r="E37" s="10"/>
      <c r="F37" s="10"/>
      <c r="G37" s="10"/>
      <c r="H37" s="156">
        <f>SUM(H31:H35)</f>
        <v>54813425</v>
      </c>
      <c r="I37" s="93">
        <f>SUM(I31:I35)</f>
        <v>55493003</v>
      </c>
    </row>
    <row r="38" spans="2:10">
      <c r="H38" s="85"/>
    </row>
    <row r="39" spans="2:10" s="3" customFormat="1">
      <c r="C39" s="11" t="s">
        <v>44</v>
      </c>
      <c r="D39" s="11"/>
      <c r="E39" s="11"/>
      <c r="F39" s="11"/>
      <c r="G39" s="11"/>
      <c r="H39" s="100">
        <f>SUM(H37+H28)</f>
        <v>76628028</v>
      </c>
      <c r="I39" s="100">
        <f>SUM(I37+I28)</f>
        <v>75170094</v>
      </c>
      <c r="J39" s="106"/>
    </row>
    <row r="40" spans="2:10">
      <c r="H40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1"/>
  <sheetViews>
    <sheetView workbookViewId="0">
      <selection activeCell="M54" sqref="M54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9" width="17.140625" customWidth="1"/>
    <col min="10" max="10" width="17.28515625" customWidth="1"/>
  </cols>
  <sheetData>
    <row r="1" spans="1:11" ht="18.75" customHeight="1">
      <c r="A1" s="1"/>
      <c r="B1" s="1"/>
      <c r="C1" s="1"/>
      <c r="D1" s="202" t="s">
        <v>614</v>
      </c>
      <c r="E1" s="202"/>
      <c r="F1" s="202"/>
      <c r="G1" s="202"/>
      <c r="H1" s="202"/>
      <c r="I1" s="102"/>
    </row>
    <row r="2" spans="1:11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</row>
    <row r="4" spans="1:11" ht="14.25" customHeight="1">
      <c r="H4" s="204" t="s">
        <v>2</v>
      </c>
      <c r="I4" s="204"/>
    </row>
    <row r="5" spans="1:11" ht="31.5" customHeight="1">
      <c r="H5" s="110" t="s">
        <v>3</v>
      </c>
      <c r="I5" s="110" t="s">
        <v>137</v>
      </c>
      <c r="J5" s="111" t="s">
        <v>64</v>
      </c>
      <c r="K5" s="5"/>
    </row>
    <row r="6" spans="1:11">
      <c r="A6" s="3" t="s">
        <v>5</v>
      </c>
      <c r="D6" s="3"/>
      <c r="G6" s="4"/>
      <c r="H6" s="4"/>
      <c r="I6" s="4"/>
    </row>
    <row r="7" spans="1:11">
      <c r="C7" t="s">
        <v>376</v>
      </c>
      <c r="H7" s="79">
        <v>1269386</v>
      </c>
      <c r="I7" s="85">
        <v>110817</v>
      </c>
      <c r="J7" s="85">
        <f t="shared" ref="J7:J15" si="0">SUM(H7:I7)</f>
        <v>1380203</v>
      </c>
    </row>
    <row r="8" spans="1:11">
      <c r="C8" t="s">
        <v>8</v>
      </c>
      <c r="H8" s="86">
        <v>2545233</v>
      </c>
      <c r="I8" s="85"/>
      <c r="J8" s="85">
        <f t="shared" si="0"/>
        <v>2545233</v>
      </c>
    </row>
    <row r="9" spans="1:11">
      <c r="C9" t="s">
        <v>46</v>
      </c>
      <c r="H9" s="80">
        <v>5095177</v>
      </c>
      <c r="I9" s="85"/>
      <c r="J9" s="85">
        <f t="shared" si="0"/>
        <v>5095177</v>
      </c>
    </row>
    <row r="10" spans="1:11">
      <c r="C10" t="s">
        <v>615</v>
      </c>
      <c r="H10" s="80">
        <v>230025</v>
      </c>
      <c r="I10" s="85"/>
      <c r="J10" s="85">
        <f>SUM(H10)</f>
        <v>230025</v>
      </c>
    </row>
    <row r="11" spans="1:11">
      <c r="C11" t="s">
        <v>481</v>
      </c>
      <c r="H11" s="85"/>
      <c r="I11" s="85"/>
      <c r="J11" s="85">
        <f>SUM(H11)</f>
        <v>0</v>
      </c>
    </row>
    <row r="12" spans="1:11">
      <c r="C12" t="s">
        <v>616</v>
      </c>
      <c r="H12" s="85"/>
      <c r="I12" s="85"/>
      <c r="J12" s="85"/>
    </row>
    <row r="13" spans="1:11">
      <c r="C13" t="s">
        <v>617</v>
      </c>
      <c r="H13" s="85"/>
      <c r="I13" s="85"/>
      <c r="J13" s="85"/>
    </row>
    <row r="14" spans="1:11">
      <c r="C14" t="s">
        <v>250</v>
      </c>
      <c r="H14" s="85"/>
      <c r="I14" s="85"/>
      <c r="J14" s="85"/>
    </row>
    <row r="15" spans="1:11">
      <c r="C15" t="s">
        <v>47</v>
      </c>
      <c r="H15" s="95">
        <v>352460</v>
      </c>
      <c r="I15" s="85"/>
      <c r="J15" s="85">
        <f t="shared" si="0"/>
        <v>352460</v>
      </c>
    </row>
    <row r="16" spans="1:11">
      <c r="C16" t="s">
        <v>618</v>
      </c>
      <c r="H16" s="81">
        <v>1467434</v>
      </c>
      <c r="I16" s="85"/>
      <c r="J16" s="85">
        <f>SUM(H16)</f>
        <v>1467434</v>
      </c>
    </row>
    <row r="17" spans="1:10">
      <c r="C17" t="s">
        <v>619</v>
      </c>
      <c r="H17" s="81">
        <v>873296</v>
      </c>
      <c r="I17" s="85"/>
      <c r="J17" s="85">
        <f>SUM(H17)</f>
        <v>873296</v>
      </c>
    </row>
    <row r="18" spans="1:10">
      <c r="C18" t="s">
        <v>202</v>
      </c>
      <c r="H18" s="85"/>
      <c r="I18" s="85"/>
      <c r="J18" s="85"/>
    </row>
    <row r="19" spans="1:10">
      <c r="D19" t="s">
        <v>121</v>
      </c>
      <c r="H19" s="82">
        <v>2564278</v>
      </c>
      <c r="I19" s="85"/>
      <c r="J19" s="85">
        <f>SUM(H19)</f>
        <v>2564278</v>
      </c>
    </row>
    <row r="20" spans="1:10">
      <c r="D20" t="s">
        <v>125</v>
      </c>
      <c r="H20" s="82">
        <v>1713828</v>
      </c>
      <c r="I20" s="85"/>
      <c r="J20" s="85">
        <f>SUM(H20)</f>
        <v>1713828</v>
      </c>
    </row>
    <row r="21" spans="1:10">
      <c r="D21" t="s">
        <v>152</v>
      </c>
      <c r="H21" s="82">
        <v>33965136</v>
      </c>
      <c r="I21" s="85"/>
      <c r="J21" s="85">
        <f>SUM(H21)</f>
        <v>33965136</v>
      </c>
    </row>
    <row r="22" spans="1:10">
      <c r="H22" s="83"/>
      <c r="I22" s="83"/>
      <c r="J22" s="83"/>
    </row>
    <row r="23" spans="1:10" s="5" customFormat="1">
      <c r="C23" s="6" t="s">
        <v>17</v>
      </c>
      <c r="D23" s="6"/>
      <c r="E23" s="6"/>
      <c r="F23" s="6"/>
      <c r="G23" s="6"/>
      <c r="H23" s="84">
        <f>SUM(H7:H21)</f>
        <v>50076253</v>
      </c>
      <c r="I23" s="84">
        <f>SUM(I7:I21)</f>
        <v>110817</v>
      </c>
      <c r="J23" s="84">
        <f>SUM(J7:J21)</f>
        <v>50187070</v>
      </c>
    </row>
    <row r="24" spans="1:10">
      <c r="H24" s="85"/>
      <c r="I24" s="85"/>
      <c r="J24" s="85"/>
    </row>
    <row r="25" spans="1:10">
      <c r="A25" s="5" t="s">
        <v>20</v>
      </c>
      <c r="H25" s="85"/>
      <c r="I25" s="85"/>
      <c r="J25" s="85"/>
    </row>
    <row r="26" spans="1:10">
      <c r="C26" t="s">
        <v>21</v>
      </c>
      <c r="H26" s="86">
        <v>877732</v>
      </c>
      <c r="I26" s="85"/>
      <c r="J26" s="85">
        <f t="shared" ref="J26:J32" si="1">SUM(H26:I26)</f>
        <v>877732</v>
      </c>
    </row>
    <row r="27" spans="1:10">
      <c r="C27" t="s">
        <v>620</v>
      </c>
      <c r="H27" s="112">
        <v>342731</v>
      </c>
      <c r="I27" s="85"/>
      <c r="J27" s="85">
        <f t="shared" si="1"/>
        <v>342731</v>
      </c>
    </row>
    <row r="28" spans="1:10">
      <c r="C28" t="s">
        <v>211</v>
      </c>
      <c r="H28" s="101">
        <v>910200</v>
      </c>
      <c r="I28" s="85"/>
      <c r="J28" s="85">
        <f t="shared" si="1"/>
        <v>910200</v>
      </c>
    </row>
    <row r="29" spans="1:10">
      <c r="C29" t="s">
        <v>250</v>
      </c>
      <c r="H29" s="85"/>
      <c r="I29" s="85"/>
      <c r="J29" s="85">
        <f t="shared" si="1"/>
        <v>0</v>
      </c>
    </row>
    <row r="30" spans="1:10">
      <c r="C30" t="s">
        <v>621</v>
      </c>
      <c r="H30" s="81">
        <v>644340</v>
      </c>
      <c r="I30" s="85"/>
      <c r="J30" s="85">
        <f t="shared" si="1"/>
        <v>644340</v>
      </c>
    </row>
    <row r="31" spans="1:10">
      <c r="C31" t="s">
        <v>27</v>
      </c>
      <c r="H31" s="85"/>
      <c r="I31" s="85"/>
      <c r="J31" s="85">
        <f t="shared" si="1"/>
        <v>0</v>
      </c>
    </row>
    <row r="32" spans="1:10">
      <c r="D32" t="s">
        <v>622</v>
      </c>
      <c r="H32" s="97">
        <v>1480893</v>
      </c>
      <c r="I32" s="85"/>
      <c r="J32" s="85">
        <f t="shared" si="1"/>
        <v>1480893</v>
      </c>
    </row>
    <row r="33" spans="1:10">
      <c r="D33" t="s">
        <v>623</v>
      </c>
      <c r="H33" s="79">
        <v>4425000</v>
      </c>
      <c r="I33" s="85"/>
      <c r="J33" s="85">
        <f>SUM(H33:I33)</f>
        <v>4425000</v>
      </c>
    </row>
    <row r="34" spans="1:10">
      <c r="H34" s="83"/>
      <c r="I34" s="83"/>
      <c r="J34" s="83"/>
    </row>
    <row r="35" spans="1:10">
      <c r="D35" s="8" t="s">
        <v>33</v>
      </c>
      <c r="E35" s="9"/>
      <c r="F35" s="9"/>
      <c r="G35" s="9"/>
      <c r="H35" s="89">
        <f>SUM(H26:H33)</f>
        <v>8680896</v>
      </c>
      <c r="I35" s="89">
        <f>SUM(I26:I33)</f>
        <v>0</v>
      </c>
      <c r="J35" s="89">
        <f>SUM(J26:J33)</f>
        <v>8680896</v>
      </c>
    </row>
    <row r="36" spans="1:10">
      <c r="H36" s="85"/>
      <c r="I36" s="85"/>
      <c r="J36" s="85"/>
    </row>
    <row r="37" spans="1:10">
      <c r="A37" s="3" t="s">
        <v>36</v>
      </c>
      <c r="H37" s="85"/>
      <c r="I37" s="85"/>
      <c r="J37" s="85"/>
    </row>
    <row r="38" spans="1:10">
      <c r="B38" t="s">
        <v>99</v>
      </c>
      <c r="H38" s="90">
        <v>33325933</v>
      </c>
      <c r="I38" s="85"/>
      <c r="J38" s="85">
        <f>SUM(H38:I38)</f>
        <v>33325933</v>
      </c>
    </row>
    <row r="39" spans="1:10">
      <c r="B39" t="s">
        <v>38</v>
      </c>
      <c r="H39" s="85"/>
      <c r="I39" s="85"/>
      <c r="J39" s="85"/>
    </row>
    <row r="40" spans="1:10">
      <c r="C40" t="s">
        <v>40</v>
      </c>
      <c r="H40" s="91">
        <v>458165</v>
      </c>
      <c r="I40" s="85"/>
      <c r="J40" s="85">
        <f t="shared" ref="J40:J46" si="2">SUM(H40:I40)</f>
        <v>458165</v>
      </c>
    </row>
    <row r="41" spans="1:10">
      <c r="C41" t="s">
        <v>129</v>
      </c>
      <c r="H41" s="91">
        <v>683997</v>
      </c>
      <c r="I41" s="85"/>
      <c r="J41" s="85">
        <f t="shared" si="2"/>
        <v>683997</v>
      </c>
    </row>
    <row r="42" spans="1:10">
      <c r="C42" t="s">
        <v>624</v>
      </c>
      <c r="H42" s="91">
        <v>1477902</v>
      </c>
      <c r="I42" s="85"/>
      <c r="J42" s="85">
        <f t="shared" si="2"/>
        <v>1477902</v>
      </c>
    </row>
    <row r="43" spans="1:10">
      <c r="C43" t="s">
        <v>39</v>
      </c>
      <c r="H43" s="91">
        <v>1249213</v>
      </c>
      <c r="I43" s="85"/>
      <c r="J43" s="85">
        <f t="shared" si="2"/>
        <v>1249213</v>
      </c>
    </row>
    <row r="44" spans="1:10">
      <c r="C44" t="s">
        <v>625</v>
      </c>
      <c r="H44" s="91">
        <v>2094708</v>
      </c>
      <c r="I44" s="85"/>
      <c r="J44" s="85">
        <f t="shared" si="2"/>
        <v>2094708</v>
      </c>
    </row>
    <row r="45" spans="1:10">
      <c r="C45" t="s">
        <v>41</v>
      </c>
      <c r="H45" s="91">
        <v>1777349</v>
      </c>
      <c r="I45" s="85"/>
      <c r="J45" s="85">
        <f t="shared" si="2"/>
        <v>1777349</v>
      </c>
    </row>
    <row r="46" spans="1:10">
      <c r="B46" t="s">
        <v>42</v>
      </c>
      <c r="H46" s="98">
        <v>908364</v>
      </c>
      <c r="I46" s="85">
        <v>192351</v>
      </c>
      <c r="J46" s="85">
        <f t="shared" si="2"/>
        <v>1100715</v>
      </c>
    </row>
    <row r="47" spans="1:10">
      <c r="H47" s="83"/>
      <c r="I47" s="83"/>
      <c r="J47" s="83"/>
    </row>
    <row r="48" spans="1:10" s="3" customFormat="1">
      <c r="C48" s="10" t="s">
        <v>43</v>
      </c>
      <c r="D48" s="10"/>
      <c r="E48" s="10"/>
      <c r="F48" s="10"/>
      <c r="G48" s="10"/>
      <c r="H48" s="99">
        <f>SUM(H38:H46)</f>
        <v>41975631</v>
      </c>
      <c r="I48" s="99">
        <f>SUM(I38:I46)</f>
        <v>192351</v>
      </c>
      <c r="J48" s="99">
        <f>SUM(J37:J46)</f>
        <v>42167982</v>
      </c>
    </row>
    <row r="49" spans="3:10">
      <c r="H49" s="85"/>
      <c r="I49" s="85"/>
      <c r="J49" s="85"/>
    </row>
    <row r="50" spans="3:10" s="3" customFormat="1">
      <c r="C50" s="11" t="s">
        <v>44</v>
      </c>
      <c r="D50" s="11"/>
      <c r="E50" s="11"/>
      <c r="F50" s="11"/>
      <c r="G50" s="11"/>
      <c r="H50" s="100">
        <f>SUM(H48+H35)</f>
        <v>50656527</v>
      </c>
      <c r="I50" s="100">
        <f t="shared" ref="I50:J50" si="3">SUM(I48+I35)</f>
        <v>192351</v>
      </c>
      <c r="J50" s="100">
        <f t="shared" si="3"/>
        <v>50848878</v>
      </c>
    </row>
    <row r="51" spans="3:10">
      <c r="H51" s="85"/>
      <c r="I51" s="85"/>
      <c r="J51" s="85"/>
    </row>
  </sheetData>
  <mergeCells count="3">
    <mergeCell ref="D1:H1"/>
    <mergeCell ref="D2:H2"/>
    <mergeCell ref="H4:I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49"/>
  <sheetViews>
    <sheetView workbookViewId="0">
      <selection activeCell="F33" sqref="F33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7.28515625" customWidth="1"/>
  </cols>
  <sheetData>
    <row r="1" spans="1:10" ht="18.75" customHeight="1">
      <c r="A1" s="1"/>
      <c r="B1" s="1"/>
      <c r="C1" s="1"/>
      <c r="D1" s="202" t="s">
        <v>626</v>
      </c>
      <c r="E1" s="202"/>
      <c r="F1" s="202"/>
      <c r="G1" s="202"/>
      <c r="H1" s="202"/>
    </row>
    <row r="2" spans="1:10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3" spans="1:10" ht="11.25" customHeight="1"/>
    <row r="4" spans="1:10" ht="30.75" customHeight="1">
      <c r="H4" s="146" t="s">
        <v>2</v>
      </c>
      <c r="I4" s="129"/>
    </row>
    <row r="5" spans="1:10" ht="31.5" customHeight="1">
      <c r="H5" s="110" t="s">
        <v>3</v>
      </c>
      <c r="I5" s="129" t="s">
        <v>101</v>
      </c>
      <c r="J5" s="5"/>
    </row>
    <row r="6" spans="1:10">
      <c r="A6" s="3" t="s">
        <v>5</v>
      </c>
      <c r="D6" s="3"/>
      <c r="G6" s="4"/>
      <c r="H6" s="4"/>
    </row>
    <row r="7" spans="1:10">
      <c r="C7" t="s">
        <v>65</v>
      </c>
      <c r="H7" s="79">
        <v>5380498</v>
      </c>
      <c r="I7" s="85">
        <v>688883</v>
      </c>
    </row>
    <row r="8" spans="1:10">
      <c r="C8" t="s">
        <v>8</v>
      </c>
      <c r="H8" s="86">
        <v>2611059</v>
      </c>
      <c r="I8" s="85">
        <v>528783</v>
      </c>
    </row>
    <row r="9" spans="1:10">
      <c r="C9" t="s">
        <v>46</v>
      </c>
      <c r="H9" s="80">
        <v>5361318</v>
      </c>
      <c r="I9" s="85">
        <v>427061</v>
      </c>
    </row>
    <row r="10" spans="1:10">
      <c r="C10" t="s">
        <v>168</v>
      </c>
      <c r="H10" s="81">
        <v>287208</v>
      </c>
      <c r="I10" s="85">
        <v>80122</v>
      </c>
    </row>
    <row r="11" spans="1:10">
      <c r="C11" t="s">
        <v>48</v>
      </c>
      <c r="H11" s="85"/>
      <c r="I11" s="85">
        <v>4614</v>
      </c>
    </row>
    <row r="12" spans="1:10">
      <c r="C12" t="s">
        <v>239</v>
      </c>
      <c r="H12" s="82">
        <v>1212782</v>
      </c>
      <c r="I12" s="85"/>
    </row>
    <row r="13" spans="1:10">
      <c r="C13" t="s">
        <v>50</v>
      </c>
      <c r="H13" s="82">
        <v>10318696</v>
      </c>
      <c r="I13" s="85">
        <v>1528182</v>
      </c>
    </row>
    <row r="14" spans="1:10">
      <c r="H14" s="83"/>
      <c r="I14" s="83"/>
    </row>
    <row r="15" spans="1:10" s="5" customFormat="1">
      <c r="C15" s="6" t="s">
        <v>17</v>
      </c>
      <c r="D15" s="6"/>
      <c r="E15" s="6"/>
      <c r="F15" s="6"/>
      <c r="G15" s="6"/>
      <c r="H15" s="84">
        <f>SUM(H7:H13)</f>
        <v>25171561</v>
      </c>
      <c r="I15" s="84">
        <f>SUM(I7:I13)</f>
        <v>3257645</v>
      </c>
    </row>
    <row r="16" spans="1:10">
      <c r="H16" s="85"/>
      <c r="I16" s="85"/>
    </row>
    <row r="17" spans="1:9">
      <c r="A17" s="5" t="s">
        <v>20</v>
      </c>
      <c r="H17" s="85"/>
      <c r="I17" s="85"/>
    </row>
    <row r="18" spans="1:9">
      <c r="A18" s="5"/>
      <c r="C18" t="s">
        <v>627</v>
      </c>
      <c r="H18" s="86">
        <v>132395</v>
      </c>
      <c r="I18" s="85">
        <v>210769</v>
      </c>
    </row>
    <row r="19" spans="1:9">
      <c r="C19" t="s">
        <v>628</v>
      </c>
      <c r="H19" s="86">
        <v>190467</v>
      </c>
      <c r="I19" s="85">
        <v>14158</v>
      </c>
    </row>
    <row r="20" spans="1:9">
      <c r="C20" t="s">
        <v>629</v>
      </c>
      <c r="H20" s="85"/>
      <c r="I20" s="85">
        <v>12304</v>
      </c>
    </row>
    <row r="21" spans="1:9">
      <c r="C21" t="s">
        <v>127</v>
      </c>
      <c r="H21" s="86">
        <v>10777</v>
      </c>
      <c r="I21" s="85"/>
    </row>
    <row r="22" spans="1:9">
      <c r="C22" t="s">
        <v>24</v>
      </c>
      <c r="H22" s="81">
        <v>11805</v>
      </c>
      <c r="I22" s="85"/>
    </row>
    <row r="23" spans="1:9">
      <c r="C23" t="s">
        <v>211</v>
      </c>
      <c r="H23" s="101">
        <v>163911</v>
      </c>
      <c r="I23" s="85"/>
    </row>
    <row r="24" spans="1:9">
      <c r="C24" t="s">
        <v>630</v>
      </c>
      <c r="H24" s="81">
        <v>45919</v>
      </c>
      <c r="I24" s="85"/>
    </row>
    <row r="25" spans="1:9">
      <c r="C25" t="s">
        <v>27</v>
      </c>
      <c r="H25" s="85"/>
      <c r="I25" s="85"/>
    </row>
    <row r="26" spans="1:9">
      <c r="D26" t="s">
        <v>81</v>
      </c>
      <c r="H26" s="97">
        <v>641574</v>
      </c>
      <c r="I26" s="85">
        <v>70118</v>
      </c>
    </row>
    <row r="27" spans="1:9">
      <c r="D27" t="s">
        <v>82</v>
      </c>
      <c r="H27" s="79">
        <v>1134777</v>
      </c>
      <c r="I27" s="85">
        <v>5736</v>
      </c>
    </row>
    <row r="28" spans="1:9">
      <c r="H28" s="83"/>
      <c r="I28" s="83"/>
    </row>
    <row r="29" spans="1:9">
      <c r="D29" s="8" t="s">
        <v>33</v>
      </c>
      <c r="E29" s="9"/>
      <c r="F29" s="9"/>
      <c r="G29" s="9"/>
      <c r="H29" s="89">
        <f>SUM(H18:H27)</f>
        <v>2331625</v>
      </c>
      <c r="I29" s="89">
        <f>SUM(I18:I27)</f>
        <v>313085</v>
      </c>
    </row>
    <row r="30" spans="1:9">
      <c r="H30" s="85"/>
      <c r="I30" s="85"/>
    </row>
    <row r="31" spans="1:9">
      <c r="A31" s="3" t="s">
        <v>36</v>
      </c>
      <c r="H31" s="85"/>
      <c r="I31" s="85"/>
    </row>
    <row r="32" spans="1:9">
      <c r="B32" t="s">
        <v>37</v>
      </c>
      <c r="H32" s="90">
        <v>10763259</v>
      </c>
      <c r="I32" s="85">
        <v>1528182</v>
      </c>
    </row>
    <row r="33" spans="2:9">
      <c r="B33" t="s">
        <v>38</v>
      </c>
      <c r="H33" s="85"/>
      <c r="I33" s="85"/>
    </row>
    <row r="34" spans="2:9">
      <c r="C34" t="s">
        <v>39</v>
      </c>
      <c r="H34" s="91">
        <v>232039</v>
      </c>
      <c r="I34" s="85"/>
    </row>
    <row r="35" spans="2:9">
      <c r="C35" t="s">
        <v>631</v>
      </c>
      <c r="H35" s="91">
        <v>586032</v>
      </c>
      <c r="I35" s="85"/>
    </row>
    <row r="36" spans="2:9">
      <c r="C36" t="s">
        <v>242</v>
      </c>
      <c r="H36" s="91">
        <v>4108287</v>
      </c>
      <c r="I36" s="85"/>
    </row>
    <row r="37" spans="2:9">
      <c r="C37" t="s">
        <v>310</v>
      </c>
      <c r="H37" s="91">
        <v>908028</v>
      </c>
      <c r="I37" s="85"/>
    </row>
    <row r="38" spans="2:9">
      <c r="C38" t="s">
        <v>632</v>
      </c>
      <c r="H38" s="91">
        <v>1953746</v>
      </c>
      <c r="I38" s="85"/>
    </row>
    <row r="39" spans="2:9">
      <c r="C39" t="s">
        <v>633</v>
      </c>
      <c r="H39" s="91">
        <v>1354909</v>
      </c>
      <c r="I39" s="85"/>
    </row>
    <row r="40" spans="2:9">
      <c r="C40" t="s">
        <v>634</v>
      </c>
      <c r="H40" s="91">
        <v>128</v>
      </c>
      <c r="I40" s="85"/>
    </row>
    <row r="41" spans="2:9">
      <c r="C41" t="s">
        <v>635</v>
      </c>
      <c r="H41" s="91">
        <v>42365</v>
      </c>
      <c r="I41" s="85"/>
    </row>
    <row r="42" spans="2:9">
      <c r="C42" t="s">
        <v>636</v>
      </c>
      <c r="H42" s="91">
        <v>9358</v>
      </c>
      <c r="I42" s="85"/>
    </row>
    <row r="43" spans="2:9">
      <c r="C43" t="s">
        <v>637</v>
      </c>
      <c r="H43" s="85"/>
      <c r="I43" s="85">
        <v>59782</v>
      </c>
    </row>
    <row r="44" spans="2:9">
      <c r="B44" t="s">
        <v>42</v>
      </c>
      <c r="H44" s="98">
        <v>2881785</v>
      </c>
      <c r="I44" s="85">
        <v>1356596</v>
      </c>
    </row>
    <row r="45" spans="2:9">
      <c r="H45" s="83"/>
      <c r="I45" s="83"/>
    </row>
    <row r="46" spans="2:9" s="3" customFormat="1">
      <c r="C46" s="10" t="s">
        <v>43</v>
      </c>
      <c r="D46" s="10"/>
      <c r="E46" s="10"/>
      <c r="F46" s="10"/>
      <c r="G46" s="10"/>
      <c r="H46" s="99">
        <f>SUM(H32:H44)</f>
        <v>22839936</v>
      </c>
      <c r="I46" s="99">
        <f>SUM(I31:I44)</f>
        <v>2944560</v>
      </c>
    </row>
    <row r="47" spans="2:9">
      <c r="H47" s="85"/>
      <c r="I47" s="85"/>
    </row>
    <row r="48" spans="2:9" s="3" customFormat="1">
      <c r="C48" s="11" t="s">
        <v>44</v>
      </c>
      <c r="D48" s="11"/>
      <c r="E48" s="11"/>
      <c r="F48" s="11"/>
      <c r="G48" s="11"/>
      <c r="H48" s="100">
        <f>SUM(H46+H29)</f>
        <v>25171561</v>
      </c>
      <c r="I48" s="100">
        <f>SUM(I46+I29)</f>
        <v>3257645</v>
      </c>
    </row>
    <row r="49" spans="8:9">
      <c r="H49" s="85"/>
      <c r="I49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43"/>
  <sheetViews>
    <sheetView workbookViewId="0">
      <selection activeCell="H42" sqref="H42"/>
    </sheetView>
  </sheetViews>
  <sheetFormatPr defaultColWidth="8.85546875" defaultRowHeight="14.45"/>
  <cols>
    <col min="1" max="1" width="3.28515625" customWidth="1"/>
    <col min="2" max="2" width="2.140625" customWidth="1"/>
    <col min="3" max="3" width="2.7109375" customWidth="1"/>
    <col min="4" max="4" width="8.7109375" customWidth="1"/>
    <col min="5" max="5" width="14.28515625" customWidth="1"/>
    <col min="6" max="6" width="23" customWidth="1"/>
    <col min="7" max="7" width="17.140625" customWidth="1"/>
  </cols>
  <sheetData>
    <row r="1" spans="1:7" ht="18.600000000000001">
      <c r="A1" s="1"/>
      <c r="B1" s="1"/>
      <c r="C1" s="202" t="s">
        <v>638</v>
      </c>
      <c r="D1" s="202"/>
      <c r="E1" s="202"/>
      <c r="F1" s="202"/>
      <c r="G1" s="202"/>
    </row>
    <row r="2" spans="1:7" ht="18.600000000000001">
      <c r="A2" s="1"/>
      <c r="B2" s="1"/>
      <c r="C2" s="203" t="s">
        <v>1</v>
      </c>
      <c r="D2" s="203"/>
      <c r="E2" s="203"/>
      <c r="F2" s="203"/>
      <c r="G2" s="203"/>
    </row>
    <row r="3" spans="1:7" ht="18.600000000000001">
      <c r="A3" s="1"/>
      <c r="B3" s="1"/>
      <c r="C3" s="103"/>
      <c r="D3" s="103"/>
      <c r="E3" s="103"/>
      <c r="F3" s="103"/>
      <c r="G3" s="103"/>
    </row>
    <row r="4" spans="1:7">
      <c r="G4" s="5" t="s">
        <v>2</v>
      </c>
    </row>
    <row r="5" spans="1:7" ht="29.1">
      <c r="G5" s="2" t="s">
        <v>3</v>
      </c>
    </row>
    <row r="6" spans="1:7">
      <c r="A6" s="3" t="s">
        <v>5</v>
      </c>
      <c r="C6" s="3"/>
      <c r="F6" s="4"/>
      <c r="G6" s="4"/>
    </row>
    <row r="7" spans="1:7">
      <c r="B7" t="s">
        <v>65</v>
      </c>
      <c r="G7" s="79">
        <v>8020772</v>
      </c>
    </row>
    <row r="8" spans="1:7">
      <c r="B8" t="s">
        <v>8</v>
      </c>
      <c r="G8" s="86">
        <v>15962223</v>
      </c>
    </row>
    <row r="9" spans="1:7">
      <c r="B9" t="s">
        <v>639</v>
      </c>
      <c r="G9" s="86">
        <v>324000</v>
      </c>
    </row>
    <row r="10" spans="1:7">
      <c r="B10" t="s">
        <v>9</v>
      </c>
      <c r="G10" s="80">
        <v>7542652</v>
      </c>
    </row>
    <row r="11" spans="1:7">
      <c r="B11" t="s">
        <v>138</v>
      </c>
      <c r="G11" s="79">
        <v>384902</v>
      </c>
    </row>
    <row r="12" spans="1:7">
      <c r="B12" t="s">
        <v>47</v>
      </c>
      <c r="G12" s="95">
        <v>1673400</v>
      </c>
    </row>
    <row r="13" spans="1:7">
      <c r="B13" t="s">
        <v>11</v>
      </c>
      <c r="G13" s="80">
        <v>783</v>
      </c>
    </row>
    <row r="14" spans="1:7">
      <c r="B14" t="s">
        <v>14</v>
      </c>
      <c r="G14" s="85"/>
    </row>
    <row r="15" spans="1:7">
      <c r="C15" t="s">
        <v>387</v>
      </c>
      <c r="G15" s="82">
        <v>3020829</v>
      </c>
    </row>
    <row r="16" spans="1:7">
      <c r="C16" t="s">
        <v>379</v>
      </c>
      <c r="G16" s="96">
        <v>58144234</v>
      </c>
    </row>
    <row r="17" spans="1:7">
      <c r="G17" s="85"/>
    </row>
    <row r="18" spans="1:7">
      <c r="A18" s="5"/>
      <c r="B18" s="6" t="s">
        <v>17</v>
      </c>
      <c r="C18" s="6"/>
      <c r="D18" s="6"/>
      <c r="E18" s="6"/>
      <c r="F18" s="6"/>
      <c r="G18" s="84">
        <f>SUM(G7:G16)</f>
        <v>95073795</v>
      </c>
    </row>
    <row r="19" spans="1:7">
      <c r="G19" s="85"/>
    </row>
    <row r="20" spans="1:7">
      <c r="A20" s="5" t="s">
        <v>20</v>
      </c>
      <c r="G20" s="85"/>
    </row>
    <row r="21" spans="1:7">
      <c r="A21" s="5"/>
      <c r="B21" t="s">
        <v>21</v>
      </c>
      <c r="G21" s="86">
        <v>557345</v>
      </c>
    </row>
    <row r="22" spans="1:7">
      <c r="A22" s="5"/>
      <c r="B22" t="s">
        <v>158</v>
      </c>
      <c r="G22" s="85"/>
    </row>
    <row r="23" spans="1:7">
      <c r="A23" s="5"/>
      <c r="C23" t="s">
        <v>305</v>
      </c>
      <c r="G23" s="97">
        <v>582760</v>
      </c>
    </row>
    <row r="24" spans="1:7">
      <c r="A24" s="5"/>
      <c r="C24" t="s">
        <v>82</v>
      </c>
      <c r="G24" s="79">
        <v>7829726</v>
      </c>
    </row>
    <row r="25" spans="1:7">
      <c r="G25" s="83"/>
    </row>
    <row r="26" spans="1:7">
      <c r="C26" s="8" t="s">
        <v>33</v>
      </c>
      <c r="D26" s="9"/>
      <c r="E26" s="9"/>
      <c r="F26" s="9"/>
      <c r="G26" s="89">
        <f>SUM(G21:G24)</f>
        <v>8969831</v>
      </c>
    </row>
    <row r="27" spans="1:7">
      <c r="G27" s="85"/>
    </row>
    <row r="28" spans="1:7">
      <c r="A28" s="5" t="s">
        <v>34</v>
      </c>
      <c r="G28" s="85"/>
    </row>
    <row r="29" spans="1:7">
      <c r="B29" t="s">
        <v>640</v>
      </c>
      <c r="G29" s="85">
        <v>349264</v>
      </c>
    </row>
    <row r="30" spans="1:7">
      <c r="B30" t="s">
        <v>641</v>
      </c>
      <c r="G30" s="142">
        <v>8579559</v>
      </c>
    </row>
    <row r="31" spans="1:7">
      <c r="C31" t="s">
        <v>87</v>
      </c>
      <c r="G31" s="85">
        <f>SUM(G29:G30)</f>
        <v>8928823</v>
      </c>
    </row>
    <row r="32" spans="1:7">
      <c r="G32" s="85"/>
    </row>
    <row r="33" spans="1:7">
      <c r="A33" s="3" t="s">
        <v>36</v>
      </c>
      <c r="G33" s="85"/>
    </row>
    <row r="34" spans="1:7">
      <c r="B34" t="s">
        <v>37</v>
      </c>
      <c r="G34" s="90">
        <v>57048940</v>
      </c>
    </row>
    <row r="35" spans="1:7">
      <c r="B35" t="s">
        <v>38</v>
      </c>
      <c r="G35" s="85"/>
    </row>
    <row r="36" spans="1:7">
      <c r="C36" t="s">
        <v>39</v>
      </c>
      <c r="G36" s="91">
        <v>592082</v>
      </c>
    </row>
    <row r="37" spans="1:7">
      <c r="C37" t="s">
        <v>642</v>
      </c>
      <c r="G37" s="91">
        <v>113570</v>
      </c>
    </row>
    <row r="38" spans="1:7">
      <c r="B38" t="s">
        <v>42</v>
      </c>
      <c r="G38" s="98">
        <v>19420549</v>
      </c>
    </row>
    <row r="39" spans="1:7">
      <c r="G39" s="83"/>
    </row>
    <row r="40" spans="1:7">
      <c r="A40" s="3"/>
      <c r="B40" s="10" t="s">
        <v>43</v>
      </c>
      <c r="C40" s="10"/>
      <c r="D40" s="10"/>
      <c r="E40" s="10"/>
      <c r="F40" s="10"/>
      <c r="G40" s="99">
        <f>SUM(G34:G38)</f>
        <v>77175141</v>
      </c>
    </row>
    <row r="41" spans="1:7">
      <c r="G41" s="85"/>
    </row>
    <row r="42" spans="1:7">
      <c r="A42" s="3"/>
      <c r="B42" s="11" t="s">
        <v>44</v>
      </c>
      <c r="C42" s="11"/>
      <c r="D42" s="11"/>
      <c r="E42" s="11"/>
      <c r="F42" s="11"/>
      <c r="G42" s="100">
        <f>SUM(G26+G40+G31)</f>
        <v>95073795</v>
      </c>
    </row>
    <row r="43" spans="1:7">
      <c r="G43" s="85"/>
    </row>
  </sheetData>
  <mergeCells count="2">
    <mergeCell ref="C1:G1"/>
    <mergeCell ref="C2:G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38"/>
  <sheetViews>
    <sheetView workbookViewId="0">
      <selection activeCell="R36" sqref="R3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8" width="17.140625" customWidth="1"/>
  </cols>
  <sheetData>
    <row r="1" spans="1:9" ht="18.75" customHeight="1">
      <c r="A1" s="1"/>
      <c r="B1" s="1"/>
      <c r="C1" s="1"/>
      <c r="D1" s="202" t="s">
        <v>643</v>
      </c>
      <c r="E1" s="202"/>
      <c r="F1" s="202"/>
      <c r="G1" s="202"/>
      <c r="H1" s="202"/>
    </row>
    <row r="2" spans="1:9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3" spans="1:9" ht="11.25" customHeight="1"/>
    <row r="4" spans="1:9" ht="30.75" customHeight="1">
      <c r="H4" s="146" t="s">
        <v>2</v>
      </c>
    </row>
    <row r="5" spans="1:9" ht="31.5" customHeight="1">
      <c r="H5" s="110" t="s">
        <v>3</v>
      </c>
      <c r="I5" s="5"/>
    </row>
    <row r="6" spans="1:9">
      <c r="A6" s="3" t="s">
        <v>5</v>
      </c>
      <c r="D6" s="3"/>
      <c r="G6" s="4"/>
      <c r="H6" s="4"/>
    </row>
    <row r="7" spans="1:9">
      <c r="C7" t="s">
        <v>65</v>
      </c>
      <c r="H7" s="79">
        <v>5432216</v>
      </c>
    </row>
    <row r="8" spans="1:9">
      <c r="C8" t="s">
        <v>46</v>
      </c>
      <c r="H8" s="80">
        <v>1464515</v>
      </c>
    </row>
    <row r="9" spans="1:9">
      <c r="C9" t="s">
        <v>644</v>
      </c>
      <c r="H9" s="81">
        <v>696655</v>
      </c>
    </row>
    <row r="10" spans="1:9">
      <c r="C10" t="s">
        <v>50</v>
      </c>
      <c r="H10" s="82">
        <v>14017269</v>
      </c>
    </row>
    <row r="11" spans="1:9">
      <c r="H11" s="83"/>
    </row>
    <row r="12" spans="1:9" s="5" customFormat="1">
      <c r="C12" s="6" t="s">
        <v>17</v>
      </c>
      <c r="D12" s="6"/>
      <c r="E12" s="6"/>
      <c r="F12" s="6"/>
      <c r="G12" s="6"/>
      <c r="H12" s="84">
        <f>SUM(H7:H10)</f>
        <v>21610655</v>
      </c>
    </row>
    <row r="13" spans="1:9">
      <c r="H13" s="85"/>
    </row>
    <row r="14" spans="1:9">
      <c r="A14" s="5" t="s">
        <v>20</v>
      </c>
      <c r="H14" s="85"/>
    </row>
    <row r="15" spans="1:9">
      <c r="A15" s="5"/>
      <c r="C15" t="s">
        <v>259</v>
      </c>
      <c r="H15" s="81">
        <v>25846</v>
      </c>
    </row>
    <row r="16" spans="1:9">
      <c r="C16" t="s">
        <v>407</v>
      </c>
      <c r="H16" s="86">
        <v>157412</v>
      </c>
    </row>
    <row r="17" spans="1:8">
      <c r="C17" t="s">
        <v>30</v>
      </c>
      <c r="H17" s="88">
        <v>94228</v>
      </c>
    </row>
    <row r="18" spans="1:8">
      <c r="C18" t="s">
        <v>189</v>
      </c>
      <c r="H18" s="97">
        <v>14133</v>
      </c>
    </row>
    <row r="19" spans="1:8">
      <c r="C19" t="s">
        <v>190</v>
      </c>
      <c r="H19" s="79">
        <v>98938</v>
      </c>
    </row>
    <row r="20" spans="1:8">
      <c r="C20" t="s">
        <v>645</v>
      </c>
      <c r="H20" s="81">
        <v>1889469</v>
      </c>
    </row>
    <row r="21" spans="1:8">
      <c r="H21" s="83"/>
    </row>
    <row r="22" spans="1:8">
      <c r="D22" s="8" t="s">
        <v>33</v>
      </c>
      <c r="E22" s="9"/>
      <c r="F22" s="9"/>
      <c r="G22" s="9"/>
      <c r="H22" s="89">
        <f>SUM(H15:H20)</f>
        <v>2280026</v>
      </c>
    </row>
    <row r="23" spans="1:8">
      <c r="H23" s="85"/>
    </row>
    <row r="24" spans="1:8">
      <c r="A24" s="5" t="s">
        <v>191</v>
      </c>
      <c r="H24" s="85"/>
    </row>
    <row r="25" spans="1:8">
      <c r="C25" t="s">
        <v>646</v>
      </c>
      <c r="H25" s="142">
        <v>184752</v>
      </c>
    </row>
    <row r="26" spans="1:8">
      <c r="H26" s="85"/>
    </row>
    <row r="27" spans="1:8">
      <c r="A27" s="3" t="s">
        <v>36</v>
      </c>
      <c r="H27" s="85"/>
    </row>
    <row r="28" spans="1:8">
      <c r="B28" t="s">
        <v>37</v>
      </c>
      <c r="H28" s="90">
        <v>13904198</v>
      </c>
    </row>
    <row r="29" spans="1:8">
      <c r="B29" t="s">
        <v>38</v>
      </c>
      <c r="H29" s="85"/>
    </row>
    <row r="30" spans="1:8">
      <c r="C30" t="s">
        <v>59</v>
      </c>
      <c r="H30" s="91">
        <v>4371977</v>
      </c>
    </row>
    <row r="31" spans="1:8">
      <c r="C31" t="s">
        <v>129</v>
      </c>
      <c r="H31" s="91">
        <v>556008</v>
      </c>
    </row>
    <row r="32" spans="1:8">
      <c r="C32" t="s">
        <v>647</v>
      </c>
      <c r="H32" s="91">
        <v>696694</v>
      </c>
    </row>
    <row r="33" spans="2:8">
      <c r="B33" t="s">
        <v>42</v>
      </c>
      <c r="H33" s="98">
        <v>-383000</v>
      </c>
    </row>
    <row r="34" spans="2:8">
      <c r="H34" s="83"/>
    </row>
    <row r="35" spans="2:8" s="3" customFormat="1">
      <c r="C35" s="10" t="s">
        <v>43</v>
      </c>
      <c r="D35" s="10"/>
      <c r="E35" s="10"/>
      <c r="F35" s="10"/>
      <c r="G35" s="10"/>
      <c r="H35" s="99">
        <f>SUM(H28:H33)</f>
        <v>19145877</v>
      </c>
    </row>
    <row r="36" spans="2:8">
      <c r="H36" s="85"/>
    </row>
    <row r="37" spans="2:8" s="3" customFormat="1">
      <c r="C37" s="11" t="s">
        <v>44</v>
      </c>
      <c r="D37" s="11"/>
      <c r="E37" s="11"/>
      <c r="F37" s="11"/>
      <c r="G37" s="11"/>
      <c r="H37" s="100">
        <f>SUM(H35+H22+H25)</f>
        <v>21610655</v>
      </c>
    </row>
    <row r="38" spans="2:8">
      <c r="H38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L50"/>
  <sheetViews>
    <sheetView topLeftCell="B1" workbookViewId="0">
      <selection activeCell="H46" sqref="H46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10" width="17.140625" customWidth="1"/>
    <col min="11" max="11" width="17.28515625" customWidth="1"/>
  </cols>
  <sheetData>
    <row r="1" spans="1:12" ht="18.75" customHeight="1">
      <c r="A1" s="1"/>
      <c r="B1" s="1"/>
      <c r="C1" s="1"/>
      <c r="D1" s="202" t="s">
        <v>648</v>
      </c>
      <c r="E1" s="202"/>
      <c r="F1" s="202"/>
      <c r="G1" s="202"/>
      <c r="H1" s="202"/>
      <c r="I1" s="102"/>
      <c r="J1" s="102"/>
    </row>
    <row r="2" spans="1:12" ht="15.75" customHeight="1">
      <c r="A2" s="1"/>
      <c r="B2" s="1"/>
      <c r="C2" s="1"/>
      <c r="D2" s="203" t="s">
        <v>1</v>
      </c>
      <c r="E2" s="203"/>
      <c r="F2" s="203"/>
      <c r="G2" s="203"/>
      <c r="H2" s="203"/>
      <c r="I2" s="103"/>
      <c r="J2" s="103"/>
    </row>
    <row r="3" spans="1:12" ht="11.25" customHeight="1"/>
    <row r="4" spans="1:12" ht="15" customHeight="1">
      <c r="H4" s="206" t="s">
        <v>2</v>
      </c>
      <c r="I4" s="206"/>
      <c r="J4" s="206"/>
      <c r="K4" s="129" t="s">
        <v>4</v>
      </c>
    </row>
    <row r="5" spans="1:12" ht="31.5" customHeight="1">
      <c r="H5" s="110" t="s">
        <v>3</v>
      </c>
      <c r="I5" s="110" t="s">
        <v>137</v>
      </c>
      <c r="J5" s="110" t="s">
        <v>64</v>
      </c>
      <c r="K5" s="129" t="s">
        <v>63</v>
      </c>
      <c r="L5" s="5"/>
    </row>
    <row r="6" spans="1:12">
      <c r="A6" s="3" t="s">
        <v>5</v>
      </c>
      <c r="D6" s="3"/>
      <c r="G6" s="4"/>
      <c r="H6" s="4"/>
      <c r="I6" s="4"/>
      <c r="J6" s="4"/>
    </row>
    <row r="7" spans="1:12">
      <c r="C7" t="s">
        <v>65</v>
      </c>
      <c r="H7" s="79">
        <v>1074501</v>
      </c>
      <c r="I7" s="85">
        <v>374956</v>
      </c>
      <c r="J7" s="85">
        <f t="shared" ref="J7:J9" si="0">SUM(H7:I7)</f>
        <v>1449457</v>
      </c>
      <c r="K7" s="85">
        <v>4300293</v>
      </c>
    </row>
    <row r="8" spans="1:12">
      <c r="C8" t="s">
        <v>649</v>
      </c>
      <c r="H8" s="85"/>
      <c r="I8" s="85"/>
      <c r="J8" s="85"/>
      <c r="K8" s="85">
        <v>3457256</v>
      </c>
    </row>
    <row r="9" spans="1:12">
      <c r="C9" t="s">
        <v>8</v>
      </c>
      <c r="H9" s="86">
        <v>9608297</v>
      </c>
      <c r="I9" s="85">
        <v>319727</v>
      </c>
      <c r="J9" s="85">
        <f t="shared" si="0"/>
        <v>9928024</v>
      </c>
      <c r="K9" s="85"/>
    </row>
    <row r="10" spans="1:12">
      <c r="C10" t="s">
        <v>9</v>
      </c>
      <c r="H10" s="80">
        <v>4589683</v>
      </c>
      <c r="I10" s="85">
        <v>166</v>
      </c>
      <c r="J10" s="85">
        <f t="shared" ref="J10:J17" si="1">SUM(H10:I10)</f>
        <v>4589849</v>
      </c>
      <c r="K10" s="85">
        <v>648734</v>
      </c>
    </row>
    <row r="11" spans="1:12">
      <c r="C11" t="s">
        <v>47</v>
      </c>
      <c r="H11" s="95">
        <v>69407</v>
      </c>
      <c r="I11" s="85">
        <v>419244</v>
      </c>
      <c r="J11" s="85">
        <f t="shared" si="1"/>
        <v>488651</v>
      </c>
      <c r="K11" s="85"/>
    </row>
    <row r="12" spans="1:12">
      <c r="C12" t="s">
        <v>650</v>
      </c>
      <c r="H12" s="80">
        <v>19836</v>
      </c>
      <c r="I12" s="85">
        <v>82236</v>
      </c>
      <c r="J12" s="85">
        <f t="shared" si="1"/>
        <v>102072</v>
      </c>
      <c r="K12" s="85">
        <v>3587253</v>
      </c>
    </row>
    <row r="13" spans="1:12">
      <c r="C13" t="s">
        <v>48</v>
      </c>
      <c r="H13" s="85"/>
      <c r="I13" s="85"/>
      <c r="J13" s="85">
        <f t="shared" si="1"/>
        <v>0</v>
      </c>
      <c r="K13" s="85">
        <v>451569</v>
      </c>
    </row>
    <row r="14" spans="1:12">
      <c r="C14" t="s">
        <v>139</v>
      </c>
      <c r="H14" s="81">
        <v>79627</v>
      </c>
      <c r="I14" s="85">
        <v>17298</v>
      </c>
      <c r="J14" s="85">
        <f t="shared" si="1"/>
        <v>96925</v>
      </c>
      <c r="K14" s="85">
        <v>247700</v>
      </c>
    </row>
    <row r="15" spans="1:12">
      <c r="C15" t="s">
        <v>169</v>
      </c>
      <c r="H15" s="85"/>
      <c r="I15" s="85"/>
      <c r="J15" s="85">
        <f t="shared" si="1"/>
        <v>0</v>
      </c>
      <c r="K15" s="85"/>
    </row>
    <row r="16" spans="1:12">
      <c r="D16" t="s">
        <v>65</v>
      </c>
      <c r="H16" s="79">
        <v>38072</v>
      </c>
      <c r="I16" s="85">
        <v>236583</v>
      </c>
      <c r="J16" s="85">
        <f t="shared" si="1"/>
        <v>274655</v>
      </c>
      <c r="K16" s="85">
        <v>2576977</v>
      </c>
    </row>
    <row r="17" spans="1:11">
      <c r="D17" t="s">
        <v>649</v>
      </c>
      <c r="H17" s="85"/>
      <c r="I17" s="85"/>
      <c r="J17" s="85">
        <f t="shared" si="1"/>
        <v>0</v>
      </c>
      <c r="K17" s="85">
        <v>2305933</v>
      </c>
    </row>
    <row r="18" spans="1:11">
      <c r="D18" t="s">
        <v>8</v>
      </c>
      <c r="H18" s="86">
        <v>2725899</v>
      </c>
      <c r="I18" s="85">
        <v>205276</v>
      </c>
      <c r="J18" s="85">
        <f>SUM(H18:I18)</f>
        <v>2931175</v>
      </c>
      <c r="K18" s="85">
        <v>5657008</v>
      </c>
    </row>
    <row r="19" spans="1:11">
      <c r="C19" t="s">
        <v>14</v>
      </c>
      <c r="H19" s="85"/>
      <c r="I19" s="85"/>
      <c r="J19" s="85"/>
      <c r="K19" s="85"/>
    </row>
    <row r="20" spans="1:11">
      <c r="D20" t="s">
        <v>107</v>
      </c>
      <c r="H20" s="82">
        <v>2583702</v>
      </c>
      <c r="I20" s="85"/>
      <c r="J20" s="85">
        <f>SUM(H20:I20)</f>
        <v>2583702</v>
      </c>
      <c r="K20" s="85"/>
    </row>
    <row r="21" spans="1:11">
      <c r="D21" t="s">
        <v>278</v>
      </c>
      <c r="H21" s="82">
        <v>14046921</v>
      </c>
      <c r="I21" s="85">
        <v>9978173</v>
      </c>
      <c r="J21" s="85">
        <f>SUM(H21:I21)</f>
        <v>24025094</v>
      </c>
      <c r="K21" s="85">
        <v>6747983</v>
      </c>
    </row>
    <row r="22" spans="1:11">
      <c r="H22" s="83"/>
      <c r="I22" s="83"/>
      <c r="J22" s="83"/>
      <c r="K22" s="83"/>
    </row>
    <row r="23" spans="1:11" s="5" customFormat="1">
      <c r="C23" s="6" t="s">
        <v>17</v>
      </c>
      <c r="D23" s="6"/>
      <c r="E23" s="6"/>
      <c r="F23" s="6"/>
      <c r="G23" s="6"/>
      <c r="H23" s="84">
        <f>SUM(H7:H21)</f>
        <v>34835945</v>
      </c>
      <c r="I23" s="84">
        <f>SUM(I7:I21)</f>
        <v>11633659</v>
      </c>
      <c r="J23" s="84">
        <f>SUM(J7:J21)</f>
        <v>46469604</v>
      </c>
      <c r="K23" s="84">
        <f>SUM(K7:K21)</f>
        <v>29980706</v>
      </c>
    </row>
    <row r="24" spans="1:11">
      <c r="H24" s="85"/>
      <c r="I24" s="85"/>
      <c r="J24" s="85"/>
      <c r="K24" s="85"/>
    </row>
    <row r="25" spans="1:11">
      <c r="A25" s="5" t="s">
        <v>20</v>
      </c>
      <c r="H25" s="85"/>
      <c r="I25" s="85"/>
      <c r="J25" s="85"/>
      <c r="K25" s="85"/>
    </row>
    <row r="26" spans="1:11">
      <c r="A26" s="5"/>
      <c r="C26" t="s">
        <v>21</v>
      </c>
      <c r="H26" s="86">
        <v>392446</v>
      </c>
      <c r="I26" s="85">
        <v>547575</v>
      </c>
      <c r="J26" s="85">
        <f t="shared" ref="J26:J29" si="2">SUM(H26:I26)</f>
        <v>940021</v>
      </c>
      <c r="K26" s="85">
        <v>420225</v>
      </c>
    </row>
    <row r="27" spans="1:11">
      <c r="C27" t="s">
        <v>651</v>
      </c>
      <c r="H27" s="81">
        <v>132641</v>
      </c>
      <c r="I27" s="85">
        <v>19454</v>
      </c>
      <c r="J27" s="85">
        <f t="shared" si="2"/>
        <v>152095</v>
      </c>
      <c r="K27" s="85">
        <v>676807</v>
      </c>
    </row>
    <row r="28" spans="1:11">
      <c r="C28" t="s">
        <v>259</v>
      </c>
      <c r="H28" s="81">
        <v>872793</v>
      </c>
      <c r="I28" s="85">
        <v>139415</v>
      </c>
      <c r="J28" s="85">
        <f t="shared" si="2"/>
        <v>1012208</v>
      </c>
      <c r="K28" s="85"/>
    </row>
    <row r="29" spans="1:11">
      <c r="C29" t="s">
        <v>78</v>
      </c>
      <c r="H29" s="85"/>
      <c r="I29" s="85">
        <v>155183</v>
      </c>
      <c r="J29" s="85">
        <f t="shared" si="2"/>
        <v>155183</v>
      </c>
      <c r="K29" s="85"/>
    </row>
    <row r="30" spans="1:11">
      <c r="C30" t="s">
        <v>67</v>
      </c>
      <c r="H30" s="81">
        <v>66749</v>
      </c>
      <c r="I30" s="85">
        <v>-66749</v>
      </c>
      <c r="J30" s="85"/>
      <c r="K30" s="85"/>
    </row>
    <row r="31" spans="1:11">
      <c r="C31" t="s">
        <v>652</v>
      </c>
      <c r="H31" s="85"/>
      <c r="I31" s="85"/>
      <c r="J31" s="85"/>
      <c r="K31" s="85"/>
    </row>
    <row r="32" spans="1:11">
      <c r="D32" t="s">
        <v>81</v>
      </c>
      <c r="H32" s="97">
        <v>224006</v>
      </c>
      <c r="I32" s="85">
        <v>104291</v>
      </c>
      <c r="J32" s="85">
        <f>SUM(H32:I32)</f>
        <v>328297</v>
      </c>
      <c r="K32" s="85"/>
    </row>
    <row r="33" spans="1:11" ht="14.25" customHeight="1">
      <c r="D33" t="s">
        <v>653</v>
      </c>
      <c r="H33" s="79">
        <v>3703091</v>
      </c>
      <c r="I33" s="85">
        <v>2999206</v>
      </c>
      <c r="J33" s="85">
        <f>SUM(H33:I33)</f>
        <v>6702297</v>
      </c>
      <c r="K33" s="85"/>
    </row>
    <row r="34" spans="1:11">
      <c r="H34" s="83"/>
      <c r="I34" s="83"/>
      <c r="J34" s="83"/>
      <c r="K34" s="83"/>
    </row>
    <row r="35" spans="1:11">
      <c r="D35" s="8" t="s">
        <v>33</v>
      </c>
      <c r="E35" s="9"/>
      <c r="F35" s="9"/>
      <c r="G35" s="9"/>
      <c r="H35" s="89">
        <f>SUM(H26:H33)</f>
        <v>5391726</v>
      </c>
      <c r="I35" s="89">
        <f>SUM(I26:I33)</f>
        <v>3898375</v>
      </c>
      <c r="J35" s="89">
        <f>SUM(J26:J33)</f>
        <v>9290101</v>
      </c>
      <c r="K35" s="89">
        <f>SUM(K26:K33)</f>
        <v>1097032</v>
      </c>
    </row>
    <row r="36" spans="1:11">
      <c r="H36" s="85"/>
      <c r="I36" s="85"/>
      <c r="J36" s="85"/>
      <c r="K36" s="85"/>
    </row>
    <row r="37" spans="1:11">
      <c r="A37" s="3" t="s">
        <v>36</v>
      </c>
      <c r="H37" s="85"/>
      <c r="I37" s="85"/>
      <c r="J37" s="85"/>
      <c r="K37" s="85"/>
    </row>
    <row r="38" spans="1:11">
      <c r="B38" t="s">
        <v>37</v>
      </c>
      <c r="H38" s="90">
        <v>13041623</v>
      </c>
      <c r="I38" s="85">
        <v>6925652</v>
      </c>
      <c r="J38" s="85">
        <f>SUM(H38:I38)</f>
        <v>19967275</v>
      </c>
      <c r="K38" s="85">
        <v>6747983</v>
      </c>
    </row>
    <row r="39" spans="1:11">
      <c r="B39" t="s">
        <v>38</v>
      </c>
      <c r="H39" s="85"/>
      <c r="I39" s="85"/>
      <c r="J39" s="85"/>
      <c r="K39" s="85"/>
    </row>
    <row r="40" spans="1:11">
      <c r="C40" t="s">
        <v>39</v>
      </c>
      <c r="H40" s="91">
        <v>482237</v>
      </c>
      <c r="I40" s="85">
        <v>205276</v>
      </c>
      <c r="J40" s="85">
        <f>SUM(H40:I40)</f>
        <v>687513</v>
      </c>
      <c r="K40" s="85"/>
    </row>
    <row r="41" spans="1:11">
      <c r="C41" t="s">
        <v>445</v>
      </c>
      <c r="H41" s="91">
        <v>5480909</v>
      </c>
      <c r="I41" s="85">
        <v>81400</v>
      </c>
      <c r="J41" s="85">
        <f>SUM(H41:I41)</f>
        <v>5562309</v>
      </c>
      <c r="K41" s="85">
        <v>10539918</v>
      </c>
    </row>
    <row r="42" spans="1:11">
      <c r="C42" t="s">
        <v>247</v>
      </c>
      <c r="H42" s="91">
        <v>1238791</v>
      </c>
      <c r="I42" s="85"/>
      <c r="J42" s="85">
        <f t="shared" ref="J42:J45" si="3">SUM(H42:I42)</f>
        <v>1238791</v>
      </c>
      <c r="K42" s="85"/>
    </row>
    <row r="43" spans="1:11">
      <c r="C43" t="s">
        <v>654</v>
      </c>
      <c r="H43" s="91">
        <v>393451</v>
      </c>
      <c r="I43" s="85"/>
      <c r="J43" s="85">
        <f t="shared" si="3"/>
        <v>393451</v>
      </c>
      <c r="K43" s="85"/>
    </row>
    <row r="44" spans="1:11">
      <c r="C44" t="s">
        <v>182</v>
      </c>
      <c r="H44" s="91">
        <v>151557</v>
      </c>
      <c r="I44" s="85"/>
      <c r="J44" s="85">
        <f t="shared" si="3"/>
        <v>151557</v>
      </c>
      <c r="K44" s="85"/>
    </row>
    <row r="45" spans="1:11">
      <c r="B45" t="s">
        <v>163</v>
      </c>
      <c r="H45" s="98">
        <v>8655651</v>
      </c>
      <c r="I45" s="85">
        <v>522956</v>
      </c>
      <c r="J45" s="85">
        <f t="shared" si="3"/>
        <v>9178607</v>
      </c>
      <c r="K45" s="85">
        <v>11595773</v>
      </c>
    </row>
    <row r="46" spans="1:11">
      <c r="H46" s="83"/>
      <c r="I46" s="83"/>
      <c r="J46" s="83"/>
      <c r="K46" s="83"/>
    </row>
    <row r="47" spans="1:11" s="3" customFormat="1">
      <c r="C47" s="10" t="s">
        <v>43</v>
      </c>
      <c r="D47" s="10"/>
      <c r="E47" s="10"/>
      <c r="F47" s="10"/>
      <c r="G47" s="10"/>
      <c r="H47" s="99">
        <f>SUM(H38:H45)</f>
        <v>29444219</v>
      </c>
      <c r="I47" s="99">
        <f>SUM(I38:I45)</f>
        <v>7735284</v>
      </c>
      <c r="J47" s="99">
        <f>SUM(J38:J45)</f>
        <v>37179503</v>
      </c>
      <c r="K47" s="99">
        <f>SUM(K37:K45)</f>
        <v>28883674</v>
      </c>
    </row>
    <row r="48" spans="1:11">
      <c r="H48" s="85"/>
      <c r="I48" s="85"/>
      <c r="J48" s="85"/>
      <c r="K48" s="85"/>
    </row>
    <row r="49" spans="3:11" s="3" customFormat="1">
      <c r="C49" s="11" t="s">
        <v>44</v>
      </c>
      <c r="D49" s="11"/>
      <c r="E49" s="11"/>
      <c r="F49" s="11"/>
      <c r="G49" s="11"/>
      <c r="H49" s="100">
        <f>SUM(H47+H35)</f>
        <v>34835945</v>
      </c>
      <c r="I49" s="100">
        <f>SUM(I47+I35)</f>
        <v>11633659</v>
      </c>
      <c r="J49" s="100">
        <f>SUM(J47+J35)</f>
        <v>46469604</v>
      </c>
      <c r="K49" s="100">
        <f>SUM(K47+K35)</f>
        <v>29980706</v>
      </c>
    </row>
    <row r="50" spans="3:11">
      <c r="H50" s="85"/>
      <c r="I50" s="85"/>
      <c r="J50" s="85"/>
      <c r="K50" s="85"/>
    </row>
  </sheetData>
  <mergeCells count="3">
    <mergeCell ref="D1:H1"/>
    <mergeCell ref="D2:H2"/>
    <mergeCell ref="H4:J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37"/>
  <sheetViews>
    <sheetView workbookViewId="0">
      <selection activeCell="N32" sqref="N32"/>
    </sheetView>
  </sheetViews>
  <sheetFormatPr defaultColWidth="8.85546875" defaultRowHeight="14.45"/>
  <cols>
    <col min="1" max="1" width="3.28515625" customWidth="1"/>
    <col min="2" max="2" width="3" customWidth="1"/>
    <col min="3" max="4" width="2.140625" customWidth="1"/>
    <col min="5" max="5" width="8.7109375" customWidth="1"/>
    <col min="6" max="6" width="12.7109375" customWidth="1"/>
    <col min="7" max="7" width="23" customWidth="1"/>
    <col min="8" max="8" width="17.140625" customWidth="1"/>
    <col min="9" max="9" width="16.7109375" bestFit="1" customWidth="1"/>
  </cols>
  <sheetData>
    <row r="1" spans="1:9" ht="18.75" customHeight="1">
      <c r="A1" s="1"/>
      <c r="B1" s="1"/>
      <c r="C1" s="1"/>
      <c r="D1" s="202" t="s">
        <v>655</v>
      </c>
      <c r="E1" s="202"/>
      <c r="F1" s="202"/>
      <c r="G1" s="202"/>
      <c r="H1" s="202"/>
    </row>
    <row r="2" spans="1:9" ht="15.75" customHeight="1">
      <c r="A2" s="1"/>
      <c r="B2" s="1"/>
      <c r="C2" s="1"/>
      <c r="D2" s="203" t="s">
        <v>1</v>
      </c>
      <c r="E2" s="203"/>
      <c r="F2" s="203"/>
      <c r="G2" s="203"/>
      <c r="H2" s="203"/>
    </row>
    <row r="4" spans="1:9" ht="27" customHeight="1">
      <c r="H4" s="136"/>
      <c r="I4" s="5"/>
    </row>
    <row r="5" spans="1:9">
      <c r="H5" s="110">
        <v>2013</v>
      </c>
      <c r="I5" s="110">
        <v>2012</v>
      </c>
    </row>
    <row r="6" spans="1:9">
      <c r="A6" s="3" t="s">
        <v>5</v>
      </c>
      <c r="D6" s="3"/>
      <c r="G6" s="4"/>
      <c r="H6" s="4"/>
    </row>
    <row r="7" spans="1:9">
      <c r="C7" t="s">
        <v>65</v>
      </c>
      <c r="H7" s="79">
        <v>4118802</v>
      </c>
      <c r="I7">
        <v>5537124</v>
      </c>
    </row>
    <row r="8" spans="1:9">
      <c r="C8" t="s">
        <v>611</v>
      </c>
      <c r="H8" s="80">
        <v>2234175</v>
      </c>
      <c r="I8">
        <v>2483756</v>
      </c>
    </row>
    <row r="9" spans="1:9">
      <c r="C9" t="s">
        <v>120</v>
      </c>
      <c r="H9" s="85"/>
    </row>
    <row r="10" spans="1:9">
      <c r="D10" t="s">
        <v>458</v>
      </c>
      <c r="H10" s="85"/>
    </row>
    <row r="11" spans="1:9">
      <c r="E11" t="s">
        <v>121</v>
      </c>
      <c r="H11" s="82">
        <v>223675</v>
      </c>
      <c r="I11">
        <v>223675</v>
      </c>
    </row>
    <row r="12" spans="1:9">
      <c r="E12" t="s">
        <v>125</v>
      </c>
      <c r="H12" s="82">
        <v>1298815</v>
      </c>
    </row>
    <row r="13" spans="1:9">
      <c r="D13" t="s">
        <v>459</v>
      </c>
      <c r="H13" s="85"/>
    </row>
    <row r="14" spans="1:9">
      <c r="E14" t="s">
        <v>122</v>
      </c>
      <c r="H14" s="82">
        <v>698972</v>
      </c>
      <c r="I14">
        <v>724553</v>
      </c>
    </row>
    <row r="15" spans="1:9">
      <c r="E15" t="s">
        <v>460</v>
      </c>
      <c r="H15" s="82">
        <v>639557</v>
      </c>
      <c r="I15">
        <v>807860</v>
      </c>
    </row>
    <row r="16" spans="1:9">
      <c r="E16" t="s">
        <v>656</v>
      </c>
      <c r="H16" s="82">
        <v>737271</v>
      </c>
      <c r="I16">
        <v>757751</v>
      </c>
    </row>
    <row r="17" spans="1:9">
      <c r="H17" s="83"/>
      <c r="I17" s="137"/>
    </row>
    <row r="18" spans="1:9">
      <c r="C18" s="6" t="s">
        <v>17</v>
      </c>
      <c r="D18" s="7"/>
      <c r="E18" s="7"/>
      <c r="F18" s="7"/>
      <c r="G18" s="7"/>
      <c r="H18" s="84">
        <f>SUM(H7:H16)</f>
        <v>9951267</v>
      </c>
      <c r="I18" s="84">
        <f>SUM(I7:I16)</f>
        <v>10534719</v>
      </c>
    </row>
    <row r="19" spans="1:9">
      <c r="H19" s="85"/>
    </row>
    <row r="20" spans="1:9">
      <c r="A20" s="5" t="s">
        <v>20</v>
      </c>
      <c r="H20" s="85"/>
    </row>
    <row r="21" spans="1:9">
      <c r="C21" t="s">
        <v>126</v>
      </c>
      <c r="H21" s="86">
        <v>82711</v>
      </c>
      <c r="I21">
        <v>551603</v>
      </c>
    </row>
    <row r="22" spans="1:9">
      <c r="C22" t="s">
        <v>134</v>
      </c>
      <c r="H22" s="81">
        <v>32101</v>
      </c>
    </row>
    <row r="23" spans="1:9">
      <c r="C23" t="s">
        <v>127</v>
      </c>
      <c r="H23" s="86">
        <v>42979</v>
      </c>
      <c r="I23">
        <v>48779</v>
      </c>
    </row>
    <row r="24" spans="1:9">
      <c r="C24" t="s">
        <v>27</v>
      </c>
      <c r="H24" s="85"/>
    </row>
    <row r="25" spans="1:9">
      <c r="D25" t="s">
        <v>81</v>
      </c>
      <c r="H25" s="97">
        <v>220000</v>
      </c>
      <c r="I25">
        <v>205000</v>
      </c>
    </row>
    <row r="26" spans="1:9">
      <c r="D26" t="s">
        <v>82</v>
      </c>
      <c r="H26" s="79">
        <v>2010000</v>
      </c>
      <c r="I26">
        <v>2230000</v>
      </c>
    </row>
    <row r="27" spans="1:9">
      <c r="H27" s="83"/>
      <c r="I27" s="137"/>
    </row>
    <row r="28" spans="1:9">
      <c r="D28" s="8" t="s">
        <v>33</v>
      </c>
      <c r="E28" s="9"/>
      <c r="F28" s="9"/>
      <c r="G28" s="9"/>
      <c r="H28" s="89">
        <f>SUM(H21:H26)</f>
        <v>2387791</v>
      </c>
      <c r="I28" s="89">
        <f>SUM(I21:I26)</f>
        <v>3035382</v>
      </c>
    </row>
    <row r="29" spans="1:9">
      <c r="H29" s="85"/>
    </row>
    <row r="30" spans="1:9">
      <c r="A30" s="3" t="s">
        <v>36</v>
      </c>
      <c r="H30" s="85"/>
    </row>
    <row r="31" spans="1:9">
      <c r="B31" t="s">
        <v>37</v>
      </c>
      <c r="H31" s="90">
        <v>3598291</v>
      </c>
      <c r="I31">
        <v>2513838</v>
      </c>
    </row>
    <row r="32" spans="1:9">
      <c r="B32" t="s">
        <v>42</v>
      </c>
      <c r="H32" s="92">
        <v>3965187</v>
      </c>
      <c r="I32">
        <v>4985497</v>
      </c>
    </row>
    <row r="33" spans="3:10">
      <c r="H33" s="85"/>
      <c r="I33" s="137"/>
    </row>
    <row r="34" spans="3:10" s="3" customFormat="1">
      <c r="C34" s="10" t="s">
        <v>43</v>
      </c>
      <c r="D34" s="10"/>
      <c r="E34" s="10"/>
      <c r="F34" s="10"/>
      <c r="G34" s="10"/>
      <c r="H34" s="93">
        <f>SUM(H31:H32)</f>
        <v>7563478</v>
      </c>
      <c r="I34" s="93">
        <f>SUM(I31:I32)</f>
        <v>7499335</v>
      </c>
    </row>
    <row r="35" spans="3:10">
      <c r="H35" s="85"/>
    </row>
    <row r="36" spans="3:10" s="3" customFormat="1">
      <c r="C36" s="11" t="s">
        <v>44</v>
      </c>
      <c r="D36" s="11"/>
      <c r="E36" s="11"/>
      <c r="F36" s="11"/>
      <c r="G36" s="11"/>
      <c r="H36" s="100">
        <f>SUM(H34+H28)</f>
        <v>9951269</v>
      </c>
      <c r="I36" s="100">
        <f>SUM(I34+I28)</f>
        <v>10534717</v>
      </c>
      <c r="J36" s="106"/>
    </row>
    <row r="37" spans="3:10">
      <c r="H37" s="85"/>
    </row>
  </sheetData>
  <mergeCells count="2">
    <mergeCell ref="D1:H1"/>
    <mergeCell ref="D2:H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TC315"/>
  <sheetViews>
    <sheetView tabSelected="1" topLeftCell="A47" workbookViewId="0">
      <selection activeCell="J31" sqref="J31:J34"/>
    </sheetView>
  </sheetViews>
  <sheetFormatPr defaultColWidth="8.85546875" defaultRowHeight="14.45"/>
  <cols>
    <col min="1" max="1" width="12.7109375" bestFit="1" customWidth="1"/>
    <col min="2" max="2" width="23.1406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2" customWidth="1"/>
    <col min="11" max="11" width="16.28515625" bestFit="1" customWidth="1"/>
    <col min="12" max="12" width="17.28515625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28515625" bestFit="1" customWidth="1"/>
    <col min="24" max="24" width="17.28515625" hidden="1" customWidth="1"/>
    <col min="25" max="25" width="17.28515625" customWidth="1"/>
    <col min="26" max="26" width="19.7109375" hidden="1" customWidth="1"/>
  </cols>
  <sheetData>
    <row r="1" spans="1:523" ht="15.95" thickBot="1">
      <c r="A1" s="12" t="s">
        <v>657</v>
      </c>
      <c r="B1" s="12"/>
      <c r="C1" s="13"/>
      <c r="D1" s="13"/>
      <c r="E1" s="13"/>
      <c r="F1" s="13"/>
      <c r="G1" s="13"/>
      <c r="H1" s="13"/>
      <c r="I1" s="13"/>
      <c r="J1" s="73"/>
      <c r="K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4"/>
      <c r="X1" s="15"/>
      <c r="Z1" s="20"/>
    </row>
    <row r="2" spans="1:523" ht="17.45" thickBot="1">
      <c r="B2" s="21"/>
      <c r="C2" s="22" t="s">
        <v>658</v>
      </c>
      <c r="D2" s="23"/>
      <c r="E2" s="23"/>
      <c r="F2" s="23"/>
      <c r="G2" s="23"/>
      <c r="H2" s="23"/>
      <c r="I2" s="23"/>
      <c r="J2" s="74"/>
      <c r="K2" s="25"/>
      <c r="L2" s="62"/>
      <c r="M2" s="26"/>
      <c r="N2" s="27" t="s">
        <v>659</v>
      </c>
      <c r="O2" s="26"/>
      <c r="P2" s="26"/>
      <c r="Q2" s="26"/>
      <c r="R2" s="26"/>
      <c r="S2" s="28" t="s">
        <v>660</v>
      </c>
      <c r="T2" s="29"/>
      <c r="U2" s="26"/>
      <c r="V2" s="26"/>
      <c r="W2" s="24"/>
      <c r="X2" s="25"/>
      <c r="Y2" s="62"/>
      <c r="Z2" s="33"/>
    </row>
    <row r="3" spans="1:523" ht="31.5" thickBot="1">
      <c r="A3" s="209" t="s">
        <v>661</v>
      </c>
      <c r="B3" s="210"/>
      <c r="C3" s="34" t="s">
        <v>7</v>
      </c>
      <c r="D3" s="35" t="s">
        <v>8</v>
      </c>
      <c r="E3" s="36" t="s">
        <v>46</v>
      </c>
      <c r="F3" s="37" t="s">
        <v>662</v>
      </c>
      <c r="G3" s="70" t="s">
        <v>663</v>
      </c>
      <c r="H3" s="38" t="s">
        <v>664</v>
      </c>
      <c r="I3" s="39" t="s">
        <v>665</v>
      </c>
      <c r="J3" s="75" t="s">
        <v>666</v>
      </c>
      <c r="K3" s="41" t="s">
        <v>666</v>
      </c>
      <c r="L3" s="175" t="s">
        <v>667</v>
      </c>
      <c r="M3" s="42" t="s">
        <v>668</v>
      </c>
      <c r="N3" s="43" t="s">
        <v>669</v>
      </c>
      <c r="O3" s="44" t="s">
        <v>670</v>
      </c>
      <c r="P3" s="36" t="s">
        <v>671</v>
      </c>
      <c r="Q3" s="69" t="s">
        <v>672</v>
      </c>
      <c r="R3" s="45" t="s">
        <v>673</v>
      </c>
      <c r="S3" s="46" t="s">
        <v>674</v>
      </c>
      <c r="T3" s="38" t="s">
        <v>675</v>
      </c>
      <c r="U3" s="47" t="s">
        <v>676</v>
      </c>
      <c r="V3" s="40" t="s">
        <v>666</v>
      </c>
      <c r="W3" s="41" t="s">
        <v>666</v>
      </c>
      <c r="X3" s="48"/>
      <c r="Y3" s="174" t="s">
        <v>677</v>
      </c>
    </row>
    <row r="4" spans="1:523" ht="15.95" thickBot="1">
      <c r="A4" s="211" t="s">
        <v>678</v>
      </c>
      <c r="B4" s="212"/>
      <c r="J4" s="54"/>
      <c r="K4" s="55"/>
      <c r="L4" s="56"/>
      <c r="V4" s="54"/>
      <c r="W4" s="55"/>
      <c r="X4" s="56" t="s">
        <v>679</v>
      </c>
      <c r="Y4" s="56"/>
    </row>
    <row r="5" spans="1:523" ht="15.6">
      <c r="A5" s="57"/>
      <c r="B5" s="58" t="s">
        <v>680</v>
      </c>
      <c r="J5" s="54"/>
      <c r="K5" s="55"/>
      <c r="L5" s="56"/>
      <c r="V5" s="54"/>
      <c r="W5" s="55"/>
      <c r="X5" s="56"/>
      <c r="Y5" s="178"/>
    </row>
    <row r="6" spans="1:523" s="109" customFormat="1" ht="15.6">
      <c r="A6" s="117"/>
      <c r="B6" s="118" t="s">
        <v>681</v>
      </c>
      <c r="C6" s="119">
        <f>CSG!C6+CSB!C6</f>
        <v>6387055</v>
      </c>
      <c r="D6" s="119">
        <f>CSG!D6+CSB!D6</f>
        <v>7359136</v>
      </c>
      <c r="E6" s="119">
        <f>CSG!E6+CSB!E6</f>
        <v>520283</v>
      </c>
      <c r="F6" s="119">
        <f>CSG!F6+CSB!F6</f>
        <v>54470286</v>
      </c>
      <c r="G6" s="119">
        <f>CSG!G6+CSB!G6</f>
        <v>6707822</v>
      </c>
      <c r="H6" s="119">
        <f>CSG!H6+CSB!H6</f>
        <v>0</v>
      </c>
      <c r="I6" s="119">
        <f t="shared" ref="I6:I7" si="0">SUM(C6:H6)</f>
        <v>75444582</v>
      </c>
      <c r="J6" s="130" t="str">
        <f t="shared" ref="J6:J69" si="1">IF(I6=K6, "ok", "check")</f>
        <v>ok</v>
      </c>
      <c r="K6" s="120">
        <f>Acadia!H19</f>
        <v>75444582</v>
      </c>
      <c r="L6" s="176">
        <f>Acadia!H22</f>
        <v>40499</v>
      </c>
      <c r="M6" s="119">
        <f>CSG!M6+CSB!M6</f>
        <v>1235703</v>
      </c>
      <c r="N6" s="119">
        <f>CSG!N6+CSB!N6</f>
        <v>371210</v>
      </c>
      <c r="O6" s="119">
        <f>CSG!O6+CSB!O6</f>
        <v>1531435</v>
      </c>
      <c r="P6" s="119">
        <f>CSG!P6+CSB!P6</f>
        <v>12775783</v>
      </c>
      <c r="Q6" s="119">
        <f>CSG!Q6+CSB!Q6</f>
        <v>0</v>
      </c>
      <c r="R6" s="119">
        <f>CSG!R6+CSB!R6</f>
        <v>0</v>
      </c>
      <c r="S6" s="119">
        <f>CSG!S6+CSB!S6</f>
        <v>0</v>
      </c>
      <c r="T6" s="119">
        <f>CSG!T6+CSB!T6</f>
        <v>6919970</v>
      </c>
      <c r="U6" s="119">
        <f t="shared" ref="U6:U7" si="2">SUM(M6:T6)</f>
        <v>22834101</v>
      </c>
      <c r="V6" s="122" t="str">
        <f t="shared" ref="V6:V69" si="3">IF(U6=W6, "ok", "check")</f>
        <v>ok</v>
      </c>
      <c r="W6" s="120">
        <f>Acadia!H40</f>
        <v>22834101</v>
      </c>
      <c r="X6" s="121"/>
      <c r="Y6" s="176">
        <f>Acadia!H43</f>
        <v>29556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</row>
    <row r="7" spans="1:523" ht="15.6">
      <c r="A7" s="57"/>
      <c r="B7" s="3" t="s">
        <v>682</v>
      </c>
      <c r="C7" s="119">
        <f>CSG!C7+CSB!C7</f>
        <v>4518521</v>
      </c>
      <c r="D7" s="119">
        <f>CSG!D7+CSB!D7</f>
        <v>0</v>
      </c>
      <c r="E7" s="119">
        <f>CSG!E7+CSB!E7</f>
        <v>2958638</v>
      </c>
      <c r="F7" s="119">
        <f>CSG!F7+CSB!F7</f>
        <v>24665755</v>
      </c>
      <c r="G7" s="119">
        <f>CSG!G7+CSB!G7</f>
        <v>549380</v>
      </c>
      <c r="H7" s="119">
        <f>CSG!H7+CSB!H7</f>
        <v>29719</v>
      </c>
      <c r="I7" s="60">
        <f t="shared" si="0"/>
        <v>32722013</v>
      </c>
      <c r="J7" s="130" t="str">
        <f t="shared" si="1"/>
        <v>ok</v>
      </c>
      <c r="K7" s="59">
        <f>Allen!G13</f>
        <v>32722013</v>
      </c>
      <c r="L7" s="177"/>
      <c r="M7" s="119">
        <f>CSG!M7+CSB!M7</f>
        <v>487946</v>
      </c>
      <c r="N7" s="119">
        <f>CSG!N7+CSB!N7</f>
        <v>37649</v>
      </c>
      <c r="O7" s="119">
        <f>CSG!O7+CSB!O7</f>
        <v>33000</v>
      </c>
      <c r="P7" s="119">
        <f>CSG!P7+CSB!P7</f>
        <v>155000</v>
      </c>
      <c r="Q7" s="119">
        <f>CSG!Q7+CSB!Q7</f>
        <v>0</v>
      </c>
      <c r="R7" s="119">
        <f>CSG!R7+CSB!R7</f>
        <v>0</v>
      </c>
      <c r="S7" s="119">
        <f>CSG!S7+CSB!S7</f>
        <v>989571</v>
      </c>
      <c r="T7" s="119">
        <f>CSG!T7+CSB!T7</f>
        <v>134467</v>
      </c>
      <c r="U7" s="60">
        <f t="shared" si="2"/>
        <v>1837633</v>
      </c>
      <c r="V7" s="122" t="str">
        <f t="shared" si="3"/>
        <v>ok</v>
      </c>
      <c r="W7" s="59">
        <f>Allen!G24</f>
        <v>1837633</v>
      </c>
      <c r="X7" s="61"/>
      <c r="Y7" s="177"/>
    </row>
    <row r="8" spans="1:523" s="109" customFormat="1" ht="15.6">
      <c r="A8" s="117"/>
      <c r="B8" s="118" t="s">
        <v>683</v>
      </c>
      <c r="C8" s="119">
        <f>CSG!C8+CSB!C8</f>
        <v>46091237</v>
      </c>
      <c r="D8" s="119">
        <f>CSG!D8+CSB!D8</f>
        <v>97818553</v>
      </c>
      <c r="E8" s="119">
        <f>CSG!E8+CSB!E8</f>
        <v>31963150</v>
      </c>
      <c r="F8" s="119">
        <f>CSG!F8+CSB!F8</f>
        <v>220457798</v>
      </c>
      <c r="G8" s="119">
        <f>CSG!G8+CSB!G8</f>
        <v>5125945</v>
      </c>
      <c r="H8" s="119">
        <f>CSG!H8+CSB!H8</f>
        <v>1164472</v>
      </c>
      <c r="I8" s="119">
        <f t="shared" ref="I8:I15" si="4">SUM(C8:H8)</f>
        <v>402621155</v>
      </c>
      <c r="J8" s="130" t="str">
        <f t="shared" si="1"/>
        <v>ok</v>
      </c>
      <c r="K8" s="120">
        <f>Ascension!K21</f>
        <v>402621155</v>
      </c>
      <c r="L8" s="176">
        <f>Ascension!I24</f>
        <v>294404</v>
      </c>
      <c r="M8" s="119">
        <f>CSG!M8+CSB!M8</f>
        <v>7744502</v>
      </c>
      <c r="N8" s="119">
        <f>CSG!N8+CSB!N8</f>
        <v>0</v>
      </c>
      <c r="O8" s="119">
        <f>CSG!O8+CSB!O8</f>
        <v>235409</v>
      </c>
      <c r="P8" s="119">
        <f>CSG!P8+CSB!P8</f>
        <v>667416</v>
      </c>
      <c r="Q8" s="119">
        <f>CSG!Q8+CSB!Q8</f>
        <v>838595</v>
      </c>
      <c r="R8" s="119">
        <f>CSG!R8+CSB!R8</f>
        <v>4335000</v>
      </c>
      <c r="S8" s="119">
        <f>CSG!S8+CSB!S8</f>
        <v>80612569</v>
      </c>
      <c r="T8" s="119">
        <f>CSG!T8+CSB!T8</f>
        <v>4561445</v>
      </c>
      <c r="U8" s="119">
        <f t="shared" ref="U8:U15" si="5">SUM(M8:T8)</f>
        <v>98994936</v>
      </c>
      <c r="V8" s="122" t="str">
        <f t="shared" si="3"/>
        <v>ok</v>
      </c>
      <c r="W8" s="120">
        <f>Ascension!K42</f>
        <v>98994936</v>
      </c>
      <c r="X8" s="121"/>
      <c r="Y8" s="176">
        <f>Ascension!I45</f>
        <v>629856</v>
      </c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</row>
    <row r="9" spans="1:523" ht="15.6">
      <c r="A9" s="57"/>
      <c r="B9" s="3" t="s">
        <v>684</v>
      </c>
      <c r="C9" s="119">
        <f>CSG!C9+CSB!C9</f>
        <v>3793804</v>
      </c>
      <c r="D9" s="119">
        <f>CSG!D9+CSB!D9</f>
        <v>13855799</v>
      </c>
      <c r="E9" s="119">
        <f>CSG!E9+CSB!E9</f>
        <v>5121670</v>
      </c>
      <c r="F9" s="119">
        <f>CSG!F9+CSB!F9</f>
        <v>43733131</v>
      </c>
      <c r="G9" s="119">
        <f>CSG!G9+CSB!G9</f>
        <v>0</v>
      </c>
      <c r="H9" s="119">
        <f>CSG!H9+CSB!H9</f>
        <v>27165</v>
      </c>
      <c r="I9" s="60">
        <f t="shared" si="4"/>
        <v>66531569</v>
      </c>
      <c r="J9" s="130" t="str">
        <f t="shared" si="1"/>
        <v>ok</v>
      </c>
      <c r="K9" s="59">
        <f>Assumption!H13</f>
        <v>66531569</v>
      </c>
      <c r="L9" s="177"/>
      <c r="M9" s="119">
        <f>CSG!M9+CSB!M9</f>
        <v>1477018</v>
      </c>
      <c r="N9" s="119">
        <f>CSG!N9+CSB!N9</f>
        <v>0</v>
      </c>
      <c r="O9" s="119">
        <f>CSG!O9+CSB!O9</f>
        <v>0</v>
      </c>
      <c r="P9" s="119">
        <f>CSG!P9+CSB!P9</f>
        <v>0</v>
      </c>
      <c r="Q9" s="119">
        <f>CSG!Q9+CSB!Q9</f>
        <v>0</v>
      </c>
      <c r="R9" s="119">
        <f>CSG!R9+CSB!R9</f>
        <v>0</v>
      </c>
      <c r="S9" s="119">
        <f>CSG!S9+CSB!S9</f>
        <v>0</v>
      </c>
      <c r="T9" s="119">
        <f>CSG!T9+CSB!T9</f>
        <v>456599</v>
      </c>
      <c r="U9" s="60">
        <f t="shared" si="5"/>
        <v>1933617</v>
      </c>
      <c r="V9" s="122" t="str">
        <f t="shared" si="3"/>
        <v>ok</v>
      </c>
      <c r="W9" s="59">
        <f>Assumption!H25</f>
        <v>1933617</v>
      </c>
      <c r="X9" s="61"/>
      <c r="Y9" s="177"/>
    </row>
    <row r="10" spans="1:523" s="109" customFormat="1" ht="15.6">
      <c r="A10" s="117"/>
      <c r="B10" s="118" t="s">
        <v>685</v>
      </c>
      <c r="C10" s="119">
        <f>CSG!C10+CSB!C10</f>
        <v>7808079</v>
      </c>
      <c r="D10" s="119">
        <f>CSG!D10+CSB!D10</f>
        <v>0</v>
      </c>
      <c r="E10" s="119">
        <f>CSG!E10+CSB!E10</f>
        <v>2186064</v>
      </c>
      <c r="F10" s="119">
        <f>CSG!F10+CSB!F10</f>
        <v>3564386</v>
      </c>
      <c r="G10" s="119">
        <f>CSG!G10+CSB!G10</f>
        <v>454661</v>
      </c>
      <c r="H10" s="119">
        <f>CSG!H10+CSB!H10</f>
        <v>1772656</v>
      </c>
      <c r="I10" s="119">
        <f t="shared" si="4"/>
        <v>15785846</v>
      </c>
      <c r="J10" s="130" t="str">
        <f t="shared" si="1"/>
        <v>ok</v>
      </c>
      <c r="K10" s="120">
        <f>Avoyelles!H20</f>
        <v>15785846</v>
      </c>
      <c r="L10" s="176"/>
      <c r="M10" s="119">
        <f>CSG!M10+CSB!M10</f>
        <v>588143</v>
      </c>
      <c r="N10" s="119">
        <f>CSG!N10+CSB!N10</f>
        <v>98082</v>
      </c>
      <c r="O10" s="119">
        <f>CSG!O10+CSB!O10</f>
        <v>0</v>
      </c>
      <c r="P10" s="119">
        <f>CSG!P10+CSB!P10</f>
        <v>0</v>
      </c>
      <c r="Q10" s="119">
        <f>CSG!Q10+CSB!Q10</f>
        <v>37903</v>
      </c>
      <c r="R10" s="119">
        <f>CSG!R10+CSB!R10</f>
        <v>0</v>
      </c>
      <c r="S10" s="119">
        <f>CSG!S10+CSB!S10</f>
        <v>0</v>
      </c>
      <c r="T10" s="119">
        <f>CSG!T10+CSB!T10</f>
        <v>36260</v>
      </c>
      <c r="U10" s="119">
        <f t="shared" si="5"/>
        <v>760388</v>
      </c>
      <c r="V10" s="122" t="str">
        <f t="shared" si="3"/>
        <v>ok</v>
      </c>
      <c r="W10" s="120">
        <f>Avoyelles!H36</f>
        <v>760388</v>
      </c>
      <c r="X10" s="121"/>
      <c r="Y10" s="176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</row>
    <row r="11" spans="1:523" ht="15.6">
      <c r="A11" s="57"/>
      <c r="B11" s="3" t="s">
        <v>686</v>
      </c>
      <c r="C11" s="119">
        <f>CSG!C11+CSB!C11</f>
        <v>14858366</v>
      </c>
      <c r="D11" s="119">
        <f>CSG!D11+CSB!D11</f>
        <v>0</v>
      </c>
      <c r="E11" s="119">
        <f>CSG!E11+CSB!E11</f>
        <v>6484761</v>
      </c>
      <c r="F11" s="119">
        <f>CSG!F11+CSB!F11</f>
        <v>31507158</v>
      </c>
      <c r="G11" s="119">
        <f>CSG!G11+CSB!G11</f>
        <v>0</v>
      </c>
      <c r="H11" s="119">
        <f>CSG!H11+CSB!H11</f>
        <v>313803</v>
      </c>
      <c r="I11" s="60">
        <f t="shared" si="4"/>
        <v>53164088</v>
      </c>
      <c r="J11" s="130" t="str">
        <f t="shared" si="1"/>
        <v>ok</v>
      </c>
      <c r="K11" s="59">
        <f>Beauregard!G16</f>
        <v>53164088</v>
      </c>
      <c r="L11" s="177"/>
      <c r="M11" s="119">
        <f>CSG!M11+CSB!M11</f>
        <v>874849</v>
      </c>
      <c r="N11" s="119">
        <f>CSG!N11+CSB!N11</f>
        <v>0</v>
      </c>
      <c r="O11" s="119">
        <f>CSG!O11+CSB!O11</f>
        <v>0</v>
      </c>
      <c r="P11" s="119">
        <f>CSG!P11+CSB!P11</f>
        <v>0</v>
      </c>
      <c r="Q11" s="119">
        <f>CSG!Q11+CSB!Q11</f>
        <v>0</v>
      </c>
      <c r="R11" s="119">
        <f>CSG!R11+CSB!R11</f>
        <v>1760644</v>
      </c>
      <c r="S11" s="119">
        <f>CSG!S11+CSB!S11</f>
        <v>2722875</v>
      </c>
      <c r="T11" s="119">
        <f>CSG!T11+CSB!T11</f>
        <v>0</v>
      </c>
      <c r="U11" s="60">
        <f t="shared" si="5"/>
        <v>5358368</v>
      </c>
      <c r="V11" s="122" t="str">
        <f t="shared" si="3"/>
        <v>ok</v>
      </c>
      <c r="W11" s="59">
        <f>Beauregard!G25</f>
        <v>5358368</v>
      </c>
      <c r="X11" s="61"/>
      <c r="Y11" s="177"/>
    </row>
    <row r="12" spans="1:523" s="109" customFormat="1" ht="15.6">
      <c r="A12" s="117"/>
      <c r="B12" s="118" t="s">
        <v>687</v>
      </c>
      <c r="C12" s="119">
        <f>CSG!C12+CSB!C12</f>
        <v>17224341</v>
      </c>
      <c r="D12" s="119">
        <f>CSG!D12+CSB!D12</f>
        <v>0</v>
      </c>
      <c r="E12" s="119">
        <f>CSG!E12+CSB!E12</f>
        <v>5448406</v>
      </c>
      <c r="F12" s="119">
        <f>CSG!F12+CSB!F12</f>
        <v>22814176</v>
      </c>
      <c r="G12" s="119">
        <f>CSG!G12+CSB!G12</f>
        <v>0</v>
      </c>
      <c r="H12" s="119">
        <f>CSG!H12+CSB!H12</f>
        <v>0</v>
      </c>
      <c r="I12" s="119">
        <f t="shared" si="4"/>
        <v>45486923</v>
      </c>
      <c r="J12" s="130" t="str">
        <f t="shared" si="1"/>
        <v>ok</v>
      </c>
      <c r="K12" s="120">
        <f>Bienville!G10</f>
        <v>45486923</v>
      </c>
      <c r="L12" s="176"/>
      <c r="M12" s="119">
        <f>CSG!M12+CSB!M12</f>
        <v>413411</v>
      </c>
      <c r="N12" s="119">
        <f>CSG!N12+CSB!N12</f>
        <v>81369</v>
      </c>
      <c r="O12" s="119">
        <f>CSG!O12+CSB!O12</f>
        <v>10820000</v>
      </c>
      <c r="P12" s="119">
        <f>CSG!P12+CSB!P12</f>
        <v>0</v>
      </c>
      <c r="Q12" s="119">
        <f>CSG!Q12+CSB!Q12</f>
        <v>0</v>
      </c>
      <c r="R12" s="119">
        <f>CSG!R12+CSB!R12</f>
        <v>0</v>
      </c>
      <c r="S12" s="119">
        <f>CSG!S12+CSB!S12</f>
        <v>0</v>
      </c>
      <c r="T12" s="119">
        <f>CSG!T12+CSB!T12</f>
        <v>1596929</v>
      </c>
      <c r="U12" s="119">
        <f t="shared" si="5"/>
        <v>12911709</v>
      </c>
      <c r="V12" s="122" t="str">
        <f t="shared" si="3"/>
        <v>ok</v>
      </c>
      <c r="W12" s="120">
        <f>Bienville!G22</f>
        <v>12911709</v>
      </c>
      <c r="X12" s="121"/>
      <c r="Y12" s="176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</row>
    <row r="13" spans="1:523" ht="15.6">
      <c r="A13" s="57"/>
      <c r="B13" s="3" t="s">
        <v>688</v>
      </c>
      <c r="C13" s="119">
        <f>CSG!C13+CSB!C13</f>
        <v>42994403</v>
      </c>
      <c r="D13" s="119">
        <f>CSG!D13+CSB!D13</f>
        <v>0</v>
      </c>
      <c r="E13" s="119">
        <f>CSG!E13+CSB!E13</f>
        <v>18083724</v>
      </c>
      <c r="F13" s="119">
        <f>CSG!F13+CSB!F13</f>
        <v>291765612</v>
      </c>
      <c r="G13" s="119">
        <f>CSG!G13+CSB!G13</f>
        <v>0</v>
      </c>
      <c r="H13" s="119">
        <f>CSG!H13+CSB!H13</f>
        <v>1003971</v>
      </c>
      <c r="I13" s="60">
        <f t="shared" si="4"/>
        <v>353847710</v>
      </c>
      <c r="J13" s="130" t="str">
        <f t="shared" si="1"/>
        <v>ok</v>
      </c>
      <c r="K13" s="59">
        <f>Bossier!J17</f>
        <v>353847710</v>
      </c>
      <c r="L13" s="177"/>
      <c r="M13" s="119">
        <f>CSG!M13+CSB!M13</f>
        <v>3316221</v>
      </c>
      <c r="N13" s="119">
        <f>CSG!N13+CSB!N13</f>
        <v>0</v>
      </c>
      <c r="O13" s="119">
        <f>CSG!O13+CSB!O13</f>
        <v>0</v>
      </c>
      <c r="P13" s="119">
        <f>CSG!P13+CSB!P13</f>
        <v>0</v>
      </c>
      <c r="Q13" s="119">
        <f>CSG!Q13+CSB!Q13</f>
        <v>0</v>
      </c>
      <c r="R13" s="119">
        <f>CSG!R13+CSB!R13</f>
        <v>4678377</v>
      </c>
      <c r="S13" s="119">
        <f>CSG!S13+CSB!S13</f>
        <v>60913668</v>
      </c>
      <c r="T13" s="119">
        <f>CSG!T13+CSB!T13</f>
        <v>91817</v>
      </c>
      <c r="U13" s="60">
        <f t="shared" si="5"/>
        <v>69000083</v>
      </c>
      <c r="V13" s="122" t="str">
        <f t="shared" si="3"/>
        <v>ok</v>
      </c>
      <c r="W13" s="59">
        <f>Bossier!J33</f>
        <v>69000083</v>
      </c>
      <c r="X13" s="61"/>
      <c r="Y13" s="177"/>
    </row>
    <row r="14" spans="1:523" s="109" customFormat="1">
      <c r="B14" s="118" t="s">
        <v>689</v>
      </c>
      <c r="C14" s="119">
        <f>CSG!C14+CSB!C14</f>
        <v>16689898</v>
      </c>
      <c r="D14" s="119">
        <f>CSG!D14+CSB!D14</f>
        <v>117520729</v>
      </c>
      <c r="E14" s="119">
        <f>CSG!E14+CSB!E14</f>
        <v>57370497</v>
      </c>
      <c r="F14" s="119">
        <f>CSG!F14+CSB!F14</f>
        <v>210268925</v>
      </c>
      <c r="G14" s="119">
        <f>CSG!G14+CSB!G14</f>
        <v>2164467</v>
      </c>
      <c r="H14" s="119">
        <f>CSG!H14+CSB!H14</f>
        <v>194590</v>
      </c>
      <c r="I14" s="119">
        <f t="shared" si="4"/>
        <v>404209106</v>
      </c>
      <c r="J14" s="130" t="str">
        <f t="shared" si="1"/>
        <v>ok</v>
      </c>
      <c r="K14" s="120">
        <f>Caddo!H18</f>
        <v>404209106</v>
      </c>
      <c r="L14" s="176"/>
      <c r="M14" s="119">
        <f>CSG!M14+CSB!M14</f>
        <v>5714023</v>
      </c>
      <c r="N14" s="119">
        <f>CSG!N14+CSB!N14</f>
        <v>0</v>
      </c>
      <c r="O14" s="119">
        <f>CSG!O14+CSB!O14</f>
        <v>0</v>
      </c>
      <c r="P14" s="119">
        <f>CSG!P14+CSB!P14</f>
        <v>0</v>
      </c>
      <c r="Q14" s="119">
        <f>CSG!Q14+CSB!Q14</f>
        <v>1414351</v>
      </c>
      <c r="R14" s="119">
        <f>CSG!R14+CSB!R14</f>
        <v>2989243</v>
      </c>
      <c r="S14" s="119">
        <f>CSG!S14+CSB!S14</f>
        <v>40233745</v>
      </c>
      <c r="T14" s="119">
        <f>CSG!T14+CSB!T14</f>
        <v>82995</v>
      </c>
      <c r="U14" s="119">
        <f t="shared" si="5"/>
        <v>50434357</v>
      </c>
      <c r="V14" s="122" t="str">
        <f t="shared" si="3"/>
        <v>ok</v>
      </c>
      <c r="W14" s="120">
        <f>Caddo!H38</f>
        <v>50434357</v>
      </c>
      <c r="X14" s="121"/>
      <c r="Y14" s="176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</row>
    <row r="15" spans="1:523" ht="15.6">
      <c r="A15" s="57"/>
      <c r="B15" s="3" t="s">
        <v>690</v>
      </c>
      <c r="C15" s="119">
        <f>CSG!C15+CSB!C15</f>
        <v>61703595</v>
      </c>
      <c r="D15" s="119">
        <f>CSG!D15+CSB!D15</f>
        <v>194289481</v>
      </c>
      <c r="E15" s="119">
        <f>CSG!E15+CSB!E15</f>
        <v>60776704</v>
      </c>
      <c r="F15" s="119">
        <f>CSG!F15+CSB!F15</f>
        <v>519690704</v>
      </c>
      <c r="G15" s="119">
        <f>CSG!G15+CSB!G15</f>
        <v>222898</v>
      </c>
      <c r="H15" s="119">
        <f>CSG!H15+CSB!H15</f>
        <v>1347131</v>
      </c>
      <c r="I15" s="60">
        <f t="shared" si="4"/>
        <v>838030513</v>
      </c>
      <c r="J15" s="130" t="str">
        <f t="shared" si="1"/>
        <v>ok</v>
      </c>
      <c r="K15" s="59">
        <f>Calcasieu!J27</f>
        <v>838030513</v>
      </c>
      <c r="L15" s="177"/>
      <c r="M15" s="119">
        <f>CSG!M15+CSB!M15</f>
        <v>12179257</v>
      </c>
      <c r="N15" s="119">
        <f>CSG!N15+CSB!N15</f>
        <v>0</v>
      </c>
      <c r="O15" s="119">
        <f>CSG!O15+CSB!O15</f>
        <v>0</v>
      </c>
      <c r="P15" s="119">
        <f>CSG!P15+CSB!P15</f>
        <v>0</v>
      </c>
      <c r="Q15" s="119">
        <f>CSG!Q15+CSB!Q15</f>
        <v>458224</v>
      </c>
      <c r="R15" s="119">
        <f>CSG!R15+CSB!R15</f>
        <v>2888680</v>
      </c>
      <c r="S15" s="119">
        <f>CSG!S15+CSB!S15</f>
        <v>6898289</v>
      </c>
      <c r="T15" s="119">
        <f>CSG!T15+CSB!T15</f>
        <v>1634115</v>
      </c>
      <c r="U15" s="60">
        <f t="shared" si="5"/>
        <v>24058565</v>
      </c>
      <c r="V15" s="122" t="str">
        <f t="shared" si="3"/>
        <v>ok</v>
      </c>
      <c r="W15" s="59">
        <f>Calcasieu!J44</f>
        <v>24058565</v>
      </c>
      <c r="X15" s="61"/>
      <c r="Y15" s="177">
        <f>Calcasieu!H47</f>
        <v>47202105</v>
      </c>
    </row>
    <row r="16" spans="1:523" s="109" customFormat="1">
      <c r="B16" s="118" t="s">
        <v>691</v>
      </c>
      <c r="C16" s="119">
        <f>CSG!C16+CSB!C16</f>
        <v>6482087</v>
      </c>
      <c r="D16" s="119">
        <f>CSG!D16+CSB!D16</f>
        <v>0</v>
      </c>
      <c r="E16" s="119">
        <f>CSG!E16+CSB!E16</f>
        <v>1978585</v>
      </c>
      <c r="F16" s="119">
        <f>CSG!F16+CSB!F16</f>
        <v>11719166</v>
      </c>
      <c r="G16" s="119">
        <f>CSG!G16+CSB!G16</f>
        <v>0</v>
      </c>
      <c r="H16" s="119">
        <f>CSG!H16+CSB!H16</f>
        <v>0</v>
      </c>
      <c r="I16" s="119">
        <f t="shared" ref="I16:I43" si="6">SUM(C16:H16)</f>
        <v>20179838</v>
      </c>
      <c r="J16" s="130" t="str">
        <f t="shared" si="1"/>
        <v>ok</v>
      </c>
      <c r="K16" s="120">
        <f>Caldwell!G10</f>
        <v>20179838</v>
      </c>
      <c r="L16" s="176"/>
      <c r="M16" s="119">
        <f>CSG!M16+CSB!M16</f>
        <v>152562</v>
      </c>
      <c r="N16" s="119">
        <f>CSG!N16+CSB!N16</f>
        <v>119478</v>
      </c>
      <c r="O16" s="119">
        <f>CSG!O16+CSB!O16</f>
        <v>0</v>
      </c>
      <c r="P16" s="119">
        <f>CSG!P16+CSB!P16</f>
        <v>0</v>
      </c>
      <c r="Q16" s="119">
        <f>CSG!Q16+CSB!Q16</f>
        <v>57698</v>
      </c>
      <c r="R16" s="119">
        <f>CSG!R16+CSB!R16</f>
        <v>0</v>
      </c>
      <c r="S16" s="119">
        <f>CSG!S16+CSB!S16</f>
        <v>0</v>
      </c>
      <c r="T16" s="119">
        <f>CSG!T16+CSB!T16</f>
        <v>0</v>
      </c>
      <c r="U16" s="119">
        <f t="shared" ref="U16:U21" si="7">SUM(M16:T16)</f>
        <v>329738</v>
      </c>
      <c r="V16" s="122" t="str">
        <f t="shared" si="3"/>
        <v>ok</v>
      </c>
      <c r="W16" s="120">
        <f>Caldwell!G17</f>
        <v>329738</v>
      </c>
      <c r="X16" s="121"/>
      <c r="Y16" s="17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</row>
    <row r="17" spans="1:523" ht="15.6">
      <c r="A17" s="57"/>
      <c r="B17" s="3" t="s">
        <v>692</v>
      </c>
      <c r="C17" s="119">
        <f>CSG!C17+CSB!C17</f>
        <v>28095654</v>
      </c>
      <c r="D17" s="119">
        <f>CSG!D17+CSB!D17</f>
        <v>0</v>
      </c>
      <c r="E17" s="119">
        <f>CSG!E17+CSB!E17</f>
        <v>19930829</v>
      </c>
      <c r="F17" s="119">
        <f>CSG!F17+CSB!F17</f>
        <v>111753810</v>
      </c>
      <c r="G17" s="119">
        <f>CSG!G17+CSB!G17</f>
        <v>0</v>
      </c>
      <c r="H17" s="119">
        <f>CSG!H17+CSB!H17</f>
        <v>1924709</v>
      </c>
      <c r="I17" s="60">
        <f t="shared" si="6"/>
        <v>161705002</v>
      </c>
      <c r="J17" s="130" t="str">
        <f t="shared" si="1"/>
        <v>ok</v>
      </c>
      <c r="K17" s="59">
        <f>Cameron!G12</f>
        <v>161705002</v>
      </c>
      <c r="L17" s="177"/>
      <c r="M17" s="119">
        <f>CSG!M17+CSB!M17</f>
        <v>4715387</v>
      </c>
      <c r="N17" s="119">
        <f>CSG!N17+CSB!N17</f>
        <v>0</v>
      </c>
      <c r="O17" s="119">
        <f>CSG!O17+CSB!O17</f>
        <v>0</v>
      </c>
      <c r="P17" s="119">
        <f>CSG!P17+CSB!P17</f>
        <v>0</v>
      </c>
      <c r="Q17" s="119">
        <f>CSG!Q17+CSB!Q17</f>
        <v>3695066</v>
      </c>
      <c r="R17" s="119">
        <f>CSG!R17+CSB!R17</f>
        <v>1892917</v>
      </c>
      <c r="S17" s="119">
        <f>CSG!S17+CSB!S17</f>
        <v>5190396</v>
      </c>
      <c r="T17" s="119">
        <f>CSG!T17+CSB!T17</f>
        <v>17231</v>
      </c>
      <c r="U17" s="60">
        <f t="shared" si="7"/>
        <v>15510997</v>
      </c>
      <c r="V17" s="122" t="str">
        <f t="shared" si="3"/>
        <v>ok</v>
      </c>
      <c r="W17" s="59">
        <f>Cameron!G23</f>
        <v>15510997</v>
      </c>
      <c r="X17" s="61"/>
      <c r="Y17" s="177"/>
    </row>
    <row r="18" spans="1:523" s="109" customFormat="1" ht="15.6">
      <c r="A18" s="117"/>
      <c r="B18" s="118" t="s">
        <v>693</v>
      </c>
      <c r="C18" s="119">
        <f>CSG!C18+CSB!C18</f>
        <v>1935304</v>
      </c>
      <c r="D18" s="119">
        <f>CSG!D18+CSB!D18</f>
        <v>0</v>
      </c>
      <c r="E18" s="119">
        <f>CSG!E18+CSB!E18</f>
        <v>1411486</v>
      </c>
      <c r="F18" s="119">
        <f>CSG!F18+CSB!F18</f>
        <v>5862816</v>
      </c>
      <c r="G18" s="119">
        <f>CSG!G18+CSB!G18</f>
        <v>0</v>
      </c>
      <c r="H18" s="119">
        <f>CSG!H18+CSB!H18</f>
        <v>81766</v>
      </c>
      <c r="I18" s="119">
        <f t="shared" si="6"/>
        <v>9291372</v>
      </c>
      <c r="J18" s="130" t="str">
        <f t="shared" si="1"/>
        <v>ok</v>
      </c>
      <c r="K18" s="120">
        <f>Catahoula!H13</f>
        <v>9291372</v>
      </c>
      <c r="L18" s="176"/>
      <c r="M18" s="119">
        <f>CSG!M18+CSB!M18</f>
        <v>551794</v>
      </c>
      <c r="N18" s="119">
        <f>CSG!N18+CSB!N18</f>
        <v>27615</v>
      </c>
      <c r="O18" s="119">
        <f>CSG!O18+CSB!O18</f>
        <v>0</v>
      </c>
      <c r="P18" s="119">
        <f>CSG!P18+CSB!P18</f>
        <v>0</v>
      </c>
      <c r="Q18" s="119">
        <f>CSG!Q18+CSB!Q18</f>
        <v>0</v>
      </c>
      <c r="R18" s="119">
        <f>CSG!R18+CSB!R18</f>
        <v>120000</v>
      </c>
      <c r="S18" s="119">
        <f>CSG!S18+CSB!S18</f>
        <v>51000</v>
      </c>
      <c r="T18" s="119">
        <f>CSG!T18+CSB!T18</f>
        <v>0</v>
      </c>
      <c r="U18" s="119">
        <f t="shared" si="7"/>
        <v>750409</v>
      </c>
      <c r="V18" s="122" t="str">
        <f t="shared" si="3"/>
        <v>ok</v>
      </c>
      <c r="W18" s="120">
        <f>Catahoula!H21</f>
        <v>750409</v>
      </c>
      <c r="X18" s="121"/>
      <c r="Y18" s="176">
        <f>Catahoula!H24</f>
        <v>14777</v>
      </c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</row>
    <row r="19" spans="1:523" ht="15.6">
      <c r="A19" s="57"/>
      <c r="B19" s="3" t="s">
        <v>694</v>
      </c>
      <c r="C19" s="119">
        <f>CSG!C19+CSB!C19</f>
        <v>7547110</v>
      </c>
      <c r="D19" s="119">
        <f>CSG!D19+CSB!D19</f>
        <v>28082</v>
      </c>
      <c r="E19" s="119">
        <f>CSG!E19+CSB!E19</f>
        <v>3215328</v>
      </c>
      <c r="F19" s="119">
        <f>CSG!F19+CSB!F19</f>
        <v>7059807</v>
      </c>
      <c r="G19" s="119">
        <f>CSG!G19+CSB!G19</f>
        <v>0</v>
      </c>
      <c r="H19" s="119">
        <f>CSG!H19+CSB!H19</f>
        <v>113163</v>
      </c>
      <c r="I19" s="60">
        <f t="shared" si="6"/>
        <v>17963490</v>
      </c>
      <c r="J19" s="130" t="str">
        <f t="shared" si="1"/>
        <v>ok</v>
      </c>
      <c r="K19" s="59">
        <f>Claiborne!G12</f>
        <v>17963490</v>
      </c>
      <c r="L19" s="177"/>
      <c r="M19" s="119">
        <f>CSG!M19+CSB!M19</f>
        <v>643570</v>
      </c>
      <c r="N19" s="119">
        <f>CSG!N19+CSB!N19</f>
        <v>50773</v>
      </c>
      <c r="O19" s="119">
        <f>CSG!O19+CSB!O19</f>
        <v>0</v>
      </c>
      <c r="P19" s="119">
        <f>CSG!P19+CSB!P19</f>
        <v>0</v>
      </c>
      <c r="Q19" s="119">
        <f>CSG!Q19+CSB!Q19</f>
        <v>16368</v>
      </c>
      <c r="R19" s="119">
        <f>CSG!R19+CSB!R19</f>
        <v>155000</v>
      </c>
      <c r="S19" s="119">
        <f>CSG!S19+CSB!S19</f>
        <v>1700000</v>
      </c>
      <c r="T19" s="119">
        <f>CSG!T19+CSB!T19</f>
        <v>15626</v>
      </c>
      <c r="U19" s="60">
        <f t="shared" si="7"/>
        <v>2581337</v>
      </c>
      <c r="V19" s="122" t="str">
        <f t="shared" si="3"/>
        <v>ok</v>
      </c>
      <c r="W19" s="59">
        <f>Claiborne!G22</f>
        <v>2581337</v>
      </c>
      <c r="X19" s="61"/>
      <c r="Y19" s="177"/>
    </row>
    <row r="20" spans="1:523" s="109" customFormat="1" ht="15.6">
      <c r="A20" s="117"/>
      <c r="B20" s="118" t="s">
        <v>695</v>
      </c>
      <c r="C20" s="119">
        <f>CSG!C20+CSB!C20</f>
        <v>8049725</v>
      </c>
      <c r="D20" s="119">
        <f>CSG!D20+CSB!D20</f>
        <v>0</v>
      </c>
      <c r="E20" s="119">
        <f>CSG!E20+CSB!E20</f>
        <v>2125063</v>
      </c>
      <c r="F20" s="119">
        <f>CSG!F20+CSB!F20</f>
        <v>10920531</v>
      </c>
      <c r="G20" s="119">
        <f>CSG!G20+CSB!G20</f>
        <v>0</v>
      </c>
      <c r="H20" s="119">
        <f>CSG!H20+CSB!H20</f>
        <v>2658</v>
      </c>
      <c r="I20" s="119">
        <f t="shared" si="6"/>
        <v>21097977</v>
      </c>
      <c r="J20" s="130" t="str">
        <f t="shared" si="1"/>
        <v>ok</v>
      </c>
      <c r="K20" s="120">
        <f>Concordia!G12</f>
        <v>21097977</v>
      </c>
      <c r="L20" s="176"/>
      <c r="M20" s="119">
        <f>CSG!M20+CSB!M20</f>
        <v>379801</v>
      </c>
      <c r="N20" s="119">
        <f>CSG!N20+CSB!N20</f>
        <v>0</v>
      </c>
      <c r="O20" s="119">
        <f>CSG!O20+CSB!O20</f>
        <v>0</v>
      </c>
      <c r="P20" s="119">
        <f>CSG!P20+CSB!P20</f>
        <v>0</v>
      </c>
      <c r="Q20" s="119">
        <f>CSG!Q20+CSB!Q20</f>
        <v>0</v>
      </c>
      <c r="R20" s="119">
        <f>CSG!R20+CSB!R20</f>
        <v>395818</v>
      </c>
      <c r="S20" s="119">
        <f>CSG!S20+CSB!S20</f>
        <v>9404258</v>
      </c>
      <c r="T20" s="119">
        <f>CSG!T20+CSB!T20</f>
        <v>0</v>
      </c>
      <c r="U20" s="119">
        <f t="shared" si="7"/>
        <v>10179877</v>
      </c>
      <c r="V20" s="122" t="str">
        <f t="shared" si="3"/>
        <v>ok</v>
      </c>
      <c r="W20" s="120">
        <f>Concordia!G22</f>
        <v>10179877</v>
      </c>
      <c r="X20" s="121"/>
      <c r="Y20" s="176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</row>
    <row r="21" spans="1:523" ht="15.6">
      <c r="A21" s="57"/>
      <c r="B21" s="3" t="s">
        <v>696</v>
      </c>
      <c r="C21" s="119">
        <f>CSG!C21+CSB!C21</f>
        <v>9791090</v>
      </c>
      <c r="D21" s="119">
        <f>CSG!D21+CSB!D21</f>
        <v>19901346</v>
      </c>
      <c r="E21" s="119">
        <f>CSG!E21+CSB!E21</f>
        <v>13587052</v>
      </c>
      <c r="F21" s="119">
        <f>CSG!F21+CSB!F21</f>
        <v>75381781</v>
      </c>
      <c r="G21" s="119">
        <f>CSG!G21+CSB!G21</f>
        <v>2650</v>
      </c>
      <c r="H21" s="119">
        <f>CSG!H21+CSB!H21</f>
        <v>40185</v>
      </c>
      <c r="I21" s="60">
        <f t="shared" si="6"/>
        <v>118704104</v>
      </c>
      <c r="J21" s="130" t="str">
        <f t="shared" si="1"/>
        <v>ok</v>
      </c>
      <c r="K21" s="59">
        <f>DeSoto!J14</f>
        <v>118704104</v>
      </c>
      <c r="L21" s="177"/>
      <c r="M21" s="119">
        <f>CSG!M21+CSB!M21</f>
        <v>1176089</v>
      </c>
      <c r="N21" s="119">
        <f>CSG!N21+CSB!N21</f>
        <v>284258</v>
      </c>
      <c r="O21" s="119">
        <f>CSG!O21+CSB!O21</f>
        <v>0</v>
      </c>
      <c r="P21" s="119">
        <f>CSG!P21+CSB!P21</f>
        <v>0</v>
      </c>
      <c r="Q21" s="119">
        <f>CSG!Q21+CSB!Q21</f>
        <v>260166</v>
      </c>
      <c r="R21" s="119">
        <f>CSG!R21+CSB!R21</f>
        <v>5641</v>
      </c>
      <c r="S21" s="119">
        <f>CSG!S21+CSB!S21</f>
        <v>5280</v>
      </c>
      <c r="T21" s="119">
        <f>CSG!T21+CSB!T21</f>
        <v>4700993</v>
      </c>
      <c r="U21" s="60">
        <f t="shared" si="7"/>
        <v>6432427</v>
      </c>
      <c r="V21" s="122" t="str">
        <f t="shared" si="3"/>
        <v>ok</v>
      </c>
      <c r="W21" s="59">
        <f>DeSoto!J28</f>
        <v>6432427</v>
      </c>
      <c r="X21" s="61"/>
      <c r="Y21" s="177"/>
    </row>
    <row r="22" spans="1:523" s="109" customFormat="1" ht="15.6">
      <c r="A22" s="117"/>
      <c r="B22" s="118" t="s">
        <v>697</v>
      </c>
      <c r="C22" s="119">
        <f>CSG!C22+CSB!C22</f>
        <v>490729169</v>
      </c>
      <c r="D22" s="119">
        <f>CSG!D22+CSB!D22</f>
        <v>519680923</v>
      </c>
      <c r="E22" s="119">
        <f>CSG!E22+CSB!E22</f>
        <v>72105132</v>
      </c>
      <c r="F22" s="119">
        <f>CSG!F22+CSB!F22</f>
        <v>2520051191</v>
      </c>
      <c r="G22" s="119">
        <f>CSG!G22+CSB!G22</f>
        <v>88383484</v>
      </c>
      <c r="H22" s="119">
        <f>CSG!H22+CSB!H22</f>
        <v>2309711</v>
      </c>
      <c r="I22" s="119">
        <f t="shared" si="6"/>
        <v>3693259610</v>
      </c>
      <c r="J22" s="130" t="str">
        <f t="shared" si="1"/>
        <v>ok</v>
      </c>
      <c r="K22" s="120">
        <f>'East Baton Rouge'!J27</f>
        <v>3693259610</v>
      </c>
      <c r="L22" s="176">
        <f>'East Baton Rouge'!H30+'East Baton Rouge'!H31</f>
        <v>16908810</v>
      </c>
      <c r="M22" s="119">
        <f>CSG!M22+CSB!M22</f>
        <v>88143161</v>
      </c>
      <c r="N22" s="119">
        <f>CSG!N22+CSB!N22</f>
        <v>0</v>
      </c>
      <c r="O22" s="119">
        <f>CSG!O22+CSB!O22</f>
        <v>0</v>
      </c>
      <c r="P22" s="119">
        <f>CSG!P22+CSB!P22</f>
        <v>0</v>
      </c>
      <c r="Q22" s="119">
        <f>CSG!Q22+CSB!Q22</f>
        <v>7390530</v>
      </c>
      <c r="R22" s="119">
        <f>CSG!R22+CSB!R22</f>
        <v>52259362</v>
      </c>
      <c r="S22" s="119">
        <f>CSG!S22+CSB!S22</f>
        <v>1999523127</v>
      </c>
      <c r="T22" s="119">
        <f>CSG!T22+CSB!T22</f>
        <v>67012702</v>
      </c>
      <c r="U22" s="119">
        <f t="shared" ref="U22:U25" si="8">SUM(M22:T22)</f>
        <v>2214328882</v>
      </c>
      <c r="V22" s="122" t="str">
        <f t="shared" si="3"/>
        <v>ok</v>
      </c>
      <c r="W22" s="120">
        <f>'East Baton Rouge'!J46</f>
        <v>2214328882</v>
      </c>
      <c r="X22" s="121"/>
      <c r="Y22" s="176">
        <f>'East Baton Rouge'!H49</f>
        <v>526276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</row>
    <row r="23" spans="1:523">
      <c r="B23" s="3" t="s">
        <v>698</v>
      </c>
      <c r="C23" s="119">
        <f>CSG!C23+CSB!C23</f>
        <v>2785851</v>
      </c>
      <c r="D23" s="119">
        <f>CSG!D23+CSB!D23</f>
        <v>836856</v>
      </c>
      <c r="E23" s="119">
        <f>CSG!E23+CSB!E23</f>
        <v>2244765</v>
      </c>
      <c r="F23" s="119">
        <f>CSG!F23+CSB!F23</f>
        <v>5554755</v>
      </c>
      <c r="G23" s="119">
        <f>CSG!G23+CSB!G23</f>
        <v>0</v>
      </c>
      <c r="H23" s="119">
        <f>CSG!H23+CSB!H23</f>
        <v>3090</v>
      </c>
      <c r="I23" s="60">
        <f t="shared" si="6"/>
        <v>11425317</v>
      </c>
      <c r="J23" s="130" t="str">
        <f t="shared" si="1"/>
        <v>ok</v>
      </c>
      <c r="K23" s="59">
        <f>'East Carroll'!J15</f>
        <v>11425317</v>
      </c>
      <c r="L23" s="177"/>
      <c r="M23" s="119">
        <f>CSG!M23+CSB!M23</f>
        <v>230666</v>
      </c>
      <c r="N23" s="119">
        <f>CSG!N23+CSB!N23</f>
        <v>0</v>
      </c>
      <c r="O23" s="119">
        <f>CSG!O23+CSB!O23</f>
        <v>0</v>
      </c>
      <c r="P23" s="119">
        <f>CSG!P23+CSB!P23</f>
        <v>0</v>
      </c>
      <c r="Q23" s="119">
        <f>CSG!Q23+CSB!Q23</f>
        <v>0</v>
      </c>
      <c r="R23" s="119">
        <f>CSG!R23+CSB!R23</f>
        <v>121520</v>
      </c>
      <c r="S23" s="119">
        <f>CSG!S23+CSB!S23</f>
        <v>423316</v>
      </c>
      <c r="T23" s="119">
        <f>CSG!T23+CSB!T23</f>
        <v>151</v>
      </c>
      <c r="U23" s="60">
        <f t="shared" si="8"/>
        <v>775653</v>
      </c>
      <c r="V23" s="122" t="str">
        <f t="shared" si="3"/>
        <v>ok</v>
      </c>
      <c r="W23" s="59">
        <f>'East Carroll'!J25</f>
        <v>775653</v>
      </c>
      <c r="X23" s="61"/>
      <c r="Y23" s="177"/>
    </row>
    <row r="24" spans="1:523" s="109" customFormat="1" ht="15.6">
      <c r="A24" s="117"/>
      <c r="B24" s="118" t="s">
        <v>699</v>
      </c>
      <c r="C24" s="119">
        <f>CSG!C24+CSB!C24</f>
        <v>5513411.7599999998</v>
      </c>
      <c r="D24" s="119">
        <f>CSG!D24+CSB!D24</f>
        <v>0</v>
      </c>
      <c r="E24" s="119">
        <f>CSG!E24+CSB!E24</f>
        <v>838202.1</v>
      </c>
      <c r="F24" s="119">
        <f>CSG!F24+CSB!F24</f>
        <v>8313076.6100000003</v>
      </c>
      <c r="G24" s="119">
        <f>CSG!G24+CSB!G24</f>
        <v>1720692.98</v>
      </c>
      <c r="H24" s="119">
        <f>CSG!H24+CSB!H24</f>
        <v>0</v>
      </c>
      <c r="I24" s="119">
        <f t="shared" si="6"/>
        <v>16385383.449999999</v>
      </c>
      <c r="J24" s="130" t="str">
        <f t="shared" si="1"/>
        <v>ok</v>
      </c>
      <c r="K24" s="120">
        <f>'East Feliciana'!G12</f>
        <v>16385383.449999999</v>
      </c>
      <c r="L24" s="176"/>
      <c r="M24" s="119">
        <f>CSG!M24+CSB!M24</f>
        <v>252490.44</v>
      </c>
      <c r="N24" s="119">
        <f>CSG!N24+CSB!N24</f>
        <v>13428</v>
      </c>
      <c r="O24" s="119">
        <f>CSG!O24+CSB!O24</f>
        <v>0</v>
      </c>
      <c r="P24" s="119">
        <f>CSG!P24+CSB!P24</f>
        <v>0</v>
      </c>
      <c r="Q24" s="119">
        <f>CSG!Q24+CSB!Q24</f>
        <v>1464751.3699999999</v>
      </c>
      <c r="R24" s="119">
        <f>CSG!R24+CSB!R24</f>
        <v>0</v>
      </c>
      <c r="S24" s="119">
        <f>CSG!S24+CSB!S24</f>
        <v>0</v>
      </c>
      <c r="T24" s="119">
        <f>CSG!T24+CSB!T24</f>
        <v>0</v>
      </c>
      <c r="U24" s="119">
        <f t="shared" ref="U24" si="9">SUM(M24:T24)</f>
        <v>1730669.8099999998</v>
      </c>
      <c r="V24" s="122" t="str">
        <f t="shared" si="3"/>
        <v>ok</v>
      </c>
      <c r="W24" s="120">
        <f>'East Feliciana'!G21</f>
        <v>1730669.8099999998</v>
      </c>
      <c r="X24" s="121"/>
      <c r="Y24" s="176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</row>
    <row r="25" spans="1:523" ht="15.6">
      <c r="A25" s="57"/>
      <c r="B25" s="3" t="s">
        <v>700</v>
      </c>
      <c r="C25" s="119">
        <f>CSG!C25+CSB!C25</f>
        <v>9893074</v>
      </c>
      <c r="D25" s="119">
        <f>CSG!D25+CSB!D25</f>
        <v>28970121</v>
      </c>
      <c r="E25" s="119">
        <f>CSG!E25+CSB!E25</f>
        <v>5548854</v>
      </c>
      <c r="F25" s="119">
        <f>CSG!F25+CSB!F25</f>
        <v>24954597</v>
      </c>
      <c r="G25" s="119">
        <f>CSG!G25+CSB!G25</f>
        <v>372502</v>
      </c>
      <c r="H25" s="119">
        <f>CSG!H25+CSB!H25</f>
        <v>20960</v>
      </c>
      <c r="I25" s="60">
        <f t="shared" si="6"/>
        <v>69760108</v>
      </c>
      <c r="J25" s="130" t="str">
        <f t="shared" si="1"/>
        <v>ok</v>
      </c>
      <c r="K25" s="59">
        <f>Evangeline!J16</f>
        <v>69760108</v>
      </c>
      <c r="L25" s="177"/>
      <c r="M25" s="119">
        <f>CSG!M25+CSB!M25</f>
        <v>848974</v>
      </c>
      <c r="N25" s="119">
        <f>CSG!N25+CSB!N25</f>
        <v>61479</v>
      </c>
      <c r="O25" s="119">
        <f>CSG!O25+CSB!O25</f>
        <v>223819</v>
      </c>
      <c r="P25" s="119">
        <f>CSG!P25+CSB!P25</f>
        <v>31961741</v>
      </c>
      <c r="Q25" s="119">
        <f>CSG!Q25+CSB!Q25</f>
        <v>0</v>
      </c>
      <c r="R25" s="119">
        <f>CSG!R25+CSB!R25</f>
        <v>27459</v>
      </c>
      <c r="S25" s="119">
        <f>CSG!S25+CSB!S25</f>
        <v>23711</v>
      </c>
      <c r="T25" s="119">
        <f>CSG!T25+CSB!T25</f>
        <v>114917</v>
      </c>
      <c r="U25" s="60">
        <f t="shared" si="8"/>
        <v>33262100</v>
      </c>
      <c r="V25" s="122" t="str">
        <f t="shared" si="3"/>
        <v>ok</v>
      </c>
      <c r="W25" s="59">
        <f>Evangeline!J35</f>
        <v>33262100</v>
      </c>
      <c r="X25" s="61"/>
      <c r="Y25" s="177">
        <f>Evangeline!H38</f>
        <v>271333</v>
      </c>
    </row>
    <row r="26" spans="1:523" s="109" customFormat="1" ht="15.6">
      <c r="A26" s="117"/>
      <c r="B26" s="118" t="s">
        <v>701</v>
      </c>
      <c r="C26" s="119">
        <f>CSG!C26+CSB!C26</f>
        <v>7269664</v>
      </c>
      <c r="D26" s="119">
        <f>CSG!D26+CSB!D26</f>
        <v>0</v>
      </c>
      <c r="E26" s="119">
        <f>CSG!E26+CSB!E26</f>
        <v>3659846</v>
      </c>
      <c r="F26" s="119">
        <f>CSG!F26+CSB!F26</f>
        <v>17836416</v>
      </c>
      <c r="G26" s="119">
        <f>CSG!G26+CSB!G26</f>
        <v>0</v>
      </c>
      <c r="H26" s="119">
        <f>CSG!H26+CSB!H26</f>
        <v>4140</v>
      </c>
      <c r="I26" s="119">
        <f t="shared" si="6"/>
        <v>28770066</v>
      </c>
      <c r="J26" s="130" t="str">
        <f t="shared" si="1"/>
        <v>ok</v>
      </c>
      <c r="K26" s="120">
        <f>Franklin!G11</f>
        <v>28770066</v>
      </c>
      <c r="L26" s="176"/>
      <c r="M26" s="119">
        <f>CSG!M26+CSB!M26</f>
        <v>499087</v>
      </c>
      <c r="N26" s="119">
        <f>CSG!N26+CSB!N26</f>
        <v>131420</v>
      </c>
      <c r="O26" s="119">
        <f>CSG!O26+CSB!O26</f>
        <v>0</v>
      </c>
      <c r="P26" s="119">
        <f>CSG!P26+CSB!P26</f>
        <v>0</v>
      </c>
      <c r="Q26" s="119">
        <f>CSG!Q26+CSB!Q26</f>
        <v>20000</v>
      </c>
      <c r="R26" s="119">
        <f>CSG!R26+CSB!R26</f>
        <v>0</v>
      </c>
      <c r="S26" s="119">
        <f>CSG!S26+CSB!S26</f>
        <v>0</v>
      </c>
      <c r="T26" s="119">
        <f>CSG!T26+CSB!T26</f>
        <v>1337359</v>
      </c>
      <c r="U26" s="119">
        <f t="shared" ref="U26" si="10">SUM(M26:T26)</f>
        <v>1987866</v>
      </c>
      <c r="V26" s="122" t="str">
        <f t="shared" si="3"/>
        <v>ok</v>
      </c>
      <c r="W26" s="120">
        <f>Franklin!G21</f>
        <v>1987866</v>
      </c>
      <c r="X26" s="121"/>
      <c r="Y26" s="17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</row>
    <row r="27" spans="1:523" ht="15.6">
      <c r="A27" s="57"/>
      <c r="B27" s="3" t="s">
        <v>405</v>
      </c>
      <c r="C27" s="119">
        <f>CSG!C27+CSB!C27</f>
        <v>2045552</v>
      </c>
      <c r="D27" s="119">
        <f>CSG!D27+CSB!D27</f>
        <v>0</v>
      </c>
      <c r="E27" s="119">
        <f>CSG!E27+CSB!E27</f>
        <v>1591536</v>
      </c>
      <c r="F27" s="119">
        <f>CSG!F27+CSB!F27</f>
        <v>6440672</v>
      </c>
      <c r="G27" s="119">
        <f>CSG!G27+CSB!G27</f>
        <v>0</v>
      </c>
      <c r="H27" s="119">
        <f>CSG!H27+CSB!H27</f>
        <v>0</v>
      </c>
      <c r="I27" s="60">
        <f t="shared" si="6"/>
        <v>10077760</v>
      </c>
      <c r="J27" s="130" t="str">
        <f t="shared" si="1"/>
        <v>ok</v>
      </c>
      <c r="K27" s="59">
        <f>Grant!J15</f>
        <v>10077760</v>
      </c>
      <c r="L27" s="177"/>
      <c r="M27" s="119">
        <f>CSG!M27+CSB!M27</f>
        <v>412173</v>
      </c>
      <c r="N27" s="119">
        <f>CSG!N27+CSB!N27</f>
        <v>51246</v>
      </c>
      <c r="O27" s="119">
        <f>CSG!O27+CSB!O27</f>
        <v>0</v>
      </c>
      <c r="P27" s="119">
        <f>CSG!P27+CSB!P27</f>
        <v>0</v>
      </c>
      <c r="Q27" s="119">
        <f>CSG!Q27+CSB!Q27</f>
        <v>0</v>
      </c>
      <c r="R27" s="119">
        <f>CSG!R27+CSB!R27</f>
        <v>92877</v>
      </c>
      <c r="S27" s="119">
        <f>CSG!S27+CSB!S27</f>
        <v>339716</v>
      </c>
      <c r="T27" s="119">
        <f>CSG!T27+CSB!T27</f>
        <v>78699</v>
      </c>
      <c r="U27" s="60">
        <f t="shared" ref="U27:U28" si="11">SUM(M27:T27)</f>
        <v>974711</v>
      </c>
      <c r="V27" s="122" t="str">
        <f t="shared" si="3"/>
        <v>ok</v>
      </c>
      <c r="W27" s="59">
        <f>Grant!J27</f>
        <v>974711</v>
      </c>
      <c r="X27" s="61"/>
      <c r="Y27" s="177"/>
    </row>
    <row r="28" spans="1:523" s="109" customFormat="1">
      <c r="B28" s="118" t="s">
        <v>702</v>
      </c>
      <c r="C28" s="119">
        <f>CSG!C28+CSB!C28</f>
        <v>39934830</v>
      </c>
      <c r="D28" s="119">
        <f>CSG!D28+CSB!D28</f>
        <v>83378</v>
      </c>
      <c r="E28" s="119">
        <f>CSG!E28+CSB!E28</f>
        <v>8030264</v>
      </c>
      <c r="F28" s="119">
        <f>CSG!F28+CSB!F28</f>
        <v>95937263</v>
      </c>
      <c r="G28" s="119">
        <f>CSG!G28+CSB!G28</f>
        <v>5793561</v>
      </c>
      <c r="H28" s="119">
        <f>CSG!H28+CSB!H28</f>
        <v>1416411</v>
      </c>
      <c r="I28" s="119">
        <f t="shared" si="6"/>
        <v>151195707</v>
      </c>
      <c r="J28" s="130" t="str">
        <f t="shared" si="1"/>
        <v>ok</v>
      </c>
      <c r="K28" s="120">
        <f>Iberia!H21</f>
        <v>151195707</v>
      </c>
      <c r="L28" s="176"/>
      <c r="M28" s="119">
        <f>CSG!M28+CSB!M28</f>
        <v>2630383</v>
      </c>
      <c r="N28" s="119">
        <f>CSG!N28+CSB!N28</f>
        <v>0</v>
      </c>
      <c r="O28" s="119">
        <f>CSG!O28+CSB!O28</f>
        <v>0</v>
      </c>
      <c r="P28" s="119">
        <f>CSG!P28+CSB!P28</f>
        <v>0</v>
      </c>
      <c r="Q28" s="119">
        <f>CSG!Q28+CSB!Q28</f>
        <v>964621</v>
      </c>
      <c r="R28" s="119">
        <f>CSG!R28+CSB!R28</f>
        <v>1464872</v>
      </c>
      <c r="S28" s="119">
        <f>CSG!S28+CSB!S28</f>
        <v>9078674</v>
      </c>
      <c r="T28" s="119">
        <f>CSG!T28+CSB!T28</f>
        <v>3625048</v>
      </c>
      <c r="U28" s="119">
        <f t="shared" si="11"/>
        <v>17763598</v>
      </c>
      <c r="V28" s="122" t="str">
        <f t="shared" si="3"/>
        <v>ok</v>
      </c>
      <c r="W28" s="120">
        <f>Iberia!H38</f>
        <v>17763598</v>
      </c>
      <c r="X28" s="121"/>
      <c r="Y28" s="176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</row>
    <row r="29" spans="1:523" ht="15.6">
      <c r="A29" s="57"/>
      <c r="B29" s="3" t="s">
        <v>703</v>
      </c>
      <c r="C29" s="119">
        <f>CSG!C29+CSB!C29</f>
        <v>19088098</v>
      </c>
      <c r="D29" s="119">
        <f>CSG!D29+CSB!D29</f>
        <v>0</v>
      </c>
      <c r="E29" s="119">
        <f>CSG!E29+CSB!E29</f>
        <v>10070374</v>
      </c>
      <c r="F29" s="119">
        <f>CSG!F29+CSB!F29</f>
        <v>110762579</v>
      </c>
      <c r="G29" s="119">
        <f>CSG!G29+CSB!G29</f>
        <v>0</v>
      </c>
      <c r="H29" s="119">
        <f>CSG!H29+CSB!H29</f>
        <v>1451624</v>
      </c>
      <c r="I29" s="60">
        <f t="shared" si="6"/>
        <v>141372675</v>
      </c>
      <c r="J29" s="130" t="str">
        <f t="shared" si="1"/>
        <v>ok</v>
      </c>
      <c r="K29" s="59">
        <f>Iberville!J22</f>
        <v>141372675</v>
      </c>
      <c r="L29" s="177"/>
      <c r="M29" s="119">
        <f>CSG!M29+CSB!M29</f>
        <v>3638820</v>
      </c>
      <c r="N29" s="119">
        <f>CSG!N29+CSB!N29</f>
        <v>0</v>
      </c>
      <c r="O29" s="119">
        <f>CSG!O29+CSB!O29</f>
        <v>0</v>
      </c>
      <c r="P29" s="119">
        <f>CSG!P29+CSB!P29</f>
        <v>0</v>
      </c>
      <c r="Q29" s="119">
        <f>CSG!Q29+CSB!Q29</f>
        <v>0</v>
      </c>
      <c r="R29" s="119">
        <f>CSG!R29+CSB!R29</f>
        <v>1146504</v>
      </c>
      <c r="S29" s="119">
        <f>CSG!S29+CSB!S29</f>
        <v>17803488</v>
      </c>
      <c r="T29" s="119">
        <f>CSG!T29+CSB!T29</f>
        <v>485401</v>
      </c>
      <c r="U29" s="60">
        <f t="shared" ref="U29:U43" si="12">SUM(M29:T29)</f>
        <v>23074213</v>
      </c>
      <c r="V29" s="122" t="str">
        <f t="shared" si="3"/>
        <v>ok</v>
      </c>
      <c r="W29" s="59">
        <f>Iberville!J36</f>
        <v>23074213</v>
      </c>
      <c r="X29" s="61"/>
      <c r="Y29" s="177"/>
    </row>
    <row r="30" spans="1:523" s="109" customFormat="1">
      <c r="B30" s="118" t="s">
        <v>704</v>
      </c>
      <c r="C30" s="119">
        <f>CSG!C30+CSB!C30</f>
        <v>9622291</v>
      </c>
      <c r="D30" s="119">
        <f>CSG!D30+CSB!D30</f>
        <v>0</v>
      </c>
      <c r="E30" s="119">
        <f>CSG!E30+CSB!E30</f>
        <v>4755981</v>
      </c>
      <c r="F30" s="119">
        <f>CSG!F30+CSB!F30</f>
        <v>16399628</v>
      </c>
      <c r="G30" s="119">
        <f>CSG!G30+CSB!G30</f>
        <v>0</v>
      </c>
      <c r="H30" s="119">
        <f>CSG!H30+CSB!H30</f>
        <v>70256</v>
      </c>
      <c r="I30" s="119">
        <f t="shared" si="6"/>
        <v>30848156</v>
      </c>
      <c r="J30" s="130" t="str">
        <f t="shared" si="1"/>
        <v>ok</v>
      </c>
      <c r="K30" s="120">
        <f>Jackson!G13</f>
        <v>30848156</v>
      </c>
      <c r="L30" s="176"/>
      <c r="M30" s="119">
        <f>CSG!M30+CSB!M30</f>
        <v>342065</v>
      </c>
      <c r="N30" s="119">
        <f>CSG!N30+CSB!N30</f>
        <v>0</v>
      </c>
      <c r="O30" s="119">
        <f>CSG!O30+CSB!O30</f>
        <v>0</v>
      </c>
      <c r="P30" s="119">
        <f>CSG!P30+CSB!P30</f>
        <v>0</v>
      </c>
      <c r="Q30" s="119">
        <f>CSG!Q30+CSB!Q30</f>
        <v>0</v>
      </c>
      <c r="R30" s="119">
        <f>CSG!R30+CSB!R30</f>
        <v>139468</v>
      </c>
      <c r="S30" s="119">
        <f>CSG!S30+CSB!S30</f>
        <v>443412</v>
      </c>
      <c r="T30" s="119">
        <f>CSG!T30+CSB!T30</f>
        <v>31249</v>
      </c>
      <c r="U30" s="119">
        <f t="shared" si="12"/>
        <v>956194</v>
      </c>
      <c r="V30" s="122" t="str">
        <f t="shared" si="3"/>
        <v>ok</v>
      </c>
      <c r="W30" s="120">
        <f>Jackson!G22</f>
        <v>956194</v>
      </c>
      <c r="X30" s="121"/>
      <c r="Y30" s="17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</row>
    <row r="31" spans="1:523" s="221" customFormat="1" ht="15.6">
      <c r="A31" s="215"/>
      <c r="B31" s="216" t="s">
        <v>705</v>
      </c>
      <c r="C31" s="119">
        <f>CSG!C31+CSB!C31</f>
        <v>23553000</v>
      </c>
      <c r="D31" s="119">
        <f>CSG!D31+CSB!D31</f>
        <v>91269000</v>
      </c>
      <c r="E31" s="119">
        <f>CSG!E31+CSB!E31</f>
        <v>267715000</v>
      </c>
      <c r="F31" s="119">
        <f>CSG!F31+CSB!F31</f>
        <v>1720659000</v>
      </c>
      <c r="G31" s="119">
        <f>CSG!G31+CSB!G31</f>
        <v>0</v>
      </c>
      <c r="H31" s="119">
        <f>CSG!H31+CSB!H31</f>
        <v>555032000</v>
      </c>
      <c r="I31" s="217">
        <f t="shared" si="6"/>
        <v>2658228000</v>
      </c>
      <c r="J31" s="130" t="str">
        <f t="shared" si="1"/>
        <v>ok</v>
      </c>
      <c r="K31" s="218">
        <f>Jefferson!J40</f>
        <v>2658228000</v>
      </c>
      <c r="L31" s="219">
        <f>Jefferson!H43</f>
        <v>7537000</v>
      </c>
      <c r="M31" s="119">
        <f>CSG!M31+CSB!M31</f>
        <v>63619000</v>
      </c>
      <c r="N31" s="119">
        <f>CSG!N31+CSB!N31</f>
        <v>0</v>
      </c>
      <c r="O31" s="119">
        <f>CSG!O31+CSB!O31</f>
        <v>0</v>
      </c>
      <c r="P31" s="119">
        <f>CSG!P31+CSB!P31</f>
        <v>0</v>
      </c>
      <c r="Q31" s="119">
        <f>CSG!Q31+CSB!Q31</f>
        <v>81000</v>
      </c>
      <c r="R31" s="119">
        <f>CSG!R31+CSB!R31</f>
        <v>31168000</v>
      </c>
      <c r="S31" s="119">
        <f>CSG!S31+CSB!S31</f>
        <v>467783000</v>
      </c>
      <c r="T31" s="119">
        <f>CSG!T31+CSB!T31</f>
        <v>200496000</v>
      </c>
      <c r="U31" s="217">
        <f t="shared" si="12"/>
        <v>763147000</v>
      </c>
      <c r="V31" s="130" t="str">
        <f t="shared" si="3"/>
        <v>ok</v>
      </c>
      <c r="W31" s="218">
        <f>Jefferson!J73</f>
        <v>763147000</v>
      </c>
      <c r="X31" s="220"/>
      <c r="Y31" s="219"/>
    </row>
    <row r="32" spans="1:523" s="109" customFormat="1" ht="15.6">
      <c r="A32" s="117"/>
      <c r="B32" s="118" t="s">
        <v>706</v>
      </c>
      <c r="C32" s="119">
        <f>CSG!C32+CSB!C32</f>
        <v>20401182</v>
      </c>
      <c r="D32" s="119">
        <f>CSG!D32+CSB!D32</f>
        <v>2101032</v>
      </c>
      <c r="E32" s="119">
        <f>CSG!E32+CSB!E32</f>
        <v>799744</v>
      </c>
      <c r="F32" s="119">
        <f>CSG!F32+CSB!F32</f>
        <v>33564914</v>
      </c>
      <c r="G32" s="119">
        <f>CSG!G32+CSB!G32</f>
        <v>0</v>
      </c>
      <c r="H32" s="119">
        <f>CSG!H32+CSB!H32</f>
        <v>68433</v>
      </c>
      <c r="I32" s="119">
        <f>SUM(C32:H32)</f>
        <v>56935305</v>
      </c>
      <c r="J32" s="130" t="str">
        <f>IF(I32=K32, "ok", "check")</f>
        <v>ok</v>
      </c>
      <c r="K32" s="120">
        <f>'Jefferson Davis'!G13</f>
        <v>56935305</v>
      </c>
      <c r="L32" s="176">
        <f>'Jefferson Davis'!G16</f>
        <v>84323</v>
      </c>
      <c r="M32" s="119">
        <f>CSG!M32+CSB!M32</f>
        <v>1918608</v>
      </c>
      <c r="N32" s="119">
        <f>CSG!N32+CSB!N32</f>
        <v>0</v>
      </c>
      <c r="O32" s="119">
        <f>CSG!O32+CSB!O32</f>
        <v>1000000</v>
      </c>
      <c r="P32" s="119">
        <f>CSG!P32+CSB!P32</f>
        <v>15670000</v>
      </c>
      <c r="Q32" s="119">
        <f>CSG!Q32+CSB!Q32</f>
        <v>368500</v>
      </c>
      <c r="R32" s="119">
        <f>CSG!R32+CSB!R32</f>
        <v>0</v>
      </c>
      <c r="S32" s="119">
        <f>CSG!S32+CSB!S32</f>
        <v>0</v>
      </c>
      <c r="T32" s="119">
        <f>CSG!T32+CSB!T32</f>
        <v>1732694</v>
      </c>
      <c r="U32" s="119">
        <f>SUM(M32:T32)</f>
        <v>20689802</v>
      </c>
      <c r="V32" s="130" t="str">
        <f>IF(U32=W32, "ok", "check")</f>
        <v>ok</v>
      </c>
      <c r="W32" s="120">
        <f>'Jefferson Davis'!G30</f>
        <v>20689802</v>
      </c>
      <c r="X32" s="121"/>
      <c r="Y32" s="176">
        <f>'Jefferson Davis'!G33</f>
        <v>46979</v>
      </c>
    </row>
    <row r="33" spans="1:523" s="221" customFormat="1" ht="15.6">
      <c r="A33" s="215"/>
      <c r="B33" s="216" t="s">
        <v>707</v>
      </c>
      <c r="C33" s="119">
        <f>CSG!C33+CSB!C33</f>
        <v>18672006</v>
      </c>
      <c r="D33" s="119">
        <f>CSG!D33+CSB!D33</f>
        <v>504218548</v>
      </c>
      <c r="E33" s="119">
        <f>CSG!E33+CSB!E33</f>
        <v>32765828</v>
      </c>
      <c r="F33" s="119">
        <f>CSG!F33+CSB!F33</f>
        <v>1316304239</v>
      </c>
      <c r="G33" s="119">
        <f>CSG!G33+CSB!G33</f>
        <v>22135730</v>
      </c>
      <c r="H33" s="119">
        <f>CSG!H33+CSB!H33</f>
        <v>44280437</v>
      </c>
      <c r="I33" s="217">
        <f t="shared" si="6"/>
        <v>1938376788</v>
      </c>
      <c r="J33" s="130" t="str">
        <f t="shared" si="1"/>
        <v>ok</v>
      </c>
      <c r="K33" s="218">
        <f>Lafayette!J33</f>
        <v>1938376788</v>
      </c>
      <c r="L33" s="219"/>
      <c r="M33" s="119">
        <f>CSG!M33+CSB!M33</f>
        <v>24837002</v>
      </c>
      <c r="N33" s="119">
        <f>CSG!N33+CSB!N33</f>
        <v>0</v>
      </c>
      <c r="O33" s="119">
        <f>CSG!O33+CSB!O33</f>
        <v>0</v>
      </c>
      <c r="P33" s="119">
        <f>CSG!P33+CSB!P33</f>
        <v>0</v>
      </c>
      <c r="Q33" s="119">
        <f>CSG!Q33+CSB!Q33</f>
        <v>788161</v>
      </c>
      <c r="R33" s="119">
        <f>CSG!R33+CSB!R33</f>
        <v>39463487</v>
      </c>
      <c r="S33" s="119">
        <f>CSG!S33+CSB!S33</f>
        <v>904296819</v>
      </c>
      <c r="T33" s="119">
        <f>CSG!T33+CSB!T33</f>
        <v>16639149</v>
      </c>
      <c r="U33" s="217">
        <f t="shared" si="12"/>
        <v>986024618</v>
      </c>
      <c r="V33" s="130" t="str">
        <f t="shared" si="3"/>
        <v>ok</v>
      </c>
      <c r="W33" s="218">
        <f>Lafayette!J52</f>
        <v>986024618</v>
      </c>
      <c r="X33" s="220"/>
      <c r="Y33" s="219"/>
    </row>
    <row r="34" spans="1:523" s="109" customFormat="1" ht="15.6">
      <c r="A34" s="117"/>
      <c r="B34" s="118" t="s">
        <v>708</v>
      </c>
      <c r="C34" s="119">
        <f>CSG!C34+CSB!C34</f>
        <v>28390862</v>
      </c>
      <c r="D34" s="119">
        <f>CSG!D34+CSB!D34</f>
        <v>19417222</v>
      </c>
      <c r="E34" s="119">
        <f>CSG!E34+CSB!E34</f>
        <v>2531283</v>
      </c>
      <c r="F34" s="119">
        <f>CSG!F34+CSB!F34</f>
        <v>86115261</v>
      </c>
      <c r="G34" s="119">
        <f>CSG!G34+CSB!G34</f>
        <v>32644660</v>
      </c>
      <c r="H34" s="119">
        <f>CSG!H34+CSB!H34</f>
        <v>1525426</v>
      </c>
      <c r="I34" s="119">
        <f t="shared" si="6"/>
        <v>170624714</v>
      </c>
      <c r="J34" s="130" t="str">
        <f t="shared" si="1"/>
        <v>ok</v>
      </c>
      <c r="K34" s="120">
        <f>Lafourche!J16</f>
        <v>170624714</v>
      </c>
      <c r="L34" s="176">
        <f>Lafourche!H19</f>
        <v>1077879</v>
      </c>
      <c r="M34" s="119">
        <f>CSG!M34+CSB!M34</f>
        <v>7917587</v>
      </c>
      <c r="N34" s="119">
        <f>CSG!N34+CSB!N34</f>
        <v>0</v>
      </c>
      <c r="O34" s="119">
        <f>CSG!O34+CSB!O34</f>
        <v>0</v>
      </c>
      <c r="P34" s="119">
        <f>CSG!P34+CSB!P34</f>
        <v>0</v>
      </c>
      <c r="Q34" s="119">
        <f>CSG!Q34+CSB!Q34</f>
        <v>583418</v>
      </c>
      <c r="R34" s="119">
        <f>CSG!R34+CSB!R34</f>
        <v>8630887</v>
      </c>
      <c r="S34" s="119">
        <f>CSG!S34+CSB!S34</f>
        <v>46541145</v>
      </c>
      <c r="T34" s="119">
        <f>CSG!T34+CSB!T34</f>
        <v>517734</v>
      </c>
      <c r="U34" s="119">
        <f t="shared" si="12"/>
        <v>64190771</v>
      </c>
      <c r="V34" s="130" t="str">
        <f t="shared" si="3"/>
        <v>ok</v>
      </c>
      <c r="W34" s="120">
        <f>Lafourche!J32</f>
        <v>64190771</v>
      </c>
      <c r="X34" s="121"/>
      <c r="Y34" s="176"/>
    </row>
    <row r="35" spans="1:523" ht="15.6">
      <c r="A35" s="57"/>
      <c r="B35" s="3" t="s">
        <v>709</v>
      </c>
      <c r="C35" s="119">
        <f>CSG!C35+CSB!C35</f>
        <v>2504699</v>
      </c>
      <c r="D35" s="119">
        <f>CSG!D35+CSB!D35</f>
        <v>0</v>
      </c>
      <c r="E35" s="119">
        <f>CSG!E35+CSB!E35</f>
        <v>3366905</v>
      </c>
      <c r="F35" s="119">
        <f>CSG!F35+CSB!F35</f>
        <v>5846162</v>
      </c>
      <c r="G35" s="119">
        <f>CSG!G35+CSB!G35</f>
        <v>0</v>
      </c>
      <c r="H35" s="119">
        <f>CSG!H35+CSB!H35</f>
        <v>7476</v>
      </c>
      <c r="I35" s="60">
        <f>SUM(C35:H35)</f>
        <v>11725242</v>
      </c>
      <c r="J35" s="130" t="str">
        <f>IF(I35=K35, "ok", "check")</f>
        <v>ok</v>
      </c>
      <c r="K35" s="59">
        <f>LaSalle!G11</f>
        <v>11725242</v>
      </c>
      <c r="L35" s="177"/>
      <c r="M35" s="119">
        <f>CSG!M35+CSB!M35</f>
        <v>312887</v>
      </c>
      <c r="N35" s="119">
        <f>CSG!N35+CSB!N35</f>
        <v>0</v>
      </c>
      <c r="O35" s="119">
        <f>CSG!O35+CSB!O35</f>
        <v>0</v>
      </c>
      <c r="P35" s="119">
        <f>CSG!P35+CSB!P35</f>
        <v>0</v>
      </c>
      <c r="Q35" s="119">
        <f>CSG!Q35+CSB!Q35</f>
        <v>0</v>
      </c>
      <c r="R35" s="119">
        <f>CSG!R35+CSB!R35</f>
        <v>221535</v>
      </c>
      <c r="S35" s="119">
        <f>CSG!S35+CSB!S35</f>
        <v>125749</v>
      </c>
      <c r="T35" s="119">
        <f>CSG!T35+CSB!T35</f>
        <v>285546</v>
      </c>
      <c r="U35" s="60">
        <f>SUM(M35:T35)</f>
        <v>945717</v>
      </c>
      <c r="V35" s="122" t="str">
        <f>IF(U35=W35, "ok", "check")</f>
        <v>ok</v>
      </c>
      <c r="W35" s="59">
        <f>LaSalle!G22</f>
        <v>945717</v>
      </c>
      <c r="X35" s="61"/>
      <c r="Y35" s="177"/>
    </row>
    <row r="36" spans="1:523" s="109" customFormat="1" ht="15.6">
      <c r="A36" s="117"/>
      <c r="B36" s="118" t="s">
        <v>710</v>
      </c>
      <c r="C36" s="119">
        <f>CSG!C36+CSB!C36</f>
        <v>9270701</v>
      </c>
      <c r="D36" s="119">
        <f>CSG!D36+CSB!D36</f>
        <v>22426630</v>
      </c>
      <c r="E36" s="119">
        <f>CSG!E36+CSB!E36</f>
        <v>7709169</v>
      </c>
      <c r="F36" s="119">
        <f>CSG!F36+CSB!F36</f>
        <v>23870185</v>
      </c>
      <c r="G36" s="119">
        <f>CSG!G36+CSB!G36</f>
        <v>236078</v>
      </c>
      <c r="H36" s="119">
        <f>CSG!H36+CSB!H36</f>
        <v>11582</v>
      </c>
      <c r="I36" s="119">
        <f t="shared" si="6"/>
        <v>63524345</v>
      </c>
      <c r="J36" s="130" t="str">
        <f t="shared" si="1"/>
        <v>ok</v>
      </c>
      <c r="K36" s="120">
        <f>Lincoln!G15</f>
        <v>63524345</v>
      </c>
      <c r="L36" s="176">
        <f>Lincoln!G18</f>
        <v>3008</v>
      </c>
      <c r="M36" s="119">
        <f>CSG!M36+CSB!M36</f>
        <v>1372481</v>
      </c>
      <c r="N36" s="119">
        <f>CSG!N36+CSB!N36</f>
        <v>114162</v>
      </c>
      <c r="O36" s="119">
        <f>CSG!O36+CSB!O36</f>
        <v>466000</v>
      </c>
      <c r="P36" s="119">
        <f>CSG!P36+CSB!P36</f>
        <v>3476000</v>
      </c>
      <c r="Q36" s="119">
        <f>CSG!Q36+CSB!Q36</f>
        <v>1330002</v>
      </c>
      <c r="R36" s="119">
        <f>CSG!R36+CSB!R36</f>
        <v>0</v>
      </c>
      <c r="S36" s="119">
        <f>CSG!S36+CSB!S36</f>
        <v>0</v>
      </c>
      <c r="T36" s="119">
        <f>CSG!T36+CSB!T36</f>
        <v>1605571</v>
      </c>
      <c r="U36" s="119">
        <f t="shared" si="12"/>
        <v>8364216</v>
      </c>
      <c r="V36" s="122" t="str">
        <f t="shared" si="3"/>
        <v>ok</v>
      </c>
      <c r="W36" s="120">
        <f>Lincoln!G32</f>
        <v>8364216</v>
      </c>
      <c r="X36" s="121"/>
      <c r="Y36" s="17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</row>
    <row r="37" spans="1:523">
      <c r="B37" s="3" t="s">
        <v>711</v>
      </c>
      <c r="C37" s="119">
        <f>CSG!C37+CSB!C37</f>
        <v>12785835</v>
      </c>
      <c r="D37" s="119">
        <f>CSG!D37+CSB!D37</f>
        <v>12037340</v>
      </c>
      <c r="E37" s="119">
        <f>CSG!E37+CSB!E37</f>
        <v>1769015</v>
      </c>
      <c r="F37" s="119">
        <f>CSG!F37+CSB!F37</f>
        <v>151970008</v>
      </c>
      <c r="G37" s="119">
        <f>CSG!G37+CSB!G37</f>
        <v>12323220</v>
      </c>
      <c r="H37" s="119">
        <f>CSG!H37+CSB!H37</f>
        <v>1107831</v>
      </c>
      <c r="I37" s="60">
        <f t="shared" si="6"/>
        <v>191993249</v>
      </c>
      <c r="J37" s="130" t="str">
        <f t="shared" si="1"/>
        <v>ok</v>
      </c>
      <c r="K37" s="59">
        <f>Livingston!J24</f>
        <v>191993249</v>
      </c>
      <c r="L37" s="177">
        <f>Livingston!H27</f>
        <v>377331</v>
      </c>
      <c r="M37" s="119">
        <f>CSG!M37+CSB!M37</f>
        <v>6975175</v>
      </c>
      <c r="N37" s="119">
        <f>CSG!N37+CSB!N37</f>
        <v>0</v>
      </c>
      <c r="O37" s="119">
        <f>CSG!O37+CSB!O37</f>
        <v>0</v>
      </c>
      <c r="P37" s="119">
        <f>CSG!P37+CSB!P37</f>
        <v>0</v>
      </c>
      <c r="Q37" s="119">
        <f>CSG!Q37+CSB!Q37</f>
        <v>574768</v>
      </c>
      <c r="R37" s="119">
        <f>CSG!R37+CSB!R37</f>
        <v>6301700</v>
      </c>
      <c r="S37" s="119">
        <f>CSG!S37+CSB!S37</f>
        <v>83342943</v>
      </c>
      <c r="T37" s="119">
        <f>CSG!T37+CSB!T37</f>
        <v>1112266</v>
      </c>
      <c r="U37" s="60">
        <f t="shared" si="12"/>
        <v>98306852</v>
      </c>
      <c r="V37" s="122" t="str">
        <f t="shared" si="3"/>
        <v>ok</v>
      </c>
      <c r="W37" s="59">
        <f>Livingston!J41</f>
        <v>98306852</v>
      </c>
      <c r="X37" s="61"/>
      <c r="Y37" s="177"/>
    </row>
    <row r="38" spans="1:523" s="109" customFormat="1" ht="15.6">
      <c r="A38" s="117"/>
      <c r="B38" s="118" t="s">
        <v>712</v>
      </c>
      <c r="C38" s="119">
        <f>CSG!C38+CSB!C38</f>
        <v>4448930</v>
      </c>
      <c r="D38" s="119">
        <f>CSG!D38+CSB!D38</f>
        <v>2949665</v>
      </c>
      <c r="E38" s="119">
        <f>CSG!E38+CSB!E38</f>
        <v>5726410</v>
      </c>
      <c r="F38" s="119">
        <f>CSG!F38+CSB!F38</f>
        <v>8177367</v>
      </c>
      <c r="G38" s="119">
        <f>CSG!G38+CSB!G38</f>
        <v>0</v>
      </c>
      <c r="H38" s="119">
        <f>CSG!H38+CSB!H38</f>
        <v>0</v>
      </c>
      <c r="I38" s="119">
        <f t="shared" ref="I38" si="13">SUM(C38:H38)</f>
        <v>21302372</v>
      </c>
      <c r="J38" s="130" t="str">
        <f t="shared" si="1"/>
        <v>ok</v>
      </c>
      <c r="K38" s="120">
        <f>Madison!G11</f>
        <v>21302372</v>
      </c>
      <c r="L38" s="176"/>
      <c r="M38" s="119">
        <f>CSG!M38+CSB!M38</f>
        <v>272870</v>
      </c>
      <c r="N38" s="119">
        <f>CSG!N38+CSB!N38</f>
        <v>0</v>
      </c>
      <c r="O38" s="119">
        <f>CSG!O38+CSB!O38</f>
        <v>0</v>
      </c>
      <c r="P38" s="119">
        <f>CSG!P38+CSB!P38</f>
        <v>0</v>
      </c>
      <c r="Q38" s="119">
        <f>CSG!Q38+CSB!Q38</f>
        <v>0</v>
      </c>
      <c r="R38" s="119">
        <f>CSG!R38+CSB!R38</f>
        <v>39058</v>
      </c>
      <c r="S38" s="119">
        <f>CSG!S38+CSB!S38</f>
        <v>514428</v>
      </c>
      <c r="T38" s="119">
        <f>CSG!T38+CSB!T38</f>
        <v>0</v>
      </c>
      <c r="U38" s="119">
        <f t="shared" ref="U38" si="14">SUM(M38:T38)</f>
        <v>826356</v>
      </c>
      <c r="V38" s="122" t="str">
        <f t="shared" si="3"/>
        <v>ok</v>
      </c>
      <c r="W38" s="120">
        <f>Madison!G19</f>
        <v>826356</v>
      </c>
      <c r="X38" s="121"/>
      <c r="Y38" s="176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</row>
    <row r="39" spans="1:523" ht="15.6">
      <c r="A39" s="57"/>
      <c r="B39" s="3" t="s">
        <v>713</v>
      </c>
      <c r="C39" s="119">
        <f>CSG!C39+CSB!C39</f>
        <v>3855174</v>
      </c>
      <c r="D39" s="119">
        <f>CSG!D39+CSB!D39</f>
        <v>525000</v>
      </c>
      <c r="E39" s="119">
        <f>CSG!E39+CSB!E39</f>
        <v>2339602</v>
      </c>
      <c r="F39" s="119">
        <f>CSG!F39+CSB!F39</f>
        <v>13644421</v>
      </c>
      <c r="G39" s="119">
        <f>CSG!G39+CSB!G39</f>
        <v>0</v>
      </c>
      <c r="H39" s="119">
        <f>CSG!H39+CSB!H39</f>
        <v>0</v>
      </c>
      <c r="I39" s="60">
        <f t="shared" si="6"/>
        <v>20364197</v>
      </c>
      <c r="J39" s="130" t="str">
        <f t="shared" si="1"/>
        <v>ok</v>
      </c>
      <c r="K39" s="59">
        <f>Morehouse!G13</f>
        <v>20364197</v>
      </c>
      <c r="L39" s="177"/>
      <c r="M39" s="119">
        <f>CSG!M39+CSB!M39</f>
        <v>280988</v>
      </c>
      <c r="N39" s="119">
        <f>CSG!N39+CSB!N39</f>
        <v>0</v>
      </c>
      <c r="O39" s="119">
        <f>CSG!O39+CSB!O39</f>
        <v>0</v>
      </c>
      <c r="P39" s="119">
        <f>CSG!P39+CSB!P39</f>
        <v>0</v>
      </c>
      <c r="Q39" s="119">
        <f>CSG!Q39+CSB!Q39</f>
        <v>0</v>
      </c>
      <c r="R39" s="119">
        <f>CSG!R39+CSB!R39</f>
        <v>34542</v>
      </c>
      <c r="S39" s="119">
        <f>CSG!S39+CSB!S39</f>
        <v>0</v>
      </c>
      <c r="T39" s="119">
        <f>CSG!T39+CSB!T39</f>
        <v>2067087</v>
      </c>
      <c r="U39" s="60">
        <f t="shared" si="12"/>
        <v>2382617</v>
      </c>
      <c r="V39" s="122" t="str">
        <f t="shared" si="3"/>
        <v>ok</v>
      </c>
      <c r="W39" s="59">
        <f>Morehouse!G22</f>
        <v>2382617</v>
      </c>
      <c r="X39" s="61"/>
      <c r="Y39" s="177">
        <f>Morehouse!G25</f>
        <v>2110568</v>
      </c>
    </row>
    <row r="40" spans="1:523" s="109" customFormat="1" ht="15.6">
      <c r="A40" s="117"/>
      <c r="B40" s="118" t="s">
        <v>714</v>
      </c>
      <c r="C40" s="119">
        <f>CSG!C40+CSB!C40</f>
        <v>6692314</v>
      </c>
      <c r="D40" s="119">
        <f>CSG!D40+CSB!D40</f>
        <v>0</v>
      </c>
      <c r="E40" s="119">
        <f>CSG!E40+CSB!E40</f>
        <v>6580976</v>
      </c>
      <c r="F40" s="119">
        <f>CSG!F40+CSB!F40</f>
        <v>10706052</v>
      </c>
      <c r="G40" s="119">
        <f>CSG!G40+CSB!G40</f>
        <v>0</v>
      </c>
      <c r="H40" s="119">
        <f>CSG!H40+CSB!H40</f>
        <v>0</v>
      </c>
      <c r="I40" s="119">
        <f t="shared" si="6"/>
        <v>23979342</v>
      </c>
      <c r="J40" s="130" t="str">
        <f t="shared" si="1"/>
        <v>ok</v>
      </c>
      <c r="K40" s="120">
        <f>Natchitoches!H17</f>
        <v>23979342</v>
      </c>
      <c r="L40" s="176"/>
      <c r="M40" s="119">
        <f>CSG!M40+CSB!M40</f>
        <v>1026255</v>
      </c>
      <c r="N40" s="119">
        <f>CSG!N40+CSB!N40</f>
        <v>142189</v>
      </c>
      <c r="O40" s="119">
        <f>CSG!O40+CSB!O40</f>
        <v>0</v>
      </c>
      <c r="P40" s="119">
        <f>CSG!P40+CSB!P40</f>
        <v>0</v>
      </c>
      <c r="Q40" s="119">
        <f>CSG!Q40+CSB!Q40</f>
        <v>894223</v>
      </c>
      <c r="R40" s="119">
        <f>CSG!R40+CSB!R40</f>
        <v>0</v>
      </c>
      <c r="S40" s="119">
        <f>CSG!S40+CSB!S40</f>
        <v>0</v>
      </c>
      <c r="T40" s="119">
        <f>CSG!T40+CSB!T40</f>
        <v>27017</v>
      </c>
      <c r="U40" s="119">
        <f t="shared" si="12"/>
        <v>2089684</v>
      </c>
      <c r="V40" s="122" t="str">
        <f t="shared" si="3"/>
        <v>ok</v>
      </c>
      <c r="W40" s="120">
        <f>Natchitoches!H33</f>
        <v>2089684</v>
      </c>
      <c r="X40" s="121"/>
      <c r="Y40" s="176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</row>
    <row r="41" spans="1:523" ht="15.6">
      <c r="A41" s="57"/>
      <c r="B41" s="3" t="s">
        <v>715</v>
      </c>
      <c r="C41" s="119">
        <f>CSG!C41+CSB!C41</f>
        <v>62125000</v>
      </c>
      <c r="D41" s="119">
        <f>CSG!D41+CSB!D41</f>
        <v>165644000</v>
      </c>
      <c r="E41" s="119">
        <f>CSG!E41+CSB!E41</f>
        <v>43801000</v>
      </c>
      <c r="F41" s="119">
        <f>CSG!F41+CSB!F41</f>
        <v>1550110000</v>
      </c>
      <c r="G41" s="119">
        <f>CSG!G41+CSB!G41</f>
        <v>72840000</v>
      </c>
      <c r="H41" s="119">
        <f>CSG!H41+CSB!H41</f>
        <v>24000</v>
      </c>
      <c r="I41" s="60">
        <f t="shared" si="6"/>
        <v>1894544000</v>
      </c>
      <c r="J41" s="130" t="str">
        <f t="shared" si="1"/>
        <v>ok</v>
      </c>
      <c r="K41" s="59">
        <f>Orleans!H21</f>
        <v>1894544000</v>
      </c>
      <c r="L41" s="177">
        <f>Orleans!H24</f>
        <v>7241</v>
      </c>
      <c r="M41" s="119">
        <f>CSG!M41+CSB!M41</f>
        <v>100321000</v>
      </c>
      <c r="N41" s="119">
        <f>CSG!N41+CSB!N41</f>
        <v>0</v>
      </c>
      <c r="O41" s="119">
        <f>CSG!O41+CSB!O41</f>
        <v>0</v>
      </c>
      <c r="P41" s="119">
        <f>CSG!P41+CSB!P41</f>
        <v>0</v>
      </c>
      <c r="Q41" s="119">
        <f>CSG!Q41+CSB!Q41</f>
        <v>10276000</v>
      </c>
      <c r="R41" s="119">
        <f>CSG!R41+CSB!R41</f>
        <v>163403000</v>
      </c>
      <c r="S41" s="119">
        <f>CSG!S41+CSB!S41</f>
        <v>1431852000</v>
      </c>
      <c r="T41" s="119">
        <f>CSG!T41+CSB!T41</f>
        <v>3745000</v>
      </c>
      <c r="U41" s="60">
        <f t="shared" si="12"/>
        <v>1709597000</v>
      </c>
      <c r="V41" s="122" t="str">
        <f t="shared" si="3"/>
        <v>ok</v>
      </c>
      <c r="W41" s="59">
        <f>Orleans!H41</f>
        <v>1709597000</v>
      </c>
      <c r="X41" s="61"/>
      <c r="Y41" s="177">
        <f>Orleans!H44</f>
        <v>7386</v>
      </c>
    </row>
    <row r="42" spans="1:523" s="109" customFormat="1">
      <c r="B42" s="118" t="s">
        <v>716</v>
      </c>
      <c r="C42" s="119">
        <f>CSG!C42+CSB!C42</f>
        <v>42612122</v>
      </c>
      <c r="D42" s="119">
        <f>CSG!D42+CSB!D42</f>
        <v>12027474</v>
      </c>
      <c r="E42" s="119">
        <f>CSG!E42+CSB!E42</f>
        <v>35731619</v>
      </c>
      <c r="F42" s="119">
        <f>CSG!F42+CSB!F42</f>
        <v>183933719</v>
      </c>
      <c r="G42" s="119">
        <f>CSG!G42+CSB!G42</f>
        <v>4120907</v>
      </c>
      <c r="H42" s="119">
        <f>CSG!H42+CSB!H42</f>
        <v>926069</v>
      </c>
      <c r="I42" s="119">
        <f t="shared" si="6"/>
        <v>279351910</v>
      </c>
      <c r="J42" s="130" t="str">
        <f t="shared" si="1"/>
        <v>ok</v>
      </c>
      <c r="K42" s="120">
        <f>Ouachita!H21</f>
        <v>279351910</v>
      </c>
      <c r="L42" s="176"/>
      <c r="M42" s="119">
        <f>CSG!M42+CSB!M42</f>
        <v>5324866</v>
      </c>
      <c r="N42" s="119">
        <f>CSG!N42+CSB!N42</f>
        <v>0</v>
      </c>
      <c r="O42" s="119">
        <f>CSG!O42+CSB!O42</f>
        <v>0</v>
      </c>
      <c r="P42" s="119">
        <f>CSG!P42+CSB!P42</f>
        <v>0</v>
      </c>
      <c r="Q42" s="119">
        <f>CSG!Q42+CSB!Q42</f>
        <v>0</v>
      </c>
      <c r="R42" s="119">
        <f>CSG!R42+CSB!R42</f>
        <v>1980292</v>
      </c>
      <c r="S42" s="119">
        <f>CSG!S42+CSB!S42</f>
        <v>6317082</v>
      </c>
      <c r="T42" s="119">
        <f>CSG!T42+CSB!T42</f>
        <v>1500082</v>
      </c>
      <c r="U42" s="119">
        <f t="shared" si="12"/>
        <v>15122322</v>
      </c>
      <c r="V42" s="122" t="str">
        <f t="shared" si="3"/>
        <v>ok</v>
      </c>
      <c r="W42" s="120">
        <f>Ouachita!H32</f>
        <v>15122322</v>
      </c>
      <c r="X42" s="121"/>
      <c r="Y42" s="176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</row>
    <row r="43" spans="1:523" ht="15.6">
      <c r="A43" s="57"/>
      <c r="B43" s="3" t="s">
        <v>717</v>
      </c>
      <c r="C43" s="119">
        <f>CSG!C43+CSB!C43</f>
        <v>133009823</v>
      </c>
      <c r="D43" s="119">
        <f>CSG!D43+CSB!D43</f>
        <v>4998456</v>
      </c>
      <c r="E43" s="119">
        <f>CSG!E43+CSB!E43</f>
        <v>96048577</v>
      </c>
      <c r="F43" s="119">
        <f>CSG!F43+CSB!F43</f>
        <v>528654940</v>
      </c>
      <c r="G43" s="119">
        <f>CSG!G43+CSB!G43</f>
        <v>0</v>
      </c>
      <c r="H43" s="119">
        <f>CSG!H43+CSB!H43</f>
        <v>907808</v>
      </c>
      <c r="I43" s="60">
        <f t="shared" si="6"/>
        <v>763619604</v>
      </c>
      <c r="J43" s="130" t="str">
        <f t="shared" si="1"/>
        <v>ok</v>
      </c>
      <c r="K43" s="59">
        <f>Plaquemines!J22</f>
        <v>763619604</v>
      </c>
      <c r="L43" s="177"/>
      <c r="M43" s="119">
        <f>CSG!M43+CSB!M43</f>
        <v>43095406</v>
      </c>
      <c r="N43" s="119">
        <f>CSG!N43+CSB!N43</f>
        <v>1164101</v>
      </c>
      <c r="O43" s="119">
        <f>CSG!O43+CSB!O43</f>
        <v>3965000</v>
      </c>
      <c r="P43" s="119">
        <f>CSG!P43+CSB!P43</f>
        <v>130095000</v>
      </c>
      <c r="Q43" s="119">
        <f>CSG!Q43+CSB!Q43</f>
        <v>459968</v>
      </c>
      <c r="R43" s="119">
        <f>CSG!R43+CSB!R43</f>
        <v>0</v>
      </c>
      <c r="S43" s="119">
        <f>CSG!S43+CSB!S43</f>
        <v>0</v>
      </c>
      <c r="T43" s="119">
        <f>CSG!T43+CSB!T43</f>
        <v>16628199</v>
      </c>
      <c r="U43" s="60">
        <f t="shared" si="12"/>
        <v>195407674</v>
      </c>
      <c r="V43" s="122" t="str">
        <f t="shared" si="3"/>
        <v>ok</v>
      </c>
      <c r="W43" s="59">
        <f>Plaquemines!J47</f>
        <v>195407674</v>
      </c>
      <c r="X43" s="61"/>
      <c r="Y43" s="177"/>
    </row>
    <row r="44" spans="1:523" s="109" customFormat="1" ht="15.6">
      <c r="A44" s="117"/>
      <c r="B44" s="118" t="s">
        <v>718</v>
      </c>
      <c r="C44" s="119">
        <f>CSG!C44+CSB!C44</f>
        <v>2570676</v>
      </c>
      <c r="D44" s="119">
        <f>CSG!D44+CSB!D44</f>
        <v>702328</v>
      </c>
      <c r="E44" s="119">
        <f>CSG!E44+CSB!E44</f>
        <v>4256014</v>
      </c>
      <c r="F44" s="119">
        <f>CSG!F44+CSB!F44</f>
        <v>19317523</v>
      </c>
      <c r="G44" s="119">
        <f>CSG!G44+CSB!G44</f>
        <v>864331</v>
      </c>
      <c r="H44" s="119">
        <f>CSG!H44+CSB!H44</f>
        <v>68118</v>
      </c>
      <c r="I44" s="119">
        <f t="shared" ref="I44" si="15">SUM(C44:H44)</f>
        <v>27778990</v>
      </c>
      <c r="J44" s="130" t="str">
        <f t="shared" si="1"/>
        <v>ok</v>
      </c>
      <c r="K44" s="120">
        <f>'Pointe Coupee'!H19</f>
        <v>27778990</v>
      </c>
      <c r="L44" s="176"/>
      <c r="M44" s="119">
        <f>CSG!M44+CSB!M44</f>
        <v>2145783</v>
      </c>
      <c r="N44" s="119">
        <f>CSG!N44+CSB!N44</f>
        <v>0</v>
      </c>
      <c r="O44" s="119">
        <f>CSG!O44+CSB!O44</f>
        <v>0</v>
      </c>
      <c r="P44" s="119">
        <f>CSG!P44+CSB!P44</f>
        <v>0</v>
      </c>
      <c r="Q44" s="119">
        <f>CSG!Q44+CSB!Q44</f>
        <v>421610</v>
      </c>
      <c r="R44" s="119">
        <f>CSG!R44+CSB!R44</f>
        <v>534213</v>
      </c>
      <c r="S44" s="119">
        <f>CSG!S44+CSB!S44</f>
        <v>8388050</v>
      </c>
      <c r="T44" s="119">
        <f>CSG!T44+CSB!T44</f>
        <v>765232</v>
      </c>
      <c r="U44" s="119">
        <f t="shared" ref="U44" si="16">SUM(M44:T44)</f>
        <v>12254888</v>
      </c>
      <c r="V44" s="122" t="str">
        <f t="shared" si="3"/>
        <v>ok</v>
      </c>
      <c r="W44" s="120">
        <f>'Pointe Coupee'!H29</f>
        <v>12254888</v>
      </c>
      <c r="X44" s="121"/>
      <c r="Y44" s="176">
        <f>'Pointe Coupee'!F32</f>
        <v>2473</v>
      </c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</row>
    <row r="45" spans="1:523" ht="15.6">
      <c r="A45" s="57"/>
      <c r="B45" s="3" t="s">
        <v>719</v>
      </c>
      <c r="C45" s="119">
        <f>CSG!C45+CSB!C45</f>
        <v>50024032</v>
      </c>
      <c r="D45" s="119">
        <f>CSG!D45+CSB!D45</f>
        <v>0</v>
      </c>
      <c r="E45" s="119">
        <f>CSG!E45+CSB!E45</f>
        <v>22585071</v>
      </c>
      <c r="F45" s="119">
        <f>CSG!F45+CSB!F45</f>
        <v>51104167</v>
      </c>
      <c r="G45" s="119">
        <f>CSG!G45+CSB!G45</f>
        <v>0</v>
      </c>
      <c r="H45" s="119">
        <f>CSG!H45+CSB!H45</f>
        <v>492</v>
      </c>
      <c r="I45" s="60">
        <f t="shared" ref="I45:I48" si="17">SUM(C45:H45)</f>
        <v>123713762</v>
      </c>
      <c r="J45" s="130" t="str">
        <f t="shared" si="1"/>
        <v>ok</v>
      </c>
      <c r="K45" s="59">
        <f>Rapides!H19</f>
        <v>123713762</v>
      </c>
      <c r="L45" s="177"/>
      <c r="M45" s="119">
        <f>CSG!M45+CSB!M45</f>
        <v>2374122</v>
      </c>
      <c r="N45" s="119">
        <f>CSG!N45+CSB!N45</f>
        <v>0</v>
      </c>
      <c r="O45" s="119">
        <f>CSG!O45+CSB!O45</f>
        <v>0</v>
      </c>
      <c r="P45" s="119">
        <f>CSG!P45+CSB!P45</f>
        <v>0</v>
      </c>
      <c r="Q45" s="119">
        <f>CSG!Q45+CSB!Q45</f>
        <v>0</v>
      </c>
      <c r="R45" s="119">
        <f>CSG!R45+CSB!R45</f>
        <v>1649430</v>
      </c>
      <c r="S45" s="119">
        <f>CSG!S45+CSB!S45</f>
        <v>48762251</v>
      </c>
      <c r="T45" s="119">
        <f>CSG!T45+CSB!T45</f>
        <v>1693311</v>
      </c>
      <c r="U45" s="60">
        <f t="shared" ref="U45:U48" si="18">SUM(M45:T45)</f>
        <v>54479114</v>
      </c>
      <c r="V45" s="122" t="str">
        <f t="shared" si="3"/>
        <v>ok</v>
      </c>
      <c r="W45" s="59">
        <f>Rapides!H29</f>
        <v>54479114</v>
      </c>
      <c r="X45" s="61"/>
      <c r="Y45" s="177"/>
    </row>
    <row r="46" spans="1:523" s="109" customFormat="1" ht="15.6">
      <c r="A46" s="117"/>
      <c r="B46" s="118" t="s">
        <v>720</v>
      </c>
      <c r="C46" s="119">
        <f>CSG!C46+CSB!C46</f>
        <v>14966756</v>
      </c>
      <c r="D46" s="119">
        <f>CSG!D46+CSB!D46</f>
        <v>15927098</v>
      </c>
      <c r="E46" s="119">
        <f>CSG!E46+CSB!E46</f>
        <v>4234914</v>
      </c>
      <c r="F46" s="119">
        <f>CSG!F46+CSB!F46</f>
        <v>14591052</v>
      </c>
      <c r="G46" s="119">
        <f>CSG!G46+CSB!G46</f>
        <v>0</v>
      </c>
      <c r="H46" s="119">
        <f>CSG!H46+CSB!H46</f>
        <v>20301</v>
      </c>
      <c r="I46" s="119">
        <f t="shared" si="17"/>
        <v>49740121</v>
      </c>
      <c r="J46" s="130" t="str">
        <f t="shared" si="1"/>
        <v>ok</v>
      </c>
      <c r="K46" s="120">
        <f>'Red River'!J19</f>
        <v>49740121</v>
      </c>
      <c r="L46" s="176"/>
      <c r="M46" s="119">
        <f>CSG!M46+CSB!M46</f>
        <v>503940</v>
      </c>
      <c r="N46" s="119">
        <f>CSG!N46+CSB!N46</f>
        <v>76773</v>
      </c>
      <c r="O46" s="119">
        <f>CSG!O46+CSB!O46</f>
        <v>0</v>
      </c>
      <c r="P46" s="119">
        <f>CSG!P46+CSB!P46</f>
        <v>0</v>
      </c>
      <c r="Q46" s="119">
        <f>CSG!Q46+CSB!Q46</f>
        <v>0</v>
      </c>
      <c r="R46" s="119">
        <f>CSG!R46+CSB!R46</f>
        <v>0</v>
      </c>
      <c r="S46" s="119">
        <f>CSG!S46+CSB!S46</f>
        <v>0</v>
      </c>
      <c r="T46" s="119">
        <f>CSG!T46+CSB!T46</f>
        <v>970000</v>
      </c>
      <c r="U46" s="119">
        <f t="shared" si="18"/>
        <v>1550713</v>
      </c>
      <c r="V46" s="122" t="str">
        <f t="shared" si="3"/>
        <v>ok</v>
      </c>
      <c r="W46" s="120">
        <f>'Red River'!J37</f>
        <v>1550713</v>
      </c>
      <c r="X46" s="121"/>
      <c r="Y46" s="17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</row>
    <row r="47" spans="1:523" ht="15.6">
      <c r="A47" s="57"/>
      <c r="B47" s="3" t="s">
        <v>721</v>
      </c>
      <c r="C47" s="119">
        <f>CSG!C47+CSB!C47</f>
        <v>7877011</v>
      </c>
      <c r="D47" s="119">
        <f>CSG!D47+CSB!D47</f>
        <v>0</v>
      </c>
      <c r="E47" s="119">
        <f>CSG!E47+CSB!E47</f>
        <v>2803917</v>
      </c>
      <c r="F47" s="119">
        <f>CSG!F47+CSB!F47</f>
        <v>2438020</v>
      </c>
      <c r="G47" s="119">
        <f>CSG!G47+CSB!G47</f>
        <v>0</v>
      </c>
      <c r="H47" s="119">
        <f>CSG!H47+CSB!H47</f>
        <v>0</v>
      </c>
      <c r="I47" s="60">
        <f t="shared" si="17"/>
        <v>13118948</v>
      </c>
      <c r="J47" s="130" t="str">
        <f t="shared" si="1"/>
        <v>ok</v>
      </c>
      <c r="K47" s="59">
        <f>Richland!G12</f>
        <v>13118948</v>
      </c>
      <c r="L47" s="177"/>
      <c r="M47" s="119">
        <f>CSG!M47+CSB!M47</f>
        <v>314807</v>
      </c>
      <c r="N47" s="119">
        <f>CSG!N47+CSB!N47</f>
        <v>0</v>
      </c>
      <c r="O47" s="119">
        <f>CSG!O47+CSB!O47</f>
        <v>0</v>
      </c>
      <c r="P47" s="119">
        <f>CSG!P47+CSB!P47</f>
        <v>0</v>
      </c>
      <c r="Q47" s="119">
        <f>CSG!Q47+CSB!Q47</f>
        <v>0</v>
      </c>
      <c r="R47" s="119">
        <f>CSG!R47+CSB!R47</f>
        <v>0</v>
      </c>
      <c r="S47" s="119">
        <f>CSG!S47+CSB!S47</f>
        <v>0</v>
      </c>
      <c r="T47" s="119">
        <f>CSG!T47+CSB!T47</f>
        <v>0</v>
      </c>
      <c r="U47" s="60">
        <f t="shared" si="18"/>
        <v>314807</v>
      </c>
      <c r="V47" s="122" t="str">
        <f t="shared" si="3"/>
        <v>ok</v>
      </c>
      <c r="W47" s="59">
        <f>Richland!G18</f>
        <v>314807</v>
      </c>
      <c r="X47" s="61"/>
      <c r="Y47" s="177">
        <f>Richland!G21</f>
        <v>2680349</v>
      </c>
    </row>
    <row r="48" spans="1:523" s="109" customFormat="1" ht="15.6">
      <c r="A48" s="117"/>
      <c r="B48" s="118" t="s">
        <v>722</v>
      </c>
      <c r="C48" s="119">
        <f>CSG!C48+CSB!C48</f>
        <v>8931765</v>
      </c>
      <c r="D48" s="119">
        <f>CSG!D48+CSB!D48</f>
        <v>0</v>
      </c>
      <c r="E48" s="119">
        <f>CSG!E48+CSB!E48</f>
        <v>3916001</v>
      </c>
      <c r="F48" s="119">
        <f>CSG!F48+CSB!F48</f>
        <v>12595423</v>
      </c>
      <c r="G48" s="119">
        <f>CSG!G48+CSB!G48</f>
        <v>0</v>
      </c>
      <c r="H48" s="119">
        <f>CSG!H48+CSB!H48</f>
        <v>0</v>
      </c>
      <c r="I48" s="119">
        <f t="shared" si="17"/>
        <v>25443189</v>
      </c>
      <c r="J48" s="130" t="str">
        <f t="shared" si="1"/>
        <v>ok</v>
      </c>
      <c r="K48" s="120">
        <f>Sabine!H20</f>
        <v>25443189</v>
      </c>
      <c r="L48" s="176"/>
      <c r="M48" s="119">
        <f>CSG!M48+CSB!M48</f>
        <v>765104</v>
      </c>
      <c r="N48" s="119">
        <f>CSG!N48+CSB!N48</f>
        <v>0</v>
      </c>
      <c r="O48" s="119">
        <f>CSG!O48+CSB!O48</f>
        <v>0</v>
      </c>
      <c r="P48" s="119">
        <f>CSG!P48+CSB!P48</f>
        <v>0</v>
      </c>
      <c r="Q48" s="119">
        <f>CSG!Q48+CSB!Q48</f>
        <v>0</v>
      </c>
      <c r="R48" s="119">
        <f>CSG!R48+CSB!R48</f>
        <v>372094</v>
      </c>
      <c r="S48" s="119">
        <f>CSG!S48+CSB!S48</f>
        <v>910569</v>
      </c>
      <c r="T48" s="119">
        <f>CSG!T48+CSB!T48</f>
        <v>0</v>
      </c>
      <c r="U48" s="119">
        <f t="shared" si="18"/>
        <v>2047767</v>
      </c>
      <c r="V48" s="122" t="str">
        <f t="shared" si="3"/>
        <v>ok</v>
      </c>
      <c r="W48" s="120">
        <f>Sabine!H29</f>
        <v>2047767</v>
      </c>
      <c r="X48" s="121"/>
      <c r="Y48" s="176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</row>
    <row r="49" spans="1:523" ht="15.6">
      <c r="A49" s="57"/>
      <c r="B49" s="3" t="s">
        <v>723</v>
      </c>
      <c r="C49" s="119">
        <f>CSG!C49+CSB!C49</f>
        <v>51104514</v>
      </c>
      <c r="D49" s="119">
        <f>CSG!D49+CSB!D49</f>
        <v>6190827</v>
      </c>
      <c r="E49" s="119">
        <f>CSG!E49+CSB!E49</f>
        <v>35093054</v>
      </c>
      <c r="F49" s="119">
        <f>CSG!F49+CSB!F49</f>
        <v>591106646</v>
      </c>
      <c r="G49" s="119">
        <f>CSG!G49+CSB!G49</f>
        <v>0</v>
      </c>
      <c r="H49" s="119">
        <f>CSG!H49+CSB!H49</f>
        <v>1748394</v>
      </c>
      <c r="I49" s="60">
        <f t="shared" ref="I49:I51" si="19">SUM(C49:H49)</f>
        <v>685243435</v>
      </c>
      <c r="J49" s="130" t="str">
        <f t="shared" si="1"/>
        <v>ok</v>
      </c>
      <c r="K49" s="59">
        <f>'St. Bernard'!H26</f>
        <v>685243435</v>
      </c>
      <c r="L49" s="177"/>
      <c r="M49" s="119">
        <f>CSG!M49+CSB!M49</f>
        <v>33310633</v>
      </c>
      <c r="N49" s="119">
        <f>CSG!N49+CSB!N49</f>
        <v>0</v>
      </c>
      <c r="O49" s="119">
        <f>CSG!O49+CSB!O49</f>
        <v>0</v>
      </c>
      <c r="P49" s="119">
        <f>CSG!P49+CSB!P49</f>
        <v>0</v>
      </c>
      <c r="Q49" s="119">
        <f>CSG!Q49+CSB!Q49</f>
        <v>0</v>
      </c>
      <c r="R49" s="119">
        <f>CSG!R49+CSB!R49</f>
        <v>4978475</v>
      </c>
      <c r="S49" s="119">
        <f>CSG!S49+CSB!S49</f>
        <v>41843099</v>
      </c>
      <c r="T49" s="119">
        <f>CSG!T49+CSB!T49</f>
        <v>9694023</v>
      </c>
      <c r="U49" s="60">
        <f t="shared" ref="U49:U51" si="20">SUM(M49:T49)</f>
        <v>89826230</v>
      </c>
      <c r="V49" s="122" t="str">
        <f t="shared" si="3"/>
        <v>ok</v>
      </c>
      <c r="W49" s="59">
        <f>'St. Bernard'!H41</f>
        <v>89826230</v>
      </c>
      <c r="X49" s="61"/>
      <c r="Y49" s="177"/>
    </row>
    <row r="50" spans="1:523" s="109" customFormat="1" ht="15.6">
      <c r="A50" s="117"/>
      <c r="B50" s="118" t="s">
        <v>724</v>
      </c>
      <c r="C50" s="119">
        <f>CSG!C50+CSB!C50</f>
        <v>3673098</v>
      </c>
      <c r="D50" s="119">
        <f>CSG!D50+CSB!D50</f>
        <v>95051335</v>
      </c>
      <c r="E50" s="119">
        <f>CSG!E50+CSB!E50</f>
        <v>32800038</v>
      </c>
      <c r="F50" s="119">
        <f>CSG!F50+CSB!F50</f>
        <v>329064234</v>
      </c>
      <c r="G50" s="119">
        <f>CSG!G50+CSB!G50</f>
        <v>3329585</v>
      </c>
      <c r="H50" s="119">
        <f>CSG!H50+CSB!H50</f>
        <v>1071236</v>
      </c>
      <c r="I50" s="119">
        <f t="shared" ref="I50" si="21">SUM(C50:H50)</f>
        <v>464989526</v>
      </c>
      <c r="J50" s="130" t="str">
        <f t="shared" si="1"/>
        <v>ok</v>
      </c>
      <c r="K50" s="120">
        <f>'St. Charles'!J25</f>
        <v>464989526</v>
      </c>
      <c r="L50" s="176"/>
      <c r="M50" s="119">
        <f>CSG!M50+CSB!M50</f>
        <v>7803017</v>
      </c>
      <c r="N50" s="119">
        <f>CSG!N50+CSB!N50</f>
        <v>0</v>
      </c>
      <c r="O50" s="119">
        <f>CSG!O50+CSB!O50</f>
        <v>0</v>
      </c>
      <c r="P50" s="119">
        <f>CSG!P50+CSB!P50</f>
        <v>0</v>
      </c>
      <c r="Q50" s="119">
        <f>CSG!Q50+CSB!Q50</f>
        <v>455541</v>
      </c>
      <c r="R50" s="119">
        <f>CSG!R50+CSB!R50</f>
        <v>4188000</v>
      </c>
      <c r="S50" s="119">
        <f>CSG!S50+CSB!S50</f>
        <v>59477899</v>
      </c>
      <c r="T50" s="119">
        <f>CSG!T50+CSB!T50</f>
        <v>2915006</v>
      </c>
      <c r="U50" s="119">
        <f t="shared" ref="U50" si="22">SUM(M50:T50)</f>
        <v>74839463</v>
      </c>
      <c r="V50" s="122" t="str">
        <f t="shared" si="3"/>
        <v>ok</v>
      </c>
      <c r="W50" s="120">
        <f>'St. Charles'!J43</f>
        <v>74839463</v>
      </c>
      <c r="X50" s="121"/>
      <c r="Y50" s="176">
        <f>'St. Charles'!H46</f>
        <v>25111217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</row>
    <row r="51" spans="1:523" ht="15.6">
      <c r="A51" s="57"/>
      <c r="B51" s="3" t="s">
        <v>725</v>
      </c>
      <c r="C51" s="119">
        <f>CSG!C51+CSB!C51</f>
        <v>6451059</v>
      </c>
      <c r="D51" s="119">
        <f>CSG!D51+CSB!D51</f>
        <v>980608</v>
      </c>
      <c r="E51" s="119">
        <f>CSG!E51+CSB!E51</f>
        <v>2218238</v>
      </c>
      <c r="F51" s="119">
        <f>CSG!F51+CSB!F51</f>
        <v>12539206</v>
      </c>
      <c r="G51" s="119">
        <f>CSG!G51+CSB!G51</f>
        <v>0</v>
      </c>
      <c r="H51" s="119">
        <f>CSG!H51+CSB!H51</f>
        <v>110731</v>
      </c>
      <c r="I51" s="60">
        <f t="shared" si="19"/>
        <v>22299842</v>
      </c>
      <c r="J51" s="130" t="str">
        <f t="shared" si="1"/>
        <v>ok</v>
      </c>
      <c r="K51" s="59">
        <f>'St. Helena'!H29</f>
        <v>22299842</v>
      </c>
      <c r="L51" s="177"/>
      <c r="M51" s="119">
        <f>CSG!M51+CSB!M51</f>
        <v>698270</v>
      </c>
      <c r="N51" s="119">
        <f>CSG!N51+CSB!N51</f>
        <v>186139</v>
      </c>
      <c r="O51" s="119">
        <f>CSG!O51+CSB!O51</f>
        <v>287718</v>
      </c>
      <c r="P51" s="119">
        <f>CSG!P51+CSB!P51</f>
        <v>793199</v>
      </c>
      <c r="Q51" s="119">
        <f>CSG!Q51+CSB!Q51</f>
        <v>0</v>
      </c>
      <c r="R51" s="119">
        <f>CSG!R51+CSB!R51</f>
        <v>0</v>
      </c>
      <c r="S51" s="119">
        <f>CSG!S51+CSB!S51</f>
        <v>0</v>
      </c>
      <c r="T51" s="119">
        <f>CSG!T51+CSB!T51</f>
        <v>937773</v>
      </c>
      <c r="U51" s="60">
        <f t="shared" si="20"/>
        <v>2903099</v>
      </c>
      <c r="V51" s="122" t="str">
        <f t="shared" si="3"/>
        <v>ok</v>
      </c>
      <c r="W51" s="59">
        <f>'St. Helena'!H50</f>
        <v>2903099</v>
      </c>
      <c r="X51" s="61"/>
      <c r="Y51" s="177"/>
    </row>
    <row r="52" spans="1:523" s="109" customFormat="1" ht="15.6">
      <c r="A52" s="117"/>
      <c r="B52" s="118" t="s">
        <v>726</v>
      </c>
      <c r="C52" s="119">
        <f>CSG!C52+CSB!C52</f>
        <v>28884096</v>
      </c>
      <c r="D52" s="119">
        <f>CSG!D52+CSB!D52</f>
        <v>10986073</v>
      </c>
      <c r="E52" s="119">
        <f>CSG!E52+CSB!E52</f>
        <v>21835861</v>
      </c>
      <c r="F52" s="119">
        <f>CSG!F52+CSB!F52</f>
        <v>70799648</v>
      </c>
      <c r="G52" s="119">
        <f>CSG!G52+CSB!G52</f>
        <v>2071000</v>
      </c>
      <c r="H52" s="119">
        <f>CSG!H52+CSB!H52</f>
        <v>527234</v>
      </c>
      <c r="I52" s="119">
        <f t="shared" ref="I52:I54" si="23">SUM(C52:H52)</f>
        <v>135103912</v>
      </c>
      <c r="J52" s="130" t="str">
        <f t="shared" si="1"/>
        <v>ok</v>
      </c>
      <c r="K52" s="120">
        <f>'St. James'!I23</f>
        <v>135103912</v>
      </c>
      <c r="L52" s="176"/>
      <c r="M52" s="119">
        <f>CSG!M52+CSB!M52</f>
        <v>3667431</v>
      </c>
      <c r="N52" s="119">
        <f>CSG!N52+CSB!N52</f>
        <v>0</v>
      </c>
      <c r="O52" s="119">
        <f>CSG!O52+CSB!O52</f>
        <v>0</v>
      </c>
      <c r="P52" s="119">
        <f>CSG!P52+CSB!P52</f>
        <v>0</v>
      </c>
      <c r="Q52" s="119">
        <f>CSG!Q52+CSB!Q52</f>
        <v>0</v>
      </c>
      <c r="R52" s="119">
        <f>CSG!R52+CSB!R52</f>
        <v>1521476</v>
      </c>
      <c r="S52" s="119">
        <f>CSG!S52+CSB!S52</f>
        <v>9810693</v>
      </c>
      <c r="T52" s="119">
        <f>CSG!T52+CSB!T52</f>
        <v>2004344</v>
      </c>
      <c r="U52" s="119">
        <f t="shared" ref="U52:U54" si="24">SUM(M52:T52)</f>
        <v>17003944</v>
      </c>
      <c r="V52" s="122" t="str">
        <f t="shared" si="3"/>
        <v>ok</v>
      </c>
      <c r="W52" s="120">
        <f>'St. James'!I36</f>
        <v>17003944</v>
      </c>
      <c r="X52" s="121"/>
      <c r="Y52" s="176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</row>
    <row r="53" spans="1:523" ht="15.6">
      <c r="A53" s="57"/>
      <c r="B53" s="3" t="s">
        <v>727</v>
      </c>
      <c r="C53" s="119">
        <f>CSG!C53+CSB!C53</f>
        <v>60908249</v>
      </c>
      <c r="D53" s="119">
        <f>CSG!D53+CSB!D53</f>
        <v>363526</v>
      </c>
      <c r="E53" s="119">
        <f>CSG!E53+CSB!E53</f>
        <v>19681167</v>
      </c>
      <c r="F53" s="119">
        <f>CSG!F53+CSB!F53</f>
        <v>206350982</v>
      </c>
      <c r="G53" s="119">
        <f>CSG!G53+CSB!G53</f>
        <v>1083629</v>
      </c>
      <c r="H53" s="119">
        <f>CSG!H53+CSB!H53</f>
        <v>1483126</v>
      </c>
      <c r="I53" s="60">
        <f t="shared" si="23"/>
        <v>289870679</v>
      </c>
      <c r="J53" s="130" t="str">
        <f t="shared" si="1"/>
        <v>ok</v>
      </c>
      <c r="K53" s="59">
        <f>'St John the Baptist'!I22</f>
        <v>289870679</v>
      </c>
      <c r="L53" s="177"/>
      <c r="M53" s="119">
        <f>CSG!M53+CSB!M53</f>
        <v>7293310</v>
      </c>
      <c r="N53" s="119">
        <f>CSG!N53+CSB!N53</f>
        <v>0</v>
      </c>
      <c r="O53" s="119">
        <f>CSG!O53+CSB!O53</f>
        <v>0</v>
      </c>
      <c r="P53" s="119">
        <f>CSG!P53+CSB!P53</f>
        <v>0</v>
      </c>
      <c r="Q53" s="119">
        <f>CSG!Q53+CSB!Q53</f>
        <v>1356508</v>
      </c>
      <c r="R53" s="119">
        <f>CSG!R53+CSB!R53</f>
        <v>6464877</v>
      </c>
      <c r="S53" s="119">
        <f>CSG!S53+CSB!S53</f>
        <v>73665907</v>
      </c>
      <c r="T53" s="119">
        <f>CSG!T53+CSB!T53</f>
        <v>171320</v>
      </c>
      <c r="U53" s="60">
        <f t="shared" si="24"/>
        <v>88951922</v>
      </c>
      <c r="V53" s="122" t="str">
        <f t="shared" si="3"/>
        <v>ok</v>
      </c>
      <c r="W53" s="59">
        <f>'St John the Baptist'!I35</f>
        <v>88951922</v>
      </c>
      <c r="X53" s="61"/>
      <c r="Y53" s="177"/>
    </row>
    <row r="54" spans="1:523" s="109" customFormat="1" ht="15.6">
      <c r="A54" s="117"/>
      <c r="B54" s="118" t="s">
        <v>728</v>
      </c>
      <c r="C54" s="119">
        <f>CSG!C54+CSB!C54</f>
        <v>1555264</v>
      </c>
      <c r="D54" s="119">
        <f>CSG!D54+CSB!D54</f>
        <v>0</v>
      </c>
      <c r="E54" s="119">
        <f>CSG!E54+CSB!E54</f>
        <v>5692205</v>
      </c>
      <c r="F54" s="119">
        <f>CSG!F54+CSB!F54</f>
        <v>9506315</v>
      </c>
      <c r="G54" s="119">
        <f>CSG!G54+CSB!G54</f>
        <v>314662</v>
      </c>
      <c r="H54" s="119">
        <f>CSG!H54+CSB!H54</f>
        <v>42458</v>
      </c>
      <c r="I54" s="119">
        <f t="shared" si="23"/>
        <v>17110904</v>
      </c>
      <c r="J54" s="130" t="str">
        <f t="shared" si="1"/>
        <v>ok</v>
      </c>
      <c r="K54" s="120">
        <f>'St. Landry'!H20</f>
        <v>17110904</v>
      </c>
      <c r="L54" s="176"/>
      <c r="M54" s="119">
        <f>CSG!M54+CSB!M54</f>
        <v>2271688</v>
      </c>
      <c r="N54" s="119">
        <f>CSG!N54+CSB!N54</f>
        <v>121245</v>
      </c>
      <c r="O54" s="119">
        <f>CSG!O54+CSB!O54</f>
        <v>58000</v>
      </c>
      <c r="P54" s="119">
        <f>CSG!P54+CSB!P54</f>
        <v>60000</v>
      </c>
      <c r="Q54" s="119">
        <f>CSG!Q54+CSB!Q54</f>
        <v>101389</v>
      </c>
      <c r="R54" s="119">
        <f>CSG!R54+CSB!R54</f>
        <v>0</v>
      </c>
      <c r="S54" s="119">
        <f>CSG!S54+CSB!S54</f>
        <v>0</v>
      </c>
      <c r="T54" s="119">
        <f>CSG!T54+CSB!T54</f>
        <v>222238</v>
      </c>
      <c r="U54" s="119">
        <f t="shared" si="24"/>
        <v>2834560</v>
      </c>
      <c r="V54" s="122" t="str">
        <f t="shared" si="3"/>
        <v>ok</v>
      </c>
      <c r="W54" s="120">
        <f>'St. Landry'!H42</f>
        <v>2834560</v>
      </c>
      <c r="X54" s="121"/>
      <c r="Y54" s="176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</row>
    <row r="55" spans="1:523" ht="15.6">
      <c r="A55" s="57"/>
      <c r="B55" s="3" t="s">
        <v>729</v>
      </c>
      <c r="C55" s="119">
        <f>CSG!C55+CSB!C55</f>
        <v>23148572</v>
      </c>
      <c r="D55" s="119">
        <f>CSG!D55+CSB!D55</f>
        <v>0</v>
      </c>
      <c r="E55" s="119">
        <f>CSG!E55+CSB!E55</f>
        <v>11373340</v>
      </c>
      <c r="F55" s="119">
        <f>CSG!F55+CSB!F55</f>
        <v>70360835</v>
      </c>
      <c r="G55" s="119">
        <f>CSG!G55+CSB!G55</f>
        <v>183431</v>
      </c>
      <c r="H55" s="119">
        <f>CSG!H55+CSB!H55</f>
        <v>204890</v>
      </c>
      <c r="I55" s="60">
        <f t="shared" ref="I55:I57" si="25">SUM(C55:H55)</f>
        <v>105271068</v>
      </c>
      <c r="J55" s="130" t="str">
        <f t="shared" si="1"/>
        <v>ok</v>
      </c>
      <c r="K55" s="59">
        <f>'St. Martin'!J14</f>
        <v>105271068</v>
      </c>
      <c r="L55" s="177"/>
      <c r="M55" s="119">
        <f>CSG!M55+CSB!M55</f>
        <v>517157</v>
      </c>
      <c r="N55" s="119">
        <f>CSG!N55+CSB!N55</f>
        <v>410568</v>
      </c>
      <c r="O55" s="119">
        <f>CSG!O55+CSB!O55</f>
        <v>1781000</v>
      </c>
      <c r="P55" s="119">
        <f>CSG!P55+CSB!P55</f>
        <v>22494000</v>
      </c>
      <c r="Q55" s="119">
        <f>CSG!Q55+CSB!Q55</f>
        <v>93304</v>
      </c>
      <c r="R55" s="119">
        <f>CSG!R55+CSB!R55</f>
        <v>193138</v>
      </c>
      <c r="S55" s="119">
        <f>CSG!S55+CSB!S55</f>
        <v>150518</v>
      </c>
      <c r="T55" s="119">
        <f>CSG!T55+CSB!T55</f>
        <v>6162957</v>
      </c>
      <c r="U55" s="60">
        <f t="shared" ref="U55:U69" si="26">SUM(M55:T55)</f>
        <v>31802642</v>
      </c>
      <c r="V55" s="122" t="str">
        <f t="shared" si="3"/>
        <v>ok</v>
      </c>
      <c r="W55" s="59">
        <f>'St. Martin'!J30</f>
        <v>31802642</v>
      </c>
      <c r="X55" s="61"/>
      <c r="Y55" s="177"/>
    </row>
    <row r="56" spans="1:523" s="109" customFormat="1" ht="15.6">
      <c r="A56" s="117"/>
      <c r="B56" s="118" t="s">
        <v>730</v>
      </c>
      <c r="C56" s="119">
        <f>CSG!C56+CSB!C56</f>
        <v>6902907</v>
      </c>
      <c r="D56" s="119">
        <f>CSG!D56+CSB!D56</f>
        <v>17601483</v>
      </c>
      <c r="E56" s="119">
        <f>CSG!E56+CSB!E56</f>
        <v>1682333</v>
      </c>
      <c r="F56" s="119">
        <f>CSG!F56+CSB!F56</f>
        <v>129690570</v>
      </c>
      <c r="G56" s="119">
        <f>CSG!G56+CSB!G56</f>
        <v>12841427</v>
      </c>
      <c r="H56" s="119">
        <f>CSG!H56+CSB!H56</f>
        <v>4220</v>
      </c>
      <c r="I56" s="119">
        <f t="shared" si="25"/>
        <v>168722940</v>
      </c>
      <c r="J56" s="130" t="str">
        <f t="shared" si="1"/>
        <v>ok</v>
      </c>
      <c r="K56" s="120">
        <f>'St. Mary'!J36</f>
        <v>168722940</v>
      </c>
      <c r="L56" s="176"/>
      <c r="M56" s="119">
        <f>CSG!M56+CSB!M56</f>
        <v>1865390</v>
      </c>
      <c r="N56" s="119">
        <f>CSG!N56+CSB!N56</f>
        <v>165000</v>
      </c>
      <c r="O56" s="119">
        <f>CSG!O56+CSB!O56</f>
        <v>0</v>
      </c>
      <c r="P56" s="119">
        <f>CSG!P56+CSB!P56</f>
        <v>0</v>
      </c>
      <c r="Q56" s="119">
        <f>CSG!Q56+CSB!Q56</f>
        <v>663469</v>
      </c>
      <c r="R56" s="119">
        <f>CSG!R56+CSB!R56</f>
        <v>0</v>
      </c>
      <c r="S56" s="119">
        <f>CSG!S56+CSB!S56</f>
        <v>0</v>
      </c>
      <c r="T56" s="119">
        <f>CSG!T56+CSB!T56</f>
        <v>49390165</v>
      </c>
      <c r="U56" s="119">
        <f t="shared" si="26"/>
        <v>52084024</v>
      </c>
      <c r="V56" s="122" t="str">
        <f t="shared" si="3"/>
        <v>ok</v>
      </c>
      <c r="W56" s="120">
        <f>'St. Mary'!J62</f>
        <v>52084024</v>
      </c>
      <c r="X56" s="121"/>
      <c r="Y56" s="17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</row>
    <row r="57" spans="1:523" ht="15.6">
      <c r="A57" s="57"/>
      <c r="B57" s="3" t="s">
        <v>731</v>
      </c>
      <c r="C57" s="119">
        <f>CSG!C57+CSB!C57</f>
        <v>34898187</v>
      </c>
      <c r="D57" s="119">
        <f>CSG!D57+CSB!D57</f>
        <v>156302313</v>
      </c>
      <c r="E57" s="119">
        <f>CSG!E57+CSB!E57</f>
        <v>50783165</v>
      </c>
      <c r="F57" s="119">
        <f>CSG!F57+CSB!F57</f>
        <v>454180079</v>
      </c>
      <c r="G57" s="119">
        <f>CSG!G57+CSB!G57</f>
        <v>24006</v>
      </c>
      <c r="H57" s="119">
        <f>CSG!H57+CSB!H57</f>
        <v>14064849</v>
      </c>
      <c r="I57" s="60">
        <f t="shared" si="25"/>
        <v>710252599</v>
      </c>
      <c r="J57" s="130" t="str">
        <f t="shared" si="1"/>
        <v>ok</v>
      </c>
      <c r="K57" s="59">
        <f>'St. Tammany'!J19</f>
        <v>710252599</v>
      </c>
      <c r="L57" s="177">
        <f>'St. Tammany'!H24</f>
        <v>5106064</v>
      </c>
      <c r="M57" s="119">
        <f>CSG!M57+CSB!M57</f>
        <v>21974370</v>
      </c>
      <c r="N57" s="119">
        <f>CSG!N57+CSB!N57</f>
        <v>0</v>
      </c>
      <c r="O57" s="119">
        <f>CSG!O57+CSB!O57</f>
        <v>0</v>
      </c>
      <c r="P57" s="119">
        <f>CSG!P57+CSB!P57</f>
        <v>0</v>
      </c>
      <c r="Q57" s="119">
        <f>CSG!Q57+CSB!Q57</f>
        <v>8555724</v>
      </c>
      <c r="R57" s="119">
        <f>CSG!R57+CSB!R57</f>
        <v>10418024</v>
      </c>
      <c r="S57" s="119">
        <f>CSG!S57+CSB!S57</f>
        <v>139099219</v>
      </c>
      <c r="T57" s="119">
        <f>CSG!T57+CSB!T57</f>
        <v>6975112</v>
      </c>
      <c r="U57" s="60">
        <f t="shared" si="26"/>
        <v>187022449</v>
      </c>
      <c r="V57" s="122" t="str">
        <f t="shared" si="3"/>
        <v>ok</v>
      </c>
      <c r="W57" s="59">
        <f>'St. Tammany'!J37</f>
        <v>187022449</v>
      </c>
      <c r="X57" s="61"/>
      <c r="Y57" s="177"/>
    </row>
    <row r="58" spans="1:523" s="109" customFormat="1" ht="15.6">
      <c r="A58" s="117"/>
      <c r="B58" s="118" t="s">
        <v>732</v>
      </c>
      <c r="C58" s="119">
        <f>CSG!C58+CSB!C58</f>
        <v>17398202</v>
      </c>
      <c r="D58" s="119">
        <f>CSG!D58+CSB!D58</f>
        <v>0</v>
      </c>
      <c r="E58" s="119">
        <f>CSG!E58+CSB!E58</f>
        <v>8935241</v>
      </c>
      <c r="F58" s="119">
        <f>CSG!F58+CSB!F58</f>
        <v>178240431</v>
      </c>
      <c r="G58" s="119">
        <f>CSG!G58+CSB!G58</f>
        <v>42692</v>
      </c>
      <c r="H58" s="119">
        <f>CSG!H58+CSB!H58</f>
        <v>898211</v>
      </c>
      <c r="I58" s="119">
        <f>SUM(C58:H58)</f>
        <v>205514777</v>
      </c>
      <c r="J58" s="130" t="str">
        <f t="shared" si="1"/>
        <v>ok</v>
      </c>
      <c r="K58" s="120">
        <f>Tangipahoa!H15</f>
        <v>205514777</v>
      </c>
      <c r="L58" s="176"/>
      <c r="M58" s="119">
        <f>CSG!M58+CSB!M58</f>
        <v>4186126</v>
      </c>
      <c r="N58" s="119">
        <f>CSG!N58+CSB!N58</f>
        <v>0</v>
      </c>
      <c r="O58" s="119">
        <f>CSG!O58+CSB!O58</f>
        <v>0</v>
      </c>
      <c r="P58" s="119">
        <f>CSG!P58+CSB!P58</f>
        <v>0</v>
      </c>
      <c r="Q58" s="119">
        <f>CSG!Q58+CSB!Q58</f>
        <v>383324</v>
      </c>
      <c r="R58" s="119">
        <f>CSG!R58+CSB!R58</f>
        <v>90000</v>
      </c>
      <c r="S58" s="119">
        <f>CSG!S58+CSB!S58</f>
        <v>8104902</v>
      </c>
      <c r="T58" s="119">
        <f>CSG!T58+CSB!T58</f>
        <v>1567913</v>
      </c>
      <c r="U58" s="119">
        <f t="shared" si="26"/>
        <v>14332265</v>
      </c>
      <c r="V58" s="122" t="str">
        <f t="shared" si="3"/>
        <v>ok</v>
      </c>
      <c r="W58" s="120">
        <f>Tangipahoa!H27</f>
        <v>14332265</v>
      </c>
      <c r="X58" s="121"/>
      <c r="Y58" s="176">
        <f>Tangipahoa!H32</f>
        <v>53394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</row>
    <row r="59" spans="1:523" ht="15.6">
      <c r="A59" s="57"/>
      <c r="B59" s="3" t="s">
        <v>733</v>
      </c>
      <c r="C59" s="119">
        <f>CSG!C59+CSB!C59</f>
        <v>2313344</v>
      </c>
      <c r="D59" s="119">
        <f>CSG!D59+CSB!D59</f>
        <v>0</v>
      </c>
      <c r="E59" s="119">
        <f>CSG!E59+CSB!E59</f>
        <v>763109</v>
      </c>
      <c r="F59" s="119">
        <f>CSG!F59+CSB!F59</f>
        <v>8567911</v>
      </c>
      <c r="G59" s="119">
        <f>CSG!G59+CSB!G59</f>
        <v>0</v>
      </c>
      <c r="H59" s="119">
        <f>CSG!H59+CSB!H59</f>
        <v>973759</v>
      </c>
      <c r="I59" s="60">
        <f t="shared" ref="I59" si="27">SUM(C59:H59)</f>
        <v>12618123</v>
      </c>
      <c r="J59" s="130" t="str">
        <f t="shared" si="1"/>
        <v>ok</v>
      </c>
      <c r="K59" s="59">
        <f>Tensas!G13</f>
        <v>12618123</v>
      </c>
      <c r="L59" s="177"/>
      <c r="M59" s="119">
        <f>CSG!M59+CSB!M59</f>
        <v>156049</v>
      </c>
      <c r="N59" s="119">
        <f>CSG!N59+CSB!N59</f>
        <v>0</v>
      </c>
      <c r="O59" s="119">
        <f>CSG!O59+CSB!O59</f>
        <v>0</v>
      </c>
      <c r="P59" s="119">
        <f>CSG!P59+CSB!P59</f>
        <v>0</v>
      </c>
      <c r="Q59" s="119">
        <f>CSG!Q59+CSB!Q59</f>
        <v>54048</v>
      </c>
      <c r="R59" s="119">
        <f>CSG!R59+CSB!R59</f>
        <v>39882</v>
      </c>
      <c r="S59" s="119">
        <f>CSG!S59+CSB!S59</f>
        <v>1255223</v>
      </c>
      <c r="T59" s="119">
        <f>CSG!T59+CSB!T59</f>
        <v>0</v>
      </c>
      <c r="U59" s="60">
        <f t="shared" si="26"/>
        <v>1505202</v>
      </c>
      <c r="V59" s="122" t="str">
        <f t="shared" si="3"/>
        <v>ok</v>
      </c>
      <c r="W59" s="59">
        <f>Tensas!G22</f>
        <v>1505202</v>
      </c>
      <c r="X59" s="61"/>
      <c r="Y59" s="177"/>
    </row>
    <row r="60" spans="1:523" s="109" customFormat="1" ht="15.6">
      <c r="A60" s="117"/>
      <c r="B60" s="118" t="s">
        <v>734</v>
      </c>
      <c r="C60" s="119">
        <f>CSG!C60+CSB!C60</f>
        <v>48734757</v>
      </c>
      <c r="D60" s="119">
        <f>CSG!D60+CSB!D60</f>
        <v>120283687</v>
      </c>
      <c r="E60" s="119">
        <f>CSG!E60+CSB!E60</f>
        <v>19246292</v>
      </c>
      <c r="F60" s="119">
        <f>CSG!F60+CSB!F60</f>
        <v>448828888</v>
      </c>
      <c r="G60" s="119">
        <f>CSG!G60+CSB!G60</f>
        <v>81117979</v>
      </c>
      <c r="H60" s="119">
        <f>CSG!H60+CSB!H60</f>
        <v>5324089</v>
      </c>
      <c r="I60" s="119">
        <f t="shared" ref="I60:I61" si="28">SUM(C60:H60)</f>
        <v>723535692</v>
      </c>
      <c r="J60" s="130" t="str">
        <f t="shared" si="1"/>
        <v>ok</v>
      </c>
      <c r="K60" s="120">
        <f>Terrebonne!J26</f>
        <v>723535692</v>
      </c>
      <c r="L60" s="176">
        <f>Terrebonne!H28</f>
        <v>132278</v>
      </c>
      <c r="M60" s="119">
        <f>CSG!M60+CSB!M60</f>
        <v>32939853</v>
      </c>
      <c r="N60" s="119">
        <f>CSG!N60+CSB!N60</f>
        <v>0</v>
      </c>
      <c r="O60" s="119">
        <f>CSG!O60+CSB!O60</f>
        <v>0</v>
      </c>
      <c r="P60" s="119">
        <f>CSG!P60+CSB!P60</f>
        <v>0</v>
      </c>
      <c r="Q60" s="119">
        <f>CSG!Q60+CSB!Q60</f>
        <v>9291555</v>
      </c>
      <c r="R60" s="119">
        <f>CSG!R60+CSB!R60</f>
        <v>7432698</v>
      </c>
      <c r="S60" s="119">
        <f>CSG!S60+CSB!S60</f>
        <v>136608636</v>
      </c>
      <c r="T60" s="119">
        <f>CSG!T60+CSB!T60</f>
        <v>0</v>
      </c>
      <c r="U60" s="119">
        <f t="shared" si="26"/>
        <v>186272742</v>
      </c>
      <c r="V60" s="122" t="str">
        <f t="shared" si="3"/>
        <v>ok</v>
      </c>
      <c r="W60" s="120">
        <f>Terrebonne!J42</f>
        <v>186272742</v>
      </c>
      <c r="X60" s="121"/>
      <c r="Y60" s="176">
        <f>Terrebonne!H44</f>
        <v>27193917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</row>
    <row r="61" spans="1:523" ht="15.6">
      <c r="A61" s="57"/>
      <c r="B61" s="3" t="s">
        <v>735</v>
      </c>
      <c r="C61" s="119">
        <f>CSG!C61+CSB!C61</f>
        <v>7110474</v>
      </c>
      <c r="D61" s="119">
        <f>CSG!D61+CSB!D61</f>
        <v>7240283</v>
      </c>
      <c r="E61" s="119">
        <f>CSG!E61+CSB!E61</f>
        <v>4749704</v>
      </c>
      <c r="F61" s="119">
        <f>CSG!F61+CSB!F61</f>
        <v>12207847</v>
      </c>
      <c r="G61" s="119">
        <f>CSG!G61+CSB!G61</f>
        <v>0</v>
      </c>
      <c r="H61" s="119">
        <f>CSG!H61+CSB!H61</f>
        <v>0</v>
      </c>
      <c r="I61" s="60">
        <f t="shared" si="28"/>
        <v>31308308</v>
      </c>
      <c r="J61" s="130" t="str">
        <f t="shared" si="1"/>
        <v>ok</v>
      </c>
      <c r="K61" s="59">
        <f>Union!G11</f>
        <v>31308308</v>
      </c>
      <c r="L61" s="177"/>
      <c r="M61" s="119">
        <f>CSG!M61+CSB!M61</f>
        <v>1373845</v>
      </c>
      <c r="N61" s="119">
        <f>CSG!N61+CSB!N61</f>
        <v>219368</v>
      </c>
      <c r="O61" s="119">
        <f>CSG!O61+CSB!O61</f>
        <v>18000</v>
      </c>
      <c r="P61" s="119">
        <f>CSG!P61+CSB!P61</f>
        <v>235000</v>
      </c>
      <c r="Q61" s="119">
        <f>CSG!Q61+CSB!Q61</f>
        <v>260018</v>
      </c>
      <c r="R61" s="119">
        <f>CSG!R61+CSB!R61</f>
        <v>174000</v>
      </c>
      <c r="S61" s="119">
        <f>CSG!S61+CSB!S61</f>
        <v>180000</v>
      </c>
      <c r="T61" s="119">
        <f>CSG!T61+CSB!T61</f>
        <v>8907088</v>
      </c>
      <c r="U61" s="60">
        <f t="shared" si="26"/>
        <v>11367319</v>
      </c>
      <c r="V61" s="122" t="str">
        <f t="shared" si="3"/>
        <v>ok</v>
      </c>
      <c r="W61" s="59">
        <f>Union!G25</f>
        <v>11367319</v>
      </c>
      <c r="X61" s="61"/>
      <c r="Y61" s="177">
        <f>Union!G28</f>
        <v>14194</v>
      </c>
    </row>
    <row r="62" spans="1:523" s="109" customFormat="1" ht="15.6">
      <c r="A62" s="117"/>
      <c r="B62" s="118" t="s">
        <v>736</v>
      </c>
      <c r="C62" s="119">
        <f>CSG!C62+CSB!C62</f>
        <v>53128318</v>
      </c>
      <c r="D62" s="119">
        <f>CSG!D62+CSB!D62</f>
        <v>0</v>
      </c>
      <c r="E62" s="119">
        <f>CSG!E62+CSB!E62</f>
        <v>381262</v>
      </c>
      <c r="F62" s="119">
        <f>CSG!F62+CSB!F62</f>
        <v>82500254</v>
      </c>
      <c r="G62" s="119">
        <f>CSG!G62+CSB!G62</f>
        <v>8635672</v>
      </c>
      <c r="H62" s="119">
        <f>CSG!H62+CSB!H62</f>
        <v>56444</v>
      </c>
      <c r="I62" s="119">
        <f>SUM(C62:H62)</f>
        <v>144701950</v>
      </c>
      <c r="J62" s="130" t="str">
        <f t="shared" si="1"/>
        <v>ok</v>
      </c>
      <c r="K62" s="120">
        <f>Vermillion!H14</f>
        <v>144701950</v>
      </c>
      <c r="L62" s="176"/>
      <c r="M62" s="119">
        <f>CSG!M62+CSB!M62</f>
        <v>2216308</v>
      </c>
      <c r="N62" s="119">
        <f>CSG!N62+CSB!N62</f>
        <v>0</v>
      </c>
      <c r="O62" s="119">
        <f>CSG!O62+CSB!O62</f>
        <v>0</v>
      </c>
      <c r="P62" s="119">
        <f>CSG!P62+CSB!P62</f>
        <v>0</v>
      </c>
      <c r="Q62" s="119">
        <f>CSG!Q62+CSB!Q62</f>
        <v>58759</v>
      </c>
      <c r="R62" s="119">
        <f>CSG!R62+CSB!R62</f>
        <v>365000</v>
      </c>
      <c r="S62" s="119">
        <f>CSG!S62+CSB!S62</f>
        <v>5463515</v>
      </c>
      <c r="T62" s="119">
        <f>CSG!T62+CSB!T62</f>
        <v>0</v>
      </c>
      <c r="U62" s="119">
        <f t="shared" si="26"/>
        <v>8103582</v>
      </c>
      <c r="V62" s="122" t="str">
        <f t="shared" si="3"/>
        <v>ok</v>
      </c>
      <c r="W62" s="120">
        <f>Vermillion!H27</f>
        <v>8103582</v>
      </c>
      <c r="X62" s="121"/>
      <c r="Y62" s="176">
        <f>Vermillion!H30</f>
        <v>948391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</row>
    <row r="63" spans="1:523" ht="15.6">
      <c r="A63" s="57"/>
      <c r="B63" s="3" t="s">
        <v>737</v>
      </c>
      <c r="C63" s="119">
        <f>CSG!C63+CSB!C63</f>
        <v>23897070</v>
      </c>
      <c r="D63" s="119">
        <f>CSG!D63+CSB!D63</f>
        <v>1246021</v>
      </c>
      <c r="E63" s="119">
        <f>CSG!E63+CSB!E63</f>
        <v>6132255</v>
      </c>
      <c r="F63" s="119">
        <f>CSG!F63+CSB!F63</f>
        <v>45322054</v>
      </c>
      <c r="G63" s="119">
        <f>CSG!G63+CSB!G63</f>
        <v>0</v>
      </c>
      <c r="H63" s="119">
        <f>CSG!H63+CSB!H63</f>
        <v>21627</v>
      </c>
      <c r="I63" s="60">
        <f t="shared" ref="I63:I65" si="29">SUM(C63:H63)</f>
        <v>76619027</v>
      </c>
      <c r="J63" s="130" t="str">
        <f t="shared" si="1"/>
        <v>ok</v>
      </c>
      <c r="K63" s="59">
        <f>Vernon!H18</f>
        <v>76619027</v>
      </c>
      <c r="L63" s="177"/>
      <c r="M63" s="119">
        <f>CSG!M63+CSB!M63</f>
        <v>1213698</v>
      </c>
      <c r="N63" s="119">
        <f>CSG!N63+CSB!N63</f>
        <v>0</v>
      </c>
      <c r="O63" s="119">
        <f>CSG!O63+CSB!O63</f>
        <v>0</v>
      </c>
      <c r="P63" s="119">
        <f>CSG!P63+CSB!P63</f>
        <v>0</v>
      </c>
      <c r="Q63" s="119">
        <f>CSG!Q63+CSB!Q63</f>
        <v>0</v>
      </c>
      <c r="R63" s="119">
        <f>CSG!R63+CSB!R63</f>
        <v>812070</v>
      </c>
      <c r="S63" s="119">
        <f>CSG!S63+CSB!S63</f>
        <v>19678827</v>
      </c>
      <c r="T63" s="119">
        <f>CSG!T63+CSB!T63</f>
        <v>110008</v>
      </c>
      <c r="U63" s="60">
        <f t="shared" si="26"/>
        <v>21814603</v>
      </c>
      <c r="V63" s="122" t="str">
        <f t="shared" si="3"/>
        <v>ok</v>
      </c>
      <c r="W63" s="59">
        <f>Vernon!H28</f>
        <v>21814603</v>
      </c>
      <c r="X63" s="61"/>
      <c r="Y63" s="177"/>
    </row>
    <row r="64" spans="1:523" s="109" customFormat="1" ht="15.6">
      <c r="A64" s="117"/>
      <c r="B64" s="118" t="s">
        <v>738</v>
      </c>
      <c r="C64" s="119">
        <f>CSG!C64+CSB!C64</f>
        <v>1380203</v>
      </c>
      <c r="D64" s="119">
        <f>CSG!D64+CSB!D64</f>
        <v>2545233</v>
      </c>
      <c r="E64" s="119">
        <f>CSG!E64+CSB!E64</f>
        <v>5325202</v>
      </c>
      <c r="F64" s="119">
        <f>CSG!F64+CSB!F64</f>
        <v>38243242</v>
      </c>
      <c r="G64" s="119">
        <f>CSG!G64+CSB!G64</f>
        <v>352460</v>
      </c>
      <c r="H64" s="119">
        <f>CSG!H64+CSB!H64</f>
        <v>2340730</v>
      </c>
      <c r="I64" s="119">
        <f t="shared" si="29"/>
        <v>50187070</v>
      </c>
      <c r="J64" s="130" t="str">
        <f t="shared" si="1"/>
        <v>ok</v>
      </c>
      <c r="K64" s="120">
        <f>Washington!J23</f>
        <v>50187070</v>
      </c>
      <c r="L64" s="176"/>
      <c r="M64" s="119">
        <f>CSG!M64+CSB!M64</f>
        <v>877732</v>
      </c>
      <c r="N64" s="119">
        <f>CSG!N64+CSB!N64</f>
        <v>0</v>
      </c>
      <c r="O64" s="119">
        <f>CSG!O64+CSB!O64</f>
        <v>0</v>
      </c>
      <c r="P64" s="119">
        <f>CSG!P64+CSB!P64</f>
        <v>0</v>
      </c>
      <c r="Q64" s="119">
        <f>CSG!Q64+CSB!Q64</f>
        <v>910200</v>
      </c>
      <c r="R64" s="119">
        <f>CSG!R64+CSB!R64</f>
        <v>1480893</v>
      </c>
      <c r="S64" s="119">
        <f>CSG!S64+CSB!S64</f>
        <v>4425000</v>
      </c>
      <c r="T64" s="119">
        <f>CSG!T64+CSB!T64</f>
        <v>987071</v>
      </c>
      <c r="U64" s="119">
        <f t="shared" si="26"/>
        <v>8680896</v>
      </c>
      <c r="V64" s="122" t="str">
        <f t="shared" si="3"/>
        <v>ok</v>
      </c>
      <c r="W64" s="120">
        <f>Washington!H35</f>
        <v>8680896</v>
      </c>
      <c r="X64" s="121"/>
      <c r="Y64" s="176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</row>
    <row r="65" spans="1:523" ht="15.6">
      <c r="A65" s="57"/>
      <c r="B65" s="3" t="s">
        <v>739</v>
      </c>
      <c r="C65" s="119">
        <f>CSG!C65+CSB!C65</f>
        <v>5380498</v>
      </c>
      <c r="D65" s="119">
        <f>CSG!D65+CSB!D65</f>
        <v>2611059</v>
      </c>
      <c r="E65" s="119">
        <f>CSG!E65+CSB!E65</f>
        <v>5361318</v>
      </c>
      <c r="F65" s="119">
        <f>CSG!F65+CSB!F65</f>
        <v>11531478</v>
      </c>
      <c r="G65" s="119">
        <f>CSG!G65+CSB!G65</f>
        <v>0</v>
      </c>
      <c r="H65" s="119">
        <f>CSG!H65+CSB!H65</f>
        <v>287208</v>
      </c>
      <c r="I65" s="60">
        <f t="shared" si="29"/>
        <v>25171561</v>
      </c>
      <c r="J65" s="130" t="str">
        <f t="shared" si="1"/>
        <v>ok</v>
      </c>
      <c r="K65" s="59">
        <f>Webster!H15</f>
        <v>25171561</v>
      </c>
      <c r="L65" s="177"/>
      <c r="M65" s="119">
        <f>CSG!M65+CSB!M65</f>
        <v>333639</v>
      </c>
      <c r="N65" s="119">
        <f>CSG!N65+CSB!N65</f>
        <v>0</v>
      </c>
      <c r="O65" s="119">
        <f>CSG!O65+CSB!O65</f>
        <v>0</v>
      </c>
      <c r="P65" s="119">
        <f>CSG!P65+CSB!P65</f>
        <v>0</v>
      </c>
      <c r="Q65" s="119">
        <f>CSG!Q65+CSB!Q65</f>
        <v>163911</v>
      </c>
      <c r="R65" s="119">
        <f>CSG!R65+CSB!R65</f>
        <v>641574</v>
      </c>
      <c r="S65" s="119">
        <f>CSG!S65+CSB!S65</f>
        <v>1134777</v>
      </c>
      <c r="T65" s="119">
        <f>CSG!T65+CSB!T65</f>
        <v>57724</v>
      </c>
      <c r="U65" s="60">
        <f t="shared" si="26"/>
        <v>2331625</v>
      </c>
      <c r="V65" s="122" t="str">
        <f t="shared" si="3"/>
        <v>ok</v>
      </c>
      <c r="W65" s="59">
        <f>Webster!H29</f>
        <v>2331625</v>
      </c>
      <c r="X65" s="61"/>
      <c r="Y65" s="177"/>
    </row>
    <row r="66" spans="1:523" s="109" customFormat="1" ht="15.6">
      <c r="A66" s="117"/>
      <c r="B66" s="118" t="s">
        <v>740</v>
      </c>
      <c r="C66" s="119">
        <f>CSG!C66+CSB!C66</f>
        <v>8405674</v>
      </c>
      <c r="D66" s="119">
        <f>CSG!D66+CSB!D66</f>
        <v>16286223</v>
      </c>
      <c r="E66" s="119">
        <f>CSG!E66+CSB!E66</f>
        <v>7543435</v>
      </c>
      <c r="F66" s="119">
        <f>CSG!F66+CSB!F66</f>
        <v>61165063</v>
      </c>
      <c r="G66" s="119">
        <f>CSG!G66+CSB!G66</f>
        <v>1673400</v>
      </c>
      <c r="H66" s="119">
        <f>CSG!H66+CSB!H66</f>
        <v>0</v>
      </c>
      <c r="I66" s="119">
        <f>SUM(C66:H66)</f>
        <v>95073795</v>
      </c>
      <c r="J66" s="130" t="str">
        <f t="shared" si="1"/>
        <v>ok</v>
      </c>
      <c r="K66" s="120">
        <f>'West Baton Rouge'!G18</f>
        <v>95073795</v>
      </c>
      <c r="L66" s="176"/>
      <c r="M66" s="119">
        <f>CSG!M66+CSB!M66</f>
        <v>557345</v>
      </c>
      <c r="N66" s="119">
        <f>CSG!N66+CSB!N66</f>
        <v>0</v>
      </c>
      <c r="O66" s="119">
        <f>CSG!O66+CSB!O66</f>
        <v>0</v>
      </c>
      <c r="P66" s="119">
        <f>CSG!P66+CSB!P66</f>
        <v>0</v>
      </c>
      <c r="Q66" s="119">
        <f>CSG!Q66+CSB!Q66</f>
        <v>0</v>
      </c>
      <c r="R66" s="119">
        <f>CSG!R66+CSB!R66</f>
        <v>582760</v>
      </c>
      <c r="S66" s="119">
        <f>CSG!S66+CSB!S66</f>
        <v>7829726</v>
      </c>
      <c r="T66" s="119">
        <f>CSG!T66+CSB!T66</f>
        <v>0</v>
      </c>
      <c r="U66" s="119">
        <f t="shared" si="26"/>
        <v>8969831</v>
      </c>
      <c r="V66" s="122" t="str">
        <f t="shared" si="3"/>
        <v>ok</v>
      </c>
      <c r="W66" s="120">
        <f>'West Baton Rouge'!G26</f>
        <v>8969831</v>
      </c>
      <c r="X66" s="121"/>
      <c r="Y66" s="176">
        <f>'West Baton Rouge'!G31</f>
        <v>8928823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</row>
    <row r="67" spans="1:523" ht="15.6">
      <c r="A67" s="57"/>
      <c r="B67" s="3" t="s">
        <v>741</v>
      </c>
      <c r="C67" s="119">
        <f>CSG!C67+CSB!C67</f>
        <v>5432216</v>
      </c>
      <c r="D67" s="119">
        <f>CSG!D67+CSB!D67</f>
        <v>0</v>
      </c>
      <c r="E67" s="119">
        <f>CSG!E67+CSB!E67</f>
        <v>1464515</v>
      </c>
      <c r="F67" s="119">
        <f>CSG!F67+CSB!F67</f>
        <v>14017269</v>
      </c>
      <c r="G67" s="119">
        <f>CSG!G67+CSB!G67</f>
        <v>0</v>
      </c>
      <c r="H67" s="119">
        <f>CSG!H67+CSB!H67</f>
        <v>696655</v>
      </c>
      <c r="I67" s="60">
        <f t="shared" ref="I67" si="30">SUM(C67:H67)</f>
        <v>21610655</v>
      </c>
      <c r="J67" s="130" t="str">
        <f t="shared" si="1"/>
        <v>ok</v>
      </c>
      <c r="K67" s="59">
        <f>'West Carroll'!H12</f>
        <v>21610655</v>
      </c>
      <c r="L67" s="177"/>
      <c r="M67" s="119">
        <f>CSG!M67+CSB!M67</f>
        <v>157412</v>
      </c>
      <c r="N67" s="119">
        <f>CSG!N67+CSB!N67</f>
        <v>94228</v>
      </c>
      <c r="O67" s="119">
        <f>CSG!O67+CSB!O67</f>
        <v>0</v>
      </c>
      <c r="P67" s="119">
        <f>CSG!P67+CSB!P67</f>
        <v>0</v>
      </c>
      <c r="Q67" s="119">
        <f>CSG!Q67+CSB!Q67</f>
        <v>0</v>
      </c>
      <c r="R67" s="119">
        <f>CSG!R67+CSB!R67</f>
        <v>14133</v>
      </c>
      <c r="S67" s="119">
        <f>CSG!S67+CSB!S67</f>
        <v>98938</v>
      </c>
      <c r="T67" s="119">
        <f>CSG!T67+CSB!T67</f>
        <v>1915315</v>
      </c>
      <c r="U67" s="60">
        <f t="shared" si="26"/>
        <v>2280026</v>
      </c>
      <c r="V67" s="122" t="str">
        <f t="shared" si="3"/>
        <v>ok</v>
      </c>
      <c r="W67" s="59">
        <f>'West Carroll'!H22</f>
        <v>2280026</v>
      </c>
      <c r="X67" s="61"/>
      <c r="Y67" s="177">
        <f>'West Carroll'!H25</f>
        <v>184752</v>
      </c>
    </row>
    <row r="68" spans="1:523" s="109" customFormat="1" ht="15.6">
      <c r="A68" s="117"/>
      <c r="B68" s="118" t="s">
        <v>742</v>
      </c>
      <c r="C68" s="119">
        <f>CSG!C68+CSB!C68</f>
        <v>1724112</v>
      </c>
      <c r="D68" s="119">
        <f>CSG!D68+CSB!D68</f>
        <v>12859199</v>
      </c>
      <c r="E68" s="119">
        <f>CSG!E68+CSB!E68</f>
        <v>4691921</v>
      </c>
      <c r="F68" s="119">
        <f>CSG!F68+CSB!F68</f>
        <v>26608796</v>
      </c>
      <c r="G68" s="119">
        <f>CSG!G68+CSB!G68</f>
        <v>488651</v>
      </c>
      <c r="H68" s="119">
        <f>CSG!H68+CSB!H68</f>
        <v>96925</v>
      </c>
      <c r="I68" s="119">
        <f>SUM(C68:H68)</f>
        <v>46469604</v>
      </c>
      <c r="J68" s="130" t="str">
        <f t="shared" si="1"/>
        <v>ok</v>
      </c>
      <c r="K68" s="120">
        <f>'West Feliciana'!J23</f>
        <v>46469604</v>
      </c>
      <c r="L68" s="176"/>
      <c r="M68" s="119">
        <f>CSG!M68+CSB!M68</f>
        <v>940021</v>
      </c>
      <c r="N68" s="119">
        <f>CSG!N68+CSB!N68</f>
        <v>0</v>
      </c>
      <c r="O68" s="119">
        <f>CSG!O68+CSB!O68</f>
        <v>0</v>
      </c>
      <c r="P68" s="119">
        <f>CSG!P68+CSB!P68</f>
        <v>0</v>
      </c>
      <c r="Q68" s="119">
        <f>CSG!Q68+CSB!Q68</f>
        <v>0</v>
      </c>
      <c r="R68" s="119">
        <f>CSG!R68+CSB!R68</f>
        <v>328297</v>
      </c>
      <c r="S68" s="119">
        <f>CSG!S68+CSB!S68</f>
        <v>6702297</v>
      </c>
      <c r="T68" s="119">
        <f>CSG!T68+CSB!T68</f>
        <v>1319486</v>
      </c>
      <c r="U68" s="119">
        <f t="shared" si="26"/>
        <v>9290101</v>
      </c>
      <c r="V68" s="122" t="str">
        <f t="shared" si="3"/>
        <v>ok</v>
      </c>
      <c r="W68" s="120">
        <f>'West Feliciana'!J35</f>
        <v>9290101</v>
      </c>
      <c r="X68" s="121"/>
      <c r="Y68" s="176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</row>
    <row r="69" spans="1:523" ht="15.6">
      <c r="A69" s="57"/>
      <c r="B69" s="3" t="s">
        <v>743</v>
      </c>
      <c r="C69" s="119">
        <f>CSG!C69+CSB!C69</f>
        <v>4118802</v>
      </c>
      <c r="D69" s="119">
        <f>CSG!D69+CSB!D69</f>
        <v>0</v>
      </c>
      <c r="E69" s="119">
        <f>CSG!E69+CSB!E69</f>
        <v>2234175</v>
      </c>
      <c r="F69" s="119">
        <f>CSG!F69+CSB!F69</f>
        <v>3598290</v>
      </c>
      <c r="G69" s="119">
        <f>CSG!G69+CSB!G69</f>
        <v>0</v>
      </c>
      <c r="H69" s="119">
        <f>CSG!H69+CSB!H69</f>
        <v>0</v>
      </c>
      <c r="I69" s="60">
        <f>SUM(C69:H69)</f>
        <v>9951267</v>
      </c>
      <c r="J69" s="130" t="str">
        <f t="shared" si="1"/>
        <v>ok</v>
      </c>
      <c r="K69" s="59">
        <f>Winn!H18</f>
        <v>9951267</v>
      </c>
      <c r="L69" s="177"/>
      <c r="M69" s="119">
        <f>CSG!M69+CSB!M69</f>
        <v>125690</v>
      </c>
      <c r="N69" s="119">
        <f>CSG!N69+CSB!N69</f>
        <v>0</v>
      </c>
      <c r="O69" s="119">
        <f>CSG!O69+CSB!O69</f>
        <v>0</v>
      </c>
      <c r="P69" s="119">
        <f>CSG!P69+CSB!P69</f>
        <v>0</v>
      </c>
      <c r="Q69" s="119">
        <f>CSG!Q69+CSB!Q69</f>
        <v>0</v>
      </c>
      <c r="R69" s="119">
        <f>CSG!R69+CSB!R69</f>
        <v>220000</v>
      </c>
      <c r="S69" s="119">
        <f>CSG!S69+CSB!S69</f>
        <v>2010000</v>
      </c>
      <c r="T69" s="119">
        <f>CSG!T69+CSB!T69</f>
        <v>32101</v>
      </c>
      <c r="U69" s="60">
        <f t="shared" si="26"/>
        <v>2387791</v>
      </c>
      <c r="V69" s="122" t="str">
        <f t="shared" si="3"/>
        <v>ok</v>
      </c>
      <c r="W69" s="59">
        <f>Winn!H28</f>
        <v>2387791</v>
      </c>
      <c r="X69" s="61"/>
      <c r="Y69" s="177"/>
    </row>
    <row r="70" spans="1:523" ht="15.6">
      <c r="A70" s="57"/>
      <c r="J70"/>
      <c r="Z70" s="62"/>
    </row>
    <row r="71" spans="1:523" s="3" customFormat="1" ht="15.6">
      <c r="A71" s="63"/>
      <c r="B71" s="64" t="s">
        <v>744</v>
      </c>
      <c r="C71" s="65">
        <f t="shared" ref="C71:H71" si="31">SUM(C8:C8)</f>
        <v>46091237</v>
      </c>
      <c r="D71" s="65">
        <f t="shared" si="31"/>
        <v>97818553</v>
      </c>
      <c r="E71" s="65">
        <f t="shared" si="31"/>
        <v>31963150</v>
      </c>
      <c r="F71" s="65">
        <f t="shared" si="31"/>
        <v>220457798</v>
      </c>
      <c r="G71" s="65">
        <f t="shared" si="31"/>
        <v>5125945</v>
      </c>
      <c r="H71" s="65">
        <f t="shared" si="31"/>
        <v>1164472</v>
      </c>
      <c r="I71" s="76">
        <f>SUM(I6:I69)</f>
        <v>19165870882.450001</v>
      </c>
      <c r="J71" s="77" t="str">
        <f t="shared" ref="J71" si="32">IF(I71=K71, "ok", "check")</f>
        <v>ok</v>
      </c>
      <c r="K71" s="67">
        <f>SUM(K6:K70)</f>
        <v>19165870882.450001</v>
      </c>
      <c r="L71" s="67"/>
      <c r="M71" s="67">
        <f t="shared" ref="M71:T71" si="33">SUM(M8:M8)</f>
        <v>7744502</v>
      </c>
      <c r="N71" s="68">
        <f t="shared" si="33"/>
        <v>0</v>
      </c>
      <c r="O71" s="67">
        <f t="shared" si="33"/>
        <v>235409</v>
      </c>
      <c r="P71" s="67">
        <f t="shared" si="33"/>
        <v>667416</v>
      </c>
      <c r="Q71" s="67">
        <f t="shared" si="33"/>
        <v>838595</v>
      </c>
      <c r="R71" s="67">
        <f t="shared" si="33"/>
        <v>4335000</v>
      </c>
      <c r="S71" s="67">
        <f t="shared" si="33"/>
        <v>80612569</v>
      </c>
      <c r="T71" s="67">
        <f t="shared" si="33"/>
        <v>4561445</v>
      </c>
      <c r="U71" s="67">
        <f>SUM(U6:U69)</f>
        <v>7381108662.8099995</v>
      </c>
      <c r="V71" s="66" t="str">
        <f>IF(U71=W71, "ok", "check")</f>
        <v>ok</v>
      </c>
      <c r="W71" s="67">
        <f>SUM(W6:W70)</f>
        <v>7381108662.8099995</v>
      </c>
      <c r="X71" s="67" t="e">
        <f>SUM(#REF!)</f>
        <v>#REF!</v>
      </c>
      <c r="Y71" s="67"/>
    </row>
    <row r="72" spans="1:523">
      <c r="J72"/>
    </row>
    <row r="73" spans="1:523">
      <c r="J73"/>
    </row>
    <row r="74" spans="1:523">
      <c r="J74"/>
    </row>
    <row r="75" spans="1:523">
      <c r="J75"/>
    </row>
    <row r="76" spans="1:523">
      <c r="J76"/>
    </row>
    <row r="77" spans="1:523">
      <c r="J77"/>
    </row>
    <row r="78" spans="1:523">
      <c r="J78"/>
    </row>
    <row r="79" spans="1:523">
      <c r="J79"/>
    </row>
    <row r="80" spans="1:523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TJ315"/>
  <sheetViews>
    <sheetView topLeftCell="A2" zoomScale="80" zoomScaleNormal="80" zoomScalePageLayoutView="80" workbookViewId="0">
      <selection activeCell="AE31" sqref="AE31:AE34"/>
    </sheetView>
  </sheetViews>
  <sheetFormatPr defaultColWidth="8.85546875" defaultRowHeight="14.45"/>
  <cols>
    <col min="1" max="1" width="12.7109375" bestFit="1" customWidth="1"/>
    <col min="2" max="2" width="23.1406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2" customWidth="1"/>
    <col min="11" max="11" width="16.28515625" bestFit="1" customWidth="1"/>
    <col min="12" max="12" width="17.28515625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28515625" bestFit="1" customWidth="1"/>
    <col min="24" max="24" width="17.28515625" hidden="1" customWidth="1"/>
    <col min="25" max="25" width="17.28515625" customWidth="1"/>
    <col min="26" max="26" width="48" bestFit="1" customWidth="1"/>
    <col min="27" max="27" width="19.28515625" bestFit="1" customWidth="1"/>
    <col min="28" max="28" width="21.7109375" bestFit="1" customWidth="1"/>
    <col min="29" max="29" width="25.140625" bestFit="1" customWidth="1"/>
    <col min="30" max="30" width="39.7109375" bestFit="1" customWidth="1"/>
    <col min="31" max="31" width="11.7109375" bestFit="1" customWidth="1"/>
    <col min="32" max="32" width="17.28515625" customWidth="1"/>
    <col min="33" max="33" width="19.7109375" hidden="1" customWidth="1"/>
  </cols>
  <sheetData>
    <row r="1" spans="1:530" ht="15.95" thickBot="1">
      <c r="A1" s="12" t="s">
        <v>657</v>
      </c>
      <c r="B1" s="12"/>
      <c r="C1" s="13"/>
      <c r="D1" s="13"/>
      <c r="E1" s="13"/>
      <c r="F1" s="13"/>
      <c r="G1" s="13"/>
      <c r="H1" s="13"/>
      <c r="I1" s="13"/>
      <c r="J1" s="73"/>
      <c r="K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4"/>
      <c r="X1" s="15"/>
      <c r="Z1" s="17"/>
      <c r="AA1" s="18"/>
      <c r="AB1" s="18"/>
      <c r="AC1" s="18"/>
      <c r="AD1" s="18"/>
      <c r="AE1" s="18"/>
      <c r="AF1" s="19"/>
      <c r="AG1" s="20"/>
    </row>
    <row r="2" spans="1:530" ht="17.45" thickBot="1">
      <c r="B2" s="21"/>
      <c r="C2" s="22" t="s">
        <v>658</v>
      </c>
      <c r="D2" s="23"/>
      <c r="E2" s="23"/>
      <c r="F2" s="23"/>
      <c r="G2" s="23"/>
      <c r="H2" s="23"/>
      <c r="I2" s="23"/>
      <c r="J2" s="74"/>
      <c r="K2" s="25"/>
      <c r="L2" s="62"/>
      <c r="M2" s="26"/>
      <c r="N2" s="27" t="s">
        <v>659</v>
      </c>
      <c r="O2" s="26"/>
      <c r="P2" s="26"/>
      <c r="Q2" s="26"/>
      <c r="R2" s="26"/>
      <c r="S2" s="28" t="s">
        <v>660</v>
      </c>
      <c r="T2" s="29"/>
      <c r="U2" s="26"/>
      <c r="V2" s="26"/>
      <c r="W2" s="24"/>
      <c r="X2" s="25"/>
      <c r="Y2" s="62"/>
      <c r="Z2" s="30"/>
      <c r="AA2" s="31" t="s">
        <v>745</v>
      </c>
      <c r="AB2" s="17"/>
      <c r="AC2" s="17"/>
      <c r="AD2" s="17"/>
      <c r="AE2" s="17"/>
      <c r="AF2" s="32"/>
      <c r="AG2" s="33"/>
    </row>
    <row r="3" spans="1:530" ht="31.5" thickBot="1">
      <c r="A3" s="209" t="s">
        <v>661</v>
      </c>
      <c r="B3" s="210"/>
      <c r="C3" s="34" t="s">
        <v>7</v>
      </c>
      <c r="D3" s="35" t="s">
        <v>8</v>
      </c>
      <c r="E3" s="36" t="s">
        <v>46</v>
      </c>
      <c r="F3" s="37" t="s">
        <v>662</v>
      </c>
      <c r="G3" s="70" t="s">
        <v>663</v>
      </c>
      <c r="H3" s="38" t="s">
        <v>664</v>
      </c>
      <c r="I3" s="39" t="s">
        <v>665</v>
      </c>
      <c r="J3" s="75" t="s">
        <v>666</v>
      </c>
      <c r="K3" s="41" t="s">
        <v>666</v>
      </c>
      <c r="L3" s="175" t="s">
        <v>667</v>
      </c>
      <c r="M3" s="42" t="s">
        <v>668</v>
      </c>
      <c r="N3" s="43" t="s">
        <v>669</v>
      </c>
      <c r="O3" s="44" t="s">
        <v>670</v>
      </c>
      <c r="P3" s="36" t="s">
        <v>671</v>
      </c>
      <c r="Q3" s="69" t="s">
        <v>672</v>
      </c>
      <c r="R3" s="45" t="s">
        <v>673</v>
      </c>
      <c r="S3" s="46" t="s">
        <v>674</v>
      </c>
      <c r="T3" s="38" t="s">
        <v>675</v>
      </c>
      <c r="U3" s="47" t="s">
        <v>676</v>
      </c>
      <c r="V3" s="40" t="s">
        <v>666</v>
      </c>
      <c r="W3" s="41" t="s">
        <v>666</v>
      </c>
      <c r="X3" s="48"/>
      <c r="Y3" s="174" t="s">
        <v>677</v>
      </c>
      <c r="Z3" s="49" t="s">
        <v>746</v>
      </c>
      <c r="AA3" s="50" t="s">
        <v>747</v>
      </c>
      <c r="AB3" s="51" t="s">
        <v>748</v>
      </c>
      <c r="AC3" s="52" t="s">
        <v>749</v>
      </c>
      <c r="AD3" s="53" t="s">
        <v>750</v>
      </c>
      <c r="AE3" s="40" t="s">
        <v>666</v>
      </c>
      <c r="AF3" s="41" t="s">
        <v>666</v>
      </c>
    </row>
    <row r="4" spans="1:530" ht="15.95" thickBot="1">
      <c r="A4" s="211" t="s">
        <v>678</v>
      </c>
      <c r="B4" s="212"/>
      <c r="J4" s="54"/>
      <c r="K4" s="55"/>
      <c r="L4" s="56"/>
      <c r="V4" s="54"/>
      <c r="W4" s="55"/>
      <c r="X4" s="56" t="s">
        <v>679</v>
      </c>
      <c r="Y4" s="56"/>
      <c r="AE4" s="54"/>
      <c r="AF4" s="55"/>
    </row>
    <row r="5" spans="1:530" ht="15.6">
      <c r="A5" s="57"/>
      <c r="B5" s="58" t="s">
        <v>680</v>
      </c>
      <c r="J5" s="54"/>
      <c r="K5" s="55"/>
      <c r="L5" s="56"/>
      <c r="V5" s="54"/>
      <c r="W5" s="55"/>
      <c r="X5" s="56"/>
      <c r="Y5" s="178"/>
      <c r="AE5" s="54"/>
      <c r="AF5" s="55"/>
    </row>
    <row r="6" spans="1:530" s="109" customFormat="1" ht="15.6">
      <c r="A6" s="117"/>
      <c r="B6" s="118" t="s">
        <v>681</v>
      </c>
      <c r="C6" s="119">
        <f>Acadia!H8</f>
        <v>6387055</v>
      </c>
      <c r="D6" s="119">
        <f>Acadia!H9</f>
        <v>7359136</v>
      </c>
      <c r="E6" s="119">
        <f>Acadia!H10+Acadia!H11+Acadia!H12</f>
        <v>520283</v>
      </c>
      <c r="F6" s="119">
        <f>Acadia!H16+Acadia!H17</f>
        <v>54470286</v>
      </c>
      <c r="G6" s="119">
        <f>Acadia!H13+Acadia!H14</f>
        <v>6707822</v>
      </c>
      <c r="H6" s="119">
        <v>0</v>
      </c>
      <c r="I6" s="119">
        <f t="shared" ref="I6:I7" si="0">SUM(C6:H6)</f>
        <v>75444582</v>
      </c>
      <c r="J6" s="130" t="str">
        <f t="shared" ref="J6:J68" si="1">IF(I6=K6, "ok", "check")</f>
        <v>ok</v>
      </c>
      <c r="K6" s="120">
        <f>Acadia!H19</f>
        <v>75444582</v>
      </c>
      <c r="L6" s="176">
        <f>Acadia!H22</f>
        <v>40499</v>
      </c>
      <c r="M6" s="119">
        <f>Acadia!H25+Acadia!H26+Acadia!H27+Acadia!H29</f>
        <v>1235703</v>
      </c>
      <c r="N6" s="119">
        <f>Acadia!H34+Acadia!H37</f>
        <v>371210</v>
      </c>
      <c r="O6" s="119">
        <f>Acadia!H33</f>
        <v>1531435</v>
      </c>
      <c r="P6" s="119">
        <f>Acadia!H36</f>
        <v>12775783</v>
      </c>
      <c r="Q6" s="119"/>
      <c r="R6" s="119">
        <v>0</v>
      </c>
      <c r="S6" s="119">
        <f>Iberville!H30</f>
        <v>0</v>
      </c>
      <c r="T6" s="119">
        <f>Acadia!H28+Acadia!H38</f>
        <v>6919970</v>
      </c>
      <c r="U6" s="119">
        <f t="shared" ref="U6:U7" si="2">SUM(M6:T6)</f>
        <v>22834101</v>
      </c>
      <c r="V6" s="122" t="str">
        <f t="shared" ref="V6:V20" si="3">IF(U6=W6, "ok", "check")</f>
        <v>ok</v>
      </c>
      <c r="W6" s="120">
        <f>Acadia!H40</f>
        <v>22834101</v>
      </c>
      <c r="X6" s="121"/>
      <c r="Y6" s="176">
        <f>Acadia!H43</f>
        <v>29556</v>
      </c>
      <c r="Z6" s="119">
        <f>Acadia!H46</f>
        <v>40203566</v>
      </c>
      <c r="AA6" s="119">
        <f>Acadia!H48+Acadia!H49+Acadia!H50</f>
        <v>7925597</v>
      </c>
      <c r="AB6" s="119">
        <f>Acadia!H51</f>
        <v>4492261</v>
      </c>
      <c r="AC6" s="119">
        <f>SUM(Z6:AB6)</f>
        <v>52621424</v>
      </c>
      <c r="AD6" s="119">
        <f>SUM(AC6,U6+Y6)</f>
        <v>75485081</v>
      </c>
      <c r="AE6" s="122" t="str">
        <f t="shared" ref="AE6:AE20" si="4">IF(AD6=AF6, "ok", "check")</f>
        <v>ok</v>
      </c>
      <c r="AF6" s="120">
        <f>Acadia!H55</f>
        <v>75485081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</row>
    <row r="7" spans="1:530" ht="15.6">
      <c r="A7" s="57"/>
      <c r="B7" s="3" t="s">
        <v>682</v>
      </c>
      <c r="C7" s="60">
        <f>Allen!G6</f>
        <v>4518521</v>
      </c>
      <c r="D7" s="60">
        <v>0</v>
      </c>
      <c r="E7" s="60">
        <f>Allen!G7</f>
        <v>2958638</v>
      </c>
      <c r="F7" s="60">
        <f>Allen!G11</f>
        <v>24665755</v>
      </c>
      <c r="G7" s="60">
        <f>Allen!G8</f>
        <v>549380</v>
      </c>
      <c r="H7" s="60">
        <f>Allen!G9+Allen!G10</f>
        <v>29719</v>
      </c>
      <c r="I7" s="60">
        <f t="shared" si="0"/>
        <v>32722013</v>
      </c>
      <c r="J7" s="130" t="str">
        <f t="shared" si="1"/>
        <v>ok</v>
      </c>
      <c r="K7" s="59">
        <f>Allen!G13</f>
        <v>32722013</v>
      </c>
      <c r="L7" s="177"/>
      <c r="M7" s="60">
        <f>Allen!G16+Allen!G17</f>
        <v>487946</v>
      </c>
      <c r="N7" s="60">
        <f>Allen!G20</f>
        <v>37649</v>
      </c>
      <c r="O7" s="60">
        <f>Allen!G19</f>
        <v>33000</v>
      </c>
      <c r="P7" s="60">
        <f>Allen!G22</f>
        <v>155000</v>
      </c>
      <c r="Q7" s="60">
        <v>0</v>
      </c>
      <c r="R7" s="60">
        <v>0</v>
      </c>
      <c r="S7" s="60">
        <f>Allen!G21</f>
        <v>989571</v>
      </c>
      <c r="T7" s="60">
        <f>Allen!G18</f>
        <v>134467</v>
      </c>
      <c r="U7" s="60">
        <f t="shared" si="2"/>
        <v>1837633</v>
      </c>
      <c r="V7" s="122" t="str">
        <f t="shared" si="3"/>
        <v>ok</v>
      </c>
      <c r="W7" s="59">
        <f>Allen!G24</f>
        <v>1837633</v>
      </c>
      <c r="X7" s="61"/>
      <c r="Y7" s="177"/>
      <c r="Z7" s="60">
        <f>Allen!G27</f>
        <v>24477755</v>
      </c>
      <c r="AA7" s="60">
        <f>Allen!G29+Allen!G30+Allen!G31+Allen!G32+Allen!G33+Allen!G34+Allen!G35+Allen!G36+Allen!G37</f>
        <v>6413828</v>
      </c>
      <c r="AB7" s="60">
        <f>Allen!G38</f>
        <v>-7203</v>
      </c>
      <c r="AC7" s="60">
        <f t="shared" ref="AC7" si="5">SUM(Z7:AB7)</f>
        <v>30884380</v>
      </c>
      <c r="AD7" s="60">
        <f t="shared" ref="AD7:AD69" si="6">SUM(AC7,U7+Y7)</f>
        <v>32722013</v>
      </c>
      <c r="AE7" s="122" t="str">
        <f t="shared" si="4"/>
        <v>ok</v>
      </c>
      <c r="AF7" s="59">
        <f>Allen!G42</f>
        <v>32722013</v>
      </c>
    </row>
    <row r="8" spans="1:530" s="109" customFormat="1" ht="15.6">
      <c r="A8" s="117"/>
      <c r="B8" s="118" t="s">
        <v>683</v>
      </c>
      <c r="C8" s="119">
        <f>Ascension!I8</f>
        <v>42404828</v>
      </c>
      <c r="D8" s="119">
        <f>Ascension!I9</f>
        <v>93691087</v>
      </c>
      <c r="E8" s="119">
        <f>Ascension!I10</f>
        <v>31751994</v>
      </c>
      <c r="F8" s="119">
        <f>Ascension!I18+Ascension!I19</f>
        <v>209564510</v>
      </c>
      <c r="G8" s="119">
        <f>Ascension!I11</f>
        <v>5021470</v>
      </c>
      <c r="H8" s="119">
        <f>Ascension!I12+Ascension!I13+Ascension!I16</f>
        <v>1105585</v>
      </c>
      <c r="I8" s="119">
        <f t="shared" ref="I8:I15" si="7">SUM(C8:H8)</f>
        <v>383539474</v>
      </c>
      <c r="J8" s="130" t="str">
        <f t="shared" si="1"/>
        <v>ok</v>
      </c>
      <c r="K8" s="120">
        <f>Ascension!I21</f>
        <v>383539474</v>
      </c>
      <c r="L8" s="176">
        <f>Ascension!I24</f>
        <v>294404</v>
      </c>
      <c r="M8" s="119">
        <f>Ascension!I29+Ascension!I30</f>
        <v>7178944</v>
      </c>
      <c r="N8" s="119"/>
      <c r="O8" s="119">
        <f>Ascension!I36</f>
        <v>235409</v>
      </c>
      <c r="P8" s="119">
        <f>Ascension!I37</f>
        <v>667416</v>
      </c>
      <c r="Q8" s="119">
        <f>Ascension!I31+Ascension!I32</f>
        <v>810375</v>
      </c>
      <c r="R8" s="119">
        <f>Ascension!I39</f>
        <v>4335000</v>
      </c>
      <c r="S8" s="119">
        <f>Ascension!I40</f>
        <v>80612569</v>
      </c>
      <c r="T8" s="119">
        <f>Ascension!I34</f>
        <v>4524981</v>
      </c>
      <c r="U8" s="119">
        <f t="shared" ref="U8:U15" si="8">SUM(M8:T8)</f>
        <v>98364694</v>
      </c>
      <c r="V8" s="122" t="str">
        <f t="shared" si="3"/>
        <v>ok</v>
      </c>
      <c r="W8" s="120">
        <f>Ascension!I42</f>
        <v>98364694</v>
      </c>
      <c r="X8" s="121"/>
      <c r="Y8" s="176">
        <f>Ascension!I45</f>
        <v>629856</v>
      </c>
      <c r="Z8" s="119">
        <f>Ascension!I51</f>
        <v>127427898</v>
      </c>
      <c r="AA8" s="119">
        <f>Ascension!I53+Ascension!I54+Ascension!I55</f>
        <v>135228122</v>
      </c>
      <c r="AB8" s="119">
        <f>Ascension!I57</f>
        <v>22183308</v>
      </c>
      <c r="AC8" s="119">
        <f t="shared" ref="AC8:AC15" si="9">SUM(Z8:AB8)</f>
        <v>284839328</v>
      </c>
      <c r="AD8" s="119">
        <f t="shared" si="6"/>
        <v>383833878</v>
      </c>
      <c r="AE8" s="122" t="str">
        <f t="shared" si="4"/>
        <v>ok</v>
      </c>
      <c r="AF8" s="120">
        <f>Ascension!I61</f>
        <v>383833878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</row>
    <row r="9" spans="1:530" ht="15.6">
      <c r="A9" s="57"/>
      <c r="B9" s="3" t="s">
        <v>684</v>
      </c>
      <c r="C9" s="60">
        <f>Assumption!H7</f>
        <v>3793804</v>
      </c>
      <c r="D9" s="60">
        <f>Assumption!H8</f>
        <v>13855799</v>
      </c>
      <c r="E9" s="60">
        <f>Assumption!H9</f>
        <v>5121670</v>
      </c>
      <c r="F9" s="60">
        <f>Assumption!H11</f>
        <v>43733131</v>
      </c>
      <c r="G9" s="60"/>
      <c r="H9" s="60">
        <f>Assumption!H10</f>
        <v>27165</v>
      </c>
      <c r="I9" s="60">
        <f t="shared" si="7"/>
        <v>66531569</v>
      </c>
      <c r="J9" s="130" t="str">
        <f t="shared" si="1"/>
        <v>ok</v>
      </c>
      <c r="K9" s="59">
        <f>Assumption!H13</f>
        <v>66531569</v>
      </c>
      <c r="L9" s="177"/>
      <c r="M9" s="60">
        <f>Assumption!H16+Assumption!H17+Assumption!H19</f>
        <v>1477018</v>
      </c>
      <c r="N9" s="60"/>
      <c r="O9" s="60"/>
      <c r="P9" s="60"/>
      <c r="Q9" s="60"/>
      <c r="R9" s="60">
        <f>Assumption!H22</f>
        <v>0</v>
      </c>
      <c r="S9" s="60"/>
      <c r="T9" s="60">
        <f>Assumption!H18+Assumption!H20</f>
        <v>456599</v>
      </c>
      <c r="U9" s="60">
        <f t="shared" si="8"/>
        <v>1933617</v>
      </c>
      <c r="V9" s="122" t="str">
        <f t="shared" si="3"/>
        <v>ok</v>
      </c>
      <c r="W9" s="59">
        <f>Assumption!H25</f>
        <v>1933617</v>
      </c>
      <c r="X9" s="61"/>
      <c r="Y9" s="177"/>
      <c r="Z9" s="60">
        <f>Assumption!H28</f>
        <v>43733131</v>
      </c>
      <c r="AA9" s="60">
        <v>0</v>
      </c>
      <c r="AB9" s="60">
        <f>Assumption!H29</f>
        <v>20864821</v>
      </c>
      <c r="AC9" s="60">
        <f t="shared" si="9"/>
        <v>64597952</v>
      </c>
      <c r="AD9" s="60">
        <f t="shared" si="6"/>
        <v>66531569</v>
      </c>
      <c r="AE9" s="122" t="str">
        <f t="shared" si="4"/>
        <v>ok</v>
      </c>
      <c r="AF9" s="59">
        <f>Assumption!H33</f>
        <v>66531569</v>
      </c>
    </row>
    <row r="10" spans="1:530" s="109" customFormat="1" ht="15.6">
      <c r="A10" s="117"/>
      <c r="B10" s="118" t="s">
        <v>685</v>
      </c>
      <c r="C10" s="119">
        <f>Avoyelles!H7</f>
        <v>7808079</v>
      </c>
      <c r="D10" s="119">
        <f>Jefferson!H7</f>
        <v>0</v>
      </c>
      <c r="E10" s="119">
        <f>Avoyelles!H8</f>
        <v>2186064</v>
      </c>
      <c r="F10" s="119">
        <f>Avoyelles!H16</f>
        <v>3564386</v>
      </c>
      <c r="G10" s="119">
        <f>Avoyelles!H9</f>
        <v>454661</v>
      </c>
      <c r="H10" s="119">
        <f>Avoyelles!H10+Avoyelles!H15</f>
        <v>1772656</v>
      </c>
      <c r="I10" s="119">
        <f t="shared" si="7"/>
        <v>15785846</v>
      </c>
      <c r="J10" s="130" t="str">
        <f t="shared" si="1"/>
        <v>ok</v>
      </c>
      <c r="K10" s="120">
        <f>Avoyelles!H20</f>
        <v>15785846</v>
      </c>
      <c r="L10" s="176"/>
      <c r="M10" s="119">
        <f>Avoyelles!H24</f>
        <v>588143</v>
      </c>
      <c r="N10" s="119">
        <f>Avoyelles!H27+Avoyelles!H32</f>
        <v>98082</v>
      </c>
      <c r="O10" s="119">
        <v>0</v>
      </c>
      <c r="P10" s="119">
        <v>0</v>
      </c>
      <c r="Q10" s="119">
        <f>Avoyelles!H26</f>
        <v>37903</v>
      </c>
      <c r="R10" s="119">
        <v>0</v>
      </c>
      <c r="S10" s="119">
        <f>Jefferson!H66</f>
        <v>0</v>
      </c>
      <c r="T10" s="119">
        <f>Avoyelles!H25</f>
        <v>36260</v>
      </c>
      <c r="U10" s="119">
        <f t="shared" si="8"/>
        <v>760388</v>
      </c>
      <c r="V10" s="122" t="str">
        <f t="shared" si="3"/>
        <v>ok</v>
      </c>
      <c r="W10" s="120">
        <f>Avoyelles!H36</f>
        <v>760388</v>
      </c>
      <c r="X10" s="121"/>
      <c r="Y10" s="176"/>
      <c r="Z10" s="119">
        <f>Avoyelles!H39</f>
        <v>5232242</v>
      </c>
      <c r="AA10" s="119">
        <v>0</v>
      </c>
      <c r="AB10" s="119">
        <f>Avoyelles!H40</f>
        <v>9793216</v>
      </c>
      <c r="AC10" s="119">
        <f t="shared" si="9"/>
        <v>15025458</v>
      </c>
      <c r="AD10" s="119">
        <f t="shared" si="6"/>
        <v>15785846</v>
      </c>
      <c r="AE10" s="122" t="str">
        <f t="shared" si="4"/>
        <v>ok</v>
      </c>
      <c r="AF10" s="120">
        <f>Avoyelles!H44</f>
        <v>15785846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</row>
    <row r="11" spans="1:530" ht="15.6">
      <c r="A11" s="57"/>
      <c r="B11" s="3" t="s">
        <v>686</v>
      </c>
      <c r="C11" s="60">
        <f>Beauregard!G6</f>
        <v>14858366</v>
      </c>
      <c r="D11" s="60">
        <v>0</v>
      </c>
      <c r="E11" s="60">
        <f>Beauregard!G7</f>
        <v>6484761</v>
      </c>
      <c r="F11" s="60">
        <f>Beauregard!G10+Beauregard!G11+Beauregard!G12+Beauregard!G13+Beauregard!G14</f>
        <v>31507158</v>
      </c>
      <c r="G11" s="60">
        <f>Allen!G12</f>
        <v>0</v>
      </c>
      <c r="H11" s="60">
        <f>Beauregard!G8</f>
        <v>313803</v>
      </c>
      <c r="I11" s="60">
        <f t="shared" si="7"/>
        <v>53164088</v>
      </c>
      <c r="J11" s="130" t="str">
        <f t="shared" si="1"/>
        <v>ok</v>
      </c>
      <c r="K11" s="59">
        <f>Beauregard!G16</f>
        <v>53164088</v>
      </c>
      <c r="L11" s="177"/>
      <c r="M11" s="60">
        <f>Beauregard!G19+Beauregard!G20</f>
        <v>874849</v>
      </c>
      <c r="N11" s="60">
        <v>0</v>
      </c>
      <c r="O11" s="60">
        <f>Allen!G23</f>
        <v>0</v>
      </c>
      <c r="P11" s="60">
        <f>Allen!G26</f>
        <v>0</v>
      </c>
      <c r="Q11" s="60">
        <v>0</v>
      </c>
      <c r="R11" s="60">
        <f>Beauregard!G22</f>
        <v>1760644</v>
      </c>
      <c r="S11" s="60">
        <f>Beauregard!G23</f>
        <v>2722875</v>
      </c>
      <c r="T11" s="60">
        <v>0</v>
      </c>
      <c r="U11" s="60">
        <f t="shared" si="8"/>
        <v>5358368</v>
      </c>
      <c r="V11" s="122" t="str">
        <f t="shared" si="3"/>
        <v>ok</v>
      </c>
      <c r="W11" s="59">
        <f>Beauregard!G25</f>
        <v>5358368</v>
      </c>
      <c r="X11" s="61"/>
      <c r="Y11" s="177"/>
      <c r="Z11" s="60">
        <f>Beauregard!G28</f>
        <v>27191700</v>
      </c>
      <c r="AA11" s="60">
        <f>Beauregard!G30+Beauregard!G31+Beauregard!G32+Beauregard!G33+Beauregard!G34+Beauregard!G35+Beauregard!G36+Beauregard!G37+Beauregard!G38+Beauregard!G39</f>
        <v>16765653</v>
      </c>
      <c r="AB11" s="60">
        <f>Beauregard!G40</f>
        <v>3848367</v>
      </c>
      <c r="AC11" s="60">
        <f t="shared" si="9"/>
        <v>47805720</v>
      </c>
      <c r="AD11" s="60">
        <f t="shared" si="6"/>
        <v>53164088</v>
      </c>
      <c r="AE11" s="122" t="str">
        <f t="shared" si="4"/>
        <v>ok</v>
      </c>
      <c r="AF11" s="59">
        <f>Beauregard!G44</f>
        <v>53164088</v>
      </c>
    </row>
    <row r="12" spans="1:530" s="109" customFormat="1" ht="15.6">
      <c r="A12" s="117"/>
      <c r="B12" s="118" t="s">
        <v>687</v>
      </c>
      <c r="C12" s="119">
        <f>Bienville!G6</f>
        <v>17224341</v>
      </c>
      <c r="D12" s="119">
        <v>0</v>
      </c>
      <c r="E12" s="119">
        <f>Bienville!G7</f>
        <v>5448406</v>
      </c>
      <c r="F12" s="119">
        <f>Bienville!G8</f>
        <v>22814176</v>
      </c>
      <c r="G12" s="119">
        <v>0</v>
      </c>
      <c r="H12" s="119">
        <v>0</v>
      </c>
      <c r="I12" s="119">
        <f t="shared" si="7"/>
        <v>45486923</v>
      </c>
      <c r="J12" s="130" t="str">
        <f t="shared" si="1"/>
        <v>ok</v>
      </c>
      <c r="K12" s="120">
        <f>Bienville!G10</f>
        <v>45486923</v>
      </c>
      <c r="L12" s="176"/>
      <c r="M12" s="119">
        <f>Bienville!G13+Bienville!G14+Bienville!G15</f>
        <v>413411</v>
      </c>
      <c r="N12" s="119">
        <f>Bienville!G19</f>
        <v>81369</v>
      </c>
      <c r="O12" s="119">
        <f>Bienville!G16</f>
        <v>10820000</v>
      </c>
      <c r="P12" s="119">
        <v>0</v>
      </c>
      <c r="Q12" s="119">
        <v>0</v>
      </c>
      <c r="R12" s="119">
        <v>0</v>
      </c>
      <c r="S12" s="119">
        <v>0</v>
      </c>
      <c r="T12" s="119">
        <f>Bienville!G17+Bienville!G18+Bienville!G20</f>
        <v>1596929</v>
      </c>
      <c r="U12" s="119">
        <f t="shared" si="8"/>
        <v>12911709</v>
      </c>
      <c r="V12" s="122" t="str">
        <f t="shared" si="3"/>
        <v>ok</v>
      </c>
      <c r="W12" s="120">
        <f>Bienville!G22</f>
        <v>12911709</v>
      </c>
      <c r="X12" s="121"/>
      <c r="Y12" s="176"/>
      <c r="Z12" s="119">
        <f>Bienville!G25</f>
        <v>11994176</v>
      </c>
      <c r="AA12" s="119">
        <v>0</v>
      </c>
      <c r="AB12" s="119">
        <f>Bienville!G26</f>
        <v>20581038</v>
      </c>
      <c r="AC12" s="119">
        <f t="shared" si="9"/>
        <v>32575214</v>
      </c>
      <c r="AD12" s="119">
        <f t="shared" si="6"/>
        <v>45486923</v>
      </c>
      <c r="AE12" s="122" t="str">
        <f t="shared" si="4"/>
        <v>ok</v>
      </c>
      <c r="AF12" s="120">
        <f>Bienville!G30</f>
        <v>45486923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</row>
    <row r="13" spans="1:530" ht="15.6">
      <c r="A13" s="57"/>
      <c r="B13" s="3" t="s">
        <v>688</v>
      </c>
      <c r="C13" s="60">
        <f>Bossier!H8+Bossier!H9</f>
        <v>41841700</v>
      </c>
      <c r="D13" s="60">
        <f>Jefferson!H7</f>
        <v>0</v>
      </c>
      <c r="E13" s="60">
        <f>Bossier!H10</f>
        <v>17839886</v>
      </c>
      <c r="F13" s="60">
        <f>Bossier!H13+Bossier!H14</f>
        <v>281303467</v>
      </c>
      <c r="G13" s="60">
        <v>0</v>
      </c>
      <c r="H13" s="60">
        <f>Bossier!H11+Bossier!H15</f>
        <v>9149627</v>
      </c>
      <c r="I13" s="60">
        <f t="shared" si="7"/>
        <v>350134680</v>
      </c>
      <c r="J13" s="130" t="str">
        <f t="shared" si="1"/>
        <v>ok</v>
      </c>
      <c r="K13" s="59">
        <f>Bossier!H17</f>
        <v>350134680</v>
      </c>
      <c r="L13" s="177"/>
      <c r="M13" s="60">
        <f>Bossier!H21</f>
        <v>3002767</v>
      </c>
      <c r="N13" s="60">
        <v>0</v>
      </c>
      <c r="O13" s="60">
        <v>0</v>
      </c>
      <c r="P13" s="60">
        <v>0</v>
      </c>
      <c r="Q13" s="60">
        <v>0</v>
      </c>
      <c r="R13" s="60">
        <f>Bossier!H28</f>
        <v>4678377</v>
      </c>
      <c r="S13" s="60">
        <f>Bossier!H29</f>
        <v>60341208</v>
      </c>
      <c r="T13" s="60">
        <v>0</v>
      </c>
      <c r="U13" s="60">
        <f t="shared" si="8"/>
        <v>68022352</v>
      </c>
      <c r="V13" s="122" t="str">
        <f t="shared" si="3"/>
        <v>ok</v>
      </c>
      <c r="W13" s="59">
        <f>Bossier!H33</f>
        <v>68022352</v>
      </c>
      <c r="X13" s="61"/>
      <c r="Y13" s="177"/>
      <c r="Z13" s="60">
        <f>Bossier!H36</f>
        <v>226860112</v>
      </c>
      <c r="AA13" s="60">
        <f>Bossier!H38+Bossier!H39+Bossier!H40+Bossier!H41+Bossier!H42+Bossier!H43+Bossier!H44+Bossier!H45</f>
        <v>31663716</v>
      </c>
      <c r="AB13" s="60">
        <f>Bossier!H46</f>
        <v>23588500</v>
      </c>
      <c r="AC13" s="60">
        <f t="shared" si="9"/>
        <v>282112328</v>
      </c>
      <c r="AD13" s="60">
        <f t="shared" si="6"/>
        <v>350134680</v>
      </c>
      <c r="AE13" s="122" t="str">
        <f t="shared" si="4"/>
        <v>ok</v>
      </c>
      <c r="AF13" s="59">
        <f>Bossier!H50</f>
        <v>350134680</v>
      </c>
    </row>
    <row r="14" spans="1:530" s="109" customFormat="1">
      <c r="B14" s="118" t="s">
        <v>689</v>
      </c>
      <c r="C14" s="119">
        <f>Caddo!H7</f>
        <v>16689898</v>
      </c>
      <c r="D14" s="119">
        <f>Caddo!H8</f>
        <v>117520729</v>
      </c>
      <c r="E14" s="119">
        <f>Caddo!H9</f>
        <v>57370497</v>
      </c>
      <c r="F14" s="119">
        <f>Caddo!H15+Caddo!H16</f>
        <v>210268925</v>
      </c>
      <c r="G14" s="119">
        <f>Caddo!H10</f>
        <v>2164467</v>
      </c>
      <c r="H14" s="119">
        <f>Caddo!H12+Caddo!H13</f>
        <v>194590</v>
      </c>
      <c r="I14" s="119">
        <f t="shared" si="7"/>
        <v>404209106</v>
      </c>
      <c r="J14" s="130" t="str">
        <f t="shared" si="1"/>
        <v>ok</v>
      </c>
      <c r="K14" s="120">
        <f>Caddo!H18</f>
        <v>404209106</v>
      </c>
      <c r="L14" s="176"/>
      <c r="M14" s="119">
        <f>Caddo!H26+Caddo!H27+Caddo!H28+Caddo!H29+Caddo!H30</f>
        <v>5714023</v>
      </c>
      <c r="N14" s="119">
        <v>0</v>
      </c>
      <c r="O14" s="119">
        <v>0</v>
      </c>
      <c r="P14" s="119">
        <v>0</v>
      </c>
      <c r="Q14" s="119">
        <f>Caddo!H31+Caddo!H32</f>
        <v>1414351</v>
      </c>
      <c r="R14" s="119">
        <f>Caddo!H35</f>
        <v>2989243</v>
      </c>
      <c r="S14" s="119">
        <f>Caddo!H36</f>
        <v>40233745</v>
      </c>
      <c r="T14" s="119">
        <f>Caddo!H33</f>
        <v>82995</v>
      </c>
      <c r="U14" s="119">
        <f t="shared" si="8"/>
        <v>50434357</v>
      </c>
      <c r="V14" s="122" t="str">
        <f t="shared" si="3"/>
        <v>ok</v>
      </c>
      <c r="W14" s="120">
        <f>Caddo!H38</f>
        <v>50434357</v>
      </c>
      <c r="X14" s="121"/>
      <c r="Y14" s="176"/>
      <c r="Z14" s="119">
        <f>Caddo!H41</f>
        <v>180201711</v>
      </c>
      <c r="AA14" s="119">
        <f>Caddo!H43+Caddo!H44+Caddo!H45+Caddo!H46+Caddo!H47+Caddo!H48+Caddo!H49+Caddo!H50</f>
        <v>106597767</v>
      </c>
      <c r="AB14" s="119">
        <f>Caddo!H52</f>
        <v>66975271</v>
      </c>
      <c r="AC14" s="119">
        <f t="shared" si="9"/>
        <v>353774749</v>
      </c>
      <c r="AD14" s="119">
        <f t="shared" si="6"/>
        <v>404209106</v>
      </c>
      <c r="AE14" s="122" t="str">
        <f t="shared" si="4"/>
        <v>ok</v>
      </c>
      <c r="AF14" s="120">
        <f>Caddo!H56</f>
        <v>404209106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</row>
    <row r="15" spans="1:530" ht="15.6">
      <c r="A15" s="57"/>
      <c r="B15" s="3" t="s">
        <v>690</v>
      </c>
      <c r="C15" s="60">
        <f>Calcasieu!H8</f>
        <v>61403447</v>
      </c>
      <c r="D15" s="60">
        <f>Calcasieu!H9</f>
        <v>193319389</v>
      </c>
      <c r="E15" s="60">
        <f>Calcasieu!H10+Calcasieu!H11+Calcasieu!H15</f>
        <v>60123732</v>
      </c>
      <c r="F15" s="60">
        <f>Calcasieu!H24+Calcasieu!H25</f>
        <v>510443445</v>
      </c>
      <c r="G15" s="60">
        <f>Calcasieu!H13</f>
        <v>222898</v>
      </c>
      <c r="H15" s="60">
        <f>Calcasieu!H12+Calcasieu!H16+Calcasieu!H17</f>
        <v>1356842</v>
      </c>
      <c r="I15" s="60">
        <f t="shared" si="7"/>
        <v>826869753</v>
      </c>
      <c r="J15" s="130" t="str">
        <f t="shared" si="1"/>
        <v>ok</v>
      </c>
      <c r="K15" s="59">
        <f>Calcasieu!H27</f>
        <v>826869753</v>
      </c>
      <c r="L15" s="177"/>
      <c r="M15" s="60">
        <f>Calcasieu!H33+Calcasieu!H34</f>
        <v>11888401</v>
      </c>
      <c r="N15" s="60">
        <v>0</v>
      </c>
      <c r="O15" s="60">
        <v>0</v>
      </c>
      <c r="P15" s="60">
        <v>0</v>
      </c>
      <c r="Q15" s="60">
        <f>Calcasieu!H36</f>
        <v>458224</v>
      </c>
      <c r="R15" s="60">
        <f>Calcasieu!H41</f>
        <v>2847845</v>
      </c>
      <c r="S15" s="60">
        <f>Calcasieu!H42</f>
        <v>6582203</v>
      </c>
      <c r="T15" s="60">
        <f>Calcasieu!H37+Calcasieu!H39</f>
        <v>1634115</v>
      </c>
      <c r="U15" s="60">
        <f t="shared" si="8"/>
        <v>23410788</v>
      </c>
      <c r="V15" s="122" t="str">
        <f t="shared" si="3"/>
        <v>ok</v>
      </c>
      <c r="W15" s="59">
        <f>Calcasieu!H44</f>
        <v>23410788</v>
      </c>
      <c r="X15" s="61"/>
      <c r="Y15" s="177">
        <f>Calcasieu!H47</f>
        <v>47202105</v>
      </c>
      <c r="Z15" s="60">
        <f>Calcasieu!H50</f>
        <v>510443445</v>
      </c>
      <c r="AA15" s="60">
        <f>Calcasieu!H53+Calcasieu!H54</f>
        <v>166290843</v>
      </c>
      <c r="AB15" s="60">
        <f>Calcasieu!H55</f>
        <v>79522572</v>
      </c>
      <c r="AC15" s="60">
        <f t="shared" si="9"/>
        <v>756256860</v>
      </c>
      <c r="AD15" s="60">
        <f t="shared" si="6"/>
        <v>826869753</v>
      </c>
      <c r="AE15" s="122" t="str">
        <f t="shared" si="4"/>
        <v>ok</v>
      </c>
      <c r="AF15" s="59">
        <f>Calcasieu!H59</f>
        <v>826869753</v>
      </c>
    </row>
    <row r="16" spans="1:530" s="109" customFormat="1">
      <c r="B16" s="118" t="s">
        <v>691</v>
      </c>
      <c r="C16" s="119">
        <f>Caldwell!G6</f>
        <v>6482087</v>
      </c>
      <c r="D16" s="119">
        <v>0</v>
      </c>
      <c r="E16" s="119">
        <f>Caldwell!G7</f>
        <v>1978585</v>
      </c>
      <c r="F16" s="119">
        <f>Caldwell!G8</f>
        <v>11719166</v>
      </c>
      <c r="G16" s="119">
        <v>0</v>
      </c>
      <c r="H16" s="119">
        <v>0</v>
      </c>
      <c r="I16" s="119">
        <f t="shared" ref="I16:I21" si="10">SUM(C16:H16)</f>
        <v>20179838</v>
      </c>
      <c r="J16" s="130" t="str">
        <f t="shared" si="1"/>
        <v>ok</v>
      </c>
      <c r="K16" s="120">
        <f>Caldwell!G10</f>
        <v>20179838</v>
      </c>
      <c r="L16" s="176"/>
      <c r="M16" s="119">
        <f>Caldwell!G13</f>
        <v>152562</v>
      </c>
      <c r="N16" s="119">
        <f>Caldwell!G15</f>
        <v>119478</v>
      </c>
      <c r="O16" s="119">
        <v>0</v>
      </c>
      <c r="P16" s="119">
        <v>0</v>
      </c>
      <c r="Q16" s="119">
        <f>Caldwell!G14</f>
        <v>57698</v>
      </c>
      <c r="R16" s="119">
        <f>Caddo!H37</f>
        <v>0</v>
      </c>
      <c r="S16" s="119">
        <v>0</v>
      </c>
      <c r="T16" s="119">
        <v>0</v>
      </c>
      <c r="U16" s="119">
        <f t="shared" ref="U16:U21" si="11">SUM(M16:T16)</f>
        <v>329738</v>
      </c>
      <c r="V16" s="122" t="str">
        <f t="shared" si="3"/>
        <v>ok</v>
      </c>
      <c r="W16" s="120">
        <f>Caldwell!G17</f>
        <v>329738</v>
      </c>
      <c r="X16" s="121"/>
      <c r="Y16" s="176"/>
      <c r="Z16" s="119">
        <f>Caldwell!G20</f>
        <v>11719166</v>
      </c>
      <c r="AA16" s="119">
        <f>Caldwell!G21</f>
        <v>5837212</v>
      </c>
      <c r="AB16" s="119">
        <f>Caldwell!G22</f>
        <v>2293722</v>
      </c>
      <c r="AC16" s="119">
        <f t="shared" ref="AC16:AC21" si="12">SUM(Z16:AB16)</f>
        <v>19850100</v>
      </c>
      <c r="AD16" s="119">
        <f t="shared" si="6"/>
        <v>20179838</v>
      </c>
      <c r="AE16" s="122" t="str">
        <f t="shared" si="4"/>
        <v>ok</v>
      </c>
      <c r="AF16" s="120">
        <f>Caldwell!G26</f>
        <v>20179838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</row>
    <row r="17" spans="1:530" ht="15.6">
      <c r="A17" s="57"/>
      <c r="B17" s="3" t="s">
        <v>692</v>
      </c>
      <c r="C17" s="60">
        <f>Cameron!G6</f>
        <v>28095654</v>
      </c>
      <c r="D17" s="60">
        <f>Jefferson!H7</f>
        <v>0</v>
      </c>
      <c r="E17" s="60">
        <f>Cameron!G7</f>
        <v>19930829</v>
      </c>
      <c r="F17" s="60">
        <f>Cameron!G10</f>
        <v>111753810</v>
      </c>
      <c r="G17" s="60">
        <v>0</v>
      </c>
      <c r="H17" s="60">
        <f>Cameron!G8+Cameron!G9</f>
        <v>1924709</v>
      </c>
      <c r="I17" s="60">
        <f t="shared" si="10"/>
        <v>161705002</v>
      </c>
      <c r="J17" s="130" t="str">
        <f t="shared" si="1"/>
        <v>ok</v>
      </c>
      <c r="K17" s="59">
        <f>Cameron!G12</f>
        <v>161705002</v>
      </c>
      <c r="L17" s="177"/>
      <c r="M17" s="60">
        <f>Cameron!G15+Cameron!G18</f>
        <v>4715387</v>
      </c>
      <c r="N17" s="60">
        <v>0</v>
      </c>
      <c r="O17" s="60">
        <v>0</v>
      </c>
      <c r="P17" s="60">
        <v>0</v>
      </c>
      <c r="Q17" s="60">
        <f>Cameron!G16</f>
        <v>3695066</v>
      </c>
      <c r="R17" s="60">
        <f>Cameron!G20</f>
        <v>1892917</v>
      </c>
      <c r="S17" s="60">
        <f>Cameron!G21</f>
        <v>5190396</v>
      </c>
      <c r="T17" s="60">
        <f>Cameron!G17</f>
        <v>17231</v>
      </c>
      <c r="U17" s="60">
        <f t="shared" si="11"/>
        <v>15510997</v>
      </c>
      <c r="V17" s="122" t="str">
        <f t="shared" si="3"/>
        <v>ok</v>
      </c>
      <c r="W17" s="59">
        <f>Cameron!G23</f>
        <v>15510997</v>
      </c>
      <c r="X17" s="61"/>
      <c r="Y17" s="177"/>
      <c r="Z17" s="60">
        <f>Cameron!G26</f>
        <v>104565630</v>
      </c>
      <c r="AA17" s="60">
        <f>Cameron!G28+Cameron!G29+Cameron!G30+Cameron!G31+Cameron!G32</f>
        <v>3414062</v>
      </c>
      <c r="AB17" s="60">
        <f>Cameron!G33</f>
        <v>38214313</v>
      </c>
      <c r="AC17" s="60">
        <f t="shared" si="12"/>
        <v>146194005</v>
      </c>
      <c r="AD17" s="60">
        <f t="shared" si="6"/>
        <v>161705002</v>
      </c>
      <c r="AE17" s="122" t="str">
        <f t="shared" si="4"/>
        <v>ok</v>
      </c>
      <c r="AF17" s="59">
        <f>Cameron!G37</f>
        <v>161705002</v>
      </c>
    </row>
    <row r="18" spans="1:530" s="109" customFormat="1" ht="15.6">
      <c r="A18" s="117"/>
      <c r="B18" s="118" t="s">
        <v>693</v>
      </c>
      <c r="C18" s="119">
        <f>Catahoula!H7+Catahoula!H8</f>
        <v>1935304</v>
      </c>
      <c r="D18" s="119">
        <v>0</v>
      </c>
      <c r="E18" s="119">
        <f>Catahoula!H9</f>
        <v>1411486</v>
      </c>
      <c r="F18" s="119">
        <f>Catahoula!H11</f>
        <v>5862816</v>
      </c>
      <c r="G18" s="119">
        <v>0</v>
      </c>
      <c r="H18" s="119">
        <f>Catahoula!H10</f>
        <v>81766</v>
      </c>
      <c r="I18" s="119">
        <f t="shared" si="10"/>
        <v>9291372</v>
      </c>
      <c r="J18" s="130" t="str">
        <f t="shared" si="1"/>
        <v>ok</v>
      </c>
      <c r="K18" s="120">
        <f>Catahoula!H13</f>
        <v>9291372</v>
      </c>
      <c r="L18" s="176"/>
      <c r="M18" s="119">
        <f>Catahoula!H16</f>
        <v>551794</v>
      </c>
      <c r="N18" s="119">
        <f>Catahoula!H17</f>
        <v>27615</v>
      </c>
      <c r="O18" s="119">
        <v>0</v>
      </c>
      <c r="P18" s="119">
        <v>0</v>
      </c>
      <c r="Q18" s="119">
        <v>0</v>
      </c>
      <c r="R18" s="119">
        <f>Catahoula!H18</f>
        <v>120000</v>
      </c>
      <c r="S18" s="119">
        <f>Catahoula!H19</f>
        <v>51000</v>
      </c>
      <c r="T18" s="119">
        <v>0</v>
      </c>
      <c r="U18" s="119">
        <f t="shared" si="11"/>
        <v>750409</v>
      </c>
      <c r="V18" s="122" t="str">
        <f t="shared" si="3"/>
        <v>ok</v>
      </c>
      <c r="W18" s="120">
        <f>Catahoula!H21</f>
        <v>750409</v>
      </c>
      <c r="X18" s="121"/>
      <c r="Y18" s="176">
        <f>Catahoula!H24</f>
        <v>14777</v>
      </c>
      <c r="Z18" s="119">
        <f>Catahoula!H27</f>
        <v>5862816</v>
      </c>
      <c r="AA18" s="119">
        <v>0</v>
      </c>
      <c r="AB18" s="119">
        <f>Catahoula!H28</f>
        <v>2663370</v>
      </c>
      <c r="AC18" s="119">
        <f t="shared" si="12"/>
        <v>8526186</v>
      </c>
      <c r="AD18" s="119">
        <f t="shared" si="6"/>
        <v>9291372</v>
      </c>
      <c r="AE18" s="122" t="str">
        <f t="shared" si="4"/>
        <v>ok</v>
      </c>
      <c r="AF18" s="120">
        <f>Catahoula!H32</f>
        <v>9291372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</row>
    <row r="19" spans="1:530" ht="15.6">
      <c r="A19" s="57"/>
      <c r="B19" s="3" t="s">
        <v>694</v>
      </c>
      <c r="C19" s="60">
        <f>Claiborne!G6</f>
        <v>7547110</v>
      </c>
      <c r="D19" s="60">
        <f>Claiborne!G7</f>
        <v>28082</v>
      </c>
      <c r="E19" s="60">
        <f>Claiborne!G8</f>
        <v>3215328</v>
      </c>
      <c r="F19" s="60">
        <f>Claiborne!G10</f>
        <v>7059807</v>
      </c>
      <c r="G19" s="60">
        <v>0</v>
      </c>
      <c r="H19" s="60">
        <f>Claiborne!G9</f>
        <v>113163</v>
      </c>
      <c r="I19" s="60">
        <f t="shared" si="10"/>
        <v>17963490</v>
      </c>
      <c r="J19" s="130" t="str">
        <f t="shared" si="1"/>
        <v>ok</v>
      </c>
      <c r="K19" s="59">
        <f>Claiborne!G12</f>
        <v>17963490</v>
      </c>
      <c r="L19" s="177"/>
      <c r="M19" s="60">
        <f>Claiborne!G15</f>
        <v>643570</v>
      </c>
      <c r="N19" s="60">
        <f>Claiborne!G18</f>
        <v>50773</v>
      </c>
      <c r="O19" s="60">
        <v>0</v>
      </c>
      <c r="P19" s="60">
        <v>0</v>
      </c>
      <c r="Q19" s="60">
        <f>Claiborne!G16</f>
        <v>16368</v>
      </c>
      <c r="R19" s="60">
        <f>Claiborne!G19</f>
        <v>155000</v>
      </c>
      <c r="S19" s="60">
        <f>Claiborne!G20</f>
        <v>1700000</v>
      </c>
      <c r="T19" s="60">
        <f>Claiborne!G17</f>
        <v>15626</v>
      </c>
      <c r="U19" s="60">
        <f t="shared" si="11"/>
        <v>2581337</v>
      </c>
      <c r="V19" s="122" t="str">
        <f t="shared" si="3"/>
        <v>ok</v>
      </c>
      <c r="W19" s="59">
        <f>Claiborne!G22</f>
        <v>2581337</v>
      </c>
      <c r="X19" s="61"/>
      <c r="Y19" s="177"/>
      <c r="Z19" s="60">
        <f>Claiborne!G25</f>
        <v>5048392</v>
      </c>
      <c r="AA19" s="60">
        <f>Claiborne!G27+Claiborne!G28+Claiborne!G29+Claiborne!G30+Claiborne!G31+Claiborne!G32</f>
        <v>4660233</v>
      </c>
      <c r="AB19" s="60">
        <f>Claiborne!G33</f>
        <v>5673528</v>
      </c>
      <c r="AC19" s="60">
        <f t="shared" si="12"/>
        <v>15382153</v>
      </c>
      <c r="AD19" s="60">
        <f t="shared" si="6"/>
        <v>17963490</v>
      </c>
      <c r="AE19" s="122" t="str">
        <f t="shared" si="4"/>
        <v>ok</v>
      </c>
      <c r="AF19" s="59">
        <f>Claiborne!G37</f>
        <v>17963490</v>
      </c>
    </row>
    <row r="20" spans="1:530" s="109" customFormat="1" ht="15.6">
      <c r="A20" s="117"/>
      <c r="B20" s="118" t="s">
        <v>695</v>
      </c>
      <c r="C20" s="119">
        <f>Concordia!G6+Concordia!G7</f>
        <v>8049725</v>
      </c>
      <c r="D20" s="119">
        <v>0</v>
      </c>
      <c r="E20" s="119">
        <f>Concordia!G8</f>
        <v>2125063</v>
      </c>
      <c r="F20" s="119">
        <f>Concordia!G10</f>
        <v>10920531</v>
      </c>
      <c r="G20" s="119">
        <v>0</v>
      </c>
      <c r="H20" s="119">
        <f>Concordia!G9</f>
        <v>2658</v>
      </c>
      <c r="I20" s="119">
        <f t="shared" si="10"/>
        <v>21097977</v>
      </c>
      <c r="J20" s="130" t="str">
        <f t="shared" si="1"/>
        <v>ok</v>
      </c>
      <c r="K20" s="120">
        <f>Concordia!G12</f>
        <v>21097977</v>
      </c>
      <c r="L20" s="176"/>
      <c r="M20" s="119">
        <f>Concordia!G16+Concordia!G17</f>
        <v>379801</v>
      </c>
      <c r="N20" s="119">
        <v>0</v>
      </c>
      <c r="O20" s="119">
        <v>0</v>
      </c>
      <c r="P20" s="119">
        <v>0</v>
      </c>
      <c r="Q20" s="119">
        <v>0</v>
      </c>
      <c r="R20" s="119">
        <f>Concordia!G18</f>
        <v>395818</v>
      </c>
      <c r="S20" s="119">
        <f>Concordia!G20</f>
        <v>9404258</v>
      </c>
      <c r="T20" s="119">
        <v>0</v>
      </c>
      <c r="U20" s="119">
        <f t="shared" si="11"/>
        <v>10179877</v>
      </c>
      <c r="V20" s="122" t="str">
        <f t="shared" si="3"/>
        <v>ok</v>
      </c>
      <c r="W20" s="120">
        <f>Concordia!G22</f>
        <v>10179877</v>
      </c>
      <c r="X20" s="121"/>
      <c r="Y20" s="176"/>
      <c r="Z20" s="119">
        <f>Concordia!G25</f>
        <v>1120455</v>
      </c>
      <c r="AA20" s="119">
        <f>Concordia!G27+Concordia!G28</f>
        <v>6790876</v>
      </c>
      <c r="AB20" s="119">
        <f>Concordia!G29</f>
        <v>3006769</v>
      </c>
      <c r="AC20" s="119">
        <f t="shared" si="12"/>
        <v>10918100</v>
      </c>
      <c r="AD20" s="119">
        <f t="shared" si="6"/>
        <v>21097977</v>
      </c>
      <c r="AE20" s="122" t="str">
        <f t="shared" si="4"/>
        <v>ok</v>
      </c>
      <c r="AF20" s="120">
        <f>Concordia!G33</f>
        <v>21097977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</row>
    <row r="21" spans="1:530" ht="15.6">
      <c r="A21" s="57"/>
      <c r="B21" s="3" t="s">
        <v>696</v>
      </c>
      <c r="C21" s="60">
        <f>DeSoto!H7</f>
        <v>9790825</v>
      </c>
      <c r="D21" s="60">
        <f>DeSoto!H8</f>
        <v>19901346</v>
      </c>
      <c r="E21" s="60">
        <f>DeSoto!H9</f>
        <v>13582980</v>
      </c>
      <c r="F21" s="60">
        <f>DeSoto!H12</f>
        <v>75371606</v>
      </c>
      <c r="G21" s="60">
        <f>DeSoto!H10</f>
        <v>2650</v>
      </c>
      <c r="H21" s="60">
        <f>DeSoto!H11</f>
        <v>40185</v>
      </c>
      <c r="I21" s="60">
        <f t="shared" si="10"/>
        <v>118689592</v>
      </c>
      <c r="J21" s="130" t="str">
        <f t="shared" si="1"/>
        <v>ok</v>
      </c>
      <c r="K21" s="59">
        <f>DeSoto!H14</f>
        <v>118689592</v>
      </c>
      <c r="L21" s="177"/>
      <c r="M21" s="60">
        <f>DeSoto!H17</f>
        <v>1173758</v>
      </c>
      <c r="N21" s="60">
        <f>DeSoto!H22</f>
        <v>284258</v>
      </c>
      <c r="O21" s="60">
        <v>0</v>
      </c>
      <c r="P21" s="60">
        <v>0</v>
      </c>
      <c r="Q21" s="60">
        <f>DeSoto!H20</f>
        <v>260166</v>
      </c>
      <c r="R21" s="60">
        <f>DeSoto!H25</f>
        <v>5641</v>
      </c>
      <c r="S21" s="60">
        <f>DeSoto!H26</f>
        <v>5280</v>
      </c>
      <c r="T21" s="60">
        <f>DeSoto!H18+DeSoto!H19+DeSoto!H21+DeSoto!H23</f>
        <v>4700723</v>
      </c>
      <c r="U21" s="60">
        <f t="shared" si="11"/>
        <v>6429826</v>
      </c>
      <c r="V21" s="122" t="str">
        <f t="shared" ref="V21" si="13">IF(U21=W21, "ok", "check")</f>
        <v>ok</v>
      </c>
      <c r="W21" s="59">
        <f>DeSoto!H28</f>
        <v>6429826</v>
      </c>
      <c r="X21" s="61"/>
      <c r="Y21" s="177"/>
      <c r="Z21" s="60">
        <f>DeSoto!H31</f>
        <v>75360685</v>
      </c>
      <c r="AA21" s="60">
        <f>DeSoto!H33+DeSoto!H34+DeSoto!H35+DeSoto!H36+DeSoto!H37+DeSoto!H38+DeSoto!H39</f>
        <v>29285819</v>
      </c>
      <c r="AB21" s="60">
        <f>DeSoto!H40</f>
        <v>7613262</v>
      </c>
      <c r="AC21" s="60">
        <f t="shared" si="12"/>
        <v>112259766</v>
      </c>
      <c r="AD21" s="60">
        <f t="shared" si="6"/>
        <v>118689592</v>
      </c>
      <c r="AE21" s="122" t="str">
        <f t="shared" ref="AE21" si="14">IF(AD21=AF21, "ok", "check")</f>
        <v>ok</v>
      </c>
      <c r="AF21" s="59">
        <f>DeSoto!H44</f>
        <v>118689592</v>
      </c>
    </row>
    <row r="22" spans="1:530" s="109" customFormat="1" ht="15.6">
      <c r="A22" s="117"/>
      <c r="B22" s="118" t="s">
        <v>697</v>
      </c>
      <c r="C22" s="119">
        <f>'East Baton Rouge'!H8</f>
        <v>201411313</v>
      </c>
      <c r="D22" s="119">
        <f>'East Baton Rouge'!H9</f>
        <v>180338007</v>
      </c>
      <c r="E22" s="119">
        <f>'East Baton Rouge'!H10+'East Baton Rouge'!H13</f>
        <v>55473853</v>
      </c>
      <c r="F22" s="119">
        <f>'East Baton Rouge'!H24+'East Baton Rouge'!H25</f>
        <v>859951437</v>
      </c>
      <c r="G22" s="119">
        <f>'East Baton Rouge'!H11</f>
        <v>83097626</v>
      </c>
      <c r="H22" s="119">
        <f>'East Baton Rouge'!H12+'East Baton Rouge'!H14</f>
        <v>1613991</v>
      </c>
      <c r="I22" s="119">
        <f t="shared" ref="I22:I26" si="15">SUM(C22:H22)</f>
        <v>1381886227</v>
      </c>
      <c r="J22" s="130" t="str">
        <f t="shared" si="1"/>
        <v>ok</v>
      </c>
      <c r="K22" s="120">
        <f>'East Baton Rouge'!H27</f>
        <v>1381886227</v>
      </c>
      <c r="L22" s="176">
        <f>'East Baton Rouge'!H30+'East Baton Rouge'!H31</f>
        <v>16908810</v>
      </c>
      <c r="M22" s="119">
        <f>'East Baton Rouge'!H36</f>
        <v>37439384</v>
      </c>
      <c r="N22" s="119">
        <v>0</v>
      </c>
      <c r="O22" s="119">
        <v>0</v>
      </c>
      <c r="P22" s="119">
        <v>0</v>
      </c>
      <c r="Q22" s="119">
        <f>'East Baton Rouge'!H37</f>
        <v>7390530</v>
      </c>
      <c r="R22" s="119">
        <f>'East Baton Rouge'!H43</f>
        <v>33495310</v>
      </c>
      <c r="S22" s="119">
        <f>'East Baton Rouge'!H44</f>
        <v>665555682</v>
      </c>
      <c r="T22" s="119">
        <f>'East Baton Rouge'!H38+'East Baton Rouge'!H39+'East Baton Rouge'!H40</f>
        <v>39754559</v>
      </c>
      <c r="U22" s="119">
        <f t="shared" ref="U22:U25" si="16">SUM(M22:T22)</f>
        <v>783635465</v>
      </c>
      <c r="V22" s="122" t="str">
        <f t="shared" ref="V22:V69" si="17">IF(U22=W22, "ok", "check")</f>
        <v>ok</v>
      </c>
      <c r="W22" s="120">
        <f>'East Baton Rouge'!H46</f>
        <v>783635465</v>
      </c>
      <c r="X22" s="121"/>
      <c r="Y22" s="176">
        <f>'East Baton Rouge'!H49</f>
        <v>526276</v>
      </c>
      <c r="Z22" s="119">
        <f>'East Baton Rouge'!H52</f>
        <v>626659126</v>
      </c>
      <c r="AA22" s="119">
        <f>'East Baton Rouge'!H54+'East Baton Rouge'!H55+'East Baton Rouge'!H57</f>
        <v>198502352</v>
      </c>
      <c r="AB22" s="119">
        <f>'East Baton Rouge'!H58</f>
        <v>-210528182</v>
      </c>
      <c r="AC22" s="119">
        <f t="shared" ref="AC22:AC25" si="18">SUM(Z22:AB22)</f>
        <v>614633296</v>
      </c>
      <c r="AD22" s="119">
        <f t="shared" si="6"/>
        <v>1398795037</v>
      </c>
      <c r="AE22" s="122" t="str">
        <f t="shared" ref="AE22:AE69" si="19">IF(AD22=AF22, "ok", "check")</f>
        <v>ok</v>
      </c>
      <c r="AF22" s="120">
        <f>'East Baton Rouge'!H62</f>
        <v>1398795037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</row>
    <row r="23" spans="1:530">
      <c r="B23" s="3" t="s">
        <v>698</v>
      </c>
      <c r="C23" s="60">
        <f>'East Carroll'!H7</f>
        <v>2754931</v>
      </c>
      <c r="D23" s="60">
        <f>'East Carroll'!H8</f>
        <v>836856</v>
      </c>
      <c r="E23" s="60">
        <f>'East Carroll'!H9</f>
        <v>2244765</v>
      </c>
      <c r="F23" s="60">
        <f>'East Carroll'!H12+'East Carroll'!H13</f>
        <v>5554755</v>
      </c>
      <c r="G23" s="60">
        <v>0</v>
      </c>
      <c r="H23" s="60">
        <v>0</v>
      </c>
      <c r="I23" s="60">
        <f t="shared" si="15"/>
        <v>11391307</v>
      </c>
      <c r="J23" s="130" t="str">
        <f t="shared" si="1"/>
        <v>ok</v>
      </c>
      <c r="K23" s="59">
        <f>'East Carroll'!H15</f>
        <v>11391307</v>
      </c>
      <c r="L23" s="177"/>
      <c r="M23" s="60">
        <f>'East Carroll'!H18+'East Carroll'!H19</f>
        <v>224890</v>
      </c>
      <c r="N23" s="60">
        <v>0</v>
      </c>
      <c r="O23" s="60">
        <v>0</v>
      </c>
      <c r="P23" s="60">
        <v>0</v>
      </c>
      <c r="Q23" s="60">
        <v>0</v>
      </c>
      <c r="R23" s="60">
        <f>'East Carroll'!H22</f>
        <v>120776</v>
      </c>
      <c r="S23" s="60">
        <f>'East Carroll'!H23</f>
        <v>423316</v>
      </c>
      <c r="T23" s="60">
        <f>Livingston!H28+Livingston!H30</f>
        <v>0</v>
      </c>
      <c r="U23" s="60">
        <f t="shared" si="16"/>
        <v>768982</v>
      </c>
      <c r="V23" s="122" t="str">
        <f t="shared" ref="V23:V68" si="20">IF(U23=W23, "ok", "check")</f>
        <v>ok</v>
      </c>
      <c r="W23" s="59">
        <f>'East Carroll'!H25</f>
        <v>768982</v>
      </c>
      <c r="X23" s="61"/>
      <c r="Y23" s="177"/>
      <c r="Z23" s="60">
        <f>'East Carroll'!H28</f>
        <v>5017234</v>
      </c>
      <c r="AA23" s="60">
        <f>'East Carroll'!H30+'East Carroll'!H31+'East Carroll'!H32+'East Carroll'!H33+'East Carroll'!H34+'East Carroll'!H35+'East Carroll'!H36+'East Carroll'!H37+'East Carroll'!H38</f>
        <v>4792292</v>
      </c>
      <c r="AB23" s="60">
        <f>'East Carroll'!H40</f>
        <v>812799</v>
      </c>
      <c r="AC23" s="60">
        <f t="shared" si="18"/>
        <v>10622325</v>
      </c>
      <c r="AD23" s="60">
        <f t="shared" si="6"/>
        <v>11391307</v>
      </c>
      <c r="AE23" s="122" t="str">
        <f t="shared" ref="AE23:AE68" si="21">IF(AD23=AF23, "ok", "check")</f>
        <v>ok</v>
      </c>
      <c r="AF23" s="59">
        <f>'East Carroll'!H44</f>
        <v>11391307</v>
      </c>
    </row>
    <row r="24" spans="1:530" s="109" customFormat="1" ht="15.6">
      <c r="A24" s="117"/>
      <c r="B24" s="118" t="s">
        <v>699</v>
      </c>
      <c r="C24" s="119">
        <f>'East Feliciana'!G6</f>
        <v>5513411.7599999998</v>
      </c>
      <c r="D24" s="119"/>
      <c r="E24" s="119">
        <f>'East Feliciana'!G7</f>
        <v>838202.1</v>
      </c>
      <c r="F24" s="119">
        <f>'East Feliciana'!G10</f>
        <v>8313076.6100000003</v>
      </c>
      <c r="G24" s="119">
        <f>'East Feliciana'!G8+'East Feliciana'!G9</f>
        <v>1720692.98</v>
      </c>
      <c r="H24" s="119">
        <v>0</v>
      </c>
      <c r="I24" s="119">
        <f t="shared" si="15"/>
        <v>16385383.449999999</v>
      </c>
      <c r="J24" s="130" t="str">
        <f t="shared" si="1"/>
        <v>ok</v>
      </c>
      <c r="K24" s="120">
        <f>'East Feliciana'!G12</f>
        <v>16385383.449999999</v>
      </c>
      <c r="L24" s="176"/>
      <c r="M24" s="119">
        <f>'East Feliciana'!G15+'East Feliciana'!G18</f>
        <v>252490.44</v>
      </c>
      <c r="N24" s="119">
        <f>'East Feliciana'!G19</f>
        <v>13428</v>
      </c>
      <c r="O24" s="119">
        <v>0</v>
      </c>
      <c r="P24" s="119">
        <v>0</v>
      </c>
      <c r="Q24" s="119">
        <f>'East Feliciana'!G16+'East Feliciana'!G17</f>
        <v>1464751.3699999999</v>
      </c>
      <c r="R24" s="119">
        <v>0</v>
      </c>
      <c r="S24" s="119">
        <v>0</v>
      </c>
      <c r="T24" s="119">
        <v>0</v>
      </c>
      <c r="U24" s="119">
        <f t="shared" ref="U24" si="22">SUM(M24:T24)</f>
        <v>1730669.8099999998</v>
      </c>
      <c r="V24" s="122" t="str">
        <f t="shared" si="20"/>
        <v>ok</v>
      </c>
      <c r="W24" s="120">
        <f>'East Feliciana'!G21</f>
        <v>1730669.8099999998</v>
      </c>
      <c r="X24" s="121"/>
      <c r="Y24" s="176"/>
      <c r="Z24" s="119">
        <f>'East Feliciana'!G24</f>
        <v>8313076.6100000003</v>
      </c>
      <c r="AA24" s="119">
        <f>'East Feliciana'!G26+'East Feliciana'!G27+'East Feliciana'!G28</f>
        <v>3915345.33</v>
      </c>
      <c r="AB24" s="119">
        <f>'East Feliciana'!G29</f>
        <v>2426291.7000000002</v>
      </c>
      <c r="AC24" s="119">
        <f t="shared" ref="AC24" si="23">SUM(Z24:AB24)</f>
        <v>14654713.640000001</v>
      </c>
      <c r="AD24" s="119">
        <f t="shared" si="6"/>
        <v>16385383.450000001</v>
      </c>
      <c r="AE24" s="122" t="str">
        <f t="shared" si="21"/>
        <v>ok</v>
      </c>
      <c r="AF24" s="120">
        <f>'East Feliciana'!G33</f>
        <v>16385383.450000001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</row>
    <row r="25" spans="1:530" ht="15.6">
      <c r="A25" s="57"/>
      <c r="B25" s="3" t="s">
        <v>700</v>
      </c>
      <c r="C25" s="60">
        <f>Evangeline!H7</f>
        <v>9772120</v>
      </c>
      <c r="D25" s="60">
        <f>Evangeline!H13</f>
        <v>28970121</v>
      </c>
      <c r="E25" s="60">
        <f>Evangeline!H8</f>
        <v>5534711</v>
      </c>
      <c r="F25" s="60">
        <f>Evangeline!H14</f>
        <v>24663497</v>
      </c>
      <c r="G25" s="60">
        <f>Evangeline!H9</f>
        <v>372502</v>
      </c>
      <c r="H25" s="60">
        <f>Evangeline!H10</f>
        <v>20960</v>
      </c>
      <c r="I25" s="60">
        <f t="shared" si="15"/>
        <v>69333911</v>
      </c>
      <c r="J25" s="130" t="str">
        <f t="shared" si="1"/>
        <v>ok</v>
      </c>
      <c r="K25" s="59">
        <f>Evangeline!H16</f>
        <v>69333911</v>
      </c>
      <c r="L25" s="177"/>
      <c r="M25" s="60">
        <f>Evangeline!H20+Evangeline!H21+Evangeline!H22</f>
        <v>847498</v>
      </c>
      <c r="N25" s="60">
        <f>Evangeline!H26+Evangeline!H31</f>
        <v>61479</v>
      </c>
      <c r="O25" s="60">
        <f>Evangeline!H28</f>
        <v>222000</v>
      </c>
      <c r="P25" s="60">
        <f>Evangeline!H33</f>
        <v>31902009</v>
      </c>
      <c r="Q25" s="60">
        <f>Lafourche!H23</f>
        <v>0</v>
      </c>
      <c r="R25" s="60">
        <f>Evangeline!H27</f>
        <v>27459</v>
      </c>
      <c r="S25" s="60">
        <f>Evangeline!H30+Evangeline!H32</f>
        <v>12520</v>
      </c>
      <c r="T25" s="60">
        <f>Evangeline!H19+Evangeline!H23</f>
        <v>113742</v>
      </c>
      <c r="U25" s="60">
        <f t="shared" si="16"/>
        <v>33186707</v>
      </c>
      <c r="V25" s="122" t="str">
        <f t="shared" si="20"/>
        <v>ok</v>
      </c>
      <c r="W25" s="59">
        <f>Evangeline!H35</f>
        <v>33186707</v>
      </c>
      <c r="X25" s="61"/>
      <c r="Y25" s="177">
        <f>Evangeline!H38</f>
        <v>271333</v>
      </c>
      <c r="Z25" s="60">
        <f>Evangeline!H41</f>
        <v>22524204</v>
      </c>
      <c r="AA25" s="60">
        <f>Evangeline!H42</f>
        <v>3177</v>
      </c>
      <c r="AB25" s="60">
        <f>Evangeline!H44</f>
        <v>13348490</v>
      </c>
      <c r="AC25" s="60">
        <f t="shared" si="18"/>
        <v>35875871</v>
      </c>
      <c r="AD25" s="60">
        <f t="shared" si="6"/>
        <v>69333911</v>
      </c>
      <c r="AE25" s="122" t="str">
        <f t="shared" si="21"/>
        <v>ok</v>
      </c>
      <c r="AF25" s="59">
        <f>Evangeline!H48</f>
        <v>69333911</v>
      </c>
    </row>
    <row r="26" spans="1:530" s="109" customFormat="1" ht="15.6">
      <c r="A26" s="117"/>
      <c r="B26" s="118" t="s">
        <v>701</v>
      </c>
      <c r="C26" s="119">
        <f>Franklin!G6</f>
        <v>7269664</v>
      </c>
      <c r="D26" s="119">
        <v>0</v>
      </c>
      <c r="E26" s="119">
        <f>Franklin!G7</f>
        <v>3659846</v>
      </c>
      <c r="F26" s="119">
        <f>Franklin!G9</f>
        <v>17836416</v>
      </c>
      <c r="G26" s="119">
        <v>0</v>
      </c>
      <c r="H26" s="119">
        <f>Franklin!G8</f>
        <v>4140</v>
      </c>
      <c r="I26" s="119">
        <f t="shared" si="15"/>
        <v>28770066</v>
      </c>
      <c r="J26" s="130" t="str">
        <f t="shared" si="1"/>
        <v>ok</v>
      </c>
      <c r="K26" s="120">
        <f>Franklin!G11</f>
        <v>28770066</v>
      </c>
      <c r="L26" s="176"/>
      <c r="M26" s="119">
        <f>Franklin!G14+Franklin!G15+Franklin!G17</f>
        <v>499087</v>
      </c>
      <c r="N26" s="119">
        <f>Franklin!G16</f>
        <v>131420</v>
      </c>
      <c r="O26" s="119">
        <v>0</v>
      </c>
      <c r="P26" s="119">
        <v>0</v>
      </c>
      <c r="Q26" s="119">
        <f>Franklin!G18</f>
        <v>20000</v>
      </c>
      <c r="R26" s="119">
        <f>DeSoto!H29</f>
        <v>0</v>
      </c>
      <c r="S26" s="119">
        <f>DeSoto!H30</f>
        <v>0</v>
      </c>
      <c r="T26" s="119">
        <f>Franklin!G19</f>
        <v>1337359</v>
      </c>
      <c r="U26" s="119">
        <f t="shared" ref="U26" si="24">SUM(M26:T26)</f>
        <v>1987866</v>
      </c>
      <c r="V26" s="122" t="str">
        <f t="shared" si="20"/>
        <v>ok</v>
      </c>
      <c r="W26" s="120">
        <f>Franklin!G21</f>
        <v>1987866</v>
      </c>
      <c r="X26" s="121"/>
      <c r="Y26" s="176"/>
      <c r="Z26" s="119">
        <f>Franklin!G24</f>
        <v>17786447</v>
      </c>
      <c r="AA26" s="119">
        <v>0</v>
      </c>
      <c r="AB26" s="119">
        <f>Franklin!G25</f>
        <v>8995753</v>
      </c>
      <c r="AC26" s="119">
        <f t="shared" ref="AC26" si="25">SUM(Z26:AB26)</f>
        <v>26782200</v>
      </c>
      <c r="AD26" s="119">
        <f t="shared" si="6"/>
        <v>28770066</v>
      </c>
      <c r="AE26" s="122" t="str">
        <f t="shared" si="21"/>
        <v>ok</v>
      </c>
      <c r="AF26" s="120">
        <f>Franklin!G29</f>
        <v>28770066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</row>
    <row r="27" spans="1:530" ht="15.6">
      <c r="A27" s="57"/>
      <c r="B27" s="3" t="s">
        <v>405</v>
      </c>
      <c r="C27" s="60">
        <f>Grant!H7</f>
        <v>1681553</v>
      </c>
      <c r="D27" s="60">
        <v>0</v>
      </c>
      <c r="E27" s="60">
        <f>Grant!H8</f>
        <v>1486129</v>
      </c>
      <c r="F27" s="60">
        <f>Grant!H11+Grant!H12+Grant!H13</f>
        <v>6083478</v>
      </c>
      <c r="G27" s="60">
        <f>'East Baton Rouge'!H15</f>
        <v>0</v>
      </c>
      <c r="H27" s="60">
        <f>'East Baton Rouge'!H16+'East Baton Rouge'!H18</f>
        <v>0</v>
      </c>
      <c r="I27" s="60">
        <f t="shared" ref="I27:I28" si="26">SUM(C27:H27)</f>
        <v>9251160</v>
      </c>
      <c r="J27" s="130" t="str">
        <f t="shared" si="1"/>
        <v>ok</v>
      </c>
      <c r="K27" s="59">
        <f>Grant!H15</f>
        <v>9251160</v>
      </c>
      <c r="L27" s="177"/>
      <c r="M27" s="60">
        <f>Grant!H18</f>
        <v>379081</v>
      </c>
      <c r="N27" s="60">
        <f>Grant!H22</f>
        <v>42221</v>
      </c>
      <c r="O27" s="60">
        <v>0</v>
      </c>
      <c r="P27" s="60">
        <v>0</v>
      </c>
      <c r="Q27" s="60">
        <f>'East Baton Rouge'!H41</f>
        <v>0</v>
      </c>
      <c r="R27" s="60">
        <f>Grant!H24</f>
        <v>92877</v>
      </c>
      <c r="S27" s="60">
        <f>Grant!H25</f>
        <v>339716</v>
      </c>
      <c r="T27" s="60">
        <f>Grant!H20</f>
        <v>2266</v>
      </c>
      <c r="U27" s="60">
        <f t="shared" ref="U27:U28" si="27">SUM(M27:T27)</f>
        <v>856161</v>
      </c>
      <c r="V27" s="122" t="str">
        <f t="shared" si="20"/>
        <v>ok</v>
      </c>
      <c r="W27" s="59">
        <f>Grant!H27</f>
        <v>856161</v>
      </c>
      <c r="X27" s="61"/>
      <c r="Y27" s="177"/>
      <c r="Z27" s="60">
        <f>Grant!H30</f>
        <v>5650885</v>
      </c>
      <c r="AA27" s="60">
        <f>Grant!H32+Grant!H33+Grant!H34</f>
        <v>1969930</v>
      </c>
      <c r="AB27" s="60">
        <f>Grant!H35</f>
        <v>774184</v>
      </c>
      <c r="AC27" s="60">
        <f t="shared" ref="AC27:AC28" si="28">SUM(Z27:AB27)</f>
        <v>8394999</v>
      </c>
      <c r="AD27" s="60">
        <f t="shared" si="6"/>
        <v>9251160</v>
      </c>
      <c r="AE27" s="122" t="str">
        <f t="shared" si="21"/>
        <v>ok</v>
      </c>
      <c r="AF27" s="59">
        <f>Grant!H39</f>
        <v>9251160</v>
      </c>
    </row>
    <row r="28" spans="1:530" s="109" customFormat="1">
      <c r="B28" s="118" t="s">
        <v>702</v>
      </c>
      <c r="C28" s="119">
        <f>Iberia!H7</f>
        <v>39934830</v>
      </c>
      <c r="D28" s="119">
        <f>Iberia!H8</f>
        <v>83378</v>
      </c>
      <c r="E28" s="119">
        <f>Iberia!H9</f>
        <v>8030264</v>
      </c>
      <c r="F28" s="119">
        <f>Iberia!H18+Iberia!H19</f>
        <v>95937263</v>
      </c>
      <c r="G28" s="119">
        <f>Iberia!H11</f>
        <v>5793561</v>
      </c>
      <c r="H28" s="119">
        <f>Iberia!H10</f>
        <v>1416411</v>
      </c>
      <c r="I28" s="119">
        <f t="shared" si="26"/>
        <v>151195707</v>
      </c>
      <c r="J28" s="130" t="str">
        <f t="shared" si="1"/>
        <v>ok</v>
      </c>
      <c r="K28" s="120">
        <f>Iberia!H21</f>
        <v>151195707</v>
      </c>
      <c r="L28" s="176"/>
      <c r="M28" s="119">
        <f>Iberia!H24+Iberia!H25+Iberia!H26+Iberia!H32</f>
        <v>2630383</v>
      </c>
      <c r="N28" s="119">
        <v>0</v>
      </c>
      <c r="O28" s="119">
        <v>0</v>
      </c>
      <c r="P28" s="119">
        <v>0</v>
      </c>
      <c r="Q28" s="119">
        <f>Iberia!H27+Iberia!H28</f>
        <v>964621</v>
      </c>
      <c r="R28" s="119">
        <f>Iberia!H35</f>
        <v>1464872</v>
      </c>
      <c r="S28" s="119">
        <f>Iberia!H36</f>
        <v>9078674</v>
      </c>
      <c r="T28" s="119">
        <f>Iberia!H30+Iberia!H34</f>
        <v>3625048</v>
      </c>
      <c r="U28" s="119">
        <f t="shared" si="27"/>
        <v>17763598</v>
      </c>
      <c r="V28" s="122" t="str">
        <f t="shared" si="20"/>
        <v>ok</v>
      </c>
      <c r="W28" s="120">
        <f>Iberia!H38</f>
        <v>17763598</v>
      </c>
      <c r="X28" s="121"/>
      <c r="Y28" s="176"/>
      <c r="Z28" s="119">
        <f>Iberia!H41</f>
        <v>86345332</v>
      </c>
      <c r="AA28" s="119">
        <f>Iberia!H42</f>
        <v>564816</v>
      </c>
      <c r="AB28" s="119">
        <f>Iberia!H43</f>
        <v>46521961</v>
      </c>
      <c r="AC28" s="119">
        <f t="shared" si="28"/>
        <v>133432109</v>
      </c>
      <c r="AD28" s="119">
        <f t="shared" si="6"/>
        <v>151195707</v>
      </c>
      <c r="AE28" s="122" t="str">
        <f t="shared" si="21"/>
        <v>ok</v>
      </c>
      <c r="AF28" s="120">
        <f>Iberia!H47</f>
        <v>151195707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</row>
    <row r="29" spans="1:530" ht="15.6">
      <c r="A29" s="57"/>
      <c r="B29" s="3" t="s">
        <v>703</v>
      </c>
      <c r="C29" s="60">
        <f>Iberville!H8+Iberville!H14</f>
        <v>16410571</v>
      </c>
      <c r="D29" s="60"/>
      <c r="E29" s="60">
        <f>Iberville!H9</f>
        <v>9074534</v>
      </c>
      <c r="F29" s="60">
        <f>Iberville!H16+Iberville!H17+Iberville!H18+Iberville!H19+Iberville!H20</f>
        <v>100186393</v>
      </c>
      <c r="G29" s="60"/>
      <c r="H29" s="60">
        <f>Iberville!H11+Iberville!H12</f>
        <v>970703</v>
      </c>
      <c r="I29" s="60">
        <f t="shared" ref="I29:I30" si="29">SUM(C29:H29)</f>
        <v>126642201</v>
      </c>
      <c r="J29" s="130" t="str">
        <f t="shared" si="1"/>
        <v>ok</v>
      </c>
      <c r="K29" s="59">
        <f>Iberville!H22</f>
        <v>126642201</v>
      </c>
      <c r="L29" s="177"/>
      <c r="M29" s="60">
        <f>Iberville!H25+Iberville!H29</f>
        <v>2839196</v>
      </c>
      <c r="N29" s="60">
        <v>0</v>
      </c>
      <c r="O29" s="60"/>
      <c r="P29" s="60"/>
      <c r="Q29" s="60"/>
      <c r="R29" s="60">
        <f>Iberville!H33</f>
        <v>1091504</v>
      </c>
      <c r="S29" s="60">
        <f>Iberville!H34</f>
        <v>17258488</v>
      </c>
      <c r="T29" s="60">
        <f>Iberville!H32</f>
        <v>485401</v>
      </c>
      <c r="U29" s="60">
        <f t="shared" ref="U29:U30" si="30">SUM(M29:T29)</f>
        <v>21674589</v>
      </c>
      <c r="V29" s="122" t="str">
        <f t="shared" si="20"/>
        <v>ok</v>
      </c>
      <c r="W29" s="59">
        <f>Iberville!H36</f>
        <v>21674589</v>
      </c>
      <c r="X29" s="61"/>
      <c r="Y29" s="177"/>
      <c r="Z29" s="60">
        <f>Iberville!H44</f>
        <v>84078829</v>
      </c>
      <c r="AA29" s="60">
        <f>Iberville!H46+Iberville!H47+Iberville!H48+Iberville!H49+Iberville!H50+Iberville!H51+Iberville!H52</f>
        <v>17295527</v>
      </c>
      <c r="AB29" s="60">
        <f>Iberville!H53</f>
        <v>3593255</v>
      </c>
      <c r="AC29" s="60">
        <f t="shared" ref="AC29:AC30" si="31">SUM(Z29:AB29)</f>
        <v>104967611</v>
      </c>
      <c r="AD29" s="60">
        <f t="shared" si="6"/>
        <v>126642200</v>
      </c>
      <c r="AE29" s="122" t="str">
        <f t="shared" si="21"/>
        <v>ok</v>
      </c>
      <c r="AF29" s="59">
        <f>Iberville!H57</f>
        <v>126642200</v>
      </c>
    </row>
    <row r="30" spans="1:530" s="109" customFormat="1">
      <c r="B30" s="118" t="s">
        <v>704</v>
      </c>
      <c r="C30" s="119">
        <f>Jackson!G6</f>
        <v>9622291</v>
      </c>
      <c r="D30" s="119">
        <v>0</v>
      </c>
      <c r="E30" s="119">
        <f>Jackson!G7</f>
        <v>4755981</v>
      </c>
      <c r="F30" s="119">
        <f>Jackson!G10+Jackson!G11</f>
        <v>16399628</v>
      </c>
      <c r="G30" s="119">
        <v>0</v>
      </c>
      <c r="H30" s="119">
        <f>Jackson!G8</f>
        <v>70256</v>
      </c>
      <c r="I30" s="119">
        <f t="shared" si="29"/>
        <v>30848156</v>
      </c>
      <c r="J30" s="130" t="str">
        <f t="shared" si="1"/>
        <v>ok</v>
      </c>
      <c r="K30" s="120">
        <f>Jackson!G13</f>
        <v>30848156</v>
      </c>
      <c r="L30" s="176"/>
      <c r="M30" s="119">
        <f>Jackson!G16</f>
        <v>342065</v>
      </c>
      <c r="N30" s="119">
        <v>0</v>
      </c>
      <c r="O30" s="119">
        <v>0</v>
      </c>
      <c r="P30" s="119">
        <v>0</v>
      </c>
      <c r="Q30" s="119">
        <v>0</v>
      </c>
      <c r="R30" s="119">
        <f>Jackson!G19</f>
        <v>139468</v>
      </c>
      <c r="S30" s="119">
        <f>Jackson!G20</f>
        <v>443412</v>
      </c>
      <c r="T30" s="119">
        <f>Jackson!G17</f>
        <v>31249</v>
      </c>
      <c r="U30" s="119">
        <f t="shared" si="30"/>
        <v>956194</v>
      </c>
      <c r="V30" s="122" t="str">
        <f t="shared" si="20"/>
        <v>ok</v>
      </c>
      <c r="W30" s="120">
        <f>Jackson!G22</f>
        <v>956194</v>
      </c>
      <c r="X30" s="121"/>
      <c r="Y30" s="176"/>
      <c r="Z30" s="119">
        <f>Jackson!G25</f>
        <v>16399628</v>
      </c>
      <c r="AA30" s="119">
        <f>Jackson!G27+Jackson!G28+Jackson!G29+Jackson!G30+Jackson!G31+Jackson!G32+Jackson!G33+Jackson!G35+Jackson!G34</f>
        <v>10501997</v>
      </c>
      <c r="AB30" s="119">
        <f>Jackson!G36</f>
        <v>2990337</v>
      </c>
      <c r="AC30" s="119">
        <f t="shared" si="31"/>
        <v>29891962</v>
      </c>
      <c r="AD30" s="119">
        <f t="shared" si="6"/>
        <v>30848156</v>
      </c>
      <c r="AE30" s="122" t="str">
        <f t="shared" si="21"/>
        <v>ok</v>
      </c>
      <c r="AF30" s="120">
        <f>Jackson!G40</f>
        <v>30848156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</row>
    <row r="31" spans="1:530" s="221" customFormat="1" ht="15.6">
      <c r="A31" s="215"/>
      <c r="B31" s="216" t="s">
        <v>705</v>
      </c>
      <c r="C31" s="217">
        <f>Jefferson!H9</f>
        <v>18642000</v>
      </c>
      <c r="D31" s="217">
        <f>Jefferson!H10</f>
        <v>75588000</v>
      </c>
      <c r="E31" s="217">
        <f>Jefferson!H14+Jefferson!H15+Jefferson!H16+Jefferson!H19</f>
        <v>247324000</v>
      </c>
      <c r="F31" s="217">
        <f>Jefferson!H35+Jefferson!H36</f>
        <v>1174002000</v>
      </c>
      <c r="G31" s="217"/>
      <c r="H31" s="217">
        <f>Jefferson!H11+Jefferson!H21+Jefferson!H33</f>
        <v>481687000</v>
      </c>
      <c r="I31" s="217">
        <f t="shared" ref="I31" si="32">SUM(C31:H31)</f>
        <v>1997243000</v>
      </c>
      <c r="J31" s="130" t="str">
        <f t="shared" si="1"/>
        <v>ok</v>
      </c>
      <c r="K31" s="218">
        <f>Jefferson!H40</f>
        <v>1997243000</v>
      </c>
      <c r="L31" s="219">
        <f>Jefferson!H43</f>
        <v>7537000</v>
      </c>
      <c r="M31" s="217">
        <f>Jefferson!H49+Jefferson!H50+Jefferson!H51+Jefferson!H54+Jefferson!H55+Jefferson!H56</f>
        <v>56057000</v>
      </c>
      <c r="N31" s="217"/>
      <c r="O31" s="217"/>
      <c r="P31" s="217"/>
      <c r="Q31" s="217">
        <f>Jefferson!H53</f>
        <v>81000</v>
      </c>
      <c r="R31" s="217">
        <f>Jefferson!H52</f>
        <v>31102000</v>
      </c>
      <c r="S31" s="217">
        <f>Jefferson!H69</f>
        <v>463060000</v>
      </c>
      <c r="T31" s="217">
        <f>Jefferson!H57</f>
        <v>180070000</v>
      </c>
      <c r="U31" s="217">
        <f t="shared" ref="U31" si="33">SUM(M31:T31)</f>
        <v>730370000</v>
      </c>
      <c r="V31" s="130" t="str">
        <f t="shared" si="20"/>
        <v>ok</v>
      </c>
      <c r="W31" s="218">
        <f>Jefferson!H73</f>
        <v>730370000</v>
      </c>
      <c r="X31" s="220"/>
      <c r="Y31" s="219"/>
      <c r="Z31" s="217">
        <f>Jefferson!H76</f>
        <v>800435000</v>
      </c>
      <c r="AA31" s="217">
        <f>Jefferson!H78+Jefferson!H79+Jefferson!H80+Jefferson!H81+Jefferson!H82+Jefferson!H83+Jefferson!H84+Jefferson!H85+Jefferson!H86+Jefferson!H87+Jefferson!H89</f>
        <v>380678000</v>
      </c>
      <c r="AB31" s="217">
        <f>Jefferson!H90</f>
        <v>93297000</v>
      </c>
      <c r="AC31" s="217">
        <f t="shared" ref="AC31" si="34">SUM(Z31:AB31)</f>
        <v>1274410000</v>
      </c>
      <c r="AD31" s="217">
        <f t="shared" si="6"/>
        <v>2004780000</v>
      </c>
      <c r="AE31" s="130" t="str">
        <f t="shared" si="21"/>
        <v>ok</v>
      </c>
      <c r="AF31" s="218">
        <f>Jefferson!H94</f>
        <v>2004780000</v>
      </c>
    </row>
    <row r="32" spans="1:530" s="109" customFormat="1" ht="15.6">
      <c r="A32" s="117"/>
      <c r="B32" s="118" t="s">
        <v>706</v>
      </c>
      <c r="C32" s="119">
        <f>'Jefferson Davis'!G6+'Jefferson Davis'!G10</f>
        <v>20401182</v>
      </c>
      <c r="D32" s="119">
        <f>'Jefferson Davis'!G7</f>
        <v>2101032</v>
      </c>
      <c r="E32" s="119">
        <f>'Jefferson Davis'!G8</f>
        <v>799744</v>
      </c>
      <c r="F32" s="119">
        <f>'Jefferson Davis'!G11</f>
        <v>33564914</v>
      </c>
      <c r="G32" s="119">
        <v>0</v>
      </c>
      <c r="H32" s="119">
        <f>'Jefferson Davis'!G9</f>
        <v>68433</v>
      </c>
      <c r="I32" s="119">
        <f>SUM(C32:H32)</f>
        <v>56935305</v>
      </c>
      <c r="J32" s="130" t="str">
        <f>IF(I32=K32, "ok", "check")</f>
        <v>ok</v>
      </c>
      <c r="K32" s="120">
        <f>'Jefferson Davis'!G13</f>
        <v>56935305</v>
      </c>
      <c r="L32" s="176">
        <f>'Jefferson Davis'!G16</f>
        <v>84323</v>
      </c>
      <c r="M32" s="119">
        <f>'Jefferson Davis'!G19+'Jefferson Davis'!G20+'Jefferson Davis'!G23+'Jefferson Davis'!G26+'Jefferson Davis'!G27</f>
        <v>1918608</v>
      </c>
      <c r="N32" s="119">
        <v>0</v>
      </c>
      <c r="O32" s="119">
        <f>'Jefferson Davis'!G25</f>
        <v>1000000</v>
      </c>
      <c r="P32" s="119">
        <f>'Jefferson Davis'!G28</f>
        <v>15670000</v>
      </c>
      <c r="Q32" s="119">
        <f>'Jefferson Davis'!G21</f>
        <v>368500</v>
      </c>
      <c r="R32" s="119">
        <v>0</v>
      </c>
      <c r="S32" s="119">
        <v>0</v>
      </c>
      <c r="T32" s="119">
        <f>'Jefferson Davis'!G22+'Jefferson Davis'!G24</f>
        <v>1732694</v>
      </c>
      <c r="U32" s="119">
        <f>SUM(M32:T32)</f>
        <v>20689802</v>
      </c>
      <c r="V32" s="130" t="str">
        <f>IF(U32=W32, "ok", "check")</f>
        <v>ok</v>
      </c>
      <c r="W32" s="120">
        <f>'Jefferson Davis'!G30</f>
        <v>20689802</v>
      </c>
      <c r="X32" s="121"/>
      <c r="Y32" s="176">
        <f>'Jefferson Davis'!G33</f>
        <v>46979</v>
      </c>
      <c r="Z32" s="119">
        <f>'Jefferson Davis'!G36</f>
        <v>15843535</v>
      </c>
      <c r="AA32" s="119">
        <f>'Jefferson Davis'!G38+'Jefferson Davis'!G39+'Jefferson Davis'!G40+'Jefferson Davis'!G41+'Jefferson Davis'!G42+'Jefferson Davis'!G43</f>
        <v>15262946</v>
      </c>
      <c r="AB32" s="119">
        <f>'Jefferson Davis'!G44</f>
        <v>5176366</v>
      </c>
      <c r="AC32" s="119">
        <f>SUM(Z32:AB32)</f>
        <v>36282847</v>
      </c>
      <c r="AD32" s="119">
        <f>SUM(AC32,U32+Y32)</f>
        <v>57019628</v>
      </c>
      <c r="AE32" s="130" t="str">
        <f>IF(AD32=AF32, "ok", "check")</f>
        <v>ok</v>
      </c>
      <c r="AF32" s="120">
        <f>'Jefferson Davis'!G48</f>
        <v>57019628</v>
      </c>
    </row>
    <row r="33" spans="1:530" s="221" customFormat="1" ht="15.6">
      <c r="A33" s="215"/>
      <c r="B33" s="216" t="s">
        <v>707</v>
      </c>
      <c r="C33" s="217">
        <f>Lafayette!H8</f>
        <v>7721845</v>
      </c>
      <c r="D33" s="217">
        <f>Lafayette!H9</f>
        <v>278852022</v>
      </c>
      <c r="E33" s="217">
        <f>Lafayette!H10+Lafayette!H11+Lafayette!H13+Lafayette!H14</f>
        <v>4994429</v>
      </c>
      <c r="F33" s="217">
        <f>Lafayette!H30+Lafayette!H31</f>
        <v>587439753</v>
      </c>
      <c r="G33" s="217">
        <f>Lafayette!H17+Lafayette!H18</f>
        <v>18677653</v>
      </c>
      <c r="H33" s="217">
        <f>Lafayette!H15+Lafayette!H20+Lafayette!H21+Lafayette!H27</f>
        <v>8544623</v>
      </c>
      <c r="I33" s="217">
        <f t="shared" ref="I33" si="35">SUM(C33:H33)</f>
        <v>906230325</v>
      </c>
      <c r="J33" s="130" t="str">
        <f t="shared" si="1"/>
        <v>ok</v>
      </c>
      <c r="K33" s="218">
        <f>Lafayette!H33</f>
        <v>906230325</v>
      </c>
      <c r="L33" s="219"/>
      <c r="M33" s="217">
        <f>Lafayette!H37+Lafayette!H39+Lafayette!H40+Lafayette!H41+Lafayette!H46</f>
        <v>10285793</v>
      </c>
      <c r="N33" s="217"/>
      <c r="O33" s="217"/>
      <c r="P33" s="217"/>
      <c r="Q33" s="217">
        <f>Lafayette!H43+Lafayette!H44</f>
        <v>788161</v>
      </c>
      <c r="R33" s="217">
        <f>Lafayette!H49</f>
        <v>34417905</v>
      </c>
      <c r="S33" s="217">
        <f>Lafayette!H50</f>
        <v>409431497</v>
      </c>
      <c r="T33" s="217">
        <f>Lafayette!H38+Lafayette!H45</f>
        <v>4485338</v>
      </c>
      <c r="U33" s="217">
        <f t="shared" ref="U33" si="36">SUM(M33:T33)</f>
        <v>459408694</v>
      </c>
      <c r="V33" s="130" t="str">
        <f t="shared" si="20"/>
        <v>ok</v>
      </c>
      <c r="W33" s="218">
        <f>Lafayette!H52</f>
        <v>459408694</v>
      </c>
      <c r="X33" s="220"/>
      <c r="Y33" s="219"/>
      <c r="Z33" s="217">
        <f>Lafayette!H55</f>
        <v>304942786</v>
      </c>
      <c r="AA33" s="217">
        <f>Lafayette!H57+Lafayette!H58+Lafayette!H59</f>
        <v>170001019</v>
      </c>
      <c r="AB33" s="217">
        <f>Lafayette!H60</f>
        <v>-28122174</v>
      </c>
      <c r="AC33" s="217">
        <f t="shared" ref="AC33" si="37">SUM(Z33:AB33)</f>
        <v>446821631</v>
      </c>
      <c r="AD33" s="217">
        <f t="shared" si="6"/>
        <v>906230325</v>
      </c>
      <c r="AE33" s="130" t="str">
        <f t="shared" si="21"/>
        <v>ok</v>
      </c>
      <c r="AF33" s="218">
        <f>Lafayette!H64</f>
        <v>906230325</v>
      </c>
    </row>
    <row r="34" spans="1:530" s="109" customFormat="1" ht="15.6">
      <c r="A34" s="117"/>
      <c r="B34" s="118" t="s">
        <v>708</v>
      </c>
      <c r="C34" s="119">
        <f>Lafourche!H7</f>
        <v>28390862</v>
      </c>
      <c r="D34" s="119">
        <f>Lafourche!H8</f>
        <v>19417222</v>
      </c>
      <c r="E34" s="119">
        <f>Lafourche!H9</f>
        <v>2513853</v>
      </c>
      <c r="F34" s="119">
        <f>Lafourche!H13+Lafourche!H14</f>
        <v>83052485</v>
      </c>
      <c r="G34" s="119">
        <f>Lafourche!H10</f>
        <v>32644660</v>
      </c>
      <c r="H34" s="119">
        <f>Lafourche!H11</f>
        <v>1525426</v>
      </c>
      <c r="I34" s="119">
        <f t="shared" ref="I34:I36" si="38">SUM(C34:H34)</f>
        <v>167544508</v>
      </c>
      <c r="J34" s="130" t="str">
        <f t="shared" si="1"/>
        <v>ok</v>
      </c>
      <c r="K34" s="120">
        <f>Lafourche!H16</f>
        <v>167544508</v>
      </c>
      <c r="L34" s="176">
        <f>Lafourche!H19</f>
        <v>1077879</v>
      </c>
      <c r="M34" s="119">
        <f>Lafourche!H24+Lafourche!H26</f>
        <v>7901235</v>
      </c>
      <c r="N34" s="119"/>
      <c r="O34" s="119"/>
      <c r="P34" s="119"/>
      <c r="Q34" s="119">
        <f>Lafourche!H27</f>
        <v>383924</v>
      </c>
      <c r="R34" s="119">
        <f>Lafourche!H29</f>
        <v>8630887</v>
      </c>
      <c r="S34" s="119">
        <f>Lafourche!H30</f>
        <v>46541145</v>
      </c>
      <c r="T34" s="119">
        <f>Lafourche!H25</f>
        <v>517734</v>
      </c>
      <c r="U34" s="119">
        <f t="shared" ref="U34:U36" si="39">SUM(M34:T34)</f>
        <v>63974925</v>
      </c>
      <c r="V34" s="130" t="str">
        <f t="shared" si="20"/>
        <v>ok</v>
      </c>
      <c r="W34" s="120">
        <f>Lafourche!H32</f>
        <v>63974925</v>
      </c>
      <c r="X34" s="121"/>
      <c r="Y34" s="176"/>
      <c r="Z34" s="119">
        <f>Lafourche!H35</f>
        <v>34851386</v>
      </c>
      <c r="AA34" s="119">
        <f>Lafourche!H37+Lafourche!H38</f>
        <v>37494802</v>
      </c>
      <c r="AB34" s="119">
        <f>Lafourche!H39</f>
        <v>32301274</v>
      </c>
      <c r="AC34" s="119">
        <f t="shared" ref="AC34:AC36" si="40">SUM(Z34:AB34)</f>
        <v>104647462</v>
      </c>
      <c r="AD34" s="119">
        <f t="shared" si="6"/>
        <v>168622387</v>
      </c>
      <c r="AE34" s="130" t="str">
        <f t="shared" si="21"/>
        <v>ok</v>
      </c>
      <c r="AF34" s="120">
        <f>Lafourche!H43</f>
        <v>168622387</v>
      </c>
    </row>
    <row r="35" spans="1:530" ht="15.6">
      <c r="A35" s="57"/>
      <c r="B35" s="3" t="s">
        <v>709</v>
      </c>
      <c r="C35" s="60">
        <f>LaSalle!G6</f>
        <v>2504699</v>
      </c>
      <c r="D35" s="60">
        <f>Morehouse!G3</f>
        <v>0</v>
      </c>
      <c r="E35" s="60">
        <f>LaSalle!G7</f>
        <v>3366905</v>
      </c>
      <c r="F35" s="60">
        <f>LaSalle!G9</f>
        <v>5846162</v>
      </c>
      <c r="G35" s="60">
        <v>0</v>
      </c>
      <c r="H35" s="60">
        <f>LaSalle!G8</f>
        <v>7476</v>
      </c>
      <c r="I35" s="60">
        <f>SUM(C35:H35)</f>
        <v>11725242</v>
      </c>
      <c r="J35" s="130" t="str">
        <f>IF(I35=K35, "ok", "check")</f>
        <v>ok</v>
      </c>
      <c r="K35" s="59">
        <f>LaSalle!G11</f>
        <v>11725242</v>
      </c>
      <c r="L35" s="177"/>
      <c r="M35" s="60">
        <f>LaSalle!G15+LaSalle!G16</f>
        <v>312887</v>
      </c>
      <c r="N35" s="60">
        <v>0</v>
      </c>
      <c r="O35" s="60">
        <v>0</v>
      </c>
      <c r="P35" s="60">
        <v>0</v>
      </c>
      <c r="Q35" s="60">
        <v>0</v>
      </c>
      <c r="R35" s="60">
        <f>LaSalle!G19</f>
        <v>221535</v>
      </c>
      <c r="S35" s="60">
        <f>LaSalle!G20</f>
        <v>125749</v>
      </c>
      <c r="T35" s="60">
        <f>LaSalle!G14+LaSalle!G17</f>
        <v>285546</v>
      </c>
      <c r="U35" s="60">
        <f>SUM(M35:T35)</f>
        <v>945717</v>
      </c>
      <c r="V35" s="122" t="str">
        <f>IF(U35=W35, "ok", "check")</f>
        <v>ok</v>
      </c>
      <c r="W35" s="59">
        <f>LaSalle!G22</f>
        <v>945717</v>
      </c>
      <c r="X35" s="61"/>
      <c r="Y35" s="177"/>
      <c r="Z35" s="60">
        <f>LaSalle!G25</f>
        <v>5498878</v>
      </c>
      <c r="AA35" s="60">
        <v>0</v>
      </c>
      <c r="AB35" s="60">
        <f>LaSalle!G26</f>
        <v>5280647</v>
      </c>
      <c r="AC35" s="60">
        <f>SUM(Z35:AB35)</f>
        <v>10779525</v>
      </c>
      <c r="AD35" s="60">
        <f>SUM(AC35,U35+Y35)</f>
        <v>11725242</v>
      </c>
      <c r="AE35" s="122" t="str">
        <f>IF(AD35=AF35, "ok", "check")</f>
        <v>ok</v>
      </c>
      <c r="AF35" s="59">
        <f>LaSalle!G30</f>
        <v>11725242</v>
      </c>
    </row>
    <row r="36" spans="1:530" s="109" customFormat="1" ht="15.6">
      <c r="A36" s="117"/>
      <c r="B36" s="118" t="s">
        <v>710</v>
      </c>
      <c r="C36" s="119">
        <f>Lincoln!G6</f>
        <v>9270701</v>
      </c>
      <c r="D36" s="119">
        <f>Lincoln!G7</f>
        <v>22426630</v>
      </c>
      <c r="E36" s="119">
        <f>Lincoln!G8</f>
        <v>7709169</v>
      </c>
      <c r="F36" s="119">
        <f>Lincoln!G12+Lincoln!G13</f>
        <v>23870185</v>
      </c>
      <c r="G36" s="119">
        <f>Lincoln!G9</f>
        <v>236078</v>
      </c>
      <c r="H36" s="119">
        <f>Lincoln!G10</f>
        <v>11582</v>
      </c>
      <c r="I36" s="119">
        <f t="shared" si="38"/>
        <v>63524345</v>
      </c>
      <c r="J36" s="130" t="str">
        <f t="shared" si="1"/>
        <v>ok</v>
      </c>
      <c r="K36" s="120">
        <f>Lincoln!G15</f>
        <v>63524345</v>
      </c>
      <c r="L36" s="176">
        <f>Lincoln!G18</f>
        <v>3008</v>
      </c>
      <c r="M36" s="119">
        <f>Lincoln!G21</f>
        <v>1372481</v>
      </c>
      <c r="N36" s="119">
        <f>Lincoln!G27</f>
        <v>114162</v>
      </c>
      <c r="O36" s="119">
        <f>Lincoln!G25</f>
        <v>466000</v>
      </c>
      <c r="P36" s="119">
        <f>Lincoln!G28</f>
        <v>3476000</v>
      </c>
      <c r="Q36" s="119">
        <f>Lincoln!G22</f>
        <v>1330002</v>
      </c>
      <c r="R36" s="119">
        <v>0</v>
      </c>
      <c r="S36" s="119">
        <v>0</v>
      </c>
      <c r="T36" s="119">
        <f>Lincoln!G30</f>
        <v>1605571</v>
      </c>
      <c r="U36" s="119">
        <f t="shared" si="39"/>
        <v>8364216</v>
      </c>
      <c r="V36" s="122" t="str">
        <f t="shared" si="20"/>
        <v>ok</v>
      </c>
      <c r="W36" s="120">
        <f>Lincoln!G32</f>
        <v>8364216</v>
      </c>
      <c r="X36" s="121"/>
      <c r="Y36" s="176"/>
      <c r="Z36" s="119">
        <f>Lincoln!G35</f>
        <v>23870185</v>
      </c>
      <c r="AA36" s="119">
        <f>Lincoln!G37+Lincoln!G38</f>
        <v>2988970</v>
      </c>
      <c r="AB36" s="119">
        <f>Lincoln!G39</f>
        <v>28303982</v>
      </c>
      <c r="AC36" s="119">
        <f t="shared" si="40"/>
        <v>55163137</v>
      </c>
      <c r="AD36" s="119">
        <f t="shared" si="6"/>
        <v>63527353</v>
      </c>
      <c r="AE36" s="122" t="str">
        <f t="shared" si="21"/>
        <v>ok</v>
      </c>
      <c r="AF36" s="120">
        <f>Lincoln!G43</f>
        <v>63527353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</row>
    <row r="37" spans="1:530">
      <c r="B37" s="3" t="s">
        <v>711</v>
      </c>
      <c r="C37" s="60">
        <f>Livingston!H8+Livingston!H18</f>
        <v>12380958</v>
      </c>
      <c r="D37" s="60">
        <f>Livingston!H9+Livingston!H19</f>
        <v>12037340</v>
      </c>
      <c r="E37" s="60">
        <f>Livingston!H10</f>
        <v>1643857</v>
      </c>
      <c r="F37" s="60">
        <f>Livingston!H22+Livingston!H21</f>
        <v>143672528</v>
      </c>
      <c r="G37" s="60">
        <f>Livingston!H13+Livingston!H14</f>
        <v>12323220</v>
      </c>
      <c r="H37" s="60">
        <f>Livingston!H11+Livingston!H12+Livingston!H15+Livingston!H16</f>
        <v>1329544</v>
      </c>
      <c r="I37" s="60">
        <f t="shared" ref="I37:I40" si="41">SUM(C37:H37)</f>
        <v>183387447</v>
      </c>
      <c r="J37" s="130" t="str">
        <f t="shared" si="1"/>
        <v>ok</v>
      </c>
      <c r="K37" s="59">
        <f>Livingston!H24</f>
        <v>183387447</v>
      </c>
      <c r="L37" s="177">
        <f>Livingston!H27</f>
        <v>377331</v>
      </c>
      <c r="M37" s="60">
        <f>Livingston!H32+Livingston!H36</f>
        <v>6822599</v>
      </c>
      <c r="N37" s="60"/>
      <c r="O37" s="60"/>
      <c r="P37" s="60"/>
      <c r="Q37" s="60">
        <f>Livingston!H34</f>
        <v>574768</v>
      </c>
      <c r="R37" s="60">
        <f>Livingston!H38</f>
        <v>6216751</v>
      </c>
      <c r="S37" s="60">
        <f>Livingston!H39</f>
        <v>80849877</v>
      </c>
      <c r="T37" s="60">
        <f>Livingston!H33+Livingston!H35</f>
        <v>1112266</v>
      </c>
      <c r="U37" s="60">
        <f t="shared" ref="U37:U40" si="42">SUM(M37:T37)</f>
        <v>95576261</v>
      </c>
      <c r="V37" s="122" t="str">
        <f t="shared" si="20"/>
        <v>ok</v>
      </c>
      <c r="W37" s="59">
        <f>Livingston!H41</f>
        <v>95576261</v>
      </c>
      <c r="X37" s="61"/>
      <c r="Y37" s="177"/>
      <c r="Z37" s="60">
        <f>Livingston!H44</f>
        <v>63010299</v>
      </c>
      <c r="AA37" s="60">
        <f>Livingston!H46+Livingston!H47+Livingston!H48+Livingston!H49</f>
        <v>16462281</v>
      </c>
      <c r="AB37" s="60">
        <f>Livingston!H50</f>
        <v>8715937</v>
      </c>
      <c r="AC37" s="60">
        <f t="shared" ref="AC37:AC40" si="43">SUM(Z37:AB37)</f>
        <v>88188517</v>
      </c>
      <c r="AD37" s="60">
        <f t="shared" si="6"/>
        <v>183764778</v>
      </c>
      <c r="AE37" s="122" t="str">
        <f t="shared" si="21"/>
        <v>ok</v>
      </c>
      <c r="AF37" s="59">
        <f>Livingston!H54</f>
        <v>183764778</v>
      </c>
    </row>
    <row r="38" spans="1:530" s="109" customFormat="1" ht="15.6">
      <c r="A38" s="117"/>
      <c r="B38" s="118" t="s">
        <v>712</v>
      </c>
      <c r="C38" s="119">
        <f>Madison!G6</f>
        <v>4448930</v>
      </c>
      <c r="D38" s="119">
        <f>Madison!G7</f>
        <v>2949665</v>
      </c>
      <c r="E38" s="119">
        <f>Madison!G8</f>
        <v>5726410</v>
      </c>
      <c r="F38" s="119">
        <f>Madison!G9</f>
        <v>8177367</v>
      </c>
      <c r="G38" s="119">
        <v>0</v>
      </c>
      <c r="H38" s="119">
        <v>0</v>
      </c>
      <c r="I38" s="119">
        <f t="shared" ref="I38" si="44">SUM(C38:H38)</f>
        <v>21302372</v>
      </c>
      <c r="J38" s="130" t="str">
        <f t="shared" si="1"/>
        <v>ok</v>
      </c>
      <c r="K38" s="120">
        <f>Madison!G11</f>
        <v>21302372</v>
      </c>
      <c r="L38" s="176"/>
      <c r="M38" s="119">
        <f>Madison!G14</f>
        <v>272870</v>
      </c>
      <c r="N38" s="119">
        <v>0</v>
      </c>
      <c r="O38" s="119">
        <v>0</v>
      </c>
      <c r="P38" s="119">
        <v>0</v>
      </c>
      <c r="Q38" s="119">
        <v>0</v>
      </c>
      <c r="R38" s="119">
        <f>Madison!G16</f>
        <v>39058</v>
      </c>
      <c r="S38" s="119">
        <f>Madison!G17</f>
        <v>514428</v>
      </c>
      <c r="T38" s="119">
        <v>0</v>
      </c>
      <c r="U38" s="119">
        <f t="shared" ref="U38" si="45">SUM(M38:T38)</f>
        <v>826356</v>
      </c>
      <c r="V38" s="122" t="str">
        <f t="shared" si="20"/>
        <v>ok</v>
      </c>
      <c r="W38" s="120">
        <f>Madison!G19</f>
        <v>826356</v>
      </c>
      <c r="X38" s="121"/>
      <c r="Y38" s="176"/>
      <c r="Z38" s="119">
        <f>Madison!G22</f>
        <v>8055870</v>
      </c>
      <c r="AA38" s="119">
        <f>Madison!G24+Madison!G25+Madison!G26+Madison!G27+Madison!G28+Madison!G29</f>
        <v>11976048</v>
      </c>
      <c r="AB38" s="119">
        <f>Madison!G30</f>
        <v>444098</v>
      </c>
      <c r="AC38" s="119">
        <f t="shared" ref="AC38" si="46">SUM(Z38:AB38)</f>
        <v>20476016</v>
      </c>
      <c r="AD38" s="119">
        <f t="shared" si="6"/>
        <v>21302372</v>
      </c>
      <c r="AE38" s="122" t="str">
        <f t="shared" si="21"/>
        <v>ok</v>
      </c>
      <c r="AF38" s="120">
        <f>Madison!G34</f>
        <v>21302372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</row>
    <row r="39" spans="1:530" ht="15.6">
      <c r="A39" s="57"/>
      <c r="B39" s="3" t="s">
        <v>713</v>
      </c>
      <c r="C39" s="60">
        <f>Morehouse!G6</f>
        <v>3855174</v>
      </c>
      <c r="D39" s="60">
        <f>Morehouse!G7</f>
        <v>525000</v>
      </c>
      <c r="E39" s="60">
        <f>Morehouse!G8</f>
        <v>2339602</v>
      </c>
      <c r="F39" s="60">
        <f>Morehouse!G10+Morehouse!G11</f>
        <v>13644421</v>
      </c>
      <c r="G39" s="60"/>
      <c r="H39" s="60">
        <v>0</v>
      </c>
      <c r="I39" s="60">
        <f t="shared" si="41"/>
        <v>20364197</v>
      </c>
      <c r="J39" s="130" t="str">
        <f t="shared" si="1"/>
        <v>ok</v>
      </c>
      <c r="K39" s="59">
        <f>Morehouse!G13</f>
        <v>20364197</v>
      </c>
      <c r="L39" s="177"/>
      <c r="M39" s="60">
        <f>Morehouse!G17+Morehouse!G18</f>
        <v>280988</v>
      </c>
      <c r="N39" s="60"/>
      <c r="O39" s="60"/>
      <c r="P39" s="60"/>
      <c r="Q39" s="60">
        <v>0</v>
      </c>
      <c r="R39" s="60">
        <f>Morehouse!G20</f>
        <v>34542</v>
      </c>
      <c r="S39" s="60">
        <v>0</v>
      </c>
      <c r="T39" s="60">
        <f>Morehouse!G16</f>
        <v>2067087</v>
      </c>
      <c r="U39" s="60">
        <f t="shared" si="42"/>
        <v>2382617</v>
      </c>
      <c r="V39" s="122" t="str">
        <f t="shared" si="20"/>
        <v>ok</v>
      </c>
      <c r="W39" s="59">
        <f>Morehouse!G22</f>
        <v>2382617</v>
      </c>
      <c r="X39" s="61"/>
      <c r="Y39" s="177">
        <f>Morehouse!G25</f>
        <v>2110568</v>
      </c>
      <c r="Z39" s="60">
        <f>Morehouse!G28</f>
        <v>13644421</v>
      </c>
      <c r="AA39" s="60">
        <f>Morehouse!G29</f>
        <v>4215876</v>
      </c>
      <c r="AB39" s="60">
        <f>Morehouse!G30</f>
        <v>-1989285</v>
      </c>
      <c r="AC39" s="60">
        <f t="shared" si="43"/>
        <v>15871012</v>
      </c>
      <c r="AD39" s="60">
        <f t="shared" si="6"/>
        <v>20364197</v>
      </c>
      <c r="AE39" s="122" t="str">
        <f t="shared" si="21"/>
        <v>ok</v>
      </c>
      <c r="AF39" s="59">
        <f>Morehouse!G34</f>
        <v>20364197</v>
      </c>
    </row>
    <row r="40" spans="1:530" s="109" customFormat="1" ht="15.6">
      <c r="A40" s="117"/>
      <c r="B40" s="118" t="s">
        <v>714</v>
      </c>
      <c r="C40" s="119">
        <f>Natchitoches!H7</f>
        <v>6692314</v>
      </c>
      <c r="D40" s="119">
        <f>Lincoln!G11</f>
        <v>0</v>
      </c>
      <c r="E40" s="119">
        <f>Natchitoches!H8</f>
        <v>6580976</v>
      </c>
      <c r="F40" s="119">
        <f>Natchitoches!H13</f>
        <v>10706052</v>
      </c>
      <c r="G40" s="119">
        <v>0</v>
      </c>
      <c r="H40" s="119">
        <f>Lincoln!G14</f>
        <v>0</v>
      </c>
      <c r="I40" s="119">
        <f t="shared" si="41"/>
        <v>23979342</v>
      </c>
      <c r="J40" s="130" t="str">
        <f t="shared" si="1"/>
        <v>ok</v>
      </c>
      <c r="K40" s="120">
        <f>Natchitoches!H17</f>
        <v>23979342</v>
      </c>
      <c r="L40" s="176"/>
      <c r="M40" s="119">
        <f>Natchitoches!H22+Natchitoches!H23</f>
        <v>1026255</v>
      </c>
      <c r="N40" s="119">
        <f>Natchitoches!H29</f>
        <v>142189</v>
      </c>
      <c r="O40" s="119">
        <f>Lincoln!G29</f>
        <v>0</v>
      </c>
      <c r="P40" s="119">
        <v>0</v>
      </c>
      <c r="Q40" s="119">
        <f>Natchitoches!H24</f>
        <v>894223</v>
      </c>
      <c r="R40" s="119">
        <v>0</v>
      </c>
      <c r="S40" s="119">
        <v>0</v>
      </c>
      <c r="T40" s="119">
        <f>Natchitoches!H21</f>
        <v>27017</v>
      </c>
      <c r="U40" s="119">
        <f t="shared" si="42"/>
        <v>2089684</v>
      </c>
      <c r="V40" s="122" t="str">
        <f t="shared" si="20"/>
        <v>ok</v>
      </c>
      <c r="W40" s="120">
        <f>Natchitoches!H33</f>
        <v>2089684</v>
      </c>
      <c r="X40" s="121"/>
      <c r="Y40" s="176"/>
      <c r="Z40" s="119">
        <f>Natchitoches!H36</f>
        <v>10706052</v>
      </c>
      <c r="AA40" s="119">
        <v>0</v>
      </c>
      <c r="AB40" s="119">
        <f>Natchitoches!H37</f>
        <v>11183606</v>
      </c>
      <c r="AC40" s="119">
        <f t="shared" si="43"/>
        <v>21889658</v>
      </c>
      <c r="AD40" s="119">
        <f t="shared" si="6"/>
        <v>23979342</v>
      </c>
      <c r="AE40" s="122" t="str">
        <f t="shared" si="21"/>
        <v>ok</v>
      </c>
      <c r="AF40" s="120">
        <f>Natchitoches!H41</f>
        <v>23979342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</row>
    <row r="41" spans="1:530" ht="15.6">
      <c r="A41" s="57"/>
      <c r="B41" s="3" t="s">
        <v>715</v>
      </c>
      <c r="C41" s="60">
        <f>Orleans!H7</f>
        <v>62125000</v>
      </c>
      <c r="D41" s="60">
        <f>Orleans!H8</f>
        <v>165644000</v>
      </c>
      <c r="E41" s="60">
        <f>Orleans!H10+Orleans!H11+Orleans!H12+Orleans!H13</f>
        <v>43801000</v>
      </c>
      <c r="F41" s="60">
        <f>Orleans!H19</f>
        <v>1550110000</v>
      </c>
      <c r="G41" s="60">
        <f>Orleans!H15+Orleans!H16</f>
        <v>72840000</v>
      </c>
      <c r="H41" s="60">
        <f>Orleans!H17</f>
        <v>24000</v>
      </c>
      <c r="I41" s="60">
        <f t="shared" ref="I41:I42" si="47">SUM(C41:H41)</f>
        <v>1894544000</v>
      </c>
      <c r="J41" s="130" t="str">
        <f t="shared" si="1"/>
        <v>ok</v>
      </c>
      <c r="K41" s="59">
        <f>Orleans!H21</f>
        <v>1894544000</v>
      </c>
      <c r="L41" s="177">
        <f>Orleans!H24</f>
        <v>7241</v>
      </c>
      <c r="M41" s="60">
        <f>Orleans!H29+Orleans!H30+Orleans!H32+Orleans!H33</f>
        <v>100321000</v>
      </c>
      <c r="N41" s="60"/>
      <c r="O41" s="60">
        <v>0</v>
      </c>
      <c r="P41" s="60">
        <v>0</v>
      </c>
      <c r="Q41" s="60">
        <f>Orleans!H34+Orleans!H35</f>
        <v>10276000</v>
      </c>
      <c r="R41" s="60">
        <f>Orleans!H38</f>
        <v>163403000</v>
      </c>
      <c r="S41" s="60">
        <f>Orleans!H39</f>
        <v>1431852000</v>
      </c>
      <c r="T41" s="60">
        <f>Orleans!H31+Orleans!H36</f>
        <v>3745000</v>
      </c>
      <c r="U41" s="60">
        <f t="shared" ref="U41:U42" si="48">SUM(M41:T41)</f>
        <v>1709597000</v>
      </c>
      <c r="V41" s="122" t="str">
        <f t="shared" si="20"/>
        <v>ok</v>
      </c>
      <c r="W41" s="59">
        <f>Orleans!H41</f>
        <v>1709597000</v>
      </c>
      <c r="X41" s="61"/>
      <c r="Y41" s="177">
        <f>Orleans!H44</f>
        <v>7386</v>
      </c>
      <c r="Z41" s="60">
        <f>Orleans!H49</f>
        <v>894662000</v>
      </c>
      <c r="AA41" s="60">
        <f>Orleans!H50+Orleans!H51</f>
        <v>113204000</v>
      </c>
      <c r="AB41" s="60">
        <f>Orleans!H53</f>
        <v>-823064000</v>
      </c>
      <c r="AC41" s="60">
        <f t="shared" ref="AC41:AC42" si="49">SUM(Z41:AB41)</f>
        <v>184802000</v>
      </c>
      <c r="AD41" s="60">
        <f t="shared" si="6"/>
        <v>1894406386</v>
      </c>
      <c r="AE41" s="122" t="str">
        <f t="shared" si="21"/>
        <v>ok</v>
      </c>
      <c r="AF41" s="59">
        <f>Orleans!H57</f>
        <v>1894406386</v>
      </c>
    </row>
    <row r="42" spans="1:530" s="109" customFormat="1">
      <c r="B42" s="118" t="s">
        <v>716</v>
      </c>
      <c r="C42" s="119">
        <f>Ouachita!F7</f>
        <v>42454537</v>
      </c>
      <c r="D42" s="119">
        <f>Ouachita!F8</f>
        <v>12027474</v>
      </c>
      <c r="E42" s="119">
        <f>Ouachita!F10+Ouachita!F11+Ouachita!F12+Ouachita!F13</f>
        <v>35685736</v>
      </c>
      <c r="F42" s="119">
        <f>Ouachita!F19</f>
        <v>181359356</v>
      </c>
      <c r="G42" s="119">
        <f>Ouachita!F15</f>
        <v>4118714</v>
      </c>
      <c r="H42" s="119">
        <f>Ouachita!F16+Ouachita!F17+Ouachita!F18</f>
        <v>1032589</v>
      </c>
      <c r="I42" s="119">
        <f t="shared" si="47"/>
        <v>276678406</v>
      </c>
      <c r="J42" s="130" t="str">
        <f t="shared" si="1"/>
        <v>ok</v>
      </c>
      <c r="K42" s="120">
        <f>Ouachita!F21</f>
        <v>276678406</v>
      </c>
      <c r="L42" s="176"/>
      <c r="M42" s="119">
        <f>Ouachita!F24</f>
        <v>5273831</v>
      </c>
      <c r="N42" s="119">
        <v>0</v>
      </c>
      <c r="O42" s="119">
        <v>0</v>
      </c>
      <c r="P42" s="119">
        <v>0</v>
      </c>
      <c r="Q42" s="119">
        <v>0</v>
      </c>
      <c r="R42" s="119">
        <f>Ouachita!F28</f>
        <v>1956292</v>
      </c>
      <c r="S42" s="119">
        <f>Ouachita!F29</f>
        <v>5916082</v>
      </c>
      <c r="T42" s="119">
        <f>Ouachita!F25+Ouachita!F26</f>
        <v>1496420</v>
      </c>
      <c r="U42" s="119">
        <f t="shared" si="48"/>
        <v>14642625</v>
      </c>
      <c r="V42" s="122" t="str">
        <f t="shared" si="20"/>
        <v>ok</v>
      </c>
      <c r="W42" s="120">
        <f>Ouachita!F32</f>
        <v>14642625</v>
      </c>
      <c r="X42" s="121"/>
      <c r="Y42" s="176"/>
      <c r="Z42" s="119">
        <f>Ouachita!F35</f>
        <v>181359356</v>
      </c>
      <c r="AA42" s="119">
        <f>Ouachita!F37+Ouachita!F38+Ouachita!F39+Ouachita!F40+Ouachita!F41+Ouachita!F42+Ouachita!F43+Ouachita!F44+Ouachita!F45</f>
        <v>77077575</v>
      </c>
      <c r="AB42" s="119">
        <f>Ouachita!F46</f>
        <v>3598850</v>
      </c>
      <c r="AC42" s="119">
        <f t="shared" si="49"/>
        <v>262035781</v>
      </c>
      <c r="AD42" s="119">
        <f t="shared" si="6"/>
        <v>276678406</v>
      </c>
      <c r="AE42" s="122" t="str">
        <f t="shared" si="21"/>
        <v>ok</v>
      </c>
      <c r="AF42" s="120">
        <f>Ouachita!F50</f>
        <v>276678406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</row>
    <row r="43" spans="1:530" ht="15.6">
      <c r="A43" s="57"/>
      <c r="B43" s="3" t="s">
        <v>717</v>
      </c>
      <c r="C43" s="60">
        <f>Plaquemines!H7</f>
        <v>132705600</v>
      </c>
      <c r="D43" s="60">
        <f>Plaquemines!H8</f>
        <v>4998456</v>
      </c>
      <c r="E43" s="60">
        <f>Plaquemines!H9</f>
        <v>91095902</v>
      </c>
      <c r="F43" s="60">
        <f>Plaquemines!H17+Plaquemines!H18</f>
        <v>437830595</v>
      </c>
      <c r="G43" s="60"/>
      <c r="H43" s="60">
        <f>Plaquemines!H10+Plaquemines!H11+Plaquemines!H16</f>
        <v>3038100</v>
      </c>
      <c r="I43" s="60">
        <f t="shared" ref="I43" si="50">SUM(C43:H43)</f>
        <v>669668653</v>
      </c>
      <c r="J43" s="130" t="str">
        <f t="shared" si="1"/>
        <v>ok</v>
      </c>
      <c r="K43" s="59">
        <f>Plaquemines!H22</f>
        <v>669668653</v>
      </c>
      <c r="L43" s="177"/>
      <c r="M43" s="60">
        <f>Plaquemines!H27+Plaquemines!H29+Plaquemines!H31+Plaquemines!H40+Plaquemines!H43</f>
        <v>41531875</v>
      </c>
      <c r="N43" s="60">
        <f>Plaquemines!H32</f>
        <v>1134856</v>
      </c>
      <c r="O43" s="60">
        <f>Plaquemines!H28</f>
        <v>3965000</v>
      </c>
      <c r="P43" s="60">
        <f>Plaquemines!H41+Plaquemines!H42</f>
        <v>130095000</v>
      </c>
      <c r="Q43" s="60">
        <f>Plaquemines!H33</f>
        <v>52325</v>
      </c>
      <c r="R43" s="60"/>
      <c r="S43" s="60"/>
      <c r="T43" s="60">
        <f>Plaquemines!H30+Plaquemines!H34+Plaquemines!H39</f>
        <v>12380913</v>
      </c>
      <c r="U43" s="60">
        <f t="shared" ref="U43" si="51">SUM(M43:T43)</f>
        <v>189159969</v>
      </c>
      <c r="V43" s="122" t="str">
        <f t="shared" si="20"/>
        <v>ok</v>
      </c>
      <c r="W43" s="59">
        <f>Plaquemines!H47</f>
        <v>189159969</v>
      </c>
      <c r="X43" s="61"/>
      <c r="Y43" s="177"/>
      <c r="Z43" s="60">
        <f>Plaquemines!H50</f>
        <v>312670595</v>
      </c>
      <c r="AA43" s="60">
        <f>Plaquemines!H51</f>
        <v>108839363</v>
      </c>
      <c r="AB43" s="60">
        <f>Plaquemines!H52</f>
        <v>58998726</v>
      </c>
      <c r="AC43" s="60">
        <f t="shared" ref="AC43" si="52">SUM(Z43:AB43)</f>
        <v>480508684</v>
      </c>
      <c r="AD43" s="60">
        <f t="shared" si="6"/>
        <v>669668653</v>
      </c>
      <c r="AE43" s="122" t="str">
        <f t="shared" si="21"/>
        <v>ok</v>
      </c>
      <c r="AF43" s="59">
        <f>Plaquemines!H56</f>
        <v>669668653</v>
      </c>
    </row>
    <row r="44" spans="1:530" s="109" customFormat="1" ht="15.6">
      <c r="A44" s="117"/>
      <c r="B44" s="118" t="s">
        <v>718</v>
      </c>
      <c r="C44" s="119">
        <f>'Pointe Coupee'!F7</f>
        <v>2478409</v>
      </c>
      <c r="D44" s="119">
        <f>'Pointe Coupee'!F8</f>
        <v>702328</v>
      </c>
      <c r="E44" s="119">
        <f>'Pointe Coupee'!F9</f>
        <v>3448430</v>
      </c>
      <c r="F44" s="119">
        <f>'Pointe Coupee'!F16+'Pointe Coupee'!F17</f>
        <v>17154752</v>
      </c>
      <c r="G44" s="119">
        <f>'Pointe Coupee'!F10+'Pointe Coupee'!F11</f>
        <v>814953</v>
      </c>
      <c r="H44" s="119">
        <f>'Pointe Coupee'!F12+'Pointe Coupee'!F13+'Pointe Coupee'!F14</f>
        <v>-910635</v>
      </c>
      <c r="I44" s="119">
        <f t="shared" ref="I44" si="53">SUM(C44:H44)</f>
        <v>23688237</v>
      </c>
      <c r="J44" s="130" t="str">
        <f t="shared" si="1"/>
        <v>ok</v>
      </c>
      <c r="K44" s="120">
        <f>'Pointe Coupee'!F19</f>
        <v>23688237</v>
      </c>
      <c r="L44" s="176"/>
      <c r="M44" s="119">
        <f>'Pointe Coupee'!F22</f>
        <v>1495978</v>
      </c>
      <c r="N44" s="119"/>
      <c r="O44" s="119"/>
      <c r="P44" s="119"/>
      <c r="Q44" s="119">
        <f>'Pointe Coupee'!F23</f>
        <v>421610</v>
      </c>
      <c r="R44" s="119">
        <f>'Pointe Coupee'!F26</f>
        <v>429289</v>
      </c>
      <c r="S44" s="119">
        <f>'Pointe Coupee'!F27</f>
        <v>7837889</v>
      </c>
      <c r="T44" s="119"/>
      <c r="U44" s="119">
        <f t="shared" ref="U44" si="54">SUM(M44:T44)</f>
        <v>10184766</v>
      </c>
      <c r="V44" s="122" t="str">
        <f t="shared" si="20"/>
        <v>ok</v>
      </c>
      <c r="W44" s="120">
        <f>'Pointe Coupee'!F29</f>
        <v>10184766</v>
      </c>
      <c r="X44" s="121"/>
      <c r="Y44" s="176">
        <f>'Pointe Coupee'!F32</f>
        <v>2473</v>
      </c>
      <c r="Z44" s="119">
        <f>'Pointe Coupee'!F35</f>
        <v>8887574</v>
      </c>
      <c r="AA44" s="119">
        <f>'Pointe Coupee'!F37+'Pointe Coupee'!F38+'Pointe Coupee'!F39</f>
        <v>2150195</v>
      </c>
      <c r="AB44" s="119">
        <f>'Pointe Coupee'!F40</f>
        <v>2463229</v>
      </c>
      <c r="AC44" s="119">
        <f t="shared" ref="AC44" si="55">SUM(Z44:AB44)</f>
        <v>13500998</v>
      </c>
      <c r="AD44" s="119">
        <f t="shared" si="6"/>
        <v>23688237</v>
      </c>
      <c r="AE44" s="122" t="str">
        <f t="shared" si="21"/>
        <v>ok</v>
      </c>
      <c r="AF44" s="120">
        <f>'Pointe Coupee'!F44</f>
        <v>23688237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</row>
    <row r="45" spans="1:530" ht="15.6">
      <c r="A45" s="57"/>
      <c r="B45" s="3" t="s">
        <v>719</v>
      </c>
      <c r="C45" s="60">
        <f>Rapides!H7</f>
        <v>50024032</v>
      </c>
      <c r="D45" s="60">
        <v>0</v>
      </c>
      <c r="E45" s="60">
        <f>Rapides!H8</f>
        <v>22585071</v>
      </c>
      <c r="F45" s="60">
        <f>Rapides!H12+Rapides!H13+Rapides!H15+Rapides!H16+Rapides!H17</f>
        <v>51104167</v>
      </c>
      <c r="G45" s="60">
        <v>0</v>
      </c>
      <c r="H45" s="60">
        <f>Rapides!H9</f>
        <v>492</v>
      </c>
      <c r="I45" s="60">
        <f t="shared" ref="I45:I47" si="56">SUM(C45:H45)</f>
        <v>123713762</v>
      </c>
      <c r="J45" s="130" t="str">
        <f t="shared" si="1"/>
        <v>ok</v>
      </c>
      <c r="K45" s="59">
        <f>Rapides!H19</f>
        <v>123713762</v>
      </c>
      <c r="L45" s="177"/>
      <c r="M45" s="60">
        <f>Rapides!H22+Rapides!H24</f>
        <v>2374122</v>
      </c>
      <c r="N45" s="60">
        <v>0</v>
      </c>
      <c r="O45" s="60">
        <f>Lincoln!G33</f>
        <v>0</v>
      </c>
      <c r="P45" s="60">
        <v>0</v>
      </c>
      <c r="Q45" s="60">
        <f>Natchitoches!H28</f>
        <v>0</v>
      </c>
      <c r="R45" s="60">
        <f>Rapides!H26</f>
        <v>1649430</v>
      </c>
      <c r="S45" s="60">
        <f>Rapides!H27</f>
        <v>48762251</v>
      </c>
      <c r="T45" s="60">
        <f>Rapides!H23</f>
        <v>1693311</v>
      </c>
      <c r="U45" s="60">
        <f t="shared" ref="U45:U47" si="57">SUM(M45:T45)</f>
        <v>54479114</v>
      </c>
      <c r="V45" s="122" t="str">
        <f t="shared" si="20"/>
        <v>ok</v>
      </c>
      <c r="W45" s="59">
        <f>Rapides!H29</f>
        <v>54479114</v>
      </c>
      <c r="X45" s="61"/>
      <c r="Y45" s="177"/>
      <c r="Z45" s="60">
        <f>Rapides!H32</f>
        <v>24889814</v>
      </c>
      <c r="AA45" s="60">
        <f>Rapides!H33</f>
        <v>2945708</v>
      </c>
      <c r="AB45" s="60">
        <f>Rapides!H34</f>
        <v>41399125</v>
      </c>
      <c r="AC45" s="60">
        <f t="shared" ref="AC45:AC46" si="58">SUM(Z45:AB45)</f>
        <v>69234647</v>
      </c>
      <c r="AD45" s="60">
        <f t="shared" si="6"/>
        <v>123713761</v>
      </c>
      <c r="AE45" s="122" t="str">
        <f t="shared" si="21"/>
        <v>ok</v>
      </c>
      <c r="AF45" s="59">
        <f>Rapides!H38</f>
        <v>123713761</v>
      </c>
    </row>
    <row r="46" spans="1:530" s="109" customFormat="1" ht="15.6">
      <c r="A46" s="117"/>
      <c r="B46" s="118" t="s">
        <v>720</v>
      </c>
      <c r="C46" s="119">
        <f>'Red River'!H7</f>
        <v>14939159</v>
      </c>
      <c r="D46" s="119">
        <f>'Red River'!H8</f>
        <v>15927098</v>
      </c>
      <c r="E46" s="119">
        <f>'Red River'!H9</f>
        <v>4231862</v>
      </c>
      <c r="F46" s="119">
        <f>'Red River'!H15</f>
        <v>14236061</v>
      </c>
      <c r="G46" s="119">
        <v>0</v>
      </c>
      <c r="H46" s="119">
        <f>'Red River'!H10</f>
        <v>20301</v>
      </c>
      <c r="I46" s="119">
        <f t="shared" si="56"/>
        <v>49354481</v>
      </c>
      <c r="J46" s="130" t="str">
        <f t="shared" si="1"/>
        <v>ok</v>
      </c>
      <c r="K46" s="120">
        <f>'Red River'!H19</f>
        <v>49354481</v>
      </c>
      <c r="L46" s="176"/>
      <c r="M46" s="119">
        <f>'Red River'!H25+'Red River'!H26+'Red River'!H33</f>
        <v>498919</v>
      </c>
      <c r="N46" s="119">
        <f>'Red River'!H23+'Red River'!H31</f>
        <v>76773</v>
      </c>
      <c r="O46" s="119">
        <v>0</v>
      </c>
      <c r="P46" s="119">
        <v>0</v>
      </c>
      <c r="Q46" s="119">
        <v>0</v>
      </c>
      <c r="R46" s="119">
        <v>0</v>
      </c>
      <c r="S46" s="119">
        <v>0</v>
      </c>
      <c r="T46" s="119">
        <f>'Red River'!H24+'Red River'!H32</f>
        <v>970000</v>
      </c>
      <c r="U46" s="119">
        <f t="shared" si="57"/>
        <v>1545692</v>
      </c>
      <c r="V46" s="122" t="str">
        <f t="shared" si="20"/>
        <v>ok</v>
      </c>
      <c r="W46" s="120">
        <f>'Red River'!H37</f>
        <v>1545692</v>
      </c>
      <c r="X46" s="121"/>
      <c r="Y46" s="176"/>
      <c r="Z46" s="119">
        <f>'Red River'!H40</f>
        <v>13266061</v>
      </c>
      <c r="AA46" s="119">
        <f>'Red River'!H42+'Red River'!H43</f>
        <v>11554094</v>
      </c>
      <c r="AB46" s="119">
        <f>'Red River'!H44</f>
        <v>22988634</v>
      </c>
      <c r="AC46" s="119">
        <f t="shared" si="58"/>
        <v>47808789</v>
      </c>
      <c r="AD46" s="119">
        <f t="shared" si="6"/>
        <v>49354481</v>
      </c>
      <c r="AE46" s="122" t="str">
        <f t="shared" si="21"/>
        <v>ok</v>
      </c>
      <c r="AF46" s="120">
        <f>'Red River'!H48</f>
        <v>49354481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</row>
    <row r="47" spans="1:530" ht="15.6">
      <c r="A47" s="57"/>
      <c r="B47" s="3" t="s">
        <v>721</v>
      </c>
      <c r="C47" s="60">
        <f>Richland!G6</f>
        <v>7877011</v>
      </c>
      <c r="D47" s="60">
        <f>Plaquemines!H12</f>
        <v>0</v>
      </c>
      <c r="E47" s="60">
        <f>Richland!G7</f>
        <v>2803917</v>
      </c>
      <c r="F47" s="60">
        <f>Richland!G9+Richland!G10</f>
        <v>2438020</v>
      </c>
      <c r="G47" s="60">
        <v>0</v>
      </c>
      <c r="H47" s="60">
        <v>0</v>
      </c>
      <c r="I47" s="60">
        <f t="shared" si="56"/>
        <v>13118948</v>
      </c>
      <c r="J47" s="130" t="str">
        <f t="shared" si="1"/>
        <v>ok</v>
      </c>
      <c r="K47" s="59">
        <f>Richland!G12</f>
        <v>13118948</v>
      </c>
      <c r="L47" s="177"/>
      <c r="M47" s="60">
        <f>Richland!G15+Richland!G16</f>
        <v>314807</v>
      </c>
      <c r="N47" s="60">
        <v>0</v>
      </c>
      <c r="O47" s="60">
        <v>0</v>
      </c>
      <c r="P47" s="60">
        <v>0</v>
      </c>
      <c r="Q47" s="60">
        <v>0</v>
      </c>
      <c r="R47" s="60">
        <v>0</v>
      </c>
      <c r="S47" s="60">
        <v>0</v>
      </c>
      <c r="T47" s="60">
        <v>0</v>
      </c>
      <c r="U47" s="60">
        <f t="shared" si="57"/>
        <v>314807</v>
      </c>
      <c r="V47" s="122" t="str">
        <f t="shared" si="20"/>
        <v>ok</v>
      </c>
      <c r="W47" s="59">
        <f>Richland!G18</f>
        <v>314807</v>
      </c>
      <c r="X47" s="61"/>
      <c r="Y47" s="177">
        <f>Richland!G21</f>
        <v>2680349</v>
      </c>
      <c r="Z47" s="60">
        <f>Richland!G24</f>
        <v>2438020</v>
      </c>
      <c r="AA47" s="60">
        <f>Richland!G25</f>
        <v>6161125</v>
      </c>
      <c r="AB47" s="60">
        <f>Richland!G26</f>
        <v>1524647</v>
      </c>
      <c r="AC47" s="60">
        <f t="shared" ref="AC47" si="59">SUM(Z47:AB47)</f>
        <v>10123792</v>
      </c>
      <c r="AD47" s="60">
        <f t="shared" si="6"/>
        <v>13118948</v>
      </c>
      <c r="AE47" s="122" t="str">
        <f t="shared" si="21"/>
        <v>ok</v>
      </c>
      <c r="AF47" s="59">
        <f>Richland!G30</f>
        <v>13118948</v>
      </c>
    </row>
    <row r="48" spans="1:530" s="109" customFormat="1" ht="15.6">
      <c r="A48" s="117"/>
      <c r="B48" s="118" t="s">
        <v>722</v>
      </c>
      <c r="C48" s="119">
        <f>Sabine!H7</f>
        <v>8931765</v>
      </c>
      <c r="D48" s="119">
        <v>0</v>
      </c>
      <c r="E48" s="119">
        <f>Sabine!H8</f>
        <v>3916001</v>
      </c>
      <c r="F48" s="119">
        <f>Sabine!H10+Sabine!H11+Sabine!H12+Sabine!H13+Sabine!H14+Sabine!H16+Sabine!H17+Sabine!H18</f>
        <v>12595423</v>
      </c>
      <c r="G48" s="119">
        <v>0</v>
      </c>
      <c r="H48" s="119">
        <v>0</v>
      </c>
      <c r="I48" s="119">
        <f t="shared" ref="I48" si="60">SUM(C48:H48)</f>
        <v>25443189</v>
      </c>
      <c r="J48" s="130" t="str">
        <f t="shared" si="1"/>
        <v>ok</v>
      </c>
      <c r="K48" s="120">
        <f>Sabine!H20</f>
        <v>25443189</v>
      </c>
      <c r="L48" s="176"/>
      <c r="M48" s="119">
        <f>Sabine!H23+Sabine!H24</f>
        <v>765104</v>
      </c>
      <c r="N48" s="119">
        <v>0</v>
      </c>
      <c r="O48" s="119">
        <v>0</v>
      </c>
      <c r="P48" s="119">
        <v>0</v>
      </c>
      <c r="Q48" s="119">
        <v>0</v>
      </c>
      <c r="R48" s="119">
        <f>Sabine!H26</f>
        <v>372094</v>
      </c>
      <c r="S48" s="119">
        <f>Sabine!H27</f>
        <v>910569</v>
      </c>
      <c r="T48" s="119">
        <v>0</v>
      </c>
      <c r="U48" s="119">
        <f t="shared" ref="U48" si="61">SUM(M48:T48)</f>
        <v>2047767</v>
      </c>
      <c r="V48" s="122" t="str">
        <f t="shared" si="20"/>
        <v>ok</v>
      </c>
      <c r="W48" s="120">
        <f>Sabine!H29</f>
        <v>2047767</v>
      </c>
      <c r="X48" s="121"/>
      <c r="Y48" s="176"/>
      <c r="Z48" s="119">
        <f>Sabine!H32</f>
        <v>11935674</v>
      </c>
      <c r="AA48" s="119">
        <v>0</v>
      </c>
      <c r="AB48" s="119">
        <f>Sabine!H33</f>
        <v>11459748</v>
      </c>
      <c r="AC48" s="119">
        <f t="shared" ref="AC48" si="62">SUM(Z48:AB48)</f>
        <v>23395422</v>
      </c>
      <c r="AD48" s="119">
        <f t="shared" si="6"/>
        <v>25443189</v>
      </c>
      <c r="AE48" s="122" t="str">
        <f t="shared" si="21"/>
        <v>ok</v>
      </c>
      <c r="AF48" s="120">
        <f>Sabine!H37</f>
        <v>25443189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</row>
    <row r="49" spans="1:530" ht="15.6">
      <c r="A49" s="57"/>
      <c r="B49" s="3" t="s">
        <v>723</v>
      </c>
      <c r="C49" s="60">
        <f>'St. Bernard'!F7</f>
        <v>33550215</v>
      </c>
      <c r="D49" s="60">
        <f>'St. Bernard'!F8+'St. Bernard'!F9</f>
        <v>6190827</v>
      </c>
      <c r="E49" s="60">
        <f>'St. Bernard'!F11+'St. Bernard'!F12+'St. Bernard'!F13+'St. Bernard'!F15+'St. Bernard'!F16</f>
        <v>34366099</v>
      </c>
      <c r="F49" s="60">
        <f>'St. Bernard'!F24</f>
        <v>386140491</v>
      </c>
      <c r="G49" s="60"/>
      <c r="H49" s="60">
        <f>'St. Bernard'!F18+'St. Bernard'!F19+'St. Bernard'!F23</f>
        <v>-2508966</v>
      </c>
      <c r="I49" s="60">
        <f t="shared" ref="I49:I51" si="63">SUM(C49:H49)</f>
        <v>457738666</v>
      </c>
      <c r="J49" s="130" t="str">
        <f t="shared" si="1"/>
        <v>ok</v>
      </c>
      <c r="K49" s="59">
        <f>'St. Bernard'!F26</f>
        <v>457738666</v>
      </c>
      <c r="L49" s="177"/>
      <c r="M49" s="60">
        <f>'St. Bernard'!F29+'St. Bernard'!F30+'St. Bernard'!F31+'St. Bernard'!F32+'St. Bernard'!F34</f>
        <v>30733532</v>
      </c>
      <c r="N49" s="60">
        <v>0</v>
      </c>
      <c r="O49" s="60"/>
      <c r="P49" s="60"/>
      <c r="Q49" s="60">
        <f>Plaquemines!H35</f>
        <v>0</v>
      </c>
      <c r="R49" s="60">
        <f>'St. Bernard'!F38</f>
        <v>1870020</v>
      </c>
      <c r="S49" s="60">
        <f>'St. Bernard'!F39</f>
        <v>37379219</v>
      </c>
      <c r="T49" s="60">
        <f>'St. Bernard'!F36</f>
        <v>9356000</v>
      </c>
      <c r="U49" s="60">
        <f t="shared" ref="U49:U51" si="64">SUM(M49:T49)</f>
        <v>79338771</v>
      </c>
      <c r="V49" s="122" t="str">
        <f t="shared" si="20"/>
        <v>ok</v>
      </c>
      <c r="W49" s="59">
        <f>'St. Bernard'!F41</f>
        <v>79338771</v>
      </c>
      <c r="X49" s="61"/>
      <c r="Y49" s="177"/>
      <c r="Z49" s="60">
        <f>'St. Bernard'!F44</f>
        <v>350256061</v>
      </c>
      <c r="AA49" s="60">
        <f>'St. Bernard'!F46+'St. Bernard'!F47+'St. Bernard'!F48</f>
        <v>9470377</v>
      </c>
      <c r="AB49" s="60">
        <f>'St. Bernard'!F49</f>
        <v>18673457</v>
      </c>
      <c r="AC49" s="60">
        <f t="shared" ref="AC49:AC51" si="65">SUM(Z49:AB49)</f>
        <v>378399895</v>
      </c>
      <c r="AD49" s="60">
        <f t="shared" si="6"/>
        <v>457738666</v>
      </c>
      <c r="AE49" s="122" t="str">
        <f t="shared" si="21"/>
        <v>ok</v>
      </c>
      <c r="AF49" s="59">
        <f>'St. Bernard'!F53</f>
        <v>457738666</v>
      </c>
    </row>
    <row r="50" spans="1:530" s="109" customFormat="1" ht="15.6">
      <c r="A50" s="117"/>
      <c r="B50" s="118" t="s">
        <v>724</v>
      </c>
      <c r="C50" s="119">
        <f>'St. Charles'!H7</f>
        <v>3477479</v>
      </c>
      <c r="D50" s="119">
        <f>'St. Charles'!H8</f>
        <v>86002362</v>
      </c>
      <c r="E50" s="119">
        <f>'St. Charles'!H9</f>
        <v>29876291</v>
      </c>
      <c r="F50" s="119">
        <f>'St. Charles'!H20+'St. Charles'!H21+'St. Charles'!H22+'St. Charles'!H23</f>
        <v>194264169</v>
      </c>
      <c r="G50" s="119">
        <f>'St. Charles'!H10+'St. Charles'!H11</f>
        <v>3220467</v>
      </c>
      <c r="H50" s="119">
        <f>'St. Charles'!H14+'St. Charles'!H15</f>
        <v>564478</v>
      </c>
      <c r="I50" s="119">
        <f t="shared" ref="I50" si="66">SUM(C50:H50)</f>
        <v>317405246</v>
      </c>
      <c r="J50" s="130" t="str">
        <f t="shared" si="1"/>
        <v>ok</v>
      </c>
      <c r="K50" s="120">
        <f>'St. Charles'!H25</f>
        <v>317405246</v>
      </c>
      <c r="L50" s="176"/>
      <c r="M50" s="119">
        <f>'St. Charles'!H29+'St. Charles'!H34</f>
        <v>6674813</v>
      </c>
      <c r="N50" s="119"/>
      <c r="O50" s="119"/>
      <c r="P50" s="119"/>
      <c r="Q50" s="119">
        <f>'St. Charles'!H31+'St. Charles'!H32</f>
        <v>455541</v>
      </c>
      <c r="R50" s="119">
        <f>'St. Charles'!H38</f>
        <v>2625000</v>
      </c>
      <c r="S50" s="119">
        <f>'St. Charles'!H39</f>
        <v>29848009</v>
      </c>
      <c r="T50" s="119">
        <f>'St. Charles'!H30+'St. Charles'!H35</f>
        <v>1260636</v>
      </c>
      <c r="U50" s="119">
        <f t="shared" ref="U50" si="67">SUM(M50:T50)</f>
        <v>40863999</v>
      </c>
      <c r="V50" s="122" t="str">
        <f t="shared" si="20"/>
        <v>ok</v>
      </c>
      <c r="W50" s="120">
        <f>'St. Charles'!H43</f>
        <v>40863999</v>
      </c>
      <c r="X50" s="121"/>
      <c r="Y50" s="176">
        <f>'St. Charles'!H46</f>
        <v>25111217</v>
      </c>
      <c r="Z50" s="119">
        <f>'St. Charles'!H51</f>
        <v>175989169</v>
      </c>
      <c r="AA50" s="119">
        <f>'St. Charles'!H53+'St. Charles'!H54+'St. Charles'!H55+'St. Charles'!H56+'St. Charles'!H57</f>
        <v>43104470</v>
      </c>
      <c r="AB50" s="119">
        <f>'St. Charles'!H58</f>
        <v>32336391</v>
      </c>
      <c r="AC50" s="119">
        <f t="shared" ref="AC50" si="68">SUM(Z50:AB50)</f>
        <v>251430030</v>
      </c>
      <c r="AD50" s="119">
        <f t="shared" si="6"/>
        <v>317405246</v>
      </c>
      <c r="AE50" s="122" t="str">
        <f t="shared" si="21"/>
        <v>ok</v>
      </c>
      <c r="AF50" s="120">
        <f>'St. Charles'!H62</f>
        <v>317405246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</row>
    <row r="51" spans="1:530" ht="15.6">
      <c r="A51" s="57"/>
      <c r="B51" s="3" t="s">
        <v>725</v>
      </c>
      <c r="C51" s="60">
        <f>'St. Helena'!H8+'St. Helena'!H17</f>
        <v>6451059</v>
      </c>
      <c r="D51" s="60">
        <f>'St. Helena'!H9</f>
        <v>980608</v>
      </c>
      <c r="E51" s="60">
        <f>'St. Helena'!H10</f>
        <v>2218238</v>
      </c>
      <c r="F51" s="60">
        <f>'St. Helena'!H25+'St. Helena'!H26</f>
        <v>12539206</v>
      </c>
      <c r="G51" s="60">
        <v>0</v>
      </c>
      <c r="H51" s="60">
        <f>'St. Helena'!H13</f>
        <v>110731</v>
      </c>
      <c r="I51" s="60">
        <f t="shared" si="63"/>
        <v>22299842</v>
      </c>
      <c r="J51" s="130" t="str">
        <f t="shared" si="1"/>
        <v>ok</v>
      </c>
      <c r="K51" s="59">
        <f>'St. Helena'!H29</f>
        <v>22299842</v>
      </c>
      <c r="L51" s="177"/>
      <c r="M51" s="60">
        <f>'St. Helena'!H33+'St. Helena'!H34+'St. Helena'!H45</f>
        <v>698270</v>
      </c>
      <c r="N51" s="60">
        <f>'St. Helena'!H46</f>
        <v>186139</v>
      </c>
      <c r="O51" s="60">
        <f>'St. Helena'!H39</f>
        <v>287718</v>
      </c>
      <c r="P51" s="60">
        <f>'St. Helena'!H44</f>
        <v>793199</v>
      </c>
      <c r="Q51" s="60">
        <v>0</v>
      </c>
      <c r="R51" s="60">
        <v>0</v>
      </c>
      <c r="S51" s="60">
        <v>0</v>
      </c>
      <c r="T51" s="60">
        <f>'St. Helena'!H36+'St. Helena'!H40+'St. Helena'!H47</f>
        <v>937773</v>
      </c>
      <c r="U51" s="60">
        <f t="shared" si="64"/>
        <v>2903099</v>
      </c>
      <c r="V51" s="122" t="str">
        <f t="shared" si="20"/>
        <v>ok</v>
      </c>
      <c r="W51" s="59">
        <f>'St. Helena'!H50</f>
        <v>2903099</v>
      </c>
      <c r="X51" s="61"/>
      <c r="Y51" s="177"/>
      <c r="Z51" s="60">
        <f>'St. Helena'!H53</f>
        <v>11140302</v>
      </c>
      <c r="AA51" s="60">
        <f>'St. Helena'!H55+'St. Helena'!H56+'St. Helena'!H57</f>
        <v>8115900</v>
      </c>
      <c r="AB51" s="60">
        <f>'St. Helena'!H58</f>
        <v>140541</v>
      </c>
      <c r="AC51" s="60">
        <f t="shared" si="65"/>
        <v>19396743</v>
      </c>
      <c r="AD51" s="60">
        <f t="shared" si="6"/>
        <v>22299842</v>
      </c>
      <c r="AE51" s="122" t="str">
        <f t="shared" si="21"/>
        <v>ok</v>
      </c>
      <c r="AF51" s="59">
        <f>'St. Helena'!H62</f>
        <v>22299842</v>
      </c>
    </row>
    <row r="52" spans="1:530" s="109" customFormat="1" ht="15.6">
      <c r="A52" s="117"/>
      <c r="B52" s="118" t="s">
        <v>726</v>
      </c>
      <c r="C52" s="119">
        <f>'St. James'!G7</f>
        <v>21299609</v>
      </c>
      <c r="D52" s="119">
        <f>'St. James'!G8</f>
        <v>10986073</v>
      </c>
      <c r="E52" s="119">
        <f>'St. James'!G9</f>
        <v>20348518</v>
      </c>
      <c r="F52" s="119">
        <f>'St. James'!G20</f>
        <v>56279384</v>
      </c>
      <c r="G52" s="119">
        <f>'St. James'!G12+'St. James'!G11</f>
        <v>2071000</v>
      </c>
      <c r="H52" s="119">
        <f>'St. James'!G13+'St. James'!G14+'St. James'!G15</f>
        <v>239945</v>
      </c>
      <c r="I52" s="119">
        <f t="shared" ref="I52:I54" si="69">SUM(C52:H52)</f>
        <v>111224529</v>
      </c>
      <c r="J52" s="130" t="str">
        <f t="shared" si="1"/>
        <v>ok</v>
      </c>
      <c r="K52" s="120">
        <f>'St. James'!G23</f>
        <v>111224529</v>
      </c>
      <c r="L52" s="176"/>
      <c r="M52" s="119">
        <f>'St. James'!G26</f>
        <v>3254897</v>
      </c>
      <c r="N52" s="119"/>
      <c r="O52" s="119"/>
      <c r="P52" s="119"/>
      <c r="Q52" s="119">
        <f>Plaquemines!H37</f>
        <v>0</v>
      </c>
      <c r="R52" s="119">
        <f>'St. James'!G33</f>
        <v>1465822</v>
      </c>
      <c r="S52" s="119">
        <f>'St. James'!G34</f>
        <v>9397585</v>
      </c>
      <c r="T52" s="119">
        <f>'St. James'!G28+'St. James'!G30</f>
        <v>1405811</v>
      </c>
      <c r="U52" s="119">
        <f t="shared" ref="U52:U54" si="70">SUM(M52:T52)</f>
        <v>15524115</v>
      </c>
      <c r="V52" s="122" t="str">
        <f t="shared" si="20"/>
        <v>ok</v>
      </c>
      <c r="W52" s="120">
        <f>'St. James'!G36</f>
        <v>15524115</v>
      </c>
      <c r="X52" s="121"/>
      <c r="Y52" s="176"/>
      <c r="Z52" s="119">
        <f>'St. James'!G39</f>
        <v>50197934</v>
      </c>
      <c r="AA52" s="119">
        <f>'St. James'!G41+'St. James'!G42+'St. James'!G43+'St. James'!G44+'St. James'!G45+'St. James'!G46+'St. James'!G47+'St. James'!G48+'St. James'!G49</f>
        <v>40881997</v>
      </c>
      <c r="AB52" s="119">
        <f>'St. James'!G50</f>
        <v>4620483</v>
      </c>
      <c r="AC52" s="119">
        <f t="shared" ref="AC52:AC54" si="71">SUM(Z52:AB52)</f>
        <v>95700414</v>
      </c>
      <c r="AD52" s="119">
        <f t="shared" si="6"/>
        <v>111224529</v>
      </c>
      <c r="AE52" s="122" t="str">
        <f t="shared" si="21"/>
        <v>ok</v>
      </c>
      <c r="AF52" s="120">
        <f>'St. James'!G54</f>
        <v>111224529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</row>
    <row r="53" spans="1:530" ht="15.6">
      <c r="A53" s="57"/>
      <c r="B53" s="3" t="s">
        <v>727</v>
      </c>
      <c r="C53" s="60">
        <f>'St John the Baptist'!G7</f>
        <v>58246102</v>
      </c>
      <c r="D53" s="60">
        <v>0</v>
      </c>
      <c r="E53" s="60">
        <f>'St John the Baptist'!G10+'St John the Baptist'!G11+'St John the Baptist'!G12+'St John the Baptist'!G13</f>
        <v>17144360</v>
      </c>
      <c r="F53" s="60">
        <f>'St John the Baptist'!G18+'St John the Baptist'!G20</f>
        <v>77384223</v>
      </c>
      <c r="G53" s="60">
        <f>'St John the Baptist'!G14</f>
        <v>782043</v>
      </c>
      <c r="H53" s="60">
        <f>'St John the Baptist'!G15+'St John the Baptist'!G16+'St John the Baptist'!G17</f>
        <v>540204</v>
      </c>
      <c r="I53" s="60">
        <f t="shared" ref="I53" si="72">SUM(C53:H53)</f>
        <v>154096932</v>
      </c>
      <c r="J53" s="130" t="str">
        <f t="shared" si="1"/>
        <v>ok</v>
      </c>
      <c r="K53" s="59">
        <f>'St John the Baptist'!G22</f>
        <v>154096932</v>
      </c>
      <c r="L53" s="177"/>
      <c r="M53" s="60">
        <f>'St John the Baptist'!G25+'St John the Baptist'!G26+'St John the Baptist'!G30</f>
        <v>4533748</v>
      </c>
      <c r="N53" s="60"/>
      <c r="O53" s="60"/>
      <c r="P53" s="60"/>
      <c r="Q53" s="60">
        <f>'St John the Baptist'!G27</f>
        <v>53604</v>
      </c>
      <c r="R53" s="60">
        <f>'St John the Baptist'!G32</f>
        <v>6203877</v>
      </c>
      <c r="S53" s="60">
        <f>'St John the Baptist'!G33</f>
        <v>69298429</v>
      </c>
      <c r="T53" s="60">
        <f>'St John the Baptist'!G29</f>
        <v>0</v>
      </c>
      <c r="U53" s="60">
        <f t="shared" ref="U53" si="73">SUM(M53:T53)</f>
        <v>80089658</v>
      </c>
      <c r="V53" s="122" t="str">
        <f t="shared" si="20"/>
        <v>ok</v>
      </c>
      <c r="W53" s="59">
        <f>'St John the Baptist'!G35</f>
        <v>80089658</v>
      </c>
      <c r="X53" s="61"/>
      <c r="Y53" s="177"/>
      <c r="Z53" s="60">
        <f>'St John the Baptist'!G38</f>
        <v>10633141</v>
      </c>
      <c r="AA53" s="60">
        <f>'St John the Baptist'!G40+'St John the Baptist'!G41+'St John the Baptist'!G42</f>
        <v>56556189</v>
      </c>
      <c r="AB53" s="60">
        <f>'St John the Baptist'!G45</f>
        <v>6817944</v>
      </c>
      <c r="AC53" s="60">
        <f t="shared" ref="AC53" si="74">SUM(Z53:AB53)</f>
        <v>74007274</v>
      </c>
      <c r="AD53" s="60">
        <f t="shared" si="6"/>
        <v>154096932</v>
      </c>
      <c r="AE53" s="122" t="str">
        <f t="shared" si="21"/>
        <v>ok</v>
      </c>
      <c r="AF53" s="59">
        <f>'St John the Baptist'!G49</f>
        <v>154096932</v>
      </c>
    </row>
    <row r="54" spans="1:530" s="109" customFormat="1" ht="15.6">
      <c r="A54" s="117"/>
      <c r="B54" s="118" t="s">
        <v>728</v>
      </c>
      <c r="C54" s="119">
        <f>'St. Landry'!H7</f>
        <v>1555264</v>
      </c>
      <c r="D54" s="119">
        <v>0</v>
      </c>
      <c r="E54" s="119">
        <f>'St. Landry'!H8</f>
        <v>5692205</v>
      </c>
      <c r="F54" s="119">
        <f>'St. Landry'!H18</f>
        <v>9506315</v>
      </c>
      <c r="G54" s="119">
        <f>'St. Landry'!H10+'St. Landry'!H11+'St. Landry'!H12</f>
        <v>314662</v>
      </c>
      <c r="H54" s="119">
        <f>'St. Landry'!H9</f>
        <v>42458</v>
      </c>
      <c r="I54" s="119">
        <f t="shared" si="69"/>
        <v>17110904</v>
      </c>
      <c r="J54" s="130" t="str">
        <f t="shared" si="1"/>
        <v>ok</v>
      </c>
      <c r="K54" s="120">
        <f>'St. Landry'!H20</f>
        <v>17110904</v>
      </c>
      <c r="L54" s="176"/>
      <c r="M54" s="119">
        <f>'St. Landry'!H24+'St. Landry'!H37</f>
        <v>2271688</v>
      </c>
      <c r="N54" s="119">
        <f>'St. Landry'!H29</f>
        <v>121245</v>
      </c>
      <c r="O54" s="119">
        <f>'St. Landry'!H26</f>
        <v>58000</v>
      </c>
      <c r="P54" s="119">
        <f>'St. Landry'!H38</f>
        <v>60000</v>
      </c>
      <c r="Q54" s="119">
        <f>'St. Landry'!H30+'St. Landry'!H31</f>
        <v>101389</v>
      </c>
      <c r="R54" s="119">
        <f>'St. Charles'!H41</f>
        <v>0</v>
      </c>
      <c r="S54" s="119">
        <f>'St. Charles'!H42</f>
        <v>0</v>
      </c>
      <c r="T54" s="119">
        <f>'St. Landry'!H25+'St. Landry'!H27+'St. Landry'!H28</f>
        <v>222238</v>
      </c>
      <c r="U54" s="119">
        <f t="shared" si="70"/>
        <v>2834560</v>
      </c>
      <c r="V54" s="122" t="str">
        <f t="shared" si="20"/>
        <v>ok</v>
      </c>
      <c r="W54" s="120">
        <f>'St. Landry'!H42</f>
        <v>2834560</v>
      </c>
      <c r="X54" s="121"/>
      <c r="Y54" s="176"/>
      <c r="Z54" s="119">
        <f>'St. Landry'!H45</f>
        <v>9506315</v>
      </c>
      <c r="AA54" s="119">
        <f>'St. Landry'!H46+'St. Landry'!H47</f>
        <v>705973</v>
      </c>
      <c r="AB54" s="119">
        <f>'St. Landry'!H48</f>
        <v>4064056</v>
      </c>
      <c r="AC54" s="119">
        <f t="shared" si="71"/>
        <v>14276344</v>
      </c>
      <c r="AD54" s="119">
        <f t="shared" si="6"/>
        <v>17110904</v>
      </c>
      <c r="AE54" s="122" t="str">
        <f t="shared" si="21"/>
        <v>ok</v>
      </c>
      <c r="AF54" s="120">
        <f>'St. Landry'!H52</f>
        <v>17110904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</row>
    <row r="55" spans="1:530" ht="15.6">
      <c r="A55" s="57"/>
      <c r="B55" s="3" t="s">
        <v>729</v>
      </c>
      <c r="C55" s="60">
        <f>'St. Martin'!H6</f>
        <v>23148572</v>
      </c>
      <c r="D55" s="60">
        <f>'St. Charles'!H13</f>
        <v>0</v>
      </c>
      <c r="E55" s="60">
        <f>'St. Martin'!H7</f>
        <v>11004695</v>
      </c>
      <c r="F55" s="60">
        <f>'St. Martin'!H11+'St. Martin'!H12</f>
        <v>70360835</v>
      </c>
      <c r="G55" s="60">
        <f>'St. Martin'!H9</f>
        <v>183431</v>
      </c>
      <c r="H55" s="60">
        <f>'St. Martin'!H8</f>
        <v>204890</v>
      </c>
      <c r="I55" s="60">
        <f t="shared" ref="I55" si="75">SUM(C55:H55)</f>
        <v>104902423</v>
      </c>
      <c r="J55" s="130" t="str">
        <f t="shared" si="1"/>
        <v>ok</v>
      </c>
      <c r="K55" s="59">
        <f>'St. Martin'!H14</f>
        <v>104902423</v>
      </c>
      <c r="L55" s="177"/>
      <c r="M55" s="60">
        <f>'St. Martin'!H17+'St. Martin'!H19</f>
        <v>307429</v>
      </c>
      <c r="N55" s="60">
        <f>'St. Martin'!H28</f>
        <v>410568</v>
      </c>
      <c r="O55" s="60">
        <f>'St. Martin'!H23</f>
        <v>1781000</v>
      </c>
      <c r="P55" s="60">
        <f>'St. Martin'!H24</f>
        <v>22494000</v>
      </c>
      <c r="Q55" s="60">
        <f>'St. Martin'!H20</f>
        <v>93304</v>
      </c>
      <c r="R55" s="60">
        <f>'St. Martin'!H25</f>
        <v>193138</v>
      </c>
      <c r="S55" s="60">
        <f>'St. Martin'!H26</f>
        <v>150518</v>
      </c>
      <c r="T55" s="60">
        <f>'St. Martin'!H21+'St. Martin'!H27</f>
        <v>5955774</v>
      </c>
      <c r="U55" s="60">
        <f t="shared" ref="U55" si="76">SUM(M55:T55)</f>
        <v>31385731</v>
      </c>
      <c r="V55" s="122" t="str">
        <f t="shared" si="20"/>
        <v>ok</v>
      </c>
      <c r="W55" s="59">
        <f>'St. Martin'!H30</f>
        <v>31385731</v>
      </c>
      <c r="X55" s="61"/>
      <c r="Y55" s="177"/>
      <c r="Z55" s="60">
        <f>'St. Martin'!H33</f>
        <v>45511111</v>
      </c>
      <c r="AA55" s="60">
        <f>'St. Martin'!H35+'St. Martin'!H36</f>
        <v>29211761</v>
      </c>
      <c r="AB55" s="60">
        <f>'St. Martin'!H37</f>
        <v>-1893420</v>
      </c>
      <c r="AC55" s="60">
        <f t="shared" ref="AC55" si="77">SUM(Z55:AB55)</f>
        <v>72829452</v>
      </c>
      <c r="AD55" s="60">
        <f t="shared" si="6"/>
        <v>104215183</v>
      </c>
      <c r="AE55" s="122" t="str">
        <f t="shared" si="21"/>
        <v>ok</v>
      </c>
      <c r="AF55" s="59">
        <f>'St. Martin'!H41</f>
        <v>104215183</v>
      </c>
    </row>
    <row r="56" spans="1:530" s="109" customFormat="1" ht="15.6">
      <c r="A56" s="117"/>
      <c r="B56" s="118" t="s">
        <v>730</v>
      </c>
      <c r="C56" s="119">
        <f>'St. Mary'!H8</f>
        <v>4392344</v>
      </c>
      <c r="D56" s="119">
        <f>'St. Mary'!H9</f>
        <v>14775501</v>
      </c>
      <c r="E56" s="119">
        <f>'St. Mary'!H10</f>
        <v>1166958</v>
      </c>
      <c r="F56" s="119">
        <f>'St. Mary'!H25+'St. Mary'!H26+'St. Mary'!H28+'St. Mary'!H30+'St. Mary'!H31+'St. Mary'!H32</f>
        <v>108607342</v>
      </c>
      <c r="G56" s="119">
        <f>'St. Mary'!H11+'St. Mary'!H12</f>
        <v>12740136</v>
      </c>
      <c r="H56" s="119">
        <f>'St. Mary'!H13+'St. Mary'!H14</f>
        <v>-8106953</v>
      </c>
      <c r="I56" s="119">
        <f t="shared" ref="I56:I57" si="78">SUM(C56:H56)</f>
        <v>133575328</v>
      </c>
      <c r="J56" s="130" t="str">
        <f t="shared" si="1"/>
        <v>ok</v>
      </c>
      <c r="K56" s="120">
        <f>'St. Mary'!H36</f>
        <v>133575328</v>
      </c>
      <c r="L56" s="176"/>
      <c r="M56" s="119">
        <f>'St. Mary'!H45+'St. Mary'!H46+'St. Mary'!H49</f>
        <v>1526483</v>
      </c>
      <c r="N56" s="119">
        <f>'St. Mary'!H56</f>
        <v>165000</v>
      </c>
      <c r="O56" s="119"/>
      <c r="P56" s="119"/>
      <c r="Q56" s="119">
        <f>'St. Mary'!H48</f>
        <v>663469</v>
      </c>
      <c r="R56" s="119">
        <f>'St. James'!G35</f>
        <v>0</v>
      </c>
      <c r="S56" s="119"/>
      <c r="T56" s="119">
        <f>'St. Mary'!H55+'St. Mary'!H57+'St. Mary'!H47+'St. Mary'!H50</f>
        <v>31187585</v>
      </c>
      <c r="U56" s="119">
        <f t="shared" ref="U56:U57" si="79">SUM(M56:T56)</f>
        <v>33542537</v>
      </c>
      <c r="V56" s="122" t="str">
        <f t="shared" si="20"/>
        <v>ok</v>
      </c>
      <c r="W56" s="120">
        <f>'St. Mary'!H62</f>
        <v>33542537</v>
      </c>
      <c r="X56" s="121"/>
      <c r="Y56" s="176"/>
      <c r="Z56" s="119">
        <f>'St. Mary'!H65</f>
        <v>83404108</v>
      </c>
      <c r="AA56" s="119">
        <f>'St. Mary'!H67+'St. Mary'!H68</f>
        <v>16445751</v>
      </c>
      <c r="AB56" s="119">
        <f>'St. Mary'!H69</f>
        <v>182932</v>
      </c>
      <c r="AC56" s="119">
        <f t="shared" ref="AC56:AC57" si="80">SUM(Z56:AB56)</f>
        <v>100032791</v>
      </c>
      <c r="AD56" s="119">
        <f t="shared" si="6"/>
        <v>133575328</v>
      </c>
      <c r="AE56" s="122" t="str">
        <f t="shared" si="21"/>
        <v>ok</v>
      </c>
      <c r="AF56" s="120">
        <f>'St. Mary'!H73</f>
        <v>133575328</v>
      </c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</row>
    <row r="57" spans="1:530" ht="15.6">
      <c r="A57" s="57"/>
      <c r="B57" s="3" t="s">
        <v>731</v>
      </c>
      <c r="C57" s="60">
        <f>'St. Tammany'!H7</f>
        <v>33410917</v>
      </c>
      <c r="D57" s="60">
        <f>'St. Tammany'!H8</f>
        <v>147136813</v>
      </c>
      <c r="E57" s="60">
        <f>'St. Tammany'!H9</f>
        <v>49934017</v>
      </c>
      <c r="F57" s="60">
        <f>'St. Tammany'!H16+'St. Tammany'!H17</f>
        <v>413526544</v>
      </c>
      <c r="G57" s="60">
        <f>'St. Tammany'!H10</f>
        <v>24006</v>
      </c>
      <c r="H57" s="60">
        <f>'St. Tammany'!H12+'St. Tammany'!H13+'St. Tammany'!H14</f>
        <v>9855108</v>
      </c>
      <c r="I57" s="60">
        <f t="shared" si="78"/>
        <v>653887405</v>
      </c>
      <c r="J57" s="130" t="str">
        <f t="shared" si="1"/>
        <v>ok</v>
      </c>
      <c r="K57" s="59">
        <f>'St. Tammany'!H19</f>
        <v>653887405</v>
      </c>
      <c r="L57" s="177">
        <f>'St. Tammany'!H24</f>
        <v>5106064</v>
      </c>
      <c r="M57" s="60">
        <f>'St. Tammany'!H27+'St. Tammany'!H32</f>
        <v>20471487</v>
      </c>
      <c r="N57" s="60"/>
      <c r="O57" s="60"/>
      <c r="P57" s="60"/>
      <c r="Q57" s="60">
        <f>'St. Tammany'!H29</f>
        <v>8555724</v>
      </c>
      <c r="R57" s="60">
        <f>'St. Tammany'!H34</f>
        <v>9708024</v>
      </c>
      <c r="S57" s="60">
        <f>'St. Tammany'!H35</f>
        <v>97673633</v>
      </c>
      <c r="T57" s="60">
        <f>'St. Tammany'!H31+'St. Tammany'!H30</f>
        <v>5811161</v>
      </c>
      <c r="U57" s="60">
        <f t="shared" si="79"/>
        <v>142220029</v>
      </c>
      <c r="V57" s="122" t="str">
        <f t="shared" si="20"/>
        <v>ok</v>
      </c>
      <c r="W57" s="59">
        <f>'St. Tammany'!H37</f>
        <v>142220029</v>
      </c>
      <c r="X57" s="61"/>
      <c r="Y57" s="177"/>
      <c r="Z57" s="60">
        <f>'St. Tammany'!H40</f>
        <v>337361295</v>
      </c>
      <c r="AA57" s="60">
        <f>'St. Tammany'!H51+'St. Tammany'!H50+'St. Tammany'!H49+'St. Tammany'!H48+'St. Tammany'!H47+'St. Tammany'!H46+'St. Tammany'!H45+'St. Tammany'!H44+'St. Tammany'!H43+'St. Tammany'!H42</f>
        <v>143863300</v>
      </c>
      <c r="AB57" s="60">
        <f>'St. Tammany'!H52</f>
        <v>35548845</v>
      </c>
      <c r="AC57" s="60">
        <f t="shared" si="80"/>
        <v>516773440</v>
      </c>
      <c r="AD57" s="60">
        <f t="shared" si="6"/>
        <v>658993469</v>
      </c>
      <c r="AE57" s="122" t="str">
        <f t="shared" si="21"/>
        <v>ok</v>
      </c>
      <c r="AF57" s="59">
        <f>'St. Tammany'!H56</f>
        <v>658993469</v>
      </c>
    </row>
    <row r="58" spans="1:530" s="109" customFormat="1" ht="15.6">
      <c r="A58" s="117"/>
      <c r="B58" s="118" t="s">
        <v>732</v>
      </c>
      <c r="C58" s="119">
        <f>Tangipahoa!H7</f>
        <v>17398202</v>
      </c>
      <c r="D58" s="119">
        <v>0</v>
      </c>
      <c r="E58" s="119">
        <f>Tangipahoa!H9</f>
        <v>8935241</v>
      </c>
      <c r="F58" s="119">
        <f>Tangipahoa!H13</f>
        <v>178240431</v>
      </c>
      <c r="G58" s="119">
        <f>Tangipahoa!H10</f>
        <v>42692</v>
      </c>
      <c r="H58" s="119">
        <f>Tangipahoa!H11</f>
        <v>898211</v>
      </c>
      <c r="I58" s="119">
        <f>SUM(C58:H58)</f>
        <v>205514777</v>
      </c>
      <c r="J58" s="130" t="str">
        <f t="shared" si="1"/>
        <v>ok</v>
      </c>
      <c r="K58" s="120">
        <f>Tangipahoa!H15</f>
        <v>205514777</v>
      </c>
      <c r="L58" s="176"/>
      <c r="M58" s="119">
        <f>Tangipahoa!H19</f>
        <v>4186126</v>
      </c>
      <c r="N58" s="119"/>
      <c r="O58" s="119"/>
      <c r="P58" s="119"/>
      <c r="Q58" s="119">
        <f>Tangipahoa!H20</f>
        <v>383324</v>
      </c>
      <c r="R58" s="119">
        <f>Tangipahoa!H23</f>
        <v>90000</v>
      </c>
      <c r="S58" s="119">
        <f>Tangipahoa!H24</f>
        <v>8104902</v>
      </c>
      <c r="T58" s="119">
        <f>Tangipahoa!H18+Tangipahoa!H25</f>
        <v>1567913</v>
      </c>
      <c r="U58" s="119">
        <f t="shared" ref="U58:U61" si="81">SUM(M58:T58)</f>
        <v>14332265</v>
      </c>
      <c r="V58" s="122" t="str">
        <f t="shared" si="20"/>
        <v>ok</v>
      </c>
      <c r="W58" s="120">
        <f>Tangipahoa!H27</f>
        <v>14332265</v>
      </c>
      <c r="X58" s="121"/>
      <c r="Y58" s="176">
        <f>Tangipahoa!H32</f>
        <v>53394</v>
      </c>
      <c r="Z58" s="119">
        <f>Tangipahoa!H35</f>
        <v>175665431</v>
      </c>
      <c r="AA58" s="119">
        <f>Tangipahoa!H37+Tangipahoa!H38+Tangipahoa!H39</f>
        <v>1340787</v>
      </c>
      <c r="AB58" s="119">
        <f>Tangipahoa!H40</f>
        <v>14122900</v>
      </c>
      <c r="AC58" s="119">
        <f t="shared" ref="AC58:AC61" si="82">SUM(Z58:AB58)</f>
        <v>191129118</v>
      </c>
      <c r="AD58" s="119">
        <f t="shared" si="6"/>
        <v>205514777</v>
      </c>
      <c r="AE58" s="122" t="str">
        <f t="shared" si="21"/>
        <v>ok</v>
      </c>
      <c r="AF58" s="120">
        <f>Tangipahoa!H44</f>
        <v>205514777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</row>
    <row r="59" spans="1:530" ht="15.6">
      <c r="A59" s="57"/>
      <c r="B59" s="3" t="s">
        <v>733</v>
      </c>
      <c r="C59" s="60">
        <f>Tensas!G6</f>
        <v>2313344</v>
      </c>
      <c r="D59" s="60">
        <f>'St. Charles'!H17</f>
        <v>0</v>
      </c>
      <c r="E59" s="60">
        <f>Tensas!G7</f>
        <v>763109</v>
      </c>
      <c r="F59" s="60">
        <f>Tensas!G11</f>
        <v>8567911</v>
      </c>
      <c r="G59" s="60">
        <f>'St. Martin'!H13</f>
        <v>0</v>
      </c>
      <c r="H59" s="60">
        <f>Tensas!G9+Tensas!G10</f>
        <v>973759</v>
      </c>
      <c r="I59" s="60">
        <f t="shared" ref="I59" si="83">SUM(C59:H59)</f>
        <v>12618123</v>
      </c>
      <c r="J59" s="130" t="str">
        <f t="shared" si="1"/>
        <v>ok</v>
      </c>
      <c r="K59" s="59">
        <f>Tensas!G13</f>
        <v>12618123</v>
      </c>
      <c r="L59" s="177"/>
      <c r="M59" s="60">
        <f>Tensas!G16</f>
        <v>156049</v>
      </c>
      <c r="N59" s="60">
        <f>'St. Martin'!H32</f>
        <v>0</v>
      </c>
      <c r="O59" s="60">
        <v>0</v>
      </c>
      <c r="P59" s="60">
        <v>0</v>
      </c>
      <c r="Q59" s="60">
        <f>Tensas!G17</f>
        <v>54048</v>
      </c>
      <c r="R59" s="60">
        <f>Tensas!G19</f>
        <v>39882</v>
      </c>
      <c r="S59" s="60">
        <f>Tensas!G20</f>
        <v>1255223</v>
      </c>
      <c r="T59" s="60">
        <v>0</v>
      </c>
      <c r="U59" s="60">
        <f t="shared" si="81"/>
        <v>1505202</v>
      </c>
      <c r="V59" s="122" t="str">
        <f t="shared" si="20"/>
        <v>ok</v>
      </c>
      <c r="W59" s="59">
        <f>Tensas!G22</f>
        <v>1505202</v>
      </c>
      <c r="X59" s="61"/>
      <c r="Y59" s="177"/>
      <c r="Z59" s="60">
        <f>Tensas!G25</f>
        <v>7414340</v>
      </c>
      <c r="AA59" s="60">
        <f>Tensas!G27+Tensas!G28</f>
        <v>973759</v>
      </c>
      <c r="AB59" s="60">
        <f>Tensas!G29</f>
        <v>2724822</v>
      </c>
      <c r="AC59" s="60">
        <f t="shared" si="82"/>
        <v>11112921</v>
      </c>
      <c r="AD59" s="60">
        <f t="shared" si="6"/>
        <v>12618123</v>
      </c>
      <c r="AE59" s="122" t="str">
        <f t="shared" si="21"/>
        <v>ok</v>
      </c>
      <c r="AF59" s="59">
        <f>Tensas!G33</f>
        <v>12618123</v>
      </c>
    </row>
    <row r="60" spans="1:530" s="109" customFormat="1" ht="15.6">
      <c r="A60" s="117"/>
      <c r="B60" s="118" t="s">
        <v>734</v>
      </c>
      <c r="C60" s="119">
        <f>Terrebonne!H7+Terrebonne!H17</f>
        <v>25766429</v>
      </c>
      <c r="D60" s="119">
        <f>Terrebonne!H8</f>
        <v>91704922</v>
      </c>
      <c r="E60" s="119">
        <f>Terrebonne!H9</f>
        <v>9293551</v>
      </c>
      <c r="F60" s="119">
        <f>Terrebonne!H24+Terrebonne!H23</f>
        <v>297725767</v>
      </c>
      <c r="G60" s="119">
        <f>Terrebonne!H11+Terrebonne!H12</f>
        <v>69953301</v>
      </c>
      <c r="H60" s="119">
        <f>Terrebonne!H15+Terrebonne!H14+Terrebonne!H10</f>
        <v>7841468</v>
      </c>
      <c r="I60" s="119">
        <f t="shared" ref="I60:I61" si="84">SUM(C60:H60)</f>
        <v>502285438</v>
      </c>
      <c r="J60" s="130" t="str">
        <f t="shared" si="1"/>
        <v>ok</v>
      </c>
      <c r="K60" s="120">
        <f>Terrebonne!H26</f>
        <v>502285438</v>
      </c>
      <c r="L60" s="176">
        <f>Terrebonne!H28</f>
        <v>132278</v>
      </c>
      <c r="M60" s="119">
        <f>Terrebonne!H31+Terrebonne!H32+Terrebonne!H37</f>
        <v>24100396</v>
      </c>
      <c r="N60" s="119"/>
      <c r="O60" s="119"/>
      <c r="P60" s="119"/>
      <c r="Q60" s="119">
        <f>Terrebonne!H33+Terrebonne!H34+Terrebonne!H36</f>
        <v>8741322</v>
      </c>
      <c r="R60" s="119">
        <f>Terrebonne!H39</f>
        <v>6196610</v>
      </c>
      <c r="S60" s="119">
        <f>Terrebonne!H40</f>
        <v>119817673</v>
      </c>
      <c r="T60" s="119"/>
      <c r="U60" s="119">
        <f t="shared" si="81"/>
        <v>158856001</v>
      </c>
      <c r="V60" s="122" t="str">
        <f t="shared" si="20"/>
        <v>ok</v>
      </c>
      <c r="W60" s="120">
        <f>Terrebonne!H42</f>
        <v>158856001</v>
      </c>
      <c r="X60" s="121"/>
      <c r="Y60" s="176">
        <f>Terrebonne!H44</f>
        <v>27193917</v>
      </c>
      <c r="Z60" s="119">
        <f>Terrebonne!H47</f>
        <v>236913363</v>
      </c>
      <c r="AA60" s="119">
        <f>Terrebonne!H49+Terrebonne!H50+Terrebonne!H51+Terrebonne!H52+Terrebonne!H53+Terrebonne!H54+Terrebonne!H55</f>
        <v>62674087</v>
      </c>
      <c r="AB60" s="119">
        <f>Terrebonne!H60</f>
        <v>16780348</v>
      </c>
      <c r="AC60" s="119">
        <f t="shared" si="82"/>
        <v>316367798</v>
      </c>
      <c r="AD60" s="119">
        <f t="shared" si="6"/>
        <v>502417716</v>
      </c>
      <c r="AE60" s="122" t="str">
        <f t="shared" si="21"/>
        <v>ok</v>
      </c>
      <c r="AF60" s="120">
        <f>Terrebonne!H64</f>
        <v>502417716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</row>
    <row r="61" spans="1:530" ht="15.6">
      <c r="A61" s="57"/>
      <c r="B61" s="3" t="s">
        <v>735</v>
      </c>
      <c r="C61" s="60">
        <f>Union!G6</f>
        <v>7110474</v>
      </c>
      <c r="D61" s="60">
        <f>Union!G7</f>
        <v>7240283</v>
      </c>
      <c r="E61" s="60">
        <f>Union!G8</f>
        <v>4749704</v>
      </c>
      <c r="F61" s="60">
        <f>Union!G9</f>
        <v>12207847</v>
      </c>
      <c r="G61" s="60">
        <v>0</v>
      </c>
      <c r="H61" s="60">
        <v>0</v>
      </c>
      <c r="I61" s="60">
        <f t="shared" si="84"/>
        <v>31308308</v>
      </c>
      <c r="J61" s="130" t="str">
        <f t="shared" si="1"/>
        <v>ok</v>
      </c>
      <c r="K61" s="59">
        <f>Union!G11</f>
        <v>31308308</v>
      </c>
      <c r="L61" s="177"/>
      <c r="M61" s="60">
        <f>Union!G15</f>
        <v>1373845</v>
      </c>
      <c r="N61" s="60">
        <f>Union!G17</f>
        <v>219368</v>
      </c>
      <c r="O61" s="60">
        <f>Union!G20</f>
        <v>18000</v>
      </c>
      <c r="P61" s="60">
        <f>Union!G21</f>
        <v>235000</v>
      </c>
      <c r="Q61" s="60">
        <f>Union!G16</f>
        <v>260018</v>
      </c>
      <c r="R61" s="60">
        <f>Union!G18</f>
        <v>174000</v>
      </c>
      <c r="S61" s="60">
        <f>Union!G19</f>
        <v>180000</v>
      </c>
      <c r="T61" s="60">
        <f>Union!G22+Union!G23+Union!G14</f>
        <v>8907088</v>
      </c>
      <c r="U61" s="60">
        <f t="shared" si="81"/>
        <v>11367319</v>
      </c>
      <c r="V61" s="122" t="str">
        <f t="shared" si="20"/>
        <v>ok</v>
      </c>
      <c r="W61" s="59">
        <f>Union!G25</f>
        <v>11367319</v>
      </c>
      <c r="X61" s="61"/>
      <c r="Y61" s="177">
        <f>Union!G28</f>
        <v>14194</v>
      </c>
      <c r="Z61" s="60">
        <f>Union!G31</f>
        <v>11600847</v>
      </c>
      <c r="AA61" s="60">
        <f>Union!G32</f>
        <v>4765799</v>
      </c>
      <c r="AB61" s="60">
        <f>Union!G33</f>
        <v>3560149</v>
      </c>
      <c r="AC61" s="60">
        <f t="shared" si="82"/>
        <v>19926795</v>
      </c>
      <c r="AD61" s="60">
        <f t="shared" si="6"/>
        <v>31308308</v>
      </c>
      <c r="AE61" s="122" t="str">
        <f t="shared" si="21"/>
        <v>ok</v>
      </c>
      <c r="AF61" s="59">
        <f>Union!G37</f>
        <v>31308308</v>
      </c>
    </row>
    <row r="62" spans="1:530" s="109" customFormat="1" ht="15.6">
      <c r="A62" s="117"/>
      <c r="B62" s="118" t="s">
        <v>736</v>
      </c>
      <c r="C62" s="119">
        <f>Vermillion!H7</f>
        <v>53128318</v>
      </c>
      <c r="D62" s="119">
        <v>0</v>
      </c>
      <c r="E62" s="119">
        <f>Vermillion!H8</f>
        <v>381262</v>
      </c>
      <c r="F62" s="119">
        <f>Vermillion!H12</f>
        <v>82500254</v>
      </c>
      <c r="G62" s="119">
        <f>Vermillion!H9+Vermillion!H10</f>
        <v>8635672</v>
      </c>
      <c r="H62" s="119">
        <f>Vermillion!H11</f>
        <v>56444</v>
      </c>
      <c r="I62" s="119">
        <f>SUM(C62:H62)</f>
        <v>144701950</v>
      </c>
      <c r="J62" s="130" t="str">
        <f t="shared" si="1"/>
        <v>ok</v>
      </c>
      <c r="K62" s="120">
        <f>Vermillion!H14</f>
        <v>144701950</v>
      </c>
      <c r="L62" s="176"/>
      <c r="M62" s="119">
        <f>Vermillion!H17+Vermillion!H18+Vermillion!H19+Vermillion!H22</f>
        <v>2216308</v>
      </c>
      <c r="N62" s="119">
        <v>0</v>
      </c>
      <c r="O62" s="119">
        <v>0</v>
      </c>
      <c r="P62" s="119">
        <v>0</v>
      </c>
      <c r="Q62" s="119">
        <f>Vermillion!H21</f>
        <v>58759</v>
      </c>
      <c r="R62" s="119">
        <f>Vermillion!H24</f>
        <v>365000</v>
      </c>
      <c r="S62" s="119">
        <f>Vermillion!H25</f>
        <v>5463515</v>
      </c>
      <c r="T62" s="119">
        <f>Tangipahoa!H22+Tangipahoa!H29</f>
        <v>0</v>
      </c>
      <c r="U62" s="119">
        <f t="shared" ref="U62:U63" si="85">SUM(M62:T62)</f>
        <v>8103582</v>
      </c>
      <c r="V62" s="122" t="str">
        <f t="shared" si="20"/>
        <v>ok</v>
      </c>
      <c r="W62" s="120">
        <f>Vermillion!H27</f>
        <v>8103582</v>
      </c>
      <c r="X62" s="121"/>
      <c r="Y62" s="176">
        <f>Vermillion!H30</f>
        <v>948391</v>
      </c>
      <c r="Z62" s="119">
        <f>Vermillion!H33</f>
        <v>80370929</v>
      </c>
      <c r="AA62" s="119">
        <f>Vermillion!H35+Vermillion!H36</f>
        <v>37631477</v>
      </c>
      <c r="AB62" s="119">
        <f>Vermillion!H37</f>
        <v>17647571</v>
      </c>
      <c r="AC62" s="119">
        <f t="shared" ref="AC62:AC63" si="86">SUM(Z62:AB62)</f>
        <v>135649977</v>
      </c>
      <c r="AD62" s="119">
        <f t="shared" si="6"/>
        <v>144701950</v>
      </c>
      <c r="AE62" s="122" t="str">
        <f t="shared" si="21"/>
        <v>ok</v>
      </c>
      <c r="AF62" s="120">
        <f>Vermillion!H41</f>
        <v>144701950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</row>
    <row r="63" spans="1:530" ht="15.6">
      <c r="A63" s="57"/>
      <c r="B63" s="3" t="s">
        <v>737</v>
      </c>
      <c r="C63" s="60">
        <f>Vernon!H7</f>
        <v>23897070</v>
      </c>
      <c r="D63" s="60">
        <f>Vernon!H8</f>
        <v>1246021</v>
      </c>
      <c r="E63" s="60">
        <f>Vernon!H9</f>
        <v>6132255</v>
      </c>
      <c r="F63" s="60">
        <f>Vernon!H12+Vernon!H13+Vernon!H14+Vernon!H15+Vernon!H16</f>
        <v>45322054</v>
      </c>
      <c r="G63" s="60">
        <v>0</v>
      </c>
      <c r="H63" s="60">
        <f>Vernon!H10</f>
        <v>21627</v>
      </c>
      <c r="I63" s="60">
        <f t="shared" ref="I63" si="87">SUM(C63:H63)</f>
        <v>76619027</v>
      </c>
      <c r="J63" s="130" t="str">
        <f t="shared" si="1"/>
        <v>ok</v>
      </c>
      <c r="K63" s="59">
        <f>Vernon!H18</f>
        <v>76619027</v>
      </c>
      <c r="L63" s="177"/>
      <c r="M63" s="60">
        <f>Vernon!H21+Vernon!H23</f>
        <v>1213698</v>
      </c>
      <c r="N63" s="60">
        <v>0</v>
      </c>
      <c r="O63" s="60">
        <v>0</v>
      </c>
      <c r="P63" s="60">
        <v>0</v>
      </c>
      <c r="Q63" s="60">
        <f>Tensas!G21</f>
        <v>0</v>
      </c>
      <c r="R63" s="60">
        <f>Vernon!H25</f>
        <v>812070</v>
      </c>
      <c r="S63" s="60">
        <f>Vernon!H26</f>
        <v>19678827</v>
      </c>
      <c r="T63" s="60">
        <f>Vernon!H22</f>
        <v>110008</v>
      </c>
      <c r="U63" s="60">
        <f t="shared" si="85"/>
        <v>21814603</v>
      </c>
      <c r="V63" s="122" t="str">
        <f t="shared" si="20"/>
        <v>ok</v>
      </c>
      <c r="W63" s="59">
        <f>Vernon!H28</f>
        <v>21814603</v>
      </c>
      <c r="X63" s="61"/>
      <c r="Y63" s="177"/>
      <c r="Z63" s="60">
        <f>Vernon!H31</f>
        <v>35813460</v>
      </c>
      <c r="AA63" s="60">
        <f>Vernon!H33+Vernon!H34</f>
        <v>2963869</v>
      </c>
      <c r="AB63" s="60">
        <f>Vernon!H35</f>
        <v>16036096</v>
      </c>
      <c r="AC63" s="60">
        <f t="shared" si="86"/>
        <v>54813425</v>
      </c>
      <c r="AD63" s="60">
        <f t="shared" si="6"/>
        <v>76628028</v>
      </c>
      <c r="AE63" s="122" t="str">
        <f t="shared" si="21"/>
        <v>ok</v>
      </c>
      <c r="AF63" s="59">
        <f>Vernon!H39</f>
        <v>76628028</v>
      </c>
    </row>
    <row r="64" spans="1:530" s="109" customFormat="1" ht="15.6">
      <c r="A64" s="117"/>
      <c r="B64" s="118" t="s">
        <v>738</v>
      </c>
      <c r="C64" s="119">
        <f>Washington!H7</f>
        <v>1269386</v>
      </c>
      <c r="D64" s="119">
        <f>Washington!H8</f>
        <v>2545233</v>
      </c>
      <c r="E64" s="119">
        <f>Washington!H9+Washington!H10</f>
        <v>5325202</v>
      </c>
      <c r="F64" s="119">
        <f>Washington!H19+Washington!H20+Washington!H21</f>
        <v>38243242</v>
      </c>
      <c r="G64" s="119">
        <f>Washington!H15</f>
        <v>352460</v>
      </c>
      <c r="H64" s="119">
        <f>Washington!H16+Washington!H17</f>
        <v>2340730</v>
      </c>
      <c r="I64" s="119">
        <f t="shared" ref="I64:I65" si="88">SUM(C64:H64)</f>
        <v>50076253</v>
      </c>
      <c r="J64" s="130" t="str">
        <f t="shared" si="1"/>
        <v>ok</v>
      </c>
      <c r="K64" s="120">
        <f>Washington!H23</f>
        <v>50076253</v>
      </c>
      <c r="L64" s="176"/>
      <c r="M64" s="119">
        <f>Washington!H26</f>
        <v>877732</v>
      </c>
      <c r="N64" s="119"/>
      <c r="O64" s="119"/>
      <c r="P64" s="119"/>
      <c r="Q64" s="119">
        <f>Washington!H28</f>
        <v>910200</v>
      </c>
      <c r="R64" s="119">
        <f>Washington!H32</f>
        <v>1480893</v>
      </c>
      <c r="S64" s="119">
        <f>Washington!H33</f>
        <v>4425000</v>
      </c>
      <c r="T64" s="119">
        <f>Washington!H27+Washington!H30</f>
        <v>987071</v>
      </c>
      <c r="U64" s="119">
        <f t="shared" ref="U64:U68" si="89">SUM(M64:T64)</f>
        <v>8680896</v>
      </c>
      <c r="V64" s="122" t="str">
        <f t="shared" si="20"/>
        <v>ok</v>
      </c>
      <c r="W64" s="120">
        <f>Washington!H35</f>
        <v>8680896</v>
      </c>
      <c r="X64" s="121"/>
      <c r="Y64" s="176"/>
      <c r="Z64" s="119">
        <f>Washington!H38</f>
        <v>33325933</v>
      </c>
      <c r="AA64" s="119">
        <f>Washington!H40+Washington!H41+Washington!H42+Washington!H43+Washington!H44+Washington!H45</f>
        <v>7741334</v>
      </c>
      <c r="AB64" s="119">
        <f>Washington!H46</f>
        <v>908364</v>
      </c>
      <c r="AC64" s="119">
        <f t="shared" ref="AC64:AC68" si="90">SUM(Z64:AB64)</f>
        <v>41975631</v>
      </c>
      <c r="AD64" s="119">
        <f t="shared" si="6"/>
        <v>50656527</v>
      </c>
      <c r="AE64" s="122" t="str">
        <f t="shared" si="21"/>
        <v>ok</v>
      </c>
      <c r="AF64" s="120">
        <f>Washington!H50</f>
        <v>50656527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</row>
    <row r="65" spans="1:530" ht="15.6">
      <c r="A65" s="57"/>
      <c r="B65" s="3" t="s">
        <v>739</v>
      </c>
      <c r="C65" s="60">
        <f>Webster!H7</f>
        <v>5380498</v>
      </c>
      <c r="D65" s="60">
        <f>Webster!H8</f>
        <v>2611059</v>
      </c>
      <c r="E65" s="60">
        <f>Webster!H9</f>
        <v>5361318</v>
      </c>
      <c r="F65" s="60">
        <f>Webster!H12+Webster!H13</f>
        <v>11531478</v>
      </c>
      <c r="G65" s="60">
        <v>0</v>
      </c>
      <c r="H65" s="60">
        <f>Webster!H10</f>
        <v>287208</v>
      </c>
      <c r="I65" s="60">
        <f t="shared" si="88"/>
        <v>25171561</v>
      </c>
      <c r="J65" s="130" t="str">
        <f t="shared" si="1"/>
        <v>ok</v>
      </c>
      <c r="K65" s="59">
        <f>Webster!H15</f>
        <v>25171561</v>
      </c>
      <c r="L65" s="177"/>
      <c r="M65" s="60">
        <f>Webster!H18+Webster!H19+Webster!H21</f>
        <v>333639</v>
      </c>
      <c r="N65" s="60">
        <v>0</v>
      </c>
      <c r="O65" s="60">
        <v>0</v>
      </c>
      <c r="P65" s="60">
        <v>0</v>
      </c>
      <c r="Q65" s="60">
        <f>Webster!H23</f>
        <v>163911</v>
      </c>
      <c r="R65" s="60">
        <f>Webster!H26</f>
        <v>641574</v>
      </c>
      <c r="S65" s="60">
        <f>Webster!H27</f>
        <v>1134777</v>
      </c>
      <c r="T65" s="60">
        <f>Webster!H22+Webster!H24</f>
        <v>57724</v>
      </c>
      <c r="U65" s="60">
        <f t="shared" si="89"/>
        <v>2331625</v>
      </c>
      <c r="V65" s="122" t="str">
        <f t="shared" si="20"/>
        <v>ok</v>
      </c>
      <c r="W65" s="59">
        <f>Webster!H29</f>
        <v>2331625</v>
      </c>
      <c r="X65" s="61"/>
      <c r="Y65" s="177"/>
      <c r="Z65" s="60">
        <f>Webster!H32</f>
        <v>10763259</v>
      </c>
      <c r="AA65" s="60">
        <f>Webster!H34+Webster!H35+Webster!H36+Webster!H37+Webster!H38+Webster!H39+Webster!H40+Webster!H41+Webster!H42</f>
        <v>9194892</v>
      </c>
      <c r="AB65" s="60">
        <f>Webster!H44</f>
        <v>2881785</v>
      </c>
      <c r="AC65" s="60">
        <f t="shared" si="90"/>
        <v>22839936</v>
      </c>
      <c r="AD65" s="60">
        <f t="shared" si="6"/>
        <v>25171561</v>
      </c>
      <c r="AE65" s="122" t="str">
        <f t="shared" si="21"/>
        <v>ok</v>
      </c>
      <c r="AF65" s="59">
        <f>Webster!H48</f>
        <v>25171561</v>
      </c>
    </row>
    <row r="66" spans="1:530" s="109" customFormat="1" ht="15.6">
      <c r="A66" s="117"/>
      <c r="B66" s="118" t="s">
        <v>740</v>
      </c>
      <c r="C66" s="119">
        <f>'West Baton Rouge'!G7+'West Baton Rouge'!G11</f>
        <v>8405674</v>
      </c>
      <c r="D66" s="119">
        <f>'West Baton Rouge'!G8+'West Baton Rouge'!G9</f>
        <v>16286223</v>
      </c>
      <c r="E66" s="119">
        <f>'West Baton Rouge'!G10+'West Baton Rouge'!G13</f>
        <v>7543435</v>
      </c>
      <c r="F66" s="119">
        <f>'West Baton Rouge'!G15+'West Baton Rouge'!G16</f>
        <v>61165063</v>
      </c>
      <c r="G66" s="119">
        <f>'West Baton Rouge'!G12</f>
        <v>1673400</v>
      </c>
      <c r="H66" s="119">
        <v>0</v>
      </c>
      <c r="I66" s="119">
        <f>SUM(C66:H66)</f>
        <v>95073795</v>
      </c>
      <c r="J66" s="130" t="str">
        <f t="shared" si="1"/>
        <v>ok</v>
      </c>
      <c r="K66" s="120">
        <f>'West Baton Rouge'!G18</f>
        <v>95073795</v>
      </c>
      <c r="L66" s="176"/>
      <c r="M66" s="119">
        <f>'West Baton Rouge'!G21</f>
        <v>557345</v>
      </c>
      <c r="N66" s="119">
        <v>0</v>
      </c>
      <c r="O66" s="119">
        <v>0</v>
      </c>
      <c r="P66" s="119">
        <v>0</v>
      </c>
      <c r="Q66" s="119">
        <v>0</v>
      </c>
      <c r="R66" s="119">
        <f>'West Baton Rouge'!G23</f>
        <v>582760</v>
      </c>
      <c r="S66" s="119">
        <f>'West Baton Rouge'!G24</f>
        <v>7829726</v>
      </c>
      <c r="T66" s="119">
        <f>Tangipahoa!H26+Tangipahoa!H33</f>
        <v>0</v>
      </c>
      <c r="U66" s="119">
        <f t="shared" si="89"/>
        <v>8969831</v>
      </c>
      <c r="V66" s="122" t="str">
        <f t="shared" si="20"/>
        <v>ok</v>
      </c>
      <c r="W66" s="120">
        <f>'West Baton Rouge'!G26</f>
        <v>8969831</v>
      </c>
      <c r="X66" s="121"/>
      <c r="Y66" s="176">
        <f>'West Baton Rouge'!G31</f>
        <v>8928823</v>
      </c>
      <c r="Z66" s="119">
        <f>'West Baton Rouge'!G34</f>
        <v>57048940</v>
      </c>
      <c r="AA66" s="119">
        <f>'West Baton Rouge'!G36+'West Baton Rouge'!G37</f>
        <v>705652</v>
      </c>
      <c r="AB66" s="119">
        <f>'West Baton Rouge'!G38</f>
        <v>19420549</v>
      </c>
      <c r="AC66" s="119">
        <f t="shared" si="90"/>
        <v>77175141</v>
      </c>
      <c r="AD66" s="119">
        <f t="shared" si="6"/>
        <v>95073795</v>
      </c>
      <c r="AE66" s="122" t="str">
        <f t="shared" si="21"/>
        <v>ok</v>
      </c>
      <c r="AF66" s="120">
        <f>'West Baton Rouge'!G42</f>
        <v>95073795</v>
      </c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</row>
    <row r="67" spans="1:530" ht="15.6">
      <c r="A67" s="57"/>
      <c r="B67" s="3" t="s">
        <v>741</v>
      </c>
      <c r="C67" s="60">
        <f>'West Carroll'!H7</f>
        <v>5432216</v>
      </c>
      <c r="D67" s="60">
        <f>Union!G13</f>
        <v>0</v>
      </c>
      <c r="E67" s="60">
        <f>'West Carroll'!H8</f>
        <v>1464515</v>
      </c>
      <c r="F67" s="60">
        <f>'West Carroll'!H10</f>
        <v>14017269</v>
      </c>
      <c r="G67" s="60">
        <v>0</v>
      </c>
      <c r="H67" s="60">
        <f>'West Carroll'!H9</f>
        <v>696655</v>
      </c>
      <c r="I67" s="60">
        <f t="shared" ref="I67" si="91">SUM(C67:H67)</f>
        <v>21610655</v>
      </c>
      <c r="J67" s="130" t="str">
        <f t="shared" si="1"/>
        <v>ok</v>
      </c>
      <c r="K67" s="59">
        <f>'West Carroll'!H12</f>
        <v>21610655</v>
      </c>
      <c r="L67" s="177"/>
      <c r="M67" s="60">
        <f>'West Carroll'!H16</f>
        <v>157412</v>
      </c>
      <c r="N67" s="60">
        <f>'West Carroll'!H17</f>
        <v>94228</v>
      </c>
      <c r="O67" s="60">
        <v>0</v>
      </c>
      <c r="P67" s="60">
        <f>Union!G27</f>
        <v>0</v>
      </c>
      <c r="Q67" s="60">
        <v>0</v>
      </c>
      <c r="R67" s="60">
        <f>'West Carroll'!H18</f>
        <v>14133</v>
      </c>
      <c r="S67" s="60">
        <f>'West Carroll'!H19</f>
        <v>98938</v>
      </c>
      <c r="T67" s="60">
        <f>'West Carroll'!H15+'West Carroll'!H20</f>
        <v>1915315</v>
      </c>
      <c r="U67" s="60">
        <f t="shared" si="89"/>
        <v>2280026</v>
      </c>
      <c r="V67" s="122" t="str">
        <f t="shared" si="20"/>
        <v>ok</v>
      </c>
      <c r="W67" s="59">
        <f>'West Carroll'!H22</f>
        <v>2280026</v>
      </c>
      <c r="X67" s="61"/>
      <c r="Y67" s="177">
        <f>'West Carroll'!H25</f>
        <v>184752</v>
      </c>
      <c r="Z67" s="60">
        <f>'West Carroll'!H28</f>
        <v>13904198</v>
      </c>
      <c r="AA67" s="60">
        <f>'West Carroll'!H30+'West Carroll'!H31+'West Carroll'!H32</f>
        <v>5624679</v>
      </c>
      <c r="AB67" s="60">
        <f>'West Carroll'!H33</f>
        <v>-383000</v>
      </c>
      <c r="AC67" s="60">
        <f t="shared" si="90"/>
        <v>19145877</v>
      </c>
      <c r="AD67" s="60">
        <f t="shared" si="6"/>
        <v>21610655</v>
      </c>
      <c r="AE67" s="122" t="str">
        <f t="shared" si="21"/>
        <v>ok</v>
      </c>
      <c r="AF67" s="59">
        <f>'West Carroll'!H37</f>
        <v>21610655</v>
      </c>
    </row>
    <row r="68" spans="1:530" s="109" customFormat="1" ht="15.6">
      <c r="A68" s="117"/>
      <c r="B68" s="118" t="s">
        <v>742</v>
      </c>
      <c r="C68" s="119">
        <f>'West Feliciana'!H7+'West Feliciana'!H16</f>
        <v>1112573</v>
      </c>
      <c r="D68" s="119">
        <f>'West Feliciana'!H9+'West Feliciana'!H18</f>
        <v>12334196</v>
      </c>
      <c r="E68" s="119">
        <f>'West Feliciana'!H10+'West Feliciana'!H12</f>
        <v>4609519</v>
      </c>
      <c r="F68" s="119">
        <f>'West Feliciana'!H20+'West Feliciana'!H21</f>
        <v>16630623</v>
      </c>
      <c r="G68" s="119">
        <f>'West Feliciana'!H11</f>
        <v>69407</v>
      </c>
      <c r="H68" s="119">
        <f>'West Feliciana'!H14</f>
        <v>79627</v>
      </c>
      <c r="I68" s="119">
        <f>SUM(C68:H68)</f>
        <v>34835945</v>
      </c>
      <c r="J68" s="130" t="str">
        <f t="shared" si="1"/>
        <v>ok</v>
      </c>
      <c r="K68" s="120">
        <f>'West Feliciana'!H23</f>
        <v>34835945</v>
      </c>
      <c r="L68" s="176"/>
      <c r="M68" s="119">
        <f>'West Feliciana'!H26</f>
        <v>392446</v>
      </c>
      <c r="N68" s="119">
        <v>0</v>
      </c>
      <c r="O68" s="119">
        <v>0</v>
      </c>
      <c r="P68" s="119">
        <v>0</v>
      </c>
      <c r="Q68" s="119">
        <v>0</v>
      </c>
      <c r="R68" s="119">
        <f>'West Feliciana'!H32</f>
        <v>224006</v>
      </c>
      <c r="S68" s="119">
        <f>'West Feliciana'!H33</f>
        <v>3703091</v>
      </c>
      <c r="T68" s="119">
        <f>'West Feliciana'!H27+'West Feliciana'!H28+'West Feliciana'!H30</f>
        <v>1072183</v>
      </c>
      <c r="U68" s="119">
        <f t="shared" si="89"/>
        <v>5391726</v>
      </c>
      <c r="V68" s="122" t="str">
        <f t="shared" si="20"/>
        <v>ok</v>
      </c>
      <c r="W68" s="120">
        <f>'West Feliciana'!H35</f>
        <v>5391726</v>
      </c>
      <c r="X68" s="121"/>
      <c r="Y68" s="176"/>
      <c r="Z68" s="119">
        <f>'West Feliciana'!H38</f>
        <v>13041623</v>
      </c>
      <c r="AA68" s="119">
        <f>'West Feliciana'!H40+'West Feliciana'!H41+'West Feliciana'!H42+'West Feliciana'!H43+'West Feliciana'!H44</f>
        <v>7746945</v>
      </c>
      <c r="AB68" s="119">
        <f>'West Feliciana'!H45</f>
        <v>8655651</v>
      </c>
      <c r="AC68" s="119">
        <f t="shared" si="90"/>
        <v>29444219</v>
      </c>
      <c r="AD68" s="119">
        <f t="shared" si="6"/>
        <v>34835945</v>
      </c>
      <c r="AE68" s="122" t="str">
        <f t="shared" si="21"/>
        <v>ok</v>
      </c>
      <c r="AF68" s="120">
        <f>'West Feliciana'!H49</f>
        <v>34835945</v>
      </c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</row>
    <row r="69" spans="1:530" ht="15.6">
      <c r="A69" s="57"/>
      <c r="B69" s="3" t="s">
        <v>743</v>
      </c>
      <c r="C69" s="60">
        <f>Winn!H7</f>
        <v>4118802</v>
      </c>
      <c r="D69" s="60">
        <v>0</v>
      </c>
      <c r="E69" s="60">
        <f>Winn!H8</f>
        <v>2234175</v>
      </c>
      <c r="F69" s="60">
        <f>Winn!H11+Winn!H12+Winn!H14+Winn!H15+Winn!H16</f>
        <v>3598290</v>
      </c>
      <c r="G69" s="60">
        <f>'West Baton Rouge'!G14</f>
        <v>0</v>
      </c>
      <c r="H69" s="60">
        <v>0</v>
      </c>
      <c r="I69" s="60">
        <f>SUM(C69:H69)</f>
        <v>9951267</v>
      </c>
      <c r="J69" s="130" t="str">
        <f t="shared" ref="J69" si="92">IF(I69=K69, "ok", "check")</f>
        <v>ok</v>
      </c>
      <c r="K69" s="59">
        <f>Winn!H18</f>
        <v>9951267</v>
      </c>
      <c r="L69" s="177"/>
      <c r="M69" s="60">
        <f>Winn!H21+Winn!H23</f>
        <v>125690</v>
      </c>
      <c r="N69" s="60">
        <v>0</v>
      </c>
      <c r="O69" s="60">
        <v>0</v>
      </c>
      <c r="P69" s="60">
        <v>0</v>
      </c>
      <c r="Q69" s="60">
        <v>0</v>
      </c>
      <c r="R69" s="60">
        <f>Winn!H25</f>
        <v>220000</v>
      </c>
      <c r="S69" s="60">
        <f>Winn!H26</f>
        <v>2010000</v>
      </c>
      <c r="T69" s="60">
        <f>Winn!H22</f>
        <v>32101</v>
      </c>
      <c r="U69" s="60">
        <f t="shared" ref="U69" si="93">SUM(M69:T69)</f>
        <v>2387791</v>
      </c>
      <c r="V69" s="122" t="str">
        <f t="shared" si="17"/>
        <v>ok</v>
      </c>
      <c r="W69" s="59">
        <f>Winn!H28</f>
        <v>2387791</v>
      </c>
      <c r="X69" s="61"/>
      <c r="Y69" s="177"/>
      <c r="Z69" s="60">
        <f>Winn!H31</f>
        <v>3598291</v>
      </c>
      <c r="AA69" s="60">
        <v>0</v>
      </c>
      <c r="AB69" s="60">
        <f>Winn!H32</f>
        <v>3965187</v>
      </c>
      <c r="AC69" s="60">
        <f t="shared" ref="AC69" si="94">SUM(Z69:AB69)</f>
        <v>7563478</v>
      </c>
      <c r="AD69" s="60">
        <f t="shared" si="6"/>
        <v>9951269</v>
      </c>
      <c r="AE69" s="122" t="str">
        <f t="shared" si="19"/>
        <v>ok</v>
      </c>
      <c r="AF69" s="59">
        <f>Winn!H36</f>
        <v>9951269</v>
      </c>
    </row>
    <row r="70" spans="1:530" ht="15.6">
      <c r="A70" s="57"/>
      <c r="J70"/>
      <c r="AG70" s="62"/>
    </row>
    <row r="71" spans="1:530" s="3" customFormat="1" ht="15.6">
      <c r="A71" s="63"/>
      <c r="B71" s="64" t="s">
        <v>744</v>
      </c>
      <c r="C71" s="65">
        <f t="shared" ref="C71:H71" si="95">SUM(C8:C8)</f>
        <v>42404828</v>
      </c>
      <c r="D71" s="65">
        <f t="shared" si="95"/>
        <v>93691087</v>
      </c>
      <c r="E71" s="65">
        <f t="shared" si="95"/>
        <v>31751994</v>
      </c>
      <c r="F71" s="65">
        <f t="shared" si="95"/>
        <v>209564510</v>
      </c>
      <c r="G71" s="65">
        <f t="shared" si="95"/>
        <v>5021470</v>
      </c>
      <c r="H71" s="65">
        <f t="shared" si="95"/>
        <v>1105585</v>
      </c>
      <c r="I71" s="76">
        <f>SUM(I6:I69)</f>
        <v>14138973556.450001</v>
      </c>
      <c r="J71" s="77" t="str">
        <f t="shared" ref="J71" si="96">IF(I71=K71, "ok", "check")</f>
        <v>ok</v>
      </c>
      <c r="K71" s="67">
        <f>SUM(K6:K70)</f>
        <v>14138973556.450001</v>
      </c>
      <c r="L71" s="67"/>
      <c r="M71" s="67">
        <f t="shared" ref="M71:T71" si="97">SUM(M8:M8)</f>
        <v>7178944</v>
      </c>
      <c r="N71" s="68">
        <f t="shared" si="97"/>
        <v>0</v>
      </c>
      <c r="O71" s="67">
        <f t="shared" si="97"/>
        <v>235409</v>
      </c>
      <c r="P71" s="67">
        <f t="shared" si="97"/>
        <v>667416</v>
      </c>
      <c r="Q71" s="67">
        <f t="shared" si="97"/>
        <v>810375</v>
      </c>
      <c r="R71" s="67">
        <f t="shared" si="97"/>
        <v>4335000</v>
      </c>
      <c r="S71" s="67">
        <f t="shared" si="97"/>
        <v>80612569</v>
      </c>
      <c r="T71" s="67">
        <f t="shared" si="97"/>
        <v>4524981</v>
      </c>
      <c r="U71" s="67">
        <f>SUM(U6:U69)</f>
        <v>5225533800.8099995</v>
      </c>
      <c r="V71" s="66" t="str">
        <f>IF(U71=W71, "ok", "check")</f>
        <v>ok</v>
      </c>
      <c r="W71" s="67">
        <f>SUM(W6:W70)</f>
        <v>5225533800.8099995</v>
      </c>
      <c r="X71" s="67" t="e">
        <f>SUM(#REF!)</f>
        <v>#REF!</v>
      </c>
      <c r="Y71" s="67"/>
      <c r="Z71" s="158">
        <f>SUM(Z8:Z70)</f>
        <v>6693963876.6099997</v>
      </c>
      <c r="AA71" s="67">
        <f>SUM(AA8:AA70)</f>
        <v>2194810739.3299999</v>
      </c>
      <c r="AB71" s="67">
        <f>SUM(AB8:AB70)</f>
        <v>-143470993.30000001</v>
      </c>
      <c r="AC71" s="67">
        <f>SUM(AC8:AC70)</f>
        <v>8745303622.6399994</v>
      </c>
      <c r="AD71" s="67">
        <f>SUM(AD6:AD70)</f>
        <v>14170299573.450001</v>
      </c>
      <c r="AE71" s="66" t="str">
        <f>IF(AD71=AF71, "ok", "check")</f>
        <v>ok</v>
      </c>
      <c r="AF71" s="67">
        <f>SUM(AF6:AF70)</f>
        <v>14170299573.450001</v>
      </c>
    </row>
    <row r="72" spans="1:530">
      <c r="J72"/>
    </row>
    <row r="73" spans="1:530">
      <c r="J73"/>
    </row>
    <row r="74" spans="1:530">
      <c r="J74"/>
    </row>
    <row r="75" spans="1:530">
      <c r="J75"/>
    </row>
    <row r="76" spans="1:530">
      <c r="J76"/>
    </row>
    <row r="77" spans="1:530">
      <c r="J77"/>
    </row>
    <row r="78" spans="1:530">
      <c r="J78"/>
    </row>
    <row r="79" spans="1:530">
      <c r="J79"/>
    </row>
    <row r="80" spans="1:530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T315"/>
  <sheetViews>
    <sheetView topLeftCell="E21" workbookViewId="0">
      <selection activeCell="AE31" sqref="AE31:AE34"/>
    </sheetView>
  </sheetViews>
  <sheetFormatPr defaultColWidth="8.85546875" defaultRowHeight="14.45"/>
  <cols>
    <col min="1" max="1" width="12.7109375" bestFit="1" customWidth="1"/>
    <col min="2" max="2" width="23.140625" customWidth="1"/>
    <col min="3" max="3" width="13.85546875" bestFit="1" customWidth="1"/>
    <col min="4" max="5" width="15.140625" bestFit="1" customWidth="1"/>
    <col min="6" max="6" width="16.28515625" bestFit="1" customWidth="1"/>
    <col min="7" max="7" width="13.85546875" bestFit="1" customWidth="1"/>
    <col min="8" max="8" width="14.7109375" bestFit="1" customWidth="1"/>
    <col min="9" max="9" width="21" bestFit="1" customWidth="1"/>
    <col min="10" max="10" width="11.7109375" style="72" customWidth="1"/>
    <col min="11" max="11" width="16.28515625" bestFit="1" customWidth="1"/>
    <col min="12" max="12" width="17.28515625" customWidth="1"/>
    <col min="13" max="13" width="18.85546875" bestFit="1" customWidth="1"/>
    <col min="14" max="14" width="37.28515625" bestFit="1" customWidth="1"/>
    <col min="15" max="15" width="36.85546875" bestFit="1" customWidth="1"/>
    <col min="16" max="16" width="35.7109375" bestFit="1" customWidth="1"/>
    <col min="17" max="18" width="24.28515625" bestFit="1" customWidth="1"/>
    <col min="19" max="19" width="37.28515625" bestFit="1" customWidth="1"/>
    <col min="20" max="20" width="17" bestFit="1" customWidth="1"/>
    <col min="21" max="21" width="23.7109375" bestFit="1" customWidth="1"/>
    <col min="22" max="22" width="11.7109375" bestFit="1" customWidth="1"/>
    <col min="23" max="23" width="14.28515625" bestFit="1" customWidth="1"/>
    <col min="24" max="24" width="17.28515625" hidden="1" customWidth="1"/>
    <col min="25" max="25" width="17.28515625" customWidth="1"/>
    <col min="26" max="26" width="48" bestFit="1" customWidth="1"/>
    <col min="27" max="27" width="19.28515625" bestFit="1" customWidth="1"/>
    <col min="28" max="28" width="21.7109375" bestFit="1" customWidth="1"/>
    <col min="29" max="29" width="25.140625" bestFit="1" customWidth="1"/>
    <col min="30" max="30" width="39.7109375" bestFit="1" customWidth="1"/>
    <col min="31" max="31" width="11.7109375" bestFit="1" customWidth="1"/>
    <col min="32" max="32" width="17.28515625" customWidth="1"/>
    <col min="33" max="33" width="19.7109375" hidden="1" customWidth="1"/>
  </cols>
  <sheetData>
    <row r="1" spans="1:150" ht="15.95" thickBot="1">
      <c r="A1" s="12" t="s">
        <v>657</v>
      </c>
      <c r="B1" s="12"/>
      <c r="C1" s="13"/>
      <c r="D1" s="13"/>
      <c r="E1" s="13"/>
      <c r="F1" s="13"/>
      <c r="G1" s="13"/>
      <c r="H1" s="13"/>
      <c r="I1" s="13"/>
      <c r="J1" s="73"/>
      <c r="K1" s="15"/>
      <c r="M1" s="16"/>
      <c r="N1" s="16"/>
      <c r="O1" s="16"/>
      <c r="P1" s="16"/>
      <c r="Q1" s="16"/>
      <c r="R1" s="16"/>
      <c r="S1" s="16"/>
      <c r="T1" s="16"/>
      <c r="U1" s="16"/>
      <c r="V1" s="16"/>
      <c r="W1" s="14"/>
      <c r="X1" s="15"/>
      <c r="Z1" s="17"/>
      <c r="AA1" s="18"/>
      <c r="AB1" s="18"/>
      <c r="AC1" s="18"/>
      <c r="AD1" s="18"/>
      <c r="AE1" s="18"/>
      <c r="AF1" s="19"/>
      <c r="AG1" s="20"/>
    </row>
    <row r="2" spans="1:150" ht="17.45" thickBot="1">
      <c r="B2" s="21"/>
      <c r="C2" s="22" t="s">
        <v>658</v>
      </c>
      <c r="D2" s="23"/>
      <c r="E2" s="23"/>
      <c r="F2" s="23"/>
      <c r="G2" s="23"/>
      <c r="H2" s="23"/>
      <c r="I2" s="23"/>
      <c r="J2" s="74"/>
      <c r="K2" s="25"/>
      <c r="L2" s="62"/>
      <c r="M2" s="26"/>
      <c r="N2" s="27" t="s">
        <v>659</v>
      </c>
      <c r="O2" s="26"/>
      <c r="P2" s="26"/>
      <c r="Q2" s="26"/>
      <c r="R2" s="26"/>
      <c r="S2" s="28" t="s">
        <v>660</v>
      </c>
      <c r="T2" s="29"/>
      <c r="U2" s="26"/>
      <c r="V2" s="26"/>
      <c r="W2" s="24"/>
      <c r="X2" s="25"/>
      <c r="Y2" s="62"/>
      <c r="Z2" s="30"/>
      <c r="AA2" s="31" t="s">
        <v>745</v>
      </c>
      <c r="AB2" s="17"/>
      <c r="AC2" s="17"/>
      <c r="AD2" s="17"/>
      <c r="AE2" s="17"/>
      <c r="AF2" s="32"/>
      <c r="AG2" s="33"/>
    </row>
    <row r="3" spans="1:150" ht="31.5" thickBot="1">
      <c r="A3" s="209" t="s">
        <v>661</v>
      </c>
      <c r="B3" s="210"/>
      <c r="C3" s="34" t="s">
        <v>7</v>
      </c>
      <c r="D3" s="35" t="s">
        <v>8</v>
      </c>
      <c r="E3" s="36" t="s">
        <v>46</v>
      </c>
      <c r="F3" s="37" t="s">
        <v>662</v>
      </c>
      <c r="G3" s="70" t="s">
        <v>663</v>
      </c>
      <c r="H3" s="38" t="s">
        <v>664</v>
      </c>
      <c r="I3" s="39" t="s">
        <v>665</v>
      </c>
      <c r="J3" s="75" t="s">
        <v>666</v>
      </c>
      <c r="K3" s="41" t="s">
        <v>666</v>
      </c>
      <c r="L3" s="175" t="s">
        <v>667</v>
      </c>
      <c r="M3" s="42" t="s">
        <v>668</v>
      </c>
      <c r="N3" s="43" t="s">
        <v>669</v>
      </c>
      <c r="O3" s="44" t="s">
        <v>670</v>
      </c>
      <c r="P3" s="36" t="s">
        <v>671</v>
      </c>
      <c r="Q3" s="69" t="s">
        <v>672</v>
      </c>
      <c r="R3" s="45" t="s">
        <v>673</v>
      </c>
      <c r="S3" s="46" t="s">
        <v>674</v>
      </c>
      <c r="T3" s="38" t="s">
        <v>675</v>
      </c>
      <c r="U3" s="47" t="s">
        <v>676</v>
      </c>
      <c r="V3" s="40" t="s">
        <v>666</v>
      </c>
      <c r="W3" s="41" t="s">
        <v>666</v>
      </c>
      <c r="X3" s="48"/>
      <c r="Y3" s="174" t="s">
        <v>677</v>
      </c>
      <c r="Z3" s="49" t="s">
        <v>746</v>
      </c>
      <c r="AA3" s="50" t="s">
        <v>747</v>
      </c>
      <c r="AB3" s="51" t="s">
        <v>748</v>
      </c>
      <c r="AC3" s="52" t="s">
        <v>749</v>
      </c>
      <c r="AD3" s="53" t="s">
        <v>750</v>
      </c>
      <c r="AE3" s="40" t="s">
        <v>666</v>
      </c>
      <c r="AF3" s="41" t="s">
        <v>666</v>
      </c>
    </row>
    <row r="4" spans="1:150" ht="15.95" thickBot="1">
      <c r="A4" s="211" t="s">
        <v>678</v>
      </c>
      <c r="B4" s="212"/>
      <c r="J4" s="54"/>
      <c r="K4" s="55"/>
      <c r="L4" s="56"/>
      <c r="V4" s="54"/>
      <c r="W4" s="55"/>
      <c r="X4" s="56" t="s">
        <v>679</v>
      </c>
      <c r="Y4" s="56"/>
      <c r="AE4" s="54"/>
      <c r="AF4" s="55"/>
    </row>
    <row r="5" spans="1:150" ht="15.6">
      <c r="A5" s="57"/>
      <c r="B5" s="58" t="s">
        <v>680</v>
      </c>
      <c r="J5" s="54"/>
      <c r="K5" s="55"/>
      <c r="L5" s="56"/>
      <c r="V5" s="54"/>
      <c r="W5" s="55"/>
      <c r="X5" s="56"/>
      <c r="Y5" s="56"/>
      <c r="AE5" s="54"/>
      <c r="AF5" s="55"/>
    </row>
    <row r="6" spans="1:150" s="109" customFormat="1" ht="15.6">
      <c r="A6" s="117"/>
      <c r="B6" s="118" t="s">
        <v>681</v>
      </c>
      <c r="C6" s="119">
        <v>0</v>
      </c>
      <c r="D6" s="119">
        <v>0</v>
      </c>
      <c r="E6" s="119">
        <v>0</v>
      </c>
      <c r="F6" s="119">
        <v>0</v>
      </c>
      <c r="G6" s="119">
        <v>0</v>
      </c>
      <c r="H6" s="119">
        <v>0</v>
      </c>
      <c r="I6" s="119">
        <f t="shared" ref="I6:I7" si="0">SUM(C6:H6)</f>
        <v>0</v>
      </c>
      <c r="J6" s="130" t="str">
        <f t="shared" ref="J6:J69" si="1">IF(I6=K6, "ok", "check")</f>
        <v>ok</v>
      </c>
      <c r="K6" s="120">
        <v>0</v>
      </c>
      <c r="L6" s="176"/>
      <c r="M6" s="119">
        <v>0</v>
      </c>
      <c r="N6" s="119">
        <v>0</v>
      </c>
      <c r="O6" s="119">
        <v>0</v>
      </c>
      <c r="P6" s="119">
        <v>0</v>
      </c>
      <c r="Q6" s="119">
        <v>0</v>
      </c>
      <c r="R6" s="119">
        <v>0</v>
      </c>
      <c r="S6" s="119">
        <v>0</v>
      </c>
      <c r="T6" s="119">
        <v>0</v>
      </c>
      <c r="U6" s="119">
        <f t="shared" ref="U6:U7" si="2">SUM(M6:T6)</f>
        <v>0</v>
      </c>
      <c r="V6" s="122" t="str">
        <f t="shared" ref="V6:V69" si="3">IF(U6=W6, "ok", "check")</f>
        <v>ok</v>
      </c>
      <c r="W6" s="120">
        <v>0</v>
      </c>
      <c r="X6" s="121"/>
      <c r="Y6" s="176"/>
      <c r="Z6" s="119">
        <v>0</v>
      </c>
      <c r="AA6" s="119">
        <v>0</v>
      </c>
      <c r="AB6" s="119">
        <v>0</v>
      </c>
      <c r="AC6" s="119">
        <f t="shared" ref="AC6:AC7" si="4">SUM(Z6:AB6)</f>
        <v>0</v>
      </c>
      <c r="AD6" s="119">
        <f>SUM(AC6,U6)</f>
        <v>0</v>
      </c>
      <c r="AE6" s="122" t="str">
        <f t="shared" ref="AE6:AE69" si="5">IF(AD6=AF6, "ok", "check")</f>
        <v>ok</v>
      </c>
      <c r="AF6" s="120">
        <v>0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150" ht="15.6">
      <c r="A7" s="57"/>
      <c r="B7" s="3" t="s">
        <v>682</v>
      </c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f t="shared" si="0"/>
        <v>0</v>
      </c>
      <c r="J7" s="130" t="str">
        <f t="shared" si="1"/>
        <v>ok</v>
      </c>
      <c r="K7" s="59">
        <v>0</v>
      </c>
      <c r="L7" s="177"/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0</v>
      </c>
      <c r="U7" s="60">
        <f t="shared" si="2"/>
        <v>0</v>
      </c>
      <c r="V7" s="122" t="str">
        <f t="shared" si="3"/>
        <v>ok</v>
      </c>
      <c r="W7" s="59">
        <v>0</v>
      </c>
      <c r="X7" s="61"/>
      <c r="Y7" s="177"/>
      <c r="Z7" s="60">
        <v>0</v>
      </c>
      <c r="AA7" s="60">
        <v>0</v>
      </c>
      <c r="AB7" s="60">
        <v>0</v>
      </c>
      <c r="AC7" s="60">
        <f t="shared" si="4"/>
        <v>0</v>
      </c>
      <c r="AD7" s="60">
        <f>SUM(AC7,U7)</f>
        <v>0</v>
      </c>
      <c r="AE7" s="122" t="str">
        <f t="shared" si="5"/>
        <v>ok</v>
      </c>
      <c r="AF7" s="59">
        <v>0</v>
      </c>
    </row>
    <row r="8" spans="1:150" s="109" customFormat="1" ht="15.6">
      <c r="A8" s="117"/>
      <c r="B8" s="118" t="s">
        <v>683</v>
      </c>
      <c r="C8" s="119">
        <f>Ascension!J8</f>
        <v>3686409</v>
      </c>
      <c r="D8" s="119">
        <f>Ascension!J9</f>
        <v>4127466</v>
      </c>
      <c r="E8" s="119">
        <f>Ascension!J10</f>
        <v>211156</v>
      </c>
      <c r="F8" s="119">
        <f>Ascension!J18+Ascension!J19</f>
        <v>10893288</v>
      </c>
      <c r="G8" s="119">
        <f>Ascension!J11</f>
        <v>104475</v>
      </c>
      <c r="H8" s="119">
        <f>Ascension!J12+Ascension!J13+Ascension!J14+Ascension!J15</f>
        <v>58887</v>
      </c>
      <c r="I8" s="119">
        <f t="shared" ref="I8:I15" si="6">SUM(C8:H8)</f>
        <v>19081681</v>
      </c>
      <c r="J8" s="130" t="str">
        <f t="shared" si="1"/>
        <v>ok</v>
      </c>
      <c r="K8" s="120">
        <f>Ascension!J21</f>
        <v>19081681</v>
      </c>
      <c r="L8" s="176">
        <f>Ascension!J24</f>
        <v>0</v>
      </c>
      <c r="M8" s="119">
        <f>Ascension!J29</f>
        <v>565558</v>
      </c>
      <c r="N8" s="119">
        <v>0</v>
      </c>
      <c r="O8" s="119">
        <v>0</v>
      </c>
      <c r="P8" s="119">
        <v>0</v>
      </c>
      <c r="Q8" s="119">
        <f>Ascension!J32</f>
        <v>28220</v>
      </c>
      <c r="R8" s="119">
        <v>0</v>
      </c>
      <c r="S8" s="119">
        <v>0</v>
      </c>
      <c r="T8" s="119">
        <f>Ascension!J33</f>
        <v>36464</v>
      </c>
      <c r="U8" s="119">
        <f t="shared" ref="U8:U15" si="7">SUM(M8:T8)</f>
        <v>630242</v>
      </c>
      <c r="V8" s="122" t="str">
        <f t="shared" si="3"/>
        <v>ok</v>
      </c>
      <c r="W8" s="120">
        <f>Ascension!J42</f>
        <v>630242</v>
      </c>
      <c r="X8" s="121"/>
      <c r="Y8" s="176">
        <f>Ascension!J46+Ascension!J45</f>
        <v>18770</v>
      </c>
      <c r="Z8" s="119">
        <f>Ascension!J51</f>
        <v>10893288</v>
      </c>
      <c r="AA8" s="119">
        <v>0</v>
      </c>
      <c r="AB8" s="119">
        <f>Ascension!J57</f>
        <v>7539381</v>
      </c>
      <c r="AC8" s="119">
        <f>SUM(Z8:AB8)</f>
        <v>18432669</v>
      </c>
      <c r="AD8" s="119">
        <f>SUM(AC8,U8+Y8)</f>
        <v>19081681</v>
      </c>
      <c r="AE8" s="122" t="str">
        <f t="shared" si="5"/>
        <v>ok</v>
      </c>
      <c r="AF8" s="120">
        <f>Ascension!J61</f>
        <v>19081681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150" ht="15.6">
      <c r="A9" s="57"/>
      <c r="B9" s="3" t="s">
        <v>684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f t="shared" si="6"/>
        <v>0</v>
      </c>
      <c r="J9" s="130" t="str">
        <f t="shared" si="1"/>
        <v>ok</v>
      </c>
      <c r="K9" s="59">
        <v>0</v>
      </c>
      <c r="L9" s="177"/>
      <c r="M9" s="60">
        <v>0</v>
      </c>
      <c r="N9" s="60">
        <v>0</v>
      </c>
      <c r="O9" s="60">
        <v>0</v>
      </c>
      <c r="P9" s="60">
        <v>0</v>
      </c>
      <c r="Q9" s="60">
        <v>0</v>
      </c>
      <c r="R9" s="60">
        <f>Assumption!H22</f>
        <v>0</v>
      </c>
      <c r="S9" s="60"/>
      <c r="T9" s="60">
        <v>0</v>
      </c>
      <c r="U9" s="60">
        <f t="shared" si="7"/>
        <v>0</v>
      </c>
      <c r="V9" s="122" t="str">
        <f t="shared" si="3"/>
        <v>ok</v>
      </c>
      <c r="W9" s="59">
        <v>0</v>
      </c>
      <c r="X9" s="61"/>
      <c r="Y9" s="177"/>
      <c r="Z9" s="60">
        <v>0</v>
      </c>
      <c r="AA9" s="60">
        <v>0</v>
      </c>
      <c r="AB9" s="60">
        <v>0</v>
      </c>
      <c r="AC9" s="60">
        <f t="shared" ref="AC9:AC15" si="8">SUM(Z9:AB9)</f>
        <v>0</v>
      </c>
      <c r="AD9" s="60">
        <f t="shared" ref="AD9:AD69" si="9">SUM(AC9,U9+Y9)</f>
        <v>0</v>
      </c>
      <c r="AE9" s="122" t="str">
        <f t="shared" si="5"/>
        <v>ok</v>
      </c>
      <c r="AF9" s="59">
        <v>0</v>
      </c>
    </row>
    <row r="10" spans="1:150" s="109" customFormat="1" ht="15.6">
      <c r="A10" s="117"/>
      <c r="B10" s="118" t="s">
        <v>685</v>
      </c>
      <c r="C10" s="119">
        <v>0</v>
      </c>
      <c r="D10" s="119">
        <f>Jefferson!H7</f>
        <v>0</v>
      </c>
      <c r="E10" s="119">
        <v>0</v>
      </c>
      <c r="F10" s="119">
        <v>0</v>
      </c>
      <c r="G10" s="119">
        <v>0</v>
      </c>
      <c r="H10" s="119">
        <v>0</v>
      </c>
      <c r="I10" s="119">
        <f t="shared" si="6"/>
        <v>0</v>
      </c>
      <c r="J10" s="130" t="str">
        <f t="shared" si="1"/>
        <v>ok</v>
      </c>
      <c r="K10" s="120">
        <v>0</v>
      </c>
      <c r="L10" s="176"/>
      <c r="M10" s="119">
        <v>0</v>
      </c>
      <c r="N10" s="119">
        <v>0</v>
      </c>
      <c r="O10" s="119">
        <v>0</v>
      </c>
      <c r="P10" s="119">
        <v>0</v>
      </c>
      <c r="Q10" s="119">
        <v>0</v>
      </c>
      <c r="R10" s="119">
        <v>0</v>
      </c>
      <c r="S10" s="119">
        <f>Jefferson!H66</f>
        <v>0</v>
      </c>
      <c r="T10" s="119">
        <v>0</v>
      </c>
      <c r="U10" s="119">
        <f t="shared" si="7"/>
        <v>0</v>
      </c>
      <c r="V10" s="122" t="str">
        <f t="shared" si="3"/>
        <v>ok</v>
      </c>
      <c r="W10" s="120">
        <v>0</v>
      </c>
      <c r="X10" s="121"/>
      <c r="Y10" s="176"/>
      <c r="Z10" s="119">
        <v>0</v>
      </c>
      <c r="AA10" s="119">
        <v>0</v>
      </c>
      <c r="AB10" s="119">
        <v>0</v>
      </c>
      <c r="AC10" s="119">
        <f t="shared" si="8"/>
        <v>0</v>
      </c>
      <c r="AD10" s="119">
        <f t="shared" si="9"/>
        <v>0</v>
      </c>
      <c r="AE10" s="122" t="str">
        <f t="shared" si="5"/>
        <v>ok</v>
      </c>
      <c r="AF10" s="120">
        <v>0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150" ht="15.6">
      <c r="A11" s="57"/>
      <c r="B11" s="3" t="s">
        <v>686</v>
      </c>
      <c r="C11" s="60">
        <v>0</v>
      </c>
      <c r="D11" s="60">
        <v>0</v>
      </c>
      <c r="E11" s="60">
        <v>0</v>
      </c>
      <c r="F11" s="60">
        <v>0</v>
      </c>
      <c r="G11" s="60">
        <f>Allen!G12</f>
        <v>0</v>
      </c>
      <c r="H11" s="60">
        <v>0</v>
      </c>
      <c r="I11" s="60">
        <f t="shared" si="6"/>
        <v>0</v>
      </c>
      <c r="J11" s="130" t="str">
        <f t="shared" si="1"/>
        <v>ok</v>
      </c>
      <c r="K11" s="59">
        <v>0</v>
      </c>
      <c r="L11" s="177"/>
      <c r="M11" s="60">
        <v>0</v>
      </c>
      <c r="N11" s="60">
        <v>0</v>
      </c>
      <c r="O11" s="60">
        <f>Allen!G23</f>
        <v>0</v>
      </c>
      <c r="P11" s="60">
        <f>Allen!G26</f>
        <v>0</v>
      </c>
      <c r="Q11" s="60">
        <v>0</v>
      </c>
      <c r="R11" s="60">
        <v>0</v>
      </c>
      <c r="S11" s="60">
        <v>0</v>
      </c>
      <c r="T11" s="60">
        <v>0</v>
      </c>
      <c r="U11" s="60">
        <f t="shared" si="7"/>
        <v>0</v>
      </c>
      <c r="V11" s="122" t="str">
        <f t="shared" si="3"/>
        <v>ok</v>
      </c>
      <c r="W11" s="59">
        <v>0</v>
      </c>
      <c r="X11" s="61"/>
      <c r="Y11" s="177"/>
      <c r="Z11" s="60">
        <v>0</v>
      </c>
      <c r="AA11" s="60">
        <v>0</v>
      </c>
      <c r="AB11" s="60">
        <v>0</v>
      </c>
      <c r="AC11" s="60">
        <f t="shared" si="8"/>
        <v>0</v>
      </c>
      <c r="AD11" s="60">
        <f t="shared" si="9"/>
        <v>0</v>
      </c>
      <c r="AE11" s="122" t="str">
        <f t="shared" si="5"/>
        <v>ok</v>
      </c>
      <c r="AF11" s="59">
        <v>0</v>
      </c>
    </row>
    <row r="12" spans="1:150" s="109" customFormat="1" ht="15.6">
      <c r="A12" s="117"/>
      <c r="B12" s="118" t="s">
        <v>687</v>
      </c>
      <c r="C12" s="119">
        <v>0</v>
      </c>
      <c r="D12" s="119">
        <v>0</v>
      </c>
      <c r="E12" s="119">
        <v>0</v>
      </c>
      <c r="F12" s="119">
        <v>0</v>
      </c>
      <c r="G12" s="119">
        <v>0</v>
      </c>
      <c r="H12" s="119">
        <v>0</v>
      </c>
      <c r="I12" s="119">
        <f t="shared" si="6"/>
        <v>0</v>
      </c>
      <c r="J12" s="130" t="str">
        <f t="shared" si="1"/>
        <v>ok</v>
      </c>
      <c r="K12" s="120">
        <v>0</v>
      </c>
      <c r="L12" s="176"/>
      <c r="M12" s="119">
        <v>0</v>
      </c>
      <c r="N12" s="119">
        <v>0</v>
      </c>
      <c r="O12" s="119">
        <v>0</v>
      </c>
      <c r="P12" s="119">
        <v>0</v>
      </c>
      <c r="Q12" s="119">
        <v>0</v>
      </c>
      <c r="R12" s="119">
        <v>0</v>
      </c>
      <c r="S12" s="119">
        <v>0</v>
      </c>
      <c r="T12" s="119">
        <v>0</v>
      </c>
      <c r="U12" s="119">
        <f t="shared" si="7"/>
        <v>0</v>
      </c>
      <c r="V12" s="122" t="str">
        <f t="shared" si="3"/>
        <v>ok</v>
      </c>
      <c r="W12" s="120">
        <v>0</v>
      </c>
      <c r="X12" s="121"/>
      <c r="Y12" s="176"/>
      <c r="Z12" s="119">
        <v>0</v>
      </c>
      <c r="AA12" s="119">
        <v>0</v>
      </c>
      <c r="AB12" s="119">
        <v>0</v>
      </c>
      <c r="AC12" s="119">
        <f t="shared" si="8"/>
        <v>0</v>
      </c>
      <c r="AD12" s="119">
        <f t="shared" si="9"/>
        <v>0</v>
      </c>
      <c r="AE12" s="122" t="str">
        <f t="shared" si="5"/>
        <v>ok</v>
      </c>
      <c r="AF12" s="120">
        <v>0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</row>
    <row r="13" spans="1:150" ht="15.6">
      <c r="A13" s="57"/>
      <c r="B13" s="3" t="s">
        <v>688</v>
      </c>
      <c r="C13" s="60">
        <f>Bossier!I8+Bossier!I9</f>
        <v>1152703</v>
      </c>
      <c r="D13" s="60">
        <v>0</v>
      </c>
      <c r="E13" s="60">
        <f>Bossier!I10</f>
        <v>243838</v>
      </c>
      <c r="F13" s="60">
        <f>Bossier!I13+Bossier!I14</f>
        <v>10462145</v>
      </c>
      <c r="G13" s="60">
        <v>0</v>
      </c>
      <c r="H13" s="60">
        <f>Bossier!I15+Bossier!I11</f>
        <v>-8145656</v>
      </c>
      <c r="I13" s="60">
        <f t="shared" si="6"/>
        <v>3713030</v>
      </c>
      <c r="J13" s="130" t="str">
        <f t="shared" si="1"/>
        <v>ok</v>
      </c>
      <c r="K13" s="59">
        <f>Bossier!I17</f>
        <v>3713030</v>
      </c>
      <c r="L13" s="177"/>
      <c r="M13" s="60">
        <f>Bossier!I21</f>
        <v>313454</v>
      </c>
      <c r="N13" s="60">
        <v>0</v>
      </c>
      <c r="O13" s="60">
        <v>0</v>
      </c>
      <c r="P13" s="60">
        <v>0</v>
      </c>
      <c r="Q13" s="60">
        <v>0</v>
      </c>
      <c r="R13" s="60">
        <f>Bossier!I28</f>
        <v>0</v>
      </c>
      <c r="S13" s="60">
        <f>Bossier!I29</f>
        <v>572460</v>
      </c>
      <c r="T13" s="60">
        <f>Bossier!I23</f>
        <v>91817</v>
      </c>
      <c r="U13" s="60">
        <f t="shared" si="7"/>
        <v>977731</v>
      </c>
      <c r="V13" s="122" t="str">
        <f t="shared" si="3"/>
        <v>ok</v>
      </c>
      <c r="W13" s="59">
        <f>Bossier!I33</f>
        <v>977731</v>
      </c>
      <c r="X13" s="61"/>
      <c r="Y13" s="177"/>
      <c r="Z13" s="60">
        <f>Bossier!I36</f>
        <v>1704213</v>
      </c>
      <c r="AA13" s="60">
        <v>0</v>
      </c>
      <c r="AB13" s="60">
        <f>Bossier!I46</f>
        <v>1031086</v>
      </c>
      <c r="AC13" s="60">
        <f t="shared" si="8"/>
        <v>2735299</v>
      </c>
      <c r="AD13" s="60">
        <f t="shared" si="9"/>
        <v>3713030</v>
      </c>
      <c r="AE13" s="122" t="str">
        <f t="shared" si="5"/>
        <v>ok</v>
      </c>
      <c r="AF13" s="59">
        <f>Bossier!I50</f>
        <v>3713030</v>
      </c>
    </row>
    <row r="14" spans="1:150" s="109" customFormat="1">
      <c r="B14" s="118" t="s">
        <v>689</v>
      </c>
      <c r="C14" s="119">
        <v>0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f t="shared" si="6"/>
        <v>0</v>
      </c>
      <c r="J14" s="130" t="str">
        <f t="shared" si="1"/>
        <v>ok</v>
      </c>
      <c r="K14" s="120">
        <f>0</f>
        <v>0</v>
      </c>
      <c r="L14" s="176">
        <v>0</v>
      </c>
      <c r="M14" s="119">
        <v>0</v>
      </c>
      <c r="N14" s="119">
        <v>0</v>
      </c>
      <c r="O14" s="119">
        <v>0</v>
      </c>
      <c r="P14" s="119">
        <v>0</v>
      </c>
      <c r="Q14" s="119">
        <v>0</v>
      </c>
      <c r="R14" s="119">
        <v>0</v>
      </c>
      <c r="S14" s="119">
        <v>0</v>
      </c>
      <c r="T14" s="119">
        <v>0</v>
      </c>
      <c r="U14" s="119">
        <f t="shared" si="7"/>
        <v>0</v>
      </c>
      <c r="V14" s="122" t="str">
        <f t="shared" si="3"/>
        <v>check</v>
      </c>
      <c r="W14" s="120">
        <f>Caddo!I38</f>
        <v>30059593</v>
      </c>
      <c r="X14" s="121"/>
      <c r="Y14" s="176"/>
      <c r="Z14" s="119">
        <f>Caddo!I41</f>
        <v>27322309</v>
      </c>
      <c r="AA14" s="119">
        <f>Caddo!I49+Caddo!I50+Caddo!I51</f>
        <v>9734174</v>
      </c>
      <c r="AB14" s="119">
        <f>Caddo!I52</f>
        <v>19015513</v>
      </c>
      <c r="AC14" s="119">
        <f t="shared" si="8"/>
        <v>56071996</v>
      </c>
      <c r="AD14" s="119">
        <f t="shared" si="9"/>
        <v>56071996</v>
      </c>
      <c r="AE14" s="122" t="str">
        <f t="shared" si="5"/>
        <v>check</v>
      </c>
      <c r="AF14" s="120">
        <f>Caddo!I56</f>
        <v>86131589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150" ht="15.6">
      <c r="A15" s="57"/>
      <c r="B15" s="3" t="s">
        <v>690</v>
      </c>
      <c r="C15" s="60">
        <f>Calcasieu!I8+Calcasieu!I20</f>
        <v>300148</v>
      </c>
      <c r="D15" s="60">
        <f>Calcasieu!I9+Calcasieu!I21</f>
        <v>970092</v>
      </c>
      <c r="E15" s="60">
        <f>Calcasieu!I10+Calcasieu!I11</f>
        <v>652972</v>
      </c>
      <c r="F15" s="60">
        <f>Calcasieu!I24+Calcasieu!I25</f>
        <v>9247259</v>
      </c>
      <c r="G15" s="60">
        <f>Calcasieu!I13</f>
        <v>0</v>
      </c>
      <c r="H15" s="60">
        <f>Calcasieu!I12+Calcasieu!I16+Calcasieu!I18</f>
        <v>-9711</v>
      </c>
      <c r="I15" s="60">
        <f t="shared" si="6"/>
        <v>11160760</v>
      </c>
      <c r="J15" s="130" t="str">
        <f t="shared" si="1"/>
        <v>ok</v>
      </c>
      <c r="K15" s="59">
        <f>Calcasieu!I27</f>
        <v>11160760</v>
      </c>
      <c r="L15" s="177"/>
      <c r="M15" s="60">
        <f>Calcasieu!I33+Calcasieu!I38</f>
        <v>290856</v>
      </c>
      <c r="N15" s="60">
        <v>0</v>
      </c>
      <c r="O15" s="60">
        <v>0</v>
      </c>
      <c r="P15" s="60">
        <v>0</v>
      </c>
      <c r="Q15" s="60">
        <v>0</v>
      </c>
      <c r="R15" s="60">
        <f>Calcasieu!I41</f>
        <v>40835</v>
      </c>
      <c r="S15" s="60">
        <f>Calcasieu!I42</f>
        <v>316086</v>
      </c>
      <c r="T15" s="60">
        <v>0</v>
      </c>
      <c r="U15" s="60">
        <f t="shared" si="7"/>
        <v>647777</v>
      </c>
      <c r="V15" s="122" t="str">
        <f t="shared" si="3"/>
        <v>ok</v>
      </c>
      <c r="W15" s="59">
        <f>Calcasieu!I44</f>
        <v>647777</v>
      </c>
      <c r="X15" s="61"/>
      <c r="Y15" s="177"/>
      <c r="Z15" s="60">
        <f>Calcasieu!I50</f>
        <v>8890338</v>
      </c>
      <c r="AA15" s="60">
        <f>Calcasieu!I52</f>
        <v>103710</v>
      </c>
      <c r="AB15" s="60">
        <f>Calcasieu!I55</f>
        <v>1518935</v>
      </c>
      <c r="AC15" s="60">
        <f t="shared" si="8"/>
        <v>10512983</v>
      </c>
      <c r="AD15" s="60">
        <f t="shared" si="9"/>
        <v>11160760</v>
      </c>
      <c r="AE15" s="122" t="str">
        <f t="shared" si="5"/>
        <v>ok</v>
      </c>
      <c r="AF15" s="59">
        <f>Calcasieu!I59</f>
        <v>11160760</v>
      </c>
    </row>
    <row r="16" spans="1:150" s="109" customFormat="1">
      <c r="B16" s="118" t="s">
        <v>691</v>
      </c>
      <c r="C16" s="119">
        <v>0</v>
      </c>
      <c r="D16" s="119">
        <v>0</v>
      </c>
      <c r="E16" s="119">
        <v>0</v>
      </c>
      <c r="F16" s="119">
        <v>0</v>
      </c>
      <c r="G16" s="119">
        <v>0</v>
      </c>
      <c r="H16" s="119">
        <v>0</v>
      </c>
      <c r="I16" s="119">
        <f t="shared" ref="I16:I43" si="10">SUM(C16:H16)</f>
        <v>0</v>
      </c>
      <c r="J16" s="130" t="str">
        <f t="shared" si="1"/>
        <v>ok</v>
      </c>
      <c r="K16" s="120">
        <v>0</v>
      </c>
      <c r="L16" s="176"/>
      <c r="M16" s="119">
        <v>0</v>
      </c>
      <c r="N16" s="119">
        <v>0</v>
      </c>
      <c r="O16" s="119">
        <v>0</v>
      </c>
      <c r="P16" s="119">
        <v>0</v>
      </c>
      <c r="Q16" s="119">
        <v>0</v>
      </c>
      <c r="R16" s="119">
        <f>Caddo!H37</f>
        <v>0</v>
      </c>
      <c r="S16" s="119">
        <v>0</v>
      </c>
      <c r="T16" s="119">
        <v>0</v>
      </c>
      <c r="U16" s="119">
        <f t="shared" ref="U16:U21" si="11">SUM(M16:T16)</f>
        <v>0</v>
      </c>
      <c r="V16" s="122" t="str">
        <f t="shared" si="3"/>
        <v>ok</v>
      </c>
      <c r="W16" s="120">
        <v>0</v>
      </c>
      <c r="X16" s="121"/>
      <c r="Y16" s="176"/>
      <c r="Z16" s="119">
        <v>0</v>
      </c>
      <c r="AA16" s="119">
        <v>0</v>
      </c>
      <c r="AB16" s="119">
        <v>0</v>
      </c>
      <c r="AC16" s="119">
        <f t="shared" ref="AC16:AC21" si="12">SUM(Z16:AB16)</f>
        <v>0</v>
      </c>
      <c r="AD16" s="119">
        <f t="shared" si="9"/>
        <v>0</v>
      </c>
      <c r="AE16" s="122" t="str">
        <f t="shared" si="5"/>
        <v>ok</v>
      </c>
      <c r="AF16" s="120">
        <v>0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</row>
    <row r="17" spans="1:150" ht="15.6">
      <c r="A17" s="57"/>
      <c r="B17" s="3" t="s">
        <v>692</v>
      </c>
      <c r="C17" s="60">
        <v>0</v>
      </c>
      <c r="D17" s="60">
        <f>Jefferson!H7</f>
        <v>0</v>
      </c>
      <c r="E17" s="60">
        <v>0</v>
      </c>
      <c r="F17" s="60">
        <v>0</v>
      </c>
      <c r="G17" s="60">
        <v>0</v>
      </c>
      <c r="H17" s="60">
        <v>0</v>
      </c>
      <c r="I17" s="60">
        <f t="shared" si="10"/>
        <v>0</v>
      </c>
      <c r="J17" s="130" t="str">
        <f t="shared" si="1"/>
        <v>ok</v>
      </c>
      <c r="K17" s="59">
        <v>0</v>
      </c>
      <c r="L17" s="177"/>
      <c r="M17" s="60">
        <v>0</v>
      </c>
      <c r="N17" s="60">
        <v>0</v>
      </c>
      <c r="O17" s="60">
        <v>0</v>
      </c>
      <c r="P17" s="60">
        <v>0</v>
      </c>
      <c r="Q17" s="60">
        <v>0</v>
      </c>
      <c r="R17" s="60">
        <v>0</v>
      </c>
      <c r="S17" s="60">
        <v>0</v>
      </c>
      <c r="T17" s="60">
        <v>0</v>
      </c>
      <c r="U17" s="60">
        <f t="shared" si="11"/>
        <v>0</v>
      </c>
      <c r="V17" s="122" t="str">
        <f t="shared" si="3"/>
        <v>ok</v>
      </c>
      <c r="W17" s="59">
        <v>0</v>
      </c>
      <c r="X17" s="61"/>
      <c r="Y17" s="177"/>
      <c r="Z17" s="60">
        <v>0</v>
      </c>
      <c r="AA17" s="60">
        <v>0</v>
      </c>
      <c r="AB17" s="60">
        <v>0</v>
      </c>
      <c r="AC17" s="60">
        <f t="shared" si="12"/>
        <v>0</v>
      </c>
      <c r="AD17" s="60">
        <f t="shared" si="9"/>
        <v>0</v>
      </c>
      <c r="AE17" s="122" t="str">
        <f t="shared" si="5"/>
        <v>ok</v>
      </c>
      <c r="AF17" s="59">
        <v>0</v>
      </c>
    </row>
    <row r="18" spans="1:150" s="109" customFormat="1" ht="15.6">
      <c r="A18" s="117"/>
      <c r="B18" s="118" t="s">
        <v>693</v>
      </c>
      <c r="C18" s="119">
        <v>0</v>
      </c>
      <c r="D18" s="119">
        <v>0</v>
      </c>
      <c r="E18" s="119">
        <v>0</v>
      </c>
      <c r="F18" s="119">
        <v>0</v>
      </c>
      <c r="G18" s="119">
        <v>0</v>
      </c>
      <c r="H18" s="119">
        <v>0</v>
      </c>
      <c r="I18" s="119">
        <f t="shared" si="10"/>
        <v>0</v>
      </c>
      <c r="J18" s="130" t="str">
        <f t="shared" si="1"/>
        <v>ok</v>
      </c>
      <c r="K18" s="120">
        <v>0</v>
      </c>
      <c r="L18" s="176"/>
      <c r="M18" s="119">
        <v>0</v>
      </c>
      <c r="N18" s="119">
        <v>0</v>
      </c>
      <c r="O18" s="119">
        <v>0</v>
      </c>
      <c r="P18" s="119">
        <v>0</v>
      </c>
      <c r="Q18" s="119">
        <v>0</v>
      </c>
      <c r="R18" s="119">
        <v>0</v>
      </c>
      <c r="S18" s="119">
        <v>0</v>
      </c>
      <c r="T18" s="119">
        <v>0</v>
      </c>
      <c r="U18" s="119">
        <f t="shared" si="11"/>
        <v>0</v>
      </c>
      <c r="V18" s="122" t="str">
        <f t="shared" si="3"/>
        <v>ok</v>
      </c>
      <c r="W18" s="120">
        <v>0</v>
      </c>
      <c r="X18" s="121"/>
      <c r="Y18" s="176"/>
      <c r="Z18" s="119">
        <v>0</v>
      </c>
      <c r="AA18" s="119">
        <v>0</v>
      </c>
      <c r="AB18" s="119">
        <v>0</v>
      </c>
      <c r="AC18" s="119">
        <f t="shared" si="12"/>
        <v>0</v>
      </c>
      <c r="AD18" s="119">
        <f t="shared" si="9"/>
        <v>0</v>
      </c>
      <c r="AE18" s="122" t="str">
        <f t="shared" si="5"/>
        <v>ok</v>
      </c>
      <c r="AF18" s="120">
        <v>0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</row>
    <row r="19" spans="1:150" ht="15.6">
      <c r="A19" s="57"/>
      <c r="B19" s="3" t="s">
        <v>694</v>
      </c>
      <c r="C19" s="60">
        <v>0</v>
      </c>
      <c r="D19" s="60">
        <v>0</v>
      </c>
      <c r="E19" s="60">
        <v>0</v>
      </c>
      <c r="F19" s="60">
        <v>0</v>
      </c>
      <c r="G19" s="60">
        <v>0</v>
      </c>
      <c r="H19" s="60">
        <v>0</v>
      </c>
      <c r="I19" s="60">
        <f t="shared" si="10"/>
        <v>0</v>
      </c>
      <c r="J19" s="130" t="str">
        <f t="shared" si="1"/>
        <v>ok</v>
      </c>
      <c r="K19" s="59">
        <v>0</v>
      </c>
      <c r="L19" s="177"/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f t="shared" si="11"/>
        <v>0</v>
      </c>
      <c r="V19" s="122" t="str">
        <f t="shared" si="3"/>
        <v>ok</v>
      </c>
      <c r="W19" s="59">
        <v>0</v>
      </c>
      <c r="X19" s="61"/>
      <c r="Y19" s="177"/>
      <c r="Z19" s="60">
        <v>0</v>
      </c>
      <c r="AA19" s="60">
        <v>0</v>
      </c>
      <c r="AB19" s="60">
        <v>0</v>
      </c>
      <c r="AC19" s="60">
        <f t="shared" si="12"/>
        <v>0</v>
      </c>
      <c r="AD19" s="60">
        <f t="shared" si="9"/>
        <v>0</v>
      </c>
      <c r="AE19" s="122" t="str">
        <f t="shared" si="5"/>
        <v>ok</v>
      </c>
      <c r="AF19" s="59">
        <v>0</v>
      </c>
    </row>
    <row r="20" spans="1:150" s="109" customFormat="1" ht="15.6">
      <c r="A20" s="117"/>
      <c r="B20" s="118" t="s">
        <v>695</v>
      </c>
      <c r="C20" s="119">
        <v>0</v>
      </c>
      <c r="D20" s="119">
        <v>0</v>
      </c>
      <c r="E20" s="119">
        <v>0</v>
      </c>
      <c r="F20" s="119">
        <v>0</v>
      </c>
      <c r="G20" s="119">
        <v>0</v>
      </c>
      <c r="H20" s="119">
        <v>0</v>
      </c>
      <c r="I20" s="119">
        <f t="shared" si="10"/>
        <v>0</v>
      </c>
      <c r="J20" s="130" t="str">
        <f t="shared" si="1"/>
        <v>ok</v>
      </c>
      <c r="K20" s="120">
        <v>0</v>
      </c>
      <c r="L20" s="176"/>
      <c r="M20" s="119">
        <v>0</v>
      </c>
      <c r="N20" s="119">
        <v>0</v>
      </c>
      <c r="O20" s="119">
        <v>0</v>
      </c>
      <c r="P20" s="119">
        <v>0</v>
      </c>
      <c r="Q20" s="119">
        <v>0</v>
      </c>
      <c r="R20" s="119">
        <v>0</v>
      </c>
      <c r="S20" s="119">
        <v>0</v>
      </c>
      <c r="T20" s="119">
        <v>0</v>
      </c>
      <c r="U20" s="119">
        <f t="shared" si="11"/>
        <v>0</v>
      </c>
      <c r="V20" s="122" t="str">
        <f t="shared" si="3"/>
        <v>ok</v>
      </c>
      <c r="W20" s="120">
        <v>0</v>
      </c>
      <c r="X20" s="121"/>
      <c r="Y20" s="176"/>
      <c r="Z20" s="119">
        <v>0</v>
      </c>
      <c r="AA20" s="119">
        <v>0</v>
      </c>
      <c r="AB20" s="119">
        <v>0</v>
      </c>
      <c r="AC20" s="119">
        <f t="shared" si="12"/>
        <v>0</v>
      </c>
      <c r="AD20" s="119">
        <f t="shared" si="9"/>
        <v>0</v>
      </c>
      <c r="AE20" s="122" t="str">
        <f t="shared" si="5"/>
        <v>ok</v>
      </c>
      <c r="AF20" s="120">
        <v>0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</row>
    <row r="21" spans="1:150" ht="15.6">
      <c r="A21" s="57"/>
      <c r="B21" s="3" t="s">
        <v>696</v>
      </c>
      <c r="C21" s="60">
        <f>DeSoto!I7</f>
        <v>265</v>
      </c>
      <c r="D21" s="60">
        <v>0</v>
      </c>
      <c r="E21" s="60">
        <f>DeSoto!I9</f>
        <v>4072</v>
      </c>
      <c r="F21" s="60">
        <f>DeSoto!I12</f>
        <v>10175</v>
      </c>
      <c r="G21" s="60">
        <v>0</v>
      </c>
      <c r="H21" s="60">
        <v>0</v>
      </c>
      <c r="I21" s="60">
        <f t="shared" si="10"/>
        <v>14512</v>
      </c>
      <c r="J21" s="130" t="str">
        <f t="shared" si="1"/>
        <v>ok</v>
      </c>
      <c r="K21" s="59">
        <f>DeSoto!I14</f>
        <v>14512</v>
      </c>
      <c r="L21" s="177"/>
      <c r="M21" s="60">
        <f>DeSoto!I17</f>
        <v>2331</v>
      </c>
      <c r="N21" s="60">
        <v>0</v>
      </c>
      <c r="O21" s="60">
        <v>0</v>
      </c>
      <c r="P21" s="60">
        <v>0</v>
      </c>
      <c r="Q21" s="60">
        <v>0</v>
      </c>
      <c r="R21" s="60">
        <v>0</v>
      </c>
      <c r="S21" s="60">
        <v>0</v>
      </c>
      <c r="T21" s="60">
        <f>DeSoto!I18</f>
        <v>270</v>
      </c>
      <c r="U21" s="60">
        <f t="shared" si="11"/>
        <v>2601</v>
      </c>
      <c r="V21" s="122" t="str">
        <f t="shared" si="3"/>
        <v>ok</v>
      </c>
      <c r="W21" s="59">
        <f>DeSoto!I28</f>
        <v>2601</v>
      </c>
      <c r="X21" s="61"/>
      <c r="Y21" s="177"/>
      <c r="Z21" s="60">
        <f>DeSoto!I31</f>
        <v>10175</v>
      </c>
      <c r="AA21" s="60">
        <v>0</v>
      </c>
      <c r="AB21" s="60">
        <f>DeSoto!I40</f>
        <v>1736</v>
      </c>
      <c r="AC21" s="60">
        <f t="shared" si="12"/>
        <v>11911</v>
      </c>
      <c r="AD21" s="60">
        <f t="shared" si="9"/>
        <v>14512</v>
      </c>
      <c r="AE21" s="122" t="str">
        <f t="shared" si="5"/>
        <v>ok</v>
      </c>
      <c r="AF21" s="59">
        <f>DeSoto!I44</f>
        <v>14512</v>
      </c>
    </row>
    <row r="22" spans="1:150" s="109" customFormat="1" ht="15.6">
      <c r="A22" s="117"/>
      <c r="B22" s="118" t="s">
        <v>697</v>
      </c>
      <c r="C22" s="119">
        <f>'East Baton Rouge'!I8+'East Baton Rouge'!I18</f>
        <v>289317856</v>
      </c>
      <c r="D22" s="119">
        <f>'East Baton Rouge'!I9+'East Baton Rouge'!I19+'East Baton Rouge'!I22</f>
        <v>339342916</v>
      </c>
      <c r="E22" s="119">
        <f>'East Baton Rouge'!I10+'East Baton Rouge'!I20</f>
        <v>16631279</v>
      </c>
      <c r="F22" s="119">
        <f>'East Baton Rouge'!I24+'East Baton Rouge'!I25</f>
        <v>1660099754</v>
      </c>
      <c r="G22" s="119">
        <f>'East Baton Rouge'!I11</f>
        <v>5285858</v>
      </c>
      <c r="H22" s="119">
        <f>'East Baton Rouge'!I12+'East Baton Rouge'!I14+'East Baton Rouge'!I21</f>
        <v>695720</v>
      </c>
      <c r="I22" s="119">
        <f t="shared" si="10"/>
        <v>2311373383</v>
      </c>
      <c r="J22" s="130" t="str">
        <f t="shared" si="1"/>
        <v>ok</v>
      </c>
      <c r="K22" s="120">
        <f>'East Baton Rouge'!I27</f>
        <v>2311373383</v>
      </c>
      <c r="L22" s="176"/>
      <c r="M22" s="119">
        <f>'East Baton Rouge'!I36</f>
        <v>50703777</v>
      </c>
      <c r="N22" s="119">
        <v>0</v>
      </c>
      <c r="O22" s="119">
        <v>0</v>
      </c>
      <c r="P22" s="119">
        <v>0</v>
      </c>
      <c r="Q22" s="119">
        <f>'East Baton Rouge'!I37</f>
        <v>0</v>
      </c>
      <c r="R22" s="119">
        <f>'East Baton Rouge'!I43</f>
        <v>18764052</v>
      </c>
      <c r="S22" s="119">
        <f>'East Baton Rouge'!I44</f>
        <v>1333967445</v>
      </c>
      <c r="T22" s="119">
        <f>'East Baton Rouge'!I38+'East Baton Rouge'!I39</f>
        <v>27258143</v>
      </c>
      <c r="U22" s="119">
        <f t="shared" ref="U22:U26" si="13">SUM(M22:T22)</f>
        <v>1430693417</v>
      </c>
      <c r="V22" s="122" t="str">
        <f t="shared" si="3"/>
        <v>ok</v>
      </c>
      <c r="W22" s="120">
        <f>'East Baton Rouge'!I46</f>
        <v>1430693417</v>
      </c>
      <c r="X22" s="121"/>
      <c r="Y22" s="176"/>
      <c r="Z22" s="119">
        <f>'East Baton Rouge'!I52</f>
        <v>704171906</v>
      </c>
      <c r="AA22" s="119">
        <f>'East Baton Rouge'!I54+'East Baton Rouge'!I55+'East Baton Rouge'!I56+'East Baton Rouge'!I57</f>
        <v>71309175</v>
      </c>
      <c r="AB22" s="119">
        <f>'East Baton Rouge'!I58</f>
        <v>150046008</v>
      </c>
      <c r="AC22" s="119">
        <f t="shared" ref="AC22:AC25" si="14">SUM(Z22:AB22)</f>
        <v>925527089</v>
      </c>
      <c r="AD22" s="119">
        <f t="shared" si="9"/>
        <v>2356220506</v>
      </c>
      <c r="AE22" s="122" t="str">
        <f t="shared" si="5"/>
        <v>ok</v>
      </c>
      <c r="AF22" s="120">
        <f>'East Baton Rouge'!I62</f>
        <v>2356220506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</row>
    <row r="23" spans="1:150">
      <c r="B23" s="3" t="s">
        <v>698</v>
      </c>
      <c r="C23" s="60">
        <f>'East Carroll'!I7+'East Carroll'!I11</f>
        <v>30920</v>
      </c>
      <c r="D23" s="60">
        <f>'East Carroll'!I8</f>
        <v>0</v>
      </c>
      <c r="E23" s="60">
        <f>'East Carroll'!I9</f>
        <v>0</v>
      </c>
      <c r="F23" s="60">
        <f>'East Carroll'!I12+'East Carroll'!I13</f>
        <v>0</v>
      </c>
      <c r="G23" s="60">
        <v>0</v>
      </c>
      <c r="H23" s="60">
        <f>'East Carroll'!I10</f>
        <v>3090</v>
      </c>
      <c r="I23" s="60">
        <f t="shared" si="10"/>
        <v>34010</v>
      </c>
      <c r="J23" s="130" t="str">
        <f t="shared" si="1"/>
        <v>ok</v>
      </c>
      <c r="K23" s="59">
        <f>'East Carroll'!I15</f>
        <v>34010</v>
      </c>
      <c r="L23" s="177"/>
      <c r="M23" s="60">
        <f>'East Carroll'!I18</f>
        <v>5776</v>
      </c>
      <c r="N23" s="60">
        <v>0</v>
      </c>
      <c r="O23" s="60">
        <v>0</v>
      </c>
      <c r="P23" s="60">
        <v>0</v>
      </c>
      <c r="Q23" s="60">
        <v>0</v>
      </c>
      <c r="R23" s="60">
        <f>'East Carroll'!I22</f>
        <v>744</v>
      </c>
      <c r="S23" s="60">
        <v>0</v>
      </c>
      <c r="T23" s="60">
        <f>'East Carroll'!I20</f>
        <v>151</v>
      </c>
      <c r="U23" s="60">
        <f t="shared" si="13"/>
        <v>6671</v>
      </c>
      <c r="V23" s="122" t="str">
        <f t="shared" si="3"/>
        <v>ok</v>
      </c>
      <c r="W23" s="59">
        <f>'East Carroll'!I25</f>
        <v>6671</v>
      </c>
      <c r="X23" s="61"/>
      <c r="Y23" s="177"/>
      <c r="Z23" s="60">
        <f>'East Carroll'!I28</f>
        <v>0</v>
      </c>
      <c r="AA23" s="60">
        <f>'East Carroll'!I39</f>
        <v>15218</v>
      </c>
      <c r="AB23" s="60">
        <f>'East Carroll'!I40</f>
        <v>12121</v>
      </c>
      <c r="AC23" s="60">
        <f t="shared" si="14"/>
        <v>27339</v>
      </c>
      <c r="AD23" s="60">
        <f t="shared" si="9"/>
        <v>34010</v>
      </c>
      <c r="AE23" s="122" t="str">
        <f t="shared" si="5"/>
        <v>ok</v>
      </c>
      <c r="AF23" s="59">
        <f>'East Carroll'!I44</f>
        <v>34010</v>
      </c>
    </row>
    <row r="24" spans="1:150" s="109" customFormat="1" ht="15.6">
      <c r="A24" s="117"/>
      <c r="B24" s="118" t="s">
        <v>699</v>
      </c>
      <c r="C24" s="119">
        <v>0</v>
      </c>
      <c r="D24" s="119">
        <v>0</v>
      </c>
      <c r="E24" s="119">
        <v>0</v>
      </c>
      <c r="F24" s="119">
        <v>0</v>
      </c>
      <c r="G24" s="119">
        <v>0</v>
      </c>
      <c r="H24" s="119">
        <v>0</v>
      </c>
      <c r="I24" s="119">
        <f t="shared" ref="I24" si="15">SUM(C24:H24)</f>
        <v>0</v>
      </c>
      <c r="J24" s="130" t="str">
        <f t="shared" si="1"/>
        <v>ok</v>
      </c>
      <c r="K24" s="120">
        <v>0</v>
      </c>
      <c r="L24" s="176"/>
      <c r="M24" s="119">
        <v>0</v>
      </c>
      <c r="N24" s="119">
        <v>0</v>
      </c>
      <c r="O24" s="119">
        <v>0</v>
      </c>
      <c r="P24" s="119">
        <v>0</v>
      </c>
      <c r="Q24" s="119">
        <v>0</v>
      </c>
      <c r="R24" s="119">
        <v>0</v>
      </c>
      <c r="S24" s="119">
        <v>0</v>
      </c>
      <c r="T24" s="119">
        <v>0</v>
      </c>
      <c r="U24" s="119">
        <f t="shared" ref="U24" si="16">SUM(M24:T24)</f>
        <v>0</v>
      </c>
      <c r="V24" s="122" t="str">
        <f t="shared" si="3"/>
        <v>ok</v>
      </c>
      <c r="W24" s="120">
        <v>0</v>
      </c>
      <c r="X24" s="121"/>
      <c r="Y24" s="176"/>
      <c r="Z24" s="119">
        <v>0</v>
      </c>
      <c r="AA24" s="119">
        <v>0</v>
      </c>
      <c r="AB24" s="119">
        <v>0</v>
      </c>
      <c r="AC24" s="119">
        <f t="shared" ref="AC24" si="17">SUM(Z24:AB24)</f>
        <v>0</v>
      </c>
      <c r="AD24" s="119">
        <f t="shared" si="9"/>
        <v>0</v>
      </c>
      <c r="AE24" s="122" t="str">
        <f t="shared" si="5"/>
        <v>ok</v>
      </c>
      <c r="AF24" s="120">
        <v>0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</row>
    <row r="25" spans="1:150" ht="15.6">
      <c r="A25" s="57"/>
      <c r="B25" s="3" t="s">
        <v>700</v>
      </c>
      <c r="C25" s="60">
        <f>Evangeline!I7+Evangeline!I12</f>
        <v>120954</v>
      </c>
      <c r="D25" s="60">
        <f>Evangeline!I13</f>
        <v>0</v>
      </c>
      <c r="E25" s="60">
        <f>Evangeline!I8</f>
        <v>14143</v>
      </c>
      <c r="F25" s="60">
        <f>Evangeline!I14</f>
        <v>291100</v>
      </c>
      <c r="G25" s="60">
        <v>0</v>
      </c>
      <c r="H25" s="60">
        <v>0</v>
      </c>
      <c r="I25" s="60">
        <f t="shared" si="10"/>
        <v>426197</v>
      </c>
      <c r="J25" s="130" t="str">
        <f t="shared" si="1"/>
        <v>ok</v>
      </c>
      <c r="K25" s="59">
        <f>Evangeline!I16</f>
        <v>426197</v>
      </c>
      <c r="L25" s="177"/>
      <c r="M25" s="60">
        <f>Evangeline!I20</f>
        <v>1476</v>
      </c>
      <c r="N25" s="60">
        <v>0</v>
      </c>
      <c r="O25" s="60">
        <f>Evangeline!I28</f>
        <v>1819</v>
      </c>
      <c r="P25" s="60">
        <f>Evangeline!I33</f>
        <v>59732</v>
      </c>
      <c r="Q25" s="60">
        <f>Lafourche!H23</f>
        <v>0</v>
      </c>
      <c r="R25" s="60">
        <f>Evangeline!I27</f>
        <v>0</v>
      </c>
      <c r="S25" s="60">
        <f>Evangeline!I30</f>
        <v>11191</v>
      </c>
      <c r="T25" s="60">
        <f>Evangeline!I23</f>
        <v>1175</v>
      </c>
      <c r="U25" s="60">
        <f t="shared" si="13"/>
        <v>75393</v>
      </c>
      <c r="V25" s="122" t="str">
        <f t="shared" si="3"/>
        <v>ok</v>
      </c>
      <c r="W25" s="59">
        <f>Evangeline!I35</f>
        <v>75393</v>
      </c>
      <c r="X25" s="61"/>
      <c r="Y25" s="177"/>
      <c r="Z25" s="60">
        <f>Evangeline!I41</f>
        <v>231368</v>
      </c>
      <c r="AA25" s="60">
        <f>Evangeline!I42+Evangeline!I43</f>
        <v>17674</v>
      </c>
      <c r="AB25" s="60">
        <f>Evangeline!I44</f>
        <v>101762</v>
      </c>
      <c r="AC25" s="60">
        <f t="shared" si="14"/>
        <v>350804</v>
      </c>
      <c r="AD25" s="60">
        <f t="shared" si="9"/>
        <v>426197</v>
      </c>
      <c r="AE25" s="122" t="str">
        <f t="shared" si="5"/>
        <v>ok</v>
      </c>
      <c r="AF25" s="59">
        <f>Evangeline!I48</f>
        <v>426197</v>
      </c>
    </row>
    <row r="26" spans="1:150" s="109" customFormat="1" ht="15.6">
      <c r="A26" s="117"/>
      <c r="B26" s="118" t="s">
        <v>701</v>
      </c>
      <c r="C26" s="119">
        <v>0</v>
      </c>
      <c r="D26" s="119">
        <v>0</v>
      </c>
      <c r="E26" s="119">
        <v>0</v>
      </c>
      <c r="F26" s="119">
        <v>0</v>
      </c>
      <c r="G26" s="119">
        <v>0</v>
      </c>
      <c r="H26" s="119">
        <v>0</v>
      </c>
      <c r="I26" s="119">
        <f t="shared" si="10"/>
        <v>0</v>
      </c>
      <c r="J26" s="130" t="str">
        <f t="shared" si="1"/>
        <v>ok</v>
      </c>
      <c r="K26" s="120">
        <v>0</v>
      </c>
      <c r="L26" s="176"/>
      <c r="M26" s="119">
        <v>0</v>
      </c>
      <c r="N26" s="119">
        <v>0</v>
      </c>
      <c r="O26" s="119">
        <v>0</v>
      </c>
      <c r="P26" s="119">
        <v>0</v>
      </c>
      <c r="Q26" s="119">
        <v>0</v>
      </c>
      <c r="R26" s="119">
        <f>DeSoto!H29</f>
        <v>0</v>
      </c>
      <c r="S26" s="119">
        <f>DeSoto!H30</f>
        <v>0</v>
      </c>
      <c r="T26" s="119">
        <v>0</v>
      </c>
      <c r="U26" s="119">
        <f t="shared" si="13"/>
        <v>0</v>
      </c>
      <c r="V26" s="122" t="str">
        <f t="shared" si="3"/>
        <v>ok</v>
      </c>
      <c r="W26" s="120">
        <v>0</v>
      </c>
      <c r="X26" s="121"/>
      <c r="Y26" s="176"/>
      <c r="Z26" s="119">
        <v>0</v>
      </c>
      <c r="AA26" s="119">
        <v>0</v>
      </c>
      <c r="AB26" s="119">
        <v>0</v>
      </c>
      <c r="AC26" s="119">
        <f t="shared" ref="AC26" si="18">SUM(Z26:AB26)</f>
        <v>0</v>
      </c>
      <c r="AD26" s="119">
        <f t="shared" si="9"/>
        <v>0</v>
      </c>
      <c r="AE26" s="122" t="str">
        <f t="shared" si="5"/>
        <v>ok</v>
      </c>
      <c r="AF26" s="120">
        <v>0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</row>
    <row r="27" spans="1:150" ht="15.6">
      <c r="A27" s="57"/>
      <c r="B27" s="3" t="s">
        <v>405</v>
      </c>
      <c r="C27" s="60">
        <f>Grant!I7</f>
        <v>363999</v>
      </c>
      <c r="D27" s="60">
        <v>0</v>
      </c>
      <c r="E27" s="60">
        <f>Grant!I8</f>
        <v>105407</v>
      </c>
      <c r="F27" s="60">
        <f>Grant!I13</f>
        <v>357194</v>
      </c>
      <c r="G27" s="60">
        <f>'East Baton Rouge'!H15</f>
        <v>0</v>
      </c>
      <c r="H27" s="60">
        <f>'East Baton Rouge'!H16+'East Baton Rouge'!H18</f>
        <v>0</v>
      </c>
      <c r="I27" s="60">
        <f t="shared" si="10"/>
        <v>826600</v>
      </c>
      <c r="J27" s="130" t="str">
        <f t="shared" si="1"/>
        <v>ok</v>
      </c>
      <c r="K27" s="59">
        <f>Grant!I15</f>
        <v>826600</v>
      </c>
      <c r="L27" s="177"/>
      <c r="M27" s="60">
        <f>Grant!I18</f>
        <v>33092</v>
      </c>
      <c r="N27" s="60">
        <f>Grant!I22</f>
        <v>9025</v>
      </c>
      <c r="O27" s="60">
        <v>0</v>
      </c>
      <c r="P27" s="60">
        <v>0</v>
      </c>
      <c r="Q27" s="60">
        <f>'East Baton Rouge'!H41</f>
        <v>0</v>
      </c>
      <c r="R27" s="60">
        <v>0</v>
      </c>
      <c r="S27" s="60">
        <v>0</v>
      </c>
      <c r="T27" s="60">
        <f>Grant!I19</f>
        <v>76433</v>
      </c>
      <c r="U27" s="60">
        <f t="shared" ref="U27:U28" si="19">SUM(M27:T27)</f>
        <v>118550</v>
      </c>
      <c r="V27" s="122" t="str">
        <f t="shared" si="3"/>
        <v>ok</v>
      </c>
      <c r="W27" s="59">
        <f>Grant!I27</f>
        <v>118550</v>
      </c>
      <c r="X27" s="61"/>
      <c r="Y27" s="177"/>
      <c r="Z27" s="60">
        <f>Grant!I30</f>
        <v>357194</v>
      </c>
      <c r="AA27" s="60">
        <v>0</v>
      </c>
      <c r="AB27" s="60">
        <f>Grant!I35</f>
        <v>350856</v>
      </c>
      <c r="AC27" s="60">
        <f t="shared" ref="AC27:AC42" si="20">SUM(Z27:AB27)</f>
        <v>708050</v>
      </c>
      <c r="AD27" s="60">
        <f t="shared" si="9"/>
        <v>826600</v>
      </c>
      <c r="AE27" s="122" t="str">
        <f t="shared" si="5"/>
        <v>ok</v>
      </c>
      <c r="AF27" s="59">
        <f>Grant!I39</f>
        <v>826600</v>
      </c>
    </row>
    <row r="28" spans="1:150" s="109" customFormat="1">
      <c r="B28" s="118" t="s">
        <v>702</v>
      </c>
      <c r="C28" s="119">
        <v>0</v>
      </c>
      <c r="D28" s="119">
        <v>0</v>
      </c>
      <c r="E28" s="119">
        <v>0</v>
      </c>
      <c r="F28" s="119">
        <v>0</v>
      </c>
      <c r="G28" s="119">
        <v>0</v>
      </c>
      <c r="H28" s="119">
        <v>0</v>
      </c>
      <c r="I28" s="119">
        <f t="shared" si="10"/>
        <v>0</v>
      </c>
      <c r="J28" s="130" t="str">
        <f t="shared" si="1"/>
        <v>ok</v>
      </c>
      <c r="K28" s="120">
        <v>0</v>
      </c>
      <c r="L28" s="176"/>
      <c r="M28" s="119">
        <v>0</v>
      </c>
      <c r="N28" s="119">
        <v>0</v>
      </c>
      <c r="O28" s="119">
        <v>0</v>
      </c>
      <c r="P28" s="119">
        <v>0</v>
      </c>
      <c r="Q28" s="119">
        <v>0</v>
      </c>
      <c r="R28" s="119">
        <v>0</v>
      </c>
      <c r="S28" s="119">
        <v>0</v>
      </c>
      <c r="T28" s="119">
        <v>0</v>
      </c>
      <c r="U28" s="119">
        <f t="shared" si="19"/>
        <v>0</v>
      </c>
      <c r="V28" s="122" t="str">
        <f t="shared" si="3"/>
        <v>ok</v>
      </c>
      <c r="W28" s="120">
        <v>0</v>
      </c>
      <c r="X28" s="121"/>
      <c r="Y28" s="176"/>
      <c r="Z28" s="119">
        <v>0</v>
      </c>
      <c r="AA28" s="119">
        <v>0</v>
      </c>
      <c r="AB28" s="119">
        <v>0</v>
      </c>
      <c r="AC28" s="119">
        <f t="shared" si="20"/>
        <v>0</v>
      </c>
      <c r="AD28" s="119">
        <f t="shared" si="9"/>
        <v>0</v>
      </c>
      <c r="AE28" s="122" t="str">
        <f t="shared" si="5"/>
        <v>ok</v>
      </c>
      <c r="AF28" s="120">
        <v>0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</row>
    <row r="29" spans="1:150" ht="15.6">
      <c r="A29" s="57"/>
      <c r="B29" s="3" t="s">
        <v>703</v>
      </c>
      <c r="C29" s="60">
        <f>Iberville!I8+Iberville!I14</f>
        <v>2677527</v>
      </c>
      <c r="D29" s="60">
        <v>0</v>
      </c>
      <c r="E29" s="60">
        <f>Iberville!I9</f>
        <v>995840</v>
      </c>
      <c r="F29" s="60">
        <f>Iberville!I16+Iberville!I17+Iberville!I19+Iberville!I20</f>
        <v>10576186</v>
      </c>
      <c r="G29" s="60">
        <v>0</v>
      </c>
      <c r="H29" s="60">
        <f>Iberville!I12+Iberville!I10</f>
        <v>480921</v>
      </c>
      <c r="I29" s="60">
        <f t="shared" si="10"/>
        <v>14730474</v>
      </c>
      <c r="J29" s="130" t="str">
        <f t="shared" si="1"/>
        <v>ok</v>
      </c>
      <c r="K29" s="59">
        <f>Iberville!I22</f>
        <v>14730474</v>
      </c>
      <c r="L29" s="177"/>
      <c r="M29" s="60">
        <f>Iberville!I25+Iberville!I30</f>
        <v>799624</v>
      </c>
      <c r="N29" s="60">
        <v>0</v>
      </c>
      <c r="O29" s="60"/>
      <c r="P29" s="60"/>
      <c r="Q29" s="60"/>
      <c r="R29" s="60">
        <f>Iberville!I33</f>
        <v>55000</v>
      </c>
      <c r="S29" s="60">
        <f>Iberville!I34</f>
        <v>545000</v>
      </c>
      <c r="T29" s="60"/>
      <c r="U29" s="60">
        <f t="shared" ref="U29:U43" si="21">SUM(M29:T29)</f>
        <v>1399624</v>
      </c>
      <c r="V29" s="122" t="str">
        <f t="shared" si="3"/>
        <v>ok</v>
      </c>
      <c r="W29" s="59">
        <f>Iberville!I36</f>
        <v>1399624</v>
      </c>
      <c r="X29" s="61"/>
      <c r="Y29" s="177"/>
      <c r="Z29" s="60">
        <f>Iberville!I44</f>
        <v>10031185</v>
      </c>
      <c r="AA29" s="60">
        <f>Iberville!I52</f>
        <v>545000</v>
      </c>
      <c r="AB29" s="60">
        <f>Iberville!I53</f>
        <v>2754666</v>
      </c>
      <c r="AC29" s="60">
        <f t="shared" si="20"/>
        <v>13330851</v>
      </c>
      <c r="AD29" s="60">
        <f t="shared" si="9"/>
        <v>14730475</v>
      </c>
      <c r="AE29" s="122" t="str">
        <f t="shared" si="5"/>
        <v>ok</v>
      </c>
      <c r="AF29" s="59">
        <f>Iberville!I57</f>
        <v>14730475</v>
      </c>
    </row>
    <row r="30" spans="1:150" s="109" customFormat="1">
      <c r="B30" s="118" t="s">
        <v>704</v>
      </c>
      <c r="C30" s="119">
        <v>0</v>
      </c>
      <c r="D30" s="119">
        <v>0</v>
      </c>
      <c r="E30" s="119">
        <v>0</v>
      </c>
      <c r="F30" s="119">
        <v>0</v>
      </c>
      <c r="G30" s="119">
        <v>0</v>
      </c>
      <c r="H30" s="119">
        <v>0</v>
      </c>
      <c r="I30" s="119">
        <f t="shared" si="10"/>
        <v>0</v>
      </c>
      <c r="J30" s="130" t="str">
        <f t="shared" si="1"/>
        <v>ok</v>
      </c>
      <c r="K30" s="120">
        <v>0</v>
      </c>
      <c r="L30" s="176"/>
      <c r="M30" s="119">
        <v>0</v>
      </c>
      <c r="N30" s="119">
        <v>0</v>
      </c>
      <c r="O30" s="119">
        <v>0</v>
      </c>
      <c r="P30" s="119">
        <v>0</v>
      </c>
      <c r="Q30" s="119">
        <v>0</v>
      </c>
      <c r="R30" s="119">
        <v>0</v>
      </c>
      <c r="S30" s="119">
        <v>0</v>
      </c>
      <c r="T30" s="119">
        <v>0</v>
      </c>
      <c r="U30" s="119">
        <f t="shared" si="21"/>
        <v>0</v>
      </c>
      <c r="V30" s="122" t="str">
        <f t="shared" si="3"/>
        <v>ok</v>
      </c>
      <c r="W30" s="120">
        <v>0</v>
      </c>
      <c r="X30" s="121"/>
      <c r="Y30" s="176"/>
      <c r="Z30" s="119">
        <v>0</v>
      </c>
      <c r="AA30" s="119">
        <v>0</v>
      </c>
      <c r="AB30" s="119">
        <v>0</v>
      </c>
      <c r="AC30" s="119">
        <f t="shared" si="20"/>
        <v>0</v>
      </c>
      <c r="AD30" s="119">
        <f t="shared" si="9"/>
        <v>0</v>
      </c>
      <c r="AE30" s="122" t="str">
        <f t="shared" si="5"/>
        <v>ok</v>
      </c>
      <c r="AF30" s="120">
        <v>0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</row>
    <row r="31" spans="1:150" s="221" customFormat="1" ht="15.6">
      <c r="A31" s="215"/>
      <c r="B31" s="216" t="s">
        <v>705</v>
      </c>
      <c r="C31" s="217">
        <f>Jefferson!I9+Jefferson!I24</f>
        <v>4911000</v>
      </c>
      <c r="D31" s="217">
        <f>Jefferson!I25</f>
        <v>15681000</v>
      </c>
      <c r="E31" s="217">
        <f>Jefferson!I15+Jefferson!I16+Jefferson!I19+Jefferson!I27</f>
        <v>20391000</v>
      </c>
      <c r="F31" s="217">
        <f>Jefferson!I35+Jefferson!I36</f>
        <v>546657000</v>
      </c>
      <c r="G31" s="217">
        <v>0</v>
      </c>
      <c r="H31" s="217">
        <f>Jefferson!I21+Jefferson!I11+Jefferson!I26+Jefferson!I33</f>
        <v>73345000</v>
      </c>
      <c r="I31" s="217">
        <f t="shared" si="10"/>
        <v>660985000</v>
      </c>
      <c r="J31" s="130" t="str">
        <f t="shared" si="1"/>
        <v>ok</v>
      </c>
      <c r="K31" s="218">
        <f>Jefferson!I40</f>
        <v>660985000</v>
      </c>
      <c r="L31" s="219"/>
      <c r="M31" s="217">
        <f>Jefferson!I49+Jefferson!I56+Jefferson!I59+Jefferson!I60</f>
        <v>7562000</v>
      </c>
      <c r="N31" s="217"/>
      <c r="O31" s="217"/>
      <c r="P31" s="217"/>
      <c r="Q31" s="217">
        <v>0</v>
      </c>
      <c r="R31" s="217">
        <f>Jefferson!I52</f>
        <v>66000</v>
      </c>
      <c r="S31" s="217">
        <f>Jefferson!I69</f>
        <v>4723000</v>
      </c>
      <c r="T31" s="217">
        <f>Jefferson!I68+Jefferson!I63+Jefferson!I57</f>
        <v>20426000</v>
      </c>
      <c r="U31" s="217">
        <f t="shared" si="21"/>
        <v>32777000</v>
      </c>
      <c r="V31" s="130" t="str">
        <f t="shared" si="3"/>
        <v>ok</v>
      </c>
      <c r="W31" s="218">
        <f>Jefferson!I73</f>
        <v>32777000</v>
      </c>
      <c r="X31" s="220"/>
      <c r="Y31" s="219"/>
      <c r="Z31" s="217">
        <f>Jefferson!I76</f>
        <v>546657000</v>
      </c>
      <c r="AA31" s="217">
        <f>Jefferson!I87+Jefferson!I88</f>
        <v>45318000</v>
      </c>
      <c r="AB31" s="217">
        <f>Jefferson!I90</f>
        <v>36233000</v>
      </c>
      <c r="AC31" s="217">
        <f t="shared" si="20"/>
        <v>628208000</v>
      </c>
      <c r="AD31" s="217">
        <f t="shared" si="9"/>
        <v>660985000</v>
      </c>
      <c r="AE31" s="130" t="str">
        <f t="shared" si="5"/>
        <v>ok</v>
      </c>
      <c r="AF31" s="218">
        <f>Jefferson!I94</f>
        <v>660985000</v>
      </c>
    </row>
    <row r="32" spans="1:150" s="109" customFormat="1" ht="15.6">
      <c r="A32" s="117"/>
      <c r="B32" s="118" t="s">
        <v>706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f>SUM(C32:H32)</f>
        <v>0</v>
      </c>
      <c r="J32" s="130" t="str">
        <f>IF(I32=K32, "ok", "check")</f>
        <v>ok</v>
      </c>
      <c r="K32" s="120">
        <v>0</v>
      </c>
      <c r="L32" s="176"/>
      <c r="M32" s="119">
        <v>0</v>
      </c>
      <c r="N32" s="119">
        <v>0</v>
      </c>
      <c r="O32" s="119">
        <v>0</v>
      </c>
      <c r="P32" s="119">
        <v>0</v>
      </c>
      <c r="Q32" s="119">
        <v>0</v>
      </c>
      <c r="R32" s="119">
        <v>0</v>
      </c>
      <c r="S32" s="119">
        <v>0</v>
      </c>
      <c r="T32" s="119">
        <v>0</v>
      </c>
      <c r="U32" s="119">
        <f>SUM(M32:T32)</f>
        <v>0</v>
      </c>
      <c r="V32" s="130" t="str">
        <f>IF(U32=W32, "ok", "check")</f>
        <v>ok</v>
      </c>
      <c r="W32" s="120">
        <v>0</v>
      </c>
      <c r="X32" s="121"/>
      <c r="Y32" s="176"/>
      <c r="Z32" s="119">
        <v>0</v>
      </c>
      <c r="AA32" s="119">
        <v>0</v>
      </c>
      <c r="AB32" s="119">
        <v>0</v>
      </c>
      <c r="AC32" s="119">
        <f>SUM(Z32:AB32)</f>
        <v>0</v>
      </c>
      <c r="AD32" s="119">
        <f>SUM(AC32,U32+Y32)</f>
        <v>0</v>
      </c>
      <c r="AE32" s="130" t="str">
        <f>IF(AD32=AF32, "ok", "check")</f>
        <v>ok</v>
      </c>
      <c r="AF32" s="120">
        <v>0</v>
      </c>
    </row>
    <row r="33" spans="1:150" s="221" customFormat="1" ht="15.6">
      <c r="A33" s="215"/>
      <c r="B33" s="216" t="s">
        <v>707</v>
      </c>
      <c r="C33" s="217">
        <f>Lafayette!I8+Lafayette!I24</f>
        <v>10950161</v>
      </c>
      <c r="D33" s="217">
        <f>Lafayette!I9+Lafayette!I25</f>
        <v>225366526</v>
      </c>
      <c r="E33" s="217">
        <f>Lafayette!I10+Lafayette!I14+Lafayette!I26</f>
        <v>27771399</v>
      </c>
      <c r="F33" s="217">
        <f>Lafayette!I31+Lafayette!I30</f>
        <v>728864486</v>
      </c>
      <c r="G33" s="217">
        <f>Lafayette!I17+Lafayette!I18</f>
        <v>3458077</v>
      </c>
      <c r="H33" s="217">
        <f>Lafayette!I28+Lafayette!I27+Lafayette!I21+Lafayette!I20+Lafayette!I15</f>
        <v>35735814</v>
      </c>
      <c r="I33" s="217">
        <f t="shared" si="10"/>
        <v>1032146463</v>
      </c>
      <c r="J33" s="130" t="str">
        <f t="shared" si="1"/>
        <v>ok</v>
      </c>
      <c r="K33" s="218">
        <f>Lafayette!I33</f>
        <v>1032146463</v>
      </c>
      <c r="L33" s="219"/>
      <c r="M33" s="217">
        <f>Lafayette!I37+Lafayette!I39+Lafayette!I40+Lafayette!I46</f>
        <v>14551209</v>
      </c>
      <c r="N33" s="217">
        <v>0</v>
      </c>
      <c r="O33" s="217">
        <v>0</v>
      </c>
      <c r="P33" s="217">
        <v>0</v>
      </c>
      <c r="Q33" s="217">
        <f>Lafayette!I44</f>
        <v>0</v>
      </c>
      <c r="R33" s="217">
        <f>Lafayette!I49</f>
        <v>5045582</v>
      </c>
      <c r="S33" s="217">
        <f>Lafayette!I50</f>
        <v>494865322</v>
      </c>
      <c r="T33" s="217">
        <f>Lafayette!I47+Lafayette!I45+Lafayette!I38+Lafayette!I36</f>
        <v>12153811</v>
      </c>
      <c r="U33" s="217">
        <f t="shared" si="21"/>
        <v>526615924</v>
      </c>
      <c r="V33" s="130" t="str">
        <f t="shared" si="3"/>
        <v>ok</v>
      </c>
      <c r="W33" s="218">
        <f>Lafayette!I52</f>
        <v>526615924</v>
      </c>
      <c r="X33" s="220"/>
      <c r="Y33" s="219"/>
      <c r="Z33" s="217">
        <f>Lafayette!I55</f>
        <v>306572079</v>
      </c>
      <c r="AA33" s="217">
        <f>Lafayette!I58</f>
        <v>124301456</v>
      </c>
      <c r="AB33" s="217">
        <f>Lafayette!I60</f>
        <v>74657004</v>
      </c>
      <c r="AC33" s="217">
        <f t="shared" si="20"/>
        <v>505530539</v>
      </c>
      <c r="AD33" s="217">
        <f t="shared" si="9"/>
        <v>1032146463</v>
      </c>
      <c r="AE33" s="130" t="str">
        <f t="shared" si="5"/>
        <v>ok</v>
      </c>
      <c r="AF33" s="218">
        <f>Lafayette!I64</f>
        <v>1032146463</v>
      </c>
    </row>
    <row r="34" spans="1:150" s="109" customFormat="1" ht="15.6">
      <c r="A34" s="117"/>
      <c r="B34" s="118" t="s">
        <v>708</v>
      </c>
      <c r="C34" s="119">
        <v>0</v>
      </c>
      <c r="D34" s="119">
        <v>0</v>
      </c>
      <c r="E34" s="119">
        <f>Lafourche!I9</f>
        <v>17430</v>
      </c>
      <c r="F34" s="119">
        <f>Lafourche!I14</f>
        <v>3062776</v>
      </c>
      <c r="G34" s="119">
        <v>0</v>
      </c>
      <c r="H34" s="119">
        <v>0</v>
      </c>
      <c r="I34" s="119">
        <f t="shared" si="10"/>
        <v>3080206</v>
      </c>
      <c r="J34" s="130" t="str">
        <f t="shared" si="1"/>
        <v>ok</v>
      </c>
      <c r="K34" s="120">
        <f>Lafourche!I16</f>
        <v>3080206</v>
      </c>
      <c r="L34" s="176"/>
      <c r="M34" s="119">
        <f>Lafourche!I24</f>
        <v>16352</v>
      </c>
      <c r="N34" s="119">
        <v>0</v>
      </c>
      <c r="O34" s="119">
        <v>0</v>
      </c>
      <c r="P34" s="119">
        <v>0</v>
      </c>
      <c r="Q34" s="119">
        <f>Lafourche!I27</f>
        <v>199494</v>
      </c>
      <c r="R34" s="119">
        <v>0</v>
      </c>
      <c r="S34" s="119">
        <v>0</v>
      </c>
      <c r="T34" s="119">
        <v>0</v>
      </c>
      <c r="U34" s="119">
        <f t="shared" si="21"/>
        <v>215846</v>
      </c>
      <c r="V34" s="130" t="str">
        <f t="shared" si="3"/>
        <v>ok</v>
      </c>
      <c r="W34" s="120">
        <f>Lafourche!I32</f>
        <v>215846</v>
      </c>
      <c r="X34" s="121"/>
      <c r="Y34" s="176"/>
      <c r="Z34" s="119">
        <f>Lafourche!I35</f>
        <v>3062776</v>
      </c>
      <c r="AA34" s="119">
        <v>0</v>
      </c>
      <c r="AB34" s="119">
        <f>Lafourche!I39</f>
        <v>-198416</v>
      </c>
      <c r="AC34" s="119">
        <f t="shared" si="20"/>
        <v>2864360</v>
      </c>
      <c r="AD34" s="119">
        <f t="shared" si="9"/>
        <v>3080206</v>
      </c>
      <c r="AE34" s="130" t="str">
        <f t="shared" si="5"/>
        <v>ok</v>
      </c>
      <c r="AF34" s="120">
        <f>Lafourche!I43</f>
        <v>3080206</v>
      </c>
    </row>
    <row r="35" spans="1:150" ht="15.6">
      <c r="A35" s="57"/>
      <c r="B35" s="3" t="s">
        <v>709</v>
      </c>
      <c r="C35" s="60">
        <v>0</v>
      </c>
      <c r="D35" s="60">
        <f>Morehouse!G3</f>
        <v>0</v>
      </c>
      <c r="E35" s="60">
        <v>0</v>
      </c>
      <c r="F35" s="60">
        <v>0</v>
      </c>
      <c r="G35" s="60">
        <v>0</v>
      </c>
      <c r="H35" s="60">
        <v>0</v>
      </c>
      <c r="I35" s="60">
        <f>SUM(C35:H35)</f>
        <v>0</v>
      </c>
      <c r="J35" s="130" t="str">
        <f>IF(I35=K35, "ok", "check")</f>
        <v>ok</v>
      </c>
      <c r="K35" s="59">
        <v>0</v>
      </c>
      <c r="L35" s="177"/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0</v>
      </c>
      <c r="S35" s="60">
        <v>0</v>
      </c>
      <c r="T35" s="60">
        <v>0</v>
      </c>
      <c r="U35" s="60">
        <f>SUM(M35:T35)</f>
        <v>0</v>
      </c>
      <c r="V35" s="122" t="str">
        <f>IF(U35=W35, "ok", "check")</f>
        <v>ok</v>
      </c>
      <c r="W35" s="59">
        <v>0</v>
      </c>
      <c r="X35" s="61"/>
      <c r="Y35" s="177"/>
      <c r="Z35" s="60">
        <v>0</v>
      </c>
      <c r="AA35" s="60">
        <v>0</v>
      </c>
      <c r="AB35" s="60">
        <v>0</v>
      </c>
      <c r="AC35" s="60">
        <f>SUM(Z35:AB35)</f>
        <v>0</v>
      </c>
      <c r="AD35" s="60">
        <f>SUM(AC35,U35+Y35)</f>
        <v>0</v>
      </c>
      <c r="AE35" s="122" t="str">
        <f>IF(AD35=AF35, "ok", "check")</f>
        <v>ok</v>
      </c>
      <c r="AF35" s="59">
        <v>0</v>
      </c>
    </row>
    <row r="36" spans="1:150" s="109" customFormat="1" ht="15.6">
      <c r="A36" s="117"/>
      <c r="B36" s="118" t="s">
        <v>710</v>
      </c>
      <c r="C36" s="119">
        <v>0</v>
      </c>
      <c r="D36" s="119">
        <v>0</v>
      </c>
      <c r="E36" s="119">
        <v>0</v>
      </c>
      <c r="F36" s="119">
        <v>0</v>
      </c>
      <c r="G36" s="119">
        <v>0</v>
      </c>
      <c r="H36" s="119">
        <v>0</v>
      </c>
      <c r="I36" s="119">
        <f t="shared" si="10"/>
        <v>0</v>
      </c>
      <c r="J36" s="130" t="str">
        <f t="shared" si="1"/>
        <v>ok</v>
      </c>
      <c r="K36" s="120">
        <v>0</v>
      </c>
      <c r="L36" s="176"/>
      <c r="M36" s="119">
        <v>0</v>
      </c>
      <c r="N36" s="119">
        <v>0</v>
      </c>
      <c r="O36" s="119">
        <v>0</v>
      </c>
      <c r="P36" s="119">
        <v>0</v>
      </c>
      <c r="Q36" s="119">
        <v>0</v>
      </c>
      <c r="R36" s="119">
        <v>0</v>
      </c>
      <c r="S36" s="119">
        <v>0</v>
      </c>
      <c r="T36" s="119">
        <v>0</v>
      </c>
      <c r="U36" s="119">
        <f t="shared" si="21"/>
        <v>0</v>
      </c>
      <c r="V36" s="122" t="str">
        <f t="shared" si="3"/>
        <v>ok</v>
      </c>
      <c r="W36" s="120">
        <v>0</v>
      </c>
      <c r="X36" s="121"/>
      <c r="Y36" s="176"/>
      <c r="Z36" s="119">
        <v>0</v>
      </c>
      <c r="AA36" s="119">
        <v>0</v>
      </c>
      <c r="AB36" s="119">
        <v>0</v>
      </c>
      <c r="AC36" s="119">
        <f t="shared" si="20"/>
        <v>0</v>
      </c>
      <c r="AD36" s="119">
        <f t="shared" si="9"/>
        <v>0</v>
      </c>
      <c r="AE36" s="122" t="str">
        <f t="shared" si="5"/>
        <v>ok</v>
      </c>
      <c r="AF36" s="120">
        <v>0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</row>
    <row r="37" spans="1:150">
      <c r="B37" s="3" t="s">
        <v>711</v>
      </c>
      <c r="C37" s="60">
        <f>Livingston!I8+Livingston!I18</f>
        <v>404877</v>
      </c>
      <c r="D37" s="60">
        <f>Livingston!I9+Livingston!I19</f>
        <v>0</v>
      </c>
      <c r="E37" s="60">
        <f>Livingston!I10</f>
        <v>125158</v>
      </c>
      <c r="F37" s="60">
        <f>Livingston!I21+Livingston!I22</f>
        <v>8297480</v>
      </c>
      <c r="G37" s="60">
        <v>0</v>
      </c>
      <c r="H37" s="60">
        <f>Livingston!I12+Livingston!I16</f>
        <v>-221713</v>
      </c>
      <c r="I37" s="60">
        <f t="shared" si="10"/>
        <v>8605802</v>
      </c>
      <c r="J37" s="130" t="str">
        <f t="shared" si="1"/>
        <v>ok</v>
      </c>
      <c r="K37" s="59">
        <f>Livingston!I24</f>
        <v>8605802</v>
      </c>
      <c r="L37" s="177"/>
      <c r="M37" s="60">
        <f>Livingston!I32+Livingston!I36</f>
        <v>152576</v>
      </c>
      <c r="N37" s="60">
        <v>0</v>
      </c>
      <c r="O37" s="60">
        <v>0</v>
      </c>
      <c r="P37" s="60">
        <v>0</v>
      </c>
      <c r="Q37" s="60">
        <v>0</v>
      </c>
      <c r="R37" s="60">
        <f>Livingston!I38</f>
        <v>84949</v>
      </c>
      <c r="S37" s="60">
        <f>Livingston!I39</f>
        <v>2493066</v>
      </c>
      <c r="T37" s="60">
        <v>0</v>
      </c>
      <c r="U37" s="60">
        <f t="shared" si="21"/>
        <v>2730591</v>
      </c>
      <c r="V37" s="122" t="str">
        <f t="shared" si="3"/>
        <v>ok</v>
      </c>
      <c r="W37" s="59">
        <f>Livingston!I41</f>
        <v>2730591</v>
      </c>
      <c r="X37" s="61"/>
      <c r="Y37" s="177"/>
      <c r="Z37" s="60">
        <f>Livingston!I44</f>
        <v>5719966</v>
      </c>
      <c r="AA37" s="60">
        <v>0</v>
      </c>
      <c r="AB37" s="60">
        <f>Livingston!I50</f>
        <v>155245</v>
      </c>
      <c r="AC37" s="60">
        <f t="shared" si="20"/>
        <v>5875211</v>
      </c>
      <c r="AD37" s="60">
        <f t="shared" si="9"/>
        <v>8605802</v>
      </c>
      <c r="AE37" s="122" t="str">
        <f t="shared" si="5"/>
        <v>ok</v>
      </c>
      <c r="AF37" s="59">
        <f>Livingston!I54</f>
        <v>8605802</v>
      </c>
    </row>
    <row r="38" spans="1:150" s="109" customFormat="1" ht="15.6">
      <c r="A38" s="117"/>
      <c r="B38" s="118" t="s">
        <v>712</v>
      </c>
      <c r="C38" s="119">
        <v>0</v>
      </c>
      <c r="D38" s="119">
        <v>0</v>
      </c>
      <c r="E38" s="119">
        <v>0</v>
      </c>
      <c r="F38" s="119">
        <v>0</v>
      </c>
      <c r="G38" s="119">
        <v>0</v>
      </c>
      <c r="H38" s="119">
        <v>0</v>
      </c>
      <c r="I38" s="119">
        <f t="shared" ref="I38" si="22">SUM(C38:H38)</f>
        <v>0</v>
      </c>
      <c r="J38" s="130" t="str">
        <f t="shared" si="1"/>
        <v>ok</v>
      </c>
      <c r="K38" s="120">
        <v>0</v>
      </c>
      <c r="L38" s="176"/>
      <c r="M38" s="119">
        <v>0</v>
      </c>
      <c r="N38" s="119">
        <v>0</v>
      </c>
      <c r="O38" s="119">
        <v>0</v>
      </c>
      <c r="P38" s="119">
        <v>0</v>
      </c>
      <c r="Q38" s="119">
        <v>0</v>
      </c>
      <c r="R38" s="119">
        <v>0</v>
      </c>
      <c r="S38" s="119">
        <v>0</v>
      </c>
      <c r="T38" s="119">
        <v>0</v>
      </c>
      <c r="U38" s="119">
        <f t="shared" ref="U38" si="23">SUM(M38:T38)</f>
        <v>0</v>
      </c>
      <c r="V38" s="122" t="str">
        <f t="shared" si="3"/>
        <v>ok</v>
      </c>
      <c r="W38" s="120">
        <v>0</v>
      </c>
      <c r="X38" s="121"/>
      <c r="Y38" s="176"/>
      <c r="Z38" s="119">
        <v>0</v>
      </c>
      <c r="AA38" s="119">
        <v>0</v>
      </c>
      <c r="AB38" s="119">
        <v>0</v>
      </c>
      <c r="AC38" s="119">
        <f t="shared" ref="AC38" si="24">SUM(Z38:AB38)</f>
        <v>0</v>
      </c>
      <c r="AD38" s="119">
        <f t="shared" si="9"/>
        <v>0</v>
      </c>
      <c r="AE38" s="122" t="str">
        <f t="shared" si="5"/>
        <v>ok</v>
      </c>
      <c r="AF38" s="120">
        <v>0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</row>
    <row r="39" spans="1:150" ht="15.6">
      <c r="A39" s="57"/>
      <c r="B39" s="3" t="s">
        <v>713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f t="shared" si="10"/>
        <v>0</v>
      </c>
      <c r="J39" s="130" t="str">
        <f t="shared" si="1"/>
        <v>ok</v>
      </c>
      <c r="K39" s="59">
        <v>0</v>
      </c>
      <c r="L39" s="177"/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f t="shared" si="21"/>
        <v>0</v>
      </c>
      <c r="V39" s="122" t="str">
        <f t="shared" si="3"/>
        <v>ok</v>
      </c>
      <c r="W39" s="59">
        <v>0</v>
      </c>
      <c r="X39" s="61"/>
      <c r="Y39" s="177"/>
      <c r="Z39" s="60">
        <v>0</v>
      </c>
      <c r="AA39" s="60">
        <v>0</v>
      </c>
      <c r="AB39" s="60">
        <v>0</v>
      </c>
      <c r="AC39" s="60">
        <v>0</v>
      </c>
      <c r="AD39" s="60">
        <f t="shared" si="9"/>
        <v>0</v>
      </c>
      <c r="AE39" s="122" t="str">
        <f t="shared" si="5"/>
        <v>ok</v>
      </c>
      <c r="AF39" s="59">
        <v>0</v>
      </c>
    </row>
    <row r="40" spans="1:150" s="109" customFormat="1" ht="15.6">
      <c r="A40" s="117"/>
      <c r="B40" s="118" t="s">
        <v>714</v>
      </c>
      <c r="C40" s="119">
        <v>0</v>
      </c>
      <c r="D40" s="119">
        <f>Lincoln!G11</f>
        <v>0</v>
      </c>
      <c r="E40" s="119">
        <v>0</v>
      </c>
      <c r="F40" s="119">
        <v>0</v>
      </c>
      <c r="G40" s="119">
        <v>0</v>
      </c>
      <c r="H40" s="119">
        <f>Lincoln!G14</f>
        <v>0</v>
      </c>
      <c r="I40" s="119">
        <f t="shared" si="10"/>
        <v>0</v>
      </c>
      <c r="J40" s="130" t="str">
        <f t="shared" si="1"/>
        <v>ok</v>
      </c>
      <c r="K40" s="120">
        <v>0</v>
      </c>
      <c r="L40" s="176"/>
      <c r="M40" s="119">
        <v>0</v>
      </c>
      <c r="N40" s="119">
        <v>0</v>
      </c>
      <c r="O40" s="119">
        <f>Lincoln!G29</f>
        <v>0</v>
      </c>
      <c r="P40" s="119">
        <v>0</v>
      </c>
      <c r="Q40" s="119">
        <v>0</v>
      </c>
      <c r="R40" s="119">
        <v>0</v>
      </c>
      <c r="S40" s="119">
        <v>0</v>
      </c>
      <c r="T40" s="119">
        <v>0</v>
      </c>
      <c r="U40" s="119">
        <v>0</v>
      </c>
      <c r="V40" s="122" t="str">
        <f t="shared" si="3"/>
        <v>ok</v>
      </c>
      <c r="W40" s="120">
        <v>0</v>
      </c>
      <c r="X40" s="121"/>
      <c r="Y40" s="176"/>
      <c r="Z40" s="119">
        <v>0</v>
      </c>
      <c r="AA40" s="119">
        <v>0</v>
      </c>
      <c r="AB40" s="119">
        <v>0</v>
      </c>
      <c r="AC40" s="119">
        <f t="shared" si="20"/>
        <v>0</v>
      </c>
      <c r="AD40" s="119">
        <f t="shared" si="9"/>
        <v>0</v>
      </c>
      <c r="AE40" s="122" t="str">
        <f t="shared" si="5"/>
        <v>ok</v>
      </c>
      <c r="AF40" s="120">
        <v>0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</row>
    <row r="41" spans="1:150" ht="15.6">
      <c r="A41" s="57"/>
      <c r="B41" s="3" t="s">
        <v>715</v>
      </c>
      <c r="C41" s="60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f t="shared" si="10"/>
        <v>0</v>
      </c>
      <c r="J41" s="130" t="str">
        <f t="shared" si="1"/>
        <v>ok</v>
      </c>
      <c r="K41" s="59">
        <v>0</v>
      </c>
      <c r="L41" s="177"/>
      <c r="M41" s="60">
        <v>0</v>
      </c>
      <c r="N41" s="60">
        <v>0</v>
      </c>
      <c r="O41" s="60">
        <v>0</v>
      </c>
      <c r="P41" s="60">
        <v>0</v>
      </c>
      <c r="Q41" s="60">
        <v>0</v>
      </c>
      <c r="R41" s="60">
        <v>0</v>
      </c>
      <c r="S41" s="60">
        <v>0</v>
      </c>
      <c r="T41" s="60">
        <v>0</v>
      </c>
      <c r="U41" s="60">
        <f t="shared" si="21"/>
        <v>0</v>
      </c>
      <c r="V41" s="122" t="str">
        <f t="shared" si="3"/>
        <v>ok</v>
      </c>
      <c r="W41" s="59">
        <v>0</v>
      </c>
      <c r="X41" s="61"/>
      <c r="Y41" s="177"/>
      <c r="Z41" s="60">
        <v>0</v>
      </c>
      <c r="AA41" s="60">
        <v>0</v>
      </c>
      <c r="AB41" s="60">
        <v>0</v>
      </c>
      <c r="AC41" s="60">
        <f t="shared" si="20"/>
        <v>0</v>
      </c>
      <c r="AD41" s="60">
        <f t="shared" si="9"/>
        <v>0</v>
      </c>
      <c r="AE41" s="122" t="str">
        <f t="shared" si="5"/>
        <v>ok</v>
      </c>
      <c r="AF41" s="59">
        <v>0</v>
      </c>
    </row>
    <row r="42" spans="1:150" s="109" customFormat="1">
      <c r="B42" s="118" t="s">
        <v>716</v>
      </c>
      <c r="C42" s="119">
        <f>Ouachita!G7</f>
        <v>157585</v>
      </c>
      <c r="D42" s="119">
        <v>0</v>
      </c>
      <c r="E42" s="119">
        <f>Ouachita!G13+Ouachita!G14</f>
        <v>45883</v>
      </c>
      <c r="F42" s="119">
        <f>Ouachita!G19</f>
        <v>2574363</v>
      </c>
      <c r="G42" s="119">
        <f>Ouachita!G15</f>
        <v>2193</v>
      </c>
      <c r="H42" s="119">
        <f>Ouachita!G16</f>
        <v>-106520</v>
      </c>
      <c r="I42" s="119">
        <f t="shared" si="10"/>
        <v>2673504</v>
      </c>
      <c r="J42" s="130" t="str">
        <f t="shared" si="1"/>
        <v>ok</v>
      </c>
      <c r="K42" s="120">
        <f>Ouachita!G21</f>
        <v>2673504</v>
      </c>
      <c r="L42" s="176"/>
      <c r="M42" s="119">
        <f>Ouachita!G24</f>
        <v>51035</v>
      </c>
      <c r="N42" s="119">
        <v>0</v>
      </c>
      <c r="O42" s="119">
        <v>0</v>
      </c>
      <c r="P42" s="119">
        <v>0</v>
      </c>
      <c r="Q42" s="119">
        <v>0</v>
      </c>
      <c r="R42" s="119">
        <f>Ouachita!G28</f>
        <v>24000</v>
      </c>
      <c r="S42" s="119">
        <f>Ouachita!G29</f>
        <v>401000</v>
      </c>
      <c r="T42" s="119">
        <f>Ouachita!G30</f>
        <v>3662</v>
      </c>
      <c r="U42" s="119">
        <f t="shared" si="21"/>
        <v>479697</v>
      </c>
      <c r="V42" s="122" t="str">
        <f t="shared" si="3"/>
        <v>ok</v>
      </c>
      <c r="W42" s="120">
        <f>Ouachita!G32</f>
        <v>479697</v>
      </c>
      <c r="X42" s="121"/>
      <c r="Y42" s="176"/>
      <c r="Z42" s="119">
        <f>Ouachita!G35</f>
        <v>2149363</v>
      </c>
      <c r="AA42" s="119">
        <f>Ouachita!G43</f>
        <v>93446</v>
      </c>
      <c r="AB42" s="119">
        <f>Ouachita!G46</f>
        <v>-49002</v>
      </c>
      <c r="AC42" s="119">
        <f t="shared" si="20"/>
        <v>2193807</v>
      </c>
      <c r="AD42" s="119">
        <f t="shared" si="9"/>
        <v>2673504</v>
      </c>
      <c r="AE42" s="122" t="str">
        <f t="shared" si="5"/>
        <v>ok</v>
      </c>
      <c r="AF42" s="120">
        <f>Ouachita!G50</f>
        <v>2673504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</row>
    <row r="43" spans="1:150" ht="15.6">
      <c r="A43" s="57"/>
      <c r="B43" s="3" t="s">
        <v>717</v>
      </c>
      <c r="C43" s="60">
        <f>Plaquemines!I7</f>
        <v>304223</v>
      </c>
      <c r="D43" s="60">
        <v>0</v>
      </c>
      <c r="E43" s="60">
        <f>Plaquemines!I9</f>
        <v>4952675</v>
      </c>
      <c r="F43" s="60">
        <f>Plaquemines!I17+Plaquemines!I18</f>
        <v>90824345</v>
      </c>
      <c r="G43" s="60">
        <v>0</v>
      </c>
      <c r="H43" s="60">
        <f>Plaquemines!I10+Plaquemines!I11+Plaquemines!I16</f>
        <v>-2130292</v>
      </c>
      <c r="I43" s="60">
        <f t="shared" si="10"/>
        <v>93950951</v>
      </c>
      <c r="J43" s="130" t="str">
        <f t="shared" si="1"/>
        <v>ok</v>
      </c>
      <c r="K43" s="59">
        <f>Plaquemines!I22</f>
        <v>93950951</v>
      </c>
      <c r="L43" s="177"/>
      <c r="M43" s="60">
        <f>Plaquemines!I27+Plaquemines!I43</f>
        <v>1563531</v>
      </c>
      <c r="N43" s="60">
        <f>Plaquemines!I32</f>
        <v>29245</v>
      </c>
      <c r="O43" s="60">
        <v>0</v>
      </c>
      <c r="P43" s="60">
        <v>0</v>
      </c>
      <c r="Q43" s="60">
        <f>Plaquemines!I33</f>
        <v>407643</v>
      </c>
      <c r="R43" s="60">
        <v>0</v>
      </c>
      <c r="S43" s="60">
        <v>0</v>
      </c>
      <c r="T43" s="60">
        <f>Plaquemines!I34+Plaquemines!I26</f>
        <v>4247286</v>
      </c>
      <c r="U43" s="60">
        <f t="shared" si="21"/>
        <v>6247705</v>
      </c>
      <c r="V43" s="122" t="str">
        <f t="shared" si="3"/>
        <v>ok</v>
      </c>
      <c r="W43" s="59">
        <f>Plaquemines!I47</f>
        <v>6247705</v>
      </c>
      <c r="X43" s="61"/>
      <c r="Y43" s="177"/>
      <c r="Z43" s="60">
        <f>Plaquemines!I50</f>
        <v>90824345</v>
      </c>
      <c r="AA43" s="60">
        <v>0</v>
      </c>
      <c r="AB43" s="60">
        <f>Plaquemines!I52</f>
        <v>-3121099</v>
      </c>
      <c r="AC43" s="60">
        <f t="shared" ref="AC43" si="25">SUM(Z43:AB43)</f>
        <v>87703246</v>
      </c>
      <c r="AD43" s="60">
        <f t="shared" si="9"/>
        <v>93950951</v>
      </c>
      <c r="AE43" s="122" t="str">
        <f t="shared" si="5"/>
        <v>ok</v>
      </c>
      <c r="AF43" s="59">
        <f>Plaquemines!I56</f>
        <v>93950951</v>
      </c>
    </row>
    <row r="44" spans="1:150" s="109" customFormat="1" ht="15.6">
      <c r="A44" s="117"/>
      <c r="B44" s="118" t="s">
        <v>718</v>
      </c>
      <c r="C44" s="119">
        <f>'Pointe Coupee'!G7</f>
        <v>92267</v>
      </c>
      <c r="D44" s="119">
        <v>0</v>
      </c>
      <c r="E44" s="119">
        <f>'Pointe Coupee'!G9</f>
        <v>807584</v>
      </c>
      <c r="F44" s="119">
        <f>'Pointe Coupee'!G16+'Pointe Coupee'!G17</f>
        <v>2162771</v>
      </c>
      <c r="G44" s="119">
        <f>'Pointe Coupee'!G10</f>
        <v>49378</v>
      </c>
      <c r="H44" s="119">
        <f>'Pointe Coupee'!G12+'Pointe Coupee'!G13+'Pointe Coupee'!G14</f>
        <v>978753</v>
      </c>
      <c r="I44" s="119">
        <f t="shared" ref="I44" si="26">SUM(C44:H44)</f>
        <v>4090753</v>
      </c>
      <c r="J44" s="130" t="str">
        <f t="shared" si="1"/>
        <v>ok</v>
      </c>
      <c r="K44" s="120">
        <f>'Pointe Coupee'!G19</f>
        <v>4090753</v>
      </c>
      <c r="L44" s="176"/>
      <c r="M44" s="119">
        <f>'Pointe Coupee'!G22</f>
        <v>649805</v>
      </c>
      <c r="N44" s="119"/>
      <c r="O44" s="119"/>
      <c r="P44" s="119"/>
      <c r="Q44" s="119">
        <v>0</v>
      </c>
      <c r="R44" s="119">
        <f>'Pointe Coupee'!G26</f>
        <v>104924</v>
      </c>
      <c r="S44" s="119">
        <f>'Pointe Coupee'!G27</f>
        <v>550161</v>
      </c>
      <c r="T44" s="119">
        <f>'Pointe Coupee'!G24</f>
        <v>765232</v>
      </c>
      <c r="U44" s="119">
        <f t="shared" ref="U44" si="27">SUM(M44:T44)</f>
        <v>2070122</v>
      </c>
      <c r="V44" s="122" t="str">
        <f t="shared" si="3"/>
        <v>ok</v>
      </c>
      <c r="W44" s="120">
        <f>'Pointe Coupee'!G29</f>
        <v>2070122</v>
      </c>
      <c r="X44" s="121"/>
      <c r="Y44" s="176"/>
      <c r="Z44" s="119">
        <f>'Pointe Coupee'!G35</f>
        <v>1507686</v>
      </c>
      <c r="AA44" s="119">
        <f>'Pointe Coupee'!G38</f>
        <v>35491</v>
      </c>
      <c r="AB44" s="119">
        <f>'Pointe Coupee'!G40</f>
        <v>477454</v>
      </c>
      <c r="AC44" s="119">
        <f t="shared" ref="AC44" si="28">SUM(Z44:AB44)</f>
        <v>2020631</v>
      </c>
      <c r="AD44" s="119">
        <f t="shared" si="9"/>
        <v>4090753</v>
      </c>
      <c r="AE44" s="122" t="str">
        <f t="shared" si="5"/>
        <v>ok</v>
      </c>
      <c r="AF44" s="120">
        <f>'Pointe Coupee'!G44</f>
        <v>4090753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</row>
    <row r="45" spans="1:150" ht="15.6">
      <c r="A45" s="57"/>
      <c r="B45" s="3" t="s">
        <v>719</v>
      </c>
      <c r="C45" s="60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f t="shared" ref="I45:I48" si="29">SUM(C45:H45)</f>
        <v>0</v>
      </c>
      <c r="J45" s="130" t="str">
        <f t="shared" si="1"/>
        <v>ok</v>
      </c>
      <c r="K45" s="59">
        <v>0</v>
      </c>
      <c r="L45" s="177"/>
      <c r="M45" s="60">
        <v>0</v>
      </c>
      <c r="N45" s="60">
        <v>0</v>
      </c>
      <c r="O45" s="60">
        <f>Lincoln!G33</f>
        <v>0</v>
      </c>
      <c r="P45" s="60">
        <v>0</v>
      </c>
      <c r="Q45" s="60">
        <f>Natchitoches!H28</f>
        <v>0</v>
      </c>
      <c r="R45" s="60">
        <v>0</v>
      </c>
      <c r="S45" s="60">
        <v>0</v>
      </c>
      <c r="T45" s="60">
        <v>0</v>
      </c>
      <c r="U45" s="60">
        <f t="shared" ref="U45" si="30">SUM(M45:T45)</f>
        <v>0</v>
      </c>
      <c r="V45" s="122" t="str">
        <f t="shared" si="3"/>
        <v>ok</v>
      </c>
      <c r="W45" s="59">
        <v>0</v>
      </c>
      <c r="X45" s="61"/>
      <c r="Y45" s="177"/>
      <c r="Z45" s="60">
        <v>0</v>
      </c>
      <c r="AA45" s="60">
        <v>0</v>
      </c>
      <c r="AB45" s="60">
        <v>0</v>
      </c>
      <c r="AC45" s="60">
        <f t="shared" ref="AC45:AC46" si="31">SUM(Z45:AB45)</f>
        <v>0</v>
      </c>
      <c r="AD45" s="60">
        <f t="shared" si="9"/>
        <v>0</v>
      </c>
      <c r="AE45" s="122" t="str">
        <f t="shared" si="5"/>
        <v>ok</v>
      </c>
      <c r="AF45" s="59">
        <v>0</v>
      </c>
    </row>
    <row r="46" spans="1:150" s="109" customFormat="1" ht="15.6">
      <c r="A46" s="117"/>
      <c r="B46" s="118" t="s">
        <v>720</v>
      </c>
      <c r="C46" s="119">
        <f>'Red River'!I7</f>
        <v>27597</v>
      </c>
      <c r="D46" s="119">
        <v>0</v>
      </c>
      <c r="E46" s="119">
        <f>'Red River'!I9</f>
        <v>3052</v>
      </c>
      <c r="F46" s="119">
        <f>'Red River'!I15</f>
        <v>354991</v>
      </c>
      <c r="G46" s="119">
        <v>0</v>
      </c>
      <c r="H46" s="119">
        <v>0</v>
      </c>
      <c r="I46" s="119">
        <f t="shared" si="29"/>
        <v>385640</v>
      </c>
      <c r="J46" s="130" t="str">
        <f t="shared" si="1"/>
        <v>ok</v>
      </c>
      <c r="K46" s="120">
        <f>'Red River'!I19</f>
        <v>385640</v>
      </c>
      <c r="L46" s="176"/>
      <c r="M46" s="119">
        <f>'Red River'!I25</f>
        <v>5021</v>
      </c>
      <c r="N46" s="119">
        <v>0</v>
      </c>
      <c r="O46" s="119">
        <v>0</v>
      </c>
      <c r="P46" s="119">
        <v>0</v>
      </c>
      <c r="Q46" s="119">
        <v>0</v>
      </c>
      <c r="R46" s="119">
        <v>0</v>
      </c>
      <c r="S46" s="119">
        <v>0</v>
      </c>
      <c r="T46" s="119">
        <v>0</v>
      </c>
      <c r="U46" s="119">
        <f t="shared" ref="U46:U52" si="32">SUM(M46:T46)</f>
        <v>5021</v>
      </c>
      <c r="V46" s="122" t="str">
        <f t="shared" si="3"/>
        <v>ok</v>
      </c>
      <c r="W46" s="120">
        <f>'Red River'!I37</f>
        <v>5021</v>
      </c>
      <c r="X46" s="121"/>
      <c r="Y46" s="176"/>
      <c r="Z46" s="119">
        <f>'Red River'!I40</f>
        <v>354991</v>
      </c>
      <c r="AA46" s="119">
        <v>0</v>
      </c>
      <c r="AB46" s="119">
        <f>'Red River'!I44</f>
        <v>25628</v>
      </c>
      <c r="AC46" s="119">
        <f t="shared" si="31"/>
        <v>380619</v>
      </c>
      <c r="AD46" s="119">
        <f t="shared" si="9"/>
        <v>385640</v>
      </c>
      <c r="AE46" s="122" t="str">
        <f t="shared" si="5"/>
        <v>ok</v>
      </c>
      <c r="AF46" s="120">
        <f>'Red River'!I48</f>
        <v>385640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</row>
    <row r="47" spans="1:150" ht="15.6">
      <c r="A47" s="57"/>
      <c r="B47" s="3" t="s">
        <v>721</v>
      </c>
      <c r="C47" s="60">
        <v>0</v>
      </c>
      <c r="D47" s="60">
        <f>Plaquemines!H12</f>
        <v>0</v>
      </c>
      <c r="E47" s="60">
        <v>0</v>
      </c>
      <c r="F47" s="60">
        <v>0</v>
      </c>
      <c r="G47" s="60">
        <v>0</v>
      </c>
      <c r="H47" s="60">
        <v>0</v>
      </c>
      <c r="I47" s="60">
        <f t="shared" si="29"/>
        <v>0</v>
      </c>
      <c r="J47" s="130" t="str">
        <f t="shared" si="1"/>
        <v>ok</v>
      </c>
      <c r="K47" s="59">
        <v>0</v>
      </c>
      <c r="L47" s="177"/>
      <c r="M47" s="60">
        <v>0</v>
      </c>
      <c r="N47" s="60">
        <v>0</v>
      </c>
      <c r="O47" s="60">
        <v>0</v>
      </c>
      <c r="P47" s="60">
        <v>0</v>
      </c>
      <c r="Q47" s="60">
        <v>0</v>
      </c>
      <c r="R47" s="60">
        <v>0</v>
      </c>
      <c r="S47" s="60">
        <v>0</v>
      </c>
      <c r="T47" s="60">
        <v>0</v>
      </c>
      <c r="U47" s="60">
        <f t="shared" si="32"/>
        <v>0</v>
      </c>
      <c r="V47" s="122" t="str">
        <f t="shared" si="3"/>
        <v>ok</v>
      </c>
      <c r="W47" s="59">
        <v>0</v>
      </c>
      <c r="X47" s="61"/>
      <c r="Y47" s="177"/>
      <c r="Z47" s="60">
        <v>0</v>
      </c>
      <c r="AA47" s="60">
        <v>0</v>
      </c>
      <c r="AB47" s="60">
        <v>0</v>
      </c>
      <c r="AC47" s="60">
        <f t="shared" ref="AC47" si="33">SUM(Z47:AB47)</f>
        <v>0</v>
      </c>
      <c r="AD47" s="60">
        <f t="shared" si="9"/>
        <v>0</v>
      </c>
      <c r="AE47" s="122" t="str">
        <f t="shared" si="5"/>
        <v>ok</v>
      </c>
      <c r="AF47" s="59">
        <v>0</v>
      </c>
    </row>
    <row r="48" spans="1:150" s="109" customFormat="1" ht="15.6">
      <c r="A48" s="117"/>
      <c r="B48" s="118" t="s">
        <v>722</v>
      </c>
      <c r="C48" s="119">
        <v>0</v>
      </c>
      <c r="D48" s="119">
        <v>0</v>
      </c>
      <c r="E48" s="119">
        <v>0</v>
      </c>
      <c r="F48" s="119">
        <v>0</v>
      </c>
      <c r="G48" s="119">
        <v>0</v>
      </c>
      <c r="H48" s="119">
        <v>0</v>
      </c>
      <c r="I48" s="119">
        <f t="shared" si="29"/>
        <v>0</v>
      </c>
      <c r="J48" s="130" t="str">
        <f t="shared" si="1"/>
        <v>ok</v>
      </c>
      <c r="K48" s="120">
        <v>0</v>
      </c>
      <c r="L48" s="176"/>
      <c r="M48" s="119">
        <v>0</v>
      </c>
      <c r="N48" s="119">
        <v>0</v>
      </c>
      <c r="O48" s="119">
        <v>0</v>
      </c>
      <c r="P48" s="119">
        <v>0</v>
      </c>
      <c r="Q48" s="119">
        <v>0</v>
      </c>
      <c r="R48" s="119">
        <v>0</v>
      </c>
      <c r="S48" s="119">
        <v>0</v>
      </c>
      <c r="T48" s="119">
        <v>0</v>
      </c>
      <c r="U48" s="119">
        <f t="shared" si="32"/>
        <v>0</v>
      </c>
      <c r="V48" s="122" t="str">
        <f t="shared" si="3"/>
        <v>ok</v>
      </c>
      <c r="W48" s="120">
        <v>0</v>
      </c>
      <c r="X48" s="121"/>
      <c r="Y48" s="176"/>
      <c r="Z48" s="119">
        <v>0</v>
      </c>
      <c r="AA48" s="119">
        <v>0</v>
      </c>
      <c r="AB48" s="119">
        <v>0</v>
      </c>
      <c r="AC48" s="119">
        <f t="shared" ref="AC48" si="34">SUM(Z48:AB48)</f>
        <v>0</v>
      </c>
      <c r="AD48" s="119">
        <f t="shared" si="9"/>
        <v>0</v>
      </c>
      <c r="AE48" s="122" t="str">
        <f t="shared" si="5"/>
        <v>ok</v>
      </c>
      <c r="AF48" s="120">
        <v>0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</row>
    <row r="49" spans="1:150" ht="15.6">
      <c r="A49" s="57"/>
      <c r="B49" s="3" t="s">
        <v>723</v>
      </c>
      <c r="C49" s="60">
        <f>'St. Bernard'!G7+'St. Bernard'!G21</f>
        <v>17554299</v>
      </c>
      <c r="D49" s="60">
        <v>0</v>
      </c>
      <c r="E49" s="60">
        <f>'St. Bernard'!G14+'St. Bernard'!G16+'St. Bernard'!G22</f>
        <v>726955</v>
      </c>
      <c r="F49" s="60">
        <f>'St. Bernard'!G24</f>
        <v>204966155</v>
      </c>
      <c r="G49" s="60">
        <v>0</v>
      </c>
      <c r="H49" s="60">
        <f>'St. Bernard'!G23+'St. Bernard'!G20+'St. Bernard'!G19+'St. Bernard'!G18+'St. Bernard'!G17</f>
        <v>4257360</v>
      </c>
      <c r="I49" s="60">
        <f t="shared" ref="I49:I50" si="35">SUM(C49:H49)</f>
        <v>227504769</v>
      </c>
      <c r="J49" s="130" t="str">
        <f t="shared" si="1"/>
        <v>ok</v>
      </c>
      <c r="K49" s="59">
        <f>'St. Bernard'!G26</f>
        <v>227504769</v>
      </c>
      <c r="L49" s="177"/>
      <c r="M49" s="60">
        <f>'St. Bernard'!G29+'St. Bernard'!G30+'St. Bernard'!G32+'St. Bernard'!G33+'St. Bernard'!G34</f>
        <v>2577101</v>
      </c>
      <c r="N49" s="60">
        <v>0</v>
      </c>
      <c r="O49" s="60">
        <v>0</v>
      </c>
      <c r="P49" s="60">
        <v>0</v>
      </c>
      <c r="Q49" s="60">
        <v>0</v>
      </c>
      <c r="R49" s="60">
        <f>'St. Bernard'!G38</f>
        <v>3108455</v>
      </c>
      <c r="S49" s="60">
        <f>'St. Bernard'!G39</f>
        <v>4463880</v>
      </c>
      <c r="T49" s="60">
        <f>'St. Bernard'!G35</f>
        <v>338023</v>
      </c>
      <c r="U49" s="60">
        <f t="shared" si="32"/>
        <v>10487459</v>
      </c>
      <c r="V49" s="122" t="str">
        <f t="shared" si="3"/>
        <v>ok</v>
      </c>
      <c r="W49" s="59">
        <f>'St. Bernard'!G41</f>
        <v>10487459</v>
      </c>
      <c r="X49" s="61"/>
      <c r="Y49" s="177"/>
      <c r="Z49" s="60">
        <f>'St. Bernard'!G44</f>
        <v>204966155</v>
      </c>
      <c r="AA49" s="60">
        <f>'St. Bernard'!G47+'St. Bernard'!G48</f>
        <v>857133</v>
      </c>
      <c r="AB49" s="60">
        <f>'St. Bernard'!G49</f>
        <v>11194022</v>
      </c>
      <c r="AC49" s="60">
        <f t="shared" ref="AC49:AC51" si="36">SUM(Z49:AB49)</f>
        <v>217017310</v>
      </c>
      <c r="AD49" s="60">
        <f t="shared" si="9"/>
        <v>227504769</v>
      </c>
      <c r="AE49" s="122" t="str">
        <f t="shared" si="5"/>
        <v>ok</v>
      </c>
      <c r="AF49" s="59">
        <f>'St. Bernard'!G53</f>
        <v>227504769</v>
      </c>
    </row>
    <row r="50" spans="1:150" s="109" customFormat="1" ht="15.6">
      <c r="A50" s="117"/>
      <c r="B50" s="118" t="s">
        <v>724</v>
      </c>
      <c r="C50" s="119">
        <f>'St. Charles'!I7+'St. Charles'!I17</f>
        <v>195619</v>
      </c>
      <c r="D50" s="119">
        <f>'St. Charles'!I8+'St. Charles'!I18</f>
        <v>9048973</v>
      </c>
      <c r="E50" s="119">
        <f>'St. Charles'!I9</f>
        <v>2923747</v>
      </c>
      <c r="F50" s="119">
        <f>'St. Charles'!I22+'St. Charles'!I23+'St. Charles'!I20</f>
        <v>134800065</v>
      </c>
      <c r="G50" s="119">
        <f>'St. Charles'!I11</f>
        <v>109118</v>
      </c>
      <c r="H50" s="119">
        <f>'St. Charles'!I13+'St. Charles'!I14+'St. Charles'!I15</f>
        <v>506758</v>
      </c>
      <c r="I50" s="119">
        <f t="shared" si="35"/>
        <v>147584280</v>
      </c>
      <c r="J50" s="130" t="str">
        <f t="shared" si="1"/>
        <v>ok</v>
      </c>
      <c r="K50" s="120">
        <f>'St. Charles'!I25</f>
        <v>147584280</v>
      </c>
      <c r="L50" s="176"/>
      <c r="M50" s="119">
        <f>'St. Charles'!I29</f>
        <v>1128204</v>
      </c>
      <c r="N50" s="119">
        <v>0</v>
      </c>
      <c r="O50" s="119">
        <v>0</v>
      </c>
      <c r="P50" s="119">
        <v>0</v>
      </c>
      <c r="Q50" s="119">
        <f>'St. Charles'!I32</f>
        <v>0</v>
      </c>
      <c r="R50" s="119">
        <f>'St. Charles'!I38</f>
        <v>1563000</v>
      </c>
      <c r="S50" s="119">
        <f>'St. Charles'!I39</f>
        <v>29629890</v>
      </c>
      <c r="T50" s="119">
        <f>'St. Charles'!I36+'St. Charles'!I35+'St. Charles'!I30</f>
        <v>1654370</v>
      </c>
      <c r="U50" s="119">
        <f t="shared" si="32"/>
        <v>33975464</v>
      </c>
      <c r="V50" s="122" t="str">
        <f t="shared" si="3"/>
        <v>ok</v>
      </c>
      <c r="W50" s="120">
        <f>'St. Charles'!I43</f>
        <v>33975464</v>
      </c>
      <c r="X50" s="121"/>
      <c r="Y50" s="176"/>
      <c r="Z50" s="119">
        <f>'St. Charles'!I51</f>
        <v>103607176</v>
      </c>
      <c r="AA50" s="119">
        <f>'St. Charles'!I54+'St. Charles'!I55</f>
        <v>9224164</v>
      </c>
      <c r="AB50" s="119">
        <f>'St. Charles'!I58</f>
        <v>777476</v>
      </c>
      <c r="AC50" s="119">
        <f t="shared" ref="AC50" si="37">SUM(Z50:AB50)</f>
        <v>113608816</v>
      </c>
      <c r="AD50" s="119">
        <f t="shared" si="9"/>
        <v>147584280</v>
      </c>
      <c r="AE50" s="122" t="str">
        <f t="shared" si="5"/>
        <v>ok</v>
      </c>
      <c r="AF50" s="120">
        <f>'St. Charles'!I62</f>
        <v>147584280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</row>
    <row r="51" spans="1:150" ht="15.6">
      <c r="A51" s="57"/>
      <c r="B51" s="3" t="s">
        <v>725</v>
      </c>
      <c r="C51" s="60">
        <v>0</v>
      </c>
      <c r="D51" s="60">
        <v>0</v>
      </c>
      <c r="E51" s="60">
        <v>0</v>
      </c>
      <c r="F51" s="60">
        <v>0</v>
      </c>
      <c r="G51" s="60">
        <v>0</v>
      </c>
      <c r="H51" s="60">
        <v>0</v>
      </c>
      <c r="I51" s="60">
        <f t="shared" ref="I51" si="38">SUM(C51:H51)</f>
        <v>0</v>
      </c>
      <c r="J51" s="130" t="str">
        <f t="shared" si="1"/>
        <v>ok</v>
      </c>
      <c r="K51" s="59">
        <v>0</v>
      </c>
      <c r="L51" s="177"/>
      <c r="M51" s="60">
        <v>0</v>
      </c>
      <c r="N51" s="60">
        <v>0</v>
      </c>
      <c r="O51" s="60">
        <v>0</v>
      </c>
      <c r="P51" s="60">
        <v>0</v>
      </c>
      <c r="Q51" s="60">
        <v>0</v>
      </c>
      <c r="R51" s="60">
        <v>0</v>
      </c>
      <c r="S51" s="60">
        <v>0</v>
      </c>
      <c r="T51" s="60">
        <v>0</v>
      </c>
      <c r="U51" s="60">
        <f t="shared" si="32"/>
        <v>0</v>
      </c>
      <c r="V51" s="122" t="str">
        <f t="shared" si="3"/>
        <v>ok</v>
      </c>
      <c r="W51" s="59">
        <v>0</v>
      </c>
      <c r="X51" s="61"/>
      <c r="Y51" s="177"/>
      <c r="Z51" s="60">
        <v>0</v>
      </c>
      <c r="AA51" s="60">
        <v>0</v>
      </c>
      <c r="AB51" s="60">
        <v>0</v>
      </c>
      <c r="AC51" s="60">
        <f t="shared" si="36"/>
        <v>0</v>
      </c>
      <c r="AD51" s="60">
        <f t="shared" si="9"/>
        <v>0</v>
      </c>
      <c r="AE51" s="122" t="str">
        <f t="shared" si="5"/>
        <v>ok</v>
      </c>
      <c r="AF51" s="59">
        <v>0</v>
      </c>
    </row>
    <row r="52" spans="1:150" s="109" customFormat="1" ht="15.6">
      <c r="A52" s="117"/>
      <c r="B52" s="118" t="s">
        <v>726</v>
      </c>
      <c r="C52" s="119">
        <f>'St. James'!H7+'St. James'!H17</f>
        <v>7584487</v>
      </c>
      <c r="D52" s="119">
        <f>'St. James'!H8</f>
        <v>0</v>
      </c>
      <c r="E52" s="119">
        <f>'St. James'!H9</f>
        <v>1487343</v>
      </c>
      <c r="F52" s="119">
        <f>'St. James'!H20</f>
        <v>14520264</v>
      </c>
      <c r="G52" s="119">
        <f>'St. James'!H11</f>
        <v>0</v>
      </c>
      <c r="H52" s="119">
        <f>'St. James'!H13+'St. James'!H14+'St. James'!H15+'St. James'!H21</f>
        <v>287289</v>
      </c>
      <c r="I52" s="119">
        <f t="shared" ref="I52:I54" si="39">SUM(C52:H52)</f>
        <v>23879383</v>
      </c>
      <c r="J52" s="130" t="str">
        <f t="shared" si="1"/>
        <v>ok</v>
      </c>
      <c r="K52" s="120">
        <f>'St. James'!H23</f>
        <v>23879383</v>
      </c>
      <c r="L52" s="176"/>
      <c r="M52" s="119">
        <f>'St. James'!H26</f>
        <v>412534</v>
      </c>
      <c r="N52" s="119">
        <v>0</v>
      </c>
      <c r="O52" s="119">
        <v>0</v>
      </c>
      <c r="P52" s="119">
        <v>0</v>
      </c>
      <c r="Q52" s="119">
        <v>0</v>
      </c>
      <c r="R52" s="119">
        <f>'St. James'!H33</f>
        <v>55654</v>
      </c>
      <c r="S52" s="119">
        <f>'St. James'!H34</f>
        <v>413108</v>
      </c>
      <c r="T52" s="119">
        <f>'St. James'!H31+'St. James'!H30</f>
        <v>598533</v>
      </c>
      <c r="U52" s="119">
        <f t="shared" si="32"/>
        <v>1479829</v>
      </c>
      <c r="V52" s="122" t="str">
        <f t="shared" si="3"/>
        <v>ok</v>
      </c>
      <c r="W52" s="120">
        <f>'St. James'!H36</f>
        <v>1479829</v>
      </c>
      <c r="X52" s="121"/>
      <c r="Y52" s="176"/>
      <c r="Z52" s="119">
        <f>'St. James'!H39</f>
        <v>14520264</v>
      </c>
      <c r="AA52" s="119">
        <v>0</v>
      </c>
      <c r="AB52" s="119">
        <f>'St. James'!H50</f>
        <v>7879290</v>
      </c>
      <c r="AC52" s="119">
        <f t="shared" ref="AC52:AC54" si="40">SUM(Z52:AB52)</f>
        <v>22399554</v>
      </c>
      <c r="AD52" s="119">
        <f t="shared" si="9"/>
        <v>23879383</v>
      </c>
      <c r="AE52" s="122" t="str">
        <f t="shared" si="5"/>
        <v>ok</v>
      </c>
      <c r="AF52" s="120">
        <f>'St. James'!H54</f>
        <v>23879383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</row>
    <row r="53" spans="1:150" ht="15.6">
      <c r="A53" s="57"/>
      <c r="B53" s="3" t="s">
        <v>727</v>
      </c>
      <c r="C53" s="60">
        <f>'St John the Baptist'!H7</f>
        <v>2662147</v>
      </c>
      <c r="D53" s="60">
        <f>'St John the Baptist'!H8</f>
        <v>363526</v>
      </c>
      <c r="E53" s="60">
        <f>'St John the Baptist'!H10</f>
        <v>2536807</v>
      </c>
      <c r="F53" s="60">
        <f>'St John the Baptist'!H18+'St John the Baptist'!H20</f>
        <v>128966759</v>
      </c>
      <c r="G53" s="60">
        <f>'St John the Baptist'!H14</f>
        <v>301586</v>
      </c>
      <c r="H53" s="60">
        <f>'St John the Baptist'!H15+'St John the Baptist'!H16+'St John the Baptist'!H17</f>
        <v>942922</v>
      </c>
      <c r="I53" s="60">
        <f t="shared" si="39"/>
        <v>135773747</v>
      </c>
      <c r="J53" s="130" t="str">
        <f t="shared" si="1"/>
        <v>ok</v>
      </c>
      <c r="K53" s="59">
        <f>'St John the Baptist'!H22</f>
        <v>135773747</v>
      </c>
      <c r="L53" s="177"/>
      <c r="M53" s="60">
        <f>'St John the Baptist'!H25</f>
        <v>2759562</v>
      </c>
      <c r="N53" s="60">
        <v>0</v>
      </c>
      <c r="O53" s="60">
        <v>0</v>
      </c>
      <c r="P53" s="60">
        <v>0</v>
      </c>
      <c r="Q53" s="60">
        <f>'St John the Baptist'!H28</f>
        <v>1302904</v>
      </c>
      <c r="R53" s="60">
        <f>'St John the Baptist'!H32</f>
        <v>261000</v>
      </c>
      <c r="S53" s="60">
        <f>'St John the Baptist'!H33</f>
        <v>4367478</v>
      </c>
      <c r="T53" s="60">
        <f>'St John the Baptist'!H29+'St John the Baptist'!H30</f>
        <v>171320</v>
      </c>
      <c r="U53" s="60">
        <f t="shared" ref="U53:U54" si="41">SUM(M53:T53)</f>
        <v>8862264</v>
      </c>
      <c r="V53" s="122" t="str">
        <f t="shared" si="3"/>
        <v>ok</v>
      </c>
      <c r="W53" s="59">
        <f>'St John the Baptist'!H35</f>
        <v>8862264</v>
      </c>
      <c r="X53" s="61"/>
      <c r="Y53" s="177"/>
      <c r="Z53" s="60">
        <f>'St John the Baptist'!H38</f>
        <v>124338281</v>
      </c>
      <c r="AA53" s="60">
        <f>'St John the Baptist'!H41+'St John the Baptist'!H43</f>
        <v>493640</v>
      </c>
      <c r="AB53" s="60">
        <f>'St John the Baptist'!H45</f>
        <v>2079562</v>
      </c>
      <c r="AC53" s="60">
        <f t="shared" si="40"/>
        <v>126911483</v>
      </c>
      <c r="AD53" s="60">
        <f t="shared" si="9"/>
        <v>135773747</v>
      </c>
      <c r="AE53" s="122" t="str">
        <f t="shared" si="5"/>
        <v>ok</v>
      </c>
      <c r="AF53" s="59">
        <f>'St John the Baptist'!H49</f>
        <v>135773747</v>
      </c>
    </row>
    <row r="54" spans="1:150" s="109" customFormat="1" ht="15.6">
      <c r="A54" s="117"/>
      <c r="B54" s="118" t="s">
        <v>728</v>
      </c>
      <c r="C54" s="119">
        <v>0</v>
      </c>
      <c r="D54" s="119">
        <v>0</v>
      </c>
      <c r="E54" s="119">
        <v>0</v>
      </c>
      <c r="F54" s="119">
        <v>0</v>
      </c>
      <c r="G54" s="119">
        <v>0</v>
      </c>
      <c r="H54" s="119">
        <v>0</v>
      </c>
      <c r="I54" s="119">
        <f t="shared" si="39"/>
        <v>0</v>
      </c>
      <c r="J54" s="130" t="str">
        <f t="shared" si="1"/>
        <v>ok</v>
      </c>
      <c r="K54" s="120">
        <v>0</v>
      </c>
      <c r="L54" s="176"/>
      <c r="M54" s="119">
        <v>0</v>
      </c>
      <c r="N54" s="119">
        <v>0</v>
      </c>
      <c r="O54" s="119">
        <v>0</v>
      </c>
      <c r="P54" s="119">
        <v>0</v>
      </c>
      <c r="Q54" s="119">
        <v>0</v>
      </c>
      <c r="R54" s="119">
        <v>0</v>
      </c>
      <c r="S54" s="119">
        <f>'St. Charles'!H42</f>
        <v>0</v>
      </c>
      <c r="T54" s="119">
        <v>0</v>
      </c>
      <c r="U54" s="119">
        <f t="shared" si="41"/>
        <v>0</v>
      </c>
      <c r="V54" s="122" t="str">
        <f t="shared" si="3"/>
        <v>ok</v>
      </c>
      <c r="W54" s="120">
        <v>0</v>
      </c>
      <c r="X54" s="121"/>
      <c r="Y54" s="176"/>
      <c r="Z54" s="119">
        <v>0</v>
      </c>
      <c r="AA54" s="119">
        <v>0</v>
      </c>
      <c r="AB54" s="119">
        <v>0</v>
      </c>
      <c r="AC54" s="119">
        <f t="shared" si="40"/>
        <v>0</v>
      </c>
      <c r="AD54" s="119">
        <f t="shared" si="9"/>
        <v>0</v>
      </c>
      <c r="AE54" s="122" t="str">
        <f t="shared" si="5"/>
        <v>ok</v>
      </c>
      <c r="AF54" s="120">
        <v>0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</row>
    <row r="55" spans="1:150" ht="15.6">
      <c r="A55" s="57"/>
      <c r="B55" s="3" t="s">
        <v>729</v>
      </c>
      <c r="C55" s="60">
        <v>0</v>
      </c>
      <c r="D55" s="60">
        <f>'St. Charles'!H13</f>
        <v>0</v>
      </c>
      <c r="E55" s="60">
        <f>'St. Martin'!I7</f>
        <v>368645</v>
      </c>
      <c r="F55" s="60">
        <v>0</v>
      </c>
      <c r="G55" s="60">
        <v>0</v>
      </c>
      <c r="H55" s="60">
        <v>0</v>
      </c>
      <c r="I55" s="60">
        <f>SUM(C55:H55)</f>
        <v>368645</v>
      </c>
      <c r="J55" s="130" t="str">
        <f t="shared" si="1"/>
        <v>ok</v>
      </c>
      <c r="K55" s="59">
        <f>'St. Martin'!I14</f>
        <v>368645</v>
      </c>
      <c r="L55" s="177"/>
      <c r="M55" s="60">
        <f>'St. Martin'!I17</f>
        <v>209728</v>
      </c>
      <c r="N55" s="60">
        <v>0</v>
      </c>
      <c r="O55" s="60">
        <v>0</v>
      </c>
      <c r="P55" s="60">
        <v>0</v>
      </c>
      <c r="Q55" s="60">
        <v>0</v>
      </c>
      <c r="R55" s="60">
        <v>0</v>
      </c>
      <c r="S55" s="60">
        <v>0</v>
      </c>
      <c r="T55" s="60">
        <f>'St. Martin'!I21+'St. Martin'!I18</f>
        <v>207183</v>
      </c>
      <c r="U55" s="60">
        <f t="shared" ref="U55:U69" si="42">SUM(M55:T55)</f>
        <v>416911</v>
      </c>
      <c r="V55" s="122" t="str">
        <f t="shared" si="3"/>
        <v>ok</v>
      </c>
      <c r="W55" s="59">
        <f>'St. Martin'!I30</f>
        <v>416911</v>
      </c>
      <c r="X55" s="61"/>
      <c r="Y55" s="177"/>
      <c r="Z55" s="60">
        <v>0</v>
      </c>
      <c r="AA55" s="60">
        <f>'St. Martin'!I36</f>
        <v>30996</v>
      </c>
      <c r="AB55" s="60">
        <f>'St. Martin'!I37</f>
        <v>-79262</v>
      </c>
      <c r="AC55" s="60">
        <f t="shared" ref="AC55:AC67" si="43">SUM(Z55:AB55)</f>
        <v>-48266</v>
      </c>
      <c r="AD55" s="60">
        <f t="shared" si="9"/>
        <v>368645</v>
      </c>
      <c r="AE55" s="122" t="str">
        <f t="shared" si="5"/>
        <v>ok</v>
      </c>
      <c r="AF55" s="59">
        <f>'St. Martin'!I41</f>
        <v>368645</v>
      </c>
    </row>
    <row r="56" spans="1:150" s="109" customFormat="1" ht="15.6">
      <c r="A56" s="117"/>
      <c r="B56" s="118" t="s">
        <v>730</v>
      </c>
      <c r="C56" s="119">
        <f>'St. Mary'!I8+'St. Mary'!I19</f>
        <v>2510563</v>
      </c>
      <c r="D56" s="119">
        <f>'St. Mary'!I20+'St. Mary'!I9</f>
        <v>2825982</v>
      </c>
      <c r="E56" s="119">
        <f>'St. Mary'!I10</f>
        <v>515375</v>
      </c>
      <c r="F56" s="119">
        <f>'St. Mary'!I25+'St. Mary'!I26+'St. Mary'!I28+'St. Mary'!I30+'St. Mary'!I32</f>
        <v>21083228</v>
      </c>
      <c r="G56" s="119">
        <f>'St. Mary'!I12</f>
        <v>101291</v>
      </c>
      <c r="H56" s="119">
        <f>'St. Mary'!I14</f>
        <v>8111173</v>
      </c>
      <c r="I56" s="119">
        <f t="shared" ref="I56:I57" si="44">SUM(C56:H56)</f>
        <v>35147612</v>
      </c>
      <c r="J56" s="130" t="str">
        <f t="shared" si="1"/>
        <v>ok</v>
      </c>
      <c r="K56" s="120">
        <f>'St. Mary'!I36</f>
        <v>35147612</v>
      </c>
      <c r="L56" s="176"/>
      <c r="M56" s="119">
        <f>'St. Mary'!I45+'St. Mary'!I46</f>
        <v>338907</v>
      </c>
      <c r="N56" s="119">
        <f>'St. Mary'!I56</f>
        <v>0</v>
      </c>
      <c r="O56" s="119">
        <v>0</v>
      </c>
      <c r="P56" s="119">
        <v>0</v>
      </c>
      <c r="Q56" s="119">
        <f>'St. Mary'!I48</f>
        <v>0</v>
      </c>
      <c r="R56" s="119">
        <f>'St. James'!G35</f>
        <v>0</v>
      </c>
      <c r="S56" s="119">
        <v>0</v>
      </c>
      <c r="T56" s="119">
        <f>'St. Mary'!I58+'St. Mary'!I57+'St. Mary'!I55+'St. Mary'!I50</f>
        <v>18202580</v>
      </c>
      <c r="U56" s="119">
        <f t="shared" si="42"/>
        <v>18541487</v>
      </c>
      <c r="V56" s="122" t="str">
        <f t="shared" si="3"/>
        <v>ok</v>
      </c>
      <c r="W56" s="120">
        <f>'St. Mary'!I62</f>
        <v>18541487</v>
      </c>
      <c r="X56" s="121"/>
      <c r="Y56" s="176"/>
      <c r="Z56" s="119">
        <f>'St. Mary'!I65</f>
        <v>7476248</v>
      </c>
      <c r="AA56" s="119">
        <f>'St. Mary'!I67+'St. Mary'!I68</f>
        <v>-766466</v>
      </c>
      <c r="AB56" s="119">
        <f>'St. Mary'!I69</f>
        <v>10141343</v>
      </c>
      <c r="AC56" s="119">
        <f t="shared" si="43"/>
        <v>16851125</v>
      </c>
      <c r="AD56" s="119">
        <f t="shared" si="9"/>
        <v>35392612</v>
      </c>
      <c r="AE56" s="122" t="str">
        <f t="shared" si="5"/>
        <v>ok</v>
      </c>
      <c r="AF56" s="120">
        <f>'St. Mary'!I73</f>
        <v>35392612</v>
      </c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</row>
    <row r="57" spans="1:150" ht="15.6">
      <c r="A57" s="57"/>
      <c r="B57" s="3" t="s">
        <v>731</v>
      </c>
      <c r="C57" s="60">
        <f>'St. Tammany'!I7</f>
        <v>1487270</v>
      </c>
      <c r="D57" s="60">
        <f>'St. Tammany'!I8</f>
        <v>9165500</v>
      </c>
      <c r="E57" s="60">
        <f>'St. Tammany'!I9</f>
        <v>849148</v>
      </c>
      <c r="F57" s="60">
        <f>'St. Tammany'!I16+'St. Tammany'!I17</f>
        <v>40653535</v>
      </c>
      <c r="G57" s="60">
        <f>'St. Tammany'!I10</f>
        <v>0</v>
      </c>
      <c r="H57" s="60">
        <f>'St. Tammany'!I13+'St. Tammany'!I14</f>
        <v>4209741</v>
      </c>
      <c r="I57" s="60">
        <f t="shared" si="44"/>
        <v>56365194</v>
      </c>
      <c r="J57" s="130" t="str">
        <f t="shared" si="1"/>
        <v>ok</v>
      </c>
      <c r="K57" s="59">
        <f>'St. Tammany'!I19</f>
        <v>56365194</v>
      </c>
      <c r="L57" s="177"/>
      <c r="M57" s="60">
        <f>'St. Tammany'!I27+'St. Tammany'!I32</f>
        <v>1502883</v>
      </c>
      <c r="N57" s="60">
        <v>0</v>
      </c>
      <c r="O57" s="60">
        <v>0</v>
      </c>
      <c r="P57" s="60">
        <v>0</v>
      </c>
      <c r="Q57" s="60">
        <v>0</v>
      </c>
      <c r="R57" s="60">
        <f>'St. Tammany'!I34</f>
        <v>710000</v>
      </c>
      <c r="S57" s="60">
        <f>'St. Tammany'!I35</f>
        <v>41425586</v>
      </c>
      <c r="T57" s="60">
        <f>'St. Tammany'!I31</f>
        <v>1163951</v>
      </c>
      <c r="U57" s="60">
        <f t="shared" si="42"/>
        <v>44802420</v>
      </c>
      <c r="V57" s="122" t="str">
        <f t="shared" si="3"/>
        <v>ok</v>
      </c>
      <c r="W57" s="59">
        <f>'St. Tammany'!I37</f>
        <v>44802420</v>
      </c>
      <c r="X57" s="61"/>
      <c r="Y57" s="177"/>
      <c r="Z57" s="60">
        <f>'St. Tammany'!I40</f>
        <v>-1482051</v>
      </c>
      <c r="AA57" s="60">
        <f>'St. Tammany'!I44+'St. Tammany'!I42</f>
        <v>4196582</v>
      </c>
      <c r="AB57" s="60">
        <f>'St. Tammany'!I52</f>
        <v>8848243</v>
      </c>
      <c r="AC57" s="60">
        <f t="shared" si="43"/>
        <v>11562774</v>
      </c>
      <c r="AD57" s="60">
        <f t="shared" si="9"/>
        <v>56365194</v>
      </c>
      <c r="AE57" s="122" t="str">
        <f t="shared" si="5"/>
        <v>ok</v>
      </c>
      <c r="AF57" s="59">
        <f>'St. Tammany'!I56</f>
        <v>56365194</v>
      </c>
    </row>
    <row r="58" spans="1:150" s="109" customFormat="1" ht="15.6">
      <c r="A58" s="117"/>
      <c r="B58" s="118" t="s">
        <v>732</v>
      </c>
      <c r="C58" s="119">
        <v>0</v>
      </c>
      <c r="D58" s="119">
        <v>0</v>
      </c>
      <c r="E58" s="119">
        <v>0</v>
      </c>
      <c r="F58" s="119">
        <v>0</v>
      </c>
      <c r="G58" s="119">
        <v>0</v>
      </c>
      <c r="H58" s="119">
        <v>0</v>
      </c>
      <c r="I58" s="119">
        <f>SUM(C58:H58)</f>
        <v>0</v>
      </c>
      <c r="J58" s="130" t="str">
        <f t="shared" si="1"/>
        <v>ok</v>
      </c>
      <c r="K58" s="120">
        <v>0</v>
      </c>
      <c r="L58" s="176"/>
      <c r="M58" s="119">
        <v>0</v>
      </c>
      <c r="N58" s="119">
        <v>0</v>
      </c>
      <c r="O58" s="119">
        <v>0</v>
      </c>
      <c r="P58" s="119">
        <v>0</v>
      </c>
      <c r="Q58" s="119">
        <v>0</v>
      </c>
      <c r="R58" s="119">
        <v>0</v>
      </c>
      <c r="S58" s="119">
        <v>0</v>
      </c>
      <c r="T58" s="119">
        <v>0</v>
      </c>
      <c r="U58" s="119">
        <f t="shared" si="42"/>
        <v>0</v>
      </c>
      <c r="V58" s="122" t="str">
        <f t="shared" si="3"/>
        <v>ok</v>
      </c>
      <c r="W58" s="120">
        <v>0</v>
      </c>
      <c r="X58" s="121"/>
      <c r="Y58" s="176"/>
      <c r="Z58" s="119">
        <v>0</v>
      </c>
      <c r="AA58" s="119">
        <v>0</v>
      </c>
      <c r="AB58" s="119">
        <v>0</v>
      </c>
      <c r="AC58" s="119">
        <f t="shared" si="43"/>
        <v>0</v>
      </c>
      <c r="AD58" s="119">
        <f t="shared" si="9"/>
        <v>0</v>
      </c>
      <c r="AE58" s="122" t="str">
        <f t="shared" si="5"/>
        <v>ok</v>
      </c>
      <c r="AF58" s="120">
        <v>0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</row>
    <row r="59" spans="1:150" ht="15.6">
      <c r="A59" s="57"/>
      <c r="B59" s="3" t="s">
        <v>733</v>
      </c>
      <c r="C59" s="60">
        <v>0</v>
      </c>
      <c r="D59" s="60">
        <f>'St. Charles'!H17</f>
        <v>0</v>
      </c>
      <c r="E59" s="60">
        <v>0</v>
      </c>
      <c r="F59" s="60">
        <v>0</v>
      </c>
      <c r="G59" s="60">
        <f>'St. Martin'!H13</f>
        <v>0</v>
      </c>
      <c r="H59" s="60">
        <v>0</v>
      </c>
      <c r="I59" s="60">
        <f t="shared" ref="I59" si="45">SUM(C59:H59)</f>
        <v>0</v>
      </c>
      <c r="J59" s="130" t="str">
        <f t="shared" si="1"/>
        <v>ok</v>
      </c>
      <c r="K59" s="59">
        <v>0</v>
      </c>
      <c r="L59" s="177"/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f t="shared" si="42"/>
        <v>0</v>
      </c>
      <c r="V59" s="122" t="str">
        <f t="shared" si="3"/>
        <v>ok</v>
      </c>
      <c r="W59" s="59">
        <v>0</v>
      </c>
      <c r="X59" s="61"/>
      <c r="Y59" s="177"/>
      <c r="Z59" s="60">
        <v>0</v>
      </c>
      <c r="AA59" s="60">
        <v>0</v>
      </c>
      <c r="AB59" s="60">
        <v>0</v>
      </c>
      <c r="AC59" s="60">
        <f t="shared" si="43"/>
        <v>0</v>
      </c>
      <c r="AD59" s="60">
        <f t="shared" si="9"/>
        <v>0</v>
      </c>
      <c r="AE59" s="122" t="str">
        <f t="shared" si="5"/>
        <v>ok</v>
      </c>
      <c r="AF59" s="59">
        <v>0</v>
      </c>
    </row>
    <row r="60" spans="1:150" s="109" customFormat="1" ht="15.6">
      <c r="A60" s="117"/>
      <c r="B60" s="118" t="s">
        <v>734</v>
      </c>
      <c r="C60" s="119">
        <f>Terrebonne!I7+Terrebonne!I17</f>
        <v>22968328</v>
      </c>
      <c r="D60" s="119">
        <f>Terrebonne!I8+Terrebonne!I18+Terrebonne!I21</f>
        <v>28578765</v>
      </c>
      <c r="E60" s="119">
        <f>Terrebonne!I9+Terrebonne!I19</f>
        <v>9952741</v>
      </c>
      <c r="F60" s="119">
        <f>Terrebonne!I23+Terrebonne!I24</f>
        <v>151103121</v>
      </c>
      <c r="G60" s="119">
        <f>Terrebonne!I11+Terrebonne!I20</f>
        <v>11164678</v>
      </c>
      <c r="H60" s="119">
        <f>Terrebonne!I15+Terrebonne!I14+Terrebonne!I10</f>
        <v>-2517379</v>
      </c>
      <c r="I60" s="119">
        <f t="shared" ref="I60:I61" si="46">SUM(C60:H60)</f>
        <v>221250254</v>
      </c>
      <c r="J60" s="130" t="str">
        <f t="shared" si="1"/>
        <v>ok</v>
      </c>
      <c r="K60" s="120">
        <f>Terrebonne!I26</f>
        <v>221250254</v>
      </c>
      <c r="L60" s="176">
        <f>Terrebonne!I28</f>
        <v>0</v>
      </c>
      <c r="M60" s="119">
        <f>Terrebonne!I31+Terrebonne!I37</f>
        <v>8839457</v>
      </c>
      <c r="N60" s="119">
        <v>0</v>
      </c>
      <c r="O60" s="119">
        <v>0</v>
      </c>
      <c r="P60" s="119">
        <v>0</v>
      </c>
      <c r="Q60" s="119">
        <f>Terrebonne!I33</f>
        <v>550233</v>
      </c>
      <c r="R60" s="119">
        <f>Terrebonne!I39</f>
        <v>1236088</v>
      </c>
      <c r="S60" s="119">
        <f>Terrebonne!I40</f>
        <v>16790963</v>
      </c>
      <c r="T60" s="119">
        <f>Terrebonne!M33</f>
        <v>0</v>
      </c>
      <c r="U60" s="119">
        <f t="shared" si="42"/>
        <v>27416741</v>
      </c>
      <c r="V60" s="122" t="str">
        <f t="shared" si="3"/>
        <v>ok</v>
      </c>
      <c r="W60" s="120">
        <f>Terrebonne!I42</f>
        <v>27416741</v>
      </c>
      <c r="X60" s="121"/>
      <c r="Y60" s="176">
        <f>Terrebonne!I44</f>
        <v>9974005</v>
      </c>
      <c r="Z60" s="119">
        <f>Terrebonne!I47</f>
        <v>137504660</v>
      </c>
      <c r="AA60" s="119">
        <f>Terrebonne!I52+Terrebonne!I56+Terrebonne!I57+Terrebonne!I58</f>
        <v>46467577</v>
      </c>
      <c r="AB60" s="119">
        <f>Terrebonne!I60</f>
        <v>-112729</v>
      </c>
      <c r="AC60" s="119">
        <f t="shared" si="43"/>
        <v>183859508</v>
      </c>
      <c r="AD60" s="119">
        <f t="shared" si="9"/>
        <v>221250254</v>
      </c>
      <c r="AE60" s="122" t="str">
        <f t="shared" si="5"/>
        <v>ok</v>
      </c>
      <c r="AF60" s="120">
        <f>Terrebonne!I64</f>
        <v>221250254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</row>
    <row r="61" spans="1:150" ht="15.6">
      <c r="A61" s="57"/>
      <c r="B61" s="3" t="s">
        <v>735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f t="shared" si="46"/>
        <v>0</v>
      </c>
      <c r="J61" s="130" t="str">
        <f t="shared" si="1"/>
        <v>ok</v>
      </c>
      <c r="K61" s="59">
        <v>0</v>
      </c>
      <c r="L61" s="177"/>
      <c r="M61" s="60">
        <v>0</v>
      </c>
      <c r="N61" s="60">
        <v>0</v>
      </c>
      <c r="O61" s="60">
        <v>0</v>
      </c>
      <c r="P61" s="60">
        <v>0</v>
      </c>
      <c r="Q61" s="60">
        <v>0</v>
      </c>
      <c r="R61" s="60">
        <v>0</v>
      </c>
      <c r="S61" s="60">
        <v>0</v>
      </c>
      <c r="T61" s="60">
        <v>0</v>
      </c>
      <c r="U61" s="60">
        <f t="shared" si="42"/>
        <v>0</v>
      </c>
      <c r="V61" s="122" t="str">
        <f t="shared" si="3"/>
        <v>ok</v>
      </c>
      <c r="W61" s="59">
        <v>0</v>
      </c>
      <c r="X61" s="61"/>
      <c r="Y61" s="177"/>
      <c r="Z61" s="60">
        <v>0</v>
      </c>
      <c r="AA61" s="60">
        <v>0</v>
      </c>
      <c r="AB61" s="60">
        <v>0</v>
      </c>
      <c r="AC61" s="60">
        <v>0</v>
      </c>
      <c r="AD61" s="60">
        <f t="shared" si="9"/>
        <v>0</v>
      </c>
      <c r="AE61" s="122" t="str">
        <f t="shared" si="5"/>
        <v>ok</v>
      </c>
      <c r="AF61" s="59">
        <v>0</v>
      </c>
    </row>
    <row r="62" spans="1:150" s="109" customFormat="1" ht="15.6">
      <c r="A62" s="117"/>
      <c r="B62" s="118" t="s">
        <v>736</v>
      </c>
      <c r="C62" s="119">
        <v>0</v>
      </c>
      <c r="D62" s="119">
        <v>0</v>
      </c>
      <c r="E62" s="119">
        <v>0</v>
      </c>
      <c r="F62" s="119">
        <v>0</v>
      </c>
      <c r="G62" s="119">
        <v>0</v>
      </c>
      <c r="H62" s="119">
        <v>0</v>
      </c>
      <c r="I62" s="119">
        <f>SUM(C62:H62)</f>
        <v>0</v>
      </c>
      <c r="J62" s="130" t="str">
        <f t="shared" si="1"/>
        <v>ok</v>
      </c>
      <c r="K62" s="120">
        <v>0</v>
      </c>
      <c r="L62" s="176"/>
      <c r="M62" s="119">
        <v>0</v>
      </c>
      <c r="N62" s="119">
        <v>0</v>
      </c>
      <c r="O62" s="119">
        <v>0</v>
      </c>
      <c r="P62" s="119">
        <v>0</v>
      </c>
      <c r="Q62" s="119">
        <v>0</v>
      </c>
      <c r="R62" s="119">
        <v>0</v>
      </c>
      <c r="S62" s="119">
        <v>0</v>
      </c>
      <c r="T62" s="119">
        <f>Tangipahoa!H22+Tangipahoa!H29</f>
        <v>0</v>
      </c>
      <c r="U62" s="119">
        <f t="shared" si="42"/>
        <v>0</v>
      </c>
      <c r="V62" s="122" t="str">
        <f t="shared" si="3"/>
        <v>ok</v>
      </c>
      <c r="W62" s="120">
        <v>0</v>
      </c>
      <c r="X62" s="121"/>
      <c r="Y62" s="176"/>
      <c r="Z62" s="119">
        <v>0</v>
      </c>
      <c r="AA62" s="119">
        <v>0</v>
      </c>
      <c r="AB62" s="119">
        <v>0</v>
      </c>
      <c r="AC62" s="119">
        <f t="shared" si="43"/>
        <v>0</v>
      </c>
      <c r="AD62" s="119">
        <f t="shared" si="9"/>
        <v>0</v>
      </c>
      <c r="AE62" s="122" t="str">
        <f t="shared" si="5"/>
        <v>ok</v>
      </c>
      <c r="AF62" s="120">
        <v>0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</row>
    <row r="63" spans="1:150" ht="15.6">
      <c r="A63" s="57"/>
      <c r="B63" s="3" t="s">
        <v>737</v>
      </c>
      <c r="C63" s="60">
        <v>0</v>
      </c>
      <c r="D63" s="60">
        <v>0</v>
      </c>
      <c r="E63" s="60">
        <v>0</v>
      </c>
      <c r="F63" s="60">
        <v>0</v>
      </c>
      <c r="G63" s="60">
        <v>0</v>
      </c>
      <c r="H63" s="60">
        <v>0</v>
      </c>
      <c r="I63" s="60">
        <f t="shared" ref="I63:I65" si="47">SUM(C63:H63)</f>
        <v>0</v>
      </c>
      <c r="J63" s="130" t="str">
        <f t="shared" si="1"/>
        <v>ok</v>
      </c>
      <c r="K63" s="59">
        <v>0</v>
      </c>
      <c r="L63" s="177"/>
      <c r="M63" s="60">
        <v>0</v>
      </c>
      <c r="N63" s="60">
        <v>0</v>
      </c>
      <c r="O63" s="60">
        <v>0</v>
      </c>
      <c r="P63" s="60">
        <v>0</v>
      </c>
      <c r="Q63" s="60">
        <f>Tensas!G21</f>
        <v>0</v>
      </c>
      <c r="R63" s="60">
        <v>0</v>
      </c>
      <c r="S63" s="60">
        <v>0</v>
      </c>
      <c r="T63" s="60">
        <v>0</v>
      </c>
      <c r="U63" s="60">
        <f t="shared" si="42"/>
        <v>0</v>
      </c>
      <c r="V63" s="122" t="str">
        <f t="shared" si="3"/>
        <v>ok</v>
      </c>
      <c r="W63" s="59">
        <v>0</v>
      </c>
      <c r="X63" s="61"/>
      <c r="Y63" s="177"/>
      <c r="Z63" s="60">
        <v>0</v>
      </c>
      <c r="AA63" s="60">
        <v>0</v>
      </c>
      <c r="AB63" s="60">
        <v>0</v>
      </c>
      <c r="AC63" s="60">
        <f t="shared" si="43"/>
        <v>0</v>
      </c>
      <c r="AD63" s="60">
        <f t="shared" si="9"/>
        <v>0</v>
      </c>
      <c r="AE63" s="122" t="str">
        <f t="shared" si="5"/>
        <v>ok</v>
      </c>
      <c r="AF63" s="59">
        <v>0</v>
      </c>
    </row>
    <row r="64" spans="1:150" s="109" customFormat="1" ht="15.6">
      <c r="A64" s="117"/>
      <c r="B64" s="118" t="s">
        <v>738</v>
      </c>
      <c r="C64" s="119">
        <f>Washington!I7</f>
        <v>110817</v>
      </c>
      <c r="D64" s="119">
        <v>0</v>
      </c>
      <c r="E64" s="119">
        <v>0</v>
      </c>
      <c r="F64" s="119">
        <v>0</v>
      </c>
      <c r="G64" s="119">
        <v>0</v>
      </c>
      <c r="H64" s="119">
        <v>0</v>
      </c>
      <c r="I64" s="119">
        <f t="shared" si="47"/>
        <v>110817</v>
      </c>
      <c r="J64" s="130" t="str">
        <f t="shared" si="1"/>
        <v>ok</v>
      </c>
      <c r="K64" s="120">
        <f>Washington!I23</f>
        <v>110817</v>
      </c>
      <c r="L64" s="176"/>
      <c r="M64" s="119">
        <v>0</v>
      </c>
      <c r="N64" s="119">
        <v>0</v>
      </c>
      <c r="O64" s="119">
        <v>0</v>
      </c>
      <c r="P64" s="119">
        <v>0</v>
      </c>
      <c r="Q64" s="119">
        <v>0</v>
      </c>
      <c r="R64" s="119">
        <v>0</v>
      </c>
      <c r="S64" s="119">
        <v>0</v>
      </c>
      <c r="T64" s="119">
        <v>0</v>
      </c>
      <c r="U64" s="119">
        <f t="shared" si="42"/>
        <v>0</v>
      </c>
      <c r="V64" s="122" t="str">
        <f t="shared" si="3"/>
        <v>ok</v>
      </c>
      <c r="W64" s="120">
        <v>0</v>
      </c>
      <c r="X64" s="121"/>
      <c r="Y64" s="176"/>
      <c r="Z64" s="119">
        <v>0</v>
      </c>
      <c r="AA64" s="119">
        <v>0</v>
      </c>
      <c r="AB64" s="119">
        <f>Washington!I46</f>
        <v>192351</v>
      </c>
      <c r="AC64" s="119">
        <f t="shared" si="43"/>
        <v>192351</v>
      </c>
      <c r="AD64" s="119">
        <f t="shared" si="9"/>
        <v>192351</v>
      </c>
      <c r="AE64" s="122" t="str">
        <f t="shared" si="5"/>
        <v>ok</v>
      </c>
      <c r="AF64" s="120">
        <f>Washington!I50</f>
        <v>192351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</row>
    <row r="65" spans="1:150" ht="15.6">
      <c r="A65" s="57"/>
      <c r="B65" s="3" t="s">
        <v>739</v>
      </c>
      <c r="C65" s="60">
        <v>0</v>
      </c>
      <c r="D65" s="60">
        <v>0</v>
      </c>
      <c r="E65" s="60">
        <v>0</v>
      </c>
      <c r="F65" s="60">
        <v>0</v>
      </c>
      <c r="G65" s="60">
        <v>0</v>
      </c>
      <c r="H65" s="60">
        <v>0</v>
      </c>
      <c r="I65" s="60">
        <f t="shared" si="47"/>
        <v>0</v>
      </c>
      <c r="J65" s="130" t="str">
        <f t="shared" si="1"/>
        <v>ok</v>
      </c>
      <c r="K65" s="59">
        <v>0</v>
      </c>
      <c r="L65" s="177"/>
      <c r="M65" s="60">
        <v>0</v>
      </c>
      <c r="N65" s="60">
        <v>0</v>
      </c>
      <c r="O65" s="60">
        <v>0</v>
      </c>
      <c r="P65" s="60">
        <v>0</v>
      </c>
      <c r="Q65" s="60">
        <v>0</v>
      </c>
      <c r="R65" s="60">
        <v>0</v>
      </c>
      <c r="S65" s="60">
        <v>0</v>
      </c>
      <c r="T65" s="60">
        <v>0</v>
      </c>
      <c r="U65" s="60">
        <f t="shared" si="42"/>
        <v>0</v>
      </c>
      <c r="V65" s="122" t="str">
        <f t="shared" si="3"/>
        <v>ok</v>
      </c>
      <c r="W65" s="59">
        <v>0</v>
      </c>
      <c r="X65" s="61"/>
      <c r="Y65" s="177"/>
      <c r="Z65" s="60">
        <v>0</v>
      </c>
      <c r="AA65" s="60">
        <v>0</v>
      </c>
      <c r="AB65" s="60">
        <v>0</v>
      </c>
      <c r="AC65" s="60">
        <v>0</v>
      </c>
      <c r="AD65" s="60">
        <f t="shared" si="9"/>
        <v>0</v>
      </c>
      <c r="AE65" s="122" t="str">
        <f t="shared" si="5"/>
        <v>ok</v>
      </c>
      <c r="AF65" s="59">
        <v>0</v>
      </c>
    </row>
    <row r="66" spans="1:150" s="109" customFormat="1" ht="15.6">
      <c r="A66" s="117"/>
      <c r="B66" s="118" t="s">
        <v>740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f>SUM(C66:H66)</f>
        <v>0</v>
      </c>
      <c r="J66" s="130" t="str">
        <f t="shared" si="1"/>
        <v>ok</v>
      </c>
      <c r="K66" s="120">
        <v>0</v>
      </c>
      <c r="L66" s="176"/>
      <c r="M66" s="119">
        <v>0</v>
      </c>
      <c r="N66" s="119">
        <v>0</v>
      </c>
      <c r="O66" s="119">
        <v>0</v>
      </c>
      <c r="P66" s="119">
        <v>0</v>
      </c>
      <c r="Q66" s="119">
        <v>0</v>
      </c>
      <c r="R66" s="119">
        <v>0</v>
      </c>
      <c r="S66" s="119">
        <v>0</v>
      </c>
      <c r="T66" s="119">
        <f>Tangipahoa!H26+Tangipahoa!H33</f>
        <v>0</v>
      </c>
      <c r="U66" s="119">
        <f t="shared" si="42"/>
        <v>0</v>
      </c>
      <c r="V66" s="122" t="str">
        <f t="shared" si="3"/>
        <v>ok</v>
      </c>
      <c r="W66" s="120">
        <v>0</v>
      </c>
      <c r="X66" s="121"/>
      <c r="Y66" s="176"/>
      <c r="Z66" s="119">
        <v>0</v>
      </c>
      <c r="AA66" s="119">
        <v>0</v>
      </c>
      <c r="AB66" s="119">
        <v>0</v>
      </c>
      <c r="AC66" s="119">
        <f t="shared" si="43"/>
        <v>0</v>
      </c>
      <c r="AD66" s="119">
        <f t="shared" si="9"/>
        <v>0</v>
      </c>
      <c r="AE66" s="122" t="str">
        <f t="shared" si="5"/>
        <v>ok</v>
      </c>
      <c r="AF66" s="120">
        <v>0</v>
      </c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</row>
    <row r="67" spans="1:150" ht="15.6">
      <c r="A67" s="57"/>
      <c r="B67" s="3" t="s">
        <v>741</v>
      </c>
      <c r="C67" s="60">
        <v>0</v>
      </c>
      <c r="D67" s="60">
        <f>Union!G13</f>
        <v>0</v>
      </c>
      <c r="E67" s="60">
        <v>0</v>
      </c>
      <c r="F67" s="60">
        <v>0</v>
      </c>
      <c r="G67" s="60">
        <v>0</v>
      </c>
      <c r="H67" s="60">
        <v>0</v>
      </c>
      <c r="I67" s="60">
        <f t="shared" ref="I67" si="48">SUM(C67:H67)</f>
        <v>0</v>
      </c>
      <c r="J67" s="130" t="str">
        <f t="shared" si="1"/>
        <v>ok</v>
      </c>
      <c r="K67" s="59">
        <v>0</v>
      </c>
      <c r="L67" s="177"/>
      <c r="M67" s="60">
        <v>0</v>
      </c>
      <c r="N67" s="60">
        <v>0</v>
      </c>
      <c r="O67" s="60">
        <v>0</v>
      </c>
      <c r="P67" s="60">
        <f>Union!G27</f>
        <v>0</v>
      </c>
      <c r="Q67" s="60">
        <v>0</v>
      </c>
      <c r="R67" s="60">
        <v>0</v>
      </c>
      <c r="S67" s="60">
        <v>0</v>
      </c>
      <c r="T67" s="60">
        <v>0</v>
      </c>
      <c r="U67" s="60">
        <f t="shared" si="42"/>
        <v>0</v>
      </c>
      <c r="V67" s="122" t="str">
        <f t="shared" si="3"/>
        <v>ok</v>
      </c>
      <c r="W67" s="59">
        <v>0</v>
      </c>
      <c r="X67" s="61"/>
      <c r="Y67" s="177"/>
      <c r="Z67" s="60">
        <v>0</v>
      </c>
      <c r="AA67" s="60">
        <v>0</v>
      </c>
      <c r="AB67" s="60">
        <v>0</v>
      </c>
      <c r="AC67" s="60">
        <f t="shared" si="43"/>
        <v>0</v>
      </c>
      <c r="AD67" s="60">
        <f t="shared" si="9"/>
        <v>0</v>
      </c>
      <c r="AE67" s="122" t="str">
        <f t="shared" si="5"/>
        <v>ok</v>
      </c>
      <c r="AF67" s="59">
        <v>0</v>
      </c>
    </row>
    <row r="68" spans="1:150" s="109" customFormat="1" ht="15.6">
      <c r="A68" s="117"/>
      <c r="B68" s="118" t="s">
        <v>742</v>
      </c>
      <c r="C68" s="119">
        <f>'West Feliciana'!I7+'West Feliciana'!I16</f>
        <v>611539</v>
      </c>
      <c r="D68" s="119">
        <f>'West Feliciana'!I9+'West Feliciana'!I18</f>
        <v>525003</v>
      </c>
      <c r="E68" s="119">
        <f>'West Feliciana'!I10+'West Feliciana'!I12</f>
        <v>82402</v>
      </c>
      <c r="F68" s="119">
        <f>'West Feliciana'!I21</f>
        <v>9978173</v>
      </c>
      <c r="G68" s="119">
        <f>'West Feliciana'!I11</f>
        <v>419244</v>
      </c>
      <c r="H68" s="119">
        <f>'West Feliciana'!I14</f>
        <v>17298</v>
      </c>
      <c r="I68" s="119">
        <f>SUM(C68:H68)</f>
        <v>11633659</v>
      </c>
      <c r="J68" s="130" t="str">
        <f t="shared" si="1"/>
        <v>ok</v>
      </c>
      <c r="K68" s="120">
        <f>'West Feliciana'!I23</f>
        <v>11633659</v>
      </c>
      <c r="L68" s="176"/>
      <c r="M68" s="119">
        <f>'West Feliciana'!I26</f>
        <v>547575</v>
      </c>
      <c r="N68" s="119">
        <v>0</v>
      </c>
      <c r="O68" s="119">
        <v>0</v>
      </c>
      <c r="P68" s="119">
        <v>0</v>
      </c>
      <c r="Q68" s="119">
        <v>0</v>
      </c>
      <c r="R68" s="119">
        <f>'West Feliciana'!I32</f>
        <v>104291</v>
      </c>
      <c r="S68" s="119">
        <f>'West Feliciana'!I33</f>
        <v>2999206</v>
      </c>
      <c r="T68" s="119">
        <f>'West Feliciana'!I27+'West Feliciana'!I28+'West Feliciana'!I29+'West Feliciana'!I30</f>
        <v>247303</v>
      </c>
      <c r="U68" s="119">
        <f t="shared" ref="U68" si="49">SUM(M68:T68)</f>
        <v>3898375</v>
      </c>
      <c r="V68" s="122" t="str">
        <f t="shared" si="3"/>
        <v>ok</v>
      </c>
      <c r="W68" s="120">
        <f>'West Feliciana'!I35</f>
        <v>3898375</v>
      </c>
      <c r="X68" s="121"/>
      <c r="Y68" s="176"/>
      <c r="Z68" s="119">
        <f>'West Feliciana'!I38</f>
        <v>6925652</v>
      </c>
      <c r="AA68" s="119">
        <f>'West Feliciana'!I40+'West Feliciana'!I41</f>
        <v>286676</v>
      </c>
      <c r="AB68" s="119">
        <f>'West Feliciana'!I45</f>
        <v>522956</v>
      </c>
      <c r="AC68" s="119">
        <f t="shared" ref="AC68" si="50">SUM(Z68:AB68)</f>
        <v>7735284</v>
      </c>
      <c r="AD68" s="119">
        <f t="shared" si="9"/>
        <v>11633659</v>
      </c>
      <c r="AE68" s="122" t="str">
        <f t="shared" si="5"/>
        <v>ok</v>
      </c>
      <c r="AF68" s="120">
        <f>'West Feliciana'!I49</f>
        <v>11633659</v>
      </c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</row>
    <row r="69" spans="1:150" ht="15.6">
      <c r="A69" s="57"/>
      <c r="B69" s="3" t="s">
        <v>743</v>
      </c>
      <c r="C69" s="60">
        <v>0</v>
      </c>
      <c r="D69" s="60">
        <v>0</v>
      </c>
      <c r="E69" s="60">
        <v>0</v>
      </c>
      <c r="F69" s="60">
        <v>0</v>
      </c>
      <c r="G69" s="60">
        <f>'West Baton Rouge'!G14</f>
        <v>0</v>
      </c>
      <c r="H69" s="60">
        <v>0</v>
      </c>
      <c r="I69" s="60">
        <f>SUM(C69:H69)</f>
        <v>0</v>
      </c>
      <c r="J69" s="130" t="str">
        <f t="shared" si="1"/>
        <v>ok</v>
      </c>
      <c r="K69" s="59">
        <v>0</v>
      </c>
      <c r="L69" s="61"/>
      <c r="M69" s="60">
        <v>0</v>
      </c>
      <c r="N69" s="60">
        <v>0</v>
      </c>
      <c r="O69" s="60">
        <v>0</v>
      </c>
      <c r="P69" s="60">
        <v>0</v>
      </c>
      <c r="Q69" s="60">
        <v>0</v>
      </c>
      <c r="R69" s="60">
        <v>0</v>
      </c>
      <c r="S69" s="60">
        <v>0</v>
      </c>
      <c r="T69" s="60">
        <v>0</v>
      </c>
      <c r="U69" s="60">
        <f t="shared" si="42"/>
        <v>0</v>
      </c>
      <c r="V69" s="122" t="str">
        <f t="shared" si="3"/>
        <v>ok</v>
      </c>
      <c r="W69" s="59">
        <v>0</v>
      </c>
      <c r="X69" s="61"/>
      <c r="Y69" s="61"/>
      <c r="Z69" s="60">
        <v>0</v>
      </c>
      <c r="AA69" s="60">
        <v>0</v>
      </c>
      <c r="AB69" s="60">
        <v>0</v>
      </c>
      <c r="AC69" s="60">
        <v>0</v>
      </c>
      <c r="AD69" s="60">
        <f t="shared" si="9"/>
        <v>0</v>
      </c>
      <c r="AE69" s="122" t="str">
        <f t="shared" si="5"/>
        <v>ok</v>
      </c>
      <c r="AF69" s="59">
        <v>0</v>
      </c>
    </row>
    <row r="70" spans="1:150" ht="15.6">
      <c r="A70" s="57"/>
      <c r="J70"/>
      <c r="AG70" s="62"/>
    </row>
    <row r="71" spans="1:150" s="3" customFormat="1" ht="15.6">
      <c r="A71" s="63"/>
      <c r="B71" s="64" t="s">
        <v>744</v>
      </c>
      <c r="C71" s="65">
        <f t="shared" ref="C71:H71" si="51">SUM(C8:C8)</f>
        <v>3686409</v>
      </c>
      <c r="D71" s="65">
        <f t="shared" si="51"/>
        <v>4127466</v>
      </c>
      <c r="E71" s="65">
        <f t="shared" si="51"/>
        <v>211156</v>
      </c>
      <c r="F71" s="65">
        <f t="shared" si="51"/>
        <v>10893288</v>
      </c>
      <c r="G71" s="65">
        <f t="shared" si="51"/>
        <v>104475</v>
      </c>
      <c r="H71" s="65">
        <f t="shared" si="51"/>
        <v>58887</v>
      </c>
      <c r="I71" s="76">
        <f>SUM(I6:I69)</f>
        <v>5026897326</v>
      </c>
      <c r="J71" s="77" t="str">
        <f t="shared" ref="J71" si="52">IF(I71=K71, "ok", "check")</f>
        <v>ok</v>
      </c>
      <c r="K71" s="67">
        <f>SUM(K6:K70)</f>
        <v>5026897326</v>
      </c>
      <c r="L71" s="67"/>
      <c r="M71" s="67">
        <f t="shared" ref="M71:T71" si="53">SUM(M8:M8)</f>
        <v>565558</v>
      </c>
      <c r="N71" s="68">
        <f t="shared" si="53"/>
        <v>0</v>
      </c>
      <c r="O71" s="67">
        <f t="shared" si="53"/>
        <v>0</v>
      </c>
      <c r="P71" s="67">
        <f t="shared" si="53"/>
        <v>0</v>
      </c>
      <c r="Q71" s="67">
        <f t="shared" si="53"/>
        <v>28220</v>
      </c>
      <c r="R71" s="67">
        <f t="shared" si="53"/>
        <v>0</v>
      </c>
      <c r="S71" s="67">
        <f t="shared" si="53"/>
        <v>0</v>
      </c>
      <c r="T71" s="67">
        <f t="shared" si="53"/>
        <v>36464</v>
      </c>
      <c r="U71" s="67">
        <f>SUM(U6:U69)</f>
        <v>2155574862</v>
      </c>
      <c r="V71" s="66" t="str">
        <f>IF(U71=W71, "ok", "check")</f>
        <v>check</v>
      </c>
      <c r="W71" s="67">
        <f>SUM(W6:W69)</f>
        <v>2185634455</v>
      </c>
      <c r="X71" s="67" t="e">
        <f>SUM(#REF!)</f>
        <v>#REF!</v>
      </c>
      <c r="Y71" s="67"/>
      <c r="Z71" s="67">
        <f>SUM(Z8:Z70)</f>
        <v>2318316567</v>
      </c>
      <c r="AA71" s="67">
        <f>SUM(AA8:AA70)</f>
        <v>312263646</v>
      </c>
      <c r="AB71" s="67">
        <f>SUM(AB8:AB70)</f>
        <v>331995130</v>
      </c>
      <c r="AC71" s="67">
        <f>SUM(AC8:AC70)</f>
        <v>2962575343</v>
      </c>
      <c r="AD71" s="67">
        <f>SUM(AD6:AD70)</f>
        <v>5128142980</v>
      </c>
      <c r="AE71" s="66" t="str">
        <f>IF(AD71=AF71, "ok", "check")</f>
        <v>check</v>
      </c>
      <c r="AF71" s="67">
        <f>SUM(AF6:AF69)</f>
        <v>5158202573</v>
      </c>
    </row>
    <row r="72" spans="1:150">
      <c r="J72"/>
    </row>
    <row r="73" spans="1:150">
      <c r="J73"/>
    </row>
    <row r="74" spans="1:150">
      <c r="J74"/>
    </row>
    <row r="75" spans="1:150">
      <c r="J75"/>
    </row>
    <row r="76" spans="1:150">
      <c r="J76"/>
    </row>
    <row r="77" spans="1:150">
      <c r="J77"/>
    </row>
    <row r="78" spans="1:150">
      <c r="J78"/>
    </row>
    <row r="79" spans="1:150">
      <c r="J79"/>
    </row>
    <row r="80" spans="1:150">
      <c r="J80"/>
    </row>
    <row r="81" spans="10:10">
      <c r="J81"/>
    </row>
    <row r="82" spans="10:10">
      <c r="J82"/>
    </row>
    <row r="83" spans="10:10">
      <c r="J83"/>
    </row>
    <row r="84" spans="10:10">
      <c r="J84"/>
    </row>
    <row r="85" spans="10:10">
      <c r="J85"/>
    </row>
    <row r="86" spans="10:10">
      <c r="J86"/>
    </row>
    <row r="87" spans="10:10">
      <c r="J87"/>
    </row>
    <row r="88" spans="10:10">
      <c r="J88"/>
    </row>
    <row r="89" spans="10:10">
      <c r="J89"/>
    </row>
    <row r="90" spans="10:10">
      <c r="J90"/>
    </row>
    <row r="91" spans="10:10">
      <c r="J91"/>
    </row>
    <row r="92" spans="10:10">
      <c r="J92"/>
    </row>
    <row r="93" spans="10:10">
      <c r="J93"/>
    </row>
    <row r="94" spans="10:10">
      <c r="J94"/>
    </row>
    <row r="95" spans="10:10">
      <c r="J95"/>
    </row>
    <row r="96" spans="10:10">
      <c r="J96"/>
    </row>
    <row r="97" spans="10:10">
      <c r="J97"/>
    </row>
    <row r="98" spans="10:10">
      <c r="J98"/>
    </row>
    <row r="99" spans="10:10">
      <c r="J99"/>
    </row>
    <row r="100" spans="10:10">
      <c r="J100"/>
    </row>
    <row r="101" spans="10:10">
      <c r="J101"/>
    </row>
    <row r="102" spans="10:10">
      <c r="J102"/>
    </row>
    <row r="103" spans="10:10">
      <c r="J103"/>
    </row>
    <row r="104" spans="10:10">
      <c r="J104"/>
    </row>
    <row r="105" spans="10:10">
      <c r="J105"/>
    </row>
    <row r="106" spans="10:10">
      <c r="J106"/>
    </row>
    <row r="107" spans="10:10">
      <c r="J107"/>
    </row>
    <row r="108" spans="10:10">
      <c r="J108"/>
    </row>
    <row r="109" spans="10:10">
      <c r="J109"/>
    </row>
    <row r="110" spans="10:10">
      <c r="J110"/>
    </row>
    <row r="111" spans="10:10">
      <c r="J111"/>
    </row>
    <row r="112" spans="10:10">
      <c r="J112"/>
    </row>
    <row r="113" spans="10:10">
      <c r="J113"/>
    </row>
    <row r="114" spans="10:10">
      <c r="J114"/>
    </row>
    <row r="115" spans="10:10">
      <c r="J115"/>
    </row>
    <row r="116" spans="10:10">
      <c r="J116"/>
    </row>
    <row r="117" spans="10:10">
      <c r="J117"/>
    </row>
    <row r="118" spans="10:10">
      <c r="J118"/>
    </row>
    <row r="119" spans="10:10">
      <c r="J119"/>
    </row>
    <row r="120" spans="10:10">
      <c r="J120"/>
    </row>
    <row r="121" spans="10:10">
      <c r="J121"/>
    </row>
    <row r="122" spans="10:10">
      <c r="J122"/>
    </row>
    <row r="123" spans="10:10">
      <c r="J123"/>
    </row>
    <row r="124" spans="10:10">
      <c r="J124"/>
    </row>
    <row r="125" spans="10:10">
      <c r="J125"/>
    </row>
    <row r="126" spans="10:10">
      <c r="J126"/>
    </row>
    <row r="127" spans="10:10">
      <c r="J127"/>
    </row>
    <row r="128" spans="10:10">
      <c r="J128"/>
    </row>
    <row r="129" spans="10:10">
      <c r="J129"/>
    </row>
    <row r="130" spans="10:10">
      <c r="J130"/>
    </row>
    <row r="131" spans="10:10">
      <c r="J131"/>
    </row>
    <row r="132" spans="10:10">
      <c r="J132"/>
    </row>
    <row r="133" spans="10:10">
      <c r="J133"/>
    </row>
    <row r="134" spans="10:10">
      <c r="J134"/>
    </row>
    <row r="135" spans="10:10">
      <c r="J135"/>
    </row>
    <row r="136" spans="10:10">
      <c r="J136"/>
    </row>
    <row r="137" spans="10:10">
      <c r="J137"/>
    </row>
    <row r="138" spans="10:10">
      <c r="J138"/>
    </row>
    <row r="139" spans="10:10">
      <c r="J139"/>
    </row>
    <row r="140" spans="10:10">
      <c r="J140"/>
    </row>
    <row r="141" spans="10:10">
      <c r="J141"/>
    </row>
    <row r="142" spans="10:10">
      <c r="J142"/>
    </row>
    <row r="143" spans="10:10">
      <c r="J143"/>
    </row>
    <row r="144" spans="10:10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/>
    </row>
    <row r="181" spans="10:10">
      <c r="J181"/>
    </row>
    <row r="182" spans="10:10">
      <c r="J182"/>
    </row>
    <row r="183" spans="10:10">
      <c r="J183"/>
    </row>
    <row r="184" spans="10:10">
      <c r="J184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 ht="15"/>
    <row r="315" spans="10:10" ht="15"/>
  </sheetData>
  <mergeCells count="2">
    <mergeCell ref="A3:B3"/>
    <mergeCell ref="A4:B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F70"/>
  <sheetViews>
    <sheetView topLeftCell="A15" workbookViewId="0">
      <selection activeCell="I28" sqref="I28"/>
    </sheetView>
  </sheetViews>
  <sheetFormatPr defaultColWidth="9.140625" defaultRowHeight="14.45"/>
  <cols>
    <col min="1" max="1" width="12.140625" customWidth="1"/>
    <col min="2" max="2" width="19.140625" customWidth="1"/>
    <col min="3" max="3" width="14" customWidth="1"/>
    <col min="4" max="4" width="24.42578125" bestFit="1" customWidth="1"/>
    <col min="5" max="5" width="17.28515625" customWidth="1"/>
    <col min="6" max="6" width="20.28515625" customWidth="1"/>
    <col min="7" max="7" width="11.7109375" customWidth="1"/>
    <col min="8" max="8" width="14.85546875" customWidth="1"/>
    <col min="9" max="9" width="17.85546875" customWidth="1"/>
    <col min="10" max="10" width="32.7109375" customWidth="1"/>
    <col min="11" max="11" width="23.28515625" customWidth="1"/>
    <col min="12" max="12" width="11.7109375" customWidth="1"/>
    <col min="13" max="13" width="17.28515625" customWidth="1"/>
    <col min="14" max="14" width="45.140625" customWidth="1"/>
    <col min="15" max="15" width="24.7109375" customWidth="1"/>
    <col min="16" max="16" width="39.140625" customWidth="1"/>
    <col min="17" max="17" width="11.7109375" style="181" customWidth="1"/>
    <col min="18" max="18" width="25" style="55" customWidth="1"/>
    <col min="19" max="318" width="9.140625" style="182"/>
  </cols>
  <sheetData>
    <row r="1" spans="1:19" ht="15.95" thickBot="1">
      <c r="A1" s="179" t="s">
        <v>657</v>
      </c>
      <c r="B1" s="179"/>
      <c r="C1" s="137"/>
      <c r="D1" s="137"/>
      <c r="E1" s="137"/>
      <c r="F1" s="137"/>
      <c r="I1" s="137"/>
      <c r="J1" s="137"/>
      <c r="K1" s="137"/>
      <c r="N1" s="137"/>
      <c r="O1" s="137"/>
      <c r="P1" s="180"/>
    </row>
    <row r="2" spans="1:19" ht="17.45" thickBot="1">
      <c r="B2" s="21"/>
      <c r="C2" s="183" t="s">
        <v>658</v>
      </c>
      <c r="D2" s="185"/>
      <c r="G2" s="184"/>
      <c r="H2" s="20"/>
      <c r="I2" s="185" t="s">
        <v>659</v>
      </c>
      <c r="L2" s="184"/>
      <c r="M2" s="20"/>
      <c r="N2" s="186" t="s">
        <v>745</v>
      </c>
      <c r="Q2" s="187"/>
      <c r="R2" s="20"/>
    </row>
    <row r="3" spans="1:19" ht="15.95" thickBot="1">
      <c r="A3" s="213" t="s">
        <v>661</v>
      </c>
      <c r="B3" s="214"/>
      <c r="C3" s="188" t="s">
        <v>6</v>
      </c>
      <c r="D3" s="188" t="s">
        <v>751</v>
      </c>
      <c r="E3" s="189" t="s">
        <v>340</v>
      </c>
      <c r="F3" s="190" t="s">
        <v>665</v>
      </c>
      <c r="G3" s="191" t="s">
        <v>666</v>
      </c>
      <c r="H3" s="192" t="s">
        <v>666</v>
      </c>
      <c r="I3" s="188" t="s">
        <v>540</v>
      </c>
      <c r="J3" s="189" t="s">
        <v>752</v>
      </c>
      <c r="K3" s="190" t="s">
        <v>676</v>
      </c>
      <c r="L3" s="191" t="s">
        <v>666</v>
      </c>
      <c r="M3" s="192" t="s">
        <v>666</v>
      </c>
      <c r="N3" s="189"/>
      <c r="O3" s="193" t="s">
        <v>749</v>
      </c>
      <c r="P3" s="194" t="s">
        <v>750</v>
      </c>
      <c r="Q3" s="191" t="s">
        <v>666</v>
      </c>
      <c r="R3" s="192" t="s">
        <v>666</v>
      </c>
    </row>
    <row r="4" spans="1:19" ht="15.6">
      <c r="A4" s="195"/>
      <c r="B4" s="58" t="s">
        <v>679</v>
      </c>
      <c r="G4" s="181"/>
      <c r="H4" s="55"/>
      <c r="L4" s="181"/>
      <c r="M4" s="55"/>
    </row>
    <row r="5" spans="1:19" ht="15.6">
      <c r="A5" s="196"/>
      <c r="B5" s="5" t="s">
        <v>681</v>
      </c>
      <c r="C5" s="60">
        <f>Acadia!H8+Acadia!H9+Acadia!H10+Acadia!H11+Acadia!H12+Acadia!H13+Acadia!H14</f>
        <v>20974296</v>
      </c>
      <c r="D5" s="60">
        <f>C5</f>
        <v>20974296</v>
      </c>
      <c r="E5" s="60">
        <f>Acadia!H16+Acadia!H17</f>
        <v>54470286</v>
      </c>
      <c r="F5" s="60">
        <f>C5+E5</f>
        <v>75444582</v>
      </c>
      <c r="G5" s="197" t="str">
        <f t="shared" ref="G5:G68" si="0">IF(F5=H5, "ok", "check")</f>
        <v>ok</v>
      </c>
      <c r="H5" s="59">
        <f>Acadia!H19</f>
        <v>75444582</v>
      </c>
      <c r="I5" s="60">
        <f>Acadia!H25+Acadia!H26+Acadia!H27+Acadia!H28+Acadia!H29+Acadia!H33+Acadia!H34</f>
        <v>2979243</v>
      </c>
      <c r="J5" s="60">
        <f>Acadia!H36+Acadia!H37+Acadia!H38</f>
        <v>19854858</v>
      </c>
      <c r="K5" s="60">
        <f t="shared" ref="K5:K68" si="1">SUM(I5:J5)</f>
        <v>22834101</v>
      </c>
      <c r="L5" s="197" t="str">
        <f t="shared" ref="L5:L68" si="2">IF(K5=M5, "ok", "check")</f>
        <v>ok</v>
      </c>
      <c r="M5" s="59">
        <f>Acadia!H40</f>
        <v>22834101</v>
      </c>
      <c r="N5" s="60">
        <f>Acadia!H46+Acadia!H48+Acadia!H49+Acadia!H50+Acadia!H51</f>
        <v>52621424</v>
      </c>
      <c r="O5" s="60">
        <f>SUM(N5)</f>
        <v>52621424</v>
      </c>
      <c r="P5" s="60">
        <f t="shared" ref="P5:P68" si="3">SUM(O5,K5)</f>
        <v>75455525</v>
      </c>
      <c r="Q5" s="197" t="str">
        <f t="shared" ref="Q5:Q70" si="4">IF(P5=R5, "ok", "check")</f>
        <v>ok</v>
      </c>
      <c r="R5" s="59">
        <f>Acadia!H55-Acadia!H43</f>
        <v>75455525</v>
      </c>
      <c r="S5" s="198"/>
    </row>
    <row r="6" spans="1:19" ht="15.6">
      <c r="A6" s="195"/>
      <c r="B6" s="5" t="s">
        <v>682</v>
      </c>
      <c r="C6" s="60">
        <f>Allen!G6+Allen!G7+Allen!G8+Allen!G9+Allen!G10</f>
        <v>8056258</v>
      </c>
      <c r="D6" s="60">
        <f>C6-Allen!G9</f>
        <v>8030982</v>
      </c>
      <c r="E6" s="60">
        <f>Allen!G11</f>
        <v>24665755</v>
      </c>
      <c r="F6" s="60">
        <f t="shared" ref="F6:F68" si="5">C6+E6</f>
        <v>32722013</v>
      </c>
      <c r="G6" s="197" t="str">
        <f t="shared" si="0"/>
        <v>ok</v>
      </c>
      <c r="H6" s="59">
        <f>Allen!G13</f>
        <v>32722013</v>
      </c>
      <c r="I6" s="60">
        <f>Allen!G16+Allen!G17+Allen!G18+Allen!G19+Allen!G20</f>
        <v>693062</v>
      </c>
      <c r="J6" s="60">
        <f>Allen!G21+Allen!G22</f>
        <v>1144571</v>
      </c>
      <c r="K6" s="60">
        <f t="shared" si="1"/>
        <v>1837633</v>
      </c>
      <c r="L6" s="197" t="str">
        <f t="shared" si="2"/>
        <v>ok</v>
      </c>
      <c r="M6" s="59">
        <f>Allen!G24</f>
        <v>1837633</v>
      </c>
      <c r="N6" s="60">
        <f>Allen!G27+Allen!G29+Allen!G30+Allen!G31+Allen!G32+Allen!G33+Allen!G34+Allen!G35+Allen!G36+Allen!G37+Allen!G38</f>
        <v>30884380</v>
      </c>
      <c r="O6" s="60">
        <f t="shared" ref="O6:O68" si="6">SUM(N6)</f>
        <v>30884380</v>
      </c>
      <c r="P6" s="60">
        <f t="shared" si="3"/>
        <v>32722013</v>
      </c>
      <c r="Q6" s="197" t="str">
        <f t="shared" si="4"/>
        <v>ok</v>
      </c>
      <c r="R6" s="59">
        <f>Allen!G42</f>
        <v>32722013</v>
      </c>
      <c r="S6" s="198"/>
    </row>
    <row r="7" spans="1:19" ht="15.6">
      <c r="A7" s="195"/>
      <c r="B7" s="5" t="s">
        <v>683</v>
      </c>
      <c r="C7" s="60">
        <f>Ascension!K8+Ascension!K9+Ascension!K10+Ascension!K11+Ascension!K13+Ascension!K14</f>
        <v>182029720</v>
      </c>
      <c r="D7" s="60">
        <f>C7-Ascension!K14</f>
        <v>182007573</v>
      </c>
      <c r="E7" s="60">
        <f>Ascension!K15+Ascension!K16+Ascension!K18+Ascension!K19</f>
        <v>220591435</v>
      </c>
      <c r="F7" s="60">
        <f t="shared" si="5"/>
        <v>402621155</v>
      </c>
      <c r="G7" s="197" t="str">
        <f t="shared" si="0"/>
        <v>ok</v>
      </c>
      <c r="H7" s="59">
        <f>Ascension!K21</f>
        <v>402621155</v>
      </c>
      <c r="I7" s="60">
        <f>Ascension!K29+Ascension!K30+Ascension!K31+Ascension!K32+Ascension!K33+Ascension!K34+Ascension!K36+Ascension!K39</f>
        <v>17714951</v>
      </c>
      <c r="J7" s="60">
        <f>Ascension!K37+Ascension!K40</f>
        <v>81279985</v>
      </c>
      <c r="K7" s="60">
        <f t="shared" si="1"/>
        <v>98994936</v>
      </c>
      <c r="L7" s="197" t="str">
        <f t="shared" si="2"/>
        <v>ok</v>
      </c>
      <c r="M7" s="59">
        <f>Ascension!K42</f>
        <v>98994936</v>
      </c>
      <c r="N7" s="60">
        <f>Ascension!K51+Ascension!K53+Ascension!K54+Ascension!K55+Ascension!K57</f>
        <v>303271997</v>
      </c>
      <c r="O7" s="60">
        <f t="shared" si="6"/>
        <v>303271997</v>
      </c>
      <c r="P7" s="60">
        <f t="shared" si="3"/>
        <v>402266933</v>
      </c>
      <c r="Q7" s="197" t="str">
        <f t="shared" si="4"/>
        <v>ok</v>
      </c>
      <c r="R7" s="59">
        <f>Ascension!K61-Ascension!K48</f>
        <v>402266933</v>
      </c>
      <c r="S7" s="198"/>
    </row>
    <row r="8" spans="1:19" ht="15.6">
      <c r="A8" s="195"/>
      <c r="B8" s="5" t="s">
        <v>684</v>
      </c>
      <c r="C8" s="60">
        <f>Assumption!H7+Assumption!H8+Assumption!H9+Assumption!H10</f>
        <v>22798438</v>
      </c>
      <c r="D8" s="60">
        <f>C8</f>
        <v>22798438</v>
      </c>
      <c r="E8" s="60">
        <f>Assumption!H11</f>
        <v>43733131</v>
      </c>
      <c r="F8" s="60">
        <f t="shared" si="5"/>
        <v>66531569</v>
      </c>
      <c r="G8" s="197" t="str">
        <f t="shared" si="0"/>
        <v>ok</v>
      </c>
      <c r="H8" s="59">
        <f>Assumption!H13</f>
        <v>66531569</v>
      </c>
      <c r="I8" s="60">
        <f>Assumption!H16+Assumption!H17+Assumption!H18+Assumption!H19+Assumption!H20</f>
        <v>1933617</v>
      </c>
      <c r="J8" s="60">
        <f>0</f>
        <v>0</v>
      </c>
      <c r="K8" s="60">
        <f>SUM(I8:J8)</f>
        <v>1933617</v>
      </c>
      <c r="L8" s="197" t="str">
        <f t="shared" si="2"/>
        <v>ok</v>
      </c>
      <c r="M8" s="59">
        <f>Assumption!H25</f>
        <v>1933617</v>
      </c>
      <c r="N8" s="60">
        <f>Assumption!H28+Assumption!H29</f>
        <v>64597952</v>
      </c>
      <c r="O8" s="60">
        <f t="shared" si="6"/>
        <v>64597952</v>
      </c>
      <c r="P8" s="60">
        <f t="shared" si="3"/>
        <v>66531569</v>
      </c>
      <c r="Q8" s="197" t="str">
        <f t="shared" si="4"/>
        <v>ok</v>
      </c>
      <c r="R8" s="59">
        <f>Assumption!H33</f>
        <v>66531569</v>
      </c>
      <c r="S8" s="198"/>
    </row>
    <row r="9" spans="1:19" ht="15.6">
      <c r="A9" s="195"/>
      <c r="B9" s="5" t="s">
        <v>685</v>
      </c>
      <c r="C9" s="60">
        <f>Avoyelles!H7+Avoyelles!H8+Avoyelles!H9+Avoyelles!H10</f>
        <v>10553604</v>
      </c>
      <c r="D9" s="60">
        <f>C9</f>
        <v>10553604</v>
      </c>
      <c r="E9" s="60">
        <f>Avoyelles!H15+Avoyelles!H16</f>
        <v>5232242</v>
      </c>
      <c r="F9" s="60">
        <f t="shared" si="5"/>
        <v>15785846</v>
      </c>
      <c r="G9" s="197" t="str">
        <f t="shared" si="0"/>
        <v>ok</v>
      </c>
      <c r="H9" s="59">
        <f>Avoyelles!H20</f>
        <v>15785846</v>
      </c>
      <c r="I9" s="60">
        <f>Avoyelles!H24+Avoyelles!H25+Avoyelles!H26+Avoyelles!H27</f>
        <v>694358</v>
      </c>
      <c r="J9" s="60">
        <f>Avoyelles!H32</f>
        <v>66030</v>
      </c>
      <c r="K9" s="60">
        <f t="shared" si="1"/>
        <v>760388</v>
      </c>
      <c r="L9" s="197" t="str">
        <f t="shared" si="2"/>
        <v>ok</v>
      </c>
      <c r="M9" s="59">
        <f>Avoyelles!H36</f>
        <v>760388</v>
      </c>
      <c r="N9" s="60">
        <f>Avoyelles!H39+Avoyelles!H40</f>
        <v>15025458</v>
      </c>
      <c r="O9" s="60">
        <f t="shared" si="6"/>
        <v>15025458</v>
      </c>
      <c r="P9" s="60">
        <f t="shared" si="3"/>
        <v>15785846</v>
      </c>
      <c r="Q9" s="197" t="str">
        <f t="shared" si="4"/>
        <v>ok</v>
      </c>
      <c r="R9" s="59">
        <f>Avoyelles!H44</f>
        <v>15785846</v>
      </c>
      <c r="S9" s="198"/>
    </row>
    <row r="10" spans="1:19" ht="15.6">
      <c r="A10" s="195"/>
      <c r="B10" s="5" t="s">
        <v>686</v>
      </c>
      <c r="C10" s="60">
        <f>Beauregard!G6+Beauregard!G7+Beauregard!G8</f>
        <v>21656930</v>
      </c>
      <c r="D10" s="60">
        <f>C10-Beauregard!G8</f>
        <v>21343127</v>
      </c>
      <c r="E10" s="60">
        <f>Beauregard!G10+Beauregard!G11+Beauregard!G12+Beauregard!G13+Beauregard!G14</f>
        <v>31507158</v>
      </c>
      <c r="F10" s="60">
        <f t="shared" si="5"/>
        <v>53164088</v>
      </c>
      <c r="G10" s="197" t="str">
        <f t="shared" si="0"/>
        <v>ok</v>
      </c>
      <c r="H10" s="59">
        <f>Beauregard!G16</f>
        <v>53164088</v>
      </c>
      <c r="I10" s="60">
        <f>Beauregard!G19+Beauregard!G20+Beauregard!G22</f>
        <v>2635493</v>
      </c>
      <c r="J10" s="60">
        <f>Beauregard!G23</f>
        <v>2722875</v>
      </c>
      <c r="K10" s="60">
        <f t="shared" si="1"/>
        <v>5358368</v>
      </c>
      <c r="L10" s="197" t="str">
        <f t="shared" si="2"/>
        <v>ok</v>
      </c>
      <c r="M10" s="59">
        <f>Beauregard!G25</f>
        <v>5358368</v>
      </c>
      <c r="N10" s="60">
        <f>Beauregard!G28+Beauregard!G30+Beauregard!G31+Beauregard!G32+Beauregard!G33+Beauregard!G34+Beauregard!G35+Beauregard!G36+Beauregard!G37+Beauregard!G38+Beauregard!G39+Beauregard!G40</f>
        <v>47805720</v>
      </c>
      <c r="O10" s="60">
        <f t="shared" si="6"/>
        <v>47805720</v>
      </c>
      <c r="P10" s="60">
        <f t="shared" si="3"/>
        <v>53164088</v>
      </c>
      <c r="Q10" s="197" t="str">
        <f t="shared" si="4"/>
        <v>ok</v>
      </c>
      <c r="R10" s="59">
        <f>Beauregard!G44</f>
        <v>53164088</v>
      </c>
      <c r="S10" s="198"/>
    </row>
    <row r="11" spans="1:19" ht="15.6">
      <c r="A11" s="195"/>
      <c r="B11" s="5" t="s">
        <v>687</v>
      </c>
      <c r="C11" s="60">
        <f>Bienville!G6+Bienville!G7</f>
        <v>22672747</v>
      </c>
      <c r="D11" s="60">
        <f>C11</f>
        <v>22672747</v>
      </c>
      <c r="E11" s="60">
        <f>Bienville!G8</f>
        <v>22814176</v>
      </c>
      <c r="F11" s="60">
        <f t="shared" si="5"/>
        <v>45486923</v>
      </c>
      <c r="G11" s="197" t="str">
        <f t="shared" si="0"/>
        <v>ok</v>
      </c>
      <c r="H11" s="59">
        <f>Bienville!G10</f>
        <v>45486923</v>
      </c>
      <c r="I11" s="60">
        <f>Bienville!G13+Bienville!G14+Bienville!G15+Bienville!G16+Bienville!G17+Bienville!G18+Bienville!G19+Bienville!G20</f>
        <v>12911709</v>
      </c>
      <c r="J11" s="60">
        <f>0</f>
        <v>0</v>
      </c>
      <c r="K11" s="60">
        <f t="shared" si="1"/>
        <v>12911709</v>
      </c>
      <c r="L11" s="197" t="str">
        <f t="shared" si="2"/>
        <v>ok</v>
      </c>
      <c r="M11" s="59">
        <f>Bienville!G22</f>
        <v>12911709</v>
      </c>
      <c r="N11" s="60">
        <f>Bienville!G25+Bienville!G26</f>
        <v>32575214</v>
      </c>
      <c r="O11" s="60">
        <f t="shared" si="6"/>
        <v>32575214</v>
      </c>
      <c r="P11" s="60">
        <f t="shared" si="3"/>
        <v>45486923</v>
      </c>
      <c r="Q11" s="197" t="str">
        <f t="shared" si="4"/>
        <v>ok</v>
      </c>
      <c r="R11" s="59">
        <f>Bienville!G30</f>
        <v>45486923</v>
      </c>
      <c r="S11" s="198"/>
    </row>
    <row r="12" spans="1:19" ht="15.6">
      <c r="A12" s="195"/>
      <c r="B12" s="5" t="s">
        <v>688</v>
      </c>
      <c r="C12" s="60">
        <f>Bossier!J8+Bossier!J9+Bossier!J10+Bossier!J11</f>
        <v>62082098</v>
      </c>
      <c r="D12" s="60">
        <f>C12</f>
        <v>62082098</v>
      </c>
      <c r="E12" s="60">
        <f>Bossier!J13+Bossier!J14</f>
        <v>291765612</v>
      </c>
      <c r="F12" s="60">
        <f t="shared" si="5"/>
        <v>353847710</v>
      </c>
      <c r="G12" s="197" t="str">
        <f t="shared" si="0"/>
        <v>ok</v>
      </c>
      <c r="H12" s="59">
        <f>Bossier!J17</f>
        <v>353847710</v>
      </c>
      <c r="I12" s="60">
        <f>Bossier!J21+Bossier!J23</f>
        <v>3408038</v>
      </c>
      <c r="J12" s="60">
        <f>Bossier!J28+Bossier!J29</f>
        <v>65592045</v>
      </c>
      <c r="K12" s="60">
        <f t="shared" si="1"/>
        <v>69000083</v>
      </c>
      <c r="L12" s="197" t="str">
        <f t="shared" si="2"/>
        <v>ok</v>
      </c>
      <c r="M12" s="59">
        <f>Bossier!J33</f>
        <v>69000083</v>
      </c>
      <c r="N12" s="60">
        <f>Bossier!J36+Bossier!J38+Bossier!J39+Bossier!J40+Bossier!J41+Bossier!J42+Bossier!J43+Bossier!J44+Bossier!J45+Bossier!J46</f>
        <v>284847627</v>
      </c>
      <c r="O12" s="60">
        <f t="shared" si="6"/>
        <v>284847627</v>
      </c>
      <c r="P12" s="60">
        <f t="shared" si="3"/>
        <v>353847710</v>
      </c>
      <c r="Q12" s="197" t="str">
        <f t="shared" si="4"/>
        <v>ok</v>
      </c>
      <c r="R12" s="59">
        <f>Bossier!J50</f>
        <v>353847710</v>
      </c>
      <c r="S12" s="198"/>
    </row>
    <row r="13" spans="1:19" ht="15.6">
      <c r="A13" s="195"/>
      <c r="B13" s="5" t="s">
        <v>689</v>
      </c>
      <c r="C13" s="60">
        <f>Caddo!H7+Caddo!H8+Caddo!H9+Caddo!H10+Caddo!H12+Caddo!H13</f>
        <v>193940181</v>
      </c>
      <c r="D13" s="60">
        <f>C13-Caddo!H12</f>
        <v>193857985</v>
      </c>
      <c r="E13" s="60">
        <f>Caddo!H15+Caddo!H16</f>
        <v>210268925</v>
      </c>
      <c r="F13" s="60">
        <f t="shared" si="5"/>
        <v>404209106</v>
      </c>
      <c r="G13" s="197" t="str">
        <f t="shared" si="0"/>
        <v>ok</v>
      </c>
      <c r="H13" s="59">
        <f>Caddo!H18</f>
        <v>404209106</v>
      </c>
      <c r="I13" s="60">
        <f>Caddo!H26+Caddo!H27+Caddo!H28+Caddo!H29+Caddo!H30+Caddo!H31+Caddo!H32+Caddo!H33+Caddo!H35</f>
        <v>10200612</v>
      </c>
      <c r="J13" s="60">
        <f>Caddo!H36</f>
        <v>40233745</v>
      </c>
      <c r="K13" s="60">
        <f t="shared" si="1"/>
        <v>50434357</v>
      </c>
      <c r="L13" s="197" t="str">
        <f t="shared" si="2"/>
        <v>ok</v>
      </c>
      <c r="M13" s="59">
        <f>Caddo!H38</f>
        <v>50434357</v>
      </c>
      <c r="N13" s="60">
        <f>Caddo!H41+Caddo!H43+Caddo!H44+Caddo!H45+Caddo!H46+Caddo!H47+Caddo!H48+Caddo!H49+Caddo!H50+Caddo!H52</f>
        <v>353774749</v>
      </c>
      <c r="O13" s="60">
        <f t="shared" si="6"/>
        <v>353774749</v>
      </c>
      <c r="P13" s="60">
        <f t="shared" si="3"/>
        <v>404209106</v>
      </c>
      <c r="Q13" s="197" t="str">
        <f t="shared" si="4"/>
        <v>ok</v>
      </c>
      <c r="R13" s="59">
        <f>Caddo!H56</f>
        <v>404209106</v>
      </c>
      <c r="S13" s="198"/>
    </row>
    <row r="14" spans="1:19" ht="15.6">
      <c r="A14" s="195"/>
      <c r="B14" s="5" t="s">
        <v>690</v>
      </c>
      <c r="C14" s="60">
        <f>Calcasieu!J8+Calcasieu!J9+Calcasieu!J10+Calcasieu!J11+Calcasieu!J13+Calcasieu!J15+Calcasieu!J16+Calcasieu!J17+Calcasieu!J18</f>
        <v>318126334</v>
      </c>
      <c r="D14" s="60">
        <f>C14-Calcasieu!J17</f>
        <v>317033633</v>
      </c>
      <c r="E14" s="60">
        <f>Calcasieu!J20+Calcasieu!J21+Calcasieu!J24+Calcasieu!J25</f>
        <v>519904179</v>
      </c>
      <c r="F14" s="60">
        <f t="shared" si="5"/>
        <v>838030513</v>
      </c>
      <c r="G14" s="197" t="str">
        <f t="shared" si="0"/>
        <v>ok</v>
      </c>
      <c r="H14" s="59">
        <f>Calcasieu!J27</f>
        <v>838030513</v>
      </c>
      <c r="I14" s="60">
        <f>Calcasieu!J33+Calcasieu!J34+Calcasieu!J36+Calcasieu!J37+Calcasieu!J38+Calcasieu!J39+Calcasieu!J41</f>
        <v>17160276</v>
      </c>
      <c r="J14" s="60">
        <f>Calcasieu!J42</f>
        <v>6898289</v>
      </c>
      <c r="K14" s="60">
        <f t="shared" si="1"/>
        <v>24058565</v>
      </c>
      <c r="L14" s="197" t="str">
        <f t="shared" si="2"/>
        <v>ok</v>
      </c>
      <c r="M14" s="59">
        <f>Calcasieu!J44</f>
        <v>24058565</v>
      </c>
      <c r="N14" s="60">
        <f>Calcasieu!J50+Calcasieu!J52+Calcasieu!J53+Calcasieu!J54+Calcasieu!J55</f>
        <v>766769843</v>
      </c>
      <c r="O14" s="60">
        <f t="shared" si="6"/>
        <v>766769843</v>
      </c>
      <c r="P14" s="60">
        <f t="shared" si="3"/>
        <v>790828408</v>
      </c>
      <c r="Q14" s="197" t="str">
        <f t="shared" si="4"/>
        <v>ok</v>
      </c>
      <c r="R14" s="59">
        <f>Calcasieu!J59-Calcasieu!J47</f>
        <v>790828408</v>
      </c>
      <c r="S14" s="198"/>
    </row>
    <row r="15" spans="1:19" ht="15.6">
      <c r="A15" s="195"/>
      <c r="B15" s="5" t="s">
        <v>691</v>
      </c>
      <c r="C15" s="60">
        <f>Caldwell!G6+Caldwell!G7</f>
        <v>8460672</v>
      </c>
      <c r="D15" s="60">
        <f>C15</f>
        <v>8460672</v>
      </c>
      <c r="E15" s="60">
        <f>Caldwell!G8</f>
        <v>11719166</v>
      </c>
      <c r="F15" s="60">
        <f t="shared" si="5"/>
        <v>20179838</v>
      </c>
      <c r="G15" s="197" t="str">
        <f t="shared" si="0"/>
        <v>ok</v>
      </c>
      <c r="H15" s="59">
        <f>Caldwell!G10</f>
        <v>20179838</v>
      </c>
      <c r="I15" s="60">
        <f>Caldwell!G13+Caldwell!G14+Caldwell!G15</f>
        <v>329738</v>
      </c>
      <c r="J15" s="60">
        <f>0</f>
        <v>0</v>
      </c>
      <c r="K15" s="60">
        <f t="shared" si="1"/>
        <v>329738</v>
      </c>
      <c r="L15" s="197" t="str">
        <f t="shared" si="2"/>
        <v>ok</v>
      </c>
      <c r="M15" s="59">
        <f>Caldwell!G17</f>
        <v>329738</v>
      </c>
      <c r="N15" s="60">
        <f>Caldwell!G20+Caldwell!G21+Caldwell!G22</f>
        <v>19850100</v>
      </c>
      <c r="O15" s="60">
        <f t="shared" si="6"/>
        <v>19850100</v>
      </c>
      <c r="P15" s="60">
        <f t="shared" si="3"/>
        <v>20179838</v>
      </c>
      <c r="Q15" s="197" t="str">
        <f t="shared" si="4"/>
        <v>ok</v>
      </c>
      <c r="R15" s="59">
        <f>Caldwell!G26</f>
        <v>20179838</v>
      </c>
      <c r="S15" s="198"/>
    </row>
    <row r="16" spans="1:19" ht="15.6">
      <c r="A16" s="195"/>
      <c r="B16" s="5" t="s">
        <v>692</v>
      </c>
      <c r="C16" s="60">
        <f>Cameron!G6+Cameron!G7+Cameron!G8+Cameron!G9</f>
        <v>49951192</v>
      </c>
      <c r="D16" s="60">
        <f>C16-Cameron!G8</f>
        <v>48111637</v>
      </c>
      <c r="E16" s="60">
        <f>Cameron!G10</f>
        <v>111753810</v>
      </c>
      <c r="F16" s="60">
        <f t="shared" si="5"/>
        <v>161705002</v>
      </c>
      <c r="G16" s="197" t="str">
        <f t="shared" si="0"/>
        <v>ok</v>
      </c>
      <c r="H16" s="59">
        <f>Cameron!G12</f>
        <v>161705002</v>
      </c>
      <c r="I16" s="60">
        <f>Cameron!G15+Cameron!G16+Cameron!G17+Cameron!G18+Cameron!G20</f>
        <v>10320601</v>
      </c>
      <c r="J16" s="60">
        <f>Cameron!G21</f>
        <v>5190396</v>
      </c>
      <c r="K16" s="60">
        <f t="shared" si="1"/>
        <v>15510997</v>
      </c>
      <c r="L16" s="197" t="str">
        <f t="shared" si="2"/>
        <v>ok</v>
      </c>
      <c r="M16" s="59">
        <f>Cameron!G23</f>
        <v>15510997</v>
      </c>
      <c r="N16" s="60">
        <f>Cameron!G26+Cameron!G28+Cameron!G29+Cameron!G30+Cameron!G31+Cameron!G32+Cameron!G33</f>
        <v>146194005</v>
      </c>
      <c r="O16" s="60">
        <f t="shared" si="6"/>
        <v>146194005</v>
      </c>
      <c r="P16" s="60">
        <f t="shared" si="3"/>
        <v>161705002</v>
      </c>
      <c r="Q16" s="197" t="str">
        <f t="shared" si="4"/>
        <v>ok</v>
      </c>
      <c r="R16" s="59">
        <f>Cameron!G37</f>
        <v>161705002</v>
      </c>
      <c r="S16" s="198"/>
    </row>
    <row r="17" spans="1:19" ht="15.6">
      <c r="A17" s="195"/>
      <c r="B17" s="5" t="s">
        <v>693</v>
      </c>
      <c r="C17" s="60">
        <f>Catahoula!H7+Catahoula!H8+Catahoula!H9+Catahoula!H10</f>
        <v>3428556</v>
      </c>
      <c r="D17" s="60">
        <f>C17</f>
        <v>3428556</v>
      </c>
      <c r="E17" s="60">
        <f>Catahoula!H11</f>
        <v>5862816</v>
      </c>
      <c r="F17" s="60">
        <f t="shared" si="5"/>
        <v>9291372</v>
      </c>
      <c r="G17" s="197" t="str">
        <f t="shared" si="0"/>
        <v>ok</v>
      </c>
      <c r="H17" s="59">
        <f>Catahoula!H13</f>
        <v>9291372</v>
      </c>
      <c r="I17" s="60">
        <f>Catahoula!H16+Catahoula!H17+Catahoula!H18</f>
        <v>699409</v>
      </c>
      <c r="J17" s="60">
        <f>Catahoula!H19</f>
        <v>51000</v>
      </c>
      <c r="K17" s="60">
        <f t="shared" si="1"/>
        <v>750409</v>
      </c>
      <c r="L17" s="197" t="str">
        <f t="shared" si="2"/>
        <v>ok</v>
      </c>
      <c r="M17" s="59">
        <f>Catahoula!H21</f>
        <v>750409</v>
      </c>
      <c r="N17" s="60">
        <f>Catahoula!H27+Catahoula!H28</f>
        <v>8526186</v>
      </c>
      <c r="O17" s="60">
        <f t="shared" si="6"/>
        <v>8526186</v>
      </c>
      <c r="P17" s="60">
        <f t="shared" si="3"/>
        <v>9276595</v>
      </c>
      <c r="Q17" s="197" t="str">
        <f t="shared" si="4"/>
        <v>ok</v>
      </c>
      <c r="R17" s="59">
        <f>Catahoula!H32-Catahoula!H24</f>
        <v>9276595</v>
      </c>
      <c r="S17" s="198"/>
    </row>
    <row r="18" spans="1:19" ht="15.6">
      <c r="A18" s="195"/>
      <c r="B18" s="5" t="s">
        <v>694</v>
      </c>
      <c r="C18" s="60">
        <f>Claiborne!G6+Claiborne!G7+Claiborne!G8+Claiborne!G9</f>
        <v>10903683</v>
      </c>
      <c r="D18" s="60">
        <f>C18</f>
        <v>10903683</v>
      </c>
      <c r="E18" s="60">
        <f>Claiborne!G10</f>
        <v>7059807</v>
      </c>
      <c r="F18" s="60">
        <f t="shared" si="5"/>
        <v>17963490</v>
      </c>
      <c r="G18" s="197" t="str">
        <f t="shared" si="0"/>
        <v>ok</v>
      </c>
      <c r="H18" s="59">
        <f>Claiborne!G12</f>
        <v>17963490</v>
      </c>
      <c r="I18" s="60">
        <f>Claiborne!G15+Claiborne!G16+Claiborne!G17+Claiborne!G18+Claiborne!G19</f>
        <v>881337</v>
      </c>
      <c r="J18" s="60">
        <f>Claiborne!G20</f>
        <v>1700000</v>
      </c>
      <c r="K18" s="60">
        <f t="shared" si="1"/>
        <v>2581337</v>
      </c>
      <c r="L18" s="197" t="str">
        <f t="shared" si="2"/>
        <v>ok</v>
      </c>
      <c r="M18" s="59">
        <f>Claiborne!G22</f>
        <v>2581337</v>
      </c>
      <c r="N18" s="60">
        <f>Claiborne!G25+Claiborne!G27+Claiborne!G28+Claiborne!G29+Claiborne!G30+Claiborne!G31+Claiborne!G32+Claiborne!G33</f>
        <v>15382153</v>
      </c>
      <c r="O18" s="60">
        <f t="shared" si="6"/>
        <v>15382153</v>
      </c>
      <c r="P18" s="60">
        <f t="shared" si="3"/>
        <v>17963490</v>
      </c>
      <c r="Q18" s="197" t="str">
        <f t="shared" si="4"/>
        <v>ok</v>
      </c>
      <c r="R18" s="59">
        <f>Claiborne!G37</f>
        <v>17963490</v>
      </c>
      <c r="S18" s="198"/>
    </row>
    <row r="19" spans="1:19" ht="15.6">
      <c r="A19" s="195"/>
      <c r="B19" s="5" t="s">
        <v>695</v>
      </c>
      <c r="C19" s="60">
        <f>Concordia!G6+Concordia!G7+Concordia!G8+Concordia!G9</f>
        <v>10177446</v>
      </c>
      <c r="D19" s="60">
        <f>C19</f>
        <v>10177446</v>
      </c>
      <c r="E19" s="60">
        <f>Concordia!G10</f>
        <v>10920531</v>
      </c>
      <c r="F19" s="60">
        <f t="shared" si="5"/>
        <v>21097977</v>
      </c>
      <c r="G19" s="197" t="str">
        <f t="shared" si="0"/>
        <v>ok</v>
      </c>
      <c r="H19" s="59">
        <f>Concordia!G12</f>
        <v>21097977</v>
      </c>
      <c r="I19" s="60">
        <f>Concordia!G16+Concordia!G17+Concordia!G18</f>
        <v>775619</v>
      </c>
      <c r="J19" s="60">
        <f>Concordia!G20</f>
        <v>9404258</v>
      </c>
      <c r="K19" s="60">
        <f t="shared" si="1"/>
        <v>10179877</v>
      </c>
      <c r="L19" s="197" t="str">
        <f t="shared" si="2"/>
        <v>ok</v>
      </c>
      <c r="M19" s="59">
        <f>Concordia!G22</f>
        <v>10179877</v>
      </c>
      <c r="N19" s="60">
        <f>Concordia!G25+Concordia!G27+Concordia!G28+Concordia!G29</f>
        <v>10918100</v>
      </c>
      <c r="O19" s="60">
        <f t="shared" si="6"/>
        <v>10918100</v>
      </c>
      <c r="P19" s="60">
        <f t="shared" si="3"/>
        <v>21097977</v>
      </c>
      <c r="Q19" s="197" t="str">
        <f t="shared" si="4"/>
        <v>ok</v>
      </c>
      <c r="R19" s="59">
        <f>Concordia!G33</f>
        <v>21097977</v>
      </c>
      <c r="S19" s="198"/>
    </row>
    <row r="20" spans="1:19" ht="15.6">
      <c r="A20" s="195"/>
      <c r="B20" s="5" t="s">
        <v>696</v>
      </c>
      <c r="C20" s="60">
        <f>DeSoto!J7+DeSoto!J8+DeSoto!J9+DeSoto!J10+DeSoto!J11</f>
        <v>43322323</v>
      </c>
      <c r="D20" s="60">
        <f>C20-DeSoto!J11</f>
        <v>43282138</v>
      </c>
      <c r="E20" s="60">
        <f>DeSoto!J12</f>
        <v>75381781</v>
      </c>
      <c r="F20" s="60">
        <f t="shared" si="5"/>
        <v>118704104</v>
      </c>
      <c r="G20" s="197" t="str">
        <f t="shared" si="0"/>
        <v>ok</v>
      </c>
      <c r="H20" s="59">
        <f>DeSoto!J14</f>
        <v>118704104</v>
      </c>
      <c r="I20" s="60">
        <f>DeSoto!J17+DeSoto!J18+DeSoto!J19+DeSoto!J20+DeSoto!J21+DeSoto!J22+DeSoto!J23+DeSoto!J25</f>
        <v>6427147</v>
      </c>
      <c r="J20" s="60">
        <f>DeSoto!J26</f>
        <v>5280</v>
      </c>
      <c r="K20" s="60">
        <f t="shared" si="1"/>
        <v>6432427</v>
      </c>
      <c r="L20" s="197" t="str">
        <f t="shared" si="2"/>
        <v>ok</v>
      </c>
      <c r="M20" s="59">
        <f>DeSoto!J28</f>
        <v>6432427</v>
      </c>
      <c r="N20" s="60">
        <f>DeSoto!J31+DeSoto!J33+DeSoto!J34+DeSoto!J35+DeSoto!J36+DeSoto!J37+DeSoto!J38+DeSoto!J39+DeSoto!J40</f>
        <v>112271677</v>
      </c>
      <c r="O20" s="60">
        <f t="shared" si="6"/>
        <v>112271677</v>
      </c>
      <c r="P20" s="60">
        <f t="shared" si="3"/>
        <v>118704104</v>
      </c>
      <c r="Q20" s="197" t="str">
        <f t="shared" si="4"/>
        <v>ok</v>
      </c>
      <c r="R20" s="59">
        <f>DeSoto!J44</f>
        <v>118704104</v>
      </c>
      <c r="S20" s="198"/>
    </row>
    <row r="21" spans="1:19" ht="15.6">
      <c r="A21" s="195"/>
      <c r="B21" s="5" t="s">
        <v>697</v>
      </c>
      <c r="C21" s="60">
        <f>'East Baton Rouge'!J8+'East Baton Rouge'!J9+'East Baton Rouge'!J10+'East Baton Rouge'!J11+'East Baton Rouge'!J12+'East Baton Rouge'!J13+'East Baton Rouge'!J14</f>
        <v>783205237</v>
      </c>
      <c r="D21" s="60">
        <f>C21-'East Baton Rouge'!J14</f>
        <v>782307594</v>
      </c>
      <c r="E21" s="60">
        <f>'East Baton Rouge'!J18+'East Baton Rouge'!J19+'East Baton Rouge'!J20+'East Baton Rouge'!J21+'East Baton Rouge'!J22+'East Baton Rouge'!J24+'East Baton Rouge'!J25</f>
        <v>2910054373</v>
      </c>
      <c r="F21" s="60">
        <f t="shared" si="5"/>
        <v>3693259610</v>
      </c>
      <c r="G21" s="197" t="str">
        <f t="shared" si="0"/>
        <v>ok</v>
      </c>
      <c r="H21" s="59">
        <f>'East Baton Rouge'!J27</f>
        <v>3693259610</v>
      </c>
      <c r="I21" s="60">
        <f>'East Baton Rouge'!J36+'East Baton Rouge'!J37+'East Baton Rouge'!J38+'East Baton Rouge'!J39+'East Baton Rouge'!J40+'East Baton Rouge'!J43</f>
        <v>214805755</v>
      </c>
      <c r="J21" s="60">
        <f>'East Baton Rouge'!J44</f>
        <v>1999523127</v>
      </c>
      <c r="K21" s="60">
        <f t="shared" si="1"/>
        <v>2214328882</v>
      </c>
      <c r="L21" s="197" t="str">
        <f t="shared" si="2"/>
        <v>ok</v>
      </c>
      <c r="M21" s="59">
        <f>'East Baton Rouge'!J46</f>
        <v>2214328882</v>
      </c>
      <c r="N21" s="60">
        <f>'East Baton Rouge'!J52+'East Baton Rouge'!J54+'East Baton Rouge'!J55+'East Baton Rouge'!J56+'East Baton Rouge'!J57+'East Baton Rouge'!J58</f>
        <v>1540160385</v>
      </c>
      <c r="O21" s="60">
        <f t="shared" si="6"/>
        <v>1540160385</v>
      </c>
      <c r="P21" s="60">
        <f t="shared" si="3"/>
        <v>3754489267</v>
      </c>
      <c r="Q21" s="197" t="str">
        <f t="shared" si="4"/>
        <v>ok</v>
      </c>
      <c r="R21" s="59">
        <f>'East Baton Rouge'!J62-'East Baton Rouge'!J49</f>
        <v>3754489267</v>
      </c>
      <c r="S21" s="198"/>
    </row>
    <row r="22" spans="1:19" ht="15.6">
      <c r="A22" s="195"/>
      <c r="B22" s="5" t="s">
        <v>698</v>
      </c>
      <c r="C22" s="60">
        <f>'East Carroll'!J7+'East Carroll'!J8+'East Carroll'!J9+'East Carroll'!J10</f>
        <v>5855344</v>
      </c>
      <c r="D22" s="60">
        <f t="shared" ref="D22:D27" si="7">C22</f>
        <v>5855344</v>
      </c>
      <c r="E22" s="60">
        <f>'East Carroll'!J11+'East Carroll'!J12+'East Carroll'!J13</f>
        <v>5569973</v>
      </c>
      <c r="F22" s="60">
        <f t="shared" si="5"/>
        <v>11425317</v>
      </c>
      <c r="G22" s="197" t="str">
        <f t="shared" si="0"/>
        <v>ok</v>
      </c>
      <c r="H22" s="59">
        <f>'East Carroll'!J15</f>
        <v>11425317</v>
      </c>
      <c r="I22" s="60">
        <f>'East Carroll'!J18+'East Carroll'!J19+'East Carroll'!J20+'East Carroll'!J22</f>
        <v>352337</v>
      </c>
      <c r="J22" s="60">
        <f>'East Carroll'!J23</f>
        <v>423316</v>
      </c>
      <c r="K22" s="60">
        <f t="shared" si="1"/>
        <v>775653</v>
      </c>
      <c r="L22" s="197" t="str">
        <f t="shared" si="2"/>
        <v>ok</v>
      </c>
      <c r="M22" s="59">
        <f>'East Carroll'!J25</f>
        <v>775653</v>
      </c>
      <c r="N22" s="60">
        <f>'East Carroll'!J28+'East Carroll'!J30+'East Carroll'!J31+'East Carroll'!J32+'East Carroll'!J33+'East Carroll'!J34+'East Carroll'!J35+'East Carroll'!J36+'East Carroll'!J37+'East Carroll'!J38+'East Carroll'!J39+'East Carroll'!J40</f>
        <v>10649664</v>
      </c>
      <c r="O22" s="60">
        <f t="shared" si="6"/>
        <v>10649664</v>
      </c>
      <c r="P22" s="60">
        <f t="shared" si="3"/>
        <v>11425317</v>
      </c>
      <c r="Q22" s="197" t="str">
        <f t="shared" si="4"/>
        <v>ok</v>
      </c>
      <c r="R22" s="59">
        <f>'East Carroll'!J44</f>
        <v>11425317</v>
      </c>
      <c r="S22" s="198"/>
    </row>
    <row r="23" spans="1:19" ht="15.6">
      <c r="A23" s="195"/>
      <c r="B23" s="5" t="s">
        <v>699</v>
      </c>
      <c r="C23" s="60">
        <f>'East Feliciana'!G6+'East Feliciana'!G7+'East Feliciana'!G8+'East Feliciana'!G9</f>
        <v>8072306.8399999989</v>
      </c>
      <c r="D23" s="60">
        <f t="shared" si="7"/>
        <v>8072306.8399999989</v>
      </c>
      <c r="E23" s="60">
        <f>'East Feliciana'!G10</f>
        <v>8313076.6100000003</v>
      </c>
      <c r="F23" s="60">
        <f t="shared" si="5"/>
        <v>16385383.449999999</v>
      </c>
      <c r="G23" s="197" t="str">
        <f t="shared" si="0"/>
        <v>ok</v>
      </c>
      <c r="H23" s="59">
        <f>'East Feliciana'!G12</f>
        <v>16385383.449999999</v>
      </c>
      <c r="I23" s="60">
        <f>'East Feliciana'!G15+'East Feliciana'!G16+'East Feliciana'!G17+'East Feliciana'!G18+'East Feliciana'!G19</f>
        <v>1730669.8099999998</v>
      </c>
      <c r="J23" s="60">
        <f>0</f>
        <v>0</v>
      </c>
      <c r="K23" s="60">
        <f t="shared" si="1"/>
        <v>1730669.8099999998</v>
      </c>
      <c r="L23" s="197" t="str">
        <f t="shared" si="2"/>
        <v>ok</v>
      </c>
      <c r="M23" s="59">
        <f>'East Feliciana'!G21</f>
        <v>1730669.8099999998</v>
      </c>
      <c r="N23" s="60">
        <f>'East Feliciana'!G24+'East Feliciana'!G26+'East Feliciana'!G27+'East Feliciana'!G28+'East Feliciana'!G29</f>
        <v>14654713.640000001</v>
      </c>
      <c r="O23" s="60">
        <f t="shared" si="6"/>
        <v>14654713.640000001</v>
      </c>
      <c r="P23" s="60">
        <f t="shared" si="3"/>
        <v>16385383.450000001</v>
      </c>
      <c r="Q23" s="197" t="str">
        <f t="shared" si="4"/>
        <v>ok</v>
      </c>
      <c r="R23" s="59">
        <f>'East Feliciana'!G33</f>
        <v>16385383.450000001</v>
      </c>
      <c r="S23" s="198"/>
    </row>
    <row r="24" spans="1:19" ht="15.6">
      <c r="A24" s="195"/>
      <c r="B24" s="5" t="s">
        <v>700</v>
      </c>
      <c r="C24" s="60">
        <f>Evangeline!J7+Evangeline!J8+Evangeline!J9+Evangeline!J10</f>
        <v>15814559</v>
      </c>
      <c r="D24" s="60">
        <f t="shared" si="7"/>
        <v>15814559</v>
      </c>
      <c r="E24" s="60">
        <f>Evangeline!J12+Evangeline!J13+Evangeline!J14</f>
        <v>53945549</v>
      </c>
      <c r="F24" s="60">
        <f t="shared" si="5"/>
        <v>69760108</v>
      </c>
      <c r="G24" s="197" t="str">
        <f t="shared" si="0"/>
        <v>ok</v>
      </c>
      <c r="H24" s="59">
        <f>Evangeline!J16</f>
        <v>69760108</v>
      </c>
      <c r="I24" s="60">
        <f>Evangeline!J19+Evangeline!J20+Evangeline!J21+Evangeline!J22+Evangeline!J23+Evangeline!J26+Evangeline!J27+Evangeline!J28</f>
        <v>1223838</v>
      </c>
      <c r="J24" s="60">
        <f>Evangeline!J30+Evangeline!J31+Evangeline!J32+Evangeline!J33</f>
        <v>32038262</v>
      </c>
      <c r="K24" s="60">
        <f t="shared" si="1"/>
        <v>33262100</v>
      </c>
      <c r="L24" s="197" t="str">
        <f t="shared" si="2"/>
        <v>ok</v>
      </c>
      <c r="M24" s="59">
        <f>Evangeline!J35</f>
        <v>33262100</v>
      </c>
      <c r="N24" s="60">
        <f>Evangeline!J41+Evangeline!J42+Evangeline!J43+Evangeline!J44</f>
        <v>36226675</v>
      </c>
      <c r="O24" s="60">
        <f t="shared" si="6"/>
        <v>36226675</v>
      </c>
      <c r="P24" s="60">
        <f t="shared" si="3"/>
        <v>69488775</v>
      </c>
      <c r="Q24" s="197" t="str">
        <f t="shared" si="4"/>
        <v>ok</v>
      </c>
      <c r="R24" s="59">
        <f>Evangeline!J48-Evangeline!J38</f>
        <v>69488775</v>
      </c>
      <c r="S24" s="198"/>
    </row>
    <row r="25" spans="1:19" ht="15.6">
      <c r="A25" s="195"/>
      <c r="B25" s="5" t="s">
        <v>701</v>
      </c>
      <c r="C25" s="60">
        <f>Franklin!G6+Franklin!G7+Franklin!G8</f>
        <v>10933650</v>
      </c>
      <c r="D25" s="60">
        <f t="shared" si="7"/>
        <v>10933650</v>
      </c>
      <c r="E25" s="60">
        <f>Franklin!G9</f>
        <v>17836416</v>
      </c>
      <c r="F25" s="60">
        <f t="shared" si="5"/>
        <v>28770066</v>
      </c>
      <c r="G25" s="197" t="str">
        <f t="shared" si="0"/>
        <v>ok</v>
      </c>
      <c r="H25" s="59">
        <f>Franklin!G11</f>
        <v>28770066</v>
      </c>
      <c r="I25" s="60">
        <f>Franklin!G14+Franklin!G15+Franklin!G16+Franklin!G17+Franklin!G18+Franklin!G19</f>
        <v>1987866</v>
      </c>
      <c r="J25" s="60">
        <f>0</f>
        <v>0</v>
      </c>
      <c r="K25" s="60">
        <f t="shared" si="1"/>
        <v>1987866</v>
      </c>
      <c r="L25" s="197" t="str">
        <f t="shared" si="2"/>
        <v>ok</v>
      </c>
      <c r="M25" s="59">
        <f>Franklin!G21</f>
        <v>1987866</v>
      </c>
      <c r="N25" s="60">
        <f>Franklin!G24+Franklin!G25</f>
        <v>26782200</v>
      </c>
      <c r="O25" s="60">
        <f t="shared" si="6"/>
        <v>26782200</v>
      </c>
      <c r="P25" s="60">
        <f t="shared" si="3"/>
        <v>28770066</v>
      </c>
      <c r="Q25" s="197" t="str">
        <f t="shared" si="4"/>
        <v>ok</v>
      </c>
      <c r="R25" s="59">
        <f>Franklin!G29</f>
        <v>28770066</v>
      </c>
      <c r="S25" s="198"/>
    </row>
    <row r="26" spans="1:19" ht="15.6">
      <c r="A26" s="195"/>
      <c r="B26" s="5" t="s">
        <v>405</v>
      </c>
      <c r="C26" s="60">
        <f>Grant!J7+Grant!J8</f>
        <v>3637088</v>
      </c>
      <c r="D26" s="60">
        <f t="shared" si="7"/>
        <v>3637088</v>
      </c>
      <c r="E26" s="60">
        <f>Grant!J11+Grant!J12+Grant!J13</f>
        <v>6440672</v>
      </c>
      <c r="F26" s="60">
        <f t="shared" si="5"/>
        <v>10077760</v>
      </c>
      <c r="G26" s="197" t="str">
        <f t="shared" si="0"/>
        <v>ok</v>
      </c>
      <c r="H26" s="59">
        <f>Grant!J15</f>
        <v>10077760</v>
      </c>
      <c r="I26" s="60">
        <f>Grant!J18+Grant!J19+Grant!J20+Grant!J22+Grant!J24</f>
        <v>634995</v>
      </c>
      <c r="J26" s="60">
        <f>Grant!J25</f>
        <v>339716</v>
      </c>
      <c r="K26" s="60">
        <f t="shared" si="1"/>
        <v>974711</v>
      </c>
      <c r="L26" s="197" t="str">
        <f t="shared" si="2"/>
        <v>ok</v>
      </c>
      <c r="M26" s="59">
        <f>Grant!J27</f>
        <v>974711</v>
      </c>
      <c r="N26" s="60">
        <f>Grant!J30+Grant!J32+Grant!J33+Grant!J34+Grant!J35</f>
        <v>9103049</v>
      </c>
      <c r="O26" s="60">
        <f t="shared" si="6"/>
        <v>9103049</v>
      </c>
      <c r="P26" s="60">
        <f t="shared" si="3"/>
        <v>10077760</v>
      </c>
      <c r="Q26" s="197" t="str">
        <f t="shared" si="4"/>
        <v>ok</v>
      </c>
      <c r="R26" s="59">
        <f>Grant!J39</f>
        <v>10077760</v>
      </c>
      <c r="S26" s="198"/>
    </row>
    <row r="27" spans="1:19" ht="15.6">
      <c r="A27" s="195"/>
      <c r="B27" s="5" t="s">
        <v>702</v>
      </c>
      <c r="C27" s="60">
        <f>Iberia!H7+Iberia!H8+Iberia!H9+Iberia!H10+Iberia!H11</f>
        <v>55258444</v>
      </c>
      <c r="D27" s="60">
        <f t="shared" si="7"/>
        <v>55258444</v>
      </c>
      <c r="E27" s="60">
        <f>Iberia!H18+Iberia!H19</f>
        <v>95937263</v>
      </c>
      <c r="F27" s="60">
        <f t="shared" si="5"/>
        <v>151195707</v>
      </c>
      <c r="G27" s="197" t="str">
        <f t="shared" si="0"/>
        <v>ok</v>
      </c>
      <c r="H27" s="59">
        <f>Iberia!H21</f>
        <v>151195707</v>
      </c>
      <c r="I27" s="60">
        <f>Iberia!H24+Iberia!H25+Iberia!H26+Iberia!H27+Iberia!H28+Iberia!H30+Iberia!H32+Iberia!H35</f>
        <v>5231111</v>
      </c>
      <c r="J27" s="60">
        <f>Iberia!H34+Iberia!H36</f>
        <v>12532487</v>
      </c>
      <c r="K27" s="60">
        <f t="shared" si="1"/>
        <v>17763598</v>
      </c>
      <c r="L27" s="197" t="str">
        <f t="shared" si="2"/>
        <v>ok</v>
      </c>
      <c r="M27" s="59">
        <f>Iberia!H38</f>
        <v>17763598</v>
      </c>
      <c r="N27" s="60">
        <f>Iberia!H41+Iberia!H42+Iberia!H43</f>
        <v>133432109</v>
      </c>
      <c r="O27" s="60">
        <f t="shared" si="6"/>
        <v>133432109</v>
      </c>
      <c r="P27" s="60">
        <f t="shared" si="3"/>
        <v>151195707</v>
      </c>
      <c r="Q27" s="197" t="str">
        <f t="shared" si="4"/>
        <v>ok</v>
      </c>
      <c r="R27" s="59">
        <f>Iberia!H47</f>
        <v>151195707</v>
      </c>
      <c r="S27" s="198"/>
    </row>
    <row r="28" spans="1:19" ht="15.6">
      <c r="A28" s="195"/>
      <c r="B28" s="5" t="s">
        <v>703</v>
      </c>
      <c r="C28" s="60">
        <f>Iberville!J8+Iberville!J9+Iberville!J10+Iberville!J11+Iberville!J12</f>
        <v>29727945</v>
      </c>
      <c r="D28" s="60">
        <f>C28-Iberville!J10</f>
        <v>29595480</v>
      </c>
      <c r="E28" s="60">
        <f>Iberville!J14+Iberville!J16+Iberville!J17+Iberville!J18+Iberville!J19+Iberville!J20</f>
        <v>111644730</v>
      </c>
      <c r="F28" s="60">
        <f t="shared" si="5"/>
        <v>141372675</v>
      </c>
      <c r="G28" s="197" t="str">
        <f t="shared" si="0"/>
        <v>ok</v>
      </c>
      <c r="H28" s="59">
        <f>Iberville!J22</f>
        <v>141372675</v>
      </c>
      <c r="I28" s="60">
        <f>Iberville!J25+Iberville!J29+Iberville!J30+Iberville!J33</f>
        <v>4785324</v>
      </c>
      <c r="J28" s="60">
        <f>Iberville!J32+Iberville!J34</f>
        <v>18288889</v>
      </c>
      <c r="K28" s="60">
        <f t="shared" si="1"/>
        <v>23074213</v>
      </c>
      <c r="L28" s="197" t="str">
        <f t="shared" si="2"/>
        <v>ok</v>
      </c>
      <c r="M28" s="59">
        <f>Iberville!J36</f>
        <v>23074213</v>
      </c>
      <c r="N28" s="60">
        <f>Iberville!J44+Iberville!J46+Iberville!J47+Iberville!J48+Iberville!J49+Iberville!J50+Iberville!J51+Iberville!J52+Iberville!J53</f>
        <v>118298462</v>
      </c>
      <c r="O28" s="60">
        <f t="shared" si="6"/>
        <v>118298462</v>
      </c>
      <c r="P28" s="60">
        <f t="shared" si="3"/>
        <v>141372675</v>
      </c>
      <c r="Q28" s="197" t="str">
        <f t="shared" si="4"/>
        <v>ok</v>
      </c>
      <c r="R28" s="59">
        <f>Iberville!J57</f>
        <v>141372675</v>
      </c>
      <c r="S28" s="198"/>
    </row>
    <row r="29" spans="1:19" ht="15.6">
      <c r="A29" s="195"/>
      <c r="B29" s="5" t="s">
        <v>704</v>
      </c>
      <c r="C29" s="60">
        <f>Jackson!G6+Jackson!G7+Jackson!G8</f>
        <v>14448528</v>
      </c>
      <c r="D29" s="60">
        <f>C29</f>
        <v>14448528</v>
      </c>
      <c r="E29" s="60">
        <f>Jackson!G10+Jackson!G11</f>
        <v>16399628</v>
      </c>
      <c r="F29" s="60">
        <f t="shared" si="5"/>
        <v>30848156</v>
      </c>
      <c r="G29" s="197" t="str">
        <f t="shared" si="0"/>
        <v>ok</v>
      </c>
      <c r="H29" s="59">
        <f>Jackson!G13</f>
        <v>30848156</v>
      </c>
      <c r="I29" s="60">
        <f>Jackson!G16+Jackson!G17+Jackson!G19</f>
        <v>512782</v>
      </c>
      <c r="J29" s="60">
        <f>Jackson!G20</f>
        <v>443412</v>
      </c>
      <c r="K29" s="60">
        <f t="shared" si="1"/>
        <v>956194</v>
      </c>
      <c r="L29" s="197" t="str">
        <f t="shared" si="2"/>
        <v>ok</v>
      </c>
      <c r="M29" s="59">
        <f>Jackson!G22</f>
        <v>956194</v>
      </c>
      <c r="N29" s="60">
        <f>Jackson!G25+Jackson!G27+Jackson!G28+Jackson!G29+Jackson!G30+Jackson!G31+Jackson!G32+Jackson!G33+Jackson!G34+Jackson!G35+Jackson!G36</f>
        <v>29891962</v>
      </c>
      <c r="O29" s="60">
        <f t="shared" si="6"/>
        <v>29891962</v>
      </c>
      <c r="P29" s="60">
        <f t="shared" si="3"/>
        <v>30848156</v>
      </c>
      <c r="Q29" s="197" t="str">
        <f t="shared" si="4"/>
        <v>ok</v>
      </c>
      <c r="R29" s="59">
        <f>Jackson!G40</f>
        <v>30848156</v>
      </c>
      <c r="S29" s="198"/>
    </row>
    <row r="30" spans="1:19" ht="15.6">
      <c r="A30" s="195"/>
      <c r="B30" s="5" t="s">
        <v>705</v>
      </c>
      <c r="C30" s="60">
        <f>Jefferson!J9+Jefferson!J10+Jefferson!J11+Jefferson!J14+Jefferson!J15+Jefferson!J16+Jefferson!J19+Jefferson!J21+Jefferson!J24+Jefferson!J25+Jefferson!J26+Jefferson!J27</f>
        <v>929631000</v>
      </c>
      <c r="D30" s="60">
        <f>C30-Jefferson!J21</f>
        <v>918304000</v>
      </c>
      <c r="E30" s="60">
        <f>Jefferson!J33+Jefferson!J35+Jefferson!J36</f>
        <v>1728597000</v>
      </c>
      <c r="F30" s="60">
        <f t="shared" si="5"/>
        <v>2658228000</v>
      </c>
      <c r="G30" s="197" t="str">
        <f t="shared" si="0"/>
        <v>ok</v>
      </c>
      <c r="H30" s="59">
        <f>Jefferson!J40</f>
        <v>2658228000</v>
      </c>
      <c r="I30" s="60">
        <f>Jefferson!J49+Jefferson!J50+Jefferson!J51+Jefferson!J52+Jefferson!J53+Jefferson!J54+Jefferson!J55+Jefferson!J56+Jefferson!J57+Jefferson!J59+Jefferson!J60+Jefferson!J63</f>
        <v>286537000</v>
      </c>
      <c r="J30" s="85">
        <f>Jefferson!J68+Jefferson!J69</f>
        <v>476610000</v>
      </c>
      <c r="K30" s="60">
        <f t="shared" si="1"/>
        <v>763147000</v>
      </c>
      <c r="L30" s="197" t="str">
        <f t="shared" si="2"/>
        <v>ok</v>
      </c>
      <c r="M30" s="59">
        <f>Jefferson!J73</f>
        <v>763147000</v>
      </c>
      <c r="N30" s="60">
        <f>Jefferson!J76+Jefferson!J78+Jefferson!J79+Jefferson!J80+Jefferson!J81+Jefferson!J82+Jefferson!J83+Jefferson!J84+Jefferson!J85+Jefferson!J86+Jefferson!J87+Jefferson!J88+Jefferson!J89+Jefferson!J90</f>
        <v>1902618000</v>
      </c>
      <c r="O30" s="60">
        <f t="shared" si="6"/>
        <v>1902618000</v>
      </c>
      <c r="P30" s="60">
        <f>SUM(O30,K30)</f>
        <v>2665765000</v>
      </c>
      <c r="Q30" s="197" t="str">
        <f t="shared" si="4"/>
        <v>ok</v>
      </c>
      <c r="R30" s="59">
        <f>Jefferson!J94</f>
        <v>2665765000</v>
      </c>
      <c r="S30" s="198"/>
    </row>
    <row r="31" spans="1:19" ht="15.6">
      <c r="A31" s="195"/>
      <c r="B31" s="5" t="s">
        <v>706</v>
      </c>
      <c r="C31" s="60">
        <f>'Jefferson Davis'!G6+'Jefferson Davis'!G7+'Jefferson Davis'!G8+'Jefferson Davis'!G9</f>
        <v>20674979</v>
      </c>
      <c r="D31" s="60">
        <f>C31</f>
        <v>20674979</v>
      </c>
      <c r="E31" s="60">
        <f>'Jefferson Davis'!G10+'Jefferson Davis'!G11</f>
        <v>36260326</v>
      </c>
      <c r="F31" s="60">
        <f t="shared" si="5"/>
        <v>56935305</v>
      </c>
      <c r="G31" s="197" t="str">
        <f t="shared" si="0"/>
        <v>ok</v>
      </c>
      <c r="H31" s="59">
        <f>'Jefferson Davis'!G13</f>
        <v>56935305</v>
      </c>
      <c r="I31" s="60">
        <f>'Jefferson Davis'!G19+'Jefferson Davis'!G20+'Jefferson Davis'!G21+'Jefferson Davis'!G22+'Jefferson Davis'!G23+'Jefferson Davis'!G24+'Jefferson Davis'!G25+'Jefferson Davis'!G26</f>
        <v>4374112</v>
      </c>
      <c r="J31" s="60">
        <f>'Jefferson Davis'!G27+'Jefferson Davis'!G28</f>
        <v>16315690</v>
      </c>
      <c r="K31" s="60">
        <f t="shared" si="1"/>
        <v>20689802</v>
      </c>
      <c r="L31" s="197" t="str">
        <f t="shared" si="2"/>
        <v>ok</v>
      </c>
      <c r="M31" s="59">
        <f>'Jefferson Davis'!G30</f>
        <v>20689802</v>
      </c>
      <c r="N31" s="60">
        <f>'Jefferson Davis'!G36+'Jefferson Davis'!G38+'Jefferson Davis'!G39+'Jefferson Davis'!G40+'Jefferson Davis'!G41+'Jefferson Davis'!G42+'Jefferson Davis'!G43+'Jefferson Davis'!G44</f>
        <v>36282847</v>
      </c>
      <c r="O31" s="60">
        <f t="shared" si="6"/>
        <v>36282847</v>
      </c>
      <c r="P31" s="60">
        <f t="shared" si="3"/>
        <v>56972649</v>
      </c>
      <c r="Q31" s="197" t="str">
        <f t="shared" si="4"/>
        <v>ok</v>
      </c>
      <c r="R31" s="59">
        <f>'Jefferson Davis'!G48-'Jefferson Davis'!G33</f>
        <v>56972649</v>
      </c>
      <c r="S31" s="198"/>
    </row>
    <row r="32" spans="1:19" ht="15.6">
      <c r="A32" s="195"/>
      <c r="B32" s="5" t="s">
        <v>707</v>
      </c>
      <c r="C32" s="60">
        <f>Lafayette!J8+Lafayette!J9+Lafayette!J10+Lafayette!J11+Lafayette!J13+Lafayette!J14+Lafayette!J17+Lafayette!J18+Lafayette!J20+Lafayette!J21</f>
        <v>393034153</v>
      </c>
      <c r="D32" s="60">
        <f>C32-Lafayette!J20</f>
        <v>360682068</v>
      </c>
      <c r="E32" s="60">
        <f>Lafayette!J24+Lafayette!J25+Lafayette!J26+Lafayette!J27+Lafayette!J28+Lafayette!J30+Lafayette!J31</f>
        <v>1545342635</v>
      </c>
      <c r="F32" s="60">
        <f t="shared" si="5"/>
        <v>1938376788</v>
      </c>
      <c r="G32" s="197" t="str">
        <f t="shared" si="0"/>
        <v>ok</v>
      </c>
      <c r="H32" s="59">
        <f>Lafayette!J33</f>
        <v>1938376788</v>
      </c>
      <c r="I32" s="60">
        <f>Lafayette!J36+Lafayette!J37+Lafayette!J38+Lafayette!J39+Lafayette!J40+Lafayette!J41+Lafayette!J43+Lafayette!J44+Lafayette!J45+Lafayette!J46+Lafayette!J47+Lafayette!J49</f>
        <v>81727799</v>
      </c>
      <c r="J32" s="60">
        <f>Lafayette!J50</f>
        <v>904296819</v>
      </c>
      <c r="K32" s="60">
        <f t="shared" si="1"/>
        <v>986024618</v>
      </c>
      <c r="L32" s="197" t="str">
        <f t="shared" si="2"/>
        <v>ok</v>
      </c>
      <c r="M32" s="59">
        <f>Lafayette!J52</f>
        <v>986024618</v>
      </c>
      <c r="N32" s="60">
        <f>Lafayette!J55+Lafayette!J57+Lafayette!J58+Lafayette!J59+Lafayette!J60</f>
        <v>952352170</v>
      </c>
      <c r="O32" s="60">
        <f t="shared" si="6"/>
        <v>952352170</v>
      </c>
      <c r="P32" s="60">
        <f t="shared" si="3"/>
        <v>1938376788</v>
      </c>
      <c r="Q32" s="197" t="str">
        <f t="shared" si="4"/>
        <v>ok</v>
      </c>
      <c r="R32" s="59">
        <f>Lafayette!J64</f>
        <v>1938376788</v>
      </c>
      <c r="S32" s="198"/>
    </row>
    <row r="33" spans="1:19" ht="15.6">
      <c r="A33" s="195"/>
      <c r="B33" s="5" t="s">
        <v>708</v>
      </c>
      <c r="C33" s="60">
        <f>Lafourche!J7+Lafourche!J8+Lafourche!J9+Lafourche!J10+Lafourche!J11</f>
        <v>84509453</v>
      </c>
      <c r="D33" s="60">
        <f>C33</f>
        <v>84509453</v>
      </c>
      <c r="E33" s="60">
        <f>Lafourche!J13+Lafourche!J14</f>
        <v>86115261</v>
      </c>
      <c r="F33" s="60">
        <f t="shared" si="5"/>
        <v>170624714</v>
      </c>
      <c r="G33" s="197" t="str">
        <f t="shared" si="0"/>
        <v>ok</v>
      </c>
      <c r="H33" s="59">
        <f>Lafourche!J16</f>
        <v>170624714</v>
      </c>
      <c r="I33" s="60">
        <f>Lafourche!J24+Lafourche!J25+Lafourche!J26+Lafourche!J27+Lafourche!J29</f>
        <v>17649626</v>
      </c>
      <c r="J33" s="60">
        <f>Lafourche!J30</f>
        <v>46541145</v>
      </c>
      <c r="K33" s="60">
        <f t="shared" si="1"/>
        <v>64190771</v>
      </c>
      <c r="L33" s="197" t="str">
        <f t="shared" si="2"/>
        <v>ok</v>
      </c>
      <c r="M33" s="59">
        <f>Lafourche!J32</f>
        <v>64190771</v>
      </c>
      <c r="N33" s="60">
        <f>Lafourche!J35+Lafourche!J37+Lafourche!J38+Lafourche!J39</f>
        <v>107511822</v>
      </c>
      <c r="O33" s="60">
        <f t="shared" si="6"/>
        <v>107511822</v>
      </c>
      <c r="P33" s="60">
        <f t="shared" si="3"/>
        <v>171702593</v>
      </c>
      <c r="Q33" s="197" t="str">
        <f t="shared" si="4"/>
        <v>ok</v>
      </c>
      <c r="R33" s="59">
        <f>Lafourche!J43</f>
        <v>171702593</v>
      </c>
      <c r="S33" s="198"/>
    </row>
    <row r="34" spans="1:19" ht="15.6">
      <c r="A34" s="195"/>
      <c r="B34" s="5" t="s">
        <v>709</v>
      </c>
      <c r="C34" s="60">
        <f>LaSalle!G6+LaSalle!G7+LaSalle!G8</f>
        <v>5879080</v>
      </c>
      <c r="D34" s="60">
        <f>C34</f>
        <v>5879080</v>
      </c>
      <c r="E34" s="60">
        <f>LaSalle!G9</f>
        <v>5846162</v>
      </c>
      <c r="F34" s="60">
        <f t="shared" si="5"/>
        <v>11725242</v>
      </c>
      <c r="G34" s="197" t="str">
        <f t="shared" si="0"/>
        <v>ok</v>
      </c>
      <c r="H34" s="59">
        <f>LaSalle!G11</f>
        <v>11725242</v>
      </c>
      <c r="I34" s="60">
        <f>LaSalle!G14+LaSalle!G15+LaSalle!G16+LaSalle!G17+LaSalle!G19</f>
        <v>819968</v>
      </c>
      <c r="J34" s="60">
        <f>LaSalle!G20</f>
        <v>125749</v>
      </c>
      <c r="K34" s="60">
        <f t="shared" si="1"/>
        <v>945717</v>
      </c>
      <c r="L34" s="197" t="str">
        <f t="shared" si="2"/>
        <v>ok</v>
      </c>
      <c r="M34" s="59">
        <f>LaSalle!G22</f>
        <v>945717</v>
      </c>
      <c r="N34" s="60">
        <f>LaSalle!G25+LaSalle!G26</f>
        <v>10779525</v>
      </c>
      <c r="O34" s="60">
        <f t="shared" si="6"/>
        <v>10779525</v>
      </c>
      <c r="P34" s="60">
        <f t="shared" si="3"/>
        <v>11725242</v>
      </c>
      <c r="Q34" s="197" t="str">
        <f t="shared" si="4"/>
        <v>ok</v>
      </c>
      <c r="R34" s="59">
        <f>LaSalle!G30</f>
        <v>11725242</v>
      </c>
      <c r="S34" s="198"/>
    </row>
    <row r="35" spans="1:19" ht="15.6">
      <c r="A35" s="195"/>
      <c r="B35" s="5" t="s">
        <v>710</v>
      </c>
      <c r="C35" s="60">
        <f>Lincoln!G6+Lincoln!G7+Lincoln!G8+Lincoln!G9+Lincoln!G10</f>
        <v>39654160</v>
      </c>
      <c r="D35" s="60">
        <f>C35-Lincoln!G10</f>
        <v>39642578</v>
      </c>
      <c r="E35" s="60">
        <f>Lincoln!G12+Lincoln!G13</f>
        <v>23870185</v>
      </c>
      <c r="F35" s="60">
        <f t="shared" si="5"/>
        <v>63524345</v>
      </c>
      <c r="G35" s="197" t="str">
        <f t="shared" si="0"/>
        <v>ok</v>
      </c>
      <c r="H35" s="59">
        <f>Lincoln!G15</f>
        <v>63524345</v>
      </c>
      <c r="I35" s="60">
        <f>Lincoln!G21+Lincoln!G22+Lincoln!G25</f>
        <v>3168483</v>
      </c>
      <c r="J35" s="60">
        <f>Lincoln!G27+Lincoln!G28+Lincoln!G30</f>
        <v>5195733</v>
      </c>
      <c r="K35" s="60">
        <f t="shared" si="1"/>
        <v>8364216</v>
      </c>
      <c r="L35" s="197" t="str">
        <f t="shared" si="2"/>
        <v>ok</v>
      </c>
      <c r="M35" s="59">
        <f>Lincoln!G32</f>
        <v>8364216</v>
      </c>
      <c r="N35" s="60">
        <f>Lincoln!G35+Lincoln!G37+Lincoln!G38+Lincoln!G39</f>
        <v>55163137</v>
      </c>
      <c r="O35" s="60">
        <f t="shared" si="6"/>
        <v>55163137</v>
      </c>
      <c r="P35" s="60">
        <f t="shared" si="3"/>
        <v>63527353</v>
      </c>
      <c r="Q35" s="197" t="str">
        <f t="shared" si="4"/>
        <v>ok</v>
      </c>
      <c r="R35" s="59">
        <f>Lincoln!G43</f>
        <v>63527353</v>
      </c>
      <c r="S35" s="198"/>
    </row>
    <row r="36" spans="1:19" ht="15.6">
      <c r="A36" s="195"/>
      <c r="B36" s="5" t="s">
        <v>753</v>
      </c>
      <c r="C36" s="60">
        <f>Livingston!J8+Livingston!J9+Livingston!J10+Livingston!J11+Livingston!J13+Livingston!J14+Livingston!J15+Livingston!J16</f>
        <v>24442789</v>
      </c>
      <c r="D36" s="60">
        <f>C36-Livingston!J11</f>
        <v>24256185</v>
      </c>
      <c r="E36" s="60">
        <f>Livingston!J18+Livingston!J19+Livingston!J21+Livingston!J22</f>
        <v>167550460</v>
      </c>
      <c r="F36" s="60">
        <f t="shared" si="5"/>
        <v>191993249</v>
      </c>
      <c r="G36" s="197" t="str">
        <f t="shared" si="0"/>
        <v>ok</v>
      </c>
      <c r="H36" s="59">
        <f>Livingston!J24</f>
        <v>191993249</v>
      </c>
      <c r="I36" s="60">
        <f>Livingston!J32+Livingston!J33+Livingston!J34+Livingston!J35+Livingston!J36+Livingston!J38</f>
        <v>14963909</v>
      </c>
      <c r="J36" s="60">
        <f>Livingston!J39</f>
        <v>83342943</v>
      </c>
      <c r="K36" s="60">
        <f t="shared" si="1"/>
        <v>98306852</v>
      </c>
      <c r="L36" s="197" t="str">
        <f t="shared" si="2"/>
        <v>ok</v>
      </c>
      <c r="M36" s="59">
        <f>Livingston!J41</f>
        <v>98306852</v>
      </c>
      <c r="N36" s="60">
        <f>Livingston!J44+Livingston!J46+Livingston!J47+Livingston!J48+Livingston!J49+Livingston!J50</f>
        <v>94063728</v>
      </c>
      <c r="O36" s="60">
        <f t="shared" si="6"/>
        <v>94063728</v>
      </c>
      <c r="P36" s="60">
        <f t="shared" si="3"/>
        <v>192370580</v>
      </c>
      <c r="Q36" s="197" t="str">
        <f t="shared" si="4"/>
        <v>ok</v>
      </c>
      <c r="R36" s="59">
        <f>Livingston!J54</f>
        <v>192370580</v>
      </c>
      <c r="S36" s="198"/>
    </row>
    <row r="37" spans="1:19" ht="15.6">
      <c r="A37" s="196"/>
      <c r="B37" s="5" t="s">
        <v>712</v>
      </c>
      <c r="C37" s="60">
        <f>Madison!G6+Madison!G7+Madison!G8</f>
        <v>13125005</v>
      </c>
      <c r="D37" s="60">
        <f>C37</f>
        <v>13125005</v>
      </c>
      <c r="E37" s="60">
        <f>Madison!G9</f>
        <v>8177367</v>
      </c>
      <c r="F37" s="60">
        <f t="shared" si="5"/>
        <v>21302372</v>
      </c>
      <c r="G37" s="197" t="str">
        <f t="shared" si="0"/>
        <v>ok</v>
      </c>
      <c r="H37" s="59">
        <f>Madison!G11</f>
        <v>21302372</v>
      </c>
      <c r="I37" s="60">
        <f>Madison!G14+Madison!G16</f>
        <v>311928</v>
      </c>
      <c r="J37" s="60">
        <f>Madison!G17</f>
        <v>514428</v>
      </c>
      <c r="K37" s="60">
        <f t="shared" si="1"/>
        <v>826356</v>
      </c>
      <c r="L37" s="197" t="str">
        <f t="shared" si="2"/>
        <v>ok</v>
      </c>
      <c r="M37" s="59">
        <f>Madison!G19</f>
        <v>826356</v>
      </c>
      <c r="N37" s="60">
        <f>Madison!G22+Madison!G24+Madison!G25+Madison!G26+Madison!G27+Madison!G28+Madison!G29+Madison!G30</f>
        <v>20476016</v>
      </c>
      <c r="O37" s="60">
        <f t="shared" si="6"/>
        <v>20476016</v>
      </c>
      <c r="P37" s="60">
        <f t="shared" si="3"/>
        <v>21302372</v>
      </c>
      <c r="Q37" s="197" t="str">
        <f t="shared" si="4"/>
        <v>ok</v>
      </c>
      <c r="R37" s="59">
        <f>Madison!G34</f>
        <v>21302372</v>
      </c>
    </row>
    <row r="38" spans="1:19" ht="15.6">
      <c r="A38" s="195"/>
      <c r="B38" s="5" t="s">
        <v>713</v>
      </c>
      <c r="C38" s="60">
        <f>Morehouse!G6+Morehouse!G7+Morehouse!G8</f>
        <v>6719776</v>
      </c>
      <c r="D38" s="60">
        <f>C38</f>
        <v>6719776</v>
      </c>
      <c r="E38" s="60">
        <f>Morehouse!G10+Morehouse!G11</f>
        <v>13644421</v>
      </c>
      <c r="F38" s="60">
        <f t="shared" si="5"/>
        <v>20364197</v>
      </c>
      <c r="G38" s="197" t="str">
        <f t="shared" si="0"/>
        <v>ok</v>
      </c>
      <c r="H38" s="59">
        <f>Morehouse!G13</f>
        <v>20364197</v>
      </c>
      <c r="I38" s="60">
        <f>Morehouse!G16+Morehouse!G17+Morehouse!G18+Morehouse!G20</f>
        <v>2382617</v>
      </c>
      <c r="J38" s="60">
        <f>0</f>
        <v>0</v>
      </c>
      <c r="K38" s="60">
        <f t="shared" si="1"/>
        <v>2382617</v>
      </c>
      <c r="L38" s="197" t="str">
        <f t="shared" si="2"/>
        <v>ok</v>
      </c>
      <c r="M38" s="59">
        <f>Morehouse!G22</f>
        <v>2382617</v>
      </c>
      <c r="N38" s="60">
        <f>Morehouse!G28+Morehouse!G29+Morehouse!G30</f>
        <v>15871012</v>
      </c>
      <c r="O38" s="60">
        <f t="shared" si="6"/>
        <v>15871012</v>
      </c>
      <c r="P38" s="60">
        <f t="shared" si="3"/>
        <v>18253629</v>
      </c>
      <c r="Q38" s="197" t="str">
        <f t="shared" si="4"/>
        <v>ok</v>
      </c>
      <c r="R38" s="59">
        <f>Morehouse!G34-Morehouse!G25</f>
        <v>18253629</v>
      </c>
    </row>
    <row r="39" spans="1:19" ht="15.6">
      <c r="A39" s="195"/>
      <c r="B39" s="5" t="s">
        <v>714</v>
      </c>
      <c r="C39" s="60">
        <f>Natchitoches!H7+Natchitoches!H8</f>
        <v>13273290</v>
      </c>
      <c r="D39" s="60">
        <f>C39</f>
        <v>13273290</v>
      </c>
      <c r="E39" s="60">
        <f>Natchitoches!H13</f>
        <v>10706052</v>
      </c>
      <c r="F39" s="60">
        <f t="shared" si="5"/>
        <v>23979342</v>
      </c>
      <c r="G39" s="197" t="str">
        <f t="shared" si="0"/>
        <v>ok</v>
      </c>
      <c r="H39" s="59">
        <f>Natchitoches!H17</f>
        <v>23979342</v>
      </c>
      <c r="I39" s="60">
        <f>Natchitoches!H21+Natchitoches!H22+Natchitoches!H23+Natchitoches!H24</f>
        <v>1947495</v>
      </c>
      <c r="J39" s="60">
        <f>Natchitoches!H29</f>
        <v>142189</v>
      </c>
      <c r="K39" s="60">
        <f t="shared" si="1"/>
        <v>2089684</v>
      </c>
      <c r="L39" s="197" t="str">
        <f t="shared" si="2"/>
        <v>ok</v>
      </c>
      <c r="M39" s="59">
        <f>Natchitoches!H33</f>
        <v>2089684</v>
      </c>
      <c r="N39" s="60">
        <f>Natchitoches!H36+Natchitoches!H37</f>
        <v>21889658</v>
      </c>
      <c r="O39" s="60">
        <f t="shared" si="6"/>
        <v>21889658</v>
      </c>
      <c r="P39" s="60">
        <f t="shared" si="3"/>
        <v>23979342</v>
      </c>
      <c r="Q39" s="197" t="str">
        <f t="shared" si="4"/>
        <v>ok</v>
      </c>
      <c r="R39" s="59">
        <f>Natchitoches!H41</f>
        <v>23979342</v>
      </c>
    </row>
    <row r="40" spans="1:19" ht="15.6">
      <c r="A40" s="195"/>
      <c r="B40" s="5" t="s">
        <v>715</v>
      </c>
      <c r="C40" s="60">
        <f>Orleans!H7+Orleans!H8+Orleans!H10+Orleans!H11+Orleans!H13+Orleans!H15+Orleans!H16+Orleans!H17</f>
        <v>344434000</v>
      </c>
      <c r="D40" s="60">
        <f>C40</f>
        <v>344434000</v>
      </c>
      <c r="E40" s="60">
        <f>Orleans!H19</f>
        <v>1550110000</v>
      </c>
      <c r="F40" s="60">
        <f t="shared" si="5"/>
        <v>1894544000</v>
      </c>
      <c r="G40" s="197" t="str">
        <f t="shared" si="0"/>
        <v>ok</v>
      </c>
      <c r="H40" s="59">
        <f>Orleans!H21</f>
        <v>1894544000</v>
      </c>
      <c r="I40" s="60">
        <f>Orleans!H29+Orleans!H30+Orleans!H31+Orleans!H32+Orleans!H33+Orleans!H34+Orleans!H35+Orleans!H36+Orleans!H38</f>
        <v>277745000</v>
      </c>
      <c r="J40" s="60">
        <f>Orleans!H39</f>
        <v>1431852000</v>
      </c>
      <c r="K40" s="60">
        <f t="shared" si="1"/>
        <v>1709597000</v>
      </c>
      <c r="L40" s="197" t="str">
        <f t="shared" si="2"/>
        <v>ok</v>
      </c>
      <c r="M40" s="59">
        <f>Orleans!H41</f>
        <v>1709597000</v>
      </c>
      <c r="N40" s="60">
        <f>Orleans!H49+Orleans!H50+Orleans!H51+Orleans!H53</f>
        <v>184802000</v>
      </c>
      <c r="O40" s="60">
        <f t="shared" si="6"/>
        <v>184802000</v>
      </c>
      <c r="P40" s="60">
        <f t="shared" si="3"/>
        <v>1894399000</v>
      </c>
      <c r="Q40" s="197" t="str">
        <f t="shared" si="4"/>
        <v>ok</v>
      </c>
      <c r="R40" s="59">
        <f>Orleans!H57-Orleans!H46</f>
        <v>1894399000</v>
      </c>
    </row>
    <row r="41" spans="1:19" ht="15.6">
      <c r="A41" s="195"/>
      <c r="B41" s="5" t="s">
        <v>716</v>
      </c>
      <c r="C41" s="60">
        <f>Ouachita!H7+Ouachita!H8+Ouachita!H10+Ouachita!H11+Ouachita!H12+Ouachita!H13+Ouachita!H14+Ouachita!H15+Ouachita!H17+Ouachita!H18</f>
        <v>95418191</v>
      </c>
      <c r="D41" s="60">
        <f>C41-Ouachita!H18</f>
        <v>94807869</v>
      </c>
      <c r="E41" s="60">
        <f>Ouachita!H19</f>
        <v>183933719</v>
      </c>
      <c r="F41" s="60">
        <f t="shared" si="5"/>
        <v>279351910</v>
      </c>
      <c r="G41" s="197" t="str">
        <f t="shared" si="0"/>
        <v>ok</v>
      </c>
      <c r="H41" s="59">
        <f>Ouachita!H21</f>
        <v>279351910</v>
      </c>
      <c r="I41" s="60">
        <f>Ouachita!H24+Ouachita!H25+Ouachita!H26+Ouachita!H28</f>
        <v>8801578</v>
      </c>
      <c r="J41" s="60">
        <f>Ouachita!H29+Ouachita!H30</f>
        <v>6320744</v>
      </c>
      <c r="K41" s="60">
        <f t="shared" si="1"/>
        <v>15122322</v>
      </c>
      <c r="L41" s="197" t="str">
        <f t="shared" si="2"/>
        <v>ok</v>
      </c>
      <c r="M41" s="59">
        <f>Ouachita!H32</f>
        <v>15122322</v>
      </c>
      <c r="N41" s="60">
        <f>Ouachita!H35+Ouachita!H37+Ouachita!H38+Ouachita!H39+Ouachita!H40+Ouachita!H41+Ouachita!H42+Ouachita!H43+Ouachita!H44+Ouachita!H45+Ouachita!H46</f>
        <v>264229588</v>
      </c>
      <c r="O41" s="60">
        <f t="shared" si="6"/>
        <v>264229588</v>
      </c>
      <c r="P41" s="60">
        <f t="shared" si="3"/>
        <v>279351910</v>
      </c>
      <c r="Q41" s="197" t="str">
        <f t="shared" si="4"/>
        <v>ok</v>
      </c>
      <c r="R41" s="59">
        <f>Ouachita!H50</f>
        <v>279351910</v>
      </c>
    </row>
    <row r="42" spans="1:19" ht="15.6">
      <c r="A42" s="195"/>
      <c r="B42" s="5" t="s">
        <v>717</v>
      </c>
      <c r="C42" s="60">
        <f>Plaquemines!J7+Plaquemines!J8+Plaquemines!J9+Plaquemines!J11</f>
        <v>234964664</v>
      </c>
      <c r="D42" s="60">
        <f>C42</f>
        <v>234964664</v>
      </c>
      <c r="E42" s="60">
        <f>Plaquemines!J17+Plaquemines!J18</f>
        <v>528654940</v>
      </c>
      <c r="F42" s="60">
        <f t="shared" si="5"/>
        <v>763619604</v>
      </c>
      <c r="G42" s="197" t="str">
        <f t="shared" si="0"/>
        <v>ok</v>
      </c>
      <c r="H42" s="59">
        <f>Plaquemines!J22</f>
        <v>763619604</v>
      </c>
      <c r="I42" s="60">
        <f>Plaquemines!J26+Plaquemines!J27+Plaquemines!J28+Plaquemines!J29+Plaquemines!J30+Plaquemines!J31+Plaquemines!J32+Plaquemines!J33+Plaquemines!J34</f>
        <v>41313940</v>
      </c>
      <c r="J42" s="60">
        <f>Plaquemines!J39+Plaquemines!J40+Plaquemines!J41+Plaquemines!J42+Plaquemines!J43</f>
        <v>154093734</v>
      </c>
      <c r="K42" s="60">
        <f t="shared" si="1"/>
        <v>195407674</v>
      </c>
      <c r="L42" s="197" t="str">
        <f t="shared" si="2"/>
        <v>ok</v>
      </c>
      <c r="M42" s="59">
        <f>Plaquemines!J47</f>
        <v>195407674</v>
      </c>
      <c r="N42" s="60">
        <f>Plaquemines!J50+Plaquemines!J51+Plaquemines!J52</f>
        <v>568211930</v>
      </c>
      <c r="O42" s="60">
        <f t="shared" si="6"/>
        <v>568211930</v>
      </c>
      <c r="P42" s="60">
        <f t="shared" si="3"/>
        <v>763619604</v>
      </c>
      <c r="Q42" s="197" t="str">
        <f t="shared" si="4"/>
        <v>ok</v>
      </c>
      <c r="R42" s="59">
        <f>Plaquemines!J56</f>
        <v>763619604</v>
      </c>
    </row>
    <row r="43" spans="1:19" ht="15.6">
      <c r="A43" s="195"/>
      <c r="B43" s="5" t="s">
        <v>754</v>
      </c>
      <c r="C43" s="60">
        <f>'Pointe Coupee'!H7+'Pointe Coupee'!H8+'Pointe Coupee'!H9+'Pointe Coupee'!H10+'Pointe Coupee'!H11+'Pointe Coupee'!H12+'Pointe Coupee'!H13+'Pointe Coupee'!H14</f>
        <v>8461467</v>
      </c>
      <c r="D43" s="60">
        <f>C43</f>
        <v>8461467</v>
      </c>
      <c r="E43" s="60">
        <f>'Pointe Coupee'!H16+'Pointe Coupee'!H17</f>
        <v>19317523</v>
      </c>
      <c r="F43" s="60">
        <f t="shared" si="5"/>
        <v>27778990</v>
      </c>
      <c r="G43" s="197" t="str">
        <f t="shared" si="0"/>
        <v>ok</v>
      </c>
      <c r="H43" s="59">
        <f>'Pointe Coupee'!H19</f>
        <v>27778990</v>
      </c>
      <c r="I43" s="60">
        <f>'Pointe Coupee'!H22+'Pointe Coupee'!H23+'Pointe Coupee'!H24+'Pointe Coupee'!H26</f>
        <v>3866838</v>
      </c>
      <c r="J43" s="60">
        <f>'Pointe Coupee'!H27</f>
        <v>8388050</v>
      </c>
      <c r="K43" s="60">
        <f t="shared" si="1"/>
        <v>12254888</v>
      </c>
      <c r="L43" s="197" t="str">
        <f t="shared" si="2"/>
        <v>ok</v>
      </c>
      <c r="M43" s="59">
        <f>'Pointe Coupee'!H29</f>
        <v>12254888</v>
      </c>
      <c r="N43" s="60">
        <f>'Pointe Coupee'!H35+'Pointe Coupee'!H37+'Pointe Coupee'!H38+'Pointe Coupee'!H39+'Pointe Coupee'!H40</f>
        <v>15521629</v>
      </c>
      <c r="O43" s="60">
        <f t="shared" si="6"/>
        <v>15521629</v>
      </c>
      <c r="P43" s="60">
        <f t="shared" si="3"/>
        <v>27776517</v>
      </c>
      <c r="Q43" s="197" t="str">
        <f t="shared" si="4"/>
        <v>ok</v>
      </c>
      <c r="R43" s="59">
        <f>'Pointe Coupee'!H44-'Pointe Coupee'!H32</f>
        <v>27776517</v>
      </c>
    </row>
    <row r="44" spans="1:19" ht="15.6">
      <c r="A44" s="195"/>
      <c r="B44" s="5" t="s">
        <v>719</v>
      </c>
      <c r="C44" s="60">
        <f>Rapides!H7+Rapides!H8+Rapides!H9</f>
        <v>72609595</v>
      </c>
      <c r="D44" s="60">
        <f>C44</f>
        <v>72609595</v>
      </c>
      <c r="E44" s="60">
        <f>Rapides!H12+Rapides!H13+Rapides!H15+Rapides!H16+Rapides!H17</f>
        <v>51104167</v>
      </c>
      <c r="F44" s="60">
        <f t="shared" si="5"/>
        <v>123713762</v>
      </c>
      <c r="G44" s="197" t="str">
        <f t="shared" si="0"/>
        <v>ok</v>
      </c>
      <c r="H44" s="59">
        <f>Rapides!H19</f>
        <v>123713762</v>
      </c>
      <c r="I44" s="60">
        <f>Rapides!H22+Rapides!H23+Rapides!H24+Rapides!H26</f>
        <v>5716863</v>
      </c>
      <c r="J44" s="60">
        <f>Rapides!H27</f>
        <v>48762251</v>
      </c>
      <c r="K44" s="60">
        <f t="shared" si="1"/>
        <v>54479114</v>
      </c>
      <c r="L44" s="197" t="str">
        <f t="shared" si="2"/>
        <v>ok</v>
      </c>
      <c r="M44" s="59">
        <f>Rapides!H29</f>
        <v>54479114</v>
      </c>
      <c r="N44" s="60">
        <f>Rapides!H32+Rapides!H33+Rapides!H34</f>
        <v>69234647</v>
      </c>
      <c r="O44" s="60">
        <f t="shared" si="6"/>
        <v>69234647</v>
      </c>
      <c r="P44" s="60">
        <f t="shared" si="3"/>
        <v>123713761</v>
      </c>
      <c r="Q44" s="197" t="str">
        <f t="shared" si="4"/>
        <v>ok</v>
      </c>
      <c r="R44" s="59">
        <f>Rapides!H38</f>
        <v>123713761</v>
      </c>
    </row>
    <row r="45" spans="1:19" ht="15.6">
      <c r="A45" s="195"/>
      <c r="B45" s="5" t="s">
        <v>720</v>
      </c>
      <c r="C45" s="60">
        <f>'Red River'!J7+'Red River'!J8+'Red River'!J9+'Red River'!J10</f>
        <v>35149069</v>
      </c>
      <c r="D45" s="60">
        <f>CST!C45</f>
        <v>35149069</v>
      </c>
      <c r="E45" s="60">
        <f>'Red River'!J15</f>
        <v>14591052</v>
      </c>
      <c r="F45" s="60">
        <f t="shared" si="5"/>
        <v>49740121</v>
      </c>
      <c r="G45" s="197" t="str">
        <f t="shared" si="0"/>
        <v>ok</v>
      </c>
      <c r="H45" s="59">
        <f>'Red River'!J19</f>
        <v>49740121</v>
      </c>
      <c r="I45" s="60">
        <f>'Red River'!J23+'Red River'!J24+'Red River'!J25+'Red River'!J26</f>
        <v>655325</v>
      </c>
      <c r="J45" s="60">
        <f>'Red River'!J31+'Red River'!J32+'Red River'!J33</f>
        <v>895388</v>
      </c>
      <c r="K45" s="60">
        <f t="shared" si="1"/>
        <v>1550713</v>
      </c>
      <c r="L45" s="197" t="str">
        <f t="shared" si="2"/>
        <v>ok</v>
      </c>
      <c r="M45" s="59">
        <f>'Red River'!J37</f>
        <v>1550713</v>
      </c>
      <c r="N45" s="60">
        <f>'Red River'!J40+'Red River'!J42+'Red River'!J43+'Red River'!J44</f>
        <v>48189408</v>
      </c>
      <c r="O45" s="60">
        <f t="shared" si="6"/>
        <v>48189408</v>
      </c>
      <c r="P45" s="60">
        <f t="shared" si="3"/>
        <v>49740121</v>
      </c>
      <c r="Q45" s="197" t="str">
        <f t="shared" si="4"/>
        <v>ok</v>
      </c>
      <c r="R45" s="59">
        <f>'Red River'!J48</f>
        <v>49740121</v>
      </c>
    </row>
    <row r="46" spans="1:19" ht="15.6">
      <c r="A46" s="195"/>
      <c r="B46" s="5" t="s">
        <v>721</v>
      </c>
      <c r="C46" s="60">
        <f>Richland!G6+Richland!G7</f>
        <v>10680928</v>
      </c>
      <c r="D46" s="60">
        <f>C46</f>
        <v>10680928</v>
      </c>
      <c r="E46" s="60">
        <f>Richland!G9+Richland!G10</f>
        <v>2438020</v>
      </c>
      <c r="F46" s="60">
        <f t="shared" si="5"/>
        <v>13118948</v>
      </c>
      <c r="G46" s="197" t="str">
        <f t="shared" si="0"/>
        <v>ok</v>
      </c>
      <c r="H46" s="59">
        <f>Richland!G12</f>
        <v>13118948</v>
      </c>
      <c r="I46" s="60">
        <f>Richland!G15+Richland!G16</f>
        <v>314807</v>
      </c>
      <c r="J46" s="60">
        <f>0</f>
        <v>0</v>
      </c>
      <c r="K46" s="60">
        <f t="shared" si="1"/>
        <v>314807</v>
      </c>
      <c r="L46" s="197" t="str">
        <f t="shared" si="2"/>
        <v>ok</v>
      </c>
      <c r="M46" s="59">
        <f>Richland!G18</f>
        <v>314807</v>
      </c>
      <c r="N46" s="60">
        <f>Richland!G24+Richland!G25+Richland!G26</f>
        <v>10123792</v>
      </c>
      <c r="O46" s="60">
        <f t="shared" si="6"/>
        <v>10123792</v>
      </c>
      <c r="P46" s="60">
        <f t="shared" si="3"/>
        <v>10438599</v>
      </c>
      <c r="Q46" s="197" t="str">
        <f t="shared" si="4"/>
        <v>ok</v>
      </c>
      <c r="R46" s="59">
        <f>Richland!G30-Richland!G21</f>
        <v>10438599</v>
      </c>
    </row>
    <row r="47" spans="1:19" ht="15.6">
      <c r="A47" s="195"/>
      <c r="B47" s="5" t="s">
        <v>722</v>
      </c>
      <c r="C47" s="60">
        <f>Sabine!H7+Sabine!H8</f>
        <v>12847766</v>
      </c>
      <c r="D47" s="60">
        <f>C47</f>
        <v>12847766</v>
      </c>
      <c r="E47" s="60">
        <f>Sabine!H10+Sabine!H11+Sabine!H12+Sabine!H13+Sabine!H14+Sabine!H16+Sabine!H17+Sabine!H18</f>
        <v>12595423</v>
      </c>
      <c r="F47" s="60">
        <f t="shared" si="5"/>
        <v>25443189</v>
      </c>
      <c r="G47" s="197" t="str">
        <f t="shared" si="0"/>
        <v>ok</v>
      </c>
      <c r="H47" s="59">
        <f>Sabine!H20</f>
        <v>25443189</v>
      </c>
      <c r="I47" s="60">
        <f>Sabine!H23+Sabine!H24+Sabine!H26</f>
        <v>1137198</v>
      </c>
      <c r="J47" s="60">
        <f>Sabine!H27</f>
        <v>910569</v>
      </c>
      <c r="K47" s="60">
        <f t="shared" si="1"/>
        <v>2047767</v>
      </c>
      <c r="L47" s="197" t="str">
        <f t="shared" si="2"/>
        <v>ok</v>
      </c>
      <c r="M47" s="59">
        <f>Sabine!H29</f>
        <v>2047767</v>
      </c>
      <c r="N47" s="60">
        <f>Sabine!H32+Sabine!H33</f>
        <v>23395422</v>
      </c>
      <c r="O47" s="60">
        <f t="shared" si="6"/>
        <v>23395422</v>
      </c>
      <c r="P47" s="60">
        <f t="shared" si="3"/>
        <v>25443189</v>
      </c>
      <c r="Q47" s="197" t="str">
        <f t="shared" si="4"/>
        <v>ok</v>
      </c>
      <c r="R47" s="59">
        <f>Sabine!H37</f>
        <v>25443189</v>
      </c>
    </row>
    <row r="48" spans="1:19" ht="15.6">
      <c r="A48" s="195"/>
      <c r="B48" s="5" t="s">
        <v>755</v>
      </c>
      <c r="C48" s="60">
        <f>'St. Bernard'!H7+'St. Bernard'!H8+'St. Bernard'!H9+'St. Bernard'!H11+'St. Bernard'!H12+'St. Bernard'!H13+'St. Bernard'!H14+'St. Bernard'!H15+'St. Bernard'!H16+'St. Bernard'!H17+'St. Bernard'!H19+'St. Bernard'!H20</f>
        <v>80000371</v>
      </c>
      <c r="D48" s="60">
        <f>C48-'St. Bernard'!H20</f>
        <v>79632421</v>
      </c>
      <c r="E48" s="60">
        <f>'St. Bernard'!H21+'St. Bernard'!H22+'St. Bernard'!H23+'St. Bernard'!H24</f>
        <v>605243064</v>
      </c>
      <c r="F48" s="60">
        <f t="shared" si="5"/>
        <v>685243435</v>
      </c>
      <c r="G48" s="197" t="str">
        <f t="shared" si="0"/>
        <v>ok</v>
      </c>
      <c r="H48" s="59">
        <f>'St. Bernard'!H26</f>
        <v>685243435</v>
      </c>
      <c r="I48" s="60">
        <f>'St. Bernard'!H29+'St. Bernard'!H30+'St. Bernard'!H31+'St. Bernard'!H32+'St. Bernard'!H33+'St. Bernard'!H34+'St. Bernard'!H35+'St. Bernard'!H36+'St. Bernard'!H38</f>
        <v>47983131</v>
      </c>
      <c r="J48" s="60">
        <f>'St. Bernard'!H39</f>
        <v>41843099</v>
      </c>
      <c r="K48" s="60">
        <f t="shared" si="1"/>
        <v>89826230</v>
      </c>
      <c r="L48" s="197" t="str">
        <f t="shared" si="2"/>
        <v>ok</v>
      </c>
      <c r="M48" s="59">
        <f>'St. Bernard'!H41</f>
        <v>89826230</v>
      </c>
      <c r="N48" s="60">
        <f>'St. Bernard'!H44+'St. Bernard'!H46+'St. Bernard'!H47+'St. Bernard'!H48+'St. Bernard'!H49</f>
        <v>595417205</v>
      </c>
      <c r="O48" s="60">
        <f t="shared" si="6"/>
        <v>595417205</v>
      </c>
      <c r="P48" s="60">
        <f t="shared" si="3"/>
        <v>685243435</v>
      </c>
      <c r="Q48" s="197" t="str">
        <f t="shared" si="4"/>
        <v>ok</v>
      </c>
      <c r="R48" s="59">
        <f>'St. Bernard'!H53</f>
        <v>685243435</v>
      </c>
    </row>
    <row r="49" spans="1:18" ht="15.6">
      <c r="A49" s="195"/>
      <c r="B49" s="5" t="s">
        <v>756</v>
      </c>
      <c r="C49" s="60">
        <f>'St. Charles'!J7+'St. Charles'!J8+'St. Charles'!J9+'St. Charles'!J10+'St. Charles'!J11+'St. Charles'!J13+'St. Charles'!J14+'St. Charles'!J15</f>
        <v>127902086</v>
      </c>
      <c r="D49" s="60">
        <f>C49-'St. Charles'!J13</f>
        <v>127434428</v>
      </c>
      <c r="E49" s="60">
        <f>'St. Charles'!J17+'St. Charles'!J18+'St. Charles'!J20+'St. Charles'!J21+'St. Charles'!J22+'St. Charles'!J23</f>
        <v>337087440</v>
      </c>
      <c r="F49" s="60">
        <f t="shared" si="5"/>
        <v>464989526</v>
      </c>
      <c r="G49" s="197" t="str">
        <f t="shared" si="0"/>
        <v>ok</v>
      </c>
      <c r="H49" s="59">
        <f>'St. Charles'!J25</f>
        <v>464989526</v>
      </c>
      <c r="I49" s="60">
        <f>'St. Charles'!J29+'St. Charles'!J31+'St. Charles'!J32+'St. Charles'!J34+'St. Charles'!J35+'St. Charles'!J36+'St. Charles'!J38</f>
        <v>15361564</v>
      </c>
      <c r="J49" s="60">
        <f>'St. Charles'!J39</f>
        <v>59477899</v>
      </c>
      <c r="K49" s="60">
        <f t="shared" si="1"/>
        <v>74839463</v>
      </c>
      <c r="L49" s="197" t="str">
        <f t="shared" si="2"/>
        <v>ok</v>
      </c>
      <c r="M49" s="59">
        <f>'St. Charles'!J43</f>
        <v>74839463</v>
      </c>
      <c r="N49" s="60">
        <f>'St. Charles'!J51+'St. Charles'!J53+'St. Charles'!J54+'St. Charles'!J55+'St. Charles'!J56+'St. Charles'!J57+'St. Charles'!J58</f>
        <v>365038846</v>
      </c>
      <c r="O49" s="60">
        <f t="shared" si="6"/>
        <v>365038846</v>
      </c>
      <c r="P49" s="60">
        <f t="shared" si="3"/>
        <v>439878309</v>
      </c>
      <c r="Q49" s="197" t="str">
        <f t="shared" si="4"/>
        <v>ok</v>
      </c>
      <c r="R49" s="59">
        <f>'St. Charles'!J62</f>
        <v>439878309</v>
      </c>
    </row>
    <row r="50" spans="1:18" ht="15.6">
      <c r="A50" s="195"/>
      <c r="B50" s="5" t="s">
        <v>757</v>
      </c>
      <c r="C50" s="60">
        <f>'St. Helena'!H8+'St. Helena'!H9+'St. Helena'!H10+'St. Helena'!H13</f>
        <v>9339744</v>
      </c>
      <c r="D50" s="60">
        <f>C50</f>
        <v>9339744</v>
      </c>
      <c r="E50" s="60">
        <f>'St. Helena'!H17+'St. Helena'!H26+'St. Helena'!H25</f>
        <v>12960098</v>
      </c>
      <c r="F50" s="60">
        <f t="shared" si="5"/>
        <v>22299842</v>
      </c>
      <c r="G50" s="197" t="str">
        <f t="shared" si="0"/>
        <v>ok</v>
      </c>
      <c r="H50" s="59">
        <f>'St. Helena'!H29</f>
        <v>22299842</v>
      </c>
      <c r="I50" s="60">
        <f>'St. Helena'!H33+'St. Helena'!H34+'St. Helena'!H36+'St. Helena'!H39+'St. Helena'!H40</f>
        <v>842467</v>
      </c>
      <c r="J50" s="60">
        <f>'St. Helena'!H44+'St. Helena'!H45+'St. Helena'!H46+'St. Helena'!H47</f>
        <v>2060632</v>
      </c>
      <c r="K50" s="60">
        <f t="shared" si="1"/>
        <v>2903099</v>
      </c>
      <c r="L50" s="197" t="str">
        <f t="shared" si="2"/>
        <v>ok</v>
      </c>
      <c r="M50" s="59">
        <f>'St. Helena'!H50</f>
        <v>2903099</v>
      </c>
      <c r="N50" s="60">
        <f>'St. Helena'!H53+'St. Helena'!H55+'St. Helena'!H56+'St. Helena'!H57+'St. Helena'!H58</f>
        <v>19396743</v>
      </c>
      <c r="O50" s="60">
        <f t="shared" si="6"/>
        <v>19396743</v>
      </c>
      <c r="P50" s="60">
        <f t="shared" si="3"/>
        <v>22299842</v>
      </c>
      <c r="Q50" s="197" t="str">
        <f t="shared" si="4"/>
        <v>ok</v>
      </c>
      <c r="R50" s="59">
        <f>'St. Helena'!H62</f>
        <v>22299842</v>
      </c>
    </row>
    <row r="51" spans="1:18" ht="15.6">
      <c r="A51" s="195"/>
      <c r="B51" s="5" t="s">
        <v>726</v>
      </c>
      <c r="C51" s="60">
        <f>'St. James'!I7+'St. James'!I8+'St. James'!I9+'St. James'!I11+'St. James'!I12+'St. James'!I14+'St. James'!I15</f>
        <v>63812770</v>
      </c>
      <c r="D51" s="60">
        <f>C51-'St. James'!I14</f>
        <v>63483161</v>
      </c>
      <c r="E51" s="60">
        <f>'St. James'!I17+'St. James'!I20+'St. James'!I21</f>
        <v>71291142</v>
      </c>
      <c r="F51" s="60">
        <f t="shared" si="5"/>
        <v>135103912</v>
      </c>
      <c r="G51" s="197" t="str">
        <f t="shared" si="0"/>
        <v>ok</v>
      </c>
      <c r="H51" s="59">
        <f>'St. James'!I23</f>
        <v>135103912</v>
      </c>
      <c r="I51" s="60">
        <f>'St. James'!I26+'St. James'!I28+'St. James'!I30+'St. James'!I31+'St. James'!I33</f>
        <v>7193251</v>
      </c>
      <c r="J51" s="60">
        <f>'St. James'!I34</f>
        <v>9810693</v>
      </c>
      <c r="K51" s="60">
        <f t="shared" si="1"/>
        <v>17003944</v>
      </c>
      <c r="L51" s="197" t="str">
        <f t="shared" si="2"/>
        <v>ok</v>
      </c>
      <c r="M51" s="59">
        <f>'St. James'!I36</f>
        <v>17003944</v>
      </c>
      <c r="N51" s="60">
        <f>'St. James'!I39+'St. James'!I41+'St. James'!I42+'St. James'!I43+'St. James'!I44+'St. James'!I45+'St. James'!I46+'St. James'!I47+'St. James'!I48+'St. James'!I49+'St. James'!I50</f>
        <v>118099968</v>
      </c>
      <c r="O51" s="60">
        <f t="shared" si="6"/>
        <v>118099968</v>
      </c>
      <c r="P51" s="60">
        <f t="shared" si="3"/>
        <v>135103912</v>
      </c>
      <c r="Q51" s="197" t="str">
        <f t="shared" si="4"/>
        <v>ok</v>
      </c>
      <c r="R51" s="59">
        <f>'St. James'!I54</f>
        <v>135103912</v>
      </c>
    </row>
    <row r="52" spans="1:18" ht="15.6">
      <c r="A52" s="195"/>
      <c r="B52" s="5" t="s">
        <v>727</v>
      </c>
      <c r="C52" s="60">
        <f>'St John the Baptist'!I7+'St John the Baptist'!I8+'St John the Baptist'!I10+'St John the Baptist'!I11+'St John the Baptist'!I12+'St John the Baptist'!I13+'St John the Baptist'!I14+'St John the Baptist'!I15</f>
        <v>82290433</v>
      </c>
      <c r="D52" s="60">
        <f>C52-'St John the Baptist'!I8</f>
        <v>81926907</v>
      </c>
      <c r="E52" s="60">
        <f>'St John the Baptist'!I16+'St John the Baptist'!I18+'St John the Baptist'!I20</f>
        <v>207580246</v>
      </c>
      <c r="F52" s="60">
        <f t="shared" si="5"/>
        <v>289870679</v>
      </c>
      <c r="G52" s="197" t="str">
        <f t="shared" si="0"/>
        <v>ok</v>
      </c>
      <c r="H52" s="59">
        <f>'St John the Baptist'!I22</f>
        <v>289870679</v>
      </c>
      <c r="I52" s="60">
        <f>'St John the Baptist'!I25+'St John the Baptist'!I26+'St John the Baptist'!I27+'St John the Baptist'!I28+'St John the Baptist'!I29+'St John the Baptist'!I30+'St John the Baptist'!I32</f>
        <v>15286015</v>
      </c>
      <c r="J52" s="60">
        <f>'St John the Baptist'!I33</f>
        <v>73665907</v>
      </c>
      <c r="K52" s="60">
        <f t="shared" si="1"/>
        <v>88951922</v>
      </c>
      <c r="L52" s="197" t="str">
        <f t="shared" si="2"/>
        <v>ok</v>
      </c>
      <c r="M52" s="59">
        <f>'St John the Baptist'!I35</f>
        <v>88951922</v>
      </c>
      <c r="N52" s="60">
        <f>'St John the Baptist'!I38+'St John the Baptist'!I40+'St John the Baptist'!I41+'St John the Baptist'!I42+'St John the Baptist'!I43+'St John the Baptist'!I45</f>
        <v>200918757</v>
      </c>
      <c r="O52" s="60">
        <f t="shared" si="6"/>
        <v>200918757</v>
      </c>
      <c r="P52" s="60">
        <f t="shared" si="3"/>
        <v>289870679</v>
      </c>
      <c r="Q52" s="197" t="str">
        <f t="shared" si="4"/>
        <v>ok</v>
      </c>
      <c r="R52" s="59">
        <f>'St John the Baptist'!I49</f>
        <v>289870679</v>
      </c>
    </row>
    <row r="53" spans="1:18" ht="15.6">
      <c r="A53" s="195"/>
      <c r="B53" s="5" t="s">
        <v>728</v>
      </c>
      <c r="C53" s="60">
        <f>'St. Landry'!H7+'St. Landry'!H8+'St. Landry'!H9+'St. Landry'!H10+'St. Landry'!H11+'St. Landry'!H12</f>
        <v>7604589</v>
      </c>
      <c r="D53" s="60">
        <f t="shared" ref="D53:D58" si="8">C53</f>
        <v>7604589</v>
      </c>
      <c r="E53" s="60">
        <f>'St. Landry'!H18</f>
        <v>9506315</v>
      </c>
      <c r="F53" s="60">
        <f t="shared" si="5"/>
        <v>17110904</v>
      </c>
      <c r="G53" s="197" t="str">
        <f t="shared" si="0"/>
        <v>ok</v>
      </c>
      <c r="H53" s="59">
        <f>'St. Landry'!H20</f>
        <v>17110904</v>
      </c>
      <c r="I53" s="60">
        <f>'St. Landry'!H24+'St. Landry'!H25+'St. Landry'!H26+'St. Landry'!H27+'St. Landry'!H28+'St. Landry'!H29+'St. Landry'!H30+'St. Landry'!H31</f>
        <v>2602955</v>
      </c>
      <c r="J53" s="60">
        <f>'St. Landry'!H37+'St. Landry'!H38</f>
        <v>231605</v>
      </c>
      <c r="K53" s="60">
        <f t="shared" si="1"/>
        <v>2834560</v>
      </c>
      <c r="L53" s="197" t="str">
        <f t="shared" si="2"/>
        <v>ok</v>
      </c>
      <c r="M53" s="59">
        <f>'St. Landry'!H42</f>
        <v>2834560</v>
      </c>
      <c r="N53" s="60">
        <f>'St. Landry'!H45+'St. Landry'!H46+'St. Landry'!H47+'St. Landry'!H48</f>
        <v>14276344</v>
      </c>
      <c r="O53" s="60">
        <f t="shared" si="6"/>
        <v>14276344</v>
      </c>
      <c r="P53" s="60">
        <f t="shared" si="3"/>
        <v>17110904</v>
      </c>
      <c r="Q53" s="197" t="str">
        <f t="shared" si="4"/>
        <v>ok</v>
      </c>
      <c r="R53" s="59">
        <f>'St. Landry'!H52</f>
        <v>17110904</v>
      </c>
    </row>
    <row r="54" spans="1:18" ht="15.6">
      <c r="A54" s="195"/>
      <c r="B54" s="5" t="s">
        <v>729</v>
      </c>
      <c r="C54" s="60">
        <f>'St. Martin'!J6+'St. Martin'!J7+'St. Martin'!J8+'St. Martin'!J9</f>
        <v>34910233</v>
      </c>
      <c r="D54" s="60">
        <f t="shared" si="8"/>
        <v>34910233</v>
      </c>
      <c r="E54" s="60">
        <f>'St. Martin'!J11+'St. Martin'!J12</f>
        <v>70360835</v>
      </c>
      <c r="F54" s="60">
        <f t="shared" si="5"/>
        <v>105271068</v>
      </c>
      <c r="G54" s="197" t="str">
        <f t="shared" si="0"/>
        <v>ok</v>
      </c>
      <c r="H54" s="59">
        <f>'St. Martin'!J14</f>
        <v>105271068</v>
      </c>
      <c r="I54" s="60">
        <f>'St. Martin'!J17+'St. Martin'!J18+'St. Martin'!J19+'St. Martin'!J20+'St. Martin'!J21+'St. Martin'!J23+'St. Martin'!J25</f>
        <v>3100698</v>
      </c>
      <c r="J54" s="60">
        <f>'St. Martin'!J24+'St. Martin'!J26+'St. Martin'!J27+'St. Martin'!J28</f>
        <v>28701944</v>
      </c>
      <c r="K54" s="60">
        <f t="shared" si="1"/>
        <v>31802642</v>
      </c>
      <c r="L54" s="197" t="str">
        <f t="shared" si="2"/>
        <v>ok</v>
      </c>
      <c r="M54" s="59">
        <f>'St. Martin'!J30</f>
        <v>31802642</v>
      </c>
      <c r="N54" s="60">
        <f>'St. Martin'!J33+'St. Martin'!J35+'St. Martin'!J36+'St. Martin'!J37</f>
        <v>72781186</v>
      </c>
      <c r="O54" s="60">
        <f t="shared" si="6"/>
        <v>72781186</v>
      </c>
      <c r="P54" s="60">
        <f t="shared" si="3"/>
        <v>104583828</v>
      </c>
      <c r="Q54" s="197" t="str">
        <f t="shared" si="4"/>
        <v>ok</v>
      </c>
      <c r="R54" s="59">
        <f>'St. Martin'!J41</f>
        <v>104583828</v>
      </c>
    </row>
    <row r="55" spans="1:18" ht="15.6">
      <c r="A55" s="195"/>
      <c r="B55" s="5" t="s">
        <v>730</v>
      </c>
      <c r="C55" s="60">
        <f>'St. Mary'!J8+'St. Mary'!J9+'St. Mary'!J10+'St. Mary'!J11+'St. Mary'!J12+'St. Mary'!J13</f>
        <v>35922418</v>
      </c>
      <c r="D55" s="60">
        <f t="shared" si="8"/>
        <v>35922418</v>
      </c>
      <c r="E55" s="60">
        <f>'St. Mary'!J19+'St. Mary'!J20+'St. Mary'!J25+'St. Mary'!J26+'St. Mary'!J28+'St. Mary'!J30+'St. Mary'!J31+'St. Mary'!J32</f>
        <v>132800522</v>
      </c>
      <c r="F55" s="60">
        <f t="shared" si="5"/>
        <v>168722940</v>
      </c>
      <c r="G55" s="197" t="str">
        <f t="shared" si="0"/>
        <v>ok</v>
      </c>
      <c r="H55" s="59">
        <f>'St. Mary'!J36</f>
        <v>168722940</v>
      </c>
      <c r="I55" s="60">
        <f>'St. Mary'!J45+'St. Mary'!J46+'St. Mary'!J47+'St. Mary'!J48+'St. Mary'!J49+'St. Mary'!J50</f>
        <v>6296050</v>
      </c>
      <c r="J55" s="60">
        <f>'St. Mary'!J55+'St. Mary'!J56+'St. Mary'!J57+'St. Mary'!J58</f>
        <v>45787974</v>
      </c>
      <c r="K55" s="60">
        <f t="shared" si="1"/>
        <v>52084024</v>
      </c>
      <c r="L55" s="197" t="str">
        <f t="shared" si="2"/>
        <v>ok</v>
      </c>
      <c r="M55" s="59">
        <f>'St. Mary'!J62</f>
        <v>52084024</v>
      </c>
      <c r="N55" s="60">
        <f>'St. Mary'!J65+'St. Mary'!J67+'St. Mary'!J68+'St. Mary'!J69</f>
        <v>116883916</v>
      </c>
      <c r="O55" s="60">
        <f t="shared" si="6"/>
        <v>116883916</v>
      </c>
      <c r="P55" s="60">
        <f t="shared" si="3"/>
        <v>168967940</v>
      </c>
      <c r="Q55" s="197" t="str">
        <f t="shared" si="4"/>
        <v>ok</v>
      </c>
      <c r="R55" s="59">
        <f>'St. Mary'!J73</f>
        <v>168967940</v>
      </c>
    </row>
    <row r="56" spans="1:18" ht="15.6">
      <c r="A56" s="195"/>
      <c r="B56" s="5" t="s">
        <v>731</v>
      </c>
      <c r="C56" s="60">
        <f>'St. Tammany'!J7+'St. Tammany'!J8+'St. Tammany'!J9+'St. Tammany'!J10+'St. Tammany'!J12</f>
        <v>242095211</v>
      </c>
      <c r="D56" s="60">
        <f t="shared" si="8"/>
        <v>242095211</v>
      </c>
      <c r="E56" s="60">
        <f>'St. Tammany'!J13+'St. Tammany'!J14+'St. Tammany'!J16+'St. Tammany'!J17</f>
        <v>468157388</v>
      </c>
      <c r="F56" s="60">
        <f t="shared" si="5"/>
        <v>710252599</v>
      </c>
      <c r="G56" s="197" t="str">
        <f t="shared" si="0"/>
        <v>ok</v>
      </c>
      <c r="H56" s="59">
        <f>'St. Tammany'!J19</f>
        <v>710252599</v>
      </c>
      <c r="I56" s="60">
        <f>'St. Tammany'!J27+'St. Tammany'!J29+'St. Tammany'!J30+'St. Tammany'!J31+'St. Tammany'!J32+'St. Tammany'!J34</f>
        <v>47923230</v>
      </c>
      <c r="J56" s="60">
        <f>'St. Tammany'!J35</f>
        <v>139099219</v>
      </c>
      <c r="K56" s="60">
        <f t="shared" si="1"/>
        <v>187022449</v>
      </c>
      <c r="L56" s="197" t="str">
        <f t="shared" si="2"/>
        <v>ok</v>
      </c>
      <c r="M56" s="59">
        <f>'St. Tammany'!J37</f>
        <v>187022449</v>
      </c>
      <c r="N56" s="60">
        <f>'St. Tammany'!J40+'St. Tammany'!J42+'St. Tammany'!J43+'St. Tammany'!J44+'St. Tammany'!J45+'St. Tammany'!J46+'St. Tammany'!J47+'St. Tammany'!J48+'St. Tammany'!J49+'St. Tammany'!J50+'St. Tammany'!J51+'St. Tammany'!J52</f>
        <v>528336214</v>
      </c>
      <c r="O56" s="60">
        <f t="shared" si="6"/>
        <v>528336214</v>
      </c>
      <c r="P56" s="60">
        <f t="shared" si="3"/>
        <v>715358663</v>
      </c>
      <c r="Q56" s="197" t="str">
        <f t="shared" si="4"/>
        <v>ok</v>
      </c>
      <c r="R56" s="59">
        <f>'St. Tammany'!J56</f>
        <v>715358663</v>
      </c>
    </row>
    <row r="57" spans="1:18" ht="15.6">
      <c r="A57" s="195"/>
      <c r="B57" s="5" t="s">
        <v>732</v>
      </c>
      <c r="C57" s="60">
        <f>Tangipahoa!H7+Tangipahoa!H9+Tangipahoa!H10</f>
        <v>26376135</v>
      </c>
      <c r="D57" s="60">
        <f t="shared" si="8"/>
        <v>26376135</v>
      </c>
      <c r="E57" s="60">
        <f>Tangipahoa!H11+Tangipahoa!H13</f>
        <v>179138642</v>
      </c>
      <c r="F57" s="60">
        <f t="shared" si="5"/>
        <v>205514777</v>
      </c>
      <c r="G57" s="197" t="str">
        <f t="shared" si="0"/>
        <v>ok</v>
      </c>
      <c r="H57" s="59">
        <f>Tangipahoa!H15</f>
        <v>205514777</v>
      </c>
      <c r="I57" s="60">
        <f>Tangipahoa!H18+Tangipahoa!H19+Tangipahoa!H20+Tangipahoa!H23</f>
        <v>4659965</v>
      </c>
      <c r="J57" s="60">
        <f>Tangipahoa!H24+Tangipahoa!H25</f>
        <v>9672300</v>
      </c>
      <c r="K57" s="60">
        <f t="shared" si="1"/>
        <v>14332265</v>
      </c>
      <c r="L57" s="197" t="str">
        <f t="shared" si="2"/>
        <v>ok</v>
      </c>
      <c r="M57" s="59">
        <f>Tangipahoa!H27</f>
        <v>14332265</v>
      </c>
      <c r="N57" s="60">
        <f>Tangipahoa!H35+Tangipahoa!H37+Tangipahoa!H38+Tangipahoa!H39+Tangipahoa!H40</f>
        <v>191129118</v>
      </c>
      <c r="O57" s="60">
        <f t="shared" si="6"/>
        <v>191129118</v>
      </c>
      <c r="P57" s="60">
        <f t="shared" si="3"/>
        <v>205461383</v>
      </c>
      <c r="Q57" s="197" t="str">
        <f t="shared" si="4"/>
        <v>ok</v>
      </c>
      <c r="R57" s="59">
        <f>Tangipahoa!H44-Tangipahoa!H32</f>
        <v>205461383</v>
      </c>
    </row>
    <row r="58" spans="1:18" ht="15.6">
      <c r="A58" s="195"/>
      <c r="B58" s="5" t="s">
        <v>733</v>
      </c>
      <c r="C58" s="60">
        <f>Tensas!G6+Tensas!G7+Tensas!G9</f>
        <v>4021118</v>
      </c>
      <c r="D58" s="60">
        <f t="shared" si="8"/>
        <v>4021118</v>
      </c>
      <c r="E58" s="60">
        <f>Tensas!G10+Tensas!G11</f>
        <v>8597005</v>
      </c>
      <c r="F58" s="60">
        <f t="shared" si="5"/>
        <v>12618123</v>
      </c>
      <c r="G58" s="197" t="str">
        <f t="shared" si="0"/>
        <v>ok</v>
      </c>
      <c r="H58" s="59">
        <f>Tensas!G13</f>
        <v>12618123</v>
      </c>
      <c r="I58" s="60">
        <f>Tensas!G16+Tensas!G17+Tensas!G19</f>
        <v>249979</v>
      </c>
      <c r="J58" s="60">
        <f>Tensas!G20</f>
        <v>1255223</v>
      </c>
      <c r="K58" s="60">
        <f t="shared" si="1"/>
        <v>1505202</v>
      </c>
      <c r="L58" s="197" t="str">
        <f t="shared" si="2"/>
        <v>ok</v>
      </c>
      <c r="M58" s="59">
        <f>Tensas!G22</f>
        <v>1505202</v>
      </c>
      <c r="N58" s="60">
        <f>Tensas!G25+Tensas!G27+Tensas!G28+Tensas!G29</f>
        <v>11112921</v>
      </c>
      <c r="O58" s="60">
        <f t="shared" si="6"/>
        <v>11112921</v>
      </c>
      <c r="P58" s="60">
        <f t="shared" si="3"/>
        <v>12618123</v>
      </c>
      <c r="Q58" s="197" t="str">
        <f t="shared" si="4"/>
        <v>ok</v>
      </c>
      <c r="R58" s="59">
        <f>Tensas!G33</f>
        <v>12618123</v>
      </c>
    </row>
    <row r="59" spans="1:18" ht="15.6">
      <c r="A59" s="195"/>
      <c r="B59" s="5" t="s">
        <v>734</v>
      </c>
      <c r="C59" s="60">
        <f>Terrebonne!J7+Terrebonne!J8+Terrebonne!J9+Terrebonne!J11+Terrebonne!J12+Terrebonne!J14+Terrebonne!J15</f>
        <v>266963900</v>
      </c>
      <c r="D59" s="60">
        <f>C59-Terrebonne!J14</f>
        <v>264924647</v>
      </c>
      <c r="E59" s="60">
        <f>Terrebonne!J17+Terrebonne!J18+Terrebonne!J19+Terrebonne!J20+Terrebonne!J21+Terrebonne!J23+Terrebonne!J24</f>
        <v>456571792</v>
      </c>
      <c r="F59" s="60">
        <f t="shared" si="5"/>
        <v>723535692</v>
      </c>
      <c r="G59" s="197" t="str">
        <f t="shared" si="0"/>
        <v>ok</v>
      </c>
      <c r="H59" s="59">
        <f>Terrebonne!J26</f>
        <v>723535692</v>
      </c>
      <c r="I59" s="60">
        <f>Terrebonne!J31+Terrebonne!J32+Terrebonne!J33+Terrebonne!J34+Terrebonne!J36+Terrebonne!J37+Terrebonne!J39</f>
        <v>49664106</v>
      </c>
      <c r="J59" s="60">
        <f>Terrebonne!J40</f>
        <v>136608636</v>
      </c>
      <c r="K59" s="60">
        <f t="shared" si="1"/>
        <v>186272742</v>
      </c>
      <c r="L59" s="197" t="str">
        <f t="shared" si="2"/>
        <v>ok</v>
      </c>
      <c r="M59" s="59">
        <f>Terrebonne!J42</f>
        <v>186272742</v>
      </c>
      <c r="N59" s="60">
        <f>Terrebonne!J47+Terrebonne!J49+Terrebonne!J50+Terrebonne!J51+Terrebonne!J52+Terrebonne!J53+Terrebonne!J54+Terrebonne!J55+Terrebonne!J56+Terrebonne!J57+Terrebonne!J58+Terrebonne!J60</f>
        <v>500227306</v>
      </c>
      <c r="O59" s="60">
        <f t="shared" si="6"/>
        <v>500227306</v>
      </c>
      <c r="P59" s="60">
        <f t="shared" si="3"/>
        <v>686500048</v>
      </c>
      <c r="Q59" s="197" t="str">
        <f t="shared" si="4"/>
        <v>ok</v>
      </c>
      <c r="R59" s="59">
        <f>Terrebonne!J64-Terrebonne!J44</f>
        <v>686500048</v>
      </c>
    </row>
    <row r="60" spans="1:18" ht="15.6">
      <c r="A60" s="195"/>
      <c r="B60" s="5" t="s">
        <v>735</v>
      </c>
      <c r="C60" s="60">
        <f>Union!G6+Union!G7+Union!G8</f>
        <v>19100461</v>
      </c>
      <c r="D60" s="60">
        <f t="shared" ref="D60:D68" si="9">C60</f>
        <v>19100461</v>
      </c>
      <c r="E60" s="60">
        <f>Union!G9</f>
        <v>12207847</v>
      </c>
      <c r="F60" s="60">
        <f t="shared" si="5"/>
        <v>31308308</v>
      </c>
      <c r="G60" s="197" t="str">
        <f t="shared" si="0"/>
        <v>ok</v>
      </c>
      <c r="H60" s="59">
        <f>Union!G11</f>
        <v>31308308</v>
      </c>
      <c r="I60" s="60">
        <f>Union!G14+Union!G15+Union!G16+Union!G17+Union!G18+Union!G20</f>
        <v>3032396</v>
      </c>
      <c r="J60" s="60">
        <f>Union!G19+Union!G21+Union!G22+Union!G23</f>
        <v>8334923</v>
      </c>
      <c r="K60" s="60">
        <f t="shared" si="1"/>
        <v>11367319</v>
      </c>
      <c r="L60" s="197" t="str">
        <f t="shared" si="2"/>
        <v>ok</v>
      </c>
      <c r="M60" s="59">
        <f>Union!G25</f>
        <v>11367319</v>
      </c>
      <c r="N60" s="60">
        <f>Union!G31+Union!G32+Union!G33</f>
        <v>19926795</v>
      </c>
      <c r="O60" s="60">
        <f t="shared" si="6"/>
        <v>19926795</v>
      </c>
      <c r="P60" s="60">
        <f t="shared" si="3"/>
        <v>31294114</v>
      </c>
      <c r="Q60" s="197" t="str">
        <f t="shared" si="4"/>
        <v>ok</v>
      </c>
      <c r="R60" s="59">
        <f>Union!G37-Union!G28</f>
        <v>31294114</v>
      </c>
    </row>
    <row r="61" spans="1:18" ht="15.6">
      <c r="A61" s="195"/>
      <c r="B61" s="5" t="s">
        <v>758</v>
      </c>
      <c r="C61" s="60">
        <f>Vermillion!H7+Vermillion!H8+Vermillion!H9+Vermillion!H10+Vermillion!H11</f>
        <v>62201696</v>
      </c>
      <c r="D61" s="60">
        <f t="shared" si="9"/>
        <v>62201696</v>
      </c>
      <c r="E61" s="60">
        <f>Vermillion!H12</f>
        <v>82500254</v>
      </c>
      <c r="F61" s="60">
        <f t="shared" si="5"/>
        <v>144701950</v>
      </c>
      <c r="G61" s="197" t="str">
        <f t="shared" si="0"/>
        <v>ok</v>
      </c>
      <c r="H61" s="59">
        <f>Vermillion!H14</f>
        <v>144701950</v>
      </c>
      <c r="I61" s="60">
        <f>Vermillion!H17+Vermillion!H18+Vermillion!H19+Vermillion!H21+Vermillion!H22+Vermillion!H24</f>
        <v>2640067</v>
      </c>
      <c r="J61" s="60">
        <f>Vermillion!H25</f>
        <v>5463515</v>
      </c>
      <c r="K61" s="60">
        <f t="shared" si="1"/>
        <v>8103582</v>
      </c>
      <c r="L61" s="197" t="str">
        <f t="shared" si="2"/>
        <v>ok</v>
      </c>
      <c r="M61" s="59">
        <f>Vermillion!H27</f>
        <v>8103582</v>
      </c>
      <c r="N61" s="60">
        <f>Vermillion!H33+Vermillion!H35+Vermillion!H36+Vermillion!H37</f>
        <v>135649977</v>
      </c>
      <c r="O61" s="60">
        <f t="shared" si="6"/>
        <v>135649977</v>
      </c>
      <c r="P61" s="60">
        <f t="shared" si="3"/>
        <v>143753559</v>
      </c>
      <c r="Q61" s="197" t="str">
        <f t="shared" si="4"/>
        <v>ok</v>
      </c>
      <c r="R61" s="59">
        <f>Vermillion!H41-Vermillion!H30</f>
        <v>143753559</v>
      </c>
    </row>
    <row r="62" spans="1:18" ht="15.6">
      <c r="A62" s="195"/>
      <c r="B62" s="5" t="s">
        <v>737</v>
      </c>
      <c r="C62" s="60">
        <f>Vernon!H7+Vernon!H8+Vernon!H9+Vernon!H10</f>
        <v>31296973</v>
      </c>
      <c r="D62" s="60">
        <f t="shared" si="9"/>
        <v>31296973</v>
      </c>
      <c r="E62" s="60">
        <f>Vernon!H12+Vernon!H13+Vernon!H14+Vernon!H15+Vernon!H16</f>
        <v>45322054</v>
      </c>
      <c r="F62" s="60">
        <f t="shared" si="5"/>
        <v>76619027</v>
      </c>
      <c r="G62" s="197" t="str">
        <f t="shared" si="0"/>
        <v>ok</v>
      </c>
      <c r="H62" s="59">
        <f>Vernon!H18</f>
        <v>76619027</v>
      </c>
      <c r="I62" s="60">
        <f>Vernon!H21+Vernon!H22+Vernon!H23+Vernon!H25</f>
        <v>2135776</v>
      </c>
      <c r="J62" s="60">
        <f>Vernon!H26</f>
        <v>19678827</v>
      </c>
      <c r="K62" s="60">
        <f t="shared" si="1"/>
        <v>21814603</v>
      </c>
      <c r="L62" s="197" t="str">
        <f t="shared" si="2"/>
        <v>ok</v>
      </c>
      <c r="M62" s="59">
        <f>Vernon!H28</f>
        <v>21814603</v>
      </c>
      <c r="N62" s="60">
        <f>Vernon!H31+Vernon!H33+Vernon!H34+Vernon!H35</f>
        <v>54813425</v>
      </c>
      <c r="O62" s="60">
        <f t="shared" si="6"/>
        <v>54813425</v>
      </c>
      <c r="P62" s="60">
        <f t="shared" si="3"/>
        <v>76628028</v>
      </c>
      <c r="Q62" s="197" t="str">
        <f t="shared" si="4"/>
        <v>ok</v>
      </c>
      <c r="R62" s="59">
        <f>Vernon!H39</f>
        <v>76628028</v>
      </c>
    </row>
    <row r="63" spans="1:18" ht="15.6">
      <c r="A63" s="195"/>
      <c r="B63" s="5" t="s">
        <v>738</v>
      </c>
      <c r="C63" s="60">
        <f>Washington!J7+Washington!J8+Washington!J9+Washington!J10+Washington!J15+Washington!J16</f>
        <v>11070532</v>
      </c>
      <c r="D63" s="60">
        <f t="shared" si="9"/>
        <v>11070532</v>
      </c>
      <c r="E63" s="60">
        <f>Washington!J17+Washington!J19+Washington!J20+Washington!J21</f>
        <v>39116538</v>
      </c>
      <c r="F63" s="60">
        <f t="shared" si="5"/>
        <v>50187070</v>
      </c>
      <c r="G63" s="197" t="str">
        <f t="shared" si="0"/>
        <v>ok</v>
      </c>
      <c r="H63" s="59">
        <f>Washington!J23</f>
        <v>50187070</v>
      </c>
      <c r="I63" s="60">
        <f>Washington!J26+Washington!J27+Washington!J28+Washington!J30+Washington!J32</f>
        <v>4255896</v>
      </c>
      <c r="J63" s="60">
        <f>Washington!J33</f>
        <v>4425000</v>
      </c>
      <c r="K63" s="60">
        <f t="shared" si="1"/>
        <v>8680896</v>
      </c>
      <c r="L63" s="197" t="str">
        <f t="shared" si="2"/>
        <v>ok</v>
      </c>
      <c r="M63" s="59">
        <f>Washington!J35</f>
        <v>8680896</v>
      </c>
      <c r="N63" s="60">
        <f>Washington!J38+Washington!J40+Washington!J41+Washington!J42+Washington!J43+Washington!J44+Washington!J45+Washington!J46</f>
        <v>42167982</v>
      </c>
      <c r="O63" s="60">
        <f t="shared" si="6"/>
        <v>42167982</v>
      </c>
      <c r="P63" s="60">
        <f t="shared" si="3"/>
        <v>50848878</v>
      </c>
      <c r="Q63" s="197" t="str">
        <f t="shared" si="4"/>
        <v>ok</v>
      </c>
      <c r="R63" s="59">
        <f>Washington!J50</f>
        <v>50848878</v>
      </c>
    </row>
    <row r="64" spans="1:18" ht="15.6">
      <c r="A64" s="195"/>
      <c r="B64" s="5" t="s">
        <v>739</v>
      </c>
      <c r="C64" s="60">
        <f>Webster!H7+Webster!H8+Webster!H9+Webster!H10</f>
        <v>13640083</v>
      </c>
      <c r="D64" s="60">
        <f t="shared" si="9"/>
        <v>13640083</v>
      </c>
      <c r="E64" s="60">
        <f>Webster!H12+Webster!H13</f>
        <v>11531478</v>
      </c>
      <c r="F64" s="60">
        <f t="shared" si="5"/>
        <v>25171561</v>
      </c>
      <c r="G64" s="197" t="str">
        <f t="shared" si="0"/>
        <v>ok</v>
      </c>
      <c r="H64" s="59">
        <f>Webster!H15</f>
        <v>25171561</v>
      </c>
      <c r="I64" s="60">
        <f>Webster!H18+Webster!H19+Webster!H21+Webster!H22+Webster!H23+Webster!H24+Webster!H26</f>
        <v>1196848</v>
      </c>
      <c r="J64" s="60">
        <f>Webster!H27</f>
        <v>1134777</v>
      </c>
      <c r="K64" s="60">
        <f t="shared" si="1"/>
        <v>2331625</v>
      </c>
      <c r="L64" s="197" t="str">
        <f t="shared" si="2"/>
        <v>ok</v>
      </c>
      <c r="M64" s="59">
        <f>Webster!H29</f>
        <v>2331625</v>
      </c>
      <c r="N64" s="60">
        <f>Webster!H32+Webster!H34+Webster!H35+Webster!H36+Webster!H37+Webster!H38+Webster!H39+Webster!H40+Webster!H41+Webster!H42+Webster!H44</f>
        <v>22839936</v>
      </c>
      <c r="O64" s="60">
        <f t="shared" si="6"/>
        <v>22839936</v>
      </c>
      <c r="P64" s="60">
        <f t="shared" si="3"/>
        <v>25171561</v>
      </c>
      <c r="Q64" s="197" t="str">
        <f t="shared" si="4"/>
        <v>ok</v>
      </c>
      <c r="R64" s="59">
        <f>Webster!H48</f>
        <v>25171561</v>
      </c>
    </row>
    <row r="65" spans="1:18" ht="15.6">
      <c r="A65" s="195"/>
      <c r="B65" s="5" t="s">
        <v>740</v>
      </c>
      <c r="C65" s="60">
        <f>'West Baton Rouge'!G7+'West Baton Rouge'!G8+'West Baton Rouge'!G9+'West Baton Rouge'!G10+'West Baton Rouge'!G11+'West Baton Rouge'!G12+'West Baton Rouge'!G13</f>
        <v>33908732</v>
      </c>
      <c r="D65" s="60">
        <f t="shared" si="9"/>
        <v>33908732</v>
      </c>
      <c r="E65" s="60">
        <f>'West Baton Rouge'!G15+'West Baton Rouge'!G16</f>
        <v>61165063</v>
      </c>
      <c r="F65" s="60">
        <f t="shared" si="5"/>
        <v>95073795</v>
      </c>
      <c r="G65" s="197" t="str">
        <f t="shared" si="0"/>
        <v>ok</v>
      </c>
      <c r="H65" s="59">
        <f>'West Baton Rouge'!G18</f>
        <v>95073795</v>
      </c>
      <c r="I65" s="60">
        <f>'West Baton Rouge'!G21+'West Baton Rouge'!G23</f>
        <v>1140105</v>
      </c>
      <c r="J65" s="60">
        <f>'West Baton Rouge'!G24</f>
        <v>7829726</v>
      </c>
      <c r="K65" s="60">
        <f t="shared" si="1"/>
        <v>8969831</v>
      </c>
      <c r="L65" s="197" t="str">
        <f t="shared" si="2"/>
        <v>ok</v>
      </c>
      <c r="M65" s="59">
        <f>'West Baton Rouge'!G26</f>
        <v>8969831</v>
      </c>
      <c r="N65" s="60">
        <f>'West Baton Rouge'!G34+'West Baton Rouge'!G36+'West Baton Rouge'!G37+'West Baton Rouge'!G38</f>
        <v>77175141</v>
      </c>
      <c r="O65" s="60">
        <f t="shared" si="6"/>
        <v>77175141</v>
      </c>
      <c r="P65" s="60">
        <f t="shared" si="3"/>
        <v>86144972</v>
      </c>
      <c r="Q65" s="197" t="str">
        <f t="shared" si="4"/>
        <v>ok</v>
      </c>
      <c r="R65" s="59">
        <f>'West Baton Rouge'!G42-'West Baton Rouge'!G31</f>
        <v>86144972</v>
      </c>
    </row>
    <row r="66" spans="1:18" ht="15.6">
      <c r="A66" s="195"/>
      <c r="B66" s="5" t="s">
        <v>741</v>
      </c>
      <c r="C66" s="60">
        <f>'West Carroll'!H7+'West Carroll'!H8+'West Carroll'!H9</f>
        <v>7593386</v>
      </c>
      <c r="D66" s="60">
        <f t="shared" si="9"/>
        <v>7593386</v>
      </c>
      <c r="E66" s="60">
        <f>'West Carroll'!H10</f>
        <v>14017269</v>
      </c>
      <c r="F66" s="60">
        <f t="shared" si="5"/>
        <v>21610655</v>
      </c>
      <c r="G66" s="197" t="str">
        <f t="shared" si="0"/>
        <v>ok</v>
      </c>
      <c r="H66" s="59">
        <f>'West Carroll'!H12</f>
        <v>21610655</v>
      </c>
      <c r="I66" s="60">
        <f>'West Carroll'!H15+'West Carroll'!H16+'West Carroll'!H18+'West Carroll'!H17</f>
        <v>291619</v>
      </c>
      <c r="J66" s="60">
        <f>'West Carroll'!H19+'West Carroll'!H20</f>
        <v>1988407</v>
      </c>
      <c r="K66" s="60">
        <f t="shared" si="1"/>
        <v>2280026</v>
      </c>
      <c r="L66" s="197" t="str">
        <f t="shared" si="2"/>
        <v>ok</v>
      </c>
      <c r="M66" s="59">
        <f>'West Carroll'!H22</f>
        <v>2280026</v>
      </c>
      <c r="N66" s="60">
        <f>'West Carroll'!H28+'West Carroll'!H30+'West Carroll'!H31+'West Carroll'!H32+'West Carroll'!H33</f>
        <v>19145877</v>
      </c>
      <c r="O66" s="60">
        <f t="shared" si="6"/>
        <v>19145877</v>
      </c>
      <c r="P66" s="60">
        <f t="shared" si="3"/>
        <v>21425903</v>
      </c>
      <c r="Q66" s="197" t="str">
        <f t="shared" si="4"/>
        <v>ok</v>
      </c>
      <c r="R66" s="59">
        <f>'West Carroll'!H37-'West Carroll'!H25</f>
        <v>21425903</v>
      </c>
    </row>
    <row r="67" spans="1:18" ht="15.6">
      <c r="A67" s="195"/>
      <c r="B67" s="5" t="s">
        <v>742</v>
      </c>
      <c r="C67" s="60">
        <f>'West Feliciana'!J7+'West Feliciana'!J9+'West Feliciana'!J10+'West Feliciana'!J11+'West Feliciana'!J12+'West Feliciana'!J14</f>
        <v>16654978</v>
      </c>
      <c r="D67" s="60">
        <f t="shared" si="9"/>
        <v>16654978</v>
      </c>
      <c r="E67" s="60">
        <f>'West Feliciana'!J16+'West Feliciana'!J18+'West Feliciana'!J20+'West Feliciana'!J21</f>
        <v>29814626</v>
      </c>
      <c r="F67" s="60">
        <f t="shared" si="5"/>
        <v>46469604</v>
      </c>
      <c r="G67" s="197" t="str">
        <f>IF(F67=H67, "ok", "check")</f>
        <v>ok</v>
      </c>
      <c r="H67" s="59">
        <f>'West Feliciana'!J23</f>
        <v>46469604</v>
      </c>
      <c r="I67" s="60">
        <f>'West Feliciana'!J26+'West Feliciana'!J27+'West Feliciana'!J28+'West Feliciana'!J29+'West Feliciana'!J32</f>
        <v>2587804</v>
      </c>
      <c r="J67" s="60">
        <f>'West Feliciana'!J33</f>
        <v>6702297</v>
      </c>
      <c r="K67" s="60">
        <f t="shared" si="1"/>
        <v>9290101</v>
      </c>
      <c r="L67" s="197" t="str">
        <f t="shared" si="2"/>
        <v>ok</v>
      </c>
      <c r="M67" s="59">
        <f>'West Feliciana'!J35</f>
        <v>9290101</v>
      </c>
      <c r="N67" s="60">
        <f>'West Feliciana'!J38+'West Feliciana'!J40+'West Feliciana'!J41+'West Feliciana'!J42+'West Feliciana'!J43+'West Feliciana'!J44+'West Feliciana'!J45</f>
        <v>37179503</v>
      </c>
      <c r="O67" s="60">
        <f t="shared" si="6"/>
        <v>37179503</v>
      </c>
      <c r="P67" s="60">
        <f t="shared" si="3"/>
        <v>46469604</v>
      </c>
      <c r="Q67" s="197" t="str">
        <f t="shared" si="4"/>
        <v>ok</v>
      </c>
      <c r="R67" s="59">
        <f>'West Feliciana'!J49</f>
        <v>46469604</v>
      </c>
    </row>
    <row r="68" spans="1:18" ht="15.6">
      <c r="A68" s="195"/>
      <c r="B68" s="5" t="s">
        <v>743</v>
      </c>
      <c r="C68" s="60">
        <f>Winn!H7+Winn!H8</f>
        <v>6352977</v>
      </c>
      <c r="D68" s="60">
        <f t="shared" si="9"/>
        <v>6352977</v>
      </c>
      <c r="E68" s="60">
        <f>Winn!H11+Winn!H12+Winn!H14+Winn!H15+Winn!H16</f>
        <v>3598290</v>
      </c>
      <c r="F68" s="60">
        <f t="shared" si="5"/>
        <v>9951267</v>
      </c>
      <c r="G68" s="197" t="str">
        <f t="shared" si="0"/>
        <v>ok</v>
      </c>
      <c r="H68" s="59">
        <f>Winn!H18</f>
        <v>9951267</v>
      </c>
      <c r="I68" s="60">
        <f>Winn!H21+Winn!H22+Winn!H23+Winn!H25</f>
        <v>377791</v>
      </c>
      <c r="J68" s="60">
        <f>Winn!H26</f>
        <v>2010000</v>
      </c>
      <c r="K68" s="60">
        <f t="shared" si="1"/>
        <v>2387791</v>
      </c>
      <c r="L68" s="197" t="str">
        <f t="shared" si="2"/>
        <v>ok</v>
      </c>
      <c r="M68" s="59">
        <f>Winn!H28</f>
        <v>2387791</v>
      </c>
      <c r="N68" s="60">
        <f>Winn!H31+Winn!H32</f>
        <v>7563478</v>
      </c>
      <c r="O68" s="60">
        <f t="shared" si="6"/>
        <v>7563478</v>
      </c>
      <c r="P68" s="60">
        <f t="shared" si="3"/>
        <v>9951269</v>
      </c>
      <c r="Q68" s="197" t="str">
        <f t="shared" si="4"/>
        <v>ok</v>
      </c>
      <c r="R68" s="59">
        <f>Winn!H36</f>
        <v>9951269</v>
      </c>
    </row>
    <row r="69" spans="1:18" ht="15.6">
      <c r="A69" s="195"/>
      <c r="G69" s="181"/>
      <c r="H69" s="55"/>
      <c r="L69" s="197"/>
      <c r="M69" s="55"/>
      <c r="Q69" s="197"/>
    </row>
    <row r="70" spans="1:18">
      <c r="C70" s="60">
        <f>SUM(C5:C68)</f>
        <v>5444655770.8400002</v>
      </c>
      <c r="D70" s="60"/>
      <c r="E70" s="60">
        <f>SUM(E5:E68)</f>
        <v>13721215111.610001</v>
      </c>
      <c r="F70" s="60">
        <f>SUM(F5:F68)</f>
        <v>19165870882.450001</v>
      </c>
      <c r="G70" s="181" t="str">
        <f t="shared" ref="G70" si="10">IF(F70=H70, "ok", "check")</f>
        <v>ok</v>
      </c>
      <c r="H70" s="199">
        <f>SUM(H5:H68)</f>
        <v>19165870882.450001</v>
      </c>
      <c r="I70" s="199">
        <f t="shared" ref="I70:K70" si="11">SUM(I5:I68)</f>
        <v>1293286086.8099999</v>
      </c>
      <c r="J70" s="199">
        <f t="shared" si="11"/>
        <v>6087822576</v>
      </c>
      <c r="K70" s="199">
        <f t="shared" si="11"/>
        <v>7381108662.8099995</v>
      </c>
      <c r="L70" s="197" t="str">
        <f t="shared" ref="L70" si="12">IF(K70=M70, "ok", "check")</f>
        <v>ok</v>
      </c>
      <c r="M70" s="200">
        <f>SUM(M5:M68)</f>
        <v>7381108662.8099995</v>
      </c>
      <c r="N70" s="200"/>
      <c r="O70" s="200">
        <f t="shared" ref="O70:P70" si="13">SUM(O5:O68)</f>
        <v>11735312773.639999</v>
      </c>
      <c r="P70" s="200">
        <f t="shared" si="13"/>
        <v>19116421436.450001</v>
      </c>
      <c r="Q70" s="197" t="str">
        <f t="shared" si="4"/>
        <v>ok</v>
      </c>
      <c r="R70" s="201">
        <f>SUM(R5:R68)</f>
        <v>19116421436.450001</v>
      </c>
    </row>
  </sheetData>
  <mergeCells count="1">
    <mergeCell ref="A3:B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>Ivey, Jefferson</DisplayName>
        <AccountId>14</AccountId>
        <AccountType/>
      </UserInfo>
      <UserInfo>
        <DisplayName>Kannan, Sinduja</DisplayName>
        <AccountId>82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A39033-2F95-4E29-8049-789A9584BF12}"/>
</file>

<file path=customXml/itemProps2.xml><?xml version="1.0" encoding="utf-8"?>
<ds:datastoreItem xmlns:ds="http://schemas.openxmlformats.org/officeDocument/2006/customXml" ds:itemID="{E03B12F8-EC78-43DC-B2CA-087F6AAF7BD8}"/>
</file>

<file path=customXml/itemProps3.xml><?xml version="1.0" encoding="utf-8"?>
<ds:datastoreItem xmlns:ds="http://schemas.openxmlformats.org/officeDocument/2006/customXml" ds:itemID="{E8678C1A-F3EA-445C-B876-89CF7CD8A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2011-10-31T17:22:17Z</dcterms:created>
  <dcterms:modified xsi:type="dcterms:W3CDTF">2025-06-17T20:31:08Z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