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lsuagctr.sharepoint.com/sites/LCRI/lgf/Shared Documents/Louisiana/2013/"/>
    </mc:Choice>
  </mc:AlternateContent>
  <xr:revisionPtr revIDLastSave="2" documentId="11_7C23D1BCEDFE295021E098998D37ADF6DCFAA338" xr6:coauthVersionLast="47" xr6:coauthVersionMax="47" xr10:uidLastSave="{8142EAA6-7D76-4B00-9932-80CFFDD2BBF6}"/>
  <bookViews>
    <workbookView xWindow="0" yWindow="0" windowWidth="10455" windowHeight="7635" tabRatio="884" firstSheet="15" activeTab="28" xr2:uid="{00000000-000D-0000-FFFF-FFFF00000000}"/>
  </bookViews>
  <sheets>
    <sheet name="Acadia" sheetId="110" r:id="rId1"/>
    <sheet name="Allen" sheetId="111" r:id="rId2"/>
    <sheet name="Ascension" sheetId="5" r:id="rId3"/>
    <sheet name="Assumption" sheetId="53" r:id="rId4"/>
    <sheet name="Avoyelles" sheetId="112" r:id="rId5"/>
    <sheet name="Beauregard" sheetId="146" r:id="rId6"/>
    <sheet name="Bienville" sheetId="113" r:id="rId7"/>
    <sheet name="Bossier" sheetId="114" r:id="rId8"/>
    <sheet name="Caddo" sheetId="115" r:id="rId9"/>
    <sheet name="Calcasieu" sheetId="116" r:id="rId10"/>
    <sheet name="Caldwell" sheetId="117" r:id="rId11"/>
    <sheet name="Cameron" sheetId="118" r:id="rId12"/>
    <sheet name="Catahoula" sheetId="119" r:id="rId13"/>
    <sheet name="Claiborne" sheetId="120" r:id="rId14"/>
    <sheet name="Concordia" sheetId="148" r:id="rId15"/>
    <sheet name="DeSoto" sheetId="121" r:id="rId16"/>
    <sheet name="East Baton Rouge" sheetId="7" r:id="rId17"/>
    <sheet name="East Carroll" sheetId="122" r:id="rId18"/>
    <sheet name="East Feliciana" sheetId="149" r:id="rId19"/>
    <sheet name="Evangeline" sheetId="123" r:id="rId20"/>
    <sheet name="Franklin" sheetId="124" r:id="rId21"/>
    <sheet name="Grant" sheetId="125" r:id="rId22"/>
    <sheet name="Iberia" sheetId="126" r:id="rId23"/>
    <sheet name="Iberville" sheetId="14" r:id="rId24"/>
    <sheet name="Jackson" sheetId="127" r:id="rId25"/>
    <sheet name="Jefferson Davis" sheetId="128" r:id="rId26"/>
    <sheet name="Jefferson" sheetId="16" r:id="rId27"/>
    <sheet name="LaSalle" sheetId="129" r:id="rId28"/>
    <sheet name="Cross Sectional" sheetId="109" r:id="rId29"/>
    <sheet name="Lafayette" sheetId="51" r:id="rId30"/>
    <sheet name="LaFourche" sheetId="17" r:id="rId31"/>
    <sheet name="Lincoln" sheetId="130" r:id="rId32"/>
    <sheet name="Livingston" sheetId="18" r:id="rId33"/>
    <sheet name="Madison" sheetId="131" r:id="rId34"/>
    <sheet name="Morehouse" sheetId="60" r:id="rId35"/>
    <sheet name="Natchitoches" sheetId="132" r:id="rId36"/>
    <sheet name="Orleans" sheetId="84" r:id="rId37"/>
    <sheet name="Ouachita" sheetId="147" r:id="rId38"/>
    <sheet name="Plaquemines" sheetId="88" r:id="rId39"/>
    <sheet name="Pointe Coupee" sheetId="108" r:id="rId40"/>
    <sheet name="Rapides" sheetId="133" r:id="rId41"/>
    <sheet name="Red River" sheetId="134" r:id="rId42"/>
    <sheet name="Richland" sheetId="135" r:id="rId43"/>
    <sheet name="Sabine" sheetId="136" r:id="rId44"/>
    <sheet name="St. Bernard" sheetId="89" r:id="rId45"/>
    <sheet name="St. Charles" sheetId="107" r:id="rId46"/>
    <sheet name="St. Helena" sheetId="90" r:id="rId47"/>
    <sheet name="St. James" sheetId="91" r:id="rId48"/>
    <sheet name="St. John the Baptist" sheetId="92" r:id="rId49"/>
    <sheet name="St. Landry" sheetId="93" r:id="rId50"/>
    <sheet name="St. Martin" sheetId="137" r:id="rId51"/>
    <sheet name="St. Mary" sheetId="94" r:id="rId52"/>
    <sheet name="St. Tammany" sheetId="95" r:id="rId53"/>
    <sheet name="Tangipahoa" sheetId="96" r:id="rId54"/>
    <sheet name="Tensas" sheetId="138" r:id="rId55"/>
    <sheet name="Terrebonne" sheetId="98" r:id="rId56"/>
    <sheet name="Union" sheetId="139" r:id="rId57"/>
    <sheet name="Vermillion" sheetId="140" r:id="rId58"/>
    <sheet name="Vernon" sheetId="141" r:id="rId59"/>
    <sheet name="Washington" sheetId="99" r:id="rId60"/>
    <sheet name="Webster" sheetId="142" r:id="rId61"/>
    <sheet name="West Baton Rouge" sheetId="143" r:id="rId62"/>
    <sheet name="West Carroll" sheetId="144" r:id="rId63"/>
    <sheet name="West Feliciana" sheetId="150" r:id="rId64"/>
    <sheet name="Winn" sheetId="145" r:id="rId6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4" i="148" l="1"/>
  <c r="L22" i="148"/>
  <c r="L19" i="109"/>
  <c r="K11" i="148"/>
  <c r="L19" i="148"/>
  <c r="J19" i="109"/>
  <c r="K12" i="148"/>
  <c r="L20" i="148"/>
  <c r="K13" i="148"/>
  <c r="L21" i="148"/>
  <c r="G19" i="109"/>
  <c r="K10" i="148"/>
  <c r="L18" i="148"/>
  <c r="E19" i="109"/>
  <c r="K8" i="148"/>
  <c r="L8" i="148"/>
  <c r="B19" i="109"/>
  <c r="K15" i="148"/>
  <c r="L23" i="148"/>
  <c r="L29" i="148"/>
  <c r="K24" i="148"/>
  <c r="K27" i="148"/>
  <c r="J18" i="84"/>
  <c r="J25" i="84"/>
  <c r="J26" i="84"/>
  <c r="K18" i="84"/>
  <c r="K25" i="84"/>
  <c r="K26" i="84"/>
  <c r="L18" i="84"/>
  <c r="L25" i="84"/>
  <c r="L26" i="84"/>
  <c r="M14" i="84"/>
  <c r="M15" i="84"/>
  <c r="M16" i="84"/>
  <c r="M17" i="84"/>
  <c r="M18" i="84"/>
  <c r="M21" i="84"/>
  <c r="M22" i="84"/>
  <c r="M23" i="84"/>
  <c r="M24" i="84"/>
  <c r="M25" i="84"/>
  <c r="M26" i="84"/>
  <c r="I18" i="84"/>
  <c r="I25" i="84"/>
  <c r="I26" i="84"/>
  <c r="M36" i="150"/>
  <c r="M37" i="150"/>
  <c r="M38" i="150"/>
  <c r="M39" i="150"/>
  <c r="J44" i="150"/>
  <c r="K44" i="150"/>
  <c r="L44" i="150"/>
  <c r="M44" i="150"/>
  <c r="M45" i="150"/>
  <c r="J33" i="150"/>
  <c r="K33" i="150"/>
  <c r="L33" i="150"/>
  <c r="M33" i="150"/>
  <c r="M46" i="150"/>
  <c r="M11" i="150"/>
  <c r="M12" i="150"/>
  <c r="M13" i="150"/>
  <c r="M14" i="150"/>
  <c r="M15" i="150"/>
  <c r="M16" i="150"/>
  <c r="M17" i="150"/>
  <c r="M19" i="150"/>
  <c r="M20" i="150"/>
  <c r="M21" i="150"/>
  <c r="M22" i="150"/>
  <c r="M23" i="150"/>
  <c r="M24" i="150"/>
  <c r="M25" i="150"/>
  <c r="M26" i="150"/>
  <c r="M7" i="150"/>
  <c r="M8" i="150"/>
  <c r="M9" i="150"/>
  <c r="M27" i="150"/>
  <c r="AH67" i="109"/>
  <c r="M32" i="150"/>
  <c r="N32" i="150"/>
  <c r="M41" i="150"/>
  <c r="N41" i="150"/>
  <c r="M42" i="150"/>
  <c r="N42" i="150"/>
  <c r="M43" i="150"/>
  <c r="N43" i="150"/>
  <c r="N46" i="150"/>
  <c r="AE67" i="109"/>
  <c r="AD67" i="109"/>
  <c r="AA67" i="109"/>
  <c r="W67" i="109"/>
  <c r="AF67" i="109"/>
  <c r="K39" i="150"/>
  <c r="K45" i="150"/>
  <c r="K46" i="150"/>
  <c r="L39" i="150"/>
  <c r="L45" i="150"/>
  <c r="L46" i="150"/>
  <c r="J39" i="150"/>
  <c r="J45" i="150"/>
  <c r="J46" i="150"/>
  <c r="N7" i="150"/>
  <c r="N8" i="150"/>
  <c r="N19" i="150"/>
  <c r="N20" i="150"/>
  <c r="N21" i="150"/>
  <c r="N22" i="150"/>
  <c r="N23" i="150"/>
  <c r="N24" i="150"/>
  <c r="N27" i="150"/>
  <c r="O67" i="109"/>
  <c r="N67" i="109"/>
  <c r="K67" i="109"/>
  <c r="J67" i="109"/>
  <c r="I67" i="109"/>
  <c r="G67" i="109"/>
  <c r="E67" i="109"/>
  <c r="C67" i="109"/>
  <c r="B67" i="109"/>
  <c r="K17" i="150"/>
  <c r="K25" i="150"/>
  <c r="K26" i="150"/>
  <c r="K9" i="150"/>
  <c r="K27" i="150"/>
  <c r="L17" i="150"/>
  <c r="L25" i="150"/>
  <c r="L26" i="150"/>
  <c r="L9" i="150"/>
  <c r="L27" i="150"/>
  <c r="J17" i="150"/>
  <c r="J25" i="150"/>
  <c r="J26" i="150"/>
  <c r="J9" i="150"/>
  <c r="J27" i="150"/>
  <c r="L21" i="149"/>
  <c r="L22" i="149"/>
  <c r="L23" i="149"/>
  <c r="L17" i="149"/>
  <c r="L18" i="149"/>
  <c r="L19" i="149"/>
  <c r="L13" i="149"/>
  <c r="L14" i="149"/>
  <c r="L15" i="149"/>
  <c r="L24" i="149"/>
  <c r="L9" i="149"/>
  <c r="L10" i="149"/>
  <c r="L25" i="149"/>
  <c r="AH23" i="109"/>
  <c r="M9" i="149"/>
  <c r="M15" i="149"/>
  <c r="M19" i="149"/>
  <c r="M23" i="149"/>
  <c r="M25" i="149"/>
  <c r="O23" i="109"/>
  <c r="AI23" i="109"/>
  <c r="N23" i="109"/>
  <c r="G23" i="109"/>
  <c r="E23" i="109"/>
  <c r="B23" i="109"/>
  <c r="AF23" i="109"/>
  <c r="AG23" i="109"/>
  <c r="J23" i="149"/>
  <c r="J19" i="149"/>
  <c r="J15" i="149"/>
  <c r="J24" i="149"/>
  <c r="J10" i="149"/>
  <c r="J25" i="149"/>
  <c r="K23" i="149"/>
  <c r="K19" i="149"/>
  <c r="K15" i="149"/>
  <c r="K24" i="149"/>
  <c r="K10" i="149"/>
  <c r="K25" i="149"/>
  <c r="I23" i="149"/>
  <c r="I19" i="149"/>
  <c r="I15" i="149"/>
  <c r="I24" i="149"/>
  <c r="I10" i="149"/>
  <c r="I25" i="149"/>
  <c r="AG67" i="109"/>
  <c r="AI67" i="109"/>
  <c r="P67" i="109"/>
  <c r="Q67" i="109"/>
  <c r="AJ67" i="109"/>
  <c r="AJ23" i="109"/>
  <c r="P23" i="109"/>
  <c r="Q23" i="109"/>
  <c r="L35" i="125"/>
  <c r="L30" i="125"/>
  <c r="L31" i="125"/>
  <c r="L32" i="125"/>
  <c r="L33" i="125"/>
  <c r="L36" i="125"/>
  <c r="L37" i="125"/>
  <c r="L10" i="125"/>
  <c r="L11" i="125"/>
  <c r="L12" i="125"/>
  <c r="L15" i="125"/>
  <c r="L16" i="125"/>
  <c r="L17" i="125"/>
  <c r="L18" i="125"/>
  <c r="L19" i="125"/>
  <c r="L21" i="125"/>
  <c r="L22" i="125"/>
  <c r="L23" i="125"/>
  <c r="AH26" i="109"/>
  <c r="O30" i="125"/>
  <c r="P30" i="125"/>
  <c r="M30" i="125"/>
  <c r="O31" i="125"/>
  <c r="P31" i="125"/>
  <c r="M31" i="125"/>
  <c r="O32" i="125"/>
  <c r="P32" i="125"/>
  <c r="M32" i="125"/>
  <c r="M37" i="125"/>
  <c r="AE26" i="109"/>
  <c r="AD26" i="109"/>
  <c r="W26" i="109"/>
  <c r="U26" i="109"/>
  <c r="M10" i="125"/>
  <c r="M11" i="125"/>
  <c r="O15" i="125"/>
  <c r="P15" i="125"/>
  <c r="M15" i="125"/>
  <c r="O16" i="125"/>
  <c r="P16" i="125"/>
  <c r="M16" i="125"/>
  <c r="O17" i="125"/>
  <c r="P17" i="125"/>
  <c r="M17" i="125"/>
  <c r="O18" i="125"/>
  <c r="P18" i="125"/>
  <c r="M18" i="125"/>
  <c r="M23" i="125"/>
  <c r="O26" i="109"/>
  <c r="AI26" i="109"/>
  <c r="N26" i="109"/>
  <c r="J26" i="109"/>
  <c r="E26" i="109"/>
  <c r="C26" i="109"/>
  <c r="B26" i="109"/>
  <c r="J7" i="118"/>
  <c r="J8" i="118"/>
  <c r="J9" i="118"/>
  <c r="J10" i="118"/>
  <c r="J11" i="118"/>
  <c r="J12" i="118"/>
  <c r="J14" i="118"/>
  <c r="J16" i="118"/>
  <c r="J18" i="118"/>
  <c r="AH16" i="109"/>
  <c r="K7" i="118"/>
  <c r="K8" i="118"/>
  <c r="M14" i="118"/>
  <c r="L9" i="118"/>
  <c r="M9" i="118"/>
  <c r="K9" i="118"/>
  <c r="L10" i="118"/>
  <c r="M10" i="118"/>
  <c r="K10" i="118"/>
  <c r="L11" i="118"/>
  <c r="M11" i="118"/>
  <c r="K11" i="118"/>
  <c r="L12" i="118"/>
  <c r="M12" i="118"/>
  <c r="K12" i="118"/>
  <c r="K18" i="118"/>
  <c r="O16" i="109"/>
  <c r="AI16" i="109"/>
  <c r="N16" i="109"/>
  <c r="I16" i="109"/>
  <c r="G16" i="109"/>
  <c r="E16" i="109"/>
  <c r="C16" i="109"/>
  <c r="B16" i="109"/>
  <c r="AF16" i="109"/>
  <c r="AG16" i="109"/>
  <c r="AF26" i="109"/>
  <c r="AJ16" i="109"/>
  <c r="AG26" i="109"/>
  <c r="P26" i="109"/>
  <c r="Q26" i="109"/>
  <c r="AJ26" i="109"/>
  <c r="P16" i="109"/>
  <c r="Q16" i="109"/>
  <c r="L17" i="53"/>
  <c r="AG19" i="109"/>
  <c r="AF19" i="109"/>
  <c r="H16" i="148"/>
  <c r="H29" i="148"/>
  <c r="I16" i="148"/>
  <c r="I29" i="148"/>
  <c r="J16" i="148"/>
  <c r="J29" i="148"/>
  <c r="G16" i="148"/>
  <c r="G29" i="148"/>
  <c r="L14" i="118"/>
  <c r="M22" i="115"/>
  <c r="M16" i="115"/>
  <c r="N22" i="115"/>
  <c r="M23" i="115"/>
  <c r="M17" i="115"/>
  <c r="N23" i="115"/>
  <c r="M18" i="115"/>
  <c r="M24" i="115"/>
  <c r="N24" i="115"/>
  <c r="M10" i="115"/>
  <c r="N10" i="115"/>
  <c r="M11" i="115"/>
  <c r="N11" i="115"/>
  <c r="M12" i="115"/>
  <c r="N12" i="115"/>
  <c r="N27" i="115"/>
  <c r="M27" i="89"/>
  <c r="M28" i="89"/>
  <c r="M29" i="89"/>
  <c r="M32" i="89"/>
  <c r="M33" i="89"/>
  <c r="M34" i="89"/>
  <c r="M35" i="89"/>
  <c r="M36" i="89"/>
  <c r="M37" i="89"/>
  <c r="M38" i="89"/>
  <c r="M39" i="89"/>
  <c r="M22" i="89"/>
  <c r="AH48" i="109"/>
  <c r="N27" i="89"/>
  <c r="N28" i="89"/>
  <c r="O32" i="89"/>
  <c r="N32" i="89"/>
  <c r="O33" i="89"/>
  <c r="N33" i="89"/>
  <c r="O34" i="89"/>
  <c r="N34" i="89"/>
  <c r="O35" i="89"/>
  <c r="N35" i="89"/>
  <c r="N39" i="89"/>
  <c r="AE48" i="109"/>
  <c r="AD48" i="109"/>
  <c r="Z48" i="109"/>
  <c r="W48" i="109"/>
  <c r="U48" i="109"/>
  <c r="S48" i="109"/>
  <c r="R48" i="109"/>
  <c r="K14" i="95"/>
  <c r="K40" i="95"/>
  <c r="L14" i="95"/>
  <c r="L40" i="95"/>
  <c r="M26" i="95"/>
  <c r="M38" i="95"/>
  <c r="M39" i="95"/>
  <c r="M14" i="95"/>
  <c r="M40" i="95"/>
  <c r="N39" i="95"/>
  <c r="N7" i="95"/>
  <c r="N8" i="95"/>
  <c r="N9" i="95"/>
  <c r="N11" i="95"/>
  <c r="N12" i="95"/>
  <c r="N13" i="95"/>
  <c r="N14" i="95"/>
  <c r="N40" i="95"/>
  <c r="J14" i="95"/>
  <c r="J40" i="95"/>
  <c r="I36" i="89"/>
  <c r="I38" i="89"/>
  <c r="I29" i="89"/>
  <c r="I39" i="89"/>
  <c r="M8" i="89"/>
  <c r="N8" i="89"/>
  <c r="M9" i="89"/>
  <c r="N9" i="89"/>
  <c r="M13" i="89"/>
  <c r="M14" i="89"/>
  <c r="M15" i="89"/>
  <c r="M16" i="89"/>
  <c r="M17" i="89"/>
  <c r="M18" i="89"/>
  <c r="M19" i="89"/>
  <c r="M20" i="89"/>
  <c r="O13" i="89"/>
  <c r="N13" i="89"/>
  <c r="O14" i="89"/>
  <c r="N14" i="89"/>
  <c r="O15" i="89"/>
  <c r="N15" i="89"/>
  <c r="O16" i="89"/>
  <c r="N16" i="89"/>
  <c r="O17" i="89"/>
  <c r="N17" i="89"/>
  <c r="O18" i="89"/>
  <c r="N18" i="89"/>
  <c r="N22" i="89"/>
  <c r="I21" i="147"/>
  <c r="I31" i="147"/>
  <c r="I32" i="147"/>
  <c r="I11" i="147"/>
  <c r="I33" i="147"/>
  <c r="J19" i="60"/>
  <c r="K19" i="60"/>
  <c r="L19" i="60"/>
  <c r="M17" i="60"/>
  <c r="M8" i="60"/>
  <c r="M19" i="60"/>
  <c r="I19" i="60"/>
  <c r="N8" i="60"/>
  <c r="M10" i="60"/>
  <c r="M14" i="60"/>
  <c r="N14" i="60"/>
  <c r="M11" i="60"/>
  <c r="M15" i="60"/>
  <c r="N15" i="60"/>
  <c r="N19" i="60"/>
  <c r="L9" i="147"/>
  <c r="L10" i="147"/>
  <c r="L11" i="147"/>
  <c r="L14" i="147"/>
  <c r="L15" i="147"/>
  <c r="L16" i="147"/>
  <c r="L18" i="147"/>
  <c r="L19" i="147"/>
  <c r="L20" i="147"/>
  <c r="L21" i="147"/>
  <c r="L24" i="147"/>
  <c r="L25" i="147"/>
  <c r="L26" i="147"/>
  <c r="L28" i="147"/>
  <c r="L29" i="147"/>
  <c r="L30" i="147"/>
  <c r="L31" i="147"/>
  <c r="L32" i="147"/>
  <c r="L33" i="147"/>
  <c r="AH41" i="109"/>
  <c r="M24" i="147"/>
  <c r="M25" i="147"/>
  <c r="M26" i="147"/>
  <c r="M28" i="147"/>
  <c r="M29" i="147"/>
  <c r="M30" i="147"/>
  <c r="M9" i="147"/>
  <c r="M10" i="147"/>
  <c r="M33" i="147"/>
  <c r="O41" i="109"/>
  <c r="N41" i="109"/>
  <c r="J41" i="109"/>
  <c r="I41" i="109"/>
  <c r="E41" i="109"/>
  <c r="C41" i="109"/>
  <c r="B41" i="109"/>
  <c r="G41" i="109"/>
  <c r="P41" i="109"/>
  <c r="AF41" i="109"/>
  <c r="AG41" i="109"/>
  <c r="J21" i="147"/>
  <c r="J31" i="147"/>
  <c r="J32" i="147"/>
  <c r="K21" i="147"/>
  <c r="K31" i="147"/>
  <c r="K32" i="147"/>
  <c r="K11" i="147"/>
  <c r="K33" i="147"/>
  <c r="J11" i="147"/>
  <c r="J33" i="147"/>
  <c r="M10" i="146"/>
  <c r="M11" i="146"/>
  <c r="M12" i="146"/>
  <c r="M21" i="146"/>
  <c r="M22" i="146"/>
  <c r="M23" i="146"/>
  <c r="M24" i="146"/>
  <c r="M15" i="146"/>
  <c r="M16" i="146"/>
  <c r="M17" i="146"/>
  <c r="M18" i="146"/>
  <c r="M25" i="146"/>
  <c r="M26" i="146"/>
  <c r="AH10" i="109"/>
  <c r="N21" i="146"/>
  <c r="N22" i="146"/>
  <c r="N23" i="146"/>
  <c r="N10" i="146"/>
  <c r="N11" i="146"/>
  <c r="N26" i="146"/>
  <c r="O10" i="109"/>
  <c r="N10" i="109"/>
  <c r="J10" i="109"/>
  <c r="E10" i="109"/>
  <c r="C10" i="109"/>
  <c r="B10" i="109"/>
  <c r="AF10" i="109"/>
  <c r="AG10" i="109"/>
  <c r="G10" i="109"/>
  <c r="H10" i="109"/>
  <c r="L12" i="146"/>
  <c r="L24" i="146"/>
  <c r="L18" i="146"/>
  <c r="L25" i="146"/>
  <c r="L26" i="146"/>
  <c r="K12" i="146"/>
  <c r="K24" i="146"/>
  <c r="K18" i="146"/>
  <c r="K25" i="146"/>
  <c r="K26" i="146"/>
  <c r="J12" i="146"/>
  <c r="J24" i="146"/>
  <c r="J18" i="146"/>
  <c r="J25" i="146"/>
  <c r="J26" i="146"/>
  <c r="I12" i="146"/>
  <c r="I24" i="146"/>
  <c r="I18" i="146"/>
  <c r="I25" i="146"/>
  <c r="I26" i="146"/>
  <c r="L21" i="145"/>
  <c r="L22" i="145"/>
  <c r="L23" i="145"/>
  <c r="L24" i="145"/>
  <c r="L25" i="145"/>
  <c r="L26" i="145"/>
  <c r="L27" i="145"/>
  <c r="L29" i="145"/>
  <c r="L8" i="145"/>
  <c r="L9" i="145"/>
  <c r="L10" i="145"/>
  <c r="L11" i="145"/>
  <c r="L12" i="145"/>
  <c r="L13" i="145"/>
  <c r="L14" i="145"/>
  <c r="L15" i="145"/>
  <c r="L16" i="145"/>
  <c r="L18" i="145"/>
  <c r="L30" i="145"/>
  <c r="AH68" i="109"/>
  <c r="M8" i="145"/>
  <c r="M14" i="145"/>
  <c r="M21" i="145"/>
  <c r="M22" i="145"/>
  <c r="M23" i="145"/>
  <c r="M24" i="145"/>
  <c r="M25" i="145"/>
  <c r="M27" i="145"/>
  <c r="M30" i="145"/>
  <c r="O68" i="109"/>
  <c r="N68" i="109"/>
  <c r="K68" i="109"/>
  <c r="J68" i="109"/>
  <c r="I68" i="109"/>
  <c r="G68" i="109"/>
  <c r="E68" i="109"/>
  <c r="C68" i="109"/>
  <c r="B68" i="109"/>
  <c r="AI68" i="109"/>
  <c r="AJ68" i="109"/>
  <c r="R68" i="109"/>
  <c r="S68" i="109"/>
  <c r="U68" i="109"/>
  <c r="I26" i="145"/>
  <c r="J26" i="145"/>
  <c r="J29" i="145"/>
  <c r="J15" i="145"/>
  <c r="J18" i="145"/>
  <c r="J30" i="145"/>
  <c r="K26" i="145"/>
  <c r="K29" i="145"/>
  <c r="K15" i="145"/>
  <c r="K18" i="145"/>
  <c r="K30" i="145"/>
  <c r="I29" i="145"/>
  <c r="I15" i="145"/>
  <c r="I18" i="145"/>
  <c r="I30" i="145"/>
  <c r="L9" i="144"/>
  <c r="L10" i="144"/>
  <c r="L11" i="144"/>
  <c r="L12" i="144"/>
  <c r="L16" i="144"/>
  <c r="L17" i="144"/>
  <c r="L18" i="144"/>
  <c r="L19" i="144"/>
  <c r="L20" i="144"/>
  <c r="L21" i="144"/>
  <c r="L22" i="144"/>
  <c r="L23" i="144"/>
  <c r="L24" i="144"/>
  <c r="L28" i="144"/>
  <c r="L29" i="144"/>
  <c r="L30" i="144"/>
  <c r="L31" i="144"/>
  <c r="L32" i="144"/>
  <c r="L33" i="144"/>
  <c r="L34" i="144"/>
  <c r="L35" i="144"/>
  <c r="L36" i="144"/>
  <c r="L38" i="144"/>
  <c r="L39" i="144"/>
  <c r="AH66" i="109"/>
  <c r="M9" i="144"/>
  <c r="M10" i="144"/>
  <c r="M11" i="144"/>
  <c r="M28" i="144"/>
  <c r="M29" i="144"/>
  <c r="M30" i="144"/>
  <c r="M31" i="144"/>
  <c r="M32" i="144"/>
  <c r="M33" i="144"/>
  <c r="M34" i="144"/>
  <c r="M35" i="144"/>
  <c r="M39" i="144"/>
  <c r="O66" i="109"/>
  <c r="AI66" i="109"/>
  <c r="AJ66" i="109"/>
  <c r="N66" i="109"/>
  <c r="K66" i="109"/>
  <c r="J66" i="109"/>
  <c r="G66" i="109"/>
  <c r="F66" i="109"/>
  <c r="E66" i="109"/>
  <c r="D66" i="109"/>
  <c r="C66" i="109"/>
  <c r="B66" i="109"/>
  <c r="AF66" i="109"/>
  <c r="AG66" i="109"/>
  <c r="J24" i="144"/>
  <c r="J36" i="144"/>
  <c r="J38" i="144"/>
  <c r="K24" i="144"/>
  <c r="K36" i="144"/>
  <c r="K38" i="144"/>
  <c r="I24" i="144"/>
  <c r="I36" i="144"/>
  <c r="I38" i="144"/>
  <c r="K12" i="144"/>
  <c r="K39" i="144"/>
  <c r="J12" i="144"/>
  <c r="J39" i="144"/>
  <c r="I12" i="144"/>
  <c r="I39" i="144"/>
  <c r="L9" i="143"/>
  <c r="L10" i="143"/>
  <c r="L11" i="143"/>
  <c r="L14" i="143"/>
  <c r="L15" i="143"/>
  <c r="L16" i="143"/>
  <c r="L17" i="143"/>
  <c r="L20" i="143"/>
  <c r="L21" i="143"/>
  <c r="L22" i="143"/>
  <c r="L23" i="143"/>
  <c r="L25" i="143"/>
  <c r="L26" i="143"/>
  <c r="AH65" i="109"/>
  <c r="M9" i="143"/>
  <c r="M10" i="143"/>
  <c r="M20" i="143"/>
  <c r="M21" i="143"/>
  <c r="M22" i="143"/>
  <c r="M26" i="143"/>
  <c r="O65" i="109"/>
  <c r="N65" i="109"/>
  <c r="G65" i="109"/>
  <c r="E65" i="109"/>
  <c r="C65" i="109"/>
  <c r="B65" i="109"/>
  <c r="R65" i="109"/>
  <c r="S65" i="109"/>
  <c r="U65" i="109"/>
  <c r="I65" i="109"/>
  <c r="J17" i="143"/>
  <c r="J23" i="143"/>
  <c r="J25" i="143"/>
  <c r="K17" i="143"/>
  <c r="K23" i="143"/>
  <c r="K25" i="143"/>
  <c r="I17" i="143"/>
  <c r="I23" i="143"/>
  <c r="I25" i="143"/>
  <c r="K11" i="143"/>
  <c r="K26" i="143"/>
  <c r="J11" i="143"/>
  <c r="J26" i="143"/>
  <c r="I11" i="143"/>
  <c r="I26" i="143"/>
  <c r="L9" i="142"/>
  <c r="L10" i="142"/>
  <c r="L11" i="142"/>
  <c r="L14" i="142"/>
  <c r="L15" i="142"/>
  <c r="L16" i="142"/>
  <c r="L17" i="142"/>
  <c r="L18" i="142"/>
  <c r="L21" i="142"/>
  <c r="L22" i="142"/>
  <c r="L23" i="142"/>
  <c r="L24" i="142"/>
  <c r="L25" i="142"/>
  <c r="L27" i="142"/>
  <c r="L28" i="142"/>
  <c r="AH64" i="109"/>
  <c r="M9" i="142"/>
  <c r="M10" i="142"/>
  <c r="M21" i="142"/>
  <c r="M22" i="142"/>
  <c r="M23" i="142"/>
  <c r="M24" i="142"/>
  <c r="M28" i="142"/>
  <c r="O64" i="109"/>
  <c r="AI64" i="109"/>
  <c r="AJ64" i="109"/>
  <c r="N64" i="109"/>
  <c r="J64" i="109"/>
  <c r="I64" i="109"/>
  <c r="E64" i="109"/>
  <c r="B64" i="109"/>
  <c r="R64" i="109"/>
  <c r="S64" i="109"/>
  <c r="U64" i="109"/>
  <c r="V64" i="109"/>
  <c r="AD64" i="109"/>
  <c r="C64" i="109"/>
  <c r="D64" i="109"/>
  <c r="G64" i="109"/>
  <c r="K11" i="142"/>
  <c r="K18" i="142"/>
  <c r="K25" i="142"/>
  <c r="K27" i="142"/>
  <c r="K28" i="142"/>
  <c r="J11" i="142"/>
  <c r="J18" i="142"/>
  <c r="J25" i="142"/>
  <c r="J27" i="142"/>
  <c r="J28" i="142"/>
  <c r="I11" i="142"/>
  <c r="I18" i="142"/>
  <c r="I25" i="142"/>
  <c r="I27" i="142"/>
  <c r="I28" i="142"/>
  <c r="J12" i="141"/>
  <c r="E10" i="141"/>
  <c r="F10" i="141"/>
  <c r="G10" i="141"/>
  <c r="H10" i="141"/>
  <c r="I10" i="141"/>
  <c r="J10" i="141"/>
  <c r="J14" i="141"/>
  <c r="AH62" i="109"/>
  <c r="K7" i="141"/>
  <c r="K10" i="141"/>
  <c r="K11" i="141"/>
  <c r="K12" i="141"/>
  <c r="K13" i="141"/>
  <c r="K14" i="141"/>
  <c r="O62" i="109"/>
  <c r="N62" i="109"/>
  <c r="I62" i="109"/>
  <c r="G62" i="109"/>
  <c r="E62" i="109"/>
  <c r="B62" i="109"/>
  <c r="R62" i="109"/>
  <c r="S62" i="109"/>
  <c r="U62" i="109"/>
  <c r="C62" i="109"/>
  <c r="J7" i="141"/>
  <c r="I14" i="141"/>
  <c r="H14" i="141"/>
  <c r="G14" i="141"/>
  <c r="F14" i="141"/>
  <c r="E14" i="141"/>
  <c r="J9" i="141"/>
  <c r="J8" i="141"/>
  <c r="L9" i="140"/>
  <c r="L10" i="140"/>
  <c r="L11" i="140"/>
  <c r="L15" i="140"/>
  <c r="L16" i="140"/>
  <c r="L18" i="140"/>
  <c r="L19" i="140"/>
  <c r="L20" i="140"/>
  <c r="L24" i="140"/>
  <c r="L25" i="140"/>
  <c r="L27" i="140"/>
  <c r="L28" i="140"/>
  <c r="L29" i="140"/>
  <c r="L31" i="140"/>
  <c r="L32" i="140"/>
  <c r="AH61" i="109"/>
  <c r="M9" i="140"/>
  <c r="M10" i="140"/>
  <c r="M24" i="140"/>
  <c r="M25" i="140"/>
  <c r="M27" i="140"/>
  <c r="M28" i="140"/>
  <c r="M32" i="140"/>
  <c r="O61" i="109"/>
  <c r="N61" i="109"/>
  <c r="J61" i="109"/>
  <c r="E61" i="109"/>
  <c r="C61" i="109"/>
  <c r="B61" i="109"/>
  <c r="U61" i="109"/>
  <c r="Z61" i="109"/>
  <c r="AD61" i="109"/>
  <c r="F61" i="109"/>
  <c r="K11" i="140"/>
  <c r="K20" i="140"/>
  <c r="K29" i="140"/>
  <c r="K31" i="140"/>
  <c r="K32" i="140"/>
  <c r="J11" i="140"/>
  <c r="J20" i="140"/>
  <c r="J29" i="140"/>
  <c r="J31" i="140"/>
  <c r="J32" i="140"/>
  <c r="I11" i="140"/>
  <c r="I20" i="140"/>
  <c r="I29" i="140"/>
  <c r="I31" i="140"/>
  <c r="I32" i="140"/>
  <c r="L9" i="139"/>
  <c r="L10" i="139"/>
  <c r="L11" i="139"/>
  <c r="L14" i="139"/>
  <c r="L15" i="139"/>
  <c r="L16" i="139"/>
  <c r="L17" i="139"/>
  <c r="L18" i="139"/>
  <c r="L19" i="139"/>
  <c r="L20" i="139"/>
  <c r="L22" i="139"/>
  <c r="L23" i="139"/>
  <c r="L24" i="139"/>
  <c r="L25" i="139"/>
  <c r="L26" i="139"/>
  <c r="L29" i="139"/>
  <c r="L30" i="139"/>
  <c r="L31" i="139"/>
  <c r="L32" i="139"/>
  <c r="L33" i="139"/>
  <c r="L34" i="139"/>
  <c r="L35" i="139"/>
  <c r="L37" i="139"/>
  <c r="L38" i="139"/>
  <c r="L39" i="139"/>
  <c r="L40" i="139"/>
  <c r="L41" i="139"/>
  <c r="L43" i="139"/>
  <c r="L44" i="139"/>
  <c r="AH60" i="109"/>
  <c r="M9" i="139"/>
  <c r="M10" i="139"/>
  <c r="M29" i="139"/>
  <c r="M30" i="139"/>
  <c r="M31" i="139"/>
  <c r="M32" i="139"/>
  <c r="M33" i="139"/>
  <c r="M34" i="139"/>
  <c r="M35" i="139"/>
  <c r="M37" i="139"/>
  <c r="M38" i="139"/>
  <c r="M39" i="139"/>
  <c r="M40" i="139"/>
  <c r="M44" i="139"/>
  <c r="O60" i="109"/>
  <c r="K60" i="109"/>
  <c r="J60" i="109"/>
  <c r="I60" i="109"/>
  <c r="G60" i="109"/>
  <c r="F60" i="109"/>
  <c r="E60" i="109"/>
  <c r="C60" i="109"/>
  <c r="B60" i="109"/>
  <c r="R60" i="109"/>
  <c r="S60" i="109"/>
  <c r="W60" i="109"/>
  <c r="N60" i="109"/>
  <c r="K11" i="139"/>
  <c r="K26" i="139"/>
  <c r="K41" i="139"/>
  <c r="K43" i="139"/>
  <c r="K44" i="139"/>
  <c r="J11" i="139"/>
  <c r="J26" i="139"/>
  <c r="J41" i="139"/>
  <c r="J43" i="139"/>
  <c r="J44" i="139"/>
  <c r="I11" i="139"/>
  <c r="I26" i="139"/>
  <c r="I41" i="139"/>
  <c r="I43" i="139"/>
  <c r="I44" i="139"/>
  <c r="L8" i="138"/>
  <c r="L9" i="138"/>
  <c r="I14" i="138"/>
  <c r="J14" i="138"/>
  <c r="K14" i="138"/>
  <c r="L14" i="138"/>
  <c r="I19" i="138"/>
  <c r="J19" i="138"/>
  <c r="K19" i="138"/>
  <c r="L19" i="138"/>
  <c r="L21" i="138"/>
  <c r="L22" i="138"/>
  <c r="AH58" i="109"/>
  <c r="M8" i="138"/>
  <c r="L12" i="138"/>
  <c r="L17" i="138"/>
  <c r="M17" i="138"/>
  <c r="L13" i="138"/>
  <c r="L18" i="138"/>
  <c r="M18" i="138"/>
  <c r="M22" i="138"/>
  <c r="O58" i="109"/>
  <c r="AI58" i="109"/>
  <c r="J58" i="109"/>
  <c r="E58" i="109"/>
  <c r="B58" i="109"/>
  <c r="R58" i="109"/>
  <c r="S58" i="109"/>
  <c r="U58" i="109"/>
  <c r="Z58" i="109"/>
  <c r="AD58" i="109"/>
  <c r="C58" i="109"/>
  <c r="F58" i="109"/>
  <c r="N58" i="109"/>
  <c r="J21" i="138"/>
  <c r="K21" i="138"/>
  <c r="I21" i="138"/>
  <c r="K9" i="138"/>
  <c r="K22" i="138"/>
  <c r="J9" i="138"/>
  <c r="J22" i="138"/>
  <c r="I9" i="138"/>
  <c r="I22" i="138"/>
  <c r="L9" i="137"/>
  <c r="L10" i="137"/>
  <c r="L11" i="137"/>
  <c r="L14" i="137"/>
  <c r="L15" i="137"/>
  <c r="L16" i="137"/>
  <c r="L17" i="137"/>
  <c r="L18" i="137"/>
  <c r="L21" i="137"/>
  <c r="L22" i="137"/>
  <c r="L23" i="137"/>
  <c r="L24" i="137"/>
  <c r="L25" i="137"/>
  <c r="L27" i="137"/>
  <c r="L28" i="137"/>
  <c r="AH54" i="109"/>
  <c r="M9" i="137"/>
  <c r="M10" i="137"/>
  <c r="M21" i="137"/>
  <c r="M22" i="137"/>
  <c r="M23" i="137"/>
  <c r="M24" i="137"/>
  <c r="M28" i="137"/>
  <c r="O54" i="109"/>
  <c r="N54" i="109"/>
  <c r="G54" i="109"/>
  <c r="F54" i="109"/>
  <c r="E54" i="109"/>
  <c r="C54" i="109"/>
  <c r="B54" i="109"/>
  <c r="AF54" i="109"/>
  <c r="AG54" i="109"/>
  <c r="D54" i="109"/>
  <c r="J18" i="137"/>
  <c r="J25" i="137"/>
  <c r="J27" i="137"/>
  <c r="K18" i="137"/>
  <c r="K25" i="137"/>
  <c r="K27" i="137"/>
  <c r="I18" i="137"/>
  <c r="I25" i="137"/>
  <c r="I27" i="137"/>
  <c r="K11" i="137"/>
  <c r="K28" i="137"/>
  <c r="J11" i="137"/>
  <c r="J28" i="137"/>
  <c r="I11" i="137"/>
  <c r="I28" i="137"/>
  <c r="L9" i="136"/>
  <c r="M9" i="136"/>
  <c r="L10" i="136"/>
  <c r="M10" i="136"/>
  <c r="L14" i="136"/>
  <c r="L21" i="136"/>
  <c r="M21" i="136"/>
  <c r="L15" i="136"/>
  <c r="L22" i="136"/>
  <c r="M22" i="136"/>
  <c r="L16" i="136"/>
  <c r="L23" i="136"/>
  <c r="M23" i="136"/>
  <c r="L17" i="136"/>
  <c r="L24" i="136"/>
  <c r="M24" i="136"/>
  <c r="M28" i="136"/>
  <c r="AH47" i="109"/>
  <c r="O47" i="109"/>
  <c r="AI47" i="109"/>
  <c r="AJ47" i="109"/>
  <c r="N47" i="109"/>
  <c r="J47" i="109"/>
  <c r="G47" i="109"/>
  <c r="E47" i="109"/>
  <c r="C47" i="109"/>
  <c r="B47" i="109"/>
  <c r="AF47" i="109"/>
  <c r="AG47" i="109"/>
  <c r="J18" i="136"/>
  <c r="J25" i="136"/>
  <c r="J27" i="136"/>
  <c r="K18" i="136"/>
  <c r="K25" i="136"/>
  <c r="K27" i="136"/>
  <c r="L18" i="136"/>
  <c r="L25" i="136"/>
  <c r="L27" i="136"/>
  <c r="I18" i="136"/>
  <c r="I25" i="136"/>
  <c r="I27" i="136"/>
  <c r="L11" i="136"/>
  <c r="L28" i="136"/>
  <c r="K11" i="136"/>
  <c r="K28" i="136"/>
  <c r="J11" i="136"/>
  <c r="J28" i="136"/>
  <c r="I11" i="136"/>
  <c r="I28" i="136"/>
  <c r="L9" i="135"/>
  <c r="L10" i="135"/>
  <c r="L13" i="135"/>
  <c r="L14" i="135"/>
  <c r="L15" i="135"/>
  <c r="L18" i="135"/>
  <c r="L19" i="135"/>
  <c r="L20" i="135"/>
  <c r="L22" i="135"/>
  <c r="L23" i="135"/>
  <c r="AH46" i="109"/>
  <c r="M9" i="135"/>
  <c r="M18" i="135"/>
  <c r="M19" i="135"/>
  <c r="M23" i="135"/>
  <c r="O46" i="109"/>
  <c r="G46" i="109"/>
  <c r="E46" i="109"/>
  <c r="B46" i="109"/>
  <c r="AI46" i="109"/>
  <c r="R46" i="109"/>
  <c r="S46" i="109"/>
  <c r="U46" i="109"/>
  <c r="W46" i="109"/>
  <c r="D46" i="109"/>
  <c r="F46" i="109"/>
  <c r="J15" i="135"/>
  <c r="J20" i="135"/>
  <c r="J22" i="135"/>
  <c r="K15" i="135"/>
  <c r="K20" i="135"/>
  <c r="K22" i="135"/>
  <c r="I15" i="135"/>
  <c r="I20" i="135"/>
  <c r="I22" i="135"/>
  <c r="K10" i="135"/>
  <c r="K23" i="135"/>
  <c r="J10" i="135"/>
  <c r="J23" i="135"/>
  <c r="I10" i="135"/>
  <c r="I23" i="135"/>
  <c r="L25" i="134"/>
  <c r="L26" i="134"/>
  <c r="L27" i="134"/>
  <c r="L21" i="134"/>
  <c r="L22" i="134"/>
  <c r="L23" i="134"/>
  <c r="L17" i="134"/>
  <c r="L18" i="134"/>
  <c r="L19" i="134"/>
  <c r="L13" i="134"/>
  <c r="L14" i="134"/>
  <c r="L15" i="134"/>
  <c r="L29" i="134"/>
  <c r="L8" i="134"/>
  <c r="L9" i="134"/>
  <c r="L10" i="134"/>
  <c r="L31" i="134"/>
  <c r="AH45" i="109"/>
  <c r="M8" i="134"/>
  <c r="M9" i="134"/>
  <c r="M14" i="134"/>
  <c r="M18" i="134"/>
  <c r="M22" i="134"/>
  <c r="M26" i="134"/>
  <c r="M31" i="134"/>
  <c r="O45" i="109"/>
  <c r="AI45" i="109"/>
  <c r="AJ45" i="109"/>
  <c r="N45" i="109"/>
  <c r="J45" i="109"/>
  <c r="I45" i="109"/>
  <c r="E45" i="109"/>
  <c r="C45" i="109"/>
  <c r="B45" i="109"/>
  <c r="R45" i="109"/>
  <c r="S45" i="109"/>
  <c r="U45" i="109"/>
  <c r="Z45" i="109"/>
  <c r="AD45" i="109"/>
  <c r="F45" i="109"/>
  <c r="G45" i="109"/>
  <c r="K45" i="109"/>
  <c r="J27" i="134"/>
  <c r="J23" i="134"/>
  <c r="J19" i="134"/>
  <c r="J15" i="134"/>
  <c r="J29" i="134"/>
  <c r="K27" i="134"/>
  <c r="K23" i="134"/>
  <c r="K19" i="134"/>
  <c r="K15" i="134"/>
  <c r="K29" i="134"/>
  <c r="J10" i="134"/>
  <c r="J31" i="134"/>
  <c r="K10" i="134"/>
  <c r="K31" i="134"/>
  <c r="I27" i="134"/>
  <c r="I23" i="134"/>
  <c r="I19" i="134"/>
  <c r="I15" i="134"/>
  <c r="I29" i="134"/>
  <c r="I10" i="134"/>
  <c r="I31" i="134"/>
  <c r="J13" i="133"/>
  <c r="J14" i="133"/>
  <c r="J15" i="133"/>
  <c r="J16" i="133"/>
  <c r="E10" i="133"/>
  <c r="F10" i="133"/>
  <c r="G10" i="133"/>
  <c r="H10" i="133"/>
  <c r="I10" i="133"/>
  <c r="J10" i="133"/>
  <c r="J18" i="133"/>
  <c r="AH44" i="109"/>
  <c r="K7" i="133"/>
  <c r="K8" i="133"/>
  <c r="G16" i="133"/>
  <c r="K13" i="133"/>
  <c r="H16" i="133"/>
  <c r="K14" i="133"/>
  <c r="I16" i="133"/>
  <c r="K15" i="133"/>
  <c r="K18" i="133"/>
  <c r="O44" i="109"/>
  <c r="AI44" i="109"/>
  <c r="N44" i="109"/>
  <c r="J44" i="109"/>
  <c r="E44" i="109"/>
  <c r="C44" i="109"/>
  <c r="B44" i="109"/>
  <c r="R44" i="109"/>
  <c r="S44" i="109"/>
  <c r="U44" i="109"/>
  <c r="Z44" i="109"/>
  <c r="AD44" i="109"/>
  <c r="F44" i="109"/>
  <c r="G44" i="109"/>
  <c r="K44" i="109"/>
  <c r="I18" i="133"/>
  <c r="H18" i="133"/>
  <c r="G18" i="133"/>
  <c r="F16" i="133"/>
  <c r="F18" i="133"/>
  <c r="E16" i="133"/>
  <c r="E18" i="133"/>
  <c r="J9" i="133"/>
  <c r="J8" i="133"/>
  <c r="J7" i="133"/>
  <c r="L9" i="132"/>
  <c r="M9" i="132"/>
  <c r="L10" i="132"/>
  <c r="L17" i="132"/>
  <c r="M17" i="132"/>
  <c r="L11" i="132"/>
  <c r="L18" i="132"/>
  <c r="M18" i="132"/>
  <c r="L12" i="132"/>
  <c r="L19" i="132"/>
  <c r="M19" i="132"/>
  <c r="L13" i="132"/>
  <c r="L20" i="132"/>
  <c r="M20" i="132"/>
  <c r="L25" i="132"/>
  <c r="L30" i="132"/>
  <c r="M30" i="132"/>
  <c r="L26" i="132"/>
  <c r="L31" i="132"/>
  <c r="M31" i="132"/>
  <c r="L36" i="132"/>
  <c r="L41" i="132"/>
  <c r="M41" i="132"/>
  <c r="L37" i="132"/>
  <c r="L42" i="132"/>
  <c r="M42" i="132"/>
  <c r="L47" i="132"/>
  <c r="L54" i="132"/>
  <c r="M54" i="132"/>
  <c r="L48" i="132"/>
  <c r="L55" i="132"/>
  <c r="M55" i="132"/>
  <c r="L49" i="132"/>
  <c r="L56" i="132"/>
  <c r="M56" i="132"/>
  <c r="L50" i="132"/>
  <c r="L57" i="132"/>
  <c r="M57" i="132"/>
  <c r="L62" i="132"/>
  <c r="L67" i="132"/>
  <c r="M67" i="132"/>
  <c r="L63" i="132"/>
  <c r="L68" i="132"/>
  <c r="M68" i="132"/>
  <c r="L73" i="132"/>
  <c r="L80" i="132"/>
  <c r="M80" i="132"/>
  <c r="L74" i="132"/>
  <c r="L81" i="132"/>
  <c r="M81" i="132"/>
  <c r="L75" i="132"/>
  <c r="L82" i="132"/>
  <c r="M82" i="132"/>
  <c r="L76" i="132"/>
  <c r="L83" i="132"/>
  <c r="M83" i="132"/>
  <c r="L88" i="132"/>
  <c r="L92" i="132"/>
  <c r="M92" i="132"/>
  <c r="L97" i="132"/>
  <c r="L101" i="132"/>
  <c r="M101" i="132"/>
  <c r="L108" i="132"/>
  <c r="M108" i="132"/>
  <c r="L106" i="132"/>
  <c r="L113" i="132"/>
  <c r="M113" i="132"/>
  <c r="L107" i="132"/>
  <c r="L114" i="132"/>
  <c r="M114" i="132"/>
  <c r="L109" i="132"/>
  <c r="L115" i="132"/>
  <c r="M115" i="132"/>
  <c r="L120" i="132"/>
  <c r="M120" i="132"/>
  <c r="L121" i="132"/>
  <c r="L130" i="132"/>
  <c r="M130" i="132"/>
  <c r="L122" i="132"/>
  <c r="L131" i="132"/>
  <c r="M131" i="132"/>
  <c r="L123" i="132"/>
  <c r="L132" i="132"/>
  <c r="M132" i="132"/>
  <c r="L124" i="132"/>
  <c r="L133" i="132"/>
  <c r="M133" i="132"/>
  <c r="L125" i="132"/>
  <c r="L134" i="132"/>
  <c r="M134" i="132"/>
  <c r="L126" i="132"/>
  <c r="L135" i="132"/>
  <c r="M135" i="132"/>
  <c r="M140" i="132"/>
  <c r="AH39" i="109"/>
  <c r="O39" i="109"/>
  <c r="N39" i="109"/>
  <c r="L39" i="109"/>
  <c r="K39" i="109"/>
  <c r="I39" i="109"/>
  <c r="G39" i="109"/>
  <c r="E39" i="109"/>
  <c r="C39" i="109"/>
  <c r="B39" i="109"/>
  <c r="R39" i="109"/>
  <c r="AD39" i="109"/>
  <c r="L140" i="132"/>
  <c r="L139" i="132"/>
  <c r="L138" i="132"/>
  <c r="J136" i="132"/>
  <c r="K136" i="132"/>
  <c r="L136" i="132"/>
  <c r="I136" i="132"/>
  <c r="J127" i="132"/>
  <c r="K127" i="132"/>
  <c r="L127" i="132"/>
  <c r="I127" i="132"/>
  <c r="J102" i="132"/>
  <c r="K102" i="132"/>
  <c r="L102" i="132"/>
  <c r="I102" i="132"/>
  <c r="J93" i="132"/>
  <c r="K93" i="132"/>
  <c r="L93" i="132"/>
  <c r="I93" i="132"/>
  <c r="J84" i="132"/>
  <c r="K84" i="132"/>
  <c r="L84" i="132"/>
  <c r="I84" i="132"/>
  <c r="J69" i="132"/>
  <c r="K69" i="132"/>
  <c r="L69" i="132"/>
  <c r="I69" i="132"/>
  <c r="J32" i="132"/>
  <c r="K32" i="132"/>
  <c r="L32" i="132"/>
  <c r="I32" i="132"/>
  <c r="J14" i="132"/>
  <c r="K14" i="132"/>
  <c r="L14" i="132"/>
  <c r="I14" i="132"/>
  <c r="L116" i="132"/>
  <c r="K116" i="132"/>
  <c r="J116" i="132"/>
  <c r="I116" i="132"/>
  <c r="L110" i="132"/>
  <c r="K110" i="132"/>
  <c r="J110" i="132"/>
  <c r="I110" i="132"/>
  <c r="L98" i="132"/>
  <c r="K98" i="132"/>
  <c r="J98" i="132"/>
  <c r="I98" i="132"/>
  <c r="L89" i="132"/>
  <c r="K89" i="132"/>
  <c r="J89" i="132"/>
  <c r="I89" i="132"/>
  <c r="L77" i="132"/>
  <c r="K77" i="132"/>
  <c r="J77" i="132"/>
  <c r="I77" i="132"/>
  <c r="L64" i="132"/>
  <c r="K64" i="132"/>
  <c r="J64" i="132"/>
  <c r="I64" i="132"/>
  <c r="L58" i="132"/>
  <c r="K58" i="132"/>
  <c r="J58" i="132"/>
  <c r="I58" i="132"/>
  <c r="L51" i="132"/>
  <c r="K51" i="132"/>
  <c r="J51" i="132"/>
  <c r="I51" i="132"/>
  <c r="L43" i="132"/>
  <c r="K43" i="132"/>
  <c r="J43" i="132"/>
  <c r="I43" i="132"/>
  <c r="L38" i="132"/>
  <c r="K38" i="132"/>
  <c r="J38" i="132"/>
  <c r="I38" i="132"/>
  <c r="L27" i="132"/>
  <c r="K27" i="132"/>
  <c r="J27" i="132"/>
  <c r="I27" i="132"/>
  <c r="L21" i="132"/>
  <c r="K21" i="132"/>
  <c r="J21" i="132"/>
  <c r="I21" i="132"/>
  <c r="L14" i="131"/>
  <c r="M14" i="131"/>
  <c r="L15" i="131"/>
  <c r="L20" i="131"/>
  <c r="M20" i="131"/>
  <c r="L16" i="131"/>
  <c r="L21" i="131"/>
  <c r="M21" i="131"/>
  <c r="L17" i="131"/>
  <c r="L22" i="131"/>
  <c r="M22" i="131"/>
  <c r="L9" i="131"/>
  <c r="M9" i="131"/>
  <c r="L10" i="131"/>
  <c r="M10" i="131"/>
  <c r="L11" i="131"/>
  <c r="M11" i="131"/>
  <c r="M25" i="131"/>
  <c r="AH37" i="109"/>
  <c r="O37" i="109"/>
  <c r="J37" i="109"/>
  <c r="I37" i="109"/>
  <c r="H37" i="109"/>
  <c r="E37" i="109"/>
  <c r="D37" i="109"/>
  <c r="B37" i="109"/>
  <c r="R37" i="109"/>
  <c r="AF37" i="109"/>
  <c r="AG37" i="109"/>
  <c r="G37" i="109"/>
  <c r="N37" i="109"/>
  <c r="J18" i="131"/>
  <c r="J23" i="131"/>
  <c r="J24" i="131"/>
  <c r="K18" i="131"/>
  <c r="K23" i="131"/>
  <c r="K24" i="131"/>
  <c r="L18" i="131"/>
  <c r="L23" i="131"/>
  <c r="L24" i="131"/>
  <c r="I18" i="131"/>
  <c r="I23" i="131"/>
  <c r="I24" i="131"/>
  <c r="L12" i="131"/>
  <c r="L25" i="131"/>
  <c r="K12" i="131"/>
  <c r="K25" i="131"/>
  <c r="J12" i="131"/>
  <c r="J25" i="131"/>
  <c r="I12" i="131"/>
  <c r="I25" i="131"/>
  <c r="L22" i="130"/>
  <c r="L14" i="130"/>
  <c r="M22" i="130"/>
  <c r="L23" i="130"/>
  <c r="L15" i="130"/>
  <c r="M23" i="130"/>
  <c r="L24" i="130"/>
  <c r="L16" i="130"/>
  <c r="M24" i="130"/>
  <c r="L25" i="130"/>
  <c r="L17" i="130"/>
  <c r="M25" i="130"/>
  <c r="L26" i="130"/>
  <c r="L18" i="130"/>
  <c r="M26" i="130"/>
  <c r="L27" i="130"/>
  <c r="L19" i="130"/>
  <c r="M27" i="130"/>
  <c r="L9" i="130"/>
  <c r="M9" i="130"/>
  <c r="L11" i="130"/>
  <c r="M11" i="130"/>
  <c r="M30" i="130"/>
  <c r="AH35" i="109"/>
  <c r="O35" i="109"/>
  <c r="N35" i="109"/>
  <c r="K35" i="109"/>
  <c r="J35" i="109"/>
  <c r="G35" i="109"/>
  <c r="E35" i="109"/>
  <c r="B35" i="109"/>
  <c r="R35" i="109"/>
  <c r="S35" i="109"/>
  <c r="V35" i="109"/>
  <c r="W35" i="109"/>
  <c r="AD35" i="109"/>
  <c r="F35" i="109"/>
  <c r="J28" i="130"/>
  <c r="J20" i="130"/>
  <c r="J29" i="130"/>
  <c r="K28" i="130"/>
  <c r="K20" i="130"/>
  <c r="K29" i="130"/>
  <c r="L28" i="130"/>
  <c r="L20" i="130"/>
  <c r="L29" i="130"/>
  <c r="I28" i="130"/>
  <c r="I20" i="130"/>
  <c r="I29" i="130"/>
  <c r="L12" i="130"/>
  <c r="L30" i="130"/>
  <c r="K12" i="130"/>
  <c r="K30" i="130"/>
  <c r="J12" i="130"/>
  <c r="J30" i="130"/>
  <c r="I12" i="130"/>
  <c r="I30" i="130"/>
  <c r="L10" i="129"/>
  <c r="M10" i="129"/>
  <c r="L28" i="129"/>
  <c r="M28" i="129"/>
  <c r="L29" i="129"/>
  <c r="M29" i="129"/>
  <c r="L33" i="129"/>
  <c r="M33" i="129"/>
  <c r="L34" i="129"/>
  <c r="M34" i="129"/>
  <c r="L35" i="129"/>
  <c r="M35" i="129"/>
  <c r="L36" i="129"/>
  <c r="M36" i="129"/>
  <c r="L37" i="129"/>
  <c r="M37" i="129"/>
  <c r="L14" i="129"/>
  <c r="L40" i="129"/>
  <c r="M40" i="129"/>
  <c r="L15" i="129"/>
  <c r="L41" i="129"/>
  <c r="M41" i="129"/>
  <c r="L16" i="129"/>
  <c r="L42" i="129"/>
  <c r="M42" i="129"/>
  <c r="L17" i="129"/>
  <c r="L43" i="129"/>
  <c r="M43" i="129"/>
  <c r="L18" i="129"/>
  <c r="L44" i="129"/>
  <c r="M44" i="129"/>
  <c r="L19" i="129"/>
  <c r="L45" i="129"/>
  <c r="M45" i="129"/>
  <c r="L46" i="129"/>
  <c r="M46" i="129"/>
  <c r="M50" i="129"/>
  <c r="AH34" i="109"/>
  <c r="O34" i="109"/>
  <c r="N34" i="109"/>
  <c r="K34" i="109"/>
  <c r="J34" i="109"/>
  <c r="I34" i="109"/>
  <c r="G34" i="109"/>
  <c r="E34" i="109"/>
  <c r="C34" i="109"/>
  <c r="B34" i="109"/>
  <c r="AI34" i="109"/>
  <c r="AJ34" i="109"/>
  <c r="R34" i="109"/>
  <c r="U34" i="109"/>
  <c r="V34" i="109"/>
  <c r="AD34" i="109"/>
  <c r="F34" i="109"/>
  <c r="J47" i="129"/>
  <c r="J38" i="129"/>
  <c r="J20" i="129"/>
  <c r="J48" i="129"/>
  <c r="J30" i="129"/>
  <c r="J11" i="129"/>
  <c r="J50" i="129"/>
  <c r="K47" i="129"/>
  <c r="K38" i="129"/>
  <c r="K20" i="129"/>
  <c r="K48" i="129"/>
  <c r="K30" i="129"/>
  <c r="K11" i="129"/>
  <c r="K50" i="129"/>
  <c r="L47" i="129"/>
  <c r="L38" i="129"/>
  <c r="L20" i="129"/>
  <c r="L48" i="129"/>
  <c r="L30" i="129"/>
  <c r="L11" i="129"/>
  <c r="L50" i="129"/>
  <c r="I47" i="129"/>
  <c r="I38" i="129"/>
  <c r="I20" i="129"/>
  <c r="I48" i="129"/>
  <c r="I30" i="129"/>
  <c r="I11" i="129"/>
  <c r="I50" i="129"/>
  <c r="J22" i="129"/>
  <c r="K22" i="129"/>
  <c r="L22" i="129"/>
  <c r="I22" i="129"/>
  <c r="J14" i="128"/>
  <c r="J24" i="128"/>
  <c r="K24" i="128"/>
  <c r="J15" i="128"/>
  <c r="J25" i="128"/>
  <c r="K25" i="128"/>
  <c r="J16" i="128"/>
  <c r="J26" i="128"/>
  <c r="K26" i="128"/>
  <c r="J17" i="128"/>
  <c r="J27" i="128"/>
  <c r="K27" i="128"/>
  <c r="J18" i="128"/>
  <c r="J28" i="128"/>
  <c r="K28" i="128"/>
  <c r="J19" i="128"/>
  <c r="J29" i="128"/>
  <c r="K29" i="128"/>
  <c r="J20" i="128"/>
  <c r="J30" i="128"/>
  <c r="K30" i="128"/>
  <c r="J9" i="128"/>
  <c r="K9" i="128"/>
  <c r="J10" i="128"/>
  <c r="K10" i="128"/>
  <c r="K34" i="128"/>
  <c r="AH31" i="109"/>
  <c r="O31" i="109"/>
  <c r="AI31" i="109"/>
  <c r="N31" i="109"/>
  <c r="K31" i="109"/>
  <c r="J31" i="109"/>
  <c r="G31" i="109"/>
  <c r="E31" i="109"/>
  <c r="C31" i="109"/>
  <c r="B31" i="109"/>
  <c r="AF31" i="109"/>
  <c r="AG31" i="109"/>
  <c r="H31" i="109"/>
  <c r="G21" i="128"/>
  <c r="G31" i="128"/>
  <c r="G32" i="128"/>
  <c r="G11" i="128"/>
  <c r="G34" i="128"/>
  <c r="H21" i="128"/>
  <c r="H31" i="128"/>
  <c r="H32" i="128"/>
  <c r="H11" i="128"/>
  <c r="H34" i="128"/>
  <c r="I21" i="128"/>
  <c r="I31" i="128"/>
  <c r="I32" i="128"/>
  <c r="I11" i="128"/>
  <c r="I34" i="128"/>
  <c r="J21" i="128"/>
  <c r="J31" i="128"/>
  <c r="J32" i="128"/>
  <c r="J11" i="128"/>
  <c r="J34" i="128"/>
  <c r="F21" i="128"/>
  <c r="F31" i="128"/>
  <c r="F32" i="128"/>
  <c r="F11" i="128"/>
  <c r="F34" i="128"/>
  <c r="J9" i="127"/>
  <c r="K9" i="127"/>
  <c r="J10" i="127"/>
  <c r="K10" i="127"/>
  <c r="J14" i="127"/>
  <c r="J21" i="127"/>
  <c r="K21" i="127"/>
  <c r="J15" i="127"/>
  <c r="J22" i="127"/>
  <c r="K22" i="127"/>
  <c r="J16" i="127"/>
  <c r="J23" i="127"/>
  <c r="K23" i="127"/>
  <c r="J17" i="127"/>
  <c r="J24" i="127"/>
  <c r="K24" i="127"/>
  <c r="K29" i="127"/>
  <c r="AH29" i="109"/>
  <c r="O29" i="109"/>
  <c r="AI29" i="109"/>
  <c r="AJ29" i="109"/>
  <c r="N29" i="109"/>
  <c r="K29" i="109"/>
  <c r="G29" i="109"/>
  <c r="E29" i="109"/>
  <c r="C29" i="109"/>
  <c r="B29" i="109"/>
  <c r="R29" i="109"/>
  <c r="S29" i="109"/>
  <c r="AD29" i="109"/>
  <c r="H29" i="109"/>
  <c r="J18" i="127"/>
  <c r="J25" i="127"/>
  <c r="J27" i="127"/>
  <c r="J11" i="127"/>
  <c r="J29" i="127"/>
  <c r="I18" i="127"/>
  <c r="I25" i="127"/>
  <c r="I27" i="127"/>
  <c r="I11" i="127"/>
  <c r="I29" i="127"/>
  <c r="H18" i="127"/>
  <c r="H25" i="127"/>
  <c r="H27" i="127"/>
  <c r="H11" i="127"/>
  <c r="H29" i="127"/>
  <c r="G18" i="127"/>
  <c r="G25" i="127"/>
  <c r="G27" i="127"/>
  <c r="G11" i="127"/>
  <c r="G29" i="127"/>
  <c r="J17" i="117"/>
  <c r="J30" i="117"/>
  <c r="K30" i="117"/>
  <c r="N13" i="127"/>
  <c r="J14" i="126"/>
  <c r="J15" i="126"/>
  <c r="J16" i="126"/>
  <c r="J17" i="126"/>
  <c r="J18" i="126"/>
  <c r="J21" i="126"/>
  <c r="J22" i="126"/>
  <c r="J23" i="126"/>
  <c r="J24" i="126"/>
  <c r="J25" i="126"/>
  <c r="J27" i="126"/>
  <c r="J9" i="126"/>
  <c r="J10" i="126"/>
  <c r="J11" i="126"/>
  <c r="J29" i="126"/>
  <c r="AH27" i="109"/>
  <c r="K9" i="126"/>
  <c r="K10" i="126"/>
  <c r="K21" i="126"/>
  <c r="K22" i="126"/>
  <c r="K23" i="126"/>
  <c r="K24" i="126"/>
  <c r="K29" i="126"/>
  <c r="O27" i="109"/>
  <c r="N27" i="109"/>
  <c r="J27" i="109"/>
  <c r="F27" i="109"/>
  <c r="E27" i="109"/>
  <c r="C27" i="109"/>
  <c r="B27" i="109"/>
  <c r="AF27" i="109"/>
  <c r="AG27" i="109"/>
  <c r="G27" i="109"/>
  <c r="G18" i="126"/>
  <c r="G25" i="126"/>
  <c r="G27" i="126"/>
  <c r="G11" i="126"/>
  <c r="G29" i="126"/>
  <c r="H18" i="126"/>
  <c r="H25" i="126"/>
  <c r="H27" i="126"/>
  <c r="I18" i="126"/>
  <c r="I25" i="126"/>
  <c r="I27" i="126"/>
  <c r="I11" i="126"/>
  <c r="I29" i="126"/>
  <c r="H11" i="126"/>
  <c r="H29" i="126"/>
  <c r="N13" i="126"/>
  <c r="I33" i="125"/>
  <c r="I36" i="125"/>
  <c r="I37" i="125"/>
  <c r="K19" i="125"/>
  <c r="K22" i="125"/>
  <c r="I12" i="125"/>
  <c r="J12" i="125"/>
  <c r="J19" i="125"/>
  <c r="J22" i="125"/>
  <c r="J23" i="125"/>
  <c r="K12" i="125"/>
  <c r="K33" i="125"/>
  <c r="K36" i="125"/>
  <c r="K37" i="125"/>
  <c r="J33" i="125"/>
  <c r="J36" i="125"/>
  <c r="J37" i="125"/>
  <c r="I19" i="125"/>
  <c r="I22" i="125"/>
  <c r="J15" i="124"/>
  <c r="J16" i="124"/>
  <c r="J17" i="124"/>
  <c r="J18" i="124"/>
  <c r="J19" i="124"/>
  <c r="J20" i="124"/>
  <c r="J21" i="124"/>
  <c r="J22" i="124"/>
  <c r="J23" i="124"/>
  <c r="J26" i="124"/>
  <c r="J27" i="124"/>
  <c r="J28" i="124"/>
  <c r="J29" i="124"/>
  <c r="J30" i="124"/>
  <c r="J31" i="124"/>
  <c r="J32" i="124"/>
  <c r="J33" i="124"/>
  <c r="J34" i="124"/>
  <c r="J36" i="124"/>
  <c r="J9" i="124"/>
  <c r="J10" i="124"/>
  <c r="J11" i="124"/>
  <c r="J12" i="124"/>
  <c r="J38" i="124"/>
  <c r="AH25" i="109"/>
  <c r="K9" i="124"/>
  <c r="K10" i="124"/>
  <c r="K11" i="124"/>
  <c r="K26" i="124"/>
  <c r="K27" i="124"/>
  <c r="K28" i="124"/>
  <c r="K29" i="124"/>
  <c r="K30" i="124"/>
  <c r="K31" i="124"/>
  <c r="K32" i="124"/>
  <c r="K33" i="124"/>
  <c r="K38" i="124"/>
  <c r="O25" i="109"/>
  <c r="N25" i="109"/>
  <c r="K25" i="109"/>
  <c r="J25" i="109"/>
  <c r="G25" i="109"/>
  <c r="F25" i="109"/>
  <c r="E25" i="109"/>
  <c r="D25" i="109"/>
  <c r="C25" i="109"/>
  <c r="B25" i="109"/>
  <c r="AF25" i="109"/>
  <c r="AG25" i="109"/>
  <c r="I23" i="124"/>
  <c r="I34" i="124"/>
  <c r="I36" i="124"/>
  <c r="I12" i="124"/>
  <c r="I38" i="124"/>
  <c r="H23" i="124"/>
  <c r="H34" i="124"/>
  <c r="H36" i="124"/>
  <c r="G23" i="124"/>
  <c r="G34" i="124"/>
  <c r="G36" i="124"/>
  <c r="H12" i="124"/>
  <c r="H38" i="124"/>
  <c r="G12" i="124"/>
  <c r="G38" i="124"/>
  <c r="N14" i="124"/>
  <c r="L34" i="123"/>
  <c r="L35" i="123"/>
  <c r="L36" i="123"/>
  <c r="L38" i="123"/>
  <c r="L39" i="123"/>
  <c r="L40" i="123"/>
  <c r="L10" i="123"/>
  <c r="L11" i="123"/>
  <c r="L12" i="123"/>
  <c r="L15" i="123"/>
  <c r="L16" i="123"/>
  <c r="L17" i="123"/>
  <c r="L18" i="123"/>
  <c r="L19" i="123"/>
  <c r="L21" i="123"/>
  <c r="L22" i="123"/>
  <c r="L23" i="123"/>
  <c r="L24" i="123"/>
  <c r="L25" i="123"/>
  <c r="L26" i="123"/>
  <c r="L27" i="123"/>
  <c r="AH24" i="109"/>
  <c r="M38" i="123"/>
  <c r="M40" i="123"/>
  <c r="AE24" i="109"/>
  <c r="AD24" i="109"/>
  <c r="M21" i="123"/>
  <c r="M22" i="123"/>
  <c r="M23" i="123"/>
  <c r="M24" i="123"/>
  <c r="M10" i="123"/>
  <c r="M11" i="123"/>
  <c r="M27" i="123"/>
  <c r="O24" i="109"/>
  <c r="N24" i="109"/>
  <c r="K24" i="109"/>
  <c r="G24" i="109"/>
  <c r="E24" i="109"/>
  <c r="C24" i="109"/>
  <c r="B24" i="109"/>
  <c r="S24" i="109"/>
  <c r="H24" i="109"/>
  <c r="J36" i="123"/>
  <c r="J39" i="123"/>
  <c r="J40" i="123"/>
  <c r="K36" i="123"/>
  <c r="K39" i="123"/>
  <c r="K40" i="123"/>
  <c r="I36" i="123"/>
  <c r="I39" i="123"/>
  <c r="I40" i="123"/>
  <c r="J19" i="123"/>
  <c r="J25" i="123"/>
  <c r="J26" i="123"/>
  <c r="K19" i="123"/>
  <c r="K25" i="123"/>
  <c r="K26" i="123"/>
  <c r="K12" i="123"/>
  <c r="K27" i="123"/>
  <c r="J12" i="123"/>
  <c r="J27" i="123"/>
  <c r="I12" i="123"/>
  <c r="I19" i="123"/>
  <c r="I25" i="123"/>
  <c r="I26" i="123"/>
  <c r="I27" i="123"/>
  <c r="J15" i="122"/>
  <c r="J16" i="122"/>
  <c r="J17" i="122"/>
  <c r="J18" i="122"/>
  <c r="J19" i="122"/>
  <c r="J20" i="122"/>
  <c r="J22" i="122"/>
  <c r="J23" i="122"/>
  <c r="J24" i="122"/>
  <c r="J25" i="122"/>
  <c r="J26" i="122"/>
  <c r="J27" i="122"/>
  <c r="J30" i="122"/>
  <c r="J31" i="122"/>
  <c r="J32" i="122"/>
  <c r="J33" i="122"/>
  <c r="J34" i="122"/>
  <c r="J35" i="122"/>
  <c r="J37" i="122"/>
  <c r="J38" i="122"/>
  <c r="J39" i="122"/>
  <c r="J40" i="122"/>
  <c r="J42" i="122"/>
  <c r="J44" i="122"/>
  <c r="J9" i="122"/>
  <c r="J10" i="122"/>
  <c r="J11" i="122"/>
  <c r="J12" i="122"/>
  <c r="J46" i="122"/>
  <c r="AH22" i="109"/>
  <c r="K9" i="122"/>
  <c r="K10" i="122"/>
  <c r="K11" i="122"/>
  <c r="K24" i="122"/>
  <c r="K30" i="122"/>
  <c r="K31" i="122"/>
  <c r="K32" i="122"/>
  <c r="K33" i="122"/>
  <c r="K34" i="122"/>
  <c r="K35" i="122"/>
  <c r="K37" i="122"/>
  <c r="K38" i="122"/>
  <c r="K39" i="122"/>
  <c r="K40" i="122"/>
  <c r="K46" i="122"/>
  <c r="O22" i="109"/>
  <c r="N22" i="109"/>
  <c r="K22" i="109"/>
  <c r="J22" i="109"/>
  <c r="I22" i="109"/>
  <c r="G22" i="109"/>
  <c r="E22" i="109"/>
  <c r="C22" i="109"/>
  <c r="B22" i="109"/>
  <c r="AI22" i="109"/>
  <c r="R22" i="109"/>
  <c r="S22" i="109"/>
  <c r="U22" i="109"/>
  <c r="F22" i="109"/>
  <c r="H27" i="122"/>
  <c r="H42" i="122"/>
  <c r="H44" i="122"/>
  <c r="H12" i="122"/>
  <c r="H46" i="122"/>
  <c r="G27" i="122"/>
  <c r="G42" i="122"/>
  <c r="G44" i="122"/>
  <c r="G12" i="122"/>
  <c r="G46" i="122"/>
  <c r="I27" i="122"/>
  <c r="I44" i="122"/>
  <c r="N14" i="122"/>
  <c r="I12" i="122"/>
  <c r="L37" i="121"/>
  <c r="L38" i="121"/>
  <c r="L39" i="121"/>
  <c r="L42" i="121"/>
  <c r="L43" i="121"/>
  <c r="L44" i="121"/>
  <c r="L45" i="121"/>
  <c r="L33" i="121"/>
  <c r="L34" i="121"/>
  <c r="L46" i="121"/>
  <c r="L14" i="121"/>
  <c r="L15" i="121"/>
  <c r="L16" i="121"/>
  <c r="L17" i="121"/>
  <c r="L18" i="121"/>
  <c r="L21" i="121"/>
  <c r="L22" i="121"/>
  <c r="L23" i="121"/>
  <c r="L24" i="121"/>
  <c r="L25" i="121"/>
  <c r="L26" i="121"/>
  <c r="L9" i="121"/>
  <c r="L10" i="121"/>
  <c r="L11" i="121"/>
  <c r="L27" i="121"/>
  <c r="AH20" i="109"/>
  <c r="M33" i="121"/>
  <c r="M42" i="121"/>
  <c r="M43" i="121"/>
  <c r="M46" i="121"/>
  <c r="AE20" i="109"/>
  <c r="R20" i="109"/>
  <c r="M21" i="121"/>
  <c r="M22" i="121"/>
  <c r="M23" i="121"/>
  <c r="M24" i="121"/>
  <c r="M9" i="121"/>
  <c r="M10" i="121"/>
  <c r="M27" i="121"/>
  <c r="O20" i="109"/>
  <c r="N20" i="109"/>
  <c r="J20" i="109"/>
  <c r="F20" i="109"/>
  <c r="E20" i="109"/>
  <c r="C20" i="109"/>
  <c r="B20" i="109"/>
  <c r="S20" i="109"/>
  <c r="U20" i="109"/>
  <c r="AD20" i="109"/>
  <c r="K20" i="109"/>
  <c r="J39" i="121"/>
  <c r="J44" i="121"/>
  <c r="J45" i="121"/>
  <c r="J34" i="121"/>
  <c r="J46" i="121"/>
  <c r="K39" i="121"/>
  <c r="K44" i="121"/>
  <c r="K45" i="121"/>
  <c r="K34" i="121"/>
  <c r="K46" i="121"/>
  <c r="I39" i="121"/>
  <c r="I44" i="121"/>
  <c r="I45" i="121"/>
  <c r="I34" i="121"/>
  <c r="I46" i="121"/>
  <c r="J18" i="121"/>
  <c r="J25" i="121"/>
  <c r="J26" i="121"/>
  <c r="J11" i="121"/>
  <c r="J27" i="121"/>
  <c r="K18" i="121"/>
  <c r="K25" i="121"/>
  <c r="K26" i="121"/>
  <c r="K11" i="121"/>
  <c r="K27" i="121"/>
  <c r="I18" i="121"/>
  <c r="I25" i="121"/>
  <c r="I26" i="121"/>
  <c r="I11" i="121"/>
  <c r="I27" i="121"/>
  <c r="K20" i="120"/>
  <c r="K21" i="120"/>
  <c r="K22" i="120"/>
  <c r="K23" i="120"/>
  <c r="K24" i="120"/>
  <c r="K25" i="120"/>
  <c r="K26" i="120"/>
  <c r="K27" i="120"/>
  <c r="K29" i="120"/>
  <c r="K30" i="120"/>
  <c r="K31" i="120"/>
  <c r="K33" i="120"/>
  <c r="K34" i="120"/>
  <c r="K35" i="120"/>
  <c r="K36" i="120"/>
  <c r="K38" i="120"/>
  <c r="K39" i="120"/>
  <c r="K40" i="120"/>
  <c r="K41" i="120"/>
  <c r="K43" i="120"/>
  <c r="K47" i="120"/>
  <c r="K48" i="120"/>
  <c r="K49" i="120"/>
  <c r="K50" i="120"/>
  <c r="K51" i="120"/>
  <c r="K52" i="120"/>
  <c r="K53" i="120"/>
  <c r="K54" i="120"/>
  <c r="K56" i="120"/>
  <c r="K57" i="120"/>
  <c r="K58" i="120"/>
  <c r="K60" i="120"/>
  <c r="K61" i="120"/>
  <c r="K62" i="120"/>
  <c r="K63" i="120"/>
  <c r="K65" i="120"/>
  <c r="K66" i="120"/>
  <c r="K67" i="120"/>
  <c r="K68" i="120"/>
  <c r="K70" i="120"/>
  <c r="K72" i="120"/>
  <c r="K10" i="120"/>
  <c r="K11" i="120"/>
  <c r="K12" i="120"/>
  <c r="K13" i="120"/>
  <c r="K14" i="120"/>
  <c r="K16" i="120"/>
  <c r="K74" i="120"/>
  <c r="AH18" i="109"/>
  <c r="L10" i="120"/>
  <c r="L11" i="120"/>
  <c r="L12" i="120"/>
  <c r="L13" i="120"/>
  <c r="L14" i="120"/>
  <c r="L47" i="120"/>
  <c r="L48" i="120"/>
  <c r="L49" i="120"/>
  <c r="L50" i="120"/>
  <c r="L51" i="120"/>
  <c r="L52" i="120"/>
  <c r="L53" i="120"/>
  <c r="L54" i="120"/>
  <c r="L55" i="120"/>
  <c r="L56" i="120"/>
  <c r="L57" i="120"/>
  <c r="L58" i="120"/>
  <c r="L59" i="120"/>
  <c r="L60" i="120"/>
  <c r="L61" i="120"/>
  <c r="L62" i="120"/>
  <c r="L63" i="120"/>
  <c r="L64" i="120"/>
  <c r="L65" i="120"/>
  <c r="L66" i="120"/>
  <c r="L67" i="120"/>
  <c r="L68" i="120"/>
  <c r="L74" i="120"/>
  <c r="O18" i="109"/>
  <c r="AI18" i="109"/>
  <c r="N18" i="109"/>
  <c r="K18" i="109"/>
  <c r="J18" i="109"/>
  <c r="I18" i="109"/>
  <c r="H18" i="109"/>
  <c r="G18" i="109"/>
  <c r="F18" i="109"/>
  <c r="E18" i="109"/>
  <c r="C18" i="109"/>
  <c r="B18" i="109"/>
  <c r="AF18" i="109"/>
  <c r="AG18" i="109"/>
  <c r="G43" i="120"/>
  <c r="G70" i="120"/>
  <c r="G72" i="120"/>
  <c r="G16" i="120"/>
  <c r="G74" i="120"/>
  <c r="H43" i="120"/>
  <c r="H70" i="120"/>
  <c r="H72" i="120"/>
  <c r="I43" i="120"/>
  <c r="I70" i="120"/>
  <c r="I72" i="120"/>
  <c r="J43" i="120"/>
  <c r="J72" i="120"/>
  <c r="H16" i="120"/>
  <c r="I16" i="120"/>
  <c r="J16" i="120"/>
  <c r="I74" i="120"/>
  <c r="H74" i="120"/>
  <c r="O18" i="120"/>
  <c r="L50" i="119"/>
  <c r="L51" i="119"/>
  <c r="L53" i="119"/>
  <c r="L56" i="119"/>
  <c r="L57" i="119"/>
  <c r="L59" i="119"/>
  <c r="L61" i="119"/>
  <c r="L44" i="119"/>
  <c r="L45" i="119"/>
  <c r="L47" i="119"/>
  <c r="L63" i="119"/>
  <c r="L15" i="119"/>
  <c r="L16" i="119"/>
  <c r="L17" i="119"/>
  <c r="L18" i="119"/>
  <c r="L19" i="119"/>
  <c r="L20" i="119"/>
  <c r="L21" i="119"/>
  <c r="L23" i="119"/>
  <c r="L26" i="119"/>
  <c r="L27" i="119"/>
  <c r="L28" i="119"/>
  <c r="L29" i="119"/>
  <c r="L30" i="119"/>
  <c r="L31" i="119"/>
  <c r="L32" i="119"/>
  <c r="L34" i="119"/>
  <c r="L36" i="119"/>
  <c r="L9" i="119"/>
  <c r="L10" i="119"/>
  <c r="L12" i="119"/>
  <c r="L38" i="119"/>
  <c r="AH17" i="109"/>
  <c r="M56" i="119"/>
  <c r="M57" i="119"/>
  <c r="M44" i="119"/>
  <c r="M45" i="119"/>
  <c r="M63" i="119"/>
  <c r="AE17" i="109"/>
  <c r="Z17" i="109"/>
  <c r="U17" i="109"/>
  <c r="M9" i="119"/>
  <c r="M10" i="119"/>
  <c r="M26" i="119"/>
  <c r="M27" i="119"/>
  <c r="M28" i="119"/>
  <c r="M29" i="119"/>
  <c r="M30" i="119"/>
  <c r="M31" i="119"/>
  <c r="M32" i="119"/>
  <c r="M38" i="119"/>
  <c r="O17" i="109"/>
  <c r="N17" i="109"/>
  <c r="K17" i="109"/>
  <c r="I17" i="109"/>
  <c r="G17" i="109"/>
  <c r="E17" i="109"/>
  <c r="B17" i="109"/>
  <c r="R17" i="109"/>
  <c r="S17" i="109"/>
  <c r="W17" i="109"/>
  <c r="C17" i="109"/>
  <c r="J53" i="119"/>
  <c r="J59" i="119"/>
  <c r="J61" i="119"/>
  <c r="I53" i="119"/>
  <c r="I59" i="119"/>
  <c r="I61" i="119"/>
  <c r="J23" i="119"/>
  <c r="J34" i="119"/>
  <c r="J36" i="119"/>
  <c r="J12" i="119"/>
  <c r="J38" i="119"/>
  <c r="K23" i="119"/>
  <c r="K34" i="119"/>
  <c r="K36" i="119"/>
  <c r="K12" i="119"/>
  <c r="K38" i="119"/>
  <c r="I23" i="119"/>
  <c r="I34" i="119"/>
  <c r="I36" i="119"/>
  <c r="I12" i="119"/>
  <c r="I38" i="119"/>
  <c r="K53" i="119"/>
  <c r="K59" i="119"/>
  <c r="K61" i="119"/>
  <c r="K47" i="119"/>
  <c r="K63" i="119"/>
  <c r="J47" i="119"/>
  <c r="J63" i="119"/>
  <c r="I47" i="119"/>
  <c r="I63" i="119"/>
  <c r="H14" i="118"/>
  <c r="H18" i="118"/>
  <c r="I14" i="118"/>
  <c r="I18" i="118"/>
  <c r="G14" i="118"/>
  <c r="G18" i="118"/>
  <c r="J29" i="117"/>
  <c r="J31" i="117"/>
  <c r="J32" i="117"/>
  <c r="J33" i="117"/>
  <c r="J34" i="117"/>
  <c r="J35" i="117"/>
  <c r="J36" i="117"/>
  <c r="J38" i="117"/>
  <c r="J16" i="117"/>
  <c r="J18" i="117"/>
  <c r="J19" i="117"/>
  <c r="J20" i="117"/>
  <c r="J21" i="117"/>
  <c r="J22" i="117"/>
  <c r="J23" i="117"/>
  <c r="J25" i="117"/>
  <c r="J40" i="117"/>
  <c r="J9" i="117"/>
  <c r="J10" i="117"/>
  <c r="J12" i="117"/>
  <c r="J42" i="117"/>
  <c r="AH15" i="109"/>
  <c r="K9" i="117"/>
  <c r="K10" i="117"/>
  <c r="K29" i="117"/>
  <c r="K31" i="117"/>
  <c r="K32" i="117"/>
  <c r="K33" i="117"/>
  <c r="K34" i="117"/>
  <c r="K35" i="117"/>
  <c r="K36" i="117"/>
  <c r="K42" i="117"/>
  <c r="O15" i="109"/>
  <c r="AI15" i="109"/>
  <c r="N15" i="109"/>
  <c r="N14" i="117"/>
  <c r="K15" i="109"/>
  <c r="J15" i="109"/>
  <c r="G15" i="109"/>
  <c r="F15" i="109"/>
  <c r="E15" i="109"/>
  <c r="C15" i="109"/>
  <c r="B15" i="109"/>
  <c r="I38" i="117"/>
  <c r="I25" i="117"/>
  <c r="I40" i="117"/>
  <c r="I12" i="117"/>
  <c r="I42" i="117"/>
  <c r="H38" i="117"/>
  <c r="H25" i="117"/>
  <c r="H40" i="117"/>
  <c r="H12" i="117"/>
  <c r="H42" i="117"/>
  <c r="G38" i="117"/>
  <c r="G25" i="117"/>
  <c r="G40" i="117"/>
  <c r="G12" i="117"/>
  <c r="G42" i="117"/>
  <c r="I48" i="116"/>
  <c r="I41" i="116"/>
  <c r="I34" i="116"/>
  <c r="I50" i="116"/>
  <c r="J48" i="116"/>
  <c r="J41" i="116"/>
  <c r="J34" i="116"/>
  <c r="J50" i="116"/>
  <c r="K48" i="116"/>
  <c r="K41" i="116"/>
  <c r="K34" i="116"/>
  <c r="K50" i="116"/>
  <c r="L50" i="116"/>
  <c r="L21" i="116"/>
  <c r="L22" i="116"/>
  <c r="L23" i="116"/>
  <c r="L24" i="116"/>
  <c r="L15" i="116"/>
  <c r="L16" i="116"/>
  <c r="L17" i="116"/>
  <c r="L18" i="116"/>
  <c r="L9" i="116"/>
  <c r="L10" i="116"/>
  <c r="L11" i="116"/>
  <c r="L12" i="116"/>
  <c r="L26" i="116"/>
  <c r="AH14" i="109"/>
  <c r="L44" i="116"/>
  <c r="L37" i="116"/>
  <c r="M44" i="116"/>
  <c r="L45" i="116"/>
  <c r="L38" i="116"/>
  <c r="M45" i="116"/>
  <c r="L46" i="116"/>
  <c r="L39" i="116"/>
  <c r="M46" i="116"/>
  <c r="L47" i="116"/>
  <c r="L40" i="116"/>
  <c r="M47" i="116"/>
  <c r="L32" i="116"/>
  <c r="M32" i="116"/>
  <c r="L33" i="116"/>
  <c r="M33" i="116"/>
  <c r="M50" i="116"/>
  <c r="AE14" i="109"/>
  <c r="AD14" i="109"/>
  <c r="W14" i="109"/>
  <c r="V14" i="109"/>
  <c r="U14" i="109"/>
  <c r="S14" i="109"/>
  <c r="R14" i="109"/>
  <c r="M21" i="116"/>
  <c r="M22" i="116"/>
  <c r="M23" i="116"/>
  <c r="M9" i="116"/>
  <c r="M10" i="116"/>
  <c r="M11" i="116"/>
  <c r="M26" i="116"/>
  <c r="O14" i="109"/>
  <c r="L14" i="109"/>
  <c r="G14" i="109"/>
  <c r="E14" i="109"/>
  <c r="D14" i="109"/>
  <c r="C14" i="109"/>
  <c r="B14" i="109"/>
  <c r="F14" i="109"/>
  <c r="K14" i="109"/>
  <c r="K12" i="116"/>
  <c r="I24" i="116"/>
  <c r="I18" i="116"/>
  <c r="I12" i="116"/>
  <c r="I26" i="116"/>
  <c r="J24" i="116"/>
  <c r="J18" i="116"/>
  <c r="J12" i="116"/>
  <c r="J26" i="116"/>
  <c r="K24" i="116"/>
  <c r="K18" i="116"/>
  <c r="K26" i="116"/>
  <c r="L41" i="116"/>
  <c r="L48" i="116"/>
  <c r="L49" i="116"/>
  <c r="K49" i="116"/>
  <c r="J49" i="116"/>
  <c r="I49" i="116"/>
  <c r="L34" i="116"/>
  <c r="L25" i="116"/>
  <c r="K25" i="116"/>
  <c r="J25" i="116"/>
  <c r="I25" i="116"/>
  <c r="M13" i="115"/>
  <c r="M25" i="115"/>
  <c r="M19" i="115"/>
  <c r="M26" i="115"/>
  <c r="M27" i="115"/>
  <c r="AH13" i="109"/>
  <c r="O13" i="109"/>
  <c r="AI13" i="109"/>
  <c r="N13" i="109"/>
  <c r="G13" i="109"/>
  <c r="E13" i="109"/>
  <c r="C13" i="109"/>
  <c r="B13" i="109"/>
  <c r="F13" i="109"/>
  <c r="K13" i="109"/>
  <c r="L13" i="115"/>
  <c r="L25" i="115"/>
  <c r="L19" i="115"/>
  <c r="L26" i="115"/>
  <c r="L27" i="115"/>
  <c r="K13" i="115"/>
  <c r="K25" i="115"/>
  <c r="K19" i="115"/>
  <c r="K26" i="115"/>
  <c r="K27" i="115"/>
  <c r="J13" i="115"/>
  <c r="J25" i="115"/>
  <c r="J19" i="115"/>
  <c r="J26" i="115"/>
  <c r="J27" i="115"/>
  <c r="I13" i="115"/>
  <c r="I25" i="115"/>
  <c r="I19" i="115"/>
  <c r="I26" i="115"/>
  <c r="I27" i="115"/>
  <c r="M10" i="114"/>
  <c r="M11" i="114"/>
  <c r="M12" i="114"/>
  <c r="M22" i="114"/>
  <c r="M23" i="114"/>
  <c r="M24" i="114"/>
  <c r="M25" i="114"/>
  <c r="M26" i="114"/>
  <c r="M15" i="114"/>
  <c r="M16" i="114"/>
  <c r="M17" i="114"/>
  <c r="M18" i="114"/>
  <c r="M19" i="114"/>
  <c r="M27" i="114"/>
  <c r="M28" i="114"/>
  <c r="M35" i="114"/>
  <c r="M36" i="114"/>
  <c r="M37" i="114"/>
  <c r="M38" i="114"/>
  <c r="M46" i="114"/>
  <c r="M47" i="114"/>
  <c r="M48" i="114"/>
  <c r="M41" i="114"/>
  <c r="M42" i="114"/>
  <c r="M43" i="114"/>
  <c r="M49" i="114"/>
  <c r="M50" i="114"/>
  <c r="AH12" i="109"/>
  <c r="N22" i="114"/>
  <c r="N23" i="114"/>
  <c r="N24" i="114"/>
  <c r="N25" i="114"/>
  <c r="N10" i="114"/>
  <c r="N11" i="114"/>
  <c r="N28" i="114"/>
  <c r="O12" i="109"/>
  <c r="N46" i="114"/>
  <c r="N47" i="114"/>
  <c r="N35" i="114"/>
  <c r="N36" i="114"/>
  <c r="N37" i="114"/>
  <c r="N50" i="114"/>
  <c r="AE12" i="109"/>
  <c r="Z12" i="109"/>
  <c r="U12" i="109"/>
  <c r="T12" i="109"/>
  <c r="S12" i="109"/>
  <c r="R12" i="109"/>
  <c r="N12" i="109"/>
  <c r="J12" i="109"/>
  <c r="I12" i="109"/>
  <c r="E12" i="109"/>
  <c r="C12" i="109"/>
  <c r="B12" i="109"/>
  <c r="AD12" i="109"/>
  <c r="F12" i="109"/>
  <c r="H12" i="109"/>
  <c r="K12" i="109"/>
  <c r="J26" i="114"/>
  <c r="J19" i="114"/>
  <c r="J27" i="114"/>
  <c r="K26" i="114"/>
  <c r="K19" i="114"/>
  <c r="K27" i="114"/>
  <c r="L26" i="114"/>
  <c r="L19" i="114"/>
  <c r="L27" i="114"/>
  <c r="I26" i="114"/>
  <c r="I19" i="114"/>
  <c r="I27" i="114"/>
  <c r="L38" i="114"/>
  <c r="L48" i="114"/>
  <c r="L43" i="114"/>
  <c r="L49" i="114"/>
  <c r="L50" i="114"/>
  <c r="K38" i="114"/>
  <c r="K48" i="114"/>
  <c r="K43" i="114"/>
  <c r="K49" i="114"/>
  <c r="K50" i="114"/>
  <c r="J38" i="114"/>
  <c r="J48" i="114"/>
  <c r="J43" i="114"/>
  <c r="J49" i="114"/>
  <c r="J50" i="114"/>
  <c r="I38" i="114"/>
  <c r="I48" i="114"/>
  <c r="I43" i="114"/>
  <c r="I49" i="114"/>
  <c r="I50" i="114"/>
  <c r="L12" i="114"/>
  <c r="L28" i="114"/>
  <c r="K12" i="114"/>
  <c r="K28" i="114"/>
  <c r="J12" i="114"/>
  <c r="J28" i="114"/>
  <c r="I12" i="114"/>
  <c r="I28" i="114"/>
  <c r="J9" i="113"/>
  <c r="K9" i="113"/>
  <c r="J10" i="113"/>
  <c r="K10" i="113"/>
  <c r="J16" i="113"/>
  <c r="J28" i="113"/>
  <c r="K28" i="113"/>
  <c r="J17" i="113"/>
  <c r="J29" i="113"/>
  <c r="K29" i="113"/>
  <c r="J18" i="113"/>
  <c r="J30" i="113"/>
  <c r="K30" i="113"/>
  <c r="J19" i="113"/>
  <c r="J31" i="113"/>
  <c r="K31" i="113"/>
  <c r="J20" i="113"/>
  <c r="J32" i="113"/>
  <c r="K32" i="113"/>
  <c r="J21" i="113"/>
  <c r="J33" i="113"/>
  <c r="K33" i="113"/>
  <c r="J22" i="113"/>
  <c r="J34" i="113"/>
  <c r="K34" i="113"/>
  <c r="K40" i="113"/>
  <c r="AH11" i="109"/>
  <c r="O11" i="109"/>
  <c r="N11" i="109"/>
  <c r="K11" i="109"/>
  <c r="J11" i="109"/>
  <c r="G11" i="109"/>
  <c r="E11" i="109"/>
  <c r="B11" i="109"/>
  <c r="AF11" i="109"/>
  <c r="C11" i="109"/>
  <c r="J36" i="113"/>
  <c r="J24" i="113"/>
  <c r="J38" i="113"/>
  <c r="J12" i="113"/>
  <c r="J40" i="113"/>
  <c r="H36" i="113"/>
  <c r="H24" i="113"/>
  <c r="H38" i="113"/>
  <c r="I36" i="113"/>
  <c r="I24" i="113"/>
  <c r="I38" i="113"/>
  <c r="G36" i="113"/>
  <c r="G24" i="113"/>
  <c r="G38" i="113"/>
  <c r="I12" i="113"/>
  <c r="I40" i="113"/>
  <c r="H12" i="113"/>
  <c r="H40" i="113"/>
  <c r="G12" i="113"/>
  <c r="G40" i="113"/>
  <c r="J15" i="112"/>
  <c r="J23" i="112"/>
  <c r="K23" i="112"/>
  <c r="J16" i="112"/>
  <c r="J24" i="112"/>
  <c r="K24" i="112"/>
  <c r="J17" i="112"/>
  <c r="J25" i="112"/>
  <c r="K25" i="112"/>
  <c r="J18" i="112"/>
  <c r="J26" i="112"/>
  <c r="K26" i="112"/>
  <c r="J9" i="112"/>
  <c r="K9" i="112"/>
  <c r="J10" i="112"/>
  <c r="K10" i="112"/>
  <c r="K32" i="112"/>
  <c r="AH9" i="109"/>
  <c r="O9" i="109"/>
  <c r="N9" i="109"/>
  <c r="G9" i="109"/>
  <c r="E9" i="109"/>
  <c r="C9" i="109"/>
  <c r="B9" i="109"/>
  <c r="H20" i="112"/>
  <c r="J20" i="112"/>
  <c r="J28" i="112"/>
  <c r="J30" i="112"/>
  <c r="J12" i="112"/>
  <c r="J32" i="112"/>
  <c r="I20" i="112"/>
  <c r="I28" i="112"/>
  <c r="I30" i="112"/>
  <c r="I12" i="112"/>
  <c r="I32" i="112"/>
  <c r="H28" i="112"/>
  <c r="H30" i="112"/>
  <c r="H12" i="112"/>
  <c r="H32" i="112"/>
  <c r="G20" i="112"/>
  <c r="G28" i="112"/>
  <c r="G30" i="112"/>
  <c r="G12" i="112"/>
  <c r="G32" i="112"/>
  <c r="J15" i="111"/>
  <c r="J25" i="111"/>
  <c r="K25" i="111"/>
  <c r="J16" i="111"/>
  <c r="J26" i="111"/>
  <c r="K26" i="111"/>
  <c r="J17" i="111"/>
  <c r="J27" i="111"/>
  <c r="K27" i="111"/>
  <c r="J18" i="111"/>
  <c r="J28" i="111"/>
  <c r="K28" i="111"/>
  <c r="J19" i="111"/>
  <c r="J29" i="111"/>
  <c r="K29" i="111"/>
  <c r="J20" i="111"/>
  <c r="J30" i="111"/>
  <c r="K30" i="111"/>
  <c r="J9" i="111"/>
  <c r="K9" i="111"/>
  <c r="J10" i="111"/>
  <c r="K10" i="111"/>
  <c r="K36" i="111"/>
  <c r="AH6" i="109"/>
  <c r="O6" i="109"/>
  <c r="N6" i="109"/>
  <c r="K6" i="109"/>
  <c r="J6" i="109"/>
  <c r="G6" i="109"/>
  <c r="F6" i="109"/>
  <c r="E6" i="109"/>
  <c r="B6" i="109"/>
  <c r="AF6" i="109"/>
  <c r="AG6" i="109"/>
  <c r="H22" i="111"/>
  <c r="H32" i="111"/>
  <c r="H34" i="111"/>
  <c r="H12" i="111"/>
  <c r="H36" i="111"/>
  <c r="I22" i="111"/>
  <c r="I32" i="111"/>
  <c r="I34" i="111"/>
  <c r="I12" i="111"/>
  <c r="I36" i="111"/>
  <c r="J22" i="111"/>
  <c r="J32" i="111"/>
  <c r="J34" i="111"/>
  <c r="J12" i="111"/>
  <c r="J36" i="111"/>
  <c r="G22" i="111"/>
  <c r="G32" i="111"/>
  <c r="G34" i="111"/>
  <c r="G12" i="111"/>
  <c r="G36" i="111"/>
  <c r="L22" i="110"/>
  <c r="L15" i="110"/>
  <c r="M22" i="110"/>
  <c r="L23" i="110"/>
  <c r="L16" i="110"/>
  <c r="M23" i="110"/>
  <c r="L24" i="110"/>
  <c r="L17" i="110"/>
  <c r="M24" i="110"/>
  <c r="L25" i="110"/>
  <c r="L18" i="110"/>
  <c r="M25" i="110"/>
  <c r="L10" i="110"/>
  <c r="M10" i="110"/>
  <c r="L11" i="110"/>
  <c r="M11" i="110"/>
  <c r="M28" i="110"/>
  <c r="AH5" i="109"/>
  <c r="O5" i="109"/>
  <c r="AI5" i="109"/>
  <c r="N5" i="109"/>
  <c r="G5" i="109"/>
  <c r="F5" i="109"/>
  <c r="E5" i="109"/>
  <c r="C5" i="109"/>
  <c r="B5" i="109"/>
  <c r="AF5" i="109"/>
  <c r="AG5" i="109"/>
  <c r="J26" i="110"/>
  <c r="J19" i="110"/>
  <c r="J27" i="110"/>
  <c r="K26" i="110"/>
  <c r="K19" i="110"/>
  <c r="K27" i="110"/>
  <c r="L26" i="110"/>
  <c r="L19" i="110"/>
  <c r="L27" i="110"/>
  <c r="I26" i="110"/>
  <c r="I19" i="110"/>
  <c r="I27" i="110"/>
  <c r="L12" i="110"/>
  <c r="L28" i="110"/>
  <c r="K12" i="110"/>
  <c r="K28" i="110"/>
  <c r="J12" i="110"/>
  <c r="J28" i="110"/>
  <c r="I12" i="110"/>
  <c r="I28" i="110"/>
  <c r="O48" i="109"/>
  <c r="N48" i="109"/>
  <c r="L48" i="109"/>
  <c r="J48" i="109"/>
  <c r="G48" i="109"/>
  <c r="F48" i="109"/>
  <c r="E48" i="109"/>
  <c r="C48" i="109"/>
  <c r="B48" i="109"/>
  <c r="N8" i="53"/>
  <c r="L9" i="53"/>
  <c r="M9" i="53"/>
  <c r="L10" i="53"/>
  <c r="M10" i="53"/>
  <c r="L11" i="53"/>
  <c r="M11" i="53"/>
  <c r="L12" i="53"/>
  <c r="M12" i="53"/>
  <c r="L13" i="53"/>
  <c r="M13" i="53"/>
  <c r="P9" i="53"/>
  <c r="M17" i="53"/>
  <c r="O9" i="53"/>
  <c r="N9" i="53"/>
  <c r="O10" i="53"/>
  <c r="N10" i="53"/>
  <c r="O11" i="53"/>
  <c r="N11" i="53"/>
  <c r="O12" i="53"/>
  <c r="N12" i="53"/>
  <c r="O13" i="53"/>
  <c r="N13" i="53"/>
  <c r="N14" i="53"/>
  <c r="N19" i="53"/>
  <c r="AH8" i="109"/>
  <c r="N8" i="109"/>
  <c r="L8" i="109"/>
  <c r="O8" i="109"/>
  <c r="AI8" i="109"/>
  <c r="H8" i="109"/>
  <c r="G8" i="109"/>
  <c r="F8" i="109"/>
  <c r="E8" i="109"/>
  <c r="B8" i="109"/>
  <c r="L8" i="53"/>
  <c r="M8" i="53"/>
  <c r="L14" i="53"/>
  <c r="M14" i="53"/>
  <c r="M19" i="53"/>
  <c r="O15" i="53"/>
  <c r="L15" i="53"/>
  <c r="L19" i="53"/>
  <c r="J15" i="53"/>
  <c r="J19" i="53"/>
  <c r="I15" i="53"/>
  <c r="I19" i="53"/>
  <c r="H15" i="53"/>
  <c r="H19" i="53"/>
  <c r="O37" i="89"/>
  <c r="O20" i="89"/>
  <c r="N44" i="95"/>
  <c r="O44" i="95"/>
  <c r="N45" i="95"/>
  <c r="O45" i="95"/>
  <c r="N48" i="95"/>
  <c r="N58" i="95"/>
  <c r="O58" i="95"/>
  <c r="N49" i="95"/>
  <c r="N59" i="95"/>
  <c r="O59" i="95"/>
  <c r="N50" i="95"/>
  <c r="N60" i="95"/>
  <c r="O60" i="95"/>
  <c r="N51" i="95"/>
  <c r="N61" i="95"/>
  <c r="O61" i="95"/>
  <c r="N52" i="95"/>
  <c r="N62" i="95"/>
  <c r="O62" i="95"/>
  <c r="N54" i="95"/>
  <c r="N64" i="95"/>
  <c r="O64" i="95"/>
  <c r="N55" i="95"/>
  <c r="N65" i="95"/>
  <c r="O65" i="95"/>
  <c r="O68" i="95"/>
  <c r="O7" i="95"/>
  <c r="O8" i="95"/>
  <c r="O9" i="95"/>
  <c r="O11" i="95"/>
  <c r="O12" i="95"/>
  <c r="O13" i="95"/>
  <c r="N16" i="95"/>
  <c r="N28" i="95"/>
  <c r="O28" i="95"/>
  <c r="N17" i="95"/>
  <c r="N29" i="95"/>
  <c r="O29" i="95"/>
  <c r="N18" i="95"/>
  <c r="N30" i="95"/>
  <c r="O30" i="95"/>
  <c r="N19" i="95"/>
  <c r="N31" i="95"/>
  <c r="O31" i="95"/>
  <c r="N20" i="95"/>
  <c r="N32" i="95"/>
  <c r="O32" i="95"/>
  <c r="N21" i="95"/>
  <c r="N33" i="95"/>
  <c r="O33" i="95"/>
  <c r="N22" i="95"/>
  <c r="N34" i="95"/>
  <c r="O34" i="95"/>
  <c r="N24" i="95"/>
  <c r="N36" i="95"/>
  <c r="O36" i="95"/>
  <c r="N25" i="95"/>
  <c r="N37" i="95"/>
  <c r="O37" i="95"/>
  <c r="O40" i="95"/>
  <c r="N38" i="95"/>
  <c r="L48" i="92"/>
  <c r="L47" i="92"/>
  <c r="L46" i="92"/>
  <c r="L45" i="92"/>
  <c r="L41" i="92"/>
  <c r="L40" i="92"/>
  <c r="L39" i="92"/>
  <c r="L38" i="92"/>
  <c r="L22" i="92"/>
  <c r="L14" i="92"/>
  <c r="M22" i="92"/>
  <c r="L8" i="92"/>
  <c r="M8" i="92"/>
  <c r="L9" i="92"/>
  <c r="M9" i="92"/>
  <c r="L13" i="92"/>
  <c r="L21" i="92"/>
  <c r="M21" i="92"/>
  <c r="L15" i="92"/>
  <c r="L23" i="92"/>
  <c r="M23" i="92"/>
  <c r="L16" i="92"/>
  <c r="L24" i="92"/>
  <c r="M24" i="92"/>
  <c r="L17" i="92"/>
  <c r="L25" i="92"/>
  <c r="M25" i="92"/>
  <c r="M28" i="92"/>
  <c r="I16" i="60"/>
  <c r="J16" i="60"/>
  <c r="K16" i="60"/>
  <c r="L16" i="60"/>
  <c r="M16" i="60"/>
  <c r="M8" i="99"/>
  <c r="L9" i="99"/>
  <c r="M9" i="99"/>
  <c r="L13" i="99"/>
  <c r="L21" i="99"/>
  <c r="M21" i="99"/>
  <c r="L14" i="99"/>
  <c r="L22" i="99"/>
  <c r="M22" i="99"/>
  <c r="L15" i="99"/>
  <c r="L23" i="99"/>
  <c r="M23" i="99"/>
  <c r="L16" i="99"/>
  <c r="L24" i="99"/>
  <c r="M24" i="99"/>
  <c r="L17" i="99"/>
  <c r="L25" i="99"/>
  <c r="M25" i="99"/>
  <c r="L18" i="99"/>
  <c r="L26" i="99"/>
  <c r="M26" i="99"/>
  <c r="M29" i="99"/>
  <c r="AH63" i="109"/>
  <c r="O63" i="109"/>
  <c r="AI63" i="109"/>
  <c r="AJ63" i="109"/>
  <c r="N63" i="109"/>
  <c r="L63" i="109"/>
  <c r="I63" i="109"/>
  <c r="G63" i="109"/>
  <c r="E63" i="109"/>
  <c r="C63" i="109"/>
  <c r="B63" i="109"/>
  <c r="AF63" i="109"/>
  <c r="AG63" i="109"/>
  <c r="D63" i="109"/>
  <c r="M7" i="98"/>
  <c r="N7" i="98"/>
  <c r="M8" i="98"/>
  <c r="N8" i="98"/>
  <c r="M11" i="98"/>
  <c r="M16" i="98"/>
  <c r="N16" i="98"/>
  <c r="M12" i="98"/>
  <c r="M17" i="98"/>
  <c r="N17" i="98"/>
  <c r="M13" i="98"/>
  <c r="M18" i="98"/>
  <c r="N18" i="98"/>
  <c r="N21" i="98"/>
  <c r="M26" i="98"/>
  <c r="N26" i="98"/>
  <c r="M27" i="98"/>
  <c r="N27" i="98"/>
  <c r="M30" i="98"/>
  <c r="M38" i="98"/>
  <c r="N38" i="98"/>
  <c r="M31" i="98"/>
  <c r="M39" i="98"/>
  <c r="N39" i="98"/>
  <c r="M32" i="98"/>
  <c r="M40" i="98"/>
  <c r="N40" i="98"/>
  <c r="M33" i="98"/>
  <c r="M41" i="98"/>
  <c r="N41" i="98"/>
  <c r="M34" i="98"/>
  <c r="M42" i="98"/>
  <c r="N42" i="98"/>
  <c r="M35" i="98"/>
  <c r="M43" i="98"/>
  <c r="N43" i="98"/>
  <c r="N46" i="98"/>
  <c r="AH59" i="109"/>
  <c r="AE59" i="109"/>
  <c r="AD59" i="109"/>
  <c r="W59" i="109"/>
  <c r="U59" i="109"/>
  <c r="S59" i="109"/>
  <c r="R59" i="109"/>
  <c r="O59" i="109"/>
  <c r="N59" i="109"/>
  <c r="G59" i="109"/>
  <c r="E59" i="109"/>
  <c r="C59" i="109"/>
  <c r="B59" i="109"/>
  <c r="L9" i="96"/>
  <c r="M9" i="96"/>
  <c r="L10" i="96"/>
  <c r="M10" i="96"/>
  <c r="L11" i="96"/>
  <c r="M11" i="96"/>
  <c r="L15" i="96"/>
  <c r="L21" i="96"/>
  <c r="M21" i="96"/>
  <c r="L16" i="96"/>
  <c r="L22" i="96"/>
  <c r="M22" i="96"/>
  <c r="L17" i="96"/>
  <c r="L23" i="96"/>
  <c r="M23" i="96"/>
  <c r="M27" i="96"/>
  <c r="AH57" i="109"/>
  <c r="O57" i="109"/>
  <c r="AI57" i="109"/>
  <c r="N57" i="109"/>
  <c r="G57" i="109"/>
  <c r="E57" i="109"/>
  <c r="D57" i="109"/>
  <c r="C57" i="109"/>
  <c r="B57" i="109"/>
  <c r="AH56" i="109"/>
  <c r="AE56" i="109"/>
  <c r="AD56" i="109"/>
  <c r="AA56" i="109"/>
  <c r="W56" i="109"/>
  <c r="V56" i="109"/>
  <c r="U56" i="109"/>
  <c r="S56" i="109"/>
  <c r="R56" i="109"/>
  <c r="K56" i="109"/>
  <c r="O56" i="109"/>
  <c r="N56" i="109"/>
  <c r="G56" i="109"/>
  <c r="F56" i="109"/>
  <c r="E56" i="109"/>
  <c r="D56" i="109"/>
  <c r="C56" i="109"/>
  <c r="B56" i="109"/>
  <c r="L32" i="94"/>
  <c r="M32" i="94"/>
  <c r="L33" i="94"/>
  <c r="M33" i="94"/>
  <c r="L34" i="94"/>
  <c r="M34" i="94"/>
  <c r="L38" i="94"/>
  <c r="L44" i="94"/>
  <c r="M44" i="94"/>
  <c r="L39" i="94"/>
  <c r="L45" i="94"/>
  <c r="M45" i="94"/>
  <c r="L40" i="94"/>
  <c r="L46" i="94"/>
  <c r="M46" i="94"/>
  <c r="M49" i="94"/>
  <c r="L9" i="94"/>
  <c r="M9" i="94"/>
  <c r="L10" i="94"/>
  <c r="M10" i="94"/>
  <c r="L14" i="94"/>
  <c r="L21" i="94"/>
  <c r="M21" i="94"/>
  <c r="L15" i="94"/>
  <c r="L22" i="94"/>
  <c r="M22" i="94"/>
  <c r="L16" i="94"/>
  <c r="L23" i="94"/>
  <c r="M23" i="94"/>
  <c r="L17" i="94"/>
  <c r="L24" i="94"/>
  <c r="M24" i="94"/>
  <c r="M27" i="94"/>
  <c r="AH55" i="109"/>
  <c r="AE55" i="109"/>
  <c r="W55" i="109"/>
  <c r="U55" i="109"/>
  <c r="S55" i="109"/>
  <c r="R55" i="109"/>
  <c r="O55" i="109"/>
  <c r="N55" i="109"/>
  <c r="G55" i="109"/>
  <c r="E55" i="109"/>
  <c r="C55" i="109"/>
  <c r="B55" i="109"/>
  <c r="L8" i="93"/>
  <c r="M8" i="93"/>
  <c r="L11" i="93"/>
  <c r="L17" i="93"/>
  <c r="M17" i="93"/>
  <c r="L12" i="93"/>
  <c r="L18" i="93"/>
  <c r="M18" i="93"/>
  <c r="L13" i="93"/>
  <c r="L19" i="93"/>
  <c r="M19" i="93"/>
  <c r="L14" i="93"/>
  <c r="L20" i="93"/>
  <c r="M20" i="93"/>
  <c r="M23" i="93"/>
  <c r="AH53" i="109"/>
  <c r="O53" i="109"/>
  <c r="AI53" i="109"/>
  <c r="K53" i="109"/>
  <c r="G53" i="109"/>
  <c r="F53" i="109"/>
  <c r="E53" i="109"/>
  <c r="B53" i="109"/>
  <c r="M45" i="92"/>
  <c r="M46" i="92"/>
  <c r="M47" i="92"/>
  <c r="M48" i="92"/>
  <c r="L33" i="92"/>
  <c r="M33" i="92"/>
  <c r="L34" i="92"/>
  <c r="M34" i="92"/>
  <c r="M51" i="92"/>
  <c r="AH52" i="109"/>
  <c r="AE52" i="109"/>
  <c r="AD52" i="109"/>
  <c r="AA52" i="109"/>
  <c r="Z52" i="109"/>
  <c r="U52" i="109"/>
  <c r="S52" i="109"/>
  <c r="R52" i="109"/>
  <c r="O52" i="109"/>
  <c r="N52" i="109"/>
  <c r="K52" i="109"/>
  <c r="J52" i="109"/>
  <c r="E52" i="109"/>
  <c r="C52" i="109"/>
  <c r="B52" i="109"/>
  <c r="L8" i="91"/>
  <c r="M8" i="91"/>
  <c r="L9" i="91"/>
  <c r="M9" i="91"/>
  <c r="L13" i="91"/>
  <c r="L21" i="91"/>
  <c r="M21" i="91"/>
  <c r="L14" i="91"/>
  <c r="L22" i="91"/>
  <c r="M22" i="91"/>
  <c r="L15" i="91"/>
  <c r="L23" i="91"/>
  <c r="M23" i="91"/>
  <c r="L16" i="91"/>
  <c r="L24" i="91"/>
  <c r="M24" i="91"/>
  <c r="L17" i="91"/>
  <c r="L25" i="91"/>
  <c r="M25" i="91"/>
  <c r="M28" i="91"/>
  <c r="L33" i="91"/>
  <c r="M33" i="91"/>
  <c r="L34" i="91"/>
  <c r="M34" i="91"/>
  <c r="L38" i="91"/>
  <c r="L46" i="91"/>
  <c r="M46" i="91"/>
  <c r="L39" i="91"/>
  <c r="L47" i="91"/>
  <c r="M47" i="91"/>
  <c r="L40" i="91"/>
  <c r="L48" i="91"/>
  <c r="M48" i="91"/>
  <c r="L41" i="91"/>
  <c r="L49" i="91"/>
  <c r="M49" i="91"/>
  <c r="L42" i="91"/>
  <c r="L50" i="91"/>
  <c r="M50" i="91"/>
  <c r="M53" i="91"/>
  <c r="AH51" i="109"/>
  <c r="AE51" i="109"/>
  <c r="AD51" i="109"/>
  <c r="W51" i="109"/>
  <c r="Z51" i="109"/>
  <c r="U51" i="109"/>
  <c r="S51" i="109"/>
  <c r="R51" i="109"/>
  <c r="O51" i="109"/>
  <c r="N51" i="109"/>
  <c r="K51" i="109"/>
  <c r="G51" i="109"/>
  <c r="F51" i="109"/>
  <c r="E51" i="109"/>
  <c r="C51" i="109"/>
  <c r="B51" i="109"/>
  <c r="M9" i="90"/>
  <c r="N9" i="90"/>
  <c r="M10" i="90"/>
  <c r="N10" i="90"/>
  <c r="M14" i="90"/>
  <c r="M20" i="90"/>
  <c r="N20" i="90"/>
  <c r="M15" i="90"/>
  <c r="M21" i="90"/>
  <c r="N21" i="90"/>
  <c r="M16" i="90"/>
  <c r="M22" i="90"/>
  <c r="N22" i="90"/>
  <c r="N26" i="90"/>
  <c r="AH50" i="109"/>
  <c r="O50" i="109"/>
  <c r="N50" i="109"/>
  <c r="G50" i="109"/>
  <c r="E50" i="109"/>
  <c r="C50" i="109"/>
  <c r="B50" i="109"/>
  <c r="M7" i="107"/>
  <c r="N7" i="107"/>
  <c r="M8" i="107"/>
  <c r="N8" i="107"/>
  <c r="M9" i="107"/>
  <c r="N9" i="107"/>
  <c r="M13" i="107"/>
  <c r="M20" i="107"/>
  <c r="N20" i="107"/>
  <c r="M14" i="107"/>
  <c r="M21" i="107"/>
  <c r="N21" i="107"/>
  <c r="M15" i="107"/>
  <c r="M22" i="107"/>
  <c r="N22" i="107"/>
  <c r="M16" i="107"/>
  <c r="M23" i="107"/>
  <c r="N23" i="107"/>
  <c r="N28" i="107"/>
  <c r="M32" i="107"/>
  <c r="N32" i="107"/>
  <c r="M33" i="107"/>
  <c r="N33" i="107"/>
  <c r="M37" i="107"/>
  <c r="M42" i="107"/>
  <c r="N42" i="107"/>
  <c r="M38" i="107"/>
  <c r="M43" i="107"/>
  <c r="N43" i="107"/>
  <c r="N48" i="107"/>
  <c r="AH49" i="109"/>
  <c r="AE49" i="109"/>
  <c r="W49" i="109"/>
  <c r="U49" i="109"/>
  <c r="S49" i="109"/>
  <c r="R49" i="109"/>
  <c r="D49" i="109"/>
  <c r="C49" i="109"/>
  <c r="O49" i="109"/>
  <c r="N49" i="109"/>
  <c r="G49" i="109"/>
  <c r="F49" i="109"/>
  <c r="E49" i="109"/>
  <c r="B49" i="109"/>
  <c r="L8" i="108"/>
  <c r="M8" i="108"/>
  <c r="L9" i="108"/>
  <c r="M9" i="108"/>
  <c r="L13" i="108"/>
  <c r="L20" i="108"/>
  <c r="M20" i="108"/>
  <c r="L14" i="108"/>
  <c r="L21" i="108"/>
  <c r="M21" i="108"/>
  <c r="L15" i="108"/>
  <c r="L22" i="108"/>
  <c r="M22" i="108"/>
  <c r="L16" i="108"/>
  <c r="L23" i="108"/>
  <c r="M23" i="108"/>
  <c r="M27" i="108"/>
  <c r="L32" i="108"/>
  <c r="M32" i="108"/>
  <c r="L35" i="108"/>
  <c r="L36" i="108"/>
  <c r="M36" i="108"/>
  <c r="M40" i="108"/>
  <c r="AH43" i="109"/>
  <c r="AE43" i="109"/>
  <c r="AD43" i="109"/>
  <c r="R43" i="109"/>
  <c r="AF43" i="109"/>
  <c r="O43" i="109"/>
  <c r="N43" i="109"/>
  <c r="I43" i="109"/>
  <c r="G43" i="109"/>
  <c r="E43" i="109"/>
  <c r="C43" i="109"/>
  <c r="B43" i="109"/>
  <c r="L8" i="88"/>
  <c r="M8" i="88"/>
  <c r="L9" i="88"/>
  <c r="M9" i="88"/>
  <c r="L10" i="88"/>
  <c r="M10" i="88"/>
  <c r="L14" i="88"/>
  <c r="L21" i="88"/>
  <c r="M21" i="88"/>
  <c r="L15" i="88"/>
  <c r="L22" i="88"/>
  <c r="M22" i="88"/>
  <c r="L16" i="88"/>
  <c r="L23" i="88"/>
  <c r="M23" i="88"/>
  <c r="L17" i="88"/>
  <c r="L24" i="88"/>
  <c r="M24" i="88"/>
  <c r="M28" i="88"/>
  <c r="L33" i="88"/>
  <c r="M33" i="88"/>
  <c r="L34" i="88"/>
  <c r="M34" i="88"/>
  <c r="L41" i="88"/>
  <c r="M41" i="88"/>
  <c r="L38" i="88"/>
  <c r="L45" i="88"/>
  <c r="M45" i="88"/>
  <c r="L39" i="88"/>
  <c r="L46" i="88"/>
  <c r="M46" i="88"/>
  <c r="L40" i="88"/>
  <c r="L47" i="88"/>
  <c r="M47" i="88"/>
  <c r="M52" i="88"/>
  <c r="AH42" i="109"/>
  <c r="AE42" i="109"/>
  <c r="AD42" i="109"/>
  <c r="W42" i="109"/>
  <c r="V42" i="109"/>
  <c r="U42" i="109"/>
  <c r="S42" i="109"/>
  <c r="R42" i="109"/>
  <c r="O42" i="109"/>
  <c r="N42" i="109"/>
  <c r="G42" i="109"/>
  <c r="F42" i="109"/>
  <c r="E42" i="109"/>
  <c r="C42" i="109"/>
  <c r="B42" i="109"/>
  <c r="M9" i="84"/>
  <c r="N9" i="84"/>
  <c r="M10" i="84"/>
  <c r="N10" i="84"/>
  <c r="N21" i="84"/>
  <c r="N40" i="109"/>
  <c r="N23" i="84"/>
  <c r="G40" i="109"/>
  <c r="C40" i="109"/>
  <c r="AH38" i="109"/>
  <c r="AF38" i="109"/>
  <c r="O38" i="109"/>
  <c r="AI38" i="109"/>
  <c r="G38" i="109"/>
  <c r="E38" i="109"/>
  <c r="B38" i="109"/>
  <c r="L41" i="18"/>
  <c r="L38" i="18"/>
  <c r="M41" i="18"/>
  <c r="L34" i="18"/>
  <c r="M34" i="18"/>
  <c r="L35" i="18"/>
  <c r="M35" i="18"/>
  <c r="M44" i="18"/>
  <c r="L21" i="18"/>
  <c r="L13" i="18"/>
  <c r="M21" i="18"/>
  <c r="L22" i="18"/>
  <c r="L14" i="18"/>
  <c r="M22" i="18"/>
  <c r="L23" i="18"/>
  <c r="L15" i="18"/>
  <c r="M23" i="18"/>
  <c r="L24" i="18"/>
  <c r="L16" i="18"/>
  <c r="M24" i="18"/>
  <c r="L25" i="18"/>
  <c r="L17" i="18"/>
  <c r="M25" i="18"/>
  <c r="L26" i="18"/>
  <c r="L18" i="18"/>
  <c r="M26" i="18"/>
  <c r="L9" i="18"/>
  <c r="M9" i="18"/>
  <c r="L10" i="18"/>
  <c r="M10" i="18"/>
  <c r="M29" i="18"/>
  <c r="AH36" i="109"/>
  <c r="AE36" i="109"/>
  <c r="AD36" i="109"/>
  <c r="S36" i="109"/>
  <c r="R36" i="109"/>
  <c r="O36" i="109"/>
  <c r="N36" i="109"/>
  <c r="J36" i="109"/>
  <c r="H36" i="109"/>
  <c r="G36" i="109"/>
  <c r="E36" i="109"/>
  <c r="C36" i="109"/>
  <c r="B36" i="109"/>
  <c r="I22" i="17"/>
  <c r="I12" i="17"/>
  <c r="J22" i="17"/>
  <c r="I23" i="17"/>
  <c r="I13" i="17"/>
  <c r="J23" i="17"/>
  <c r="I24" i="17"/>
  <c r="I14" i="17"/>
  <c r="J24" i="17"/>
  <c r="I25" i="17"/>
  <c r="I15" i="17"/>
  <c r="J25" i="17"/>
  <c r="I26" i="17"/>
  <c r="I16" i="17"/>
  <c r="J26" i="17"/>
  <c r="I27" i="17"/>
  <c r="I17" i="17"/>
  <c r="J27" i="17"/>
  <c r="I8" i="17"/>
  <c r="J8" i="17"/>
  <c r="I9" i="17"/>
  <c r="J9" i="17"/>
  <c r="J30" i="17"/>
  <c r="AH33" i="109"/>
  <c r="O33" i="109"/>
  <c r="AI33" i="109"/>
  <c r="N33" i="109"/>
  <c r="K33" i="109"/>
  <c r="G33" i="109"/>
  <c r="F33" i="109"/>
  <c r="E33" i="109"/>
  <c r="C33" i="109"/>
  <c r="B33" i="109"/>
  <c r="J22" i="51"/>
  <c r="J14" i="51"/>
  <c r="K22" i="51"/>
  <c r="J23" i="51"/>
  <c r="J15" i="51"/>
  <c r="K23" i="51"/>
  <c r="J24" i="51"/>
  <c r="J16" i="51"/>
  <c r="K24" i="51"/>
  <c r="J25" i="51"/>
  <c r="J17" i="51"/>
  <c r="K25" i="51"/>
  <c r="J26" i="51"/>
  <c r="J18" i="51"/>
  <c r="K26" i="51"/>
  <c r="J10" i="51"/>
  <c r="K10" i="51"/>
  <c r="J11" i="51"/>
  <c r="K11" i="51"/>
  <c r="K28" i="51"/>
  <c r="J47" i="51"/>
  <c r="J38" i="51"/>
  <c r="K47" i="51"/>
  <c r="J48" i="51"/>
  <c r="J39" i="51"/>
  <c r="K48" i="51"/>
  <c r="J49" i="51"/>
  <c r="J40" i="51"/>
  <c r="K49" i="51"/>
  <c r="J50" i="51"/>
  <c r="J41" i="51"/>
  <c r="K50" i="51"/>
  <c r="J51" i="51"/>
  <c r="J42" i="51"/>
  <c r="K51" i="51"/>
  <c r="J46" i="51"/>
  <c r="J37" i="51"/>
  <c r="K46" i="51"/>
  <c r="J33" i="51"/>
  <c r="K33" i="51"/>
  <c r="J34" i="51"/>
  <c r="K34" i="51"/>
  <c r="K53" i="51"/>
  <c r="AH32" i="109"/>
  <c r="AE32" i="109"/>
  <c r="AD32" i="109"/>
  <c r="X32" i="109"/>
  <c r="W32" i="109"/>
  <c r="U32" i="109"/>
  <c r="S32" i="109"/>
  <c r="R32" i="109"/>
  <c r="O32" i="109"/>
  <c r="N32" i="109"/>
  <c r="K32" i="109"/>
  <c r="H32" i="109"/>
  <c r="F32" i="109"/>
  <c r="E32" i="109"/>
  <c r="C32" i="109"/>
  <c r="B32" i="109"/>
  <c r="N11" i="16"/>
  <c r="O11" i="16"/>
  <c r="N12" i="16"/>
  <c r="O12" i="16"/>
  <c r="N16" i="16"/>
  <c r="N23" i="16"/>
  <c r="O23" i="16"/>
  <c r="N17" i="16"/>
  <c r="N24" i="16"/>
  <c r="O24" i="16"/>
  <c r="N18" i="16"/>
  <c r="N25" i="16"/>
  <c r="O25" i="16"/>
  <c r="N19" i="16"/>
  <c r="N26" i="16"/>
  <c r="O26" i="16"/>
  <c r="N20" i="16"/>
  <c r="N27" i="16"/>
  <c r="O27" i="16"/>
  <c r="O30" i="16"/>
  <c r="N37" i="16"/>
  <c r="O37" i="16"/>
  <c r="N38" i="16"/>
  <c r="O38" i="16"/>
  <c r="N42" i="16"/>
  <c r="N50" i="16"/>
  <c r="O50" i="16"/>
  <c r="N43" i="16"/>
  <c r="N51" i="16"/>
  <c r="O51" i="16"/>
  <c r="N44" i="16"/>
  <c r="N52" i="16"/>
  <c r="O52" i="16"/>
  <c r="N45" i="16"/>
  <c r="N53" i="16"/>
  <c r="O53" i="16"/>
  <c r="N46" i="16"/>
  <c r="N54" i="16"/>
  <c r="O54" i="16"/>
  <c r="N47" i="16"/>
  <c r="N55" i="16"/>
  <c r="O55" i="16"/>
  <c r="O58" i="16"/>
  <c r="AH30" i="109"/>
  <c r="AE30" i="109"/>
  <c r="AD30" i="109"/>
  <c r="AA30" i="109"/>
  <c r="W30" i="109"/>
  <c r="V30" i="109"/>
  <c r="U30" i="109"/>
  <c r="S30" i="109"/>
  <c r="R30" i="109"/>
  <c r="O30" i="109"/>
  <c r="AI30" i="109"/>
  <c r="N30" i="109"/>
  <c r="K30" i="109"/>
  <c r="G30" i="109"/>
  <c r="F30" i="109"/>
  <c r="E30" i="109"/>
  <c r="C30" i="109"/>
  <c r="B30" i="109"/>
  <c r="E10" i="14"/>
  <c r="K7" i="14"/>
  <c r="F10" i="14"/>
  <c r="K8" i="14"/>
  <c r="G10" i="14"/>
  <c r="G16" i="14"/>
  <c r="K13" i="14"/>
  <c r="H10" i="14"/>
  <c r="H16" i="14"/>
  <c r="K14" i="14"/>
  <c r="I10" i="14"/>
  <c r="I16" i="14"/>
  <c r="K15" i="14"/>
  <c r="K18" i="14"/>
  <c r="E27" i="14"/>
  <c r="J23" i="14"/>
  <c r="F27" i="14"/>
  <c r="J24" i="14"/>
  <c r="G27" i="14"/>
  <c r="G34" i="14"/>
  <c r="J30" i="14"/>
  <c r="H27" i="14"/>
  <c r="H34" i="14"/>
  <c r="J31" i="14"/>
  <c r="J36" i="14"/>
  <c r="AH28" i="109"/>
  <c r="AE28" i="109"/>
  <c r="W28" i="109"/>
  <c r="U28" i="109"/>
  <c r="S28" i="109"/>
  <c r="R28" i="109"/>
  <c r="AF28" i="109"/>
  <c r="O28" i="109"/>
  <c r="N28" i="109"/>
  <c r="G28" i="109"/>
  <c r="E28" i="109"/>
  <c r="C28" i="109"/>
  <c r="B28" i="109"/>
  <c r="M43" i="7"/>
  <c r="M37" i="7"/>
  <c r="N43" i="7"/>
  <c r="M44" i="7"/>
  <c r="M38" i="7"/>
  <c r="N44" i="7"/>
  <c r="M45" i="7"/>
  <c r="M39" i="7"/>
  <c r="N45" i="7"/>
  <c r="M31" i="7"/>
  <c r="N31" i="7"/>
  <c r="M32" i="7"/>
  <c r="N32" i="7"/>
  <c r="M33" i="7"/>
  <c r="N33" i="7"/>
  <c r="N48" i="7"/>
  <c r="M20" i="7"/>
  <c r="M14" i="7"/>
  <c r="N20" i="7"/>
  <c r="M21" i="7"/>
  <c r="M15" i="7"/>
  <c r="N21" i="7"/>
  <c r="M22" i="7"/>
  <c r="M16" i="7"/>
  <c r="N22" i="7"/>
  <c r="M9" i="7"/>
  <c r="N9" i="7"/>
  <c r="M10" i="7"/>
  <c r="N10" i="7"/>
  <c r="N25" i="7"/>
  <c r="AH21" i="109"/>
  <c r="AE21" i="109"/>
  <c r="O21" i="109"/>
  <c r="AI21" i="109"/>
  <c r="AJ21" i="109"/>
  <c r="W21" i="109"/>
  <c r="V21" i="109"/>
  <c r="U21" i="109"/>
  <c r="T21" i="109"/>
  <c r="S21" i="109"/>
  <c r="R21" i="109"/>
  <c r="G21" i="109"/>
  <c r="F21" i="109"/>
  <c r="E21" i="109"/>
  <c r="C21" i="109"/>
  <c r="B21" i="109"/>
  <c r="L55" i="5"/>
  <c r="L48" i="5"/>
  <c r="M55" i="5"/>
  <c r="L56" i="5"/>
  <c r="L49" i="5"/>
  <c r="M56" i="5"/>
  <c r="L57" i="5"/>
  <c r="L50" i="5"/>
  <c r="M57" i="5"/>
  <c r="L42" i="5"/>
  <c r="M42" i="5"/>
  <c r="L43" i="5"/>
  <c r="M43" i="5"/>
  <c r="M63" i="5"/>
  <c r="L25" i="5"/>
  <c r="L15" i="5"/>
  <c r="M25" i="5"/>
  <c r="L26" i="5"/>
  <c r="L16" i="5"/>
  <c r="M26" i="5"/>
  <c r="L27" i="5"/>
  <c r="L17" i="5"/>
  <c r="M27" i="5"/>
  <c r="L28" i="5"/>
  <c r="L18" i="5"/>
  <c r="M28" i="5"/>
  <c r="L29" i="5"/>
  <c r="L19" i="5"/>
  <c r="M29" i="5"/>
  <c r="L30" i="5"/>
  <c r="L20" i="5"/>
  <c r="M30" i="5"/>
  <c r="L9" i="5"/>
  <c r="M9" i="5"/>
  <c r="L10" i="5"/>
  <c r="M10" i="5"/>
  <c r="M36" i="5"/>
  <c r="AH7" i="109"/>
  <c r="AE7" i="109"/>
  <c r="X7" i="109"/>
  <c r="AD7" i="109"/>
  <c r="S7" i="109"/>
  <c r="R7" i="109"/>
  <c r="O7" i="109"/>
  <c r="N7" i="109"/>
  <c r="K7" i="109"/>
  <c r="J7" i="109"/>
  <c r="I7" i="109"/>
  <c r="G7" i="109"/>
  <c r="E7" i="109"/>
  <c r="C7" i="109"/>
  <c r="B7" i="109"/>
  <c r="J52" i="51"/>
  <c r="J43" i="51"/>
  <c r="J53" i="51"/>
  <c r="I52" i="51"/>
  <c r="I43" i="51"/>
  <c r="I53" i="51"/>
  <c r="H52" i="51"/>
  <c r="H43" i="51"/>
  <c r="H53" i="51"/>
  <c r="G52" i="51"/>
  <c r="G43" i="51"/>
  <c r="G53" i="51"/>
  <c r="N21" i="16"/>
  <c r="N28" i="16"/>
  <c r="N29" i="16"/>
  <c r="AF57" i="109"/>
  <c r="AG57" i="109"/>
  <c r="AI56" i="109"/>
  <c r="AF53" i="109"/>
  <c r="AG53" i="109"/>
  <c r="AI51" i="109"/>
  <c r="AJ51" i="109"/>
  <c r="AF50" i="109"/>
  <c r="AG50" i="109"/>
  <c r="AF40" i="109"/>
  <c r="AG40" i="109"/>
  <c r="AG38" i="109"/>
  <c r="AF33" i="109"/>
  <c r="AG33" i="109"/>
  <c r="AF8" i="109"/>
  <c r="AG8" i="109"/>
  <c r="J38" i="108"/>
  <c r="J40" i="108"/>
  <c r="K38" i="108"/>
  <c r="K40" i="108"/>
  <c r="L38" i="108"/>
  <c r="L40" i="108"/>
  <c r="I38" i="108"/>
  <c r="I40" i="108"/>
  <c r="L10" i="108"/>
  <c r="L17" i="108"/>
  <c r="L24" i="108"/>
  <c r="L26" i="108"/>
  <c r="L27" i="108"/>
  <c r="K10" i="108"/>
  <c r="K17" i="108"/>
  <c r="K24" i="108"/>
  <c r="K26" i="108"/>
  <c r="K27" i="108"/>
  <c r="J10" i="108"/>
  <c r="J17" i="108"/>
  <c r="J24" i="108"/>
  <c r="J26" i="108"/>
  <c r="J27" i="108"/>
  <c r="I10" i="108"/>
  <c r="I17" i="108"/>
  <c r="I24" i="108"/>
  <c r="I26" i="108"/>
  <c r="I27" i="108"/>
  <c r="L28" i="99"/>
  <c r="I10" i="99"/>
  <c r="K10" i="99"/>
  <c r="L10" i="99"/>
  <c r="L28" i="98"/>
  <c r="L9" i="98"/>
  <c r="M21" i="98"/>
  <c r="M46" i="98"/>
  <c r="M45" i="98"/>
  <c r="J44" i="98"/>
  <c r="K44" i="98"/>
  <c r="L44" i="98"/>
  <c r="M44" i="98"/>
  <c r="M36" i="98"/>
  <c r="L36" i="98"/>
  <c r="K36" i="98"/>
  <c r="J36" i="98"/>
  <c r="J28" i="98"/>
  <c r="K28" i="98"/>
  <c r="M28" i="98"/>
  <c r="M20" i="98"/>
  <c r="M19" i="98"/>
  <c r="L19" i="98"/>
  <c r="K19" i="98"/>
  <c r="J19" i="98"/>
  <c r="M14" i="98"/>
  <c r="L14" i="98"/>
  <c r="K14" i="98"/>
  <c r="J14" i="98"/>
  <c r="M9" i="98"/>
  <c r="K9" i="98"/>
  <c r="J9" i="98"/>
  <c r="I24" i="96"/>
  <c r="J24" i="96"/>
  <c r="K24" i="96"/>
  <c r="L24" i="96"/>
  <c r="I18" i="96"/>
  <c r="J18" i="96"/>
  <c r="K18" i="96"/>
  <c r="L18" i="96"/>
  <c r="N69" i="95"/>
  <c r="N68" i="95"/>
  <c r="M56" i="95"/>
  <c r="M67" i="95"/>
  <c r="N67" i="95"/>
  <c r="J66" i="95"/>
  <c r="K66" i="95"/>
  <c r="L66" i="95"/>
  <c r="N66" i="95"/>
  <c r="J46" i="95"/>
  <c r="K46" i="95"/>
  <c r="M46" i="95"/>
  <c r="N46" i="95"/>
  <c r="L56" i="95"/>
  <c r="L26" i="95"/>
  <c r="L38" i="95"/>
  <c r="N56" i="95"/>
  <c r="K56" i="95"/>
  <c r="J56" i="95"/>
  <c r="I35" i="94"/>
  <c r="I41" i="94"/>
  <c r="I47" i="94"/>
  <c r="I48" i="94"/>
  <c r="I49" i="94"/>
  <c r="L49" i="94"/>
  <c r="L47" i="94"/>
  <c r="J41" i="94"/>
  <c r="J47" i="94"/>
  <c r="J48" i="94"/>
  <c r="L48" i="94"/>
  <c r="L35" i="94"/>
  <c r="L23" i="93"/>
  <c r="L22" i="93"/>
  <c r="I15" i="93"/>
  <c r="J15" i="93"/>
  <c r="K15" i="93"/>
  <c r="L15" i="93"/>
  <c r="I35" i="92"/>
  <c r="I51" i="92"/>
  <c r="J35" i="92"/>
  <c r="J51" i="92"/>
  <c r="L51" i="92"/>
  <c r="L50" i="92"/>
  <c r="I49" i="92"/>
  <c r="J49" i="92"/>
  <c r="K49" i="92"/>
  <c r="L49" i="92"/>
  <c r="I42" i="92"/>
  <c r="J42" i="92"/>
  <c r="K42" i="92"/>
  <c r="L42" i="92"/>
  <c r="L28" i="92"/>
  <c r="L27" i="92"/>
  <c r="J26" i="92"/>
  <c r="K26" i="92"/>
  <c r="L26" i="92"/>
  <c r="L35" i="92"/>
  <c r="K35" i="92"/>
  <c r="I43" i="91"/>
  <c r="I51" i="91"/>
  <c r="I52" i="91"/>
  <c r="J43" i="91"/>
  <c r="J51" i="91"/>
  <c r="J52" i="91"/>
  <c r="K43" i="91"/>
  <c r="K51" i="91"/>
  <c r="K52" i="91"/>
  <c r="L52" i="91"/>
  <c r="I35" i="91"/>
  <c r="I53" i="91"/>
  <c r="J35" i="91"/>
  <c r="J53" i="91"/>
  <c r="L53" i="91"/>
  <c r="K11" i="90"/>
  <c r="K17" i="90"/>
  <c r="K23" i="90"/>
  <c r="K25" i="90"/>
  <c r="K26" i="90"/>
  <c r="L39" i="107"/>
  <c r="L44" i="107"/>
  <c r="L46" i="107"/>
  <c r="M46" i="107"/>
  <c r="M26" i="107"/>
  <c r="J24" i="107"/>
  <c r="I17" i="107"/>
  <c r="K34" i="107"/>
  <c r="K39" i="107"/>
  <c r="K44" i="107"/>
  <c r="K48" i="107"/>
  <c r="K10" i="107"/>
  <c r="K17" i="107"/>
  <c r="K24" i="107"/>
  <c r="K28" i="107"/>
  <c r="M34" i="107"/>
  <c r="M39" i="107"/>
  <c r="M44" i="107"/>
  <c r="M48" i="107"/>
  <c r="L34" i="107"/>
  <c r="L48" i="107"/>
  <c r="J34" i="107"/>
  <c r="J39" i="107"/>
  <c r="J44" i="107"/>
  <c r="J48" i="107"/>
  <c r="I34" i="107"/>
  <c r="I39" i="107"/>
  <c r="I44" i="107"/>
  <c r="I48" i="107"/>
  <c r="M21" i="89"/>
  <c r="I10" i="89"/>
  <c r="K29" i="89"/>
  <c r="K36" i="89"/>
  <c r="K38" i="89"/>
  <c r="K39" i="89"/>
  <c r="K10" i="89"/>
  <c r="K19" i="89"/>
  <c r="J52" i="5"/>
  <c r="J59" i="5"/>
  <c r="J61" i="5"/>
  <c r="J45" i="5"/>
  <c r="J63" i="5"/>
  <c r="K52" i="5"/>
  <c r="K59" i="5"/>
  <c r="K61" i="5"/>
  <c r="K45" i="5"/>
  <c r="K63" i="5"/>
  <c r="L52" i="5"/>
  <c r="L59" i="5"/>
  <c r="L61" i="5"/>
  <c r="L45" i="5"/>
  <c r="L63" i="5"/>
  <c r="I52" i="5"/>
  <c r="I59" i="5"/>
  <c r="I61" i="5"/>
  <c r="I45" i="5"/>
  <c r="I63" i="5"/>
  <c r="J32" i="5"/>
  <c r="J22" i="5"/>
  <c r="J12" i="5"/>
  <c r="J36" i="5"/>
  <c r="K32" i="5"/>
  <c r="K22" i="5"/>
  <c r="K12" i="5"/>
  <c r="K36" i="5"/>
  <c r="L32" i="5"/>
  <c r="L22" i="5"/>
  <c r="L12" i="5"/>
  <c r="L36" i="5"/>
  <c r="I32" i="5"/>
  <c r="I22" i="5"/>
  <c r="I12" i="5"/>
  <c r="I36" i="5"/>
  <c r="K34" i="5"/>
  <c r="J34" i="5"/>
  <c r="L34" i="5"/>
  <c r="I34" i="5"/>
  <c r="K15" i="53"/>
  <c r="K19" i="53"/>
  <c r="L34" i="7"/>
  <c r="I46" i="7"/>
  <c r="I40" i="7"/>
  <c r="I34" i="7"/>
  <c r="I48" i="7"/>
  <c r="J46" i="7"/>
  <c r="J40" i="7"/>
  <c r="J34" i="7"/>
  <c r="J48" i="7"/>
  <c r="K46" i="7"/>
  <c r="K40" i="7"/>
  <c r="K34" i="7"/>
  <c r="K48" i="7"/>
  <c r="L46" i="7"/>
  <c r="L40" i="7"/>
  <c r="L48" i="7"/>
  <c r="M48" i="7"/>
  <c r="M40" i="7"/>
  <c r="M46" i="7"/>
  <c r="M47" i="7"/>
  <c r="L47" i="7"/>
  <c r="K47" i="7"/>
  <c r="J47" i="7"/>
  <c r="I47" i="7"/>
  <c r="M34" i="7"/>
  <c r="I23" i="7"/>
  <c r="I17" i="7"/>
  <c r="I11" i="7"/>
  <c r="I25" i="7"/>
  <c r="J23" i="7"/>
  <c r="J17" i="7"/>
  <c r="J11" i="7"/>
  <c r="J25" i="7"/>
  <c r="K23" i="7"/>
  <c r="K17" i="7"/>
  <c r="K11" i="7"/>
  <c r="K25" i="7"/>
  <c r="L23" i="7"/>
  <c r="L17" i="7"/>
  <c r="L25" i="7"/>
  <c r="M25" i="7"/>
  <c r="J24" i="7"/>
  <c r="K24" i="7"/>
  <c r="L24" i="7"/>
  <c r="I24" i="7"/>
  <c r="M17" i="7"/>
  <c r="M23" i="7"/>
  <c r="M24" i="7"/>
  <c r="M11" i="7"/>
  <c r="F64" i="14"/>
  <c r="F58" i="14"/>
  <c r="F66" i="14"/>
  <c r="G64" i="14"/>
  <c r="G58" i="14"/>
  <c r="G66" i="14"/>
  <c r="H64" i="14"/>
  <c r="H58" i="14"/>
  <c r="H66" i="14"/>
  <c r="I64" i="14"/>
  <c r="I58" i="14"/>
  <c r="I66" i="14"/>
  <c r="J64" i="14"/>
  <c r="J58" i="14"/>
  <c r="J66" i="14"/>
  <c r="E64" i="14"/>
  <c r="K64" i="14"/>
  <c r="E58" i="14"/>
  <c r="K58" i="14"/>
  <c r="K66" i="14"/>
  <c r="E66" i="14"/>
  <c r="K61" i="14"/>
  <c r="K62" i="14"/>
  <c r="K63" i="14"/>
  <c r="K55" i="14"/>
  <c r="K56" i="14"/>
  <c r="K57" i="14"/>
  <c r="F49" i="14"/>
  <c r="F43" i="14"/>
  <c r="F51" i="14"/>
  <c r="G49" i="14"/>
  <c r="G43" i="14"/>
  <c r="G51" i="14"/>
  <c r="H49" i="14"/>
  <c r="H43" i="14"/>
  <c r="H51" i="14"/>
  <c r="I46" i="14"/>
  <c r="I47" i="14"/>
  <c r="I48" i="14"/>
  <c r="I49" i="14"/>
  <c r="I40" i="14"/>
  <c r="I41" i="14"/>
  <c r="I42" i="14"/>
  <c r="I43" i="14"/>
  <c r="I51" i="14"/>
  <c r="E49" i="14"/>
  <c r="E43" i="14"/>
  <c r="E51" i="14"/>
  <c r="F34" i="14"/>
  <c r="F36" i="14"/>
  <c r="G36" i="14"/>
  <c r="H36" i="14"/>
  <c r="I30" i="14"/>
  <c r="I31" i="14"/>
  <c r="I32" i="14"/>
  <c r="I33" i="14"/>
  <c r="I34" i="14"/>
  <c r="I23" i="14"/>
  <c r="I24" i="14"/>
  <c r="I25" i="14"/>
  <c r="I26" i="14"/>
  <c r="I27" i="14"/>
  <c r="I36" i="14"/>
  <c r="E34" i="14"/>
  <c r="E36" i="14"/>
  <c r="K59" i="14"/>
  <c r="K60" i="14"/>
  <c r="K65" i="14"/>
  <c r="J13" i="14"/>
  <c r="J14" i="14"/>
  <c r="J15" i="14"/>
  <c r="J16" i="14"/>
  <c r="F16" i="14"/>
  <c r="F18" i="14"/>
  <c r="G18" i="14"/>
  <c r="H18" i="14"/>
  <c r="I18" i="14"/>
  <c r="J10" i="14"/>
  <c r="J18" i="14"/>
  <c r="E16" i="14"/>
  <c r="E18" i="14"/>
  <c r="J8" i="14"/>
  <c r="J9" i="14"/>
  <c r="J7" i="14"/>
  <c r="L56" i="16"/>
  <c r="L48" i="16"/>
  <c r="L57" i="16"/>
  <c r="M56" i="16"/>
  <c r="M48" i="16"/>
  <c r="M57" i="16"/>
  <c r="N56" i="16"/>
  <c r="N48" i="16"/>
  <c r="N57" i="16"/>
  <c r="I56" i="16"/>
  <c r="I48" i="16"/>
  <c r="I57" i="16"/>
  <c r="J56" i="16"/>
  <c r="J48" i="16"/>
  <c r="J57" i="16"/>
  <c r="K56" i="16"/>
  <c r="K48" i="16"/>
  <c r="K57" i="16"/>
  <c r="J39" i="16"/>
  <c r="K39" i="16"/>
  <c r="L39" i="16"/>
  <c r="M39" i="16"/>
  <c r="N39" i="16"/>
  <c r="I39" i="16"/>
  <c r="J58" i="16"/>
  <c r="K58" i="16"/>
  <c r="L58" i="16"/>
  <c r="M58" i="16"/>
  <c r="N58" i="16"/>
  <c r="I58" i="16"/>
  <c r="J13" i="16"/>
  <c r="J21" i="16"/>
  <c r="J28" i="16"/>
  <c r="J29" i="16"/>
  <c r="J30" i="16"/>
  <c r="K13" i="16"/>
  <c r="K21" i="16"/>
  <c r="K28" i="16"/>
  <c r="K29" i="16"/>
  <c r="K30" i="16"/>
  <c r="L13" i="16"/>
  <c r="L21" i="16"/>
  <c r="L28" i="16"/>
  <c r="L29" i="16"/>
  <c r="L30" i="16"/>
  <c r="M13" i="16"/>
  <c r="M21" i="16"/>
  <c r="M28" i="16"/>
  <c r="M29" i="16"/>
  <c r="M30" i="16"/>
  <c r="N13" i="16"/>
  <c r="N30" i="16"/>
  <c r="I13" i="16"/>
  <c r="I21" i="16"/>
  <c r="I28" i="16"/>
  <c r="I29" i="16"/>
  <c r="I30" i="16"/>
  <c r="H27" i="51"/>
  <c r="H19" i="51"/>
  <c r="H28" i="51"/>
  <c r="I27" i="51"/>
  <c r="I19" i="51"/>
  <c r="I28" i="51"/>
  <c r="J27" i="51"/>
  <c r="J19" i="51"/>
  <c r="J28" i="51"/>
  <c r="G19" i="51"/>
  <c r="G27" i="51"/>
  <c r="G28" i="51"/>
  <c r="H28" i="17"/>
  <c r="H18" i="17"/>
  <c r="I29" i="17"/>
  <c r="G18" i="17"/>
  <c r="G28" i="17"/>
  <c r="G29" i="17"/>
  <c r="F18" i="17"/>
  <c r="F28" i="17"/>
  <c r="F29" i="17"/>
  <c r="G10" i="17"/>
  <c r="G19" i="17"/>
  <c r="H10" i="17"/>
  <c r="H19" i="17"/>
  <c r="I19" i="17"/>
  <c r="F10" i="17"/>
  <c r="F19" i="17"/>
  <c r="K39" i="18"/>
  <c r="K42" i="18"/>
  <c r="K43" i="18"/>
  <c r="L43" i="18"/>
  <c r="L28" i="18"/>
  <c r="L36" i="18"/>
  <c r="L39" i="18"/>
  <c r="L42" i="18"/>
  <c r="L44" i="18"/>
  <c r="K36" i="18"/>
  <c r="K44" i="18"/>
  <c r="J36" i="18"/>
  <c r="J39" i="18"/>
  <c r="J42" i="18"/>
  <c r="J44" i="18"/>
  <c r="I36" i="18"/>
  <c r="I39" i="18"/>
  <c r="I42" i="18"/>
  <c r="I44" i="18"/>
  <c r="J11" i="18"/>
  <c r="J19" i="18"/>
  <c r="J27" i="18"/>
  <c r="J29" i="18"/>
  <c r="K11" i="18"/>
  <c r="K19" i="18"/>
  <c r="K27" i="18"/>
  <c r="K29" i="18"/>
  <c r="L11" i="18"/>
  <c r="L19" i="18"/>
  <c r="L27" i="18"/>
  <c r="L29" i="18"/>
  <c r="I11" i="18"/>
  <c r="I19" i="18"/>
  <c r="I27" i="18"/>
  <c r="I29" i="18"/>
  <c r="K12" i="60"/>
  <c r="J12" i="60"/>
  <c r="L12" i="60"/>
  <c r="M12" i="60"/>
  <c r="I12" i="60"/>
  <c r="K11" i="84"/>
  <c r="K27" i="84"/>
  <c r="J11" i="84"/>
  <c r="J27" i="84"/>
  <c r="L11" i="84"/>
  <c r="L27" i="84"/>
  <c r="I11" i="84"/>
  <c r="I27" i="84"/>
  <c r="J35" i="88"/>
  <c r="J42" i="88"/>
  <c r="J48" i="88"/>
  <c r="J50" i="88"/>
  <c r="J52" i="88"/>
  <c r="K35" i="88"/>
  <c r="K42" i="88"/>
  <c r="K48" i="88"/>
  <c r="K50" i="88"/>
  <c r="K52" i="88"/>
  <c r="L35" i="88"/>
  <c r="L42" i="88"/>
  <c r="L48" i="88"/>
  <c r="L50" i="88"/>
  <c r="L52" i="88"/>
  <c r="I35" i="88"/>
  <c r="I42" i="88"/>
  <c r="I48" i="88"/>
  <c r="I50" i="88"/>
  <c r="I52" i="88"/>
  <c r="L11" i="88"/>
  <c r="L18" i="88"/>
  <c r="L25" i="88"/>
  <c r="L27" i="88"/>
  <c r="L28" i="88"/>
  <c r="J11" i="88"/>
  <c r="J18" i="88"/>
  <c r="J25" i="88"/>
  <c r="J27" i="88"/>
  <c r="J28" i="88"/>
  <c r="K11" i="88"/>
  <c r="K18" i="88"/>
  <c r="K25" i="88"/>
  <c r="K27" i="88"/>
  <c r="K28" i="88"/>
  <c r="I11" i="88"/>
  <c r="I18" i="88"/>
  <c r="I25" i="88"/>
  <c r="I27" i="88"/>
  <c r="I28" i="88"/>
  <c r="J36" i="89"/>
  <c r="L36" i="89"/>
  <c r="L29" i="89"/>
  <c r="L38" i="89"/>
  <c r="J29" i="89"/>
  <c r="J38" i="89"/>
  <c r="J39" i="89"/>
  <c r="M10" i="89"/>
  <c r="L10" i="89"/>
  <c r="L19" i="89"/>
  <c r="J10" i="89"/>
  <c r="J19" i="89"/>
  <c r="I19" i="89"/>
  <c r="M10" i="107"/>
  <c r="M17" i="107"/>
  <c r="M24" i="107"/>
  <c r="M28" i="107"/>
  <c r="L10" i="107"/>
  <c r="L17" i="107"/>
  <c r="L24" i="107"/>
  <c r="L28" i="107"/>
  <c r="J10" i="107"/>
  <c r="J17" i="107"/>
  <c r="J28" i="107"/>
  <c r="I10" i="107"/>
  <c r="I24" i="107"/>
  <c r="I28" i="107"/>
  <c r="M11" i="90"/>
  <c r="M17" i="90"/>
  <c r="M23" i="90"/>
  <c r="M25" i="90"/>
  <c r="M26" i="90"/>
  <c r="L11" i="90"/>
  <c r="L17" i="90"/>
  <c r="L23" i="90"/>
  <c r="L25" i="90"/>
  <c r="L26" i="90"/>
  <c r="J11" i="90"/>
  <c r="J17" i="90"/>
  <c r="J23" i="90"/>
  <c r="J25" i="90"/>
  <c r="J26" i="90"/>
  <c r="I11" i="90"/>
  <c r="I17" i="90"/>
  <c r="I23" i="90"/>
  <c r="I25" i="90"/>
  <c r="I26" i="90"/>
  <c r="L51" i="91"/>
  <c r="L43" i="91"/>
  <c r="I26" i="91"/>
  <c r="L35" i="91"/>
  <c r="K35" i="91"/>
  <c r="L10" i="91"/>
  <c r="L18" i="91"/>
  <c r="L26" i="91"/>
  <c r="L27" i="91"/>
  <c r="L28" i="91"/>
  <c r="K10" i="91"/>
  <c r="K18" i="91"/>
  <c r="K26" i="91"/>
  <c r="K27" i="91"/>
  <c r="K28" i="91"/>
  <c r="J10" i="91"/>
  <c r="J18" i="91"/>
  <c r="J26" i="91"/>
  <c r="J27" i="91"/>
  <c r="J28" i="91"/>
  <c r="I10" i="91"/>
  <c r="I18" i="91"/>
  <c r="I27" i="91"/>
  <c r="I28" i="91"/>
  <c r="J10" i="92"/>
  <c r="J18" i="92"/>
  <c r="K10" i="92"/>
  <c r="K18" i="92"/>
  <c r="L10" i="92"/>
  <c r="L18" i="92"/>
  <c r="I10" i="92"/>
  <c r="I18" i="92"/>
  <c r="J21" i="93"/>
  <c r="K21" i="93"/>
  <c r="L21" i="93"/>
  <c r="I21" i="93"/>
  <c r="K41" i="94"/>
  <c r="L41" i="94"/>
  <c r="J35" i="94"/>
  <c r="L11" i="94"/>
  <c r="L18" i="94"/>
  <c r="L25" i="94"/>
  <c r="L26" i="94"/>
  <c r="L27" i="94"/>
  <c r="K11" i="94"/>
  <c r="K18" i="94"/>
  <c r="J11" i="94"/>
  <c r="J18" i="94"/>
  <c r="J25" i="94"/>
  <c r="J26" i="94"/>
  <c r="J27" i="94"/>
  <c r="I11" i="94"/>
  <c r="I18" i="94"/>
  <c r="I25" i="94"/>
  <c r="I26" i="94"/>
  <c r="I27" i="94"/>
  <c r="N26" i="95"/>
  <c r="K26" i="95"/>
  <c r="K38" i="95"/>
  <c r="J26" i="95"/>
  <c r="J38" i="95"/>
  <c r="L12" i="96"/>
  <c r="L26" i="96"/>
  <c r="L27" i="96"/>
  <c r="K12" i="96"/>
  <c r="K26" i="96"/>
  <c r="K27" i="96"/>
  <c r="J12" i="96"/>
  <c r="J26" i="96"/>
  <c r="J27" i="96"/>
  <c r="I12" i="96"/>
  <c r="I26" i="96"/>
  <c r="I27" i="96"/>
  <c r="J19" i="99"/>
  <c r="J27" i="99"/>
  <c r="K19" i="99"/>
  <c r="K27" i="99"/>
  <c r="L19" i="99"/>
  <c r="L27" i="99"/>
  <c r="I19" i="99"/>
  <c r="I27" i="99"/>
  <c r="L29" i="99"/>
  <c r="K29" i="99"/>
  <c r="J29" i="99"/>
  <c r="I29" i="99"/>
  <c r="I23" i="125"/>
  <c r="K23" i="125"/>
  <c r="Q32" i="125"/>
  <c r="Q31" i="125"/>
  <c r="Q16" i="125"/>
  <c r="Q18" i="125"/>
  <c r="Q17" i="125"/>
  <c r="O19" i="125"/>
  <c r="O33" i="125"/>
  <c r="P33" i="125"/>
  <c r="Q33" i="125"/>
  <c r="Q30" i="125"/>
  <c r="P19" i="125"/>
  <c r="Q19" i="125"/>
  <c r="Q21" i="125"/>
  <c r="Q15" i="125"/>
  <c r="N24" i="84"/>
  <c r="H40" i="109"/>
  <c r="N22" i="84"/>
  <c r="E40" i="109"/>
  <c r="M11" i="84"/>
  <c r="M27" i="84"/>
  <c r="B40" i="109"/>
  <c r="AI12" i="109"/>
  <c r="P31" i="109"/>
  <c r="P66" i="109"/>
  <c r="Q66" i="109"/>
  <c r="AF29" i="109"/>
  <c r="AF20" i="109"/>
  <c r="AF39" i="109"/>
  <c r="AG39" i="109"/>
  <c r="AF15" i="109"/>
  <c r="AG15" i="109"/>
  <c r="P24" i="109"/>
  <c r="Q24" i="109"/>
  <c r="P15" i="109"/>
  <c r="Q15" i="109"/>
  <c r="AG29" i="109"/>
  <c r="AI62" i="109"/>
  <c r="AJ62" i="109"/>
  <c r="AI48" i="109"/>
  <c r="AF46" i="109"/>
  <c r="AG46" i="109"/>
  <c r="P32" i="109"/>
  <c r="AJ53" i="109"/>
  <c r="AI9" i="109"/>
  <c r="AJ9" i="109"/>
  <c r="P53" i="109"/>
  <c r="Q53" i="109"/>
  <c r="AF9" i="109"/>
  <c r="AG9" i="109"/>
  <c r="P18" i="109"/>
  <c r="Q18" i="109"/>
  <c r="AF7" i="109"/>
  <c r="AJ33" i="109"/>
  <c r="P39" i="109"/>
  <c r="Q39" i="109"/>
  <c r="AI28" i="109"/>
  <c r="AJ28" i="109"/>
  <c r="P8" i="109"/>
  <c r="Q8" i="109"/>
  <c r="P14" i="109"/>
  <c r="Q14" i="109"/>
  <c r="AG28" i="109"/>
  <c r="AF42" i="109"/>
  <c r="AG42" i="109"/>
  <c r="AI17" i="109"/>
  <c r="AJ17" i="109"/>
  <c r="AI36" i="109"/>
  <c r="AJ36" i="109"/>
  <c r="AI43" i="109"/>
  <c r="AJ43" i="109"/>
  <c r="AI49" i="109"/>
  <c r="AJ49" i="109"/>
  <c r="P50" i="109"/>
  <c r="Q50" i="109"/>
  <c r="AF59" i="109"/>
  <c r="AG59" i="109"/>
  <c r="P9" i="109"/>
  <c r="Q9" i="109"/>
  <c r="AJ22" i="109"/>
  <c r="P30" i="109"/>
  <c r="Q30" i="109"/>
  <c r="AI35" i="109"/>
  <c r="AJ35" i="109"/>
  <c r="AF12" i="109"/>
  <c r="AG12" i="109"/>
  <c r="P37" i="109"/>
  <c r="Q37" i="109"/>
  <c r="AI60" i="109"/>
  <c r="AJ60" i="109"/>
  <c r="P38" i="109"/>
  <c r="Q38" i="109"/>
  <c r="AG43" i="109"/>
  <c r="AF55" i="109"/>
  <c r="AG55" i="109"/>
  <c r="AG11" i="109"/>
  <c r="AF30" i="109"/>
  <c r="AJ58" i="109"/>
  <c r="P63" i="109"/>
  <c r="Q63" i="109"/>
  <c r="P11" i="109"/>
  <c r="Q11" i="109"/>
  <c r="P54" i="109"/>
  <c r="Q54" i="109"/>
  <c r="AF21" i="109"/>
  <c r="AG21" i="109"/>
  <c r="P17" i="109"/>
  <c r="AJ31" i="109"/>
  <c r="P64" i="109"/>
  <c r="Q64" i="109"/>
  <c r="P44" i="109"/>
  <c r="Q44" i="109"/>
  <c r="P42" i="109"/>
  <c r="Q42" i="109"/>
  <c r="AF17" i="109"/>
  <c r="AG17" i="109"/>
  <c r="AI7" i="109"/>
  <c r="AJ7" i="109"/>
  <c r="P28" i="109"/>
  <c r="AI32" i="109"/>
  <c r="AJ32" i="109"/>
  <c r="AF56" i="109"/>
  <c r="AG56" i="109"/>
  <c r="AJ56" i="109"/>
  <c r="P5" i="109"/>
  <c r="Q5" i="109"/>
  <c r="AJ15" i="109"/>
  <c r="P29" i="109"/>
  <c r="Q29" i="109"/>
  <c r="AF60" i="109"/>
  <c r="P61" i="109"/>
  <c r="Q61" i="109"/>
  <c r="AI52" i="109"/>
  <c r="AJ52" i="109"/>
  <c r="AI20" i="109"/>
  <c r="AJ20" i="109"/>
  <c r="P22" i="109"/>
  <c r="Q22" i="109"/>
  <c r="P34" i="109"/>
  <c r="Q34" i="109"/>
  <c r="AF44" i="109"/>
  <c r="AG44" i="109"/>
  <c r="P45" i="109"/>
  <c r="Q45" i="109"/>
  <c r="P47" i="109"/>
  <c r="Q47" i="109"/>
  <c r="AG7" i="109"/>
  <c r="AJ30" i="109"/>
  <c r="P49" i="109"/>
  <c r="P59" i="109"/>
  <c r="Q59" i="109"/>
  <c r="P20" i="109"/>
  <c r="Q20" i="109"/>
  <c r="Q31" i="109"/>
  <c r="AF62" i="109"/>
  <c r="AG62" i="109"/>
  <c r="P60" i="109"/>
  <c r="Q60" i="109"/>
  <c r="P10" i="109"/>
  <c r="Q10" i="109"/>
  <c r="P56" i="109"/>
  <c r="Q56" i="109"/>
  <c r="P6" i="109"/>
  <c r="Q6" i="109"/>
  <c r="P25" i="109"/>
  <c r="Q25" i="109"/>
  <c r="P46" i="109"/>
  <c r="Q46" i="109"/>
  <c r="P65" i="109"/>
  <c r="Q65" i="109"/>
  <c r="Q32" i="109"/>
  <c r="P48" i="109"/>
  <c r="Q48" i="109"/>
  <c r="P13" i="109"/>
  <c r="Q13" i="109"/>
  <c r="AJ18" i="109"/>
  <c r="AF58" i="109"/>
  <c r="AG58" i="109"/>
  <c r="AI65" i="109"/>
  <c r="AJ65" i="109"/>
  <c r="Q41" i="109"/>
  <c r="AF48" i="109"/>
  <c r="AG48" i="109"/>
  <c r="P27" i="109"/>
  <c r="Q27" i="109"/>
  <c r="P62" i="109"/>
  <c r="Q62" i="109"/>
  <c r="AF68" i="109"/>
  <c r="AG68" i="109"/>
  <c r="AJ48" i="109"/>
  <c r="H19" i="109"/>
  <c r="P19" i="109"/>
  <c r="AI39" i="109"/>
  <c r="AJ39" i="109"/>
  <c r="AI41" i="109"/>
  <c r="AJ41" i="109"/>
  <c r="AF34" i="109"/>
  <c r="AG34" i="109"/>
  <c r="AF61" i="109"/>
  <c r="AG61" i="109"/>
  <c r="AJ13" i="109"/>
  <c r="Q17" i="109"/>
  <c r="AI37" i="109"/>
  <c r="AJ37" i="109"/>
  <c r="AF45" i="109"/>
  <c r="AG45" i="109"/>
  <c r="P7" i="109"/>
  <c r="Q7" i="109"/>
  <c r="P21" i="109"/>
  <c r="Q21" i="109"/>
  <c r="AG30" i="109"/>
  <c r="AF32" i="109"/>
  <c r="AG32" i="109"/>
  <c r="P33" i="109"/>
  <c r="Q33" i="109"/>
  <c r="P36" i="109"/>
  <c r="Q36" i="109"/>
  <c r="AF36" i="109"/>
  <c r="AG36" i="109"/>
  <c r="P43" i="109"/>
  <c r="Q43" i="109"/>
  <c r="AF49" i="109"/>
  <c r="AG49" i="109"/>
  <c r="AI50" i="109"/>
  <c r="AJ50" i="109"/>
  <c r="P51" i="109"/>
  <c r="Q51" i="109"/>
  <c r="AF51" i="109"/>
  <c r="AG51" i="109"/>
  <c r="P52" i="109"/>
  <c r="Q52" i="109"/>
  <c r="AF52" i="109"/>
  <c r="AG52" i="109"/>
  <c r="P55" i="109"/>
  <c r="Q55" i="109"/>
  <c r="AI55" i="109"/>
  <c r="AJ55" i="109"/>
  <c r="P57" i="109"/>
  <c r="Q57" i="109"/>
  <c r="AF13" i="109"/>
  <c r="AG13" i="109"/>
  <c r="AF14" i="109"/>
  <c r="AG14" i="109"/>
  <c r="AG20" i="109"/>
  <c r="AF22" i="109"/>
  <c r="AG22" i="109"/>
  <c r="AI25" i="109"/>
  <c r="AJ25" i="109"/>
  <c r="P35" i="109"/>
  <c r="Q35" i="109"/>
  <c r="P58" i="109"/>
  <c r="Q58" i="109"/>
  <c r="AF64" i="109"/>
  <c r="AG64" i="109"/>
  <c r="P68" i="109"/>
  <c r="Q68" i="109"/>
  <c r="AJ5" i="109"/>
  <c r="AI61" i="109"/>
  <c r="AJ61" i="109"/>
  <c r="AJ44" i="109"/>
  <c r="AI42" i="109"/>
  <c r="AJ42" i="109"/>
  <c r="AJ12" i="109"/>
  <c r="AJ46" i="109"/>
  <c r="AF65" i="109"/>
  <c r="AG65" i="109"/>
  <c r="Q49" i="109"/>
  <c r="AJ57" i="109"/>
  <c r="AI11" i="109"/>
  <c r="AJ11" i="109"/>
  <c r="AI24" i="109"/>
  <c r="AJ24" i="109"/>
  <c r="AG60" i="109"/>
  <c r="Q28" i="109"/>
  <c r="AJ38" i="109"/>
  <c r="AJ8" i="109"/>
  <c r="P12" i="109"/>
  <c r="Q12" i="109"/>
  <c r="AF24" i="109"/>
  <c r="AG24" i="109"/>
  <c r="AF35" i="109"/>
  <c r="AG35" i="109"/>
  <c r="AI27" i="109"/>
  <c r="AJ27" i="109"/>
  <c r="AI54" i="109"/>
  <c r="AJ54" i="109"/>
  <c r="AI6" i="109"/>
  <c r="AJ6" i="109"/>
  <c r="AI59" i="109"/>
  <c r="AJ59" i="109"/>
  <c r="AI14" i="109"/>
  <c r="AJ14" i="109"/>
  <c r="AI10" i="109"/>
  <c r="AJ10" i="109"/>
  <c r="P40" i="109"/>
  <c r="N27" i="84"/>
  <c r="O40" i="109"/>
  <c r="AI40" i="109"/>
  <c r="AH19" i="109"/>
  <c r="O19" i="109"/>
  <c r="AH40" i="109"/>
  <c r="AJ40" i="109"/>
  <c r="Q40" i="109"/>
  <c r="N15" i="148"/>
  <c r="Q19" i="109"/>
  <c r="AI19" i="109"/>
  <c r="AJ19" i="109"/>
  <c r="O27" i="148"/>
  <c r="K16" i="148"/>
  <c r="N13" i="148"/>
  <c r="O13" i="148"/>
  <c r="K29" i="148"/>
  <c r="N12" i="148"/>
  <c r="O12" i="148"/>
  <c r="N10" i="148"/>
  <c r="O10" i="148"/>
  <c r="N11" i="148"/>
  <c r="O11" i="148"/>
  <c r="N14" i="148"/>
  <c r="O14" i="148"/>
  <c r="N16" i="148"/>
  <c r="O16" i="148"/>
</calcChain>
</file>

<file path=xl/sharedStrings.xml><?xml version="1.0" encoding="utf-8"?>
<sst xmlns="http://schemas.openxmlformats.org/spreadsheetml/2006/main" count="2560" uniqueCount="522">
  <si>
    <t>ACADIA PARISH POLICE JURY</t>
  </si>
  <si>
    <t>Capital Assets</t>
  </si>
  <si>
    <t>For the Year Ended December 31, 2013</t>
  </si>
  <si>
    <t>Beginning Balance</t>
  </si>
  <si>
    <t>Increases</t>
  </si>
  <si>
    <t>Decreases</t>
  </si>
  <si>
    <t>Ending Balance</t>
  </si>
  <si>
    <t>Cross Sectional</t>
  </si>
  <si>
    <t>Primary Government</t>
  </si>
  <si>
    <t>Government Activities:</t>
  </si>
  <si>
    <t>Capital assets, not being depreciated:</t>
  </si>
  <si>
    <t>Land</t>
  </si>
  <si>
    <t>Construction in progress</t>
  </si>
  <si>
    <t>Total assets not being depreciated</t>
  </si>
  <si>
    <t>Capital assets being depreciated:</t>
  </si>
  <si>
    <t>Buildings and improvements</t>
  </si>
  <si>
    <t>Machinery and equipment</t>
  </si>
  <si>
    <t>Improvements, other than buildings</t>
  </si>
  <si>
    <t>Infrastructure</t>
  </si>
  <si>
    <t>Total capital assets being depreciated</t>
  </si>
  <si>
    <t>Less accumulated depreciation for:</t>
  </si>
  <si>
    <t>Total accumulated depreciation</t>
  </si>
  <si>
    <t>Total capital assets being depreciated, net</t>
  </si>
  <si>
    <t>Governmental activities capital assets, net</t>
  </si>
  <si>
    <t>ALLEN PARISH POLICE JURY</t>
  </si>
  <si>
    <t>Governmental Activities:</t>
  </si>
  <si>
    <t>Total capital assets, not being depreciated</t>
  </si>
  <si>
    <t>Buildings</t>
  </si>
  <si>
    <t>Improvements other than buildings</t>
  </si>
  <si>
    <t>Furniture and fixtures</t>
  </si>
  <si>
    <t>Vehicles</t>
  </si>
  <si>
    <t>ASCENSION PARISH POLICE JURY</t>
  </si>
  <si>
    <t>Equipment</t>
  </si>
  <si>
    <t>Library materials</t>
  </si>
  <si>
    <t>Business-Type Activities:</t>
  </si>
  <si>
    <t>Capital assets, depreciable:</t>
  </si>
  <si>
    <t>Sewer systems</t>
  </si>
  <si>
    <t>Water systems</t>
  </si>
  <si>
    <t>Lamar Dixon Expo Center</t>
  </si>
  <si>
    <t>Total capital assets, depreciable</t>
  </si>
  <si>
    <t>Total capital assets, depreciable, net</t>
  </si>
  <si>
    <t>Business-type activities capital assets, net</t>
  </si>
  <si>
    <t>ASSUMPTION PARISH POLICE JURY</t>
  </si>
  <si>
    <t>Balance 12/31/2012</t>
  </si>
  <si>
    <t>2013 Additions</t>
  </si>
  <si>
    <t>2013 Deletions</t>
  </si>
  <si>
    <t>2013 Reclassifications</t>
  </si>
  <si>
    <t>Balance 12/31/2013</t>
  </si>
  <si>
    <t>Net Depreciation</t>
  </si>
  <si>
    <t>Depreciation</t>
  </si>
  <si>
    <t>Total capital assets being depreeciated</t>
  </si>
  <si>
    <t>Roads</t>
  </si>
  <si>
    <t>Bridges</t>
  </si>
  <si>
    <t>Equipment &amp; other</t>
  </si>
  <si>
    <t>Accumulated Depreciation</t>
  </si>
  <si>
    <t>Capital Assets, Net Depreciation</t>
  </si>
  <si>
    <t>AVOYELLES PARISH POLICE JURY</t>
  </si>
  <si>
    <t>Equipment, furniture and fixtures</t>
  </si>
  <si>
    <t>Heavy equipment</t>
  </si>
  <si>
    <t>BEAUREGARD PARISH POLICE JURY</t>
  </si>
  <si>
    <t>Additions</t>
  </si>
  <si>
    <t>Deletions</t>
  </si>
  <si>
    <t>Transfers</t>
  </si>
  <si>
    <t>Furniture and equipment</t>
  </si>
  <si>
    <t>BIENVILLE PARISH POLICE JURY</t>
  </si>
  <si>
    <t>Infrastructure:</t>
  </si>
  <si>
    <t>Office furniture and equipment</t>
  </si>
  <si>
    <t>Miscellaneous equipment</t>
  </si>
  <si>
    <t>BOSSIER PARISH POLICE JURY</t>
  </si>
  <si>
    <t>Furniture, equipment and vehicles</t>
  </si>
  <si>
    <t>Library books and information material</t>
  </si>
  <si>
    <t>Business-type Activities:</t>
  </si>
  <si>
    <t>Capital assets not being depreciated:</t>
  </si>
  <si>
    <t>Goodwill</t>
  </si>
  <si>
    <t>CADDO PARISH POLICE JURY</t>
  </si>
  <si>
    <t>Prior Period Adjustment</t>
  </si>
  <si>
    <t>Land and land improvements</t>
  </si>
  <si>
    <t>Construction in progress - Infrastructure</t>
  </si>
  <si>
    <t>Buildings and structures</t>
  </si>
  <si>
    <t>Equipment and vehicles</t>
  </si>
  <si>
    <t>CALCASIEU PARISH POLICE JURY</t>
  </si>
  <si>
    <t>Balance             1/1/2013</t>
  </si>
  <si>
    <t>Balance                12/31/2013</t>
  </si>
  <si>
    <t>Land and right-of-ways</t>
  </si>
  <si>
    <t>Total governmental activities capital assets, net</t>
  </si>
  <si>
    <t>Balance                 1/1/2013</t>
  </si>
  <si>
    <t>Adjustments</t>
  </si>
  <si>
    <t>Balance                 12/31/2013</t>
  </si>
  <si>
    <t>Non-Building improvements</t>
  </si>
  <si>
    <t>Building and improvements</t>
  </si>
  <si>
    <t>Total business-type activities capital assets, net</t>
  </si>
  <si>
    <t>CALDWELL PARISH POLICE JURY</t>
  </si>
  <si>
    <t>Land improvements</t>
  </si>
  <si>
    <t>Public works equipment</t>
  </si>
  <si>
    <t>CAMERON PARISH POLICE JURY</t>
  </si>
  <si>
    <t>Books and videos</t>
  </si>
  <si>
    <t>Equipment and furniture</t>
  </si>
  <si>
    <t>Less accumulated depreciation</t>
  </si>
  <si>
    <t>CATAHOULA PARISH POLICE JURY</t>
  </si>
  <si>
    <t>Infrastructure - roads and bridges</t>
  </si>
  <si>
    <t>Improvements</t>
  </si>
  <si>
    <t>Books and periodicals</t>
  </si>
  <si>
    <t>CLAIBORNE PARISH POLICE JURY</t>
  </si>
  <si>
    <t>Land:</t>
  </si>
  <si>
    <t>Police jury</t>
  </si>
  <si>
    <t>Library</t>
  </si>
  <si>
    <t>Office of community services</t>
  </si>
  <si>
    <t>Adjudicated property</t>
  </si>
  <si>
    <t>Public works heavy equipment</t>
  </si>
  <si>
    <t>Public works other equipment</t>
  </si>
  <si>
    <t>Office of emergency preparedness and homeland security:</t>
  </si>
  <si>
    <t>Office of community services:</t>
  </si>
  <si>
    <t>Library:</t>
  </si>
  <si>
    <t>Vehicle</t>
  </si>
  <si>
    <t>CONCORDIA PARISH POLICE JURY</t>
  </si>
  <si>
    <t>Balance at January 1, 2013</t>
  </si>
  <si>
    <t>Reclassification</t>
  </si>
  <si>
    <t xml:space="preserve">Additions </t>
  </si>
  <si>
    <t>Retirements</t>
  </si>
  <si>
    <t> Balance December 12, 2013</t>
  </si>
  <si>
    <t>Land - nondepreciable</t>
  </si>
  <si>
    <t>Depreciable assets:</t>
  </si>
  <si>
    <t>% of Depreciable Assets</t>
  </si>
  <si>
    <t>Transportation equipment</t>
  </si>
  <si>
    <t>Roads and bridges</t>
  </si>
  <si>
    <t>Subtotal</t>
  </si>
  <si>
    <t xml:space="preserve">Net Police Jury fixed </t>
  </si>
  <si>
    <t>assets</t>
  </si>
  <si>
    <t>DESOTO PARISH POLICE JURY</t>
  </si>
  <si>
    <t>Land improvements - structures</t>
  </si>
  <si>
    <t>Sewer system</t>
  </si>
  <si>
    <t>Treatment plant</t>
  </si>
  <si>
    <t>EAST BATON ROUGE PARISH POLICE JURY</t>
  </si>
  <si>
    <t>Land and right-of-way</t>
  </si>
  <si>
    <t>Construction work in progress</t>
  </si>
  <si>
    <t>Improvements (other than buildings) and infrastructure</t>
  </si>
  <si>
    <t>Equipment and equipment under lease</t>
  </si>
  <si>
    <t>Noise mitigation</t>
  </si>
  <si>
    <t>EAST CARROLL PARISH POLICE JURY</t>
  </si>
  <si>
    <t>Airport land</t>
  </si>
  <si>
    <t>Office equipment</t>
  </si>
  <si>
    <t>Construction equipment</t>
  </si>
  <si>
    <t>Books, periodicals and law books</t>
  </si>
  <si>
    <t>Airport hangars</t>
  </si>
  <si>
    <t>Airport runway</t>
  </si>
  <si>
    <t>Road right-of-way</t>
  </si>
  <si>
    <t>Road surface</t>
  </si>
  <si>
    <t>Less accumulated depreciation:</t>
  </si>
  <si>
    <t>EAST FELICIANA PARISH POLICE JURY</t>
  </si>
  <si>
    <t>Less: accumulated depreciation</t>
  </si>
  <si>
    <t>Net Buildings</t>
  </si>
  <si>
    <t>Equipment/Vehicles</t>
  </si>
  <si>
    <t>Net Equipment/vehicles</t>
  </si>
  <si>
    <t>Streets/Bridges</t>
  </si>
  <si>
    <t>Net Furniture and fixtures</t>
  </si>
  <si>
    <t>Capital assets, being depreciated, net</t>
  </si>
  <si>
    <t>Capital assets, net</t>
  </si>
  <si>
    <t>EVANGELINE PARISH POLICE JURY</t>
  </si>
  <si>
    <t>Police Jury:</t>
  </si>
  <si>
    <t>Assets under capital lease</t>
  </si>
  <si>
    <t>Infrastructure - roads</t>
  </si>
  <si>
    <t>Infrastructure - bridges</t>
  </si>
  <si>
    <t>Other equipment</t>
  </si>
  <si>
    <t>GRANT PARISH POLICE JURY</t>
  </si>
  <si>
    <t>% of Total CAs</t>
  </si>
  <si>
    <t xml:space="preserve">Capital Assets, Net </t>
  </si>
  <si>
    <t>Furniture, fixtures and equipment</t>
  </si>
  <si>
    <t>Solid waste station</t>
  </si>
  <si>
    <t>Total CAs, Net</t>
  </si>
  <si>
    <t>Accumulated depreciation</t>
  </si>
  <si>
    <t>Distribution system</t>
  </si>
  <si>
    <t>IBERIA PARISH POLICE JURY</t>
  </si>
  <si>
    <t>IBERVILLE PARISH POLICE JURY</t>
  </si>
  <si>
    <t>Primary Government - Governmental Activities:</t>
  </si>
  <si>
    <t>Construction               in Progress</t>
  </si>
  <si>
    <t>Buildings and Improvement</t>
  </si>
  <si>
    <t>Furniture and Equipment</t>
  </si>
  <si>
    <t>Total</t>
  </si>
  <si>
    <t>Cost at December 31, 2012</t>
  </si>
  <si>
    <t>Cost at December 31, 2013</t>
  </si>
  <si>
    <t xml:space="preserve"> </t>
  </si>
  <si>
    <t>Depreciation:</t>
  </si>
  <si>
    <t>Accumulated Depreciation at December 31, 2012</t>
  </si>
  <si>
    <t>Accumulated Depreciation at December 31, 2013</t>
  </si>
  <si>
    <t>Capital Assets net of Accumulated Depreciation at December 31, 2013</t>
  </si>
  <si>
    <t>Primary Government - Business Type Activities:</t>
  </si>
  <si>
    <t>Transfer</t>
  </si>
  <si>
    <t>Component Unit - Business Type Actitivites</t>
  </si>
  <si>
    <t>Distribution System</t>
  </si>
  <si>
    <t>Plant</t>
  </si>
  <si>
    <t>Construction         in Progress</t>
  </si>
  <si>
    <t>Component Unit Governmental Actitivites</t>
  </si>
  <si>
    <t>Construction             in Progress</t>
  </si>
  <si>
    <t>Building and Improvements</t>
  </si>
  <si>
    <t>Furniture      and             Equipment</t>
  </si>
  <si>
    <t>Books and       Periodicals</t>
  </si>
  <si>
    <t>Recreational     Facilities</t>
  </si>
  <si>
    <t>JACKSON PARISH POLICE JURY</t>
  </si>
  <si>
    <t>Equipment/Machinery/Furniture</t>
  </si>
  <si>
    <t>Infrastructure/Roads</t>
  </si>
  <si>
    <t>JEFFERSON DAVIS PARISH POLICE JURY</t>
  </si>
  <si>
    <t>Balance 12/31/12</t>
  </si>
  <si>
    <t>Deletions &amp; Adjustments</t>
  </si>
  <si>
    <t>Balance 12/31/13</t>
  </si>
  <si>
    <t>Capital Assets Non-depreciable</t>
  </si>
  <si>
    <t>Maintenance and equipment</t>
  </si>
  <si>
    <t>Sewer and sewer improvements</t>
  </si>
  <si>
    <t>Total Capital Assets--Depreciable</t>
  </si>
  <si>
    <t>Maintenance equipment</t>
  </si>
  <si>
    <t>Net Depreciable Capital Assets</t>
  </si>
  <si>
    <t>Net Capital Assets</t>
  </si>
  <si>
    <t>JEFFERSON PARISH POLICE JURY</t>
  </si>
  <si>
    <t>(amounts in thousands)</t>
  </si>
  <si>
    <t>Completed Construction</t>
  </si>
  <si>
    <t>Transfers (To) From Other Funds</t>
  </si>
  <si>
    <t>Collection and distribution systems</t>
  </si>
  <si>
    <t>Plants</t>
  </si>
  <si>
    <t>LASALLE PARISH POLICE JURY</t>
  </si>
  <si>
    <t>Infrastrucure - roads and bridges</t>
  </si>
  <si>
    <t>Books</t>
  </si>
  <si>
    <t>Furniture</t>
  </si>
  <si>
    <t>Total library assets being depreciated</t>
  </si>
  <si>
    <t>Louisiana Counties</t>
  </si>
  <si>
    <t>2013 Capital Assets, Net of Accumulated Depreciation</t>
  </si>
  <si>
    <t>Governmental Activities</t>
  </si>
  <si>
    <t>Business-Type Activities</t>
  </si>
  <si>
    <t>Grand Total</t>
  </si>
  <si>
    <t>(Governmental + Business)</t>
  </si>
  <si>
    <t>Other non-depreciable</t>
  </si>
  <si>
    <t xml:space="preserve"> Buildings and improvements</t>
  </si>
  <si>
    <t>Other depreciable</t>
  </si>
  <si>
    <t>Leased Property Under Capital Leases</t>
  </si>
  <si>
    <t>Total (Net)</t>
  </si>
  <si>
    <t>Check</t>
  </si>
  <si>
    <t>Okay?</t>
  </si>
  <si>
    <t>Acadia</t>
  </si>
  <si>
    <t>Allen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</si>
  <si>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</si>
  <si>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</si>
  <si>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</si>
  <si>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</si>
  <si>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</si>
  <si>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</si>
  <si>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</si>
  <si>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</si>
  <si>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Caldwell</t>
  </si>
  <si>
    <t>Cameron</t>
  </si>
  <si>
    <t>Catahoula</t>
  </si>
  <si>
    <t>Claiborne</t>
  </si>
  <si>
    <t>Concordia</t>
  </si>
  <si>
    <t>DeSoto</t>
  </si>
  <si>
    <t>East Baton Rouge</t>
  </si>
  <si>
    <t>East Carroll</t>
  </si>
  <si>
    <t>East Feliciana</t>
  </si>
  <si>
    <t>Evangeline</t>
  </si>
  <si>
    <t>Franklin</t>
  </si>
  <si>
    <t>Grant</t>
  </si>
  <si>
    <t>Iberia</t>
  </si>
  <si>
    <t>Iberville</t>
  </si>
  <si>
    <t>Jackson</t>
  </si>
  <si>
    <t>Jefferson</t>
  </si>
  <si>
    <t>Jefferson Davis</t>
  </si>
  <si>
    <t>Lafayette</t>
  </si>
  <si>
    <t>LaFourche</t>
  </si>
  <si>
    <t>LaSalle</t>
  </si>
  <si>
    <t>Lincoln</t>
  </si>
  <si>
    <t>Livingston</t>
  </si>
  <si>
    <t>Madison</t>
  </si>
  <si>
    <t>Morehouse</t>
  </si>
  <si>
    <t>Natchitoches</t>
  </si>
  <si>
    <t>Orleans</t>
  </si>
  <si>
    <t>Ouachita</t>
  </si>
  <si>
    <t>Plaquemines</t>
  </si>
  <si>
    <t>Pointe Coupee</t>
  </si>
  <si>
    <t>Rapides</t>
  </si>
  <si>
    <t>Red River</t>
  </si>
  <si>
    <t>Richland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</si>
  <si>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</si>
  <si>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</si>
  <si>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</si>
  <si>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</si>
  <si>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</si>
  <si>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</si>
  <si>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</si>
  <si>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</si>
  <si>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</si>
  <si>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</si>
  <si>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</si>
  <si>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</si>
  <si>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</si>
  <si>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Union</t>
  </si>
  <si>
    <t>Vermillion</t>
  </si>
  <si>
    <t>Vernon</t>
  </si>
  <si>
    <t>Washington</t>
  </si>
  <si>
    <t>Webster</t>
  </si>
  <si>
    <t>West Baton Rouge</t>
  </si>
  <si>
    <t>West Carroll</t>
  </si>
  <si>
    <t>West Feliciana</t>
  </si>
  <si>
    <t>Winn</t>
  </si>
  <si>
    <t>LAFAYETTE PARISH POLICE JURY</t>
  </si>
  <si>
    <t>For the Year Ended October 31, 2013</t>
  </si>
  <si>
    <t>Balance             11/01/12</t>
  </si>
  <si>
    <t>Balance             10/31/13</t>
  </si>
  <si>
    <t>Other capital assets:</t>
  </si>
  <si>
    <t>Movables</t>
  </si>
  <si>
    <t>Totals</t>
  </si>
  <si>
    <t>Balance 11/01/12</t>
  </si>
  <si>
    <t>Balance 10/31/13</t>
  </si>
  <si>
    <t>Business-type activities:</t>
  </si>
  <si>
    <t>Electric plant</t>
  </si>
  <si>
    <t>Water plant</t>
  </si>
  <si>
    <t>Sewer plant</t>
  </si>
  <si>
    <t>Fiber optics</t>
  </si>
  <si>
    <t>LAFOURCHE PARISH POLICE JURY</t>
  </si>
  <si>
    <t>Cost of Capital Assets</t>
  </si>
  <si>
    <t>Drainage &amp; Other Improvements</t>
  </si>
  <si>
    <t>Pumps &amp; Sewerage</t>
  </si>
  <si>
    <t>Equipments &amp; Furniture</t>
  </si>
  <si>
    <t>Vehicles &amp; Equipment</t>
  </si>
  <si>
    <t>Total Cost of Capital Assets</t>
  </si>
  <si>
    <t>Equipment &amp; Furniture</t>
  </si>
  <si>
    <t>LINCOLN PARISH POLICE JURY</t>
  </si>
  <si>
    <t>Balance January 1, 2013</t>
  </si>
  <si>
    <t>Balance December 31, 2013</t>
  </si>
  <si>
    <t>Nondepreciable capital assets:</t>
  </si>
  <si>
    <t>Infrastructure - CIP</t>
  </si>
  <si>
    <t>Total Capital assets not being depreciated</t>
  </si>
  <si>
    <t>Depreciable capital assets</t>
  </si>
  <si>
    <t xml:space="preserve">Buildings </t>
  </si>
  <si>
    <t>Furniture and Fixtures</t>
  </si>
  <si>
    <t>Machinery and Equipment</t>
  </si>
  <si>
    <t>Total depreciable capital assets</t>
  </si>
  <si>
    <t>Total depreciable capital assets, net</t>
  </si>
  <si>
    <t>Capital Assets, net</t>
  </si>
  <si>
    <t>LIVINGSTON PARISH POLICE JURY</t>
  </si>
  <si>
    <t>Recreational Facilities</t>
  </si>
  <si>
    <t>Sewer System</t>
  </si>
  <si>
    <t>Business-Type activities</t>
  </si>
  <si>
    <t>Utility system</t>
  </si>
  <si>
    <t>Utility System</t>
  </si>
  <si>
    <t>MADISON PARISH POLICE JURY</t>
  </si>
  <si>
    <t>Quebec road</t>
  </si>
  <si>
    <t>Construction in progress - health unit</t>
  </si>
  <si>
    <t>Health unit</t>
  </si>
  <si>
    <t>MOREHOUSE PARISH POLICE JURY</t>
    <phoneticPr fontId="15" type="noConversion"/>
  </si>
  <si>
    <t>Capital Assets</t>
    <phoneticPr fontId="15" type="noConversion"/>
  </si>
  <si>
    <t>For the Year Ended December 31, 2013</t>
    <phoneticPr fontId="15" type="noConversion"/>
  </si>
  <si>
    <t>Balance 1/1/2013</t>
    <phoneticPr fontId="15" type="noConversion"/>
  </si>
  <si>
    <t xml:space="preserve">Additions </t>
    <phoneticPr fontId="15" type="noConversion"/>
  </si>
  <si>
    <t xml:space="preserve">Deletions </t>
    <phoneticPr fontId="15" type="noConversion"/>
  </si>
  <si>
    <t>Prior Period Adjustment</t>
    <phoneticPr fontId="15" type="noConversion"/>
  </si>
  <si>
    <t>Balance 12/31/2013</t>
    <phoneticPr fontId="15" type="noConversion"/>
  </si>
  <si>
    <t>Capital assets, not being depreciated</t>
  </si>
  <si>
    <t>Capital assets being depreciated</t>
  </si>
  <si>
    <t>Buildings and improvements</t>
    <phoneticPr fontId="15" type="noConversion"/>
  </si>
  <si>
    <t>Machinery and equipment</t>
    <phoneticPr fontId="15" type="noConversion"/>
  </si>
  <si>
    <t>Total capital assets, being depreciated</t>
  </si>
  <si>
    <t>Total capital asseys being depreciated, net</t>
    <phoneticPr fontId="15" type="noConversion"/>
  </si>
  <si>
    <t>Total capital assets</t>
  </si>
  <si>
    <t>NATCHITOCHES PARISH POLICE JURY</t>
  </si>
  <si>
    <t>General Fund:</t>
  </si>
  <si>
    <t>Capital assets:</t>
  </si>
  <si>
    <t>Building</t>
  </si>
  <si>
    <t>Total assets</t>
  </si>
  <si>
    <t>Accumulated depreciation:</t>
  </si>
  <si>
    <t>Civil defense:</t>
  </si>
  <si>
    <t>Criminal Court/DA:</t>
  </si>
  <si>
    <t>Health Unit:</t>
  </si>
  <si>
    <t>Government building:</t>
  </si>
  <si>
    <t>Head start:</t>
  </si>
  <si>
    <t>LIHEAP:</t>
  </si>
  <si>
    <t>Rural transit:</t>
  </si>
  <si>
    <t>CIP</t>
  </si>
  <si>
    <t>Books, recordings, etc.</t>
  </si>
  <si>
    <t>Road maintenance:</t>
  </si>
  <si>
    <t>Total Capital assets</t>
  </si>
  <si>
    <t>Total capital assets, net</t>
  </si>
  <si>
    <t>ORLEANS PARISH POLICE JURY</t>
    <phoneticPr fontId="15" type="noConversion"/>
  </si>
  <si>
    <t>Balance January 1, 2013</t>
    <phoneticPr fontId="15" type="noConversion"/>
  </si>
  <si>
    <t>Deletions and adjustments</t>
    <phoneticPr fontId="15" type="noConversion"/>
  </si>
  <si>
    <t>Transfers</t>
    <phoneticPr fontId="15" type="noConversion"/>
  </si>
  <si>
    <t>Balance December 31, 2013</t>
    <phoneticPr fontId="15" type="noConversion"/>
  </si>
  <si>
    <t>Total capital assets not being depreciated</t>
  </si>
  <si>
    <t>Infrastructure</t>
    <phoneticPr fontId="15" type="noConversion"/>
  </si>
  <si>
    <t>Buildings and Improvements</t>
    <phoneticPr fontId="15" type="noConversion"/>
  </si>
  <si>
    <t>Equipment and vehicles</t>
    <phoneticPr fontId="15" type="noConversion"/>
  </si>
  <si>
    <t>Other</t>
    <phoneticPr fontId="15" type="noConversion"/>
  </si>
  <si>
    <t xml:space="preserve">Total </t>
    <phoneticPr fontId="15" type="noConversion"/>
  </si>
  <si>
    <t>OUACHITA PARISH POLICE JURY</t>
  </si>
  <si>
    <t>Additions and Transfers</t>
  </si>
  <si>
    <t>Deletions and Transfers</t>
  </si>
  <si>
    <t>Drainage</t>
  </si>
  <si>
    <t>Beginning capital assets were adjusted by $259,155 to reflect land that had been</t>
  </si>
  <si>
    <t>previously omitted.</t>
  </si>
  <si>
    <t>PLAQUEMINES PARISH POLICE JURY</t>
    <phoneticPr fontId="15" type="noConversion"/>
  </si>
  <si>
    <t>Deductions</t>
  </si>
  <si>
    <t>Governmental-Type Activities:</t>
  </si>
  <si>
    <t>Construction in progress</t>
    <phoneticPr fontId="15" type="noConversion"/>
  </si>
  <si>
    <t>Construction in progress-FEMA Projects</t>
    <phoneticPr fontId="15" type="noConversion"/>
  </si>
  <si>
    <t>Total capital assets not being depreciated</t>
    <phoneticPr fontId="15" type="noConversion"/>
  </si>
  <si>
    <t>Capital assets, being depreciated:</t>
  </si>
  <si>
    <t>Less accumulated depreciation for</t>
  </si>
  <si>
    <r>
      <t>Buildings</t>
    </r>
    <r>
      <rPr>
        <sz val="14"/>
        <color indexed="8"/>
        <rFont val="Calibri"/>
        <family val="2"/>
      </rPr>
      <t xml:space="preserve"> and improvements</t>
    </r>
  </si>
  <si>
    <t>Total Capital Assets, being depreciated</t>
  </si>
  <si>
    <t>Governmental Activities, net</t>
  </si>
  <si>
    <t>Construction in Progress</t>
  </si>
  <si>
    <t>Buildings and Improvements</t>
  </si>
  <si>
    <t>Business-type activities, net</t>
  </si>
  <si>
    <t>POINTE COUPEE PARISH POLICE JURY</t>
  </si>
  <si>
    <t>Library collection</t>
  </si>
  <si>
    <t>Equipment, furnishings, and vehicles</t>
  </si>
  <si>
    <t>Utility systems and related equipment</t>
  </si>
  <si>
    <t>RAPIDES PARISH POLICE JURY</t>
  </si>
  <si>
    <t>Beginning balance</t>
  </si>
  <si>
    <t>Ending balance</t>
  </si>
  <si>
    <t>Ending balance, net</t>
  </si>
  <si>
    <t>RED RIVER PARISH POLICE JURY</t>
  </si>
  <si>
    <t>Buildings and building improvements</t>
  </si>
  <si>
    <t>Total buildings and building improvements</t>
  </si>
  <si>
    <t>Streets, parking lots and other improvements</t>
  </si>
  <si>
    <t>Total streets, parking lots and other improvements</t>
  </si>
  <si>
    <t>Furniture, equipment, and vehicles</t>
  </si>
  <si>
    <t>Total furniture, equipment, and vehicles</t>
  </si>
  <si>
    <t>Library books and information materials</t>
  </si>
  <si>
    <t>Total library books and information materials</t>
  </si>
  <si>
    <t>The difference between the numbers here and the unmbers was reported to have been a typo by Tommy Naquin with Postlewaithe &amp; Netterville (225-408-4710) on 03/04/2015.</t>
  </si>
  <si>
    <t>Governmental activities total capital assets, net</t>
  </si>
  <si>
    <t>RICHLAND PARISH POLICE JURY</t>
  </si>
  <si>
    <t>SABINE PARISH POLICE JURY</t>
  </si>
  <si>
    <r>
      <t>I</t>
    </r>
    <r>
      <rPr>
        <sz val="14"/>
        <color indexed="8"/>
        <rFont val="Calibri"/>
        <family val="2"/>
      </rPr>
      <t>nfrastructure</t>
    </r>
  </si>
  <si>
    <t>ST. BERNARD PARISH POLICE JURY</t>
  </si>
  <si>
    <t>Deletions and adjustments</t>
  </si>
  <si>
    <t>Nondepreciable capital assets</t>
  </si>
  <si>
    <t>Total nondepreciable capital assets</t>
  </si>
  <si>
    <t>Furniture, fixtures, and equipment</t>
  </si>
  <si>
    <t>Road system</t>
  </si>
  <si>
    <t>ST. CHARLES PARISH</t>
  </si>
  <si>
    <t>Balance at December 31, 2012</t>
  </si>
  <si>
    <t>Balance at December 31, 2013</t>
  </si>
  <si>
    <t>Business-type Activities</t>
  </si>
  <si>
    <t xml:space="preserve">Buildings and improvements </t>
  </si>
  <si>
    <t>Total business type  activities capital assets, net</t>
  </si>
  <si>
    <t>ST. HELENA PARISH POLICE JURY</t>
  </si>
  <si>
    <t>Machinery and Improvements</t>
  </si>
  <si>
    <t>ST. JAMES PARISH POLICE JURY</t>
  </si>
  <si>
    <t>Capital assets, being depreciated</t>
  </si>
  <si>
    <t>Total capital assets, being depreciated, net</t>
  </si>
  <si>
    <t>Gas distribution system</t>
  </si>
  <si>
    <t>Water distribution system</t>
  </si>
  <si>
    <t>Office furniture, fixtures, and equipment</t>
  </si>
  <si>
    <t>ST. JOHN THE BAPTIST PARISH POLICE JURY</t>
  </si>
  <si>
    <t>Reductions</t>
  </si>
  <si>
    <t>Decmber 31, 2013</t>
  </si>
  <si>
    <t>Street system</t>
  </si>
  <si>
    <t>Drainage system</t>
  </si>
  <si>
    <t>Systems-water and sewer</t>
  </si>
  <si>
    <r>
      <t>Buildings</t>
    </r>
    <r>
      <rPr>
        <sz val="14"/>
        <color indexed="8"/>
        <rFont val="Calibri"/>
        <family val="2"/>
      </rPr>
      <t xml:space="preserve"> and building improvements</t>
    </r>
  </si>
  <si>
    <t>ST. LANDRY PARISH POLICE JURY</t>
  </si>
  <si>
    <t>Balance 01/01/13</t>
  </si>
  <si>
    <t>ST. MARTIN PARISH POLICE JURY</t>
  </si>
  <si>
    <t>Total Capital Assets being depreciated, net</t>
  </si>
  <si>
    <t>ST. MARY PARISH POLICE JURY</t>
  </si>
  <si>
    <t>Other capital assets</t>
  </si>
  <si>
    <t>Total other capital assets at historical cost</t>
  </si>
  <si>
    <t>Other capital assets, net</t>
  </si>
  <si>
    <t>Governmental capital assets, net</t>
  </si>
  <si>
    <t>ST. TAMMANY PARISH POLICE JURY</t>
  </si>
  <si>
    <t>Re-classes</t>
  </si>
  <si>
    <t>Land improvements-non-exhaustible</t>
  </si>
  <si>
    <t>Land Improvements-non-exhaustible</t>
  </si>
  <si>
    <t>Land Improvements</t>
  </si>
  <si>
    <t xml:space="preserve">Buildings  </t>
  </si>
  <si>
    <t>Building improvements</t>
  </si>
  <si>
    <t>Water and sewer systems</t>
  </si>
  <si>
    <t>Office/other equipment</t>
  </si>
  <si>
    <t>Other</t>
  </si>
  <si>
    <t xml:space="preserve">Roads </t>
  </si>
  <si>
    <t>Total governmental capital assets</t>
  </si>
  <si>
    <t>Sewer equipment, lines and pumps</t>
  </si>
  <si>
    <t>Water equipment, lines and wells</t>
  </si>
  <si>
    <t>Total capital assets business-type activities, net</t>
  </si>
  <si>
    <t>Total capital assets- primary government, net</t>
  </si>
  <si>
    <t>TANGIPAHOA PARISH POLICE JURY</t>
  </si>
  <si>
    <t>Increase</t>
  </si>
  <si>
    <t>Infrastructure (Land and Base)</t>
  </si>
  <si>
    <t>Governmental activities, capital assets, net</t>
  </si>
  <si>
    <t>TENSAS PARISH POLICE JURY</t>
  </si>
  <si>
    <t>TERREBONNE PARISH POLICE JURY</t>
  </si>
  <si>
    <t>Adjustments and Deletions</t>
  </si>
  <si>
    <t>Total governmental activities capital aseest, net</t>
  </si>
  <si>
    <t>Electric system and buildings</t>
  </si>
  <si>
    <t>Gas distributions system and buildings</t>
  </si>
  <si>
    <t>Sewer system and buildings</t>
  </si>
  <si>
    <t>Sanitation and buildings</t>
  </si>
  <si>
    <t>Civic center buildings and equipment</t>
  </si>
  <si>
    <t xml:space="preserve">Sanitation  </t>
  </si>
  <si>
    <t>Total capital assets being depreciated, net being depreciated</t>
  </si>
  <si>
    <t>UNION PARISH POLICE JURY</t>
  </si>
  <si>
    <t>Other improvements</t>
  </si>
  <si>
    <t>Fire, sewer and water system improvements</t>
  </si>
  <si>
    <t>VERMILLION PARISH POLICE JURY</t>
  </si>
  <si>
    <t>Road surfaces</t>
  </si>
  <si>
    <t>Bridges and drainage improvements</t>
  </si>
  <si>
    <t>VERNON PARISH POLICE JURY</t>
  </si>
  <si>
    <t>Library Book Collections</t>
  </si>
  <si>
    <t>WASHINGTON PARISH POLICE JURY</t>
  </si>
  <si>
    <t>Asphalt roads</t>
  </si>
  <si>
    <t>3-shot roads</t>
  </si>
  <si>
    <t>Bridges and culvets</t>
  </si>
  <si>
    <t>Bridges and culverts</t>
  </si>
  <si>
    <t>WEBSTER PARISH POLICE JURY</t>
  </si>
  <si>
    <t>WEST BATON ROUGE PARISH POLICE JURY</t>
  </si>
  <si>
    <t>WEST CARROLL PARISH POLICE JURY</t>
  </si>
  <si>
    <t>WEST FELICIANA PARISH POLICE JURY</t>
  </si>
  <si>
    <t>Utility systems</t>
  </si>
  <si>
    <t>WINN PARISH POLICE JURY</t>
  </si>
  <si>
    <t>Vehicles and trucks</t>
  </si>
  <si>
    <t>Office furniture</t>
  </si>
  <si>
    <t>Library books</t>
  </si>
  <si>
    <t>Infrastructure:  Roads</t>
  </si>
  <si>
    <t>Total capital assets:</t>
  </si>
  <si>
    <t>Total Accumulated Depreciation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</si>
</sst>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indexed="8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4"/>
      <color indexed="8"/>
      <name val="Calibri"/>
      <family val="2"/>
    </font>
    <font>
      <u/>
      <sz val="14"/>
      <color indexed="8"/>
      <name val="Calibri"/>
      <family val="2"/>
    </font>
    <font>
      <b/>
      <u/>
      <sz val="14"/>
      <color indexed="8"/>
      <name val="Calibri"/>
      <family val="2"/>
    </font>
    <font>
      <b/>
      <sz val="14"/>
      <color rgb="FF000000"/>
      <name val="Calibri"/>
      <family val="2"/>
      <scheme val="minor"/>
    </font>
    <font>
      <sz val="14"/>
      <color indexed="8"/>
      <name val="Calibri"/>
      <family val="2"/>
    </font>
    <font>
      <b/>
      <i/>
      <sz val="14"/>
      <color indexed="8"/>
      <name val="Calibri"/>
      <family val="2"/>
    </font>
    <font>
      <i/>
      <sz val="14"/>
      <color indexed="8"/>
      <name val="Calibri"/>
      <family val="2"/>
    </font>
    <font>
      <b/>
      <i/>
      <u/>
      <sz val="14"/>
      <color indexed="8"/>
      <name val="Calibri"/>
      <family val="2"/>
    </font>
    <font>
      <sz val="8"/>
      <name val="Verdana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6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1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7" fillId="0" borderId="0" xfId="0" applyFont="1"/>
    <xf numFmtId="0" fontId="8" fillId="0" borderId="0" xfId="0" applyFont="1" applyAlignment="1">
      <alignment horizontal="center" wrapText="1"/>
    </xf>
    <xf numFmtId="3" fontId="7" fillId="0" borderId="0" xfId="0" applyNumberFormat="1" applyFont="1"/>
    <xf numFmtId="0" fontId="4" fillId="0" borderId="1" xfId="0" applyFont="1" applyBorder="1" applyAlignment="1">
      <alignment horizontal="center" wrapText="1"/>
    </xf>
    <xf numFmtId="0" fontId="4" fillId="0" borderId="2" xfId="0" applyFont="1" applyBorder="1"/>
    <xf numFmtId="3" fontId="4" fillId="0" borderId="4" xfId="2" applyNumberFormat="1" applyFont="1" applyFill="1" applyBorder="1"/>
    <xf numFmtId="3" fontId="4" fillId="0" borderId="2" xfId="2" applyNumberFormat="1" applyFont="1" applyFill="1" applyBorder="1"/>
    <xf numFmtId="3" fontId="4" fillId="0" borderId="2" xfId="0" applyNumberFormat="1" applyFont="1" applyBorder="1"/>
    <xf numFmtId="3" fontId="4" fillId="0" borderId="5" xfId="0" applyNumberFormat="1" applyFont="1" applyBorder="1"/>
    <xf numFmtId="0" fontId="4" fillId="0" borderId="5" xfId="0" applyFont="1" applyBorder="1"/>
    <xf numFmtId="3" fontId="4" fillId="0" borderId="4" xfId="0" applyNumberFormat="1" applyFont="1" applyBorder="1"/>
    <xf numFmtId="0" fontId="10" fillId="0" borderId="1" xfId="0" applyFont="1" applyBorder="1" applyAlignment="1">
      <alignment horizontal="center" wrapText="1"/>
    </xf>
    <xf numFmtId="3" fontId="4" fillId="0" borderId="3" xfId="0" applyNumberFormat="1" applyFont="1" applyBorder="1"/>
    <xf numFmtId="0" fontId="7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9" fillId="0" borderId="0" xfId="0" applyFont="1"/>
    <xf numFmtId="164" fontId="7" fillId="0" borderId="0" xfId="0" applyNumberFormat="1" applyFont="1"/>
    <xf numFmtId="0" fontId="8" fillId="0" borderId="0" xfId="0" applyFont="1"/>
    <xf numFmtId="42" fontId="7" fillId="0" borderId="0" xfId="1" applyNumberFormat="1" applyFont="1"/>
    <xf numFmtId="3" fontId="7" fillId="0" borderId="0" xfId="1" applyNumberFormat="1" applyFont="1"/>
    <xf numFmtId="3" fontId="4" fillId="0" borderId="1" xfId="0" applyNumberFormat="1" applyFont="1" applyBorder="1"/>
    <xf numFmtId="0" fontId="10" fillId="0" borderId="1" xfId="0" applyFont="1" applyBorder="1" applyAlignment="1">
      <alignment horizontal="center"/>
    </xf>
    <xf numFmtId="3" fontId="4" fillId="0" borderId="5" xfId="1" applyNumberFormat="1" applyFont="1" applyBorder="1"/>
    <xf numFmtId="3" fontId="4" fillId="0" borderId="0" xfId="0" applyNumberFormat="1" applyFont="1"/>
    <xf numFmtId="3" fontId="4" fillId="0" borderId="0" xfId="2" applyNumberFormat="1" applyFont="1" applyFill="1" applyBorder="1"/>
    <xf numFmtId="0" fontId="11" fillId="0" borderId="0" xfId="0" applyFont="1"/>
    <xf numFmtId="3" fontId="2" fillId="0" borderId="2" xfId="0" applyNumberFormat="1" applyFont="1" applyBorder="1"/>
    <xf numFmtId="3" fontId="2" fillId="0" borderId="0" xfId="0" applyNumberFormat="1" applyFont="1"/>
    <xf numFmtId="3" fontId="3" fillId="0" borderId="0" xfId="0" applyNumberFormat="1" applyFont="1"/>
    <xf numFmtId="3" fontId="2" fillId="0" borderId="1" xfId="0" applyNumberFormat="1" applyFont="1" applyBorder="1"/>
    <xf numFmtId="3" fontId="2" fillId="0" borderId="3" xfId="0" applyNumberFormat="1" applyFont="1" applyBorder="1"/>
    <xf numFmtId="3" fontId="3" fillId="0" borderId="1" xfId="0" applyNumberFormat="1" applyFont="1" applyBorder="1"/>
    <xf numFmtId="0" fontId="3" fillId="0" borderId="1" xfId="0" applyFont="1" applyBorder="1"/>
    <xf numFmtId="0" fontId="2" fillId="0" borderId="2" xfId="0" applyFont="1" applyBorder="1"/>
    <xf numFmtId="3" fontId="2" fillId="0" borderId="5" xfId="0" applyNumberFormat="1" applyFont="1" applyBorder="1"/>
    <xf numFmtId="0" fontId="12" fillId="0" borderId="0" xfId="0" applyFont="1"/>
    <xf numFmtId="3" fontId="7" fillId="0" borderId="0" xfId="1" applyNumberFormat="1" applyFont="1" applyFill="1"/>
    <xf numFmtId="41" fontId="7" fillId="0" borderId="0" xfId="0" applyNumberFormat="1" applyFont="1"/>
    <xf numFmtId="41" fontId="4" fillId="0" borderId="0" xfId="0" applyNumberFormat="1" applyFont="1" applyAlignment="1">
      <alignment horizontal="center"/>
    </xf>
    <xf numFmtId="41" fontId="8" fillId="0" borderId="0" xfId="0" applyNumberFormat="1" applyFont="1" applyAlignment="1">
      <alignment horizontal="center" wrapText="1"/>
    </xf>
    <xf numFmtId="41" fontId="4" fillId="0" borderId="0" xfId="0" applyNumberFormat="1" applyFont="1"/>
    <xf numFmtId="41" fontId="7" fillId="0" borderId="1" xfId="0" applyNumberFormat="1" applyFont="1" applyBorder="1"/>
    <xf numFmtId="41" fontId="4" fillId="0" borderId="1" xfId="2" applyNumberFormat="1" applyFont="1" applyFill="1" applyBorder="1"/>
    <xf numFmtId="41" fontId="4" fillId="0" borderId="1" xfId="0" applyNumberFormat="1" applyFont="1" applyBorder="1"/>
    <xf numFmtId="41" fontId="4" fillId="0" borderId="6" xfId="0" applyNumberFormat="1" applyFont="1" applyBorder="1"/>
    <xf numFmtId="41" fontId="4" fillId="0" borderId="3" xfId="0" applyNumberFormat="1" applyFont="1" applyBorder="1"/>
    <xf numFmtId="41" fontId="4" fillId="0" borderId="2" xfId="2" applyNumberFormat="1" applyFont="1" applyFill="1" applyBorder="1"/>
    <xf numFmtId="41" fontId="4" fillId="0" borderId="2" xfId="5" applyFont="1" applyFill="1" applyBorder="1"/>
    <xf numFmtId="41" fontId="4" fillId="0" borderId="7" xfId="0" applyNumberFormat="1" applyFont="1" applyBorder="1"/>
    <xf numFmtId="41" fontId="4" fillId="0" borderId="1" xfId="0" applyNumberFormat="1" applyFont="1" applyBorder="1" applyAlignment="1">
      <alignment horizontal="center" wrapText="1"/>
    </xf>
    <xf numFmtId="0" fontId="7" fillId="0" borderId="0" xfId="0" applyFont="1" applyAlignment="1">
      <alignment wrapText="1"/>
    </xf>
    <xf numFmtId="0" fontId="13" fillId="0" borderId="0" xfId="0" applyFont="1"/>
    <xf numFmtId="0" fontId="14" fillId="0" borderId="0" xfId="0" applyFont="1" applyAlignment="1">
      <alignment horizontal="center"/>
    </xf>
    <xf numFmtId="41" fontId="4" fillId="0" borderId="2" xfId="0" applyNumberFormat="1" applyFont="1" applyBorder="1"/>
    <xf numFmtId="41" fontId="4" fillId="0" borderId="4" xfId="0" applyNumberFormat="1" applyFont="1" applyBorder="1"/>
    <xf numFmtId="41" fontId="4" fillId="0" borderId="5" xfId="0" applyNumberFormat="1" applyFont="1" applyBorder="1"/>
    <xf numFmtId="41" fontId="4" fillId="0" borderId="1" xfId="0" applyNumberFormat="1" applyFont="1" applyBorder="1" applyAlignment="1">
      <alignment horizontal="center"/>
    </xf>
    <xf numFmtId="41" fontId="7" fillId="0" borderId="0" xfId="1" applyNumberFormat="1" applyFont="1"/>
    <xf numFmtId="41" fontId="7" fillId="0" borderId="0" xfId="1" applyNumberFormat="1" applyFont="1" applyBorder="1"/>
    <xf numFmtId="15" fontId="9" fillId="0" borderId="0" xfId="0" applyNumberFormat="1" applyFont="1" applyAlignment="1">
      <alignment horizontal="center" wrapText="1"/>
    </xf>
    <xf numFmtId="0" fontId="9" fillId="0" borderId="0" xfId="0" applyFont="1" applyAlignment="1">
      <alignment horizontal="center" wrapText="1"/>
    </xf>
    <xf numFmtId="41" fontId="7" fillId="0" borderId="0" xfId="0" applyNumberFormat="1" applyFont="1" applyAlignment="1">
      <alignment horizontal="center" wrapText="1"/>
    </xf>
    <xf numFmtId="165" fontId="7" fillId="0" borderId="0" xfId="0" applyNumberFormat="1" applyFont="1"/>
    <xf numFmtId="3" fontId="7" fillId="0" borderId="1" xfId="0" applyNumberFormat="1" applyFont="1" applyBorder="1"/>
    <xf numFmtId="0" fontId="7" fillId="0" borderId="2" xfId="0" applyFont="1" applyBorder="1"/>
    <xf numFmtId="3" fontId="7" fillId="0" borderId="2" xfId="0" applyNumberFormat="1" applyFont="1" applyBorder="1"/>
    <xf numFmtId="3" fontId="0" fillId="0" borderId="0" xfId="0" applyNumberFormat="1"/>
    <xf numFmtId="41" fontId="0" fillId="0" borderId="0" xfId="0" applyNumberFormat="1"/>
    <xf numFmtId="0" fontId="7" fillId="0" borderId="1" xfId="0" applyFont="1" applyBorder="1"/>
    <xf numFmtId="43" fontId="7" fillId="0" borderId="0" xfId="0" applyNumberFormat="1" applyFont="1"/>
    <xf numFmtId="41" fontId="4" fillId="0" borderId="0" xfId="2" applyNumberFormat="1" applyFont="1" applyFill="1" applyBorder="1"/>
    <xf numFmtId="41" fontId="7" fillId="0" borderId="2" xfId="0" applyNumberFormat="1" applyFont="1" applyBorder="1"/>
    <xf numFmtId="3" fontId="0" fillId="0" borderId="1" xfId="0" applyNumberFormat="1" applyBorder="1"/>
    <xf numFmtId="3" fontId="16" fillId="0" borderId="1" xfId="0" applyNumberFormat="1" applyFont="1" applyBorder="1"/>
    <xf numFmtId="43" fontId="7" fillId="0" borderId="1" xfId="0" applyNumberFormat="1" applyFont="1" applyBorder="1"/>
    <xf numFmtId="165" fontId="4" fillId="0" borderId="0" xfId="0" applyNumberFormat="1" applyFont="1"/>
    <xf numFmtId="0" fontId="16" fillId="2" borderId="0" xfId="0" applyFont="1" applyFill="1"/>
    <xf numFmtId="0" fontId="0" fillId="2" borderId="0" xfId="0" applyFill="1"/>
    <xf numFmtId="0" fontId="7" fillId="0" borderId="4" xfId="0" applyFont="1" applyBorder="1"/>
    <xf numFmtId="41" fontId="7" fillId="0" borderId="4" xfId="0" applyNumberFormat="1" applyFont="1" applyBorder="1"/>
    <xf numFmtId="41" fontId="9" fillId="0" borderId="0" xfId="0" applyNumberFormat="1" applyFont="1" applyAlignment="1">
      <alignment horizontal="center"/>
    </xf>
    <xf numFmtId="2" fontId="7" fillId="0" borderId="0" xfId="0" applyNumberFormat="1" applyFont="1"/>
    <xf numFmtId="2" fontId="7" fillId="0" borderId="1" xfId="0" applyNumberFormat="1" applyFont="1" applyBorder="1"/>
    <xf numFmtId="2" fontId="4" fillId="0" borderId="2" xfId="2" applyNumberFormat="1" applyFont="1" applyFill="1" applyBorder="1"/>
    <xf numFmtId="2" fontId="4" fillId="0" borderId="0" xfId="0" applyNumberFormat="1" applyFont="1"/>
    <xf numFmtId="2" fontId="4" fillId="0" borderId="2" xfId="5" applyNumberFormat="1" applyFont="1" applyFill="1" applyBorder="1"/>
    <xf numFmtId="2" fontId="4" fillId="0" borderId="7" xfId="0" applyNumberFormat="1" applyFont="1" applyBorder="1"/>
    <xf numFmtId="2" fontId="4" fillId="0" borderId="2" xfId="0" applyNumberFormat="1" applyFont="1" applyBorder="1"/>
    <xf numFmtId="165" fontId="0" fillId="0" borderId="0" xfId="0" applyNumberFormat="1"/>
    <xf numFmtId="37" fontId="16" fillId="0" borderId="0" xfId="0" applyNumberFormat="1" applyFont="1"/>
    <xf numFmtId="37" fontId="0" fillId="0" borderId="0" xfId="0" applyNumberFormat="1"/>
    <xf numFmtId="37" fontId="16" fillId="0" borderId="0" xfId="0" applyNumberFormat="1" applyFont="1" applyAlignment="1">
      <alignment horizontal="center"/>
    </xf>
    <xf numFmtId="37" fontId="16" fillId="0" borderId="8" xfId="0" applyNumberFormat="1" applyFont="1" applyBorder="1"/>
    <xf numFmtId="37" fontId="0" fillId="0" borderId="2" xfId="0" applyNumberFormat="1" applyBorder="1"/>
    <xf numFmtId="37" fontId="16" fillId="0" borderId="2" xfId="0" applyNumberFormat="1" applyFont="1" applyBorder="1" applyAlignment="1">
      <alignment horizontal="center"/>
    </xf>
    <xf numFmtId="37" fontId="0" fillId="0" borderId="9" xfId="0" applyNumberFormat="1" applyBorder="1"/>
    <xf numFmtId="37" fontId="16" fillId="0" borderId="0" xfId="0" applyNumberFormat="1" applyFont="1" applyAlignment="1">
      <alignment horizontal="left"/>
    </xf>
    <xf numFmtId="37" fontId="0" fillId="0" borderId="0" xfId="0" applyNumberFormat="1" applyAlignment="1">
      <alignment wrapText="1"/>
    </xf>
    <xf numFmtId="37" fontId="0" fillId="0" borderId="0" xfId="0" applyNumberFormat="1" applyAlignment="1">
      <alignment horizontal="right" wrapText="1"/>
    </xf>
    <xf numFmtId="37" fontId="0" fillId="0" borderId="0" xfId="2" applyNumberFormat="1" applyFont="1" applyFill="1"/>
    <xf numFmtId="37" fontId="17" fillId="0" borderId="0" xfId="0" applyNumberFormat="1" applyFont="1"/>
    <xf numFmtId="37" fontId="0" fillId="0" borderId="0" xfId="2" applyNumberFormat="1" applyFont="1"/>
    <xf numFmtId="0" fontId="16" fillId="0" borderId="0" xfId="0" applyFont="1"/>
    <xf numFmtId="0" fontId="4" fillId="0" borderId="0" xfId="0" applyFont="1" applyAlignment="1">
      <alignment horizontal="center"/>
    </xf>
    <xf numFmtId="41" fontId="9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/>
    </xf>
    <xf numFmtId="41" fontId="9" fillId="0" borderId="0" xfId="0" applyNumberFormat="1" applyFont="1" applyAlignment="1">
      <alignment horizontal="center" wrapText="1"/>
    </xf>
  </cellXfs>
  <cellStyles count="46">
    <cellStyle name="Comma" xfId="2" builtinId="3"/>
    <cellStyle name="Comma [0]" xfId="5" builtinId="6"/>
    <cellStyle name="Currency" xfId="1" builtinId="4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7" builtinId="9" hidden="1"/>
    <cellStyle name="Followed Hyperlink" xfId="39" builtinId="9" hidden="1"/>
    <cellStyle name="Followed Hyperlink" xfId="43" builtinId="9" hidden="1"/>
    <cellStyle name="Followed Hyperlink" xfId="45" builtinId="9" hidden="1"/>
    <cellStyle name="Followed Hyperlink" xfId="35" builtinId="9" hidden="1"/>
    <cellStyle name="Followed Hyperlink" xfId="41" builtinId="9" hidden="1"/>
    <cellStyle name="Followed Hyperlink" xfId="25" builtinId="9" hidden="1"/>
    <cellStyle name="Followed Hyperlink" xfId="13" builtinId="9" hidden="1"/>
    <cellStyle name="Followed Hyperlink" xfId="15" builtinId="9" hidden="1"/>
    <cellStyle name="Followed Hyperlink" xfId="19" builtinId="9" hidden="1"/>
    <cellStyle name="Followed Hyperlink" xfId="11" builtinId="9" hidden="1"/>
    <cellStyle name="Followed Hyperlink" xfId="21" builtinId="9" hidden="1"/>
    <cellStyle name="Followed Hyperlink" xfId="17" builtinId="9" hidden="1"/>
    <cellStyle name="Followed Hyperlink" xfId="9" builtinId="9" hidden="1"/>
    <cellStyle name="Followed Hyperlink" xfId="23" builtinId="9" hidden="1"/>
    <cellStyle name="Followed Hyperlink" xfId="7" builtinId="9" hidden="1"/>
    <cellStyle name="Followed Hyperlink" xfId="3" builtinId="9" hidden="1"/>
    <cellStyle name="Hyperlink" xfId="16" builtinId="8" hidden="1"/>
    <cellStyle name="Hyperlink" xfId="14" builtinId="8" hidden="1"/>
    <cellStyle name="Hyperlink" xfId="40" builtinId="8" hidden="1"/>
    <cellStyle name="Hyperlink" xfId="30" builtinId="8" hidden="1"/>
    <cellStyle name="Hyperlink" xfId="42" builtinId="8" hidden="1"/>
    <cellStyle name="Hyperlink" xfId="32" builtinId="8" hidden="1"/>
    <cellStyle name="Hyperlink" xfId="4" builtinId="8" hidden="1"/>
    <cellStyle name="Hyperlink" xfId="36" builtinId="8" hidden="1"/>
    <cellStyle name="Hyperlink" xfId="6" builtinId="8" hidden="1"/>
    <cellStyle name="Hyperlink" xfId="10" builtinId="8" hidden="1"/>
    <cellStyle name="Hyperlink" xfId="8" builtinId="8" hidden="1"/>
    <cellStyle name="Hyperlink" xfId="12" builtinId="8" hidden="1"/>
    <cellStyle name="Hyperlink" xfId="38" builtinId="8" hidden="1"/>
    <cellStyle name="Hyperlink" xfId="28" builtinId="8" hidden="1"/>
    <cellStyle name="Hyperlink" xfId="18" builtinId="8" hidden="1"/>
    <cellStyle name="Hyperlink" xfId="44" builtinId="8" hidden="1"/>
    <cellStyle name="Hyperlink" xfId="22" builtinId="8" hidden="1"/>
    <cellStyle name="Hyperlink" xfId="20" builtinId="8" hidden="1"/>
    <cellStyle name="Hyperlink" xfId="24" builtinId="8" hidden="1"/>
    <cellStyle name="Hyperlink" xfId="26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mruColors>
      <color rgb="FF660066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opLeftCell="A7" workbookViewId="0">
      <selection activeCell="O16" sqref="O16"/>
    </sheetView>
  </sheetViews>
  <sheetFormatPr defaultColWidth="8.85546875" defaultRowHeight="18.75"/>
  <cols>
    <col min="1" max="1" width="4.42578125" style="4" customWidth="1"/>
    <col min="2" max="3" width="4.7109375" style="4" customWidth="1"/>
    <col min="4" max="6" width="8.85546875" style="4"/>
    <col min="7" max="7" width="14.28515625" style="4" bestFit="1" customWidth="1"/>
    <col min="8" max="8" width="12.7109375" style="4" bestFit="1" customWidth="1"/>
    <col min="9" max="9" width="20.5703125" style="41" bestFit="1" customWidth="1"/>
    <col min="10" max="10" width="17.5703125" style="41" bestFit="1" customWidth="1"/>
    <col min="11" max="11" width="16.85546875" style="41" customWidth="1"/>
    <col min="12" max="12" width="20.85546875" style="41" customWidth="1"/>
    <col min="13" max="13" width="22.42578125" style="4" customWidth="1"/>
    <col min="14" max="16384" width="8.85546875" style="4"/>
  </cols>
  <sheetData>
    <row r="1" spans="1:13">
      <c r="D1" s="109" t="s">
        <v>0</v>
      </c>
      <c r="E1" s="109"/>
      <c r="F1" s="109"/>
      <c r="G1" s="109"/>
      <c r="H1" s="109"/>
      <c r="I1" s="109"/>
    </row>
    <row r="2" spans="1:13">
      <c r="D2" s="109" t="s">
        <v>1</v>
      </c>
      <c r="E2" s="109"/>
      <c r="F2" s="109"/>
      <c r="G2" s="109"/>
      <c r="H2" s="109"/>
      <c r="I2" s="109"/>
    </row>
    <row r="3" spans="1:13">
      <c r="D3" s="109" t="s">
        <v>2</v>
      </c>
      <c r="E3" s="109"/>
      <c r="F3" s="109"/>
      <c r="G3" s="109"/>
      <c r="H3" s="109"/>
      <c r="I3" s="109"/>
    </row>
    <row r="4" spans="1:13" ht="14.25" customHeight="1">
      <c r="D4" s="107"/>
      <c r="E4" s="107"/>
      <c r="F4" s="107"/>
      <c r="G4" s="107"/>
      <c r="H4" s="107"/>
      <c r="I4" s="42"/>
    </row>
    <row r="5" spans="1:13" ht="60.75" customHeight="1">
      <c r="I5" s="53" t="s">
        <v>3</v>
      </c>
      <c r="J5" s="53" t="s">
        <v>4</v>
      </c>
      <c r="K5" s="53" t="s">
        <v>5</v>
      </c>
      <c r="L5" s="53" t="s">
        <v>6</v>
      </c>
      <c r="M5" s="53" t="s">
        <v>7</v>
      </c>
    </row>
    <row r="6" spans="1:13">
      <c r="I6" s="65"/>
      <c r="J6" s="65"/>
      <c r="K6" s="65"/>
      <c r="L6" s="65"/>
    </row>
    <row r="7" spans="1:13">
      <c r="A7" s="3" t="s">
        <v>8</v>
      </c>
      <c r="B7" s="3"/>
      <c r="C7" s="3"/>
      <c r="D7" s="3"/>
      <c r="E7" s="3"/>
      <c r="F7" s="3"/>
    </row>
    <row r="8" spans="1:13">
      <c r="A8" s="3" t="s">
        <v>9</v>
      </c>
      <c r="B8" s="3"/>
      <c r="C8" s="3"/>
      <c r="D8" s="3"/>
      <c r="E8" s="3"/>
      <c r="F8" s="3"/>
    </row>
    <row r="9" spans="1:13">
      <c r="A9" s="3" t="s">
        <v>10</v>
      </c>
      <c r="B9" s="3"/>
      <c r="C9" s="3"/>
      <c r="D9" s="3"/>
      <c r="E9" s="3"/>
      <c r="F9" s="3"/>
    </row>
    <row r="10" spans="1:13">
      <c r="B10" s="4" t="s">
        <v>11</v>
      </c>
      <c r="I10" s="41">
        <v>1172249</v>
      </c>
      <c r="J10" s="41">
        <v>210643</v>
      </c>
      <c r="K10" s="41">
        <v>-53884</v>
      </c>
      <c r="L10" s="41">
        <f>SUM(I10:K10)</f>
        <v>1329008</v>
      </c>
      <c r="M10" s="41">
        <f>SUM(L10)</f>
        <v>1329008</v>
      </c>
    </row>
    <row r="11" spans="1:13">
      <c r="B11" s="4" t="s">
        <v>12</v>
      </c>
      <c r="I11" s="41">
        <v>3168467</v>
      </c>
      <c r="J11" s="41">
        <v>9240635</v>
      </c>
      <c r="K11" s="41">
        <v>-2161157</v>
      </c>
      <c r="L11" s="41">
        <f>SUM(I11:K11)</f>
        <v>10247945</v>
      </c>
      <c r="M11" s="45">
        <f>SUM(L11)</f>
        <v>10247945</v>
      </c>
    </row>
    <row r="12" spans="1:13">
      <c r="A12" s="3"/>
      <c r="B12" s="3"/>
      <c r="C12" s="3" t="s">
        <v>13</v>
      </c>
      <c r="D12" s="3"/>
      <c r="E12" s="3"/>
      <c r="F12" s="3"/>
      <c r="G12" s="3"/>
      <c r="H12" s="3"/>
      <c r="I12" s="57">
        <f>SUM(I10:I11)</f>
        <v>4340716</v>
      </c>
      <c r="J12" s="57">
        <f t="shared" ref="J12:L12" si="0">SUM(J10:J11)</f>
        <v>9451278</v>
      </c>
      <c r="K12" s="57">
        <f t="shared" si="0"/>
        <v>-2215041</v>
      </c>
      <c r="L12" s="57">
        <f t="shared" si="0"/>
        <v>11576953</v>
      </c>
      <c r="M12" s="3"/>
    </row>
    <row r="14" spans="1:13">
      <c r="A14" s="3" t="s">
        <v>14</v>
      </c>
    </row>
    <row r="15" spans="1:13">
      <c r="A15" s="3"/>
      <c r="B15" s="4" t="s">
        <v>15</v>
      </c>
      <c r="I15" s="41">
        <v>22193080</v>
      </c>
      <c r="J15" s="41">
        <v>2231588</v>
      </c>
      <c r="K15" s="41">
        <v>0</v>
      </c>
      <c r="L15" s="41">
        <f>SUM(I15:K15)</f>
        <v>24424668</v>
      </c>
    </row>
    <row r="16" spans="1:13">
      <c r="A16" s="3"/>
      <c r="B16" s="4" t="s">
        <v>16</v>
      </c>
      <c r="I16" s="41">
        <v>11766135</v>
      </c>
      <c r="J16" s="41">
        <v>261410</v>
      </c>
      <c r="K16" s="41">
        <v>0</v>
      </c>
      <c r="L16" s="41">
        <f>SUM(I16:K16)</f>
        <v>12027545</v>
      </c>
    </row>
    <row r="17" spans="1:13">
      <c r="A17" s="3"/>
      <c r="B17" s="4" t="s">
        <v>17</v>
      </c>
      <c r="I17" s="41">
        <v>748499</v>
      </c>
      <c r="J17" s="41">
        <v>16078</v>
      </c>
      <c r="L17" s="41">
        <f>SUM(I17:K17)</f>
        <v>764577</v>
      </c>
    </row>
    <row r="18" spans="1:13">
      <c r="B18" s="4" t="s">
        <v>18</v>
      </c>
      <c r="I18" s="41">
        <v>36944045</v>
      </c>
      <c r="J18" s="41">
        <v>926083</v>
      </c>
      <c r="K18" s="41">
        <v>-68500</v>
      </c>
      <c r="L18" s="41">
        <f>SUM(I18:K18)</f>
        <v>37801628</v>
      </c>
    </row>
    <row r="19" spans="1:13">
      <c r="C19" s="3" t="s">
        <v>19</v>
      </c>
      <c r="I19" s="58">
        <f>SUM(I15:I18)</f>
        <v>71651759</v>
      </c>
      <c r="J19" s="58">
        <f>SUM(J15:J18)</f>
        <v>3435159</v>
      </c>
      <c r="K19" s="58">
        <f>SUM(K15:K18)</f>
        <v>-68500</v>
      </c>
      <c r="L19" s="58">
        <f>SUM(L15:L18)</f>
        <v>75018418</v>
      </c>
    </row>
    <row r="20" spans="1:13">
      <c r="C20" s="3"/>
      <c r="I20" s="44"/>
      <c r="J20" s="44"/>
      <c r="K20" s="44"/>
      <c r="L20" s="44"/>
    </row>
    <row r="21" spans="1:13">
      <c r="A21" s="4" t="s">
        <v>20</v>
      </c>
    </row>
    <row r="22" spans="1:13">
      <c r="B22" s="4" t="s">
        <v>15</v>
      </c>
      <c r="I22" s="41">
        <v>-5958982</v>
      </c>
      <c r="J22" s="41">
        <v>-771222</v>
      </c>
      <c r="K22" s="41">
        <v>0</v>
      </c>
      <c r="L22" s="41">
        <f>SUM(I22:K22)</f>
        <v>-6730204</v>
      </c>
      <c r="M22" s="41">
        <f>SUM(L22,L15)</f>
        <v>17694464</v>
      </c>
    </row>
    <row r="23" spans="1:13">
      <c r="B23" s="4" t="s">
        <v>16</v>
      </c>
      <c r="I23" s="41">
        <v>-5627631</v>
      </c>
      <c r="J23" s="41">
        <v>-946670</v>
      </c>
      <c r="K23" s="41">
        <v>0</v>
      </c>
      <c r="L23" s="41">
        <f>SUM(I23:K23)</f>
        <v>-6574301</v>
      </c>
      <c r="M23" s="41">
        <f>SUM(L23,L16)</f>
        <v>5453244</v>
      </c>
    </row>
    <row r="24" spans="1:13">
      <c r="B24" s="4" t="s">
        <v>17</v>
      </c>
      <c r="I24" s="41">
        <v>-396486</v>
      </c>
      <c r="J24" s="41">
        <v>-8734</v>
      </c>
      <c r="L24" s="41">
        <f>SUM(I24:K24)</f>
        <v>-405220</v>
      </c>
      <c r="M24" s="41">
        <f>SUM(L24,L17)</f>
        <v>359357</v>
      </c>
    </row>
    <row r="25" spans="1:13">
      <c r="B25" s="4" t="s">
        <v>18</v>
      </c>
      <c r="I25" s="41">
        <v>-17105170</v>
      </c>
      <c r="J25" s="41">
        <v>-1378690</v>
      </c>
      <c r="K25" s="41">
        <v>68500</v>
      </c>
      <c r="L25" s="41">
        <f>SUM(I25:K25)</f>
        <v>-18415360</v>
      </c>
      <c r="M25" s="45">
        <f>SUM(L25,L18)</f>
        <v>19386268</v>
      </c>
    </row>
    <row r="26" spans="1:13">
      <c r="A26" s="3"/>
      <c r="B26" s="3"/>
      <c r="C26" s="3" t="s">
        <v>21</v>
      </c>
      <c r="D26" s="3"/>
      <c r="E26" s="3"/>
      <c r="F26" s="3"/>
      <c r="G26" s="3"/>
      <c r="H26" s="3"/>
      <c r="I26" s="50">
        <f>SUM(I22:I25)</f>
        <v>-29088269</v>
      </c>
      <c r="J26" s="50">
        <f>SUM(J22:J25)</f>
        <v>-3105316</v>
      </c>
      <c r="K26" s="50">
        <f>SUM(K22:K25)</f>
        <v>68500</v>
      </c>
      <c r="L26" s="50">
        <f>SUM(L22:L25)</f>
        <v>-32125085</v>
      </c>
      <c r="M26" s="3"/>
    </row>
    <row r="27" spans="1:13">
      <c r="A27" s="3"/>
      <c r="B27" s="3" t="s">
        <v>22</v>
      </c>
      <c r="C27" s="3"/>
      <c r="D27" s="3"/>
      <c r="E27" s="3"/>
      <c r="F27" s="3"/>
      <c r="G27" s="3"/>
      <c r="H27" s="3"/>
      <c r="I27" s="50">
        <f>I26+I19</f>
        <v>42563490</v>
      </c>
      <c r="J27" s="50">
        <f t="shared" ref="J27:L27" si="1">J26+J19</f>
        <v>329843</v>
      </c>
      <c r="K27" s="50">
        <f t="shared" si="1"/>
        <v>0</v>
      </c>
      <c r="L27" s="50">
        <f t="shared" si="1"/>
        <v>42893333</v>
      </c>
      <c r="M27" s="3"/>
    </row>
    <row r="28" spans="1:13" ht="19.5" thickBot="1">
      <c r="B28" s="3" t="s">
        <v>23</v>
      </c>
      <c r="I28" s="59">
        <f>I12+I27</f>
        <v>46904206</v>
      </c>
      <c r="J28" s="59">
        <f>J12+J27</f>
        <v>9781121</v>
      </c>
      <c r="K28" s="59">
        <f>K12+K27</f>
        <v>-2215041</v>
      </c>
      <c r="L28" s="59">
        <f>L12+L27</f>
        <v>54470286</v>
      </c>
      <c r="M28" s="45">
        <f>SUM(M22:M25,M10:M11)</f>
        <v>54470286</v>
      </c>
    </row>
    <row r="29" spans="1:13">
      <c r="B29" s="3"/>
      <c r="I29" s="44"/>
      <c r="J29" s="44"/>
      <c r="K29" s="44"/>
      <c r="L29" s="44"/>
    </row>
  </sheetData>
  <mergeCells count="3">
    <mergeCell ref="D1:I1"/>
    <mergeCell ref="D2:I2"/>
    <mergeCell ref="D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7"/>
  <sheetViews>
    <sheetView zoomScale="70" zoomScaleNormal="70" workbookViewId="0">
      <selection sqref="A1:XFD1048576"/>
    </sheetView>
  </sheetViews>
  <sheetFormatPr defaultColWidth="15.85546875" defaultRowHeight="18.75"/>
  <cols>
    <col min="1" max="1" width="7.85546875" style="4" customWidth="1"/>
    <col min="2" max="2" width="15.85546875" style="4"/>
    <col min="3" max="3" width="5.28515625" style="4" customWidth="1"/>
    <col min="4" max="4" width="15.85546875" style="4" customWidth="1"/>
    <col min="5" max="6" width="15.85546875" style="4"/>
    <col min="7" max="7" width="18.42578125" style="41" bestFit="1" customWidth="1"/>
    <col min="8" max="8" width="16.85546875" style="41" bestFit="1" customWidth="1"/>
    <col min="9" max="9" width="16" style="41" bestFit="1" customWidth="1"/>
    <col min="10" max="10" width="18.42578125" style="41" bestFit="1" customWidth="1"/>
    <col min="11" max="16384" width="15.85546875" style="4"/>
  </cols>
  <sheetData>
    <row r="1" spans="1:11">
      <c r="D1" s="109" t="s">
        <v>24</v>
      </c>
      <c r="E1" s="109"/>
      <c r="F1" s="109"/>
      <c r="G1" s="109"/>
    </row>
    <row r="2" spans="1:11">
      <c r="D2" s="109" t="s">
        <v>1</v>
      </c>
      <c r="E2" s="109"/>
      <c r="F2" s="109"/>
      <c r="G2" s="109"/>
    </row>
    <row r="3" spans="1:11">
      <c r="D3" s="109" t="s">
        <v>2</v>
      </c>
      <c r="E3" s="109"/>
      <c r="F3" s="109"/>
      <c r="G3" s="109"/>
    </row>
    <row r="4" spans="1:11">
      <c r="D4" s="107"/>
      <c r="E4" s="107"/>
      <c r="F4" s="107"/>
      <c r="G4" s="42"/>
    </row>
    <row r="5" spans="1:11" ht="37.5">
      <c r="G5" s="108" t="s">
        <v>3</v>
      </c>
      <c r="H5" s="108" t="s">
        <v>4</v>
      </c>
      <c r="I5" s="108" t="s">
        <v>5</v>
      </c>
      <c r="J5" s="108" t="s">
        <v>6</v>
      </c>
      <c r="K5" s="108" t="s">
        <v>7</v>
      </c>
    </row>
    <row r="6" spans="1:11">
      <c r="G6" s="43"/>
      <c r="H6" s="43"/>
      <c r="I6" s="43"/>
      <c r="J6" s="43"/>
    </row>
    <row r="7" spans="1:11">
      <c r="A7" s="3" t="s">
        <v>25</v>
      </c>
      <c r="B7" s="3"/>
      <c r="C7" s="3"/>
      <c r="D7" s="3"/>
      <c r="E7" s="3"/>
      <c r="F7" s="3"/>
    </row>
    <row r="8" spans="1:11">
      <c r="A8" s="3"/>
      <c r="B8" s="3" t="s">
        <v>10</v>
      </c>
      <c r="C8" s="3"/>
      <c r="D8" s="3"/>
      <c r="E8" s="3"/>
      <c r="F8" s="3"/>
    </row>
    <row r="9" spans="1:11">
      <c r="C9" s="4" t="s">
        <v>12</v>
      </c>
      <c r="G9" s="41">
        <v>273169</v>
      </c>
      <c r="I9" s="41">
        <v>-273169</v>
      </c>
      <c r="J9" s="41">
        <f>SUM(G9:I9)</f>
        <v>0</v>
      </c>
      <c r="K9" s="41">
        <f>SUM(J9)</f>
        <v>0</v>
      </c>
    </row>
    <row r="10" spans="1:11">
      <c r="C10" s="4" t="s">
        <v>11</v>
      </c>
      <c r="G10" s="45">
        <v>572300</v>
      </c>
      <c r="H10" s="45"/>
      <c r="I10" s="45"/>
      <c r="J10" s="45">
        <f>SUM(G10:I10)</f>
        <v>572300</v>
      </c>
      <c r="K10" s="41">
        <f>SUM(J10)</f>
        <v>572300</v>
      </c>
    </row>
    <row r="12" spans="1:11">
      <c r="A12" s="3"/>
      <c r="B12" s="3"/>
      <c r="C12" s="3"/>
      <c r="D12" s="3" t="s">
        <v>26</v>
      </c>
      <c r="E12" s="3"/>
      <c r="F12" s="3"/>
      <c r="G12" s="46">
        <f>SUM(G8:G11)</f>
        <v>845469</v>
      </c>
      <c r="H12" s="46">
        <f>SUM(H8:H11)</f>
        <v>0</v>
      </c>
      <c r="I12" s="46">
        <f>SUM(I8:I11)</f>
        <v>-273169</v>
      </c>
      <c r="J12" s="46">
        <f>SUM(J8:J11)</f>
        <v>572300</v>
      </c>
      <c r="K12" s="3"/>
    </row>
    <row r="14" spans="1:11">
      <c r="A14" s="3" t="s">
        <v>14</v>
      </c>
    </row>
    <row r="15" spans="1:11">
      <c r="B15" s="4" t="s">
        <v>27</v>
      </c>
      <c r="G15" s="41">
        <v>4488374</v>
      </c>
      <c r="H15" s="41">
        <v>58965</v>
      </c>
      <c r="I15" s="41">
        <v>0</v>
      </c>
      <c r="J15" s="41">
        <f>SUM(G15:I15)</f>
        <v>4547339</v>
      </c>
    </row>
    <row r="16" spans="1:11">
      <c r="B16" s="4" t="s">
        <v>28</v>
      </c>
      <c r="G16" s="41">
        <v>5851280</v>
      </c>
      <c r="H16" s="41">
        <v>1775</v>
      </c>
      <c r="J16" s="41">
        <f t="shared" ref="J16:J20" si="0">SUM(G16:I16)</f>
        <v>5853055</v>
      </c>
    </row>
    <row r="17" spans="1:11">
      <c r="B17" s="4" t="s">
        <v>29</v>
      </c>
      <c r="G17" s="41">
        <v>405550</v>
      </c>
      <c r="H17" s="41">
        <v>3899</v>
      </c>
      <c r="I17" s="41">
        <v>-19416</v>
      </c>
      <c r="J17" s="41">
        <f t="shared" si="0"/>
        <v>390033</v>
      </c>
    </row>
    <row r="18" spans="1:11">
      <c r="B18" s="4" t="s">
        <v>30</v>
      </c>
      <c r="G18" s="41">
        <v>804226</v>
      </c>
      <c r="H18" s="41">
        <v>55832</v>
      </c>
      <c r="I18" s="41">
        <v>-40609</v>
      </c>
      <c r="J18" s="41">
        <f t="shared" si="0"/>
        <v>819449</v>
      </c>
    </row>
    <row r="19" spans="1:11">
      <c r="B19" s="4" t="s">
        <v>16</v>
      </c>
      <c r="G19" s="41">
        <v>4520910</v>
      </c>
      <c r="H19" s="41">
        <v>306084</v>
      </c>
      <c r="I19" s="41">
        <v>-1572772</v>
      </c>
      <c r="J19" s="41">
        <f t="shared" si="0"/>
        <v>3254222</v>
      </c>
    </row>
    <row r="20" spans="1:11">
      <c r="B20" s="4" t="s">
        <v>18</v>
      </c>
      <c r="G20" s="45">
        <v>28219912</v>
      </c>
      <c r="H20" s="45"/>
      <c r="I20" s="45">
        <v>0</v>
      </c>
      <c r="J20" s="45">
        <f t="shared" si="0"/>
        <v>28219912</v>
      </c>
    </row>
    <row r="22" spans="1:11">
      <c r="A22" s="3"/>
      <c r="B22" s="3"/>
      <c r="C22" s="3"/>
      <c r="D22" s="3" t="s">
        <v>19</v>
      </c>
      <c r="E22" s="3"/>
      <c r="F22" s="3"/>
      <c r="G22" s="46">
        <f>SUM(G15:G21)</f>
        <v>44290252</v>
      </c>
      <c r="H22" s="46">
        <f>SUM(H15:H21)</f>
        <v>426555</v>
      </c>
      <c r="I22" s="46">
        <f>SUM(I15:I21)</f>
        <v>-1632797</v>
      </c>
      <c r="J22" s="46">
        <f>SUM(J15:J20)</f>
        <v>43084010</v>
      </c>
      <c r="K22" s="3"/>
    </row>
    <row r="24" spans="1:11">
      <c r="A24" s="4" t="s">
        <v>20</v>
      </c>
    </row>
    <row r="25" spans="1:11">
      <c r="B25" s="4" t="s">
        <v>27</v>
      </c>
      <c r="G25" s="41">
        <v>1686529</v>
      </c>
      <c r="H25" s="41">
        <v>100580</v>
      </c>
      <c r="I25" s="41">
        <v>0</v>
      </c>
      <c r="J25" s="41">
        <f>SUM(G25:I25)</f>
        <v>1787109</v>
      </c>
      <c r="K25" s="41">
        <f>J15-J25</f>
        <v>2760230</v>
      </c>
    </row>
    <row r="26" spans="1:11">
      <c r="B26" s="4" t="s">
        <v>28</v>
      </c>
      <c r="G26" s="41">
        <v>1980497</v>
      </c>
      <c r="H26" s="41">
        <v>200716</v>
      </c>
      <c r="J26" s="41">
        <f t="shared" ref="J26:J30" si="1">SUM(G26:I26)</f>
        <v>2181213</v>
      </c>
      <c r="K26" s="41">
        <f t="shared" ref="K26:K30" si="2">J16-J26</f>
        <v>3671842</v>
      </c>
    </row>
    <row r="27" spans="1:11">
      <c r="B27" s="4" t="s">
        <v>29</v>
      </c>
      <c r="G27" s="41">
        <v>297147</v>
      </c>
      <c r="H27" s="41">
        <v>27444</v>
      </c>
      <c r="I27" s="41">
        <v>-12961</v>
      </c>
      <c r="J27" s="41">
        <f t="shared" si="1"/>
        <v>311630</v>
      </c>
      <c r="K27" s="41">
        <f t="shared" si="2"/>
        <v>78403</v>
      </c>
    </row>
    <row r="28" spans="1:11">
      <c r="B28" s="4" t="s">
        <v>30</v>
      </c>
      <c r="G28" s="41">
        <v>613540</v>
      </c>
      <c r="H28" s="41">
        <v>46028</v>
      </c>
      <c r="I28" s="41">
        <v>-40609</v>
      </c>
      <c r="J28" s="41">
        <f t="shared" si="1"/>
        <v>618959</v>
      </c>
      <c r="K28" s="41">
        <f t="shared" si="2"/>
        <v>200490</v>
      </c>
    </row>
    <row r="29" spans="1:11">
      <c r="B29" s="4" t="s">
        <v>16</v>
      </c>
      <c r="G29" s="41">
        <v>2893539</v>
      </c>
      <c r="H29" s="41">
        <v>209343</v>
      </c>
      <c r="I29" s="41">
        <v>-872988</v>
      </c>
      <c r="J29" s="41">
        <f t="shared" si="1"/>
        <v>2229894</v>
      </c>
      <c r="K29" s="41">
        <f t="shared" si="2"/>
        <v>1024328</v>
      </c>
    </row>
    <row r="30" spans="1:11">
      <c r="B30" s="4" t="s">
        <v>18</v>
      </c>
      <c r="G30" s="45">
        <v>11277335</v>
      </c>
      <c r="H30" s="45">
        <v>584415</v>
      </c>
      <c r="I30" s="45">
        <v>0</v>
      </c>
      <c r="J30" s="45">
        <f t="shared" si="1"/>
        <v>11861750</v>
      </c>
      <c r="K30" s="41">
        <f t="shared" si="2"/>
        <v>16358162</v>
      </c>
    </row>
    <row r="32" spans="1:11">
      <c r="A32" s="3"/>
      <c r="B32" s="3"/>
      <c r="C32" s="3"/>
      <c r="D32" s="3" t="s">
        <v>21</v>
      </c>
      <c r="E32" s="3"/>
      <c r="F32" s="3"/>
      <c r="G32" s="46">
        <f>SUM(G25:G31)</f>
        <v>18748587</v>
      </c>
      <c r="H32" s="46">
        <f>SUM(H25:H31)</f>
        <v>1168526</v>
      </c>
      <c r="I32" s="46">
        <f>SUM(I25:I31)</f>
        <v>-926558</v>
      </c>
      <c r="J32" s="46">
        <f>SUM(J25:J31)</f>
        <v>18990555</v>
      </c>
      <c r="K32" s="3"/>
    </row>
    <row r="34" spans="1:11">
      <c r="A34" s="3"/>
      <c r="B34" s="3" t="s">
        <v>22</v>
      </c>
      <c r="C34" s="3"/>
      <c r="D34" s="3"/>
      <c r="E34" s="3"/>
      <c r="F34" s="3"/>
      <c r="G34" s="46">
        <f>G22-G32</f>
        <v>25541665</v>
      </c>
      <c r="H34" s="46">
        <f t="shared" ref="H34:J34" si="3">H22-H32</f>
        <v>-741971</v>
      </c>
      <c r="I34" s="46">
        <f t="shared" si="3"/>
        <v>-706239</v>
      </c>
      <c r="J34" s="46">
        <f t="shared" si="3"/>
        <v>24093455</v>
      </c>
      <c r="K34" s="3"/>
    </row>
    <row r="36" spans="1:11" ht="19.5" thickBot="1">
      <c r="B36" s="3" t="s">
        <v>23</v>
      </c>
      <c r="G36" s="48">
        <f>G34+G12</f>
        <v>26387134</v>
      </c>
      <c r="H36" s="48">
        <f t="shared" ref="H36:J36" si="4">H34+H12</f>
        <v>-741971</v>
      </c>
      <c r="I36" s="48">
        <f t="shared" si="4"/>
        <v>-979408</v>
      </c>
      <c r="J36" s="48">
        <f t="shared" si="4"/>
        <v>24665755</v>
      </c>
      <c r="K36" s="41">
        <f>SUM(K25:K30,K9:K10)</f>
        <v>24665755</v>
      </c>
    </row>
    <row r="37" spans="1:11" ht="19.5" thickTop="1"/>
  </sheetData>
  <mergeCells count="3">
    <mergeCell ref="D1:G1"/>
    <mergeCell ref="D2:G2"/>
    <mergeCell ref="D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4"/>
  <sheetViews>
    <sheetView zoomScale="85" zoomScaleNormal="85" zoomScalePageLayoutView="85" workbookViewId="0">
      <selection sqref="A1:XFD1048576"/>
    </sheetView>
  </sheetViews>
  <sheetFormatPr defaultColWidth="15.85546875" defaultRowHeight="18.75"/>
  <cols>
    <col min="1" max="1" width="7.85546875" style="4" customWidth="1"/>
    <col min="2" max="2" width="15.85546875" style="4"/>
    <col min="3" max="3" width="5.28515625" style="4" customWidth="1"/>
    <col min="4" max="4" width="15.85546875" style="4" customWidth="1"/>
    <col min="5" max="7" width="15.85546875" style="4"/>
    <col min="8" max="8" width="8.42578125" style="4" customWidth="1"/>
    <col min="9" max="9" width="18.42578125" style="41" bestFit="1" customWidth="1"/>
    <col min="10" max="10" width="16.85546875" style="41" bestFit="1" customWidth="1"/>
    <col min="11" max="11" width="16" style="41" bestFit="1" customWidth="1"/>
    <col min="12" max="12" width="18.42578125" style="41" bestFit="1" customWidth="1"/>
    <col min="13" max="16384" width="15.85546875" style="4"/>
  </cols>
  <sheetData>
    <row r="1" spans="1:13">
      <c r="D1" s="109" t="s">
        <v>31</v>
      </c>
      <c r="E1" s="109"/>
      <c r="F1" s="109"/>
      <c r="G1" s="109"/>
      <c r="H1" s="109"/>
      <c r="I1" s="109"/>
    </row>
    <row r="2" spans="1:13">
      <c r="D2" s="109" t="s">
        <v>1</v>
      </c>
      <c r="E2" s="109"/>
      <c r="F2" s="109"/>
      <c r="G2" s="109"/>
      <c r="H2" s="109"/>
      <c r="I2" s="109"/>
    </row>
    <row r="3" spans="1:13">
      <c r="D3" s="109" t="s">
        <v>2</v>
      </c>
      <c r="E3" s="109"/>
      <c r="F3" s="109"/>
      <c r="G3" s="109"/>
      <c r="H3" s="109"/>
      <c r="I3" s="109"/>
    </row>
    <row r="4" spans="1:13">
      <c r="D4" s="107"/>
      <c r="E4" s="107"/>
      <c r="F4" s="107"/>
      <c r="G4" s="107"/>
      <c r="H4" s="107"/>
      <c r="I4" s="42"/>
    </row>
    <row r="5" spans="1:13" ht="37.5">
      <c r="I5" s="108" t="s">
        <v>3</v>
      </c>
      <c r="J5" s="108" t="s">
        <v>4</v>
      </c>
      <c r="K5" s="108" t="s">
        <v>5</v>
      </c>
      <c r="L5" s="108" t="s">
        <v>6</v>
      </c>
      <c r="M5" s="108" t="s">
        <v>7</v>
      </c>
    </row>
    <row r="6" spans="1:13">
      <c r="I6" s="43"/>
      <c r="J6" s="43"/>
      <c r="K6" s="43"/>
      <c r="L6" s="43"/>
    </row>
    <row r="7" spans="1:13">
      <c r="A7" s="3" t="s">
        <v>25</v>
      </c>
      <c r="B7" s="3"/>
      <c r="C7" s="3"/>
      <c r="D7" s="3"/>
      <c r="E7" s="3"/>
      <c r="F7" s="3"/>
    </row>
    <row r="8" spans="1:13">
      <c r="A8" s="3"/>
      <c r="B8" s="3" t="s">
        <v>10</v>
      </c>
      <c r="C8" s="3"/>
      <c r="D8" s="3"/>
      <c r="E8" s="3"/>
      <c r="F8" s="3"/>
    </row>
    <row r="9" spans="1:13">
      <c r="C9" s="4" t="s">
        <v>11</v>
      </c>
      <c r="I9" s="41">
        <v>16585</v>
      </c>
      <c r="J9" s="41">
        <v>728</v>
      </c>
      <c r="K9" s="41">
        <v>0</v>
      </c>
      <c r="L9" s="41">
        <f>SUM(I9:K9)</f>
        <v>17313</v>
      </c>
      <c r="M9" s="41">
        <f>SUM(L9)</f>
        <v>17313</v>
      </c>
    </row>
    <row r="10" spans="1:13">
      <c r="C10" s="4" t="s">
        <v>12</v>
      </c>
      <c r="I10" s="45">
        <v>32839</v>
      </c>
      <c r="J10" s="45">
        <v>23212</v>
      </c>
      <c r="K10" s="45">
        <v>-264</v>
      </c>
      <c r="L10" s="45">
        <f>SUM(I10:K10)</f>
        <v>55787</v>
      </c>
      <c r="M10" s="41">
        <f>SUM(L10)</f>
        <v>55787</v>
      </c>
    </row>
    <row r="12" spans="1:13">
      <c r="A12" s="3"/>
      <c r="B12" s="3"/>
      <c r="C12" s="3"/>
      <c r="D12" s="3" t="s">
        <v>26</v>
      </c>
      <c r="E12" s="3"/>
      <c r="F12" s="3"/>
      <c r="G12" s="3"/>
      <c r="H12" s="3"/>
      <c r="I12" s="46">
        <f>SUM(I8:I11)</f>
        <v>49424</v>
      </c>
      <c r="J12" s="46">
        <f>SUM(J8:J11)</f>
        <v>23940</v>
      </c>
      <c r="K12" s="46">
        <f>SUM(K8:K11)</f>
        <v>-264</v>
      </c>
      <c r="L12" s="46">
        <f>SUM(L8:L11)</f>
        <v>73100</v>
      </c>
      <c r="M12" s="3"/>
    </row>
    <row r="14" spans="1:13">
      <c r="A14" s="3" t="s">
        <v>14</v>
      </c>
    </row>
    <row r="15" spans="1:13">
      <c r="B15" s="4" t="s">
        <v>27</v>
      </c>
      <c r="I15" s="41">
        <v>62442</v>
      </c>
      <c r="J15" s="41">
        <v>256</v>
      </c>
      <c r="K15" s="41">
        <v>0</v>
      </c>
      <c r="L15" s="41">
        <f>SUM(I15:K15)</f>
        <v>62698</v>
      </c>
    </row>
    <row r="16" spans="1:13">
      <c r="B16" s="4" t="s">
        <v>30</v>
      </c>
      <c r="I16" s="41">
        <v>13147</v>
      </c>
      <c r="J16" s="41">
        <v>544</v>
      </c>
      <c r="K16" s="41">
        <v>-529</v>
      </c>
      <c r="L16" s="41">
        <f t="shared" ref="L16:L20" si="0">SUM(I16:K16)</f>
        <v>13162</v>
      </c>
    </row>
    <row r="17" spans="1:13">
      <c r="B17" s="4" t="s">
        <v>32</v>
      </c>
      <c r="I17" s="41">
        <v>12549</v>
      </c>
      <c r="J17" s="41">
        <v>840</v>
      </c>
      <c r="K17" s="41">
        <v>-1303</v>
      </c>
      <c r="L17" s="41">
        <f t="shared" si="0"/>
        <v>12086</v>
      </c>
    </row>
    <row r="18" spans="1:13">
      <c r="B18" s="4" t="s">
        <v>29</v>
      </c>
      <c r="I18" s="41">
        <v>1100</v>
      </c>
      <c r="J18" s="41">
        <v>32</v>
      </c>
      <c r="K18" s="41">
        <v>-5</v>
      </c>
      <c r="L18" s="41">
        <f t="shared" si="0"/>
        <v>1127</v>
      </c>
    </row>
    <row r="19" spans="1:13">
      <c r="B19" s="4" t="s">
        <v>33</v>
      </c>
      <c r="I19" s="41">
        <v>2882</v>
      </c>
      <c r="J19" s="41">
        <v>417</v>
      </c>
      <c r="K19" s="41">
        <v>-507</v>
      </c>
      <c r="L19" s="41">
        <f t="shared" si="0"/>
        <v>2792</v>
      </c>
    </row>
    <row r="20" spans="1:13">
      <c r="B20" s="4" t="s">
        <v>18</v>
      </c>
      <c r="I20" s="45">
        <v>210670</v>
      </c>
      <c r="J20" s="45">
        <v>5615</v>
      </c>
      <c r="K20" s="45">
        <v>0</v>
      </c>
      <c r="L20" s="45">
        <f t="shared" si="0"/>
        <v>216285</v>
      </c>
    </row>
    <row r="22" spans="1:13">
      <c r="A22" s="3"/>
      <c r="B22" s="3"/>
      <c r="C22" s="3"/>
      <c r="D22" s="3" t="s">
        <v>19</v>
      </c>
      <c r="E22" s="3"/>
      <c r="F22" s="3"/>
      <c r="G22" s="3"/>
      <c r="H22" s="3"/>
      <c r="I22" s="46">
        <f>SUM(I15:I21)</f>
        <v>302790</v>
      </c>
      <c r="J22" s="46">
        <f>SUM(J15:J21)</f>
        <v>7704</v>
      </c>
      <c r="K22" s="46">
        <f>SUM(K15:K21)</f>
        <v>-2344</v>
      </c>
      <c r="L22" s="46">
        <f>SUM(L15:L20)</f>
        <v>308150</v>
      </c>
      <c r="M22" s="3"/>
    </row>
    <row r="24" spans="1:13">
      <c r="A24" s="4" t="s">
        <v>20</v>
      </c>
    </row>
    <row r="25" spans="1:13">
      <c r="B25" s="4" t="s">
        <v>27</v>
      </c>
      <c r="I25" s="41">
        <v>-19199</v>
      </c>
      <c r="J25" s="41">
        <v>-1697</v>
      </c>
      <c r="K25" s="41">
        <v>0</v>
      </c>
      <c r="L25" s="41">
        <f>SUM(I25:K25)</f>
        <v>-20896</v>
      </c>
      <c r="M25" s="41">
        <f>SUM(L25,L15)</f>
        <v>41802</v>
      </c>
    </row>
    <row r="26" spans="1:13">
      <c r="B26" s="4" t="s">
        <v>30</v>
      </c>
      <c r="I26" s="41">
        <v>-8800</v>
      </c>
      <c r="J26" s="41">
        <v>-697</v>
      </c>
      <c r="K26" s="41">
        <v>510</v>
      </c>
      <c r="L26" s="41">
        <f t="shared" ref="L26:L30" si="1">SUM(I26:K26)</f>
        <v>-8987</v>
      </c>
      <c r="M26" s="41">
        <f t="shared" ref="M26:M30" si="2">SUM(L26,L16)</f>
        <v>4175</v>
      </c>
    </row>
    <row r="27" spans="1:13">
      <c r="B27" s="4" t="s">
        <v>32</v>
      </c>
      <c r="I27" s="41">
        <v>-9796</v>
      </c>
      <c r="J27" s="41">
        <v>-935</v>
      </c>
      <c r="K27" s="41">
        <v>1322</v>
      </c>
      <c r="L27" s="41">
        <f t="shared" si="1"/>
        <v>-9409</v>
      </c>
      <c r="M27" s="41">
        <f t="shared" si="2"/>
        <v>2677</v>
      </c>
    </row>
    <row r="28" spans="1:13">
      <c r="B28" s="4" t="s">
        <v>29</v>
      </c>
      <c r="I28" s="41">
        <v>-568</v>
      </c>
      <c r="J28" s="41">
        <v>-82</v>
      </c>
      <c r="K28" s="41">
        <v>5</v>
      </c>
      <c r="L28" s="41">
        <f t="shared" si="1"/>
        <v>-645</v>
      </c>
      <c r="M28" s="41">
        <f t="shared" si="2"/>
        <v>482</v>
      </c>
    </row>
    <row r="29" spans="1:13">
      <c r="B29" s="4" t="s">
        <v>33</v>
      </c>
      <c r="I29" s="41">
        <v>-1774</v>
      </c>
      <c r="J29" s="41">
        <v>-558</v>
      </c>
      <c r="K29" s="41">
        <v>507</v>
      </c>
      <c r="L29" s="41">
        <f t="shared" si="1"/>
        <v>-1825</v>
      </c>
      <c r="M29" s="41">
        <f t="shared" si="2"/>
        <v>967</v>
      </c>
    </row>
    <row r="30" spans="1:13">
      <c r="B30" s="4" t="s">
        <v>18</v>
      </c>
      <c r="I30" s="45">
        <v>-119227</v>
      </c>
      <c r="J30" s="45">
        <v>-10696</v>
      </c>
      <c r="K30" s="45">
        <v>0</v>
      </c>
      <c r="L30" s="45">
        <f t="shared" si="1"/>
        <v>-129923</v>
      </c>
      <c r="M30" s="41">
        <f t="shared" si="2"/>
        <v>86362</v>
      </c>
    </row>
    <row r="32" spans="1:13">
      <c r="A32" s="3"/>
      <c r="B32" s="3"/>
      <c r="C32" s="3"/>
      <c r="D32" s="3" t="s">
        <v>21</v>
      </c>
      <c r="E32" s="3"/>
      <c r="F32" s="3"/>
      <c r="G32" s="3"/>
      <c r="H32" s="3"/>
      <c r="I32" s="46">
        <f>SUM(I25:I31)</f>
        <v>-159364</v>
      </c>
      <c r="J32" s="46">
        <f>SUM(J25:J31)</f>
        <v>-14665</v>
      </c>
      <c r="K32" s="46">
        <f>SUM(K25:K31)</f>
        <v>2344</v>
      </c>
      <c r="L32" s="46">
        <f>SUM(L25:L31)</f>
        <v>-171685</v>
      </c>
      <c r="M32" s="3"/>
    </row>
    <row r="34" spans="1:13">
      <c r="A34" s="3"/>
      <c r="B34" s="3" t="s">
        <v>22</v>
      </c>
      <c r="C34" s="3"/>
      <c r="D34" s="3"/>
      <c r="E34" s="3"/>
      <c r="F34" s="3"/>
      <c r="G34" s="3"/>
      <c r="H34" s="3"/>
      <c r="I34" s="46">
        <f>I22+I32</f>
        <v>143426</v>
      </c>
      <c r="J34" s="46">
        <f t="shared" ref="J34:L34" si="3">J22+J32</f>
        <v>-6961</v>
      </c>
      <c r="K34" s="46">
        <f>K22+K32</f>
        <v>0</v>
      </c>
      <c r="L34" s="46">
        <f t="shared" si="3"/>
        <v>136465</v>
      </c>
      <c r="M34" s="3"/>
    </row>
    <row r="36" spans="1:13" ht="19.5" thickBot="1">
      <c r="B36" s="3" t="s">
        <v>23</v>
      </c>
      <c r="I36" s="48">
        <f>I32+I22+I12</f>
        <v>192850</v>
      </c>
      <c r="J36" s="48">
        <f>J32+J22+J12</f>
        <v>16979</v>
      </c>
      <c r="K36" s="48">
        <f>K32+K22+K12</f>
        <v>-264</v>
      </c>
      <c r="L36" s="48">
        <f>L32+L22+L12</f>
        <v>209565</v>
      </c>
      <c r="M36" s="41">
        <f>SUM(M25:M30,M9:M10)</f>
        <v>209565</v>
      </c>
    </row>
    <row r="37" spans="1:13" ht="19.5" thickTop="1"/>
    <row r="39" spans="1:13" ht="37.5">
      <c r="I39" s="108" t="s">
        <v>3</v>
      </c>
      <c r="J39" s="108" t="s">
        <v>4</v>
      </c>
      <c r="K39" s="108" t="s">
        <v>5</v>
      </c>
      <c r="L39" s="108" t="s">
        <v>6</v>
      </c>
    </row>
    <row r="40" spans="1:13">
      <c r="A40" s="3" t="s">
        <v>34</v>
      </c>
      <c r="B40" s="3"/>
      <c r="C40" s="3"/>
      <c r="D40" s="3"/>
      <c r="E40" s="3"/>
      <c r="F40" s="3"/>
    </row>
    <row r="41" spans="1:13">
      <c r="A41" s="3"/>
      <c r="B41" s="3" t="s">
        <v>10</v>
      </c>
      <c r="C41" s="3"/>
      <c r="D41" s="3"/>
      <c r="E41" s="3"/>
      <c r="F41" s="3"/>
    </row>
    <row r="42" spans="1:13">
      <c r="C42" s="4" t="s">
        <v>11</v>
      </c>
      <c r="I42" s="41">
        <v>670</v>
      </c>
      <c r="J42" s="41">
        <v>0</v>
      </c>
      <c r="K42" s="41">
        <v>0</v>
      </c>
      <c r="L42" s="41">
        <f>SUM(I42:K42)</f>
        <v>670</v>
      </c>
      <c r="M42" s="41">
        <f>SUM(L42)</f>
        <v>670</v>
      </c>
    </row>
    <row r="43" spans="1:13">
      <c r="C43" s="4" t="s">
        <v>12</v>
      </c>
      <c r="I43" s="45">
        <v>98</v>
      </c>
      <c r="J43" s="45">
        <v>173</v>
      </c>
      <c r="K43" s="45">
        <v>0</v>
      </c>
      <c r="L43" s="45">
        <f>SUM(I43:K43)</f>
        <v>271</v>
      </c>
      <c r="M43" s="41">
        <f>SUM(L43)</f>
        <v>271</v>
      </c>
    </row>
    <row r="45" spans="1:13">
      <c r="A45" s="3"/>
      <c r="B45" s="3"/>
      <c r="C45" s="3"/>
      <c r="D45" s="3" t="s">
        <v>26</v>
      </c>
      <c r="E45" s="3"/>
      <c r="F45" s="3"/>
      <c r="G45" s="3"/>
      <c r="H45" s="3"/>
      <c r="I45" s="46">
        <f>SUM(I41:I44)</f>
        <v>768</v>
      </c>
      <c r="J45" s="46">
        <f>SUM(J41:J44)</f>
        <v>173</v>
      </c>
      <c r="K45" s="46">
        <f>SUM(K41:K44)</f>
        <v>0</v>
      </c>
      <c r="L45" s="46">
        <f>SUM(L41:L44)</f>
        <v>941</v>
      </c>
    </row>
    <row r="47" spans="1:13">
      <c r="B47" s="3" t="s">
        <v>35</v>
      </c>
    </row>
    <row r="48" spans="1:13">
      <c r="C48" s="4" t="s">
        <v>36</v>
      </c>
      <c r="I48" s="41">
        <v>5911</v>
      </c>
      <c r="J48" s="41">
        <v>0</v>
      </c>
      <c r="K48" s="41">
        <v>0</v>
      </c>
      <c r="L48" s="41">
        <f>SUM(I48:K48)</f>
        <v>5911</v>
      </c>
    </row>
    <row r="49" spans="2:13">
      <c r="C49" s="4" t="s">
        <v>37</v>
      </c>
      <c r="I49" s="41">
        <v>766</v>
      </c>
      <c r="J49" s="41">
        <v>9</v>
      </c>
      <c r="K49" s="41">
        <v>0</v>
      </c>
      <c r="L49" s="41">
        <f t="shared" ref="L49:L50" si="4">SUM(I49:K49)</f>
        <v>775</v>
      </c>
    </row>
    <row r="50" spans="2:13">
      <c r="C50" s="4" t="s">
        <v>38</v>
      </c>
      <c r="I50" s="45">
        <v>7127</v>
      </c>
      <c r="J50" s="45">
        <v>171</v>
      </c>
      <c r="K50" s="45">
        <v>0</v>
      </c>
      <c r="L50" s="45">
        <f t="shared" si="4"/>
        <v>7298</v>
      </c>
    </row>
    <row r="52" spans="2:13">
      <c r="D52" s="3" t="s">
        <v>39</v>
      </c>
      <c r="E52" s="3"/>
      <c r="F52" s="3"/>
      <c r="G52" s="3"/>
      <c r="I52" s="47">
        <f>SUM(I47:I50)</f>
        <v>13804</v>
      </c>
      <c r="J52" s="47">
        <f t="shared" ref="J52:L52" si="5">SUM(J47:J50)</f>
        <v>180</v>
      </c>
      <c r="K52" s="47">
        <f t="shared" si="5"/>
        <v>0</v>
      </c>
      <c r="L52" s="47">
        <f t="shared" si="5"/>
        <v>13984</v>
      </c>
    </row>
    <row r="54" spans="2:13">
      <c r="B54" s="4" t="s">
        <v>20</v>
      </c>
    </row>
    <row r="55" spans="2:13">
      <c r="C55" s="4" t="s">
        <v>36</v>
      </c>
      <c r="I55" s="41">
        <v>-1793</v>
      </c>
      <c r="J55" s="41">
        <v>-302</v>
      </c>
      <c r="L55" s="41">
        <f>SUM(I55:K55)</f>
        <v>-2095</v>
      </c>
      <c r="M55" s="41">
        <f>SUM(L55,L48)</f>
        <v>3816</v>
      </c>
    </row>
    <row r="56" spans="2:13">
      <c r="C56" s="4" t="s">
        <v>37</v>
      </c>
      <c r="I56" s="41">
        <v>-386</v>
      </c>
      <c r="J56" s="41">
        <v>-16</v>
      </c>
      <c r="L56" s="41">
        <f t="shared" ref="L56:L57" si="6">SUM(I56:K56)</f>
        <v>-402</v>
      </c>
      <c r="M56" s="41">
        <f t="shared" ref="M56:M57" si="7">SUM(L56,L49)</f>
        <v>373</v>
      </c>
    </row>
    <row r="57" spans="2:13">
      <c r="C57" s="4" t="s">
        <v>38</v>
      </c>
      <c r="I57" s="45">
        <v>-1118</v>
      </c>
      <c r="J57" s="45">
        <v>-417</v>
      </c>
      <c r="K57" s="45"/>
      <c r="L57" s="45">
        <f t="shared" si="6"/>
        <v>-1535</v>
      </c>
      <c r="M57" s="41">
        <f t="shared" si="7"/>
        <v>5763</v>
      </c>
    </row>
    <row r="59" spans="2:13">
      <c r="D59" s="3" t="s">
        <v>21</v>
      </c>
      <c r="E59" s="3"/>
      <c r="F59" s="3"/>
      <c r="G59" s="3"/>
      <c r="I59" s="47">
        <f>SUM(I55:I57)</f>
        <v>-3297</v>
      </c>
      <c r="J59" s="47">
        <f t="shared" ref="J59:L59" si="8">SUM(J55:J57)</f>
        <v>-735</v>
      </c>
      <c r="K59" s="47">
        <f t="shared" si="8"/>
        <v>0</v>
      </c>
      <c r="L59" s="47">
        <f t="shared" si="8"/>
        <v>-4032</v>
      </c>
    </row>
    <row r="60" spans="2:13">
      <c r="D60" s="3"/>
      <c r="E60" s="3"/>
      <c r="F60" s="3"/>
      <c r="G60" s="3"/>
    </row>
    <row r="61" spans="2:13">
      <c r="D61" s="3" t="s">
        <v>40</v>
      </c>
      <c r="E61" s="3"/>
      <c r="F61" s="3"/>
      <c r="G61" s="3"/>
      <c r="I61" s="47">
        <f>I52+I59</f>
        <v>10507</v>
      </c>
      <c r="J61" s="47">
        <f t="shared" ref="J61:L61" si="9">J52+J59</f>
        <v>-555</v>
      </c>
      <c r="K61" s="47">
        <f t="shared" si="9"/>
        <v>0</v>
      </c>
      <c r="L61" s="47">
        <f t="shared" si="9"/>
        <v>9952</v>
      </c>
    </row>
    <row r="62" spans="2:13">
      <c r="D62" s="3"/>
      <c r="E62" s="3"/>
      <c r="F62" s="3"/>
      <c r="G62" s="3"/>
    </row>
    <row r="63" spans="2:13" ht="19.5" thickBot="1">
      <c r="D63" s="3" t="s">
        <v>41</v>
      </c>
      <c r="E63" s="3"/>
      <c r="F63" s="3"/>
      <c r="G63" s="3"/>
      <c r="I63" s="48">
        <f>I61+I45</f>
        <v>11275</v>
      </c>
      <c r="J63" s="48">
        <f t="shared" ref="J63:L63" si="10">J61+J45</f>
        <v>-382</v>
      </c>
      <c r="K63" s="48">
        <f t="shared" si="10"/>
        <v>0</v>
      </c>
      <c r="L63" s="48">
        <f t="shared" si="10"/>
        <v>10893</v>
      </c>
      <c r="M63" s="41">
        <f>SUM(M55:M57,M42:M43)</f>
        <v>10893</v>
      </c>
    </row>
    <row r="64" spans="2:13" ht="19.5" thickTop="1"/>
  </sheetData>
  <mergeCells count="3">
    <mergeCell ref="D1:I1"/>
    <mergeCell ref="D2:I2"/>
    <mergeCell ref="D3:I3"/>
  </mergeCells>
  <phoneticPr fontId="15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Q19"/>
  <sheetViews>
    <sheetView topLeftCell="H1" zoomScale="85" zoomScaleNormal="85" zoomScalePageLayoutView="85" workbookViewId="0">
      <selection activeCell="N24" sqref="N24"/>
    </sheetView>
  </sheetViews>
  <sheetFormatPr defaultColWidth="8.85546875" defaultRowHeight="18.75"/>
  <cols>
    <col min="1" max="1" width="4.42578125" style="4" customWidth="1"/>
    <col min="2" max="2" width="4.7109375" style="4" customWidth="1"/>
    <col min="3" max="5" width="8.85546875" style="4"/>
    <col min="6" max="6" width="9.85546875" style="4" customWidth="1"/>
    <col min="7" max="7" width="7.42578125" style="4" customWidth="1"/>
    <col min="8" max="8" width="21.42578125" style="4" customWidth="1"/>
    <col min="9" max="9" width="17.7109375" style="4" customWidth="1"/>
    <col min="10" max="10" width="17.42578125" style="4" customWidth="1"/>
    <col min="11" max="11" width="20.7109375" style="4" customWidth="1"/>
    <col min="12" max="12" width="18.42578125" style="4" customWidth="1"/>
    <col min="13" max="13" width="16.85546875" style="4" bestFit="1" customWidth="1"/>
    <col min="14" max="14" width="18.28515625" style="4" customWidth="1"/>
    <col min="15" max="15" width="15.28515625" style="4" customWidth="1"/>
    <col min="16" max="16" width="15.42578125" style="4" bestFit="1" customWidth="1"/>
    <col min="17" max="16384" width="8.85546875" style="4"/>
  </cols>
  <sheetData>
    <row r="1" spans="3:17">
      <c r="D1" s="109" t="s">
        <v>42</v>
      </c>
      <c r="E1" s="109"/>
      <c r="F1" s="109"/>
      <c r="G1" s="109"/>
      <c r="H1" s="109"/>
      <c r="I1" s="109"/>
      <c r="J1" s="109"/>
      <c r="K1" s="107"/>
    </row>
    <row r="2" spans="3:17">
      <c r="D2" s="109" t="s">
        <v>1</v>
      </c>
      <c r="E2" s="109"/>
      <c r="F2" s="109"/>
      <c r="G2" s="109"/>
      <c r="H2" s="109"/>
      <c r="I2" s="109"/>
      <c r="J2" s="109"/>
      <c r="K2" s="107"/>
    </row>
    <row r="3" spans="3:17">
      <c r="D3" s="109" t="s">
        <v>2</v>
      </c>
      <c r="E3" s="109"/>
      <c r="F3" s="109"/>
      <c r="G3" s="109"/>
      <c r="H3" s="109"/>
      <c r="I3" s="109"/>
      <c r="J3" s="109"/>
      <c r="K3" s="107"/>
    </row>
    <row r="5" spans="3:17">
      <c r="H5" s="3"/>
      <c r="I5" s="3"/>
      <c r="J5" s="3"/>
      <c r="K5" s="3"/>
      <c r="L5" s="3"/>
    </row>
    <row r="6" spans="3:17" ht="37.5">
      <c r="H6" s="7" t="s">
        <v>43</v>
      </c>
      <c r="I6" s="7" t="s">
        <v>44</v>
      </c>
      <c r="J6" s="7" t="s">
        <v>45</v>
      </c>
      <c r="K6" s="7" t="s">
        <v>46</v>
      </c>
      <c r="L6" s="7" t="s">
        <v>47</v>
      </c>
      <c r="M6" s="7" t="s">
        <v>7</v>
      </c>
    </row>
    <row r="7" spans="3:17">
      <c r="H7" s="3"/>
      <c r="I7" s="3"/>
      <c r="J7" s="3"/>
      <c r="K7" s="3"/>
      <c r="L7" s="3"/>
      <c r="N7" s="4" t="s">
        <v>48</v>
      </c>
    </row>
    <row r="8" spans="3:17">
      <c r="C8" s="4" t="s">
        <v>11</v>
      </c>
      <c r="H8" s="41">
        <v>2210258</v>
      </c>
      <c r="I8" s="41">
        <v>3123</v>
      </c>
      <c r="J8" s="41">
        <v>0</v>
      </c>
      <c r="K8" s="41">
        <v>0</v>
      </c>
      <c r="L8" s="41">
        <f t="shared" ref="L8:L14" si="0">SUM(H8:K8)</f>
        <v>2213381</v>
      </c>
      <c r="M8" s="41">
        <f>SUM(L8)</f>
        <v>2213381</v>
      </c>
      <c r="N8" s="41">
        <f>SUM(H8:K8)</f>
        <v>2213381</v>
      </c>
      <c r="O8" s="4" t="s">
        <v>49</v>
      </c>
    </row>
    <row r="9" spans="3:17">
      <c r="C9" s="4" t="s">
        <v>27</v>
      </c>
      <c r="H9" s="41">
        <v>11414215</v>
      </c>
      <c r="I9" s="41">
        <v>723095</v>
      </c>
      <c r="J9" s="41">
        <v>0</v>
      </c>
      <c r="K9" s="41">
        <v>11579849</v>
      </c>
      <c r="L9" s="41">
        <f t="shared" si="0"/>
        <v>23717159</v>
      </c>
      <c r="M9" s="41">
        <f>L9</f>
        <v>23717159</v>
      </c>
      <c r="N9" s="41">
        <f>M9-O9</f>
        <v>16396346.364302615</v>
      </c>
      <c r="O9" s="66">
        <f>(M9/P9)*M17</f>
        <v>7320812.6356973853</v>
      </c>
      <c r="P9" s="41">
        <f>SUM(M9:M13)</f>
        <v>59351210</v>
      </c>
      <c r="Q9" s="4" t="s">
        <v>50</v>
      </c>
    </row>
    <row r="10" spans="3:17">
      <c r="C10" s="4" t="s">
        <v>28</v>
      </c>
      <c r="H10" s="41">
        <v>9600524</v>
      </c>
      <c r="I10" s="41">
        <v>112916</v>
      </c>
      <c r="J10" s="41">
        <v>133</v>
      </c>
      <c r="K10" s="41">
        <v>1971576</v>
      </c>
      <c r="L10" s="41">
        <f>+H10+I10-J10+K10</f>
        <v>11684883</v>
      </c>
      <c r="M10" s="41">
        <f>L10</f>
        <v>11684883</v>
      </c>
      <c r="N10" s="41">
        <f t="shared" ref="N10:N13" si="1">M10-O10</f>
        <v>8078091.8530061478</v>
      </c>
      <c r="O10" s="66">
        <f>(M10/P9)*M17</f>
        <v>3606791.1469938522</v>
      </c>
    </row>
    <row r="11" spans="3:17">
      <c r="C11" s="4" t="s">
        <v>51</v>
      </c>
      <c r="H11" s="41">
        <v>14256123</v>
      </c>
      <c r="I11" s="41">
        <v>930212</v>
      </c>
      <c r="J11" s="41">
        <v>0</v>
      </c>
      <c r="K11" s="41">
        <v>923067</v>
      </c>
      <c r="L11" s="41">
        <f t="shared" si="0"/>
        <v>16109402</v>
      </c>
      <c r="M11" s="41">
        <f>L11</f>
        <v>16109402</v>
      </c>
      <c r="N11" s="41">
        <f t="shared" si="1"/>
        <v>11136887.639611021</v>
      </c>
      <c r="O11" s="66">
        <f>(M11/P9)*M17</f>
        <v>4972514.3603889793</v>
      </c>
    </row>
    <row r="12" spans="3:17">
      <c r="C12" s="4" t="s">
        <v>52</v>
      </c>
      <c r="H12" s="41">
        <v>588844</v>
      </c>
      <c r="I12" s="41">
        <v>0</v>
      </c>
      <c r="J12" s="41">
        <v>0</v>
      </c>
      <c r="K12" s="41">
        <v>0</v>
      </c>
      <c r="L12" s="41">
        <f t="shared" si="0"/>
        <v>588844</v>
      </c>
      <c r="M12" s="41">
        <f>L12</f>
        <v>588844</v>
      </c>
      <c r="N12" s="41">
        <f t="shared" si="1"/>
        <v>407084.59974238102</v>
      </c>
      <c r="O12" s="66">
        <f>(M12/P9)*M17</f>
        <v>181759.40025761901</v>
      </c>
    </row>
    <row r="13" spans="3:17">
      <c r="C13" s="4" t="s">
        <v>53</v>
      </c>
      <c r="H13" s="41">
        <v>6669216</v>
      </c>
      <c r="I13" s="41">
        <v>576282</v>
      </c>
      <c r="J13" s="41">
        <v>129654</v>
      </c>
      <c r="K13" s="41">
        <v>135078</v>
      </c>
      <c r="L13" s="41">
        <f>+H13+I13-J13+K13</f>
        <v>7250922</v>
      </c>
      <c r="M13" s="41">
        <f>L13</f>
        <v>7250922</v>
      </c>
      <c r="N13" s="41">
        <f t="shared" si="1"/>
        <v>5012768.5433378359</v>
      </c>
      <c r="O13" s="66">
        <f>(M13/P9)*M17</f>
        <v>2238153.4566621641</v>
      </c>
    </row>
    <row r="14" spans="3:17">
      <c r="C14" s="4" t="s">
        <v>12</v>
      </c>
      <c r="H14" s="45">
        <v>12616148</v>
      </c>
      <c r="I14" s="45">
        <v>2481993</v>
      </c>
      <c r="J14" s="45">
        <v>0</v>
      </c>
      <c r="K14" s="45">
        <v>-14609570</v>
      </c>
      <c r="L14" s="45">
        <f t="shared" si="0"/>
        <v>488571</v>
      </c>
      <c r="M14" s="41">
        <f t="shared" ref="M14" si="2">SUM(L14)</f>
        <v>488571</v>
      </c>
      <c r="N14" s="41">
        <f>SUM(H14:K14)</f>
        <v>488571</v>
      </c>
      <c r="O14" s="66"/>
    </row>
    <row r="15" spans="3:17">
      <c r="H15" s="44">
        <f>SUM(H8:H14)</f>
        <v>57355328</v>
      </c>
      <c r="I15" s="44">
        <f t="shared" ref="I15:L15" si="3">SUM(I8:I14)</f>
        <v>4827621</v>
      </c>
      <c r="J15" s="44">
        <f t="shared" si="3"/>
        <v>129787</v>
      </c>
      <c r="K15" s="44">
        <f>SUM(K8:K14)</f>
        <v>0</v>
      </c>
      <c r="L15" s="44">
        <f t="shared" si="3"/>
        <v>62053162</v>
      </c>
      <c r="O15" s="66">
        <f>SUM(O9:O13)</f>
        <v>18320031</v>
      </c>
    </row>
    <row r="16" spans="3:17">
      <c r="H16" s="41"/>
      <c r="I16" s="41"/>
      <c r="J16" s="41"/>
      <c r="K16" s="41"/>
      <c r="L16" s="41"/>
    </row>
    <row r="17" spans="3:14">
      <c r="C17" s="4" t="s">
        <v>54</v>
      </c>
      <c r="H17" s="45">
        <v>16038335</v>
      </c>
      <c r="I17" s="45">
        <v>2334670</v>
      </c>
      <c r="J17" s="45">
        <v>52974</v>
      </c>
      <c r="K17" s="45">
        <v>0</v>
      </c>
      <c r="L17" s="45">
        <f>+H17+I17-J17</f>
        <v>18320031</v>
      </c>
      <c r="M17" s="41">
        <f>SUM(L17)</f>
        <v>18320031</v>
      </c>
    </row>
    <row r="18" spans="3:14">
      <c r="H18" s="41"/>
      <c r="I18" s="41"/>
      <c r="J18" s="41"/>
      <c r="K18" s="41"/>
      <c r="L18" s="41"/>
    </row>
    <row r="19" spans="3:14" ht="19.5" thickBot="1">
      <c r="C19" s="4" t="s">
        <v>55</v>
      </c>
      <c r="H19" s="49">
        <f>H15-H17</f>
        <v>41316993</v>
      </c>
      <c r="I19" s="49">
        <f>I15-J17</f>
        <v>4774647</v>
      </c>
      <c r="J19" s="49">
        <f>J15-J17</f>
        <v>76813</v>
      </c>
      <c r="K19" s="49">
        <f t="shared" ref="K19" si="4">K15+K17</f>
        <v>0</v>
      </c>
      <c r="L19" s="49">
        <f>L15-L17</f>
        <v>43733131</v>
      </c>
      <c r="M19" s="41">
        <f>SUM(M8:M14)-M17</f>
        <v>43733131</v>
      </c>
      <c r="N19" s="41">
        <f>SUM(N8:N16)</f>
        <v>43733131</v>
      </c>
    </row>
  </sheetData>
  <mergeCells count="3">
    <mergeCell ref="D1:J1"/>
    <mergeCell ref="D2:J2"/>
    <mergeCell ref="D3:J3"/>
  </mergeCells>
  <phoneticPr fontId="15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3"/>
  <sheetViews>
    <sheetView zoomScale="70" zoomScaleNormal="70" workbookViewId="0">
      <selection activeCell="C25" sqref="C25"/>
    </sheetView>
  </sheetViews>
  <sheetFormatPr defaultColWidth="15.85546875" defaultRowHeight="18.75"/>
  <cols>
    <col min="1" max="1" width="7.85546875" style="4" customWidth="1"/>
    <col min="2" max="2" width="15.85546875" style="4"/>
    <col min="3" max="3" width="5.28515625" style="4" customWidth="1"/>
    <col min="4" max="4" width="15.85546875" style="4" customWidth="1"/>
    <col min="5" max="6" width="15.85546875" style="4"/>
    <col min="7" max="7" width="18.42578125" style="41" bestFit="1" customWidth="1"/>
    <col min="8" max="8" width="16.85546875" style="41" bestFit="1" customWidth="1"/>
    <col min="9" max="9" width="16" style="41" bestFit="1" customWidth="1"/>
    <col min="10" max="10" width="18.42578125" style="41" bestFit="1" customWidth="1"/>
    <col min="11" max="16384" width="15.85546875" style="4"/>
  </cols>
  <sheetData>
    <row r="1" spans="1:11">
      <c r="D1" s="109" t="s">
        <v>56</v>
      </c>
      <c r="E1" s="109"/>
      <c r="F1" s="109"/>
      <c r="G1" s="109"/>
    </row>
    <row r="2" spans="1:11">
      <c r="D2" s="109" t="s">
        <v>1</v>
      </c>
      <c r="E2" s="109"/>
      <c r="F2" s="109"/>
      <c r="G2" s="109"/>
    </row>
    <row r="3" spans="1:11">
      <c r="D3" s="109" t="s">
        <v>2</v>
      </c>
      <c r="E3" s="109"/>
      <c r="F3" s="109"/>
      <c r="G3" s="109"/>
    </row>
    <row r="4" spans="1:11">
      <c r="D4" s="107"/>
      <c r="E4" s="107"/>
      <c r="F4" s="107"/>
      <c r="G4" s="42"/>
    </row>
    <row r="5" spans="1:11" ht="37.5">
      <c r="G5" s="108" t="s">
        <v>3</v>
      </c>
      <c r="H5" s="108" t="s">
        <v>4</v>
      </c>
      <c r="I5" s="108" t="s">
        <v>5</v>
      </c>
      <c r="J5" s="108" t="s">
        <v>6</v>
      </c>
      <c r="K5" s="108" t="s">
        <v>7</v>
      </c>
    </row>
    <row r="6" spans="1:11">
      <c r="G6" s="43"/>
      <c r="H6" s="43"/>
      <c r="I6" s="43"/>
      <c r="J6" s="43"/>
    </row>
    <row r="7" spans="1:11">
      <c r="A7" s="3" t="s">
        <v>25</v>
      </c>
      <c r="B7" s="3"/>
      <c r="C7" s="3"/>
      <c r="D7" s="3"/>
      <c r="E7" s="3"/>
      <c r="F7" s="3"/>
    </row>
    <row r="8" spans="1:11">
      <c r="A8" s="3"/>
      <c r="B8" s="3" t="s">
        <v>10</v>
      </c>
      <c r="C8" s="3"/>
      <c r="D8" s="3"/>
      <c r="E8" s="3"/>
      <c r="F8" s="3"/>
    </row>
    <row r="9" spans="1:11">
      <c r="C9" s="4" t="s">
        <v>11</v>
      </c>
      <c r="G9" s="41">
        <v>584787</v>
      </c>
      <c r="J9" s="41">
        <f>SUM(G9:I9)</f>
        <v>584787</v>
      </c>
      <c r="K9" s="41">
        <f>SUM(J9)</f>
        <v>584787</v>
      </c>
    </row>
    <row r="10" spans="1:11">
      <c r="C10" s="4" t="s">
        <v>12</v>
      </c>
      <c r="G10" s="45">
        <v>492818</v>
      </c>
      <c r="H10" s="45">
        <v>590251</v>
      </c>
      <c r="I10" s="45"/>
      <c r="J10" s="45">
        <f>SUM(G10:I10)</f>
        <v>1083069</v>
      </c>
      <c r="K10" s="41">
        <f>SUM(J10)</f>
        <v>1083069</v>
      </c>
    </row>
    <row r="12" spans="1:11">
      <c r="A12" s="3"/>
      <c r="B12" s="3"/>
      <c r="C12" s="3"/>
      <c r="D12" s="3" t="s">
        <v>26</v>
      </c>
      <c r="E12" s="3"/>
      <c r="F12" s="3"/>
      <c r="G12" s="46">
        <f>SUM(G8:G11)</f>
        <v>1077605</v>
      </c>
      <c r="H12" s="46">
        <f>SUM(H8:H11)</f>
        <v>590251</v>
      </c>
      <c r="I12" s="46">
        <f>SUM(I8:I11)</f>
        <v>0</v>
      </c>
      <c r="J12" s="46">
        <f>SUM(J8:J11)</f>
        <v>1667856</v>
      </c>
      <c r="K12" s="3"/>
    </row>
    <row r="14" spans="1:11">
      <c r="A14" s="3" t="s">
        <v>14</v>
      </c>
    </row>
    <row r="15" spans="1:11">
      <c r="B15" s="4" t="s">
        <v>15</v>
      </c>
      <c r="G15" s="41">
        <v>4168006</v>
      </c>
      <c r="H15" s="41">
        <v>9090</v>
      </c>
      <c r="I15" s="41">
        <v>0</v>
      </c>
      <c r="J15" s="41">
        <f>SUM(G15:I15)</f>
        <v>4177096</v>
      </c>
    </row>
    <row r="16" spans="1:11">
      <c r="B16" s="4" t="s">
        <v>57</v>
      </c>
      <c r="G16" s="41">
        <v>567578</v>
      </c>
      <c r="H16" s="41">
        <v>2899</v>
      </c>
      <c r="J16" s="41">
        <f t="shared" ref="J16:J18" si="0">SUM(G16:I16)</f>
        <v>570477</v>
      </c>
    </row>
    <row r="17" spans="1:11">
      <c r="B17" s="4" t="s">
        <v>18</v>
      </c>
      <c r="G17" s="41">
        <v>25000</v>
      </c>
      <c r="H17" s="41">
        <v>50128</v>
      </c>
      <c r="J17" s="41">
        <f t="shared" si="0"/>
        <v>75128</v>
      </c>
    </row>
    <row r="18" spans="1:11">
      <c r="B18" s="4" t="s">
        <v>58</v>
      </c>
      <c r="G18" s="45">
        <v>3177605</v>
      </c>
      <c r="H18" s="45">
        <v>67404</v>
      </c>
      <c r="I18" s="45">
        <v>0</v>
      </c>
      <c r="J18" s="45">
        <f t="shared" si="0"/>
        <v>3245009</v>
      </c>
    </row>
    <row r="20" spans="1:11">
      <c r="A20" s="3"/>
      <c r="B20" s="3"/>
      <c r="C20" s="3"/>
      <c r="D20" s="3" t="s">
        <v>19</v>
      </c>
      <c r="E20" s="3"/>
      <c r="F20" s="3"/>
      <c r="G20" s="46">
        <f>SUM(G15:G19)</f>
        <v>7938189</v>
      </c>
      <c r="H20" s="46">
        <f>SUM(H15:H18)</f>
        <v>129521</v>
      </c>
      <c r="I20" s="46">
        <f>SUM(I15:I19)</f>
        <v>0</v>
      </c>
      <c r="J20" s="46">
        <f>SUM(J15:J18)</f>
        <v>8067710</v>
      </c>
      <c r="K20" s="3"/>
    </row>
    <row r="22" spans="1:11">
      <c r="A22" s="4" t="s">
        <v>20</v>
      </c>
    </row>
    <row r="23" spans="1:11">
      <c r="B23" s="4" t="s">
        <v>15</v>
      </c>
      <c r="G23" s="41">
        <v>1292488</v>
      </c>
      <c r="H23" s="41">
        <v>155643</v>
      </c>
      <c r="I23" s="41">
        <v>0</v>
      </c>
      <c r="J23" s="41">
        <f>SUM(G23:I23)</f>
        <v>1448131</v>
      </c>
      <c r="K23" s="41">
        <f>J15-J23</f>
        <v>2728965</v>
      </c>
    </row>
    <row r="24" spans="1:11">
      <c r="B24" s="4" t="s">
        <v>57</v>
      </c>
      <c r="G24" s="41">
        <v>456935</v>
      </c>
      <c r="H24" s="41">
        <v>33747</v>
      </c>
      <c r="J24" s="41">
        <f t="shared" ref="J24:J26" si="1">SUM(G24:I24)</f>
        <v>490682</v>
      </c>
      <c r="K24" s="41">
        <f>J16-J24</f>
        <v>79795</v>
      </c>
    </row>
    <row r="25" spans="1:11">
      <c r="B25" s="4" t="s">
        <v>18</v>
      </c>
      <c r="H25" s="41">
        <v>31327</v>
      </c>
      <c r="J25" s="41">
        <f t="shared" si="1"/>
        <v>31327</v>
      </c>
      <c r="K25" s="41">
        <f>J17-J25</f>
        <v>43801</v>
      </c>
    </row>
    <row r="26" spans="1:11">
      <c r="B26" s="4" t="s">
        <v>58</v>
      </c>
      <c r="G26" s="45">
        <v>2377326</v>
      </c>
      <c r="H26" s="45">
        <v>155858</v>
      </c>
      <c r="I26" s="45">
        <v>0</v>
      </c>
      <c r="J26" s="45">
        <f t="shared" si="1"/>
        <v>2533184</v>
      </c>
      <c r="K26" s="41">
        <f>J18-J26</f>
        <v>711825</v>
      </c>
    </row>
    <row r="28" spans="1:11">
      <c r="A28" s="3"/>
      <c r="B28" s="3"/>
      <c r="C28" s="3"/>
      <c r="D28" s="3" t="s">
        <v>21</v>
      </c>
      <c r="E28" s="3"/>
      <c r="F28" s="3"/>
      <c r="G28" s="46">
        <f>SUM(G23:G27)</f>
        <v>4126749</v>
      </c>
      <c r="H28" s="46">
        <f>SUM(H23:H27)</f>
        <v>376575</v>
      </c>
      <c r="I28" s="46">
        <f>SUM(I23:I27)</f>
        <v>0</v>
      </c>
      <c r="J28" s="46">
        <f>SUM(J23:J27)</f>
        <v>4503324</v>
      </c>
      <c r="K28" s="3"/>
    </row>
    <row r="30" spans="1:11">
      <c r="A30" s="3"/>
      <c r="B30" s="3" t="s">
        <v>22</v>
      </c>
      <c r="C30" s="3"/>
      <c r="D30" s="3"/>
      <c r="E30" s="3"/>
      <c r="F30" s="3"/>
      <c r="G30" s="46">
        <f>G20-G28</f>
        <v>3811440</v>
      </c>
      <c r="H30" s="46">
        <f>H20-H28</f>
        <v>-247054</v>
      </c>
      <c r="I30" s="46">
        <f>I20-I28</f>
        <v>0</v>
      </c>
      <c r="J30" s="46">
        <f>J20-J28</f>
        <v>3564386</v>
      </c>
      <c r="K30" s="3"/>
    </row>
    <row r="32" spans="1:11" ht="19.5" thickBot="1">
      <c r="B32" s="3" t="s">
        <v>23</v>
      </c>
      <c r="G32" s="48">
        <f>G30+G12</f>
        <v>4889045</v>
      </c>
      <c r="H32" s="48">
        <f>H30+H12</f>
        <v>343197</v>
      </c>
      <c r="I32" s="48">
        <f>I30+I12</f>
        <v>0</v>
      </c>
      <c r="J32" s="48">
        <f>J30+J12</f>
        <v>5232242</v>
      </c>
      <c r="K32" s="41">
        <f>SUM(K23:K26,K9:K10)</f>
        <v>5232242</v>
      </c>
    </row>
    <row r="33" ht="19.5" thickTop="1"/>
  </sheetData>
  <mergeCells count="3">
    <mergeCell ref="D1:G1"/>
    <mergeCell ref="D2:G2"/>
    <mergeCell ref="D3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7"/>
  <sheetViews>
    <sheetView topLeftCell="H1" workbookViewId="0">
      <selection activeCell="I24" sqref="I24"/>
    </sheetView>
  </sheetViews>
  <sheetFormatPr defaultColWidth="8.85546875" defaultRowHeight="18.75"/>
  <cols>
    <col min="1" max="1" width="4.42578125" style="4" customWidth="1"/>
    <col min="2" max="3" width="4.7109375" style="4" customWidth="1"/>
    <col min="4" max="6" width="8.85546875" style="4"/>
    <col min="7" max="7" width="14.28515625" style="4" bestFit="1" customWidth="1"/>
    <col min="8" max="8" width="12.7109375" style="4" bestFit="1" customWidth="1"/>
    <col min="9" max="9" width="20.5703125" style="41" bestFit="1" customWidth="1"/>
    <col min="10" max="10" width="17.5703125" style="41" bestFit="1" customWidth="1"/>
    <col min="11" max="12" width="16.85546875" style="41" customWidth="1"/>
    <col min="13" max="13" width="17.85546875" style="41" customWidth="1"/>
    <col min="14" max="14" width="18.140625" style="4" customWidth="1"/>
    <col min="15" max="16384" width="8.85546875" style="4"/>
  </cols>
  <sheetData>
    <row r="1" spans="1:14">
      <c r="D1" s="109" t="s">
        <v>59</v>
      </c>
      <c r="E1" s="109"/>
      <c r="F1" s="109"/>
      <c r="G1" s="109"/>
      <c r="H1" s="109"/>
      <c r="I1" s="109"/>
    </row>
    <row r="2" spans="1:14">
      <c r="D2" s="109" t="s">
        <v>1</v>
      </c>
      <c r="E2" s="109"/>
      <c r="F2" s="109"/>
      <c r="G2" s="109"/>
      <c r="H2" s="109"/>
      <c r="I2" s="109"/>
    </row>
    <row r="3" spans="1:14">
      <c r="D3" s="109" t="s">
        <v>2</v>
      </c>
      <c r="E3" s="109"/>
      <c r="F3" s="109"/>
      <c r="G3" s="109"/>
      <c r="H3" s="109"/>
      <c r="I3" s="109"/>
    </row>
    <row r="4" spans="1:14">
      <c r="D4" s="107"/>
      <c r="E4" s="107"/>
      <c r="F4" s="107"/>
      <c r="G4" s="107"/>
      <c r="H4" s="107"/>
      <c r="I4" s="42"/>
    </row>
    <row r="5" spans="1:14" ht="37.5">
      <c r="I5" s="53" t="s">
        <v>3</v>
      </c>
      <c r="J5" s="53" t="s">
        <v>60</v>
      </c>
      <c r="K5" s="53" t="s">
        <v>61</v>
      </c>
      <c r="L5" s="53" t="s">
        <v>62</v>
      </c>
      <c r="M5" s="53" t="s">
        <v>6</v>
      </c>
      <c r="N5" s="53" t="s">
        <v>7</v>
      </c>
    </row>
    <row r="6" spans="1:14">
      <c r="I6" s="65"/>
      <c r="J6" s="65"/>
      <c r="K6" s="65"/>
      <c r="L6" s="65"/>
      <c r="M6" s="65"/>
    </row>
    <row r="7" spans="1:14">
      <c r="A7" s="3" t="s">
        <v>8</v>
      </c>
      <c r="B7" s="3"/>
      <c r="C7" s="3"/>
      <c r="D7" s="3"/>
      <c r="E7" s="3"/>
      <c r="F7" s="3"/>
    </row>
    <row r="8" spans="1:14">
      <c r="A8" s="3" t="s">
        <v>9</v>
      </c>
      <c r="B8" s="3"/>
      <c r="C8" s="3"/>
      <c r="D8" s="3"/>
      <c r="E8" s="3"/>
      <c r="F8" s="3"/>
    </row>
    <row r="9" spans="1:14">
      <c r="A9" s="3" t="s">
        <v>10</v>
      </c>
      <c r="B9" s="3"/>
      <c r="C9" s="3"/>
      <c r="D9" s="3"/>
      <c r="E9" s="3"/>
      <c r="F9" s="3"/>
    </row>
    <row r="10" spans="1:14">
      <c r="B10" s="4" t="s">
        <v>11</v>
      </c>
      <c r="I10" s="41">
        <v>786565</v>
      </c>
      <c r="J10" s="41">
        <v>20170</v>
      </c>
      <c r="M10" s="41">
        <f>SUM(I10:L10)</f>
        <v>806735</v>
      </c>
      <c r="N10" s="41">
        <f>SUM(M10)</f>
        <v>806735</v>
      </c>
    </row>
    <row r="11" spans="1:14">
      <c r="B11" s="4" t="s">
        <v>12</v>
      </c>
      <c r="I11" s="41">
        <v>539166</v>
      </c>
      <c r="J11" s="41">
        <v>790379</v>
      </c>
      <c r="L11" s="41">
        <v>-539166</v>
      </c>
      <c r="M11" s="41">
        <f>SUM(I11:L11)</f>
        <v>790379</v>
      </c>
      <c r="N11" s="45">
        <f>SUM(M11)</f>
        <v>790379</v>
      </c>
    </row>
    <row r="12" spans="1:14">
      <c r="A12" s="3"/>
      <c r="B12" s="3"/>
      <c r="C12" s="3" t="s">
        <v>13</v>
      </c>
      <c r="D12" s="3"/>
      <c r="E12" s="3"/>
      <c r="F12" s="3"/>
      <c r="G12" s="3"/>
      <c r="H12" s="3"/>
      <c r="I12" s="57">
        <f>SUM(I10:I11)</f>
        <v>1325731</v>
      </c>
      <c r="J12" s="57">
        <f>SUM(J10:J11)</f>
        <v>810549</v>
      </c>
      <c r="K12" s="57">
        <f>SUM(K10:K11)</f>
        <v>0</v>
      </c>
      <c r="L12" s="57">
        <f>SUM(L10:L11)</f>
        <v>-539166</v>
      </c>
      <c r="M12" s="57">
        <f>SUM(M10:M11)</f>
        <v>1597114</v>
      </c>
      <c r="N12" s="3"/>
    </row>
    <row r="14" spans="1:14">
      <c r="A14" s="3" t="s">
        <v>14</v>
      </c>
    </row>
    <row r="15" spans="1:14">
      <c r="A15" s="3"/>
      <c r="B15" s="4" t="s">
        <v>15</v>
      </c>
      <c r="I15" s="41">
        <v>16309487</v>
      </c>
      <c r="J15" s="41">
        <v>960000</v>
      </c>
      <c r="L15" s="41">
        <v>539166</v>
      </c>
      <c r="M15" s="41">
        <f>SUM(I15:L15)</f>
        <v>17808653</v>
      </c>
    </row>
    <row r="16" spans="1:14">
      <c r="A16" s="3"/>
      <c r="B16" s="4" t="s">
        <v>18</v>
      </c>
      <c r="I16" s="41">
        <v>43048502</v>
      </c>
      <c r="J16" s="41">
        <v>55622</v>
      </c>
      <c r="K16" s="41">
        <v>-4218</v>
      </c>
      <c r="M16" s="41">
        <f>SUM(I16:L16)</f>
        <v>43099906</v>
      </c>
    </row>
    <row r="17" spans="1:14">
      <c r="B17" s="4" t="s">
        <v>63</v>
      </c>
      <c r="I17" s="41">
        <v>11649469</v>
      </c>
      <c r="J17" s="41">
        <v>709008</v>
      </c>
      <c r="K17" s="41">
        <v>-548344</v>
      </c>
      <c r="M17" s="41">
        <f>SUM(I17:L17)</f>
        <v>11810133</v>
      </c>
    </row>
    <row r="18" spans="1:14">
      <c r="C18" s="3" t="s">
        <v>19</v>
      </c>
      <c r="I18" s="57">
        <f>SUM(I15:I17)</f>
        <v>71007458</v>
      </c>
      <c r="J18" s="57">
        <f>SUM(J15:J17)</f>
        <v>1724630</v>
      </c>
      <c r="K18" s="57">
        <f>SUM(K15:K17)</f>
        <v>-552562</v>
      </c>
      <c r="L18" s="57">
        <f>SUM(L15:L17)</f>
        <v>539166</v>
      </c>
      <c r="M18" s="57">
        <f>SUM(M15:M17)</f>
        <v>72718692</v>
      </c>
    </row>
    <row r="19" spans="1:14">
      <c r="C19" s="3"/>
      <c r="I19" s="44"/>
      <c r="J19" s="44"/>
      <c r="K19" s="44"/>
      <c r="L19" s="44"/>
      <c r="M19" s="44"/>
    </row>
    <row r="20" spans="1:14">
      <c r="A20" s="4" t="s">
        <v>20</v>
      </c>
    </row>
    <row r="21" spans="1:14">
      <c r="B21" s="4" t="s">
        <v>15</v>
      </c>
      <c r="I21" s="41">
        <v>-7438986</v>
      </c>
      <c r="J21" s="41">
        <v>-438673</v>
      </c>
      <c r="M21" s="41">
        <f>SUM(I21:L21)</f>
        <v>-7877659</v>
      </c>
      <c r="N21" s="41">
        <f>SUM(M21,M15)</f>
        <v>9930994</v>
      </c>
    </row>
    <row r="22" spans="1:14">
      <c r="B22" s="4" t="s">
        <v>18</v>
      </c>
      <c r="I22" s="41">
        <v>-26036207</v>
      </c>
      <c r="J22" s="41">
        <v>-1078870</v>
      </c>
      <c r="K22" s="41">
        <v>4218</v>
      </c>
      <c r="M22" s="41">
        <f>SUM(I22:L22)</f>
        <v>-27110859</v>
      </c>
      <c r="N22" s="41">
        <f>SUM(M22,M16)</f>
        <v>15989047</v>
      </c>
    </row>
    <row r="23" spans="1:14">
      <c r="B23" s="4" t="s">
        <v>63</v>
      </c>
      <c r="I23" s="41">
        <v>-7538686</v>
      </c>
      <c r="J23" s="41">
        <v>-777266</v>
      </c>
      <c r="K23" s="41">
        <v>495822</v>
      </c>
      <c r="L23" s="41">
        <v>0</v>
      </c>
      <c r="M23" s="41">
        <f>SUM(I23:L23)</f>
        <v>-7820130</v>
      </c>
      <c r="N23" s="45">
        <f>M17+M23</f>
        <v>3990003</v>
      </c>
    </row>
    <row r="24" spans="1:14">
      <c r="A24" s="3"/>
      <c r="B24" s="3"/>
      <c r="C24" s="3" t="s">
        <v>21</v>
      </c>
      <c r="D24" s="3"/>
      <c r="E24" s="3"/>
      <c r="F24" s="3"/>
      <c r="G24" s="3"/>
      <c r="H24" s="3"/>
      <c r="I24" s="50">
        <f>SUM(I21:I23)</f>
        <v>-41013879</v>
      </c>
      <c r="J24" s="50">
        <f>SUM(J21:J23)</f>
        <v>-2294809</v>
      </c>
      <c r="K24" s="50">
        <f>SUM(K21:K23)</f>
        <v>500040</v>
      </c>
      <c r="L24" s="50">
        <f>SUM(L21:L23)</f>
        <v>0</v>
      </c>
      <c r="M24" s="50">
        <f>SUM(M21:M23)</f>
        <v>-42808648</v>
      </c>
      <c r="N24" s="3"/>
    </row>
    <row r="25" spans="1:14">
      <c r="A25" s="3"/>
      <c r="B25" s="3" t="s">
        <v>22</v>
      </c>
      <c r="C25" s="3"/>
      <c r="D25" s="3"/>
      <c r="E25" s="3"/>
      <c r="F25" s="3"/>
      <c r="G25" s="3"/>
      <c r="H25" s="3"/>
      <c r="I25" s="50">
        <f>I24+I18</f>
        <v>29993579</v>
      </c>
      <c r="J25" s="50">
        <f>J24+J18</f>
        <v>-570179</v>
      </c>
      <c r="K25" s="50">
        <f>K24+K18</f>
        <v>-52522</v>
      </c>
      <c r="L25" s="50">
        <f>L24+L18</f>
        <v>539166</v>
      </c>
      <c r="M25" s="50">
        <f>M24+M18</f>
        <v>29910044</v>
      </c>
      <c r="N25" s="3"/>
    </row>
    <row r="26" spans="1:14" ht="19.5" thickBot="1">
      <c r="B26" s="3" t="s">
        <v>23</v>
      </c>
      <c r="I26" s="59">
        <f>I12+I25</f>
        <v>31319310</v>
      </c>
      <c r="J26" s="59">
        <f>J12+J25</f>
        <v>240370</v>
      </c>
      <c r="K26" s="59">
        <f>K12+K25</f>
        <v>-52522</v>
      </c>
      <c r="L26" s="59">
        <f>L12+L25</f>
        <v>0</v>
      </c>
      <c r="M26" s="59">
        <f>M12+M25</f>
        <v>31507158</v>
      </c>
      <c r="N26" s="45">
        <f>SUM(N21:N23,N10:N11)</f>
        <v>31507158</v>
      </c>
    </row>
    <row r="27" spans="1:14">
      <c r="B27" s="3"/>
      <c r="I27" s="44"/>
      <c r="J27" s="44"/>
      <c r="K27" s="44"/>
      <c r="L27" s="44"/>
      <c r="M27" s="44"/>
    </row>
  </sheetData>
  <mergeCells count="3">
    <mergeCell ref="D1:I1"/>
    <mergeCell ref="D2:I2"/>
    <mergeCell ref="D3:I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1"/>
  <sheetViews>
    <sheetView zoomScale="80" zoomScaleNormal="80" workbookViewId="0">
      <selection activeCell="C19" sqref="C19"/>
    </sheetView>
  </sheetViews>
  <sheetFormatPr defaultColWidth="15.85546875" defaultRowHeight="18.75"/>
  <cols>
    <col min="1" max="1" width="7.85546875" style="4" customWidth="1"/>
    <col min="2" max="2" width="6.5703125" style="4" customWidth="1"/>
    <col min="3" max="3" width="5.28515625" style="4" customWidth="1"/>
    <col min="4" max="4" width="15.85546875" style="4" customWidth="1"/>
    <col min="5" max="6" width="15.85546875" style="4"/>
    <col min="7" max="7" width="18.42578125" style="41" bestFit="1" customWidth="1"/>
    <col min="8" max="9" width="16.85546875" style="41" bestFit="1" customWidth="1"/>
    <col min="10" max="10" width="18.42578125" style="41" bestFit="1" customWidth="1"/>
    <col min="11" max="16384" width="15.85546875" style="4"/>
  </cols>
  <sheetData>
    <row r="1" spans="1:11">
      <c r="D1" s="109" t="s">
        <v>64</v>
      </c>
      <c r="E1" s="109"/>
      <c r="F1" s="109"/>
      <c r="G1" s="109"/>
    </row>
    <row r="2" spans="1:11">
      <c r="D2" s="109" t="s">
        <v>1</v>
      </c>
      <c r="E2" s="109"/>
      <c r="F2" s="109"/>
      <c r="G2" s="109"/>
    </row>
    <row r="3" spans="1:11">
      <c r="D3" s="109" t="s">
        <v>2</v>
      </c>
      <c r="E3" s="109"/>
      <c r="F3" s="109"/>
      <c r="G3" s="109"/>
    </row>
    <row r="4" spans="1:11">
      <c r="D4" s="107"/>
      <c r="E4" s="107"/>
      <c r="F4" s="107"/>
      <c r="G4" s="42"/>
    </row>
    <row r="5" spans="1:11" ht="37.5">
      <c r="G5" s="108" t="s">
        <v>3</v>
      </c>
      <c r="H5" s="108" t="s">
        <v>4</v>
      </c>
      <c r="I5" s="108" t="s">
        <v>5</v>
      </c>
      <c r="J5" s="108" t="s">
        <v>6</v>
      </c>
      <c r="K5" s="108" t="s">
        <v>7</v>
      </c>
    </row>
    <row r="6" spans="1:11">
      <c r="G6" s="43"/>
      <c r="H6" s="43"/>
      <c r="I6" s="43"/>
      <c r="J6" s="43"/>
    </row>
    <row r="7" spans="1:11">
      <c r="A7" s="3" t="s">
        <v>25</v>
      </c>
      <c r="B7" s="3"/>
      <c r="C7" s="3"/>
      <c r="D7" s="3"/>
      <c r="E7" s="3"/>
      <c r="F7" s="3"/>
    </row>
    <row r="8" spans="1:11">
      <c r="A8" s="3"/>
      <c r="B8" s="3" t="s">
        <v>10</v>
      </c>
      <c r="C8" s="3"/>
      <c r="D8" s="3"/>
      <c r="E8" s="3"/>
      <c r="F8" s="3"/>
    </row>
    <row r="9" spans="1:11">
      <c r="C9" s="4" t="s">
        <v>11</v>
      </c>
      <c r="G9" s="41">
        <v>660250</v>
      </c>
      <c r="J9" s="41">
        <f>SUM(G9:I9)</f>
        <v>660250</v>
      </c>
      <c r="K9" s="41">
        <f>SUM(J9)</f>
        <v>660250</v>
      </c>
    </row>
    <row r="10" spans="1:11">
      <c r="C10" s="4" t="s">
        <v>12</v>
      </c>
      <c r="G10" s="45">
        <v>10196359</v>
      </c>
      <c r="H10" s="45">
        <v>1837952</v>
      </c>
      <c r="I10" s="45">
        <v>-12034311</v>
      </c>
      <c r="J10" s="45">
        <f>SUM(G10:I10)</f>
        <v>0</v>
      </c>
      <c r="K10" s="41">
        <f>SUM(J10)</f>
        <v>0</v>
      </c>
    </row>
    <row r="12" spans="1:11">
      <c r="A12" s="3"/>
      <c r="B12" s="3"/>
      <c r="C12" s="3"/>
      <c r="D12" s="3" t="s">
        <v>26</v>
      </c>
      <c r="E12" s="3"/>
      <c r="F12" s="3"/>
      <c r="G12" s="46">
        <f>SUM(G8:G11)</f>
        <v>10856609</v>
      </c>
      <c r="H12" s="46">
        <f>SUM(H8:H11)</f>
        <v>1837952</v>
      </c>
      <c r="I12" s="46">
        <f>SUM(I8:I11)</f>
        <v>-12034311</v>
      </c>
      <c r="J12" s="46">
        <f>SUM(J8:J11)</f>
        <v>660250</v>
      </c>
      <c r="K12" s="3"/>
    </row>
    <row r="14" spans="1:11">
      <c r="A14" s="3" t="s">
        <v>14</v>
      </c>
    </row>
    <row r="15" spans="1:11">
      <c r="A15" s="3"/>
      <c r="B15" s="4" t="s">
        <v>65</v>
      </c>
    </row>
    <row r="16" spans="1:11">
      <c r="A16" s="3"/>
      <c r="C16" s="4" t="s">
        <v>51</v>
      </c>
      <c r="G16" s="41">
        <v>19856904</v>
      </c>
      <c r="H16" s="41">
        <v>1167236</v>
      </c>
      <c r="J16" s="41">
        <f t="shared" ref="J16:J17" si="0">SUM(G16:I16)</f>
        <v>21024140</v>
      </c>
    </row>
    <row r="17" spans="1:11">
      <c r="A17" s="3"/>
      <c r="C17" s="4" t="s">
        <v>52</v>
      </c>
      <c r="G17" s="41">
        <v>1973698</v>
      </c>
      <c r="H17" s="41">
        <v>564000</v>
      </c>
      <c r="J17" s="41">
        <f t="shared" si="0"/>
        <v>2537698</v>
      </c>
    </row>
    <row r="18" spans="1:11">
      <c r="B18" s="4" t="s">
        <v>15</v>
      </c>
      <c r="G18" s="41">
        <v>4817522</v>
      </c>
      <c r="H18" s="41">
        <v>12034311</v>
      </c>
      <c r="I18" s="41">
        <v>0</v>
      </c>
      <c r="J18" s="41">
        <f>SUM(G18:I18)</f>
        <v>16851833</v>
      </c>
    </row>
    <row r="19" spans="1:11">
      <c r="B19" s="4" t="s">
        <v>66</v>
      </c>
      <c r="G19" s="41">
        <v>22519</v>
      </c>
      <c r="H19" s="41">
        <v>519145</v>
      </c>
      <c r="J19" s="41">
        <f t="shared" ref="J19:J22" si="1">SUM(G19:I19)</f>
        <v>541664</v>
      </c>
    </row>
    <row r="20" spans="1:11">
      <c r="B20" s="4" t="s">
        <v>58</v>
      </c>
      <c r="G20" s="41">
        <v>1545021</v>
      </c>
      <c r="H20" s="41">
        <v>45541</v>
      </c>
      <c r="I20" s="41">
        <v>-12566</v>
      </c>
      <c r="J20" s="41">
        <f t="shared" si="1"/>
        <v>1577996</v>
      </c>
    </row>
    <row r="21" spans="1:11">
      <c r="B21" s="4" t="s">
        <v>30</v>
      </c>
      <c r="G21" s="41">
        <v>1219091</v>
      </c>
      <c r="H21" s="41">
        <v>314967</v>
      </c>
      <c r="I21" s="41">
        <v>-139288</v>
      </c>
      <c r="J21" s="41">
        <f t="shared" si="1"/>
        <v>1394770</v>
      </c>
    </row>
    <row r="22" spans="1:11">
      <c r="B22" s="4" t="s">
        <v>67</v>
      </c>
      <c r="G22" s="45">
        <v>523698</v>
      </c>
      <c r="H22" s="45"/>
      <c r="I22" s="45">
        <v>-8960</v>
      </c>
      <c r="J22" s="45">
        <f t="shared" si="1"/>
        <v>514738</v>
      </c>
    </row>
    <row r="24" spans="1:11">
      <c r="A24" s="3"/>
      <c r="B24" s="3"/>
      <c r="C24" s="3"/>
      <c r="D24" s="3" t="s">
        <v>19</v>
      </c>
      <c r="E24" s="3"/>
      <c r="F24" s="3"/>
      <c r="G24" s="46">
        <f>SUM(G16:G22)</f>
        <v>29958453</v>
      </c>
      <c r="H24" s="46">
        <f t="shared" ref="H24:J24" si="2">SUM(H16:H22)</f>
        <v>14645200</v>
      </c>
      <c r="I24" s="46">
        <f t="shared" si="2"/>
        <v>-160814</v>
      </c>
      <c r="J24" s="46">
        <f t="shared" si="2"/>
        <v>44442839</v>
      </c>
      <c r="K24" s="3"/>
    </row>
    <row r="26" spans="1:11">
      <c r="A26" s="4" t="s">
        <v>20</v>
      </c>
    </row>
    <row r="27" spans="1:11">
      <c r="B27" s="4" t="s">
        <v>65</v>
      </c>
    </row>
    <row r="28" spans="1:11">
      <c r="C28" s="4" t="s">
        <v>51</v>
      </c>
      <c r="G28" s="41">
        <v>-14811392</v>
      </c>
      <c r="H28" s="41">
        <v>-874354</v>
      </c>
      <c r="J28" s="41">
        <f t="shared" ref="J28:J29" si="3">SUM(G28:I28)</f>
        <v>-15685746</v>
      </c>
      <c r="K28" s="41">
        <f>J16+J28</f>
        <v>5338394</v>
      </c>
    </row>
    <row r="29" spans="1:11">
      <c r="C29" s="4" t="s">
        <v>52</v>
      </c>
      <c r="G29" s="41">
        <v>-1279334</v>
      </c>
      <c r="H29" s="41">
        <v>-39480</v>
      </c>
      <c r="J29" s="41">
        <f t="shared" si="3"/>
        <v>-1318814</v>
      </c>
      <c r="K29" s="41">
        <f t="shared" ref="K29:K34" si="4">J17+J29</f>
        <v>1218884</v>
      </c>
    </row>
    <row r="30" spans="1:11">
      <c r="B30" s="4" t="s">
        <v>15</v>
      </c>
      <c r="G30" s="41">
        <v>-2565179</v>
      </c>
      <c r="H30" s="41">
        <v>-365514</v>
      </c>
      <c r="I30" s="41">
        <v>0</v>
      </c>
      <c r="J30" s="41">
        <f>SUM(G30:I30)</f>
        <v>-2930693</v>
      </c>
      <c r="K30" s="41">
        <f t="shared" si="4"/>
        <v>13921140</v>
      </c>
    </row>
    <row r="31" spans="1:11">
      <c r="B31" s="4" t="s">
        <v>66</v>
      </c>
      <c r="G31" s="41">
        <v>-22189</v>
      </c>
      <c r="H31" s="41">
        <v>-104159</v>
      </c>
      <c r="J31" s="41">
        <f t="shared" ref="J31:J34" si="5">SUM(G31:I31)</f>
        <v>-126348</v>
      </c>
      <c r="K31" s="41">
        <f t="shared" si="4"/>
        <v>415316</v>
      </c>
    </row>
    <row r="32" spans="1:11">
      <c r="B32" s="4" t="s">
        <v>58</v>
      </c>
      <c r="G32" s="41">
        <v>-1091356</v>
      </c>
      <c r="H32" s="41">
        <v>-71214</v>
      </c>
      <c r="I32" s="41">
        <v>12566</v>
      </c>
      <c r="J32" s="41">
        <f t="shared" si="5"/>
        <v>-1150004</v>
      </c>
      <c r="K32" s="41">
        <f t="shared" si="4"/>
        <v>427992</v>
      </c>
    </row>
    <row r="33" spans="1:11">
      <c r="B33" s="4" t="s">
        <v>30</v>
      </c>
      <c r="G33" s="41">
        <v>-749219</v>
      </c>
      <c r="H33" s="41">
        <v>-99765</v>
      </c>
      <c r="I33" s="41">
        <v>139058</v>
      </c>
      <c r="J33" s="41">
        <f t="shared" si="5"/>
        <v>-709926</v>
      </c>
      <c r="K33" s="41">
        <f t="shared" si="4"/>
        <v>684844</v>
      </c>
    </row>
    <row r="34" spans="1:11">
      <c r="B34" s="4" t="s">
        <v>67</v>
      </c>
      <c r="G34" s="45">
        <v>-352897</v>
      </c>
      <c r="H34" s="45">
        <v>-23155</v>
      </c>
      <c r="I34" s="45">
        <v>8670</v>
      </c>
      <c r="J34" s="45">
        <f t="shared" si="5"/>
        <v>-367382</v>
      </c>
      <c r="K34" s="41">
        <f t="shared" si="4"/>
        <v>147356</v>
      </c>
    </row>
    <row r="36" spans="1:11">
      <c r="A36" s="3"/>
      <c r="B36" s="3"/>
      <c r="C36" s="3"/>
      <c r="D36" s="3" t="s">
        <v>21</v>
      </c>
      <c r="E36" s="3"/>
      <c r="F36" s="3"/>
      <c r="G36" s="46">
        <f>SUM(G28:G34)</f>
        <v>-20871566</v>
      </c>
      <c r="H36" s="46">
        <f t="shared" ref="H36:J36" si="6">SUM(H28:H34)</f>
        <v>-1577641</v>
      </c>
      <c r="I36" s="46">
        <f t="shared" si="6"/>
        <v>160294</v>
      </c>
      <c r="J36" s="46">
        <f t="shared" si="6"/>
        <v>-22288913</v>
      </c>
      <c r="K36" s="3"/>
    </row>
    <row r="38" spans="1:11">
      <c r="A38" s="3"/>
      <c r="B38" s="3" t="s">
        <v>22</v>
      </c>
      <c r="C38" s="3"/>
      <c r="D38" s="3"/>
      <c r="E38" s="3"/>
      <c r="F38" s="3"/>
      <c r="G38" s="46">
        <f>G36+G24</f>
        <v>9086887</v>
      </c>
      <c r="H38" s="46">
        <f t="shared" ref="H38:J38" si="7">H36+H24</f>
        <v>13067559</v>
      </c>
      <c r="I38" s="46">
        <f t="shared" si="7"/>
        <v>-520</v>
      </c>
      <c r="J38" s="46">
        <f t="shared" si="7"/>
        <v>22153926</v>
      </c>
      <c r="K38" s="3"/>
    </row>
    <row r="40" spans="1:11" ht="19.5" thickBot="1">
      <c r="B40" s="3" t="s">
        <v>23</v>
      </c>
      <c r="G40" s="48">
        <f>G38+G12</f>
        <v>19943496</v>
      </c>
      <c r="H40" s="48">
        <f>H38+H12</f>
        <v>14905511</v>
      </c>
      <c r="I40" s="48">
        <f>I38+I12</f>
        <v>-12034831</v>
      </c>
      <c r="J40" s="48">
        <f>J38+J12</f>
        <v>22814176</v>
      </c>
      <c r="K40" s="41">
        <f>SUM(K9:K34)</f>
        <v>22814176</v>
      </c>
    </row>
    <row r="41" spans="1:11" ht="19.5" thickTop="1"/>
  </sheetData>
  <mergeCells count="3">
    <mergeCell ref="D1:G1"/>
    <mergeCell ref="D2:G2"/>
    <mergeCell ref="D3:G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0"/>
  <sheetViews>
    <sheetView zoomScale="70" zoomScaleNormal="70" workbookViewId="0">
      <selection activeCell="G10" sqref="G10"/>
    </sheetView>
  </sheetViews>
  <sheetFormatPr defaultColWidth="8.85546875" defaultRowHeight="18.75"/>
  <cols>
    <col min="1" max="1" width="4.42578125" style="4" customWidth="1"/>
    <col min="2" max="3" width="4.7109375" style="4" customWidth="1"/>
    <col min="4" max="6" width="8.85546875" style="4"/>
    <col min="7" max="7" width="14.28515625" style="4" bestFit="1" customWidth="1"/>
    <col min="8" max="8" width="12.7109375" style="4" bestFit="1" customWidth="1"/>
    <col min="9" max="9" width="20.5703125" style="41" bestFit="1" customWidth="1"/>
    <col min="10" max="10" width="17.5703125" style="41" bestFit="1" customWidth="1"/>
    <col min="11" max="12" width="16.85546875" style="41" customWidth="1"/>
    <col min="13" max="13" width="20.85546875" style="41" customWidth="1"/>
    <col min="14" max="14" width="18.140625" style="4" customWidth="1"/>
    <col min="15" max="16384" width="8.85546875" style="4"/>
  </cols>
  <sheetData>
    <row r="1" spans="1:14">
      <c r="D1" s="109" t="s">
        <v>68</v>
      </c>
      <c r="E1" s="109"/>
      <c r="F1" s="109"/>
      <c r="G1" s="109"/>
      <c r="H1" s="109"/>
      <c r="I1" s="109"/>
    </row>
    <row r="2" spans="1:14">
      <c r="D2" s="109" t="s">
        <v>1</v>
      </c>
      <c r="E2" s="109"/>
      <c r="F2" s="109"/>
      <c r="G2" s="109"/>
      <c r="H2" s="109"/>
      <c r="I2" s="109"/>
    </row>
    <row r="3" spans="1:14">
      <c r="D3" s="109" t="s">
        <v>2</v>
      </c>
      <c r="E3" s="109"/>
      <c r="F3" s="109"/>
      <c r="G3" s="109"/>
      <c r="H3" s="109"/>
      <c r="I3" s="109"/>
    </row>
    <row r="4" spans="1:14" ht="14.25" customHeight="1">
      <c r="D4" s="107"/>
      <c r="E4" s="107"/>
      <c r="F4" s="107"/>
      <c r="G4" s="107"/>
      <c r="H4" s="107"/>
      <c r="I4" s="42"/>
    </row>
    <row r="5" spans="1:14" ht="60.75" customHeight="1">
      <c r="I5" s="53" t="s">
        <v>3</v>
      </c>
      <c r="J5" s="53" t="s">
        <v>62</v>
      </c>
      <c r="K5" s="53" t="s">
        <v>60</v>
      </c>
      <c r="L5" s="53" t="s">
        <v>61</v>
      </c>
      <c r="M5" s="53" t="s">
        <v>6</v>
      </c>
      <c r="N5" s="53" t="s">
        <v>7</v>
      </c>
    </row>
    <row r="6" spans="1:14">
      <c r="I6" s="65"/>
      <c r="J6" s="65"/>
      <c r="K6" s="65"/>
      <c r="L6" s="65"/>
      <c r="M6" s="65"/>
    </row>
    <row r="7" spans="1:14">
      <c r="A7" s="3" t="s">
        <v>8</v>
      </c>
      <c r="B7" s="3"/>
      <c r="C7" s="3"/>
      <c r="D7" s="3"/>
      <c r="E7" s="3"/>
      <c r="F7" s="3"/>
    </row>
    <row r="8" spans="1:14">
      <c r="A8" s="3" t="s">
        <v>9</v>
      </c>
      <c r="B8" s="3"/>
      <c r="C8" s="3"/>
      <c r="D8" s="3"/>
      <c r="E8" s="3"/>
      <c r="F8" s="3"/>
    </row>
    <row r="9" spans="1:14">
      <c r="A9" s="3" t="s">
        <v>10</v>
      </c>
      <c r="B9" s="3"/>
      <c r="C9" s="3"/>
      <c r="D9" s="3"/>
      <c r="E9" s="3"/>
      <c r="F9" s="3"/>
    </row>
    <row r="10" spans="1:14">
      <c r="B10" s="4" t="s">
        <v>11</v>
      </c>
      <c r="I10" s="41">
        <v>11633324</v>
      </c>
      <c r="J10" s="41">
        <v>0</v>
      </c>
      <c r="K10" s="41">
        <v>573760</v>
      </c>
      <c r="M10" s="41">
        <f>SUM(I10:L10)</f>
        <v>12207084</v>
      </c>
      <c r="N10" s="41">
        <f>SUM(M10)</f>
        <v>12207084</v>
      </c>
    </row>
    <row r="11" spans="1:14">
      <c r="B11" s="4" t="s">
        <v>12</v>
      </c>
      <c r="I11" s="41">
        <v>11307751</v>
      </c>
      <c r="J11" s="41">
        <v>-7862502</v>
      </c>
      <c r="K11" s="41">
        <v>2597030</v>
      </c>
      <c r="M11" s="41">
        <f>SUM(I11:L11)</f>
        <v>6042279</v>
      </c>
      <c r="N11" s="41">
        <f>SUM(M11)</f>
        <v>6042279</v>
      </c>
    </row>
    <row r="12" spans="1:14">
      <c r="A12" s="3"/>
      <c r="B12" s="3"/>
      <c r="C12" s="3" t="s">
        <v>13</v>
      </c>
      <c r="D12" s="3"/>
      <c r="E12" s="3"/>
      <c r="F12" s="3"/>
      <c r="G12" s="3"/>
      <c r="H12" s="3"/>
      <c r="I12" s="57">
        <f>SUM(I10:I11)</f>
        <v>22941075</v>
      </c>
      <c r="J12" s="57">
        <f t="shared" ref="J12:M12" si="0">SUM(J10:J11)</f>
        <v>-7862502</v>
      </c>
      <c r="K12" s="57">
        <f t="shared" si="0"/>
        <v>3170790</v>
      </c>
      <c r="L12" s="57">
        <f t="shared" si="0"/>
        <v>0</v>
      </c>
      <c r="M12" s="57">
        <f t="shared" si="0"/>
        <v>18249363</v>
      </c>
      <c r="N12" s="3"/>
    </row>
    <row r="14" spans="1:14">
      <c r="A14" s="3" t="s">
        <v>14</v>
      </c>
    </row>
    <row r="15" spans="1:14">
      <c r="A15" s="3"/>
      <c r="B15" s="4" t="s">
        <v>15</v>
      </c>
      <c r="I15" s="41">
        <v>107381194</v>
      </c>
      <c r="J15" s="41">
        <v>262706</v>
      </c>
      <c r="K15" s="41">
        <v>416159</v>
      </c>
      <c r="M15" s="41">
        <f>SUM(I15:L15)</f>
        <v>108060059</v>
      </c>
    </row>
    <row r="16" spans="1:14">
      <c r="A16" s="3"/>
      <c r="B16" s="4" t="s">
        <v>18</v>
      </c>
      <c r="I16" s="41">
        <v>201825504</v>
      </c>
      <c r="J16" s="41">
        <v>7599796</v>
      </c>
      <c r="K16" s="41">
        <v>10826090</v>
      </c>
      <c r="M16" s="41">
        <f>SUM(I16:L16)</f>
        <v>220251390</v>
      </c>
    </row>
    <row r="17" spans="1:14">
      <c r="A17" s="3"/>
      <c r="B17" s="4" t="s">
        <v>69</v>
      </c>
      <c r="I17" s="41">
        <v>10240517</v>
      </c>
      <c r="K17" s="41">
        <v>613900</v>
      </c>
      <c r="L17" s="41">
        <v>-278841</v>
      </c>
      <c r="M17" s="41">
        <f>SUM(I17:L17)</f>
        <v>10575576</v>
      </c>
    </row>
    <row r="18" spans="1:14">
      <c r="B18" s="4" t="s">
        <v>70</v>
      </c>
      <c r="I18" s="41">
        <v>4156868</v>
      </c>
      <c r="K18" s="41">
        <v>474808</v>
      </c>
      <c r="M18" s="41">
        <f>SUM(I18:L18)</f>
        <v>4631676</v>
      </c>
    </row>
    <row r="19" spans="1:14">
      <c r="C19" s="3" t="s">
        <v>19</v>
      </c>
      <c r="I19" s="58">
        <f>SUM(I15:I18)</f>
        <v>323604083</v>
      </c>
      <c r="J19" s="58">
        <f>SUM(J15:J18)</f>
        <v>7862502</v>
      </c>
      <c r="K19" s="58">
        <f>SUM(K15:K18)</f>
        <v>12330957</v>
      </c>
      <c r="L19" s="58">
        <f>SUM(L15:L18)</f>
        <v>-278841</v>
      </c>
      <c r="M19" s="58">
        <f>SUM(M15:M18)</f>
        <v>343518701</v>
      </c>
    </row>
    <row r="20" spans="1:14">
      <c r="C20" s="3"/>
      <c r="I20" s="44"/>
      <c r="J20" s="44"/>
      <c r="K20" s="44"/>
      <c r="L20" s="44"/>
      <c r="M20" s="44"/>
    </row>
    <row r="21" spans="1:14">
      <c r="A21" s="4" t="s">
        <v>20</v>
      </c>
    </row>
    <row r="22" spans="1:14">
      <c r="B22" s="4" t="s">
        <v>15</v>
      </c>
      <c r="I22" s="41">
        <v>-21419002</v>
      </c>
      <c r="K22" s="41">
        <v>-2606481</v>
      </c>
      <c r="L22" s="41">
        <v>0</v>
      </c>
      <c r="M22" s="41">
        <f>SUM(I22:L22)</f>
        <v>-24025483</v>
      </c>
      <c r="N22" s="41">
        <f>SUM(M22,M15)</f>
        <v>84034576</v>
      </c>
    </row>
    <row r="23" spans="1:14">
      <c r="B23" s="4" t="s">
        <v>18</v>
      </c>
      <c r="I23" s="41">
        <v>-41327651</v>
      </c>
      <c r="K23" s="41">
        <v>-5376036</v>
      </c>
      <c r="L23" s="41">
        <v>0</v>
      </c>
      <c r="M23" s="41">
        <f>SUM(I23:L23)</f>
        <v>-46703687</v>
      </c>
      <c r="N23" s="41">
        <f>SUM(M23,M16)</f>
        <v>173547703</v>
      </c>
    </row>
    <row r="24" spans="1:14">
      <c r="B24" s="4" t="s">
        <v>69</v>
      </c>
      <c r="I24" s="41">
        <v>-5797114</v>
      </c>
      <c r="K24" s="41">
        <v>-685150</v>
      </c>
      <c r="L24" s="41">
        <v>273741</v>
      </c>
      <c r="M24" s="41">
        <f>SUM(I24:L24)</f>
        <v>-6208523</v>
      </c>
      <c r="N24" s="41">
        <f>SUM(M24,M17)</f>
        <v>4367053</v>
      </c>
    </row>
    <row r="25" spans="1:14">
      <c r="B25" s="4" t="s">
        <v>70</v>
      </c>
      <c r="I25" s="41">
        <v>-3163340</v>
      </c>
      <c r="K25" s="41">
        <v>-363564</v>
      </c>
      <c r="L25" s="41">
        <v>0</v>
      </c>
      <c r="M25" s="41">
        <f>SUM(I25:L25)</f>
        <v>-3526904</v>
      </c>
      <c r="N25" s="41">
        <f>M18+M25</f>
        <v>1104772</v>
      </c>
    </row>
    <row r="26" spans="1:14">
      <c r="A26" s="3"/>
      <c r="B26" s="3"/>
      <c r="C26" s="3" t="s">
        <v>21</v>
      </c>
      <c r="D26" s="3"/>
      <c r="E26" s="3"/>
      <c r="F26" s="3"/>
      <c r="G26" s="3"/>
      <c r="H26" s="3"/>
      <c r="I26" s="50">
        <f>SUM(I22:I25)</f>
        <v>-71707107</v>
      </c>
      <c r="J26" s="50">
        <f>SUM(J22:J25)</f>
        <v>0</v>
      </c>
      <c r="K26" s="50">
        <f>SUM(K22:K25)</f>
        <v>-9031231</v>
      </c>
      <c r="L26" s="50">
        <f>SUM(L22:L25)</f>
        <v>273741</v>
      </c>
      <c r="M26" s="50">
        <f>SUM(M22:M25)</f>
        <v>-80464597</v>
      </c>
      <c r="N26" s="3"/>
    </row>
    <row r="27" spans="1:14">
      <c r="A27" s="3"/>
      <c r="B27" s="3" t="s">
        <v>22</v>
      </c>
      <c r="C27" s="3"/>
      <c r="D27" s="3"/>
      <c r="E27" s="3"/>
      <c r="F27" s="3"/>
      <c r="G27" s="3"/>
      <c r="H27" s="3"/>
      <c r="I27" s="50">
        <f>I26+I19</f>
        <v>251896976</v>
      </c>
      <c r="J27" s="50">
        <f t="shared" ref="J27:M27" si="1">J26+J19</f>
        <v>7862502</v>
      </c>
      <c r="K27" s="50">
        <f t="shared" si="1"/>
        <v>3299726</v>
      </c>
      <c r="L27" s="50">
        <f t="shared" si="1"/>
        <v>-5100</v>
      </c>
      <c r="M27" s="50">
        <f t="shared" si="1"/>
        <v>263054104</v>
      </c>
      <c r="N27" s="3"/>
    </row>
    <row r="28" spans="1:14" ht="19.5" thickBot="1">
      <c r="B28" s="3" t="s">
        <v>23</v>
      </c>
      <c r="I28" s="59">
        <f>I12+I27</f>
        <v>274838051</v>
      </c>
      <c r="J28" s="59">
        <f>J12+J27</f>
        <v>0</v>
      </c>
      <c r="K28" s="59">
        <f>K12+K27</f>
        <v>6470516</v>
      </c>
      <c r="L28" s="59">
        <f>L12+L27</f>
        <v>-5100</v>
      </c>
      <c r="M28" s="59">
        <f>M12+M27</f>
        <v>281303467</v>
      </c>
      <c r="N28" s="41">
        <f>SUM(N22:N25,N10:N11)</f>
        <v>281303467</v>
      </c>
    </row>
    <row r="29" spans="1:14">
      <c r="B29" s="3"/>
      <c r="I29" s="44"/>
      <c r="J29" s="44"/>
      <c r="K29" s="44"/>
      <c r="L29" s="44"/>
      <c r="M29" s="44"/>
    </row>
    <row r="31" spans="1:14" ht="37.5">
      <c r="I31" s="108" t="s">
        <v>3</v>
      </c>
      <c r="J31" s="108" t="s">
        <v>62</v>
      </c>
      <c r="K31" s="108" t="s">
        <v>60</v>
      </c>
      <c r="L31" s="108" t="s">
        <v>61</v>
      </c>
      <c r="M31" s="108" t="s">
        <v>6</v>
      </c>
    </row>
    <row r="32" spans="1:14">
      <c r="I32" s="43"/>
      <c r="J32" s="43"/>
      <c r="K32" s="43"/>
      <c r="L32" s="43"/>
      <c r="M32" s="43"/>
    </row>
    <row r="33" spans="1:14">
      <c r="A33" s="3" t="s">
        <v>71</v>
      </c>
      <c r="B33" s="3"/>
      <c r="C33" s="3"/>
      <c r="D33" s="3"/>
      <c r="E33" s="3"/>
      <c r="F33" s="3"/>
    </row>
    <row r="34" spans="1:14">
      <c r="A34" s="3" t="s">
        <v>72</v>
      </c>
      <c r="B34" s="3"/>
      <c r="C34" s="3"/>
      <c r="D34" s="3"/>
      <c r="E34" s="3"/>
      <c r="F34" s="3"/>
    </row>
    <row r="35" spans="1:14">
      <c r="B35" s="4" t="s">
        <v>11</v>
      </c>
      <c r="I35" s="41">
        <v>1261868</v>
      </c>
      <c r="J35" s="41">
        <v>0</v>
      </c>
      <c r="K35" s="41">
        <v>39910</v>
      </c>
      <c r="L35" s="41">
        <v>0</v>
      </c>
      <c r="M35" s="41">
        <f>SUM(I35:L35)</f>
        <v>1301778</v>
      </c>
      <c r="N35" s="41">
        <f>SUM(M35)</f>
        <v>1301778</v>
      </c>
    </row>
    <row r="36" spans="1:14">
      <c r="B36" s="4" t="s">
        <v>73</v>
      </c>
      <c r="I36" s="41">
        <v>1226000</v>
      </c>
      <c r="M36" s="41">
        <f>SUM(I36:L36)</f>
        <v>1226000</v>
      </c>
      <c r="N36" s="41">
        <f>M36</f>
        <v>1226000</v>
      </c>
    </row>
    <row r="37" spans="1:14">
      <c r="B37" s="4" t="s">
        <v>12</v>
      </c>
      <c r="I37" s="41">
        <v>2371730</v>
      </c>
      <c r="K37" s="41">
        <v>908068</v>
      </c>
      <c r="M37" s="41">
        <f>SUM(I37:L37)</f>
        <v>3279798</v>
      </c>
      <c r="N37" s="41">
        <f>SUM(M37)</f>
        <v>3279798</v>
      </c>
    </row>
    <row r="38" spans="1:14">
      <c r="A38" s="3"/>
      <c r="B38" s="3"/>
      <c r="C38" s="3" t="s">
        <v>13</v>
      </c>
      <c r="D38" s="3"/>
      <c r="E38" s="3"/>
      <c r="F38" s="3"/>
      <c r="G38" s="3"/>
      <c r="I38" s="57">
        <f>SUM(I35:I37)</f>
        <v>4859598</v>
      </c>
      <c r="J38" s="57">
        <f t="shared" ref="J38:M38" si="2">SUM(J35:J37)</f>
        <v>0</v>
      </c>
      <c r="K38" s="57">
        <f t="shared" si="2"/>
        <v>947978</v>
      </c>
      <c r="L38" s="57">
        <f t="shared" si="2"/>
        <v>0</v>
      </c>
      <c r="M38" s="57">
        <f t="shared" si="2"/>
        <v>5807576</v>
      </c>
    </row>
    <row r="40" spans="1:14">
      <c r="A40" s="3" t="s">
        <v>14</v>
      </c>
    </row>
    <row r="41" spans="1:14">
      <c r="A41" s="3"/>
      <c r="B41" s="4" t="s">
        <v>69</v>
      </c>
      <c r="I41" s="41">
        <v>23293000</v>
      </c>
      <c r="J41" s="41">
        <v>0</v>
      </c>
      <c r="K41" s="41">
        <v>0</v>
      </c>
      <c r="L41" s="41">
        <v>0</v>
      </c>
      <c r="M41" s="41">
        <f>SUM(I41:L41)</f>
        <v>23293000</v>
      </c>
    </row>
    <row r="42" spans="1:14">
      <c r="B42" s="4" t="s">
        <v>15</v>
      </c>
      <c r="I42" s="41">
        <v>11488000</v>
      </c>
      <c r="J42" s="41">
        <v>939000</v>
      </c>
      <c r="K42" s="41">
        <v>-93000</v>
      </c>
      <c r="L42" s="41">
        <v>0</v>
      </c>
      <c r="M42" s="41">
        <f>SUM(I42:L42)</f>
        <v>12334000</v>
      </c>
    </row>
    <row r="43" spans="1:14">
      <c r="C43" s="3" t="s">
        <v>19</v>
      </c>
      <c r="I43" s="57">
        <f>SUM(I41:I42)</f>
        <v>34781000</v>
      </c>
      <c r="J43" s="57">
        <f>SUM(J41:J42)</f>
        <v>939000</v>
      </c>
      <c r="K43" s="57">
        <f>SUM(K41:K42)</f>
        <v>-93000</v>
      </c>
      <c r="L43" s="57">
        <f>SUM(L41:L42)</f>
        <v>0</v>
      </c>
      <c r="M43" s="57">
        <f>SUM(M41:M42)</f>
        <v>35627000</v>
      </c>
    </row>
    <row r="44" spans="1:14">
      <c r="C44" s="3"/>
      <c r="I44" s="44"/>
      <c r="J44" s="44"/>
      <c r="K44" s="44"/>
      <c r="L44" s="44"/>
      <c r="M44" s="44"/>
    </row>
    <row r="45" spans="1:14">
      <c r="A45" s="4" t="s">
        <v>20</v>
      </c>
    </row>
    <row r="46" spans="1:14">
      <c r="B46" s="4" t="s">
        <v>69</v>
      </c>
      <c r="I46" s="41">
        <v>-9558000</v>
      </c>
      <c r="J46" s="41">
        <v>-434000</v>
      </c>
      <c r="K46" s="41">
        <v>0</v>
      </c>
      <c r="L46" s="41">
        <v>0</v>
      </c>
      <c r="M46" s="41">
        <f>SUM(I46:L46)</f>
        <v>-9992000</v>
      </c>
      <c r="N46" s="41">
        <f>SUM(M46,M41)</f>
        <v>13301000</v>
      </c>
    </row>
    <row r="47" spans="1:14">
      <c r="B47" s="4" t="s">
        <v>15</v>
      </c>
      <c r="I47" s="41">
        <v>-8378000</v>
      </c>
      <c r="J47" s="41">
        <v>-1186000</v>
      </c>
      <c r="K47" s="41">
        <v>93000</v>
      </c>
      <c r="L47" s="41">
        <v>0</v>
      </c>
      <c r="M47" s="41">
        <f>SUM(I47:L47)</f>
        <v>-9471000</v>
      </c>
      <c r="N47" s="41">
        <f>SUM(M47,M42)</f>
        <v>2863000</v>
      </c>
    </row>
    <row r="48" spans="1:14">
      <c r="A48" s="3"/>
      <c r="B48" s="3"/>
      <c r="C48" s="3" t="s">
        <v>21</v>
      </c>
      <c r="D48" s="3"/>
      <c r="E48" s="3"/>
      <c r="F48" s="3"/>
      <c r="G48" s="3"/>
      <c r="I48" s="57">
        <f>SUM(I46:I47)</f>
        <v>-17936000</v>
      </c>
      <c r="J48" s="57">
        <f>SUM(J46:J47)</f>
        <v>-1620000</v>
      </c>
      <c r="K48" s="57">
        <f>SUM(K46:K47)</f>
        <v>93000</v>
      </c>
      <c r="L48" s="57">
        <f>SUM(L46:L47)</f>
        <v>0</v>
      </c>
      <c r="M48" s="57">
        <f>SUM(M46:M47)</f>
        <v>-19463000</v>
      </c>
    </row>
    <row r="49" spans="1:14">
      <c r="A49" s="3"/>
      <c r="B49" s="3" t="s">
        <v>22</v>
      </c>
      <c r="C49" s="3"/>
      <c r="D49" s="3"/>
      <c r="E49" s="3"/>
      <c r="F49" s="3"/>
      <c r="G49" s="3"/>
      <c r="I49" s="57">
        <f>SUM(I48,I43)</f>
        <v>16845000</v>
      </c>
      <c r="J49" s="57">
        <f>SUM(J48,J43)</f>
        <v>-681000</v>
      </c>
      <c r="K49" s="57">
        <f>SUM(K48,K43)</f>
        <v>0</v>
      </c>
      <c r="L49" s="57">
        <f>SUM(L48,L43)</f>
        <v>0</v>
      </c>
      <c r="M49" s="57">
        <f>SUM(M48,M43)</f>
        <v>16164000</v>
      </c>
    </row>
    <row r="50" spans="1:14" ht="19.5" thickBot="1">
      <c r="B50" s="3" t="s">
        <v>41</v>
      </c>
      <c r="I50" s="59">
        <f>I38+I49</f>
        <v>21704598</v>
      </c>
      <c r="J50" s="59">
        <f>J38+J49</f>
        <v>-681000</v>
      </c>
      <c r="K50" s="59">
        <f>K38+K49</f>
        <v>947978</v>
      </c>
      <c r="L50" s="59">
        <f>L38+L49</f>
        <v>0</v>
      </c>
      <c r="M50" s="59">
        <f>M38+M49</f>
        <v>21971576</v>
      </c>
      <c r="N50" s="41">
        <f>SUM(N46:N47,N35:N37)</f>
        <v>21971576</v>
      </c>
    </row>
  </sheetData>
  <mergeCells count="3">
    <mergeCell ref="D1:I1"/>
    <mergeCell ref="D2:I2"/>
    <mergeCell ref="D3:I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8"/>
  <sheetViews>
    <sheetView zoomScale="70" zoomScaleNormal="70" workbookViewId="0">
      <selection activeCell="V25" sqref="V25"/>
    </sheetView>
  </sheetViews>
  <sheetFormatPr defaultColWidth="8.85546875" defaultRowHeight="18.75"/>
  <cols>
    <col min="1" max="1" width="4.42578125" style="4" customWidth="1"/>
    <col min="2" max="3" width="4.7109375" style="4" customWidth="1"/>
    <col min="4" max="6" width="8.85546875" style="4"/>
    <col min="7" max="7" width="14.28515625" style="4" bestFit="1" customWidth="1"/>
    <col min="8" max="8" width="12.7109375" style="4" bestFit="1" customWidth="1"/>
    <col min="9" max="9" width="20.5703125" style="41" bestFit="1" customWidth="1"/>
    <col min="10" max="10" width="17.5703125" style="41" bestFit="1" customWidth="1"/>
    <col min="11" max="12" width="16.85546875" style="41" customWidth="1"/>
    <col min="13" max="13" width="20.85546875" style="41" customWidth="1"/>
    <col min="14" max="14" width="18.140625" style="4" customWidth="1"/>
    <col min="15" max="16384" width="8.85546875" style="4"/>
  </cols>
  <sheetData>
    <row r="1" spans="1:14">
      <c r="D1" s="109" t="s">
        <v>74</v>
      </c>
      <c r="E1" s="109"/>
      <c r="F1" s="109"/>
      <c r="G1" s="109"/>
      <c r="H1" s="109"/>
      <c r="I1" s="109"/>
    </row>
    <row r="2" spans="1:14">
      <c r="D2" s="109" t="s">
        <v>1</v>
      </c>
      <c r="E2" s="109"/>
      <c r="F2" s="109"/>
      <c r="G2" s="109"/>
      <c r="H2" s="109"/>
      <c r="I2" s="109"/>
    </row>
    <row r="3" spans="1:14">
      <c r="D3" s="109" t="s">
        <v>2</v>
      </c>
      <c r="E3" s="109"/>
      <c r="F3" s="109"/>
      <c r="G3" s="109"/>
      <c r="H3" s="109"/>
      <c r="I3" s="109"/>
    </row>
    <row r="4" spans="1:14">
      <c r="D4" s="107"/>
      <c r="E4" s="107"/>
      <c r="F4" s="107"/>
      <c r="G4" s="107"/>
      <c r="H4" s="107"/>
      <c r="I4" s="42"/>
    </row>
    <row r="5" spans="1:14" ht="37.5">
      <c r="I5" s="53" t="s">
        <v>3</v>
      </c>
      <c r="J5" s="53" t="s">
        <v>75</v>
      </c>
      <c r="K5" s="53" t="s">
        <v>60</v>
      </c>
      <c r="L5" s="53" t="s">
        <v>61</v>
      </c>
      <c r="M5" s="53" t="s">
        <v>6</v>
      </c>
      <c r="N5" s="53" t="s">
        <v>7</v>
      </c>
    </row>
    <row r="6" spans="1:14">
      <c r="I6" s="65"/>
      <c r="J6" s="65"/>
      <c r="K6" s="65"/>
      <c r="L6" s="65"/>
      <c r="M6" s="65"/>
    </row>
    <row r="7" spans="1:14">
      <c r="A7" s="3" t="s">
        <v>8</v>
      </c>
      <c r="B7" s="3"/>
      <c r="C7" s="3"/>
      <c r="D7" s="3"/>
      <c r="E7" s="3"/>
      <c r="F7" s="3"/>
    </row>
    <row r="8" spans="1:14">
      <c r="A8" s="3" t="s">
        <v>9</v>
      </c>
      <c r="B8" s="3"/>
      <c r="C8" s="3"/>
      <c r="D8" s="3"/>
      <c r="E8" s="3"/>
      <c r="F8" s="3"/>
    </row>
    <row r="9" spans="1:14">
      <c r="A9" s="3" t="s">
        <v>10</v>
      </c>
      <c r="B9" s="3"/>
      <c r="C9" s="3"/>
      <c r="D9" s="3"/>
      <c r="E9" s="3"/>
      <c r="F9" s="3"/>
    </row>
    <row r="10" spans="1:14">
      <c r="B10" s="4" t="s">
        <v>76</v>
      </c>
      <c r="I10" s="41">
        <v>14587873</v>
      </c>
      <c r="J10" s="41">
        <v>-10612</v>
      </c>
      <c r="K10" s="41">
        <v>8410</v>
      </c>
      <c r="L10" s="41">
        <v>-7262</v>
      </c>
      <c r="M10" s="41">
        <f>SUM(I10:L10)</f>
        <v>14578409</v>
      </c>
      <c r="N10" s="41">
        <f>SUM(M10)</f>
        <v>14578409</v>
      </c>
    </row>
    <row r="11" spans="1:14">
      <c r="B11" s="4" t="s">
        <v>77</v>
      </c>
      <c r="I11" s="41">
        <v>1490456</v>
      </c>
      <c r="K11" s="41">
        <v>3926421</v>
      </c>
      <c r="L11" s="41">
        <v>-5206264</v>
      </c>
      <c r="M11" s="41">
        <f>SUM(I11:L11)</f>
        <v>210613</v>
      </c>
      <c r="N11" s="41">
        <f>M11</f>
        <v>210613</v>
      </c>
    </row>
    <row r="12" spans="1:14">
      <c r="B12" s="4" t="s">
        <v>12</v>
      </c>
      <c r="I12" s="41">
        <v>11194813</v>
      </c>
      <c r="K12" s="41">
        <v>3654638</v>
      </c>
      <c r="L12" s="41">
        <v>-1077180</v>
      </c>
      <c r="M12" s="41">
        <f>SUM(I12:L12)</f>
        <v>13772271</v>
      </c>
      <c r="N12" s="41">
        <f>SUM(M12)</f>
        <v>13772271</v>
      </c>
    </row>
    <row r="13" spans="1:14">
      <c r="A13" s="3"/>
      <c r="B13" s="3"/>
      <c r="C13" s="3" t="s">
        <v>13</v>
      </c>
      <c r="D13" s="3"/>
      <c r="E13" s="3"/>
      <c r="F13" s="3"/>
      <c r="G13" s="3"/>
      <c r="H13" s="3"/>
      <c r="I13" s="57">
        <f>SUM(I10:I12)</f>
        <v>27273142</v>
      </c>
      <c r="J13" s="57">
        <f t="shared" ref="J13:M13" si="0">SUM(J10:J12)</f>
        <v>-10612</v>
      </c>
      <c r="K13" s="57">
        <f t="shared" si="0"/>
        <v>7589469</v>
      </c>
      <c r="L13" s="57">
        <f t="shared" si="0"/>
        <v>-6290706</v>
      </c>
      <c r="M13" s="57">
        <f t="shared" si="0"/>
        <v>28561293</v>
      </c>
      <c r="N13" s="3"/>
    </row>
    <row r="15" spans="1:14">
      <c r="A15" s="3" t="s">
        <v>14</v>
      </c>
    </row>
    <row r="16" spans="1:14">
      <c r="A16" s="3"/>
      <c r="B16" s="4" t="s">
        <v>78</v>
      </c>
      <c r="I16" s="41">
        <v>89670371</v>
      </c>
      <c r="K16" s="41">
        <v>209580</v>
      </c>
      <c r="L16" s="41">
        <v>-14742</v>
      </c>
      <c r="M16" s="41">
        <f>SUM(I16:L16)</f>
        <v>89865209</v>
      </c>
    </row>
    <row r="17" spans="1:14">
      <c r="A17" s="3"/>
      <c r="B17" s="4" t="s">
        <v>79</v>
      </c>
      <c r="I17" s="41">
        <v>36255276</v>
      </c>
      <c r="K17" s="41">
        <v>3680568</v>
      </c>
      <c r="L17" s="41">
        <v>-1631252</v>
      </c>
      <c r="M17" s="41">
        <f>SUM(I17:L17)</f>
        <v>38304592</v>
      </c>
    </row>
    <row r="18" spans="1:14">
      <c r="B18" s="4" t="s">
        <v>18</v>
      </c>
      <c r="I18" s="41">
        <v>377842136</v>
      </c>
      <c r="J18" s="41">
        <v>-875719</v>
      </c>
      <c r="K18" s="41">
        <v>10230871</v>
      </c>
      <c r="L18" s="41">
        <v>-555242</v>
      </c>
      <c r="M18" s="41">
        <f>SUM(I18:L18)</f>
        <v>386642046</v>
      </c>
    </row>
    <row r="19" spans="1:14">
      <c r="C19" s="3" t="s">
        <v>19</v>
      </c>
      <c r="I19" s="58">
        <f>SUM(I16:I18)</f>
        <v>503767783</v>
      </c>
      <c r="J19" s="58">
        <f>SUM(J16:J18)</f>
        <v>-875719</v>
      </c>
      <c r="K19" s="58">
        <f>SUM(K16:K18)</f>
        <v>14121019</v>
      </c>
      <c r="L19" s="58">
        <f>SUM(L16:L18)</f>
        <v>-2201236</v>
      </c>
      <c r="M19" s="58">
        <f>SUM(M16:M18)</f>
        <v>514811847</v>
      </c>
    </row>
    <row r="20" spans="1:14">
      <c r="C20" s="3"/>
      <c r="I20" s="44"/>
      <c r="J20" s="44"/>
      <c r="K20" s="44"/>
      <c r="L20" s="44"/>
      <c r="M20" s="44"/>
    </row>
    <row r="21" spans="1:14">
      <c r="A21" s="4" t="s">
        <v>20</v>
      </c>
    </row>
    <row r="22" spans="1:14">
      <c r="B22" s="4" t="s">
        <v>78</v>
      </c>
      <c r="I22" s="41">
        <v>-34803394</v>
      </c>
      <c r="K22" s="41">
        <v>-2184659</v>
      </c>
      <c r="L22" s="41">
        <v>12531</v>
      </c>
      <c r="M22" s="41">
        <f>SUM(I22:L22)</f>
        <v>-36975522</v>
      </c>
      <c r="N22" s="41">
        <f>SUM(M22,M16)</f>
        <v>52889687</v>
      </c>
    </row>
    <row r="23" spans="1:14">
      <c r="B23" s="4" t="s">
        <v>79</v>
      </c>
      <c r="I23" s="41">
        <v>-25304064</v>
      </c>
      <c r="K23" s="41">
        <v>-2765310</v>
      </c>
      <c r="L23" s="41">
        <v>1616376</v>
      </c>
      <c r="M23" s="41">
        <f>SUM(I23:L23)</f>
        <v>-26452998</v>
      </c>
      <c r="N23" s="41">
        <f>SUM(M23,M17)</f>
        <v>11851594</v>
      </c>
    </row>
    <row r="24" spans="1:14">
      <c r="B24" s="4" t="s">
        <v>18</v>
      </c>
      <c r="I24" s="41">
        <v>-257070930</v>
      </c>
      <c r="J24" s="41">
        <v>-1495833</v>
      </c>
      <c r="K24" s="41">
        <v>-11108932</v>
      </c>
      <c r="L24" s="41">
        <v>0</v>
      </c>
      <c r="M24" s="41">
        <f>SUM(I24:L24)</f>
        <v>-269675695</v>
      </c>
      <c r="N24" s="41">
        <f>M18+M24</f>
        <v>116966351</v>
      </c>
    </row>
    <row r="25" spans="1:14">
      <c r="A25" s="3"/>
      <c r="B25" s="3"/>
      <c r="C25" s="3" t="s">
        <v>21</v>
      </c>
      <c r="D25" s="3"/>
      <c r="E25" s="3"/>
      <c r="F25" s="3"/>
      <c r="G25" s="3"/>
      <c r="H25" s="3"/>
      <c r="I25" s="50">
        <f>SUM(I22:I24)</f>
        <v>-317178388</v>
      </c>
      <c r="J25" s="50">
        <f>SUM(J22:J24)</f>
        <v>-1495833</v>
      </c>
      <c r="K25" s="50">
        <f>SUM(K22:K24)</f>
        <v>-16058901</v>
      </c>
      <c r="L25" s="50">
        <f>SUM(L22:L24)</f>
        <v>1628907</v>
      </c>
      <c r="M25" s="50">
        <f>SUM(M22:M24)</f>
        <v>-333104215</v>
      </c>
      <c r="N25" s="3"/>
    </row>
    <row r="26" spans="1:14">
      <c r="A26" s="3"/>
      <c r="B26" s="3" t="s">
        <v>22</v>
      </c>
      <c r="C26" s="3"/>
      <c r="D26" s="3"/>
      <c r="E26" s="3"/>
      <c r="F26" s="3"/>
      <c r="G26" s="3"/>
      <c r="H26" s="3"/>
      <c r="I26" s="50">
        <f>I25+I19</f>
        <v>186589395</v>
      </c>
      <c r="J26" s="50">
        <f>J25+J19</f>
        <v>-2371552</v>
      </c>
      <c r="K26" s="50">
        <f>K25+K19</f>
        <v>-1937882</v>
      </c>
      <c r="L26" s="50">
        <f>L25+L19</f>
        <v>-572329</v>
      </c>
      <c r="M26" s="50">
        <f>M25+M19</f>
        <v>181707632</v>
      </c>
      <c r="N26" s="3"/>
    </row>
    <row r="27" spans="1:14" ht="19.5" thickBot="1">
      <c r="B27" s="3" t="s">
        <v>23</v>
      </c>
      <c r="I27" s="59">
        <f>I13+I26</f>
        <v>213862537</v>
      </c>
      <c r="J27" s="59">
        <f>J13+J26</f>
        <v>-2382164</v>
      </c>
      <c r="K27" s="59">
        <f>K13+K26</f>
        <v>5651587</v>
      </c>
      <c r="L27" s="59">
        <f>L13+L26</f>
        <v>-6863035</v>
      </c>
      <c r="M27" s="59">
        <f>M13+M26</f>
        <v>210268925</v>
      </c>
      <c r="N27" s="41">
        <f>SUM(N22:N24,N10:N12)</f>
        <v>210268925</v>
      </c>
    </row>
    <row r="28" spans="1:14">
      <c r="B28" s="3"/>
      <c r="I28" s="44"/>
      <c r="J28" s="44"/>
      <c r="K28" s="44"/>
      <c r="L28" s="44"/>
      <c r="M28" s="44"/>
    </row>
  </sheetData>
  <mergeCells count="3">
    <mergeCell ref="D1:I1"/>
    <mergeCell ref="D2:I2"/>
    <mergeCell ref="D3:I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51"/>
  <sheetViews>
    <sheetView zoomScale="80" zoomScaleNormal="80" workbookViewId="0">
      <selection activeCell="N44" sqref="N44"/>
    </sheetView>
  </sheetViews>
  <sheetFormatPr defaultColWidth="8.85546875" defaultRowHeight="18.75"/>
  <cols>
    <col min="1" max="1" width="4.42578125" style="4" customWidth="1"/>
    <col min="2" max="2" width="4.7109375" style="4" customWidth="1"/>
    <col min="3" max="3" width="4.28515625" style="4" customWidth="1"/>
    <col min="4" max="6" width="8.85546875" style="4"/>
    <col min="7" max="7" width="14.28515625" style="4" bestFit="1" customWidth="1"/>
    <col min="8" max="8" width="22.42578125" style="4" customWidth="1"/>
    <col min="9" max="9" width="22.85546875" style="4" bestFit="1" customWidth="1"/>
    <col min="10" max="10" width="21.140625" style="4" bestFit="1" customWidth="1"/>
    <col min="11" max="11" width="18.7109375" style="4" customWidth="1"/>
    <col min="12" max="12" width="19.7109375" style="4" customWidth="1"/>
    <col min="13" max="13" width="19.7109375" style="4" bestFit="1" customWidth="1"/>
    <col min="14" max="16384" width="8.85546875" style="4"/>
  </cols>
  <sheetData>
    <row r="1" spans="1:13">
      <c r="D1" s="109" t="s">
        <v>80</v>
      </c>
      <c r="E1" s="109"/>
      <c r="F1" s="109"/>
      <c r="G1" s="109"/>
      <c r="H1" s="109"/>
      <c r="I1" s="109"/>
    </row>
    <row r="2" spans="1:13">
      <c r="D2" s="109" t="s">
        <v>1</v>
      </c>
      <c r="E2" s="109"/>
      <c r="F2" s="109"/>
      <c r="G2" s="109"/>
      <c r="H2" s="109"/>
      <c r="I2" s="109"/>
    </row>
    <row r="3" spans="1:13">
      <c r="D3" s="109" t="s">
        <v>2</v>
      </c>
      <c r="E3" s="109"/>
      <c r="F3" s="109"/>
      <c r="G3" s="109"/>
      <c r="H3" s="109"/>
      <c r="I3" s="109"/>
    </row>
    <row r="4" spans="1:13" ht="14.25" customHeight="1">
      <c r="D4" s="107"/>
      <c r="E4" s="107"/>
      <c r="F4" s="107"/>
      <c r="G4" s="107"/>
      <c r="H4" s="107"/>
      <c r="I4" s="107"/>
    </row>
    <row r="5" spans="1:13" ht="37.5">
      <c r="I5" s="7" t="s">
        <v>81</v>
      </c>
      <c r="J5" s="7" t="s">
        <v>60</v>
      </c>
      <c r="K5" s="7" t="s">
        <v>61</v>
      </c>
      <c r="L5" s="7" t="s">
        <v>82</v>
      </c>
      <c r="M5" s="7" t="s">
        <v>7</v>
      </c>
    </row>
    <row r="6" spans="1:13">
      <c r="I6" s="5"/>
      <c r="J6" s="5"/>
      <c r="K6" s="5"/>
      <c r="L6" s="5"/>
    </row>
    <row r="7" spans="1:13">
      <c r="A7" s="3" t="s">
        <v>25</v>
      </c>
      <c r="B7" s="3"/>
      <c r="C7" s="3"/>
      <c r="D7" s="3"/>
      <c r="E7" s="3"/>
      <c r="F7" s="3"/>
    </row>
    <row r="8" spans="1:13">
      <c r="A8" s="3"/>
      <c r="B8" s="3" t="s">
        <v>10</v>
      </c>
      <c r="C8" s="3"/>
      <c r="D8" s="3"/>
      <c r="E8" s="3"/>
      <c r="F8" s="3"/>
      <c r="I8" s="6"/>
      <c r="J8" s="6"/>
      <c r="K8" s="6"/>
      <c r="L8" s="6"/>
    </row>
    <row r="9" spans="1:13">
      <c r="C9" s="4" t="s">
        <v>83</v>
      </c>
      <c r="I9" s="41">
        <v>16832923</v>
      </c>
      <c r="J9" s="41">
        <v>711623</v>
      </c>
      <c r="K9" s="41"/>
      <c r="L9" s="41">
        <f>SUM(I9:K9)</f>
        <v>17544546</v>
      </c>
      <c r="M9" s="41">
        <f>SUM(L9)</f>
        <v>17544546</v>
      </c>
    </row>
    <row r="10" spans="1:13">
      <c r="C10" s="4" t="s">
        <v>12</v>
      </c>
      <c r="I10" s="41">
        <v>23845079</v>
      </c>
      <c r="J10" s="41">
        <v>12115481</v>
      </c>
      <c r="K10" s="41">
        <v>-19108040</v>
      </c>
      <c r="L10" s="41">
        <f t="shared" ref="L10:L11" si="0">SUM(I10:K10)</f>
        <v>16852520</v>
      </c>
      <c r="M10" s="41">
        <f>SUM(L10)</f>
        <v>16852520</v>
      </c>
    </row>
    <row r="11" spans="1:13">
      <c r="C11" s="4" t="s">
        <v>51</v>
      </c>
      <c r="I11" s="41">
        <v>382296012</v>
      </c>
      <c r="J11" s="41">
        <v>1021270</v>
      </c>
      <c r="K11" s="41"/>
      <c r="L11" s="41">
        <f t="shared" si="0"/>
        <v>383317282</v>
      </c>
      <c r="M11" s="41">
        <f>SUM(L11)</f>
        <v>383317282</v>
      </c>
    </row>
    <row r="12" spans="1:13">
      <c r="A12" s="3"/>
      <c r="B12" s="3"/>
      <c r="C12" s="3"/>
      <c r="D12" s="3" t="s">
        <v>26</v>
      </c>
      <c r="E12" s="3"/>
      <c r="F12" s="3"/>
      <c r="G12" s="3"/>
      <c r="H12" s="3"/>
      <c r="I12" s="50">
        <f>SUM(I8:I11)</f>
        <v>422974014</v>
      </c>
      <c r="J12" s="50">
        <f>SUM(J8:J11)</f>
        <v>13848374</v>
      </c>
      <c r="K12" s="50">
        <f>SUM(K8:K11)</f>
        <v>-19108040</v>
      </c>
      <c r="L12" s="50">
        <f>SUM(L8:L11)</f>
        <v>417714348</v>
      </c>
      <c r="M12" s="3"/>
    </row>
    <row r="13" spans="1:13">
      <c r="I13" s="41"/>
      <c r="J13" s="41"/>
      <c r="K13" s="41"/>
      <c r="L13" s="41"/>
    </row>
    <row r="14" spans="1:13">
      <c r="A14" s="3" t="s">
        <v>14</v>
      </c>
      <c r="I14" s="41"/>
      <c r="J14" s="41"/>
      <c r="K14" s="41"/>
      <c r="L14" s="41"/>
    </row>
    <row r="15" spans="1:13">
      <c r="B15" s="4" t="s">
        <v>15</v>
      </c>
      <c r="I15" s="41">
        <v>122300990</v>
      </c>
      <c r="J15" s="41">
        <v>5892103</v>
      </c>
      <c r="K15" s="41">
        <v>-411314</v>
      </c>
      <c r="L15" s="41">
        <f>SUM(I15:K15)</f>
        <v>127781779</v>
      </c>
    </row>
    <row r="16" spans="1:13">
      <c r="B16" s="4" t="s">
        <v>16</v>
      </c>
      <c r="I16" s="41">
        <v>30856097</v>
      </c>
      <c r="J16" s="41">
        <v>4406050</v>
      </c>
      <c r="K16" s="41">
        <v>-2193615</v>
      </c>
      <c r="L16" s="41">
        <f t="shared" ref="L16:L17" si="1">SUM(I16:K16)</f>
        <v>33068532</v>
      </c>
    </row>
    <row r="17" spans="1:13">
      <c r="B17" s="4" t="s">
        <v>52</v>
      </c>
      <c r="I17" s="41">
        <v>11887348</v>
      </c>
      <c r="J17" s="41"/>
      <c r="K17" s="41"/>
      <c r="L17" s="41">
        <f t="shared" si="1"/>
        <v>11887348</v>
      </c>
    </row>
    <row r="18" spans="1:13">
      <c r="A18" s="3"/>
      <c r="B18" s="3"/>
      <c r="C18" s="3"/>
      <c r="D18" s="3" t="s">
        <v>19</v>
      </c>
      <c r="E18" s="3"/>
      <c r="F18" s="3"/>
      <c r="G18" s="3"/>
      <c r="H18" s="3"/>
      <c r="I18" s="50">
        <f>SUM(I15:I17)</f>
        <v>165044435</v>
      </c>
      <c r="J18" s="50">
        <f>SUM(J15:J17)</f>
        <v>10298153</v>
      </c>
      <c r="K18" s="50">
        <f>SUM(K15:K17)</f>
        <v>-2604929</v>
      </c>
      <c r="L18" s="50">
        <f>SUM(L15:L17)</f>
        <v>172737659</v>
      </c>
      <c r="M18" s="3"/>
    </row>
    <row r="19" spans="1:13">
      <c r="I19" s="41"/>
      <c r="J19" s="41"/>
      <c r="K19" s="41"/>
      <c r="L19" s="41"/>
    </row>
    <row r="20" spans="1:13">
      <c r="A20" s="3" t="s">
        <v>20</v>
      </c>
      <c r="I20" s="41"/>
      <c r="J20" s="41"/>
      <c r="K20" s="41"/>
      <c r="L20" s="41"/>
    </row>
    <row r="21" spans="1:13">
      <c r="B21" s="4" t="s">
        <v>15</v>
      </c>
      <c r="I21" s="41">
        <v>-51800073</v>
      </c>
      <c r="J21" s="41">
        <v>-3362407</v>
      </c>
      <c r="K21" s="41">
        <v>59555</v>
      </c>
      <c r="L21" s="41">
        <f>SUM(I21:K21)</f>
        <v>-55102925</v>
      </c>
      <c r="M21" s="41">
        <f>SUM(L21,L15)</f>
        <v>72678854</v>
      </c>
    </row>
    <row r="22" spans="1:13">
      <c r="B22" s="4" t="s">
        <v>16</v>
      </c>
      <c r="I22" s="41">
        <v>-20158778</v>
      </c>
      <c r="J22" s="41">
        <v>-2976760</v>
      </c>
      <c r="K22" s="41">
        <v>2182803</v>
      </c>
      <c r="L22" s="41">
        <f>SUM(I22:K22)</f>
        <v>-20952735</v>
      </c>
      <c r="M22" s="41">
        <f t="shared" ref="M22:M23" si="2">SUM(L22,L16)</f>
        <v>12115797</v>
      </c>
    </row>
    <row r="23" spans="1:13">
      <c r="B23" s="4" t="s">
        <v>52</v>
      </c>
      <c r="I23" s="41">
        <v>-3689827</v>
      </c>
      <c r="J23" s="41">
        <v>-263075</v>
      </c>
      <c r="K23" s="41"/>
      <c r="L23" s="41">
        <f>SUM(I23:K23)</f>
        <v>-3952902</v>
      </c>
      <c r="M23" s="41">
        <f t="shared" si="2"/>
        <v>7934446</v>
      </c>
    </row>
    <row r="24" spans="1:13">
      <c r="A24" s="3"/>
      <c r="B24" s="3"/>
      <c r="C24" s="3"/>
      <c r="D24" s="3" t="s">
        <v>21</v>
      </c>
      <c r="E24" s="3"/>
      <c r="F24" s="3"/>
      <c r="G24" s="3"/>
      <c r="H24" s="3"/>
      <c r="I24" s="50">
        <f>SUM(I21:I23)</f>
        <v>-75648678</v>
      </c>
      <c r="J24" s="50">
        <f>SUM(J21:J23)</f>
        <v>-6602242</v>
      </c>
      <c r="K24" s="50">
        <f>SUM(K21:K23)</f>
        <v>2242358</v>
      </c>
      <c r="L24" s="50">
        <f>SUM(L21:L23)</f>
        <v>-80008562</v>
      </c>
      <c r="M24" s="3"/>
    </row>
    <row r="25" spans="1:13">
      <c r="A25" s="3"/>
      <c r="B25" s="3" t="s">
        <v>22</v>
      </c>
      <c r="C25" s="3"/>
      <c r="D25" s="3"/>
      <c r="E25" s="3"/>
      <c r="F25" s="3"/>
      <c r="G25" s="3"/>
      <c r="H25" s="3"/>
      <c r="I25" s="51">
        <f>I18+I24</f>
        <v>89395757</v>
      </c>
      <c r="J25" s="50">
        <f>J18+J24</f>
        <v>3695911</v>
      </c>
      <c r="K25" s="50">
        <f>K18+K24</f>
        <v>-362571</v>
      </c>
      <c r="L25" s="50">
        <f>L18+L24</f>
        <v>92729097</v>
      </c>
      <c r="M25" s="3"/>
    </row>
    <row r="26" spans="1:13" ht="19.5" thickBot="1">
      <c r="B26" s="3" t="s">
        <v>84</v>
      </c>
      <c r="I26" s="52">
        <f>I24+I18+I12</f>
        <v>512369771</v>
      </c>
      <c r="J26" s="52">
        <f t="shared" ref="J26:L26" si="3">J24+J18+J12</f>
        <v>17544285</v>
      </c>
      <c r="K26" s="52">
        <f t="shared" si="3"/>
        <v>-19470611</v>
      </c>
      <c r="L26" s="52">
        <f t="shared" si="3"/>
        <v>510443445</v>
      </c>
      <c r="M26" s="41">
        <f>SUM(M21:M23,M9:M11)</f>
        <v>510443445</v>
      </c>
    </row>
    <row r="27" spans="1:13" ht="19.5" thickTop="1">
      <c r="I27" s="41"/>
      <c r="J27" s="41"/>
      <c r="K27" s="41"/>
      <c r="L27" s="41"/>
    </row>
    <row r="28" spans="1:13">
      <c r="I28" s="41"/>
      <c r="J28" s="41"/>
      <c r="K28" s="41"/>
      <c r="L28" s="41"/>
    </row>
    <row r="29" spans="1:13" ht="37.5">
      <c r="I29" s="53" t="s">
        <v>85</v>
      </c>
      <c r="J29" s="53" t="s">
        <v>5</v>
      </c>
      <c r="K29" s="53" t="s">
        <v>86</v>
      </c>
      <c r="L29" s="53" t="s">
        <v>87</v>
      </c>
    </row>
    <row r="30" spans="1:13">
      <c r="A30" s="3" t="s">
        <v>34</v>
      </c>
      <c r="B30" s="3"/>
      <c r="C30" s="3"/>
      <c r="D30" s="3"/>
      <c r="E30" s="3"/>
      <c r="F30" s="3"/>
      <c r="I30" s="41"/>
      <c r="J30" s="41"/>
      <c r="K30" s="41"/>
      <c r="L30" s="41"/>
    </row>
    <row r="31" spans="1:13">
      <c r="A31" s="3"/>
      <c r="B31" s="3" t="s">
        <v>10</v>
      </c>
      <c r="C31" s="3"/>
      <c r="D31" s="3"/>
      <c r="E31" s="3"/>
      <c r="F31" s="3"/>
      <c r="I31" s="41"/>
      <c r="J31" s="41"/>
      <c r="K31" s="41"/>
      <c r="L31" s="41"/>
    </row>
    <row r="32" spans="1:13">
      <c r="C32" s="4" t="s">
        <v>83</v>
      </c>
      <c r="I32" s="41">
        <v>227920</v>
      </c>
      <c r="J32" s="41"/>
      <c r="K32" s="41"/>
      <c r="L32" s="41">
        <f>SUM(I32:K32)</f>
        <v>227920</v>
      </c>
      <c r="M32" s="41">
        <f>SUM(L32)</f>
        <v>227920</v>
      </c>
    </row>
    <row r="33" spans="1:13">
      <c r="C33" s="4" t="s">
        <v>12</v>
      </c>
      <c r="I33" s="41">
        <v>91303</v>
      </c>
      <c r="J33" s="41">
        <v>904198</v>
      </c>
      <c r="K33" s="41">
        <v>-276681</v>
      </c>
      <c r="L33" s="41">
        <f>SUM(I33:K33)</f>
        <v>718820</v>
      </c>
      <c r="M33" s="41">
        <f t="shared" ref="M33" si="4">SUM(L33)</f>
        <v>718820</v>
      </c>
    </row>
    <row r="34" spans="1:13">
      <c r="A34" s="3"/>
      <c r="B34" s="3"/>
      <c r="C34" s="3"/>
      <c r="D34" s="3" t="s">
        <v>26</v>
      </c>
      <c r="E34" s="3"/>
      <c r="F34" s="3"/>
      <c r="G34" s="3"/>
      <c r="H34" s="3"/>
      <c r="I34" s="50">
        <f>SUM(I31:I33)</f>
        <v>319223</v>
      </c>
      <c r="J34" s="50">
        <f>SUM(J31:J33)</f>
        <v>904198</v>
      </c>
      <c r="K34" s="50">
        <f>SUM(K31:K33)</f>
        <v>-276681</v>
      </c>
      <c r="L34" s="50">
        <f>SUM(L31:L33)</f>
        <v>946740</v>
      </c>
    </row>
    <row r="35" spans="1:13">
      <c r="I35" s="41"/>
      <c r="J35" s="41"/>
      <c r="K35" s="41"/>
      <c r="L35" s="41"/>
    </row>
    <row r="36" spans="1:13">
      <c r="A36" s="3" t="s">
        <v>14</v>
      </c>
      <c r="I36" s="41"/>
      <c r="J36" s="41"/>
      <c r="K36" s="41"/>
      <c r="L36" s="41"/>
    </row>
    <row r="37" spans="1:13">
      <c r="B37" s="4" t="s">
        <v>88</v>
      </c>
      <c r="I37" s="41">
        <v>10043068</v>
      </c>
      <c r="J37" s="41">
        <v>175351</v>
      </c>
      <c r="K37" s="41"/>
      <c r="L37" s="41">
        <f>SUM(I37:K37)</f>
        <v>10218419</v>
      </c>
    </row>
    <row r="38" spans="1:13">
      <c r="B38" s="4" t="s">
        <v>89</v>
      </c>
      <c r="I38" s="41">
        <v>100350</v>
      </c>
      <c r="J38" s="41">
        <v>3043</v>
      </c>
      <c r="K38" s="41"/>
      <c r="L38" s="41">
        <f>SUM(I38:K38)</f>
        <v>103393</v>
      </c>
    </row>
    <row r="39" spans="1:13">
      <c r="B39" s="4" t="s">
        <v>18</v>
      </c>
      <c r="I39" s="41">
        <v>3016772</v>
      </c>
      <c r="J39" s="41">
        <v>103515</v>
      </c>
      <c r="K39" s="41"/>
      <c r="L39" s="41">
        <f>SUM(I39:K39)</f>
        <v>3120287</v>
      </c>
    </row>
    <row r="40" spans="1:13">
      <c r="B40" s="4" t="s">
        <v>16</v>
      </c>
      <c r="I40" s="41">
        <v>512284</v>
      </c>
      <c r="J40" s="41">
        <v>5667</v>
      </c>
      <c r="K40" s="41">
        <v>-274386</v>
      </c>
      <c r="L40" s="41">
        <f>SUM(I40:K40)</f>
        <v>243565</v>
      </c>
    </row>
    <row r="41" spans="1:13">
      <c r="A41" s="3"/>
      <c r="B41" s="3"/>
      <c r="C41" s="3"/>
      <c r="D41" s="3" t="s">
        <v>19</v>
      </c>
      <c r="E41" s="3"/>
      <c r="F41" s="3"/>
      <c r="G41" s="3"/>
      <c r="H41" s="3"/>
      <c r="I41" s="50">
        <f>SUM(I37:I40)</f>
        <v>13672474</v>
      </c>
      <c r="J41" s="50">
        <f>SUM(J37:J40)</f>
        <v>287576</v>
      </c>
      <c r="K41" s="50">
        <f>SUM(K37:K40)</f>
        <v>-274386</v>
      </c>
      <c r="L41" s="50">
        <f>SUM(L37:L40)</f>
        <v>13685664</v>
      </c>
      <c r="M41" s="3"/>
    </row>
    <row r="42" spans="1:13">
      <c r="I42" s="41"/>
      <c r="J42" s="41"/>
      <c r="K42" s="41"/>
      <c r="L42" s="41"/>
    </row>
    <row r="43" spans="1:13">
      <c r="A43" s="3" t="s">
        <v>20</v>
      </c>
      <c r="I43" s="41"/>
      <c r="J43" s="41"/>
      <c r="K43" s="41"/>
      <c r="L43" s="41"/>
    </row>
    <row r="44" spans="1:13">
      <c r="B44" s="4" t="s">
        <v>88</v>
      </c>
      <c r="I44" s="41">
        <v>-3057985</v>
      </c>
      <c r="J44" s="41">
        <v>-279601</v>
      </c>
      <c r="K44" s="41"/>
      <c r="L44" s="41">
        <f t="shared" ref="L44:L47" si="5">SUM(I44:K44)</f>
        <v>-3337586</v>
      </c>
      <c r="M44" s="41">
        <f>SUM(L44,L37)</f>
        <v>6880833</v>
      </c>
    </row>
    <row r="45" spans="1:13">
      <c r="B45" s="4" t="s">
        <v>89</v>
      </c>
      <c r="I45" s="41">
        <v>-81008</v>
      </c>
      <c r="J45" s="41">
        <v>-2065</v>
      </c>
      <c r="K45" s="41"/>
      <c r="L45" s="41">
        <f t="shared" si="5"/>
        <v>-83073</v>
      </c>
      <c r="M45" s="41">
        <f>SUM(L45,L38)</f>
        <v>20320</v>
      </c>
    </row>
    <row r="46" spans="1:13">
      <c r="B46" s="4" t="s">
        <v>18</v>
      </c>
      <c r="I46" s="41">
        <v>-1634374</v>
      </c>
      <c r="J46" s="41">
        <v>-125269</v>
      </c>
      <c r="K46" s="41"/>
      <c r="L46" s="41">
        <f t="shared" si="5"/>
        <v>-1759643</v>
      </c>
      <c r="M46" s="41">
        <f>SUM(L46,L39)</f>
        <v>1360644</v>
      </c>
    </row>
    <row r="47" spans="1:13">
      <c r="B47" s="4" t="s">
        <v>16</v>
      </c>
      <c r="I47" s="41">
        <v>-467117</v>
      </c>
      <c r="J47" s="41">
        <v>-12112</v>
      </c>
      <c r="K47" s="41">
        <v>274386</v>
      </c>
      <c r="L47" s="41">
        <f t="shared" si="5"/>
        <v>-204843</v>
      </c>
      <c r="M47" s="41">
        <f>SUM(L47,L40)</f>
        <v>38722</v>
      </c>
    </row>
    <row r="48" spans="1:13">
      <c r="A48" s="3"/>
      <c r="B48" s="3"/>
      <c r="C48" s="3"/>
      <c r="D48" s="3" t="s">
        <v>21</v>
      </c>
      <c r="E48" s="3"/>
      <c r="F48" s="3"/>
      <c r="G48" s="3"/>
      <c r="H48" s="3"/>
      <c r="I48" s="50">
        <f>SUM(I44:I47)</f>
        <v>-5240484</v>
      </c>
      <c r="J48" s="50">
        <f>SUM(J44:J47)</f>
        <v>-419047</v>
      </c>
      <c r="K48" s="50">
        <f>SUM(K44:K47)</f>
        <v>274386</v>
      </c>
      <c r="L48" s="50">
        <f>SUM(L44:L47)</f>
        <v>-5385145</v>
      </c>
      <c r="M48" s="3"/>
    </row>
    <row r="49" spans="1:13">
      <c r="A49" s="3"/>
      <c r="B49" s="3" t="s">
        <v>22</v>
      </c>
      <c r="C49" s="3"/>
      <c r="D49" s="3"/>
      <c r="E49" s="3"/>
      <c r="F49" s="3"/>
      <c r="G49" s="3"/>
      <c r="H49" s="3"/>
      <c r="I49" s="51">
        <f>I41+I48</f>
        <v>8431990</v>
      </c>
      <c r="J49" s="50">
        <f>J41+J48</f>
        <v>-131471</v>
      </c>
      <c r="K49" s="50">
        <f>K41+K48</f>
        <v>0</v>
      </c>
      <c r="L49" s="50">
        <f>L41+L48</f>
        <v>8300519</v>
      </c>
      <c r="M49" s="3"/>
    </row>
    <row r="50" spans="1:13" ht="19.5" thickBot="1">
      <c r="B50" s="3" t="s">
        <v>90</v>
      </c>
      <c r="I50" s="52">
        <f>I48+I41+I34</f>
        <v>8751213</v>
      </c>
      <c r="J50" s="52">
        <f>J48+J41+J34</f>
        <v>772727</v>
      </c>
      <c r="K50" s="52">
        <f>K48+K41+K34</f>
        <v>-276681</v>
      </c>
      <c r="L50" s="52">
        <f>SUM(I50:K50)</f>
        <v>9247259</v>
      </c>
      <c r="M50" s="41">
        <f>SUM(M44:M47,M32:M32,M33)</f>
        <v>9247259</v>
      </c>
    </row>
    <row r="51" spans="1:13" ht="19.5" thickTop="1"/>
  </sheetData>
  <mergeCells count="3">
    <mergeCell ref="D1:I1"/>
    <mergeCell ref="D2:I2"/>
    <mergeCell ref="D3:I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3"/>
  <sheetViews>
    <sheetView topLeftCell="E1" zoomScale="70" zoomScaleNormal="70" workbookViewId="0">
      <selection activeCell="E1" sqref="A1:XFD1048576"/>
    </sheetView>
  </sheetViews>
  <sheetFormatPr defaultColWidth="15.85546875" defaultRowHeight="18.75"/>
  <cols>
    <col min="1" max="1" width="7.85546875" style="4" customWidth="1"/>
    <col min="2" max="2" width="6.5703125" style="4" customWidth="1"/>
    <col min="3" max="3" width="5.28515625" style="4" customWidth="1"/>
    <col min="4" max="4" width="15.85546875" style="4" customWidth="1"/>
    <col min="5" max="6" width="15.85546875" style="4"/>
    <col min="7" max="7" width="18.42578125" style="41" bestFit="1" customWidth="1"/>
    <col min="8" max="9" width="16.85546875" style="41" bestFit="1" customWidth="1"/>
    <col min="10" max="10" width="18.42578125" style="41" bestFit="1" customWidth="1"/>
    <col min="11" max="16384" width="15.85546875" style="4"/>
  </cols>
  <sheetData>
    <row r="1" spans="1:14">
      <c r="D1" s="109" t="s">
        <v>91</v>
      </c>
      <c r="E1" s="109"/>
      <c r="F1" s="109"/>
      <c r="G1" s="109"/>
    </row>
    <row r="2" spans="1:14">
      <c r="D2" s="109" t="s">
        <v>1</v>
      </c>
      <c r="E2" s="109"/>
      <c r="F2" s="109"/>
      <c r="G2" s="109"/>
    </row>
    <row r="3" spans="1:14">
      <c r="D3" s="109" t="s">
        <v>2</v>
      </c>
      <c r="E3" s="109"/>
      <c r="F3" s="109"/>
      <c r="G3" s="109"/>
    </row>
    <row r="4" spans="1:14">
      <c r="D4" s="107"/>
      <c r="E4" s="107"/>
      <c r="F4" s="107"/>
      <c r="G4" s="42"/>
    </row>
    <row r="5" spans="1:14" ht="37.5">
      <c r="G5" s="108" t="s">
        <v>3</v>
      </c>
      <c r="H5" s="108" t="s">
        <v>4</v>
      </c>
      <c r="I5" s="108" t="s">
        <v>5</v>
      </c>
      <c r="J5" s="108" t="s">
        <v>6</v>
      </c>
      <c r="K5" s="108" t="s">
        <v>7</v>
      </c>
    </row>
    <row r="6" spans="1:14">
      <c r="G6" s="43"/>
      <c r="H6" s="43"/>
      <c r="I6" s="43"/>
      <c r="J6" s="43"/>
    </row>
    <row r="7" spans="1:14">
      <c r="A7" s="3" t="s">
        <v>25</v>
      </c>
      <c r="B7" s="3"/>
      <c r="C7" s="3"/>
      <c r="D7" s="3"/>
      <c r="E7" s="3"/>
      <c r="F7" s="3"/>
    </row>
    <row r="8" spans="1:14">
      <c r="A8" s="3"/>
      <c r="B8" s="3" t="s">
        <v>10</v>
      </c>
      <c r="C8" s="3"/>
      <c r="D8" s="3"/>
      <c r="E8" s="3"/>
      <c r="F8" s="3"/>
    </row>
    <row r="9" spans="1:14">
      <c r="C9" s="4" t="s">
        <v>11</v>
      </c>
      <c r="G9" s="41">
        <v>420095</v>
      </c>
      <c r="J9" s="41">
        <f>SUM(G9:I9)</f>
        <v>420095</v>
      </c>
      <c r="K9" s="41">
        <f>SUM(J9)</f>
        <v>420095</v>
      </c>
    </row>
    <row r="10" spans="1:14">
      <c r="C10" s="4" t="s">
        <v>12</v>
      </c>
      <c r="G10" s="45">
        <v>7412928</v>
      </c>
      <c r="H10" s="45">
        <v>519426</v>
      </c>
      <c r="I10" s="45"/>
      <c r="J10" s="45">
        <f>SUM(G10:I10)</f>
        <v>7932354</v>
      </c>
      <c r="K10" s="41">
        <f>SUM(J10)</f>
        <v>7932354</v>
      </c>
    </row>
    <row r="12" spans="1:14">
      <c r="A12" s="3"/>
      <c r="B12" s="3"/>
      <c r="C12" s="3"/>
      <c r="D12" s="3" t="s">
        <v>26</v>
      </c>
      <c r="E12" s="3"/>
      <c r="F12" s="3"/>
      <c r="G12" s="46">
        <f>SUM(G8:G11)</f>
        <v>7833023</v>
      </c>
      <c r="H12" s="46">
        <f>SUM(H8:H11)</f>
        <v>519426</v>
      </c>
      <c r="I12" s="46">
        <f>SUM(I8:I11)</f>
        <v>0</v>
      </c>
      <c r="J12" s="46">
        <f>SUM(J8:J11)</f>
        <v>8352449</v>
      </c>
      <c r="K12" s="3"/>
    </row>
    <row r="14" spans="1:14">
      <c r="A14" s="3" t="s">
        <v>14</v>
      </c>
      <c r="N14" s="41">
        <f>Caldwell!K30</f>
        <v>935</v>
      </c>
    </row>
    <row r="15" spans="1:14">
      <c r="A15" s="3"/>
      <c r="B15" s="4" t="s">
        <v>65</v>
      </c>
    </row>
    <row r="16" spans="1:14">
      <c r="A16" s="3"/>
      <c r="C16" s="4" t="s">
        <v>51</v>
      </c>
      <c r="G16" s="41">
        <v>47897858</v>
      </c>
      <c r="J16" s="41">
        <f t="shared" ref="J16:J17" si="0">SUM(G16:I16)</f>
        <v>47897858</v>
      </c>
    </row>
    <row r="17" spans="1:11">
      <c r="A17" s="3"/>
      <c r="C17" s="4" t="s">
        <v>52</v>
      </c>
      <c r="G17" s="41">
        <v>642997</v>
      </c>
      <c r="J17" s="41">
        <f t="shared" si="0"/>
        <v>642997</v>
      </c>
    </row>
    <row r="18" spans="1:11">
      <c r="B18" s="4" t="s">
        <v>15</v>
      </c>
      <c r="G18" s="41">
        <v>2914289</v>
      </c>
      <c r="H18" s="41">
        <v>63454</v>
      </c>
      <c r="I18" s="41">
        <v>0</v>
      </c>
      <c r="J18" s="41">
        <f>SUM(G18:I18)</f>
        <v>2977743</v>
      </c>
    </row>
    <row r="19" spans="1:11">
      <c r="B19" s="4" t="s">
        <v>92</v>
      </c>
      <c r="G19" s="41">
        <v>716214</v>
      </c>
      <c r="J19" s="41">
        <f>SUM(G19:I19)</f>
        <v>716214</v>
      </c>
    </row>
    <row r="20" spans="1:11">
      <c r="B20" s="4" t="s">
        <v>58</v>
      </c>
      <c r="G20" s="41">
        <v>1348353</v>
      </c>
      <c r="H20" s="41">
        <v>111861</v>
      </c>
      <c r="J20" s="41">
        <f t="shared" ref="J20:J23" si="1">SUM(G20:I20)</f>
        <v>1460214</v>
      </c>
    </row>
    <row r="21" spans="1:11">
      <c r="B21" s="4" t="s">
        <v>30</v>
      </c>
      <c r="G21" s="41">
        <v>1158700</v>
      </c>
      <c r="H21" s="41">
        <v>28527</v>
      </c>
      <c r="J21" s="41">
        <f t="shared" si="1"/>
        <v>1187227</v>
      </c>
    </row>
    <row r="22" spans="1:11">
      <c r="B22" s="4" t="s">
        <v>93</v>
      </c>
      <c r="G22" s="41">
        <v>283107</v>
      </c>
      <c r="H22" s="41">
        <v>2599</v>
      </c>
      <c r="J22" s="41">
        <f t="shared" si="1"/>
        <v>285706</v>
      </c>
    </row>
    <row r="23" spans="1:11">
      <c r="B23" s="4" t="s">
        <v>66</v>
      </c>
      <c r="G23" s="45">
        <v>577716</v>
      </c>
      <c r="H23" s="45"/>
      <c r="I23" s="45"/>
      <c r="J23" s="45">
        <f t="shared" si="1"/>
        <v>577716</v>
      </c>
    </row>
    <row r="25" spans="1:11">
      <c r="A25" s="3"/>
      <c r="B25" s="3"/>
      <c r="C25" s="3"/>
      <c r="D25" s="3" t="s">
        <v>19</v>
      </c>
      <c r="E25" s="3"/>
      <c r="F25" s="3"/>
      <c r="G25" s="46">
        <f>SUM(G16:G23)</f>
        <v>55539234</v>
      </c>
      <c r="H25" s="46">
        <f t="shared" ref="H25:J25" si="2">SUM(H16:H23)</f>
        <v>206441</v>
      </c>
      <c r="I25" s="46">
        <f t="shared" si="2"/>
        <v>0</v>
      </c>
      <c r="J25" s="46">
        <f t="shared" si="2"/>
        <v>55745675</v>
      </c>
      <c r="K25" s="3"/>
    </row>
    <row r="27" spans="1:11">
      <c r="A27" s="4" t="s">
        <v>20</v>
      </c>
    </row>
    <row r="28" spans="1:11">
      <c r="B28" s="4" t="s">
        <v>65</v>
      </c>
    </row>
    <row r="29" spans="1:11">
      <c r="C29" s="4" t="s">
        <v>51</v>
      </c>
      <c r="G29" s="41">
        <v>-46001271</v>
      </c>
      <c r="H29" s="41">
        <v>-149992</v>
      </c>
      <c r="J29" s="41">
        <f t="shared" ref="J29:J30" si="3">SUM(G29:I29)</f>
        <v>-46151263</v>
      </c>
      <c r="K29" s="41">
        <f t="shared" ref="K29:K36" si="4">J16+J29</f>
        <v>1746595</v>
      </c>
    </row>
    <row r="30" spans="1:11">
      <c r="C30" s="4" t="s">
        <v>52</v>
      </c>
      <c r="G30" s="41">
        <v>-642014</v>
      </c>
      <c r="H30" s="41">
        <v>-48</v>
      </c>
      <c r="J30" s="41">
        <f t="shared" si="3"/>
        <v>-642062</v>
      </c>
      <c r="K30" s="41">
        <f t="shared" si="4"/>
        <v>935</v>
      </c>
    </row>
    <row r="31" spans="1:11">
      <c r="B31" s="4" t="s">
        <v>15</v>
      </c>
      <c r="G31" s="41">
        <v>-2585383</v>
      </c>
      <c r="H31" s="41">
        <v>-16226</v>
      </c>
      <c r="I31" s="41">
        <v>0</v>
      </c>
      <c r="J31" s="41">
        <f>SUM(G31:I31)</f>
        <v>-2601609</v>
      </c>
      <c r="K31" s="41">
        <f t="shared" si="4"/>
        <v>376134</v>
      </c>
    </row>
    <row r="32" spans="1:11">
      <c r="B32" s="4" t="s">
        <v>92</v>
      </c>
      <c r="G32" s="41">
        <v>-155374</v>
      </c>
      <c r="H32" s="41">
        <v>-30960</v>
      </c>
      <c r="J32" s="41">
        <f>SUM(G32:I32)</f>
        <v>-186334</v>
      </c>
      <c r="K32" s="41">
        <f t="shared" si="4"/>
        <v>529880</v>
      </c>
    </row>
    <row r="33" spans="1:11">
      <c r="B33" s="4" t="s">
        <v>58</v>
      </c>
      <c r="G33" s="41">
        <v>-1122896</v>
      </c>
      <c r="H33" s="41">
        <v>-46857</v>
      </c>
      <c r="J33" s="41">
        <f t="shared" ref="J33:J36" si="5">SUM(G33:I33)</f>
        <v>-1169753</v>
      </c>
      <c r="K33" s="41">
        <f t="shared" si="4"/>
        <v>290461</v>
      </c>
    </row>
    <row r="34" spans="1:11">
      <c r="B34" s="4" t="s">
        <v>30</v>
      </c>
      <c r="G34" s="41">
        <v>-1008367</v>
      </c>
      <c r="H34" s="41">
        <v>-65499</v>
      </c>
      <c r="J34" s="41">
        <f t="shared" si="5"/>
        <v>-1073866</v>
      </c>
      <c r="K34" s="41">
        <f t="shared" si="4"/>
        <v>113361</v>
      </c>
    </row>
    <row r="35" spans="1:11">
      <c r="B35" s="4" t="s">
        <v>93</v>
      </c>
      <c r="G35" s="41">
        <v>-80043</v>
      </c>
      <c r="H35" s="41">
        <v>-25467</v>
      </c>
      <c r="J35" s="41">
        <f t="shared" si="5"/>
        <v>-105510</v>
      </c>
      <c r="K35" s="41">
        <f t="shared" si="4"/>
        <v>180196</v>
      </c>
    </row>
    <row r="36" spans="1:11">
      <c r="B36" s="4" t="s">
        <v>66</v>
      </c>
      <c r="G36" s="45">
        <v>-413330</v>
      </c>
      <c r="H36" s="45">
        <v>-35231</v>
      </c>
      <c r="I36" s="45"/>
      <c r="J36" s="45">
        <f t="shared" si="5"/>
        <v>-448561</v>
      </c>
      <c r="K36" s="41">
        <f t="shared" si="4"/>
        <v>129155</v>
      </c>
    </row>
    <row r="38" spans="1:11">
      <c r="A38" s="3"/>
      <c r="B38" s="3"/>
      <c r="C38" s="3"/>
      <c r="D38" s="3" t="s">
        <v>21</v>
      </c>
      <c r="E38" s="3"/>
      <c r="F38" s="3"/>
      <c r="G38" s="46">
        <f>SUM(G29:G36)</f>
        <v>-52008678</v>
      </c>
      <c r="H38" s="46">
        <f t="shared" ref="H38:J38" si="6">SUM(H29:H36)</f>
        <v>-370280</v>
      </c>
      <c r="I38" s="46">
        <f t="shared" si="6"/>
        <v>0</v>
      </c>
      <c r="J38" s="46">
        <f t="shared" si="6"/>
        <v>-52378958</v>
      </c>
      <c r="K38" s="3"/>
    </row>
    <row r="40" spans="1:11">
      <c r="A40" s="3"/>
      <c r="B40" s="3" t="s">
        <v>22</v>
      </c>
      <c r="C40" s="3"/>
      <c r="D40" s="3"/>
      <c r="E40" s="3"/>
      <c r="F40" s="3"/>
      <c r="G40" s="46">
        <f>G38+G25</f>
        <v>3530556</v>
      </c>
      <c r="H40" s="46">
        <f t="shared" ref="H40:J40" si="7">H38+H25</f>
        <v>-163839</v>
      </c>
      <c r="I40" s="46">
        <f t="shared" si="7"/>
        <v>0</v>
      </c>
      <c r="J40" s="46">
        <f t="shared" si="7"/>
        <v>3366717</v>
      </c>
      <c r="K40" s="3"/>
    </row>
    <row r="42" spans="1:11" ht="19.5" thickBot="1">
      <c r="B42" s="3" t="s">
        <v>23</v>
      </c>
      <c r="G42" s="48">
        <f>G40+G12</f>
        <v>11363579</v>
      </c>
      <c r="H42" s="48">
        <f>H40+H12</f>
        <v>355587</v>
      </c>
      <c r="I42" s="48">
        <f>I40+I12</f>
        <v>0</v>
      </c>
      <c r="J42" s="48">
        <f>J40+J12</f>
        <v>11719166</v>
      </c>
      <c r="K42" s="41">
        <f>SUM(K9:K36)</f>
        <v>11719166</v>
      </c>
    </row>
    <row r="43" spans="1:11" ht="19.5" thickTop="1"/>
  </sheetData>
  <mergeCells count="3">
    <mergeCell ref="D1:G1"/>
    <mergeCell ref="D2:G2"/>
    <mergeCell ref="D3:G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8"/>
  <sheetViews>
    <sheetView zoomScale="70" zoomScaleNormal="70" workbookViewId="0">
      <selection activeCell="O15" sqref="O15"/>
    </sheetView>
  </sheetViews>
  <sheetFormatPr defaultColWidth="15.85546875" defaultRowHeight="18.75"/>
  <cols>
    <col min="1" max="1" width="7.85546875" style="4" customWidth="1"/>
    <col min="2" max="2" width="15.85546875" style="4"/>
    <col min="3" max="3" width="5.28515625" style="4" customWidth="1"/>
    <col min="4" max="4" width="15.85546875" style="4" customWidth="1"/>
    <col min="5" max="6" width="15.85546875" style="4"/>
    <col min="7" max="7" width="18.42578125" style="41" bestFit="1" customWidth="1"/>
    <col min="8" max="8" width="16.85546875" style="41" bestFit="1" customWidth="1"/>
    <col min="9" max="9" width="16" style="41" bestFit="1" customWidth="1"/>
    <col min="10" max="10" width="18.42578125" style="41" bestFit="1" customWidth="1"/>
    <col min="11" max="11" width="17.5703125" style="4" bestFit="1" customWidth="1"/>
    <col min="12" max="12" width="15.85546875" style="4"/>
    <col min="13" max="13" width="46.42578125" style="4" customWidth="1"/>
    <col min="14" max="14" width="29" style="4" customWidth="1"/>
    <col min="15" max="16384" width="15.85546875" style="4"/>
  </cols>
  <sheetData>
    <row r="1" spans="1:15">
      <c r="D1" s="109" t="s">
        <v>94</v>
      </c>
      <c r="E1" s="109"/>
      <c r="F1" s="109"/>
      <c r="G1" s="109"/>
    </row>
    <row r="2" spans="1:15">
      <c r="D2" s="109" t="s">
        <v>1</v>
      </c>
      <c r="E2" s="109"/>
      <c r="F2" s="109"/>
      <c r="G2" s="109"/>
    </row>
    <row r="3" spans="1:15">
      <c r="D3" s="109" t="s">
        <v>2</v>
      </c>
      <c r="E3" s="109"/>
      <c r="F3" s="109"/>
      <c r="G3" s="109"/>
    </row>
    <row r="4" spans="1:15">
      <c r="D4" s="107"/>
      <c r="E4" s="107"/>
      <c r="F4" s="107"/>
      <c r="G4" s="42"/>
    </row>
    <row r="5" spans="1:15" ht="37.5">
      <c r="G5" s="108" t="s">
        <v>3</v>
      </c>
      <c r="H5" s="108" t="s">
        <v>4</v>
      </c>
      <c r="I5" s="108" t="s">
        <v>5</v>
      </c>
      <c r="J5" s="108" t="s">
        <v>6</v>
      </c>
      <c r="K5" s="108" t="s">
        <v>7</v>
      </c>
    </row>
    <row r="6" spans="1:15">
      <c r="G6" s="43"/>
      <c r="H6" s="43"/>
      <c r="I6" s="43"/>
      <c r="J6" s="43"/>
    </row>
    <row r="7" spans="1:15">
      <c r="C7" s="4" t="s">
        <v>11</v>
      </c>
      <c r="G7" s="41">
        <v>1381390</v>
      </c>
      <c r="J7" s="41">
        <f>SUM(G7:I7)</f>
        <v>1381390</v>
      </c>
      <c r="K7" s="41">
        <f>J7</f>
        <v>1381390</v>
      </c>
    </row>
    <row r="8" spans="1:15">
      <c r="C8" s="4" t="s">
        <v>12</v>
      </c>
      <c r="G8" s="45">
        <v>9198240</v>
      </c>
      <c r="H8" s="45">
        <v>15405895</v>
      </c>
      <c r="I8" s="45">
        <v>-3808770</v>
      </c>
      <c r="J8" s="45">
        <f>SUM(G8:I8)</f>
        <v>20795365</v>
      </c>
      <c r="K8" s="41">
        <f>J8</f>
        <v>20795365</v>
      </c>
      <c r="M8" s="3" t="s">
        <v>49</v>
      </c>
      <c r="N8" s="3"/>
    </row>
    <row r="9" spans="1:15">
      <c r="B9" s="4" t="s">
        <v>15</v>
      </c>
      <c r="G9" s="41">
        <v>35278285</v>
      </c>
      <c r="H9" s="41">
        <v>158249</v>
      </c>
      <c r="I9" s="41">
        <v>0</v>
      </c>
      <c r="J9" s="41">
        <f>SUM(G9:I9)</f>
        <v>35436534</v>
      </c>
      <c r="K9" s="41">
        <f>J9-M9</f>
        <v>29213489.847426414</v>
      </c>
      <c r="L9" s="4">
        <f>J9/M14</f>
        <v>0.32612692890413081</v>
      </c>
      <c r="M9" s="66">
        <f>J16*L9</f>
        <v>6223044.1525735836</v>
      </c>
      <c r="N9" s="41"/>
    </row>
    <row r="10" spans="1:15">
      <c r="B10" s="4" t="s">
        <v>95</v>
      </c>
      <c r="G10" s="41">
        <v>702647</v>
      </c>
      <c r="J10" s="41">
        <f t="shared" ref="J10:J12" si="0">SUM(G10:I10)</f>
        <v>702647</v>
      </c>
      <c r="K10" s="41">
        <f>J10-M10</f>
        <v>579254.47790194803</v>
      </c>
      <c r="L10" s="4">
        <f>J10/M14</f>
        <v>6.4665496973744891E-3</v>
      </c>
      <c r="M10" s="66">
        <f>J16*L10</f>
        <v>123392.52209805198</v>
      </c>
      <c r="N10" s="41"/>
    </row>
    <row r="11" spans="1:15">
      <c r="B11" s="4" t="s">
        <v>96</v>
      </c>
      <c r="G11" s="41">
        <v>17493034</v>
      </c>
      <c r="H11" s="41">
        <v>1214585</v>
      </c>
      <c r="I11" s="41">
        <v>-563297</v>
      </c>
      <c r="J11" s="41">
        <f t="shared" si="0"/>
        <v>18144322</v>
      </c>
      <c r="K11" s="41">
        <f>J11-M11</f>
        <v>14957979.991368111</v>
      </c>
      <c r="L11" s="4">
        <f>J11/M14</f>
        <v>0.16698450279893787</v>
      </c>
      <c r="M11" s="66">
        <f>J16*L11</f>
        <v>3186342.0086318892</v>
      </c>
      <c r="N11" s="41"/>
    </row>
    <row r="12" spans="1:15">
      <c r="B12" s="4" t="s">
        <v>18</v>
      </c>
      <c r="G12" s="45">
        <v>50724694</v>
      </c>
      <c r="H12" s="45">
        <v>3650521</v>
      </c>
      <c r="I12" s="45">
        <v>0</v>
      </c>
      <c r="J12" s="45">
        <f t="shared" si="0"/>
        <v>54375215</v>
      </c>
      <c r="K12" s="41">
        <f>J12-M12</f>
        <v>44826330.683303528</v>
      </c>
      <c r="L12" s="4">
        <f>J12/M14</f>
        <v>0.50042201859955682</v>
      </c>
      <c r="M12" s="66">
        <f>J16*L12</f>
        <v>9548884.3166964743</v>
      </c>
      <c r="N12" s="41"/>
    </row>
    <row r="13" spans="1:15" ht="21" customHeight="1">
      <c r="M13" s="3" t="s">
        <v>19</v>
      </c>
      <c r="N13" s="3"/>
    </row>
    <row r="14" spans="1:15">
      <c r="A14" s="3"/>
      <c r="B14" s="3"/>
      <c r="C14" s="3"/>
      <c r="D14" s="3" t="s">
        <v>19</v>
      </c>
      <c r="E14" s="3"/>
      <c r="F14" s="3"/>
      <c r="G14" s="46">
        <f>SUM(G7:G12)</f>
        <v>114778290</v>
      </c>
      <c r="H14" s="46">
        <f t="shared" ref="H14:J14" si="1">SUM(H7:H12)</f>
        <v>20429250</v>
      </c>
      <c r="I14" s="46">
        <f t="shared" si="1"/>
        <v>-4372067</v>
      </c>
      <c r="J14" s="46">
        <f t="shared" si="1"/>
        <v>130835473</v>
      </c>
      <c r="K14" s="3"/>
      <c r="L14" s="4">
        <f>SUM(L9:L12)</f>
        <v>1</v>
      </c>
      <c r="M14" s="44">
        <f>+J9+J10+J11++J12</f>
        <v>108658718</v>
      </c>
      <c r="N14" s="44"/>
      <c r="O14" s="41"/>
    </row>
    <row r="16" spans="1:15">
      <c r="A16" s="4" t="s">
        <v>97</v>
      </c>
      <c r="G16" s="45">
        <v>15476036</v>
      </c>
      <c r="H16" s="45">
        <v>4168924</v>
      </c>
      <c r="I16" s="45">
        <v>-563297</v>
      </c>
      <c r="J16" s="45">
        <f>SUM(G16:I16)</f>
        <v>19081663</v>
      </c>
    </row>
    <row r="18" spans="1:11">
      <c r="A18" s="3"/>
      <c r="B18" s="3" t="s">
        <v>22</v>
      </c>
      <c r="C18" s="3"/>
      <c r="D18" s="3"/>
      <c r="E18" s="3"/>
      <c r="F18" s="3"/>
      <c r="G18" s="46">
        <f>G14-G16</f>
        <v>99302254</v>
      </c>
      <c r="H18" s="46">
        <f t="shared" ref="H18:J18" si="2">H14-H16</f>
        <v>16260326</v>
      </c>
      <c r="I18" s="46">
        <f t="shared" si="2"/>
        <v>-3808770</v>
      </c>
      <c r="J18" s="46">
        <f t="shared" si="2"/>
        <v>111753810</v>
      </c>
      <c r="K18" s="44">
        <f>SUM(K7:K12)</f>
        <v>111753810</v>
      </c>
    </row>
  </sheetData>
  <mergeCells count="3">
    <mergeCell ref="D1:G1"/>
    <mergeCell ref="D2:G2"/>
    <mergeCell ref="D3:G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64"/>
  <sheetViews>
    <sheetView topLeftCell="A34" zoomScale="70" zoomScaleNormal="70" workbookViewId="0">
      <selection activeCell="M58" sqref="M58"/>
    </sheetView>
  </sheetViews>
  <sheetFormatPr defaultColWidth="15.85546875" defaultRowHeight="18.75"/>
  <cols>
    <col min="1" max="1" width="7.85546875" style="4" customWidth="1"/>
    <col min="2" max="2" width="15.85546875" style="4"/>
    <col min="3" max="3" width="5.28515625" style="4" customWidth="1"/>
    <col min="4" max="4" width="15.85546875" style="4" customWidth="1"/>
    <col min="5" max="7" width="15.85546875" style="4"/>
    <col min="8" max="8" width="8.42578125" style="4" customWidth="1"/>
    <col min="9" max="9" width="18.42578125" style="41" bestFit="1" customWidth="1"/>
    <col min="10" max="10" width="16.85546875" style="41" bestFit="1" customWidth="1"/>
    <col min="11" max="11" width="16" style="41" bestFit="1" customWidth="1"/>
    <col min="12" max="12" width="18.42578125" style="41" bestFit="1" customWidth="1"/>
    <col min="13" max="16384" width="15.85546875" style="4"/>
  </cols>
  <sheetData>
    <row r="1" spans="1:13">
      <c r="D1" s="109" t="s">
        <v>98</v>
      </c>
      <c r="E1" s="109"/>
      <c r="F1" s="109"/>
      <c r="G1" s="109"/>
      <c r="H1" s="109"/>
      <c r="I1" s="109"/>
    </row>
    <row r="2" spans="1:13">
      <c r="D2" s="109" t="s">
        <v>1</v>
      </c>
      <c r="E2" s="109"/>
      <c r="F2" s="109"/>
      <c r="G2" s="109"/>
      <c r="H2" s="109"/>
      <c r="I2" s="109"/>
    </row>
    <row r="3" spans="1:13">
      <c r="D3" s="109" t="s">
        <v>2</v>
      </c>
      <c r="E3" s="109"/>
      <c r="F3" s="109"/>
      <c r="G3" s="109"/>
      <c r="H3" s="109"/>
      <c r="I3" s="109"/>
    </row>
    <row r="4" spans="1:13">
      <c r="D4" s="107"/>
      <c r="E4" s="107"/>
      <c r="F4" s="107"/>
      <c r="G4" s="107"/>
      <c r="H4" s="107"/>
      <c r="I4" s="42"/>
    </row>
    <row r="5" spans="1:13" ht="37.5">
      <c r="I5" s="108" t="s">
        <v>3</v>
      </c>
      <c r="J5" s="108" t="s">
        <v>4</v>
      </c>
      <c r="K5" s="108" t="s">
        <v>5</v>
      </c>
      <c r="L5" s="108" t="s">
        <v>6</v>
      </c>
      <c r="M5" s="108" t="s">
        <v>7</v>
      </c>
    </row>
    <row r="6" spans="1:13">
      <c r="I6" s="43"/>
      <c r="J6" s="43"/>
      <c r="K6" s="43"/>
      <c r="L6" s="43"/>
    </row>
    <row r="7" spans="1:13">
      <c r="A7" s="3" t="s">
        <v>25</v>
      </c>
      <c r="B7" s="3"/>
      <c r="C7" s="3"/>
      <c r="D7" s="3"/>
      <c r="E7" s="3"/>
      <c r="F7" s="3"/>
    </row>
    <row r="8" spans="1:13">
      <c r="A8" s="3"/>
      <c r="B8" s="3" t="s">
        <v>10</v>
      </c>
      <c r="C8" s="3"/>
      <c r="D8" s="3"/>
      <c r="E8" s="3"/>
      <c r="F8" s="3"/>
    </row>
    <row r="9" spans="1:13">
      <c r="C9" s="4" t="s">
        <v>11</v>
      </c>
      <c r="I9" s="41">
        <v>112200</v>
      </c>
      <c r="K9" s="41">
        <v>0</v>
      </c>
      <c r="L9" s="41">
        <f>SUM(I9:K9)</f>
        <v>112200</v>
      </c>
      <c r="M9" s="41">
        <f>SUM(L9)</f>
        <v>112200</v>
      </c>
    </row>
    <row r="10" spans="1:13">
      <c r="C10" s="4" t="s">
        <v>12</v>
      </c>
      <c r="I10" s="45"/>
      <c r="J10" s="45"/>
      <c r="K10" s="45"/>
      <c r="L10" s="45">
        <f>SUM(I10:K10)</f>
        <v>0</v>
      </c>
      <c r="M10" s="41">
        <f>SUM(L10)</f>
        <v>0</v>
      </c>
    </row>
    <row r="12" spans="1:13">
      <c r="A12" s="3"/>
      <c r="B12" s="3"/>
      <c r="C12" s="3"/>
      <c r="D12" s="3" t="s">
        <v>26</v>
      </c>
      <c r="E12" s="3"/>
      <c r="F12" s="3"/>
      <c r="G12" s="3"/>
      <c r="H12" s="3"/>
      <c r="I12" s="46">
        <f>SUM(I8:I11)</f>
        <v>112200</v>
      </c>
      <c r="J12" s="46">
        <f>SUM(J8:J11)</f>
        <v>0</v>
      </c>
      <c r="K12" s="46">
        <f>SUM(K8:K11)</f>
        <v>0</v>
      </c>
      <c r="L12" s="46">
        <f>SUM(L8:L11)</f>
        <v>112200</v>
      </c>
      <c r="M12" s="3"/>
    </row>
    <row r="14" spans="1:13">
      <c r="A14" s="3" t="s">
        <v>14</v>
      </c>
    </row>
    <row r="15" spans="1:13">
      <c r="A15" s="3"/>
      <c r="B15" s="4" t="s">
        <v>99</v>
      </c>
      <c r="I15" s="41">
        <v>11318548</v>
      </c>
      <c r="J15" s="41">
        <v>70926</v>
      </c>
      <c r="L15" s="41">
        <f>SUM(I15:K15)</f>
        <v>11389474</v>
      </c>
    </row>
    <row r="16" spans="1:13">
      <c r="B16" s="4" t="s">
        <v>27</v>
      </c>
      <c r="I16" s="41">
        <v>2983414</v>
      </c>
      <c r="K16" s="41">
        <v>0</v>
      </c>
      <c r="L16" s="41">
        <f>SUM(I16:K16)</f>
        <v>2983414</v>
      </c>
    </row>
    <row r="17" spans="1:13">
      <c r="B17" s="4" t="s">
        <v>100</v>
      </c>
      <c r="I17" s="41">
        <v>1558229</v>
      </c>
      <c r="L17" s="41">
        <f t="shared" ref="L17:L21" si="0">SUM(I17:K17)</f>
        <v>1558229</v>
      </c>
    </row>
    <row r="18" spans="1:13">
      <c r="B18" s="4" t="s">
        <v>32</v>
      </c>
      <c r="I18" s="41">
        <v>1464919</v>
      </c>
      <c r="J18" s="41">
        <v>87117</v>
      </c>
      <c r="K18" s="41">
        <v>-80450</v>
      </c>
      <c r="L18" s="41">
        <f t="shared" si="0"/>
        <v>1471586</v>
      </c>
    </row>
    <row r="19" spans="1:13">
      <c r="B19" s="4" t="s">
        <v>58</v>
      </c>
      <c r="I19" s="41">
        <v>892178</v>
      </c>
      <c r="J19" s="41">
        <v>33895</v>
      </c>
      <c r="L19" s="41">
        <f t="shared" si="0"/>
        <v>926073</v>
      </c>
    </row>
    <row r="20" spans="1:13">
      <c r="B20" s="4" t="s">
        <v>30</v>
      </c>
      <c r="I20" s="41">
        <v>441923</v>
      </c>
      <c r="J20" s="41">
        <v>108476</v>
      </c>
      <c r="L20" s="41">
        <f t="shared" si="0"/>
        <v>550399</v>
      </c>
    </row>
    <row r="21" spans="1:13">
      <c r="B21" s="4" t="s">
        <v>101</v>
      </c>
      <c r="I21" s="45">
        <v>669345</v>
      </c>
      <c r="J21" s="45">
        <v>38586</v>
      </c>
      <c r="K21" s="45">
        <v>-17046</v>
      </c>
      <c r="L21" s="45">
        <f t="shared" si="0"/>
        <v>690885</v>
      </c>
    </row>
    <row r="23" spans="1:13">
      <c r="A23" s="3"/>
      <c r="B23" s="3"/>
      <c r="C23" s="3"/>
      <c r="D23" s="3" t="s">
        <v>19</v>
      </c>
      <c r="E23" s="3"/>
      <c r="F23" s="3"/>
      <c r="G23" s="3"/>
      <c r="H23" s="3"/>
      <c r="I23" s="46">
        <f>SUM(I15:I21)</f>
        <v>19328556</v>
      </c>
      <c r="J23" s="46">
        <f t="shared" ref="J23:L23" si="1">SUM(J15:J21)</f>
        <v>339000</v>
      </c>
      <c r="K23" s="46">
        <f t="shared" si="1"/>
        <v>-97496</v>
      </c>
      <c r="L23" s="46">
        <f t="shared" si="1"/>
        <v>19570060</v>
      </c>
      <c r="M23" s="3"/>
    </row>
    <row r="25" spans="1:13">
      <c r="A25" s="4" t="s">
        <v>20</v>
      </c>
    </row>
    <row r="26" spans="1:13">
      <c r="B26" s="4" t="s">
        <v>99</v>
      </c>
      <c r="I26" s="41">
        <v>8256786</v>
      </c>
      <c r="J26" s="41">
        <v>111334</v>
      </c>
      <c r="L26" s="41">
        <f>SUM(I26:K26)</f>
        <v>8368120</v>
      </c>
      <c r="M26" s="41">
        <f>L15-L26</f>
        <v>3021354</v>
      </c>
    </row>
    <row r="27" spans="1:13">
      <c r="B27" s="4" t="s">
        <v>27</v>
      </c>
      <c r="I27" s="41">
        <v>2531257</v>
      </c>
      <c r="J27" s="41">
        <v>22306</v>
      </c>
      <c r="K27" s="41">
        <v>0</v>
      </c>
      <c r="L27" s="41">
        <f>SUM(I27:K27)</f>
        <v>2553563</v>
      </c>
      <c r="M27" s="41">
        <f t="shared" ref="M27:M32" si="2">L16-L27</f>
        <v>429851</v>
      </c>
    </row>
    <row r="28" spans="1:13">
      <c r="B28" s="4" t="s">
        <v>100</v>
      </c>
      <c r="I28" s="41">
        <v>149509</v>
      </c>
      <c r="J28" s="41">
        <v>64696</v>
      </c>
      <c r="K28" s="41">
        <v>-80450</v>
      </c>
      <c r="L28" s="41">
        <f t="shared" ref="L28:L32" si="3">SUM(I28:K28)</f>
        <v>133755</v>
      </c>
      <c r="M28" s="41">
        <f t="shared" si="2"/>
        <v>1424474</v>
      </c>
    </row>
    <row r="29" spans="1:13">
      <c r="B29" s="4" t="s">
        <v>32</v>
      </c>
      <c r="I29" s="41">
        <v>1140465</v>
      </c>
      <c r="J29" s="41">
        <v>80953</v>
      </c>
      <c r="L29" s="41">
        <f t="shared" si="3"/>
        <v>1221418</v>
      </c>
      <c r="M29" s="41">
        <f t="shared" si="2"/>
        <v>250168</v>
      </c>
    </row>
    <row r="30" spans="1:13">
      <c r="B30" s="4" t="s">
        <v>58</v>
      </c>
      <c r="I30" s="41">
        <v>574687</v>
      </c>
      <c r="J30" s="41">
        <v>55392</v>
      </c>
      <c r="L30" s="41">
        <f t="shared" si="3"/>
        <v>630079</v>
      </c>
      <c r="M30" s="41">
        <f t="shared" si="2"/>
        <v>295994</v>
      </c>
    </row>
    <row r="31" spans="1:13">
      <c r="B31" s="4" t="s">
        <v>30</v>
      </c>
      <c r="I31" s="41">
        <v>253712</v>
      </c>
      <c r="J31" s="41">
        <v>46489</v>
      </c>
      <c r="L31" s="41">
        <f t="shared" si="3"/>
        <v>300201</v>
      </c>
      <c r="M31" s="41">
        <f t="shared" si="2"/>
        <v>250198</v>
      </c>
    </row>
    <row r="32" spans="1:13">
      <c r="B32" s="4" t="s">
        <v>101</v>
      </c>
      <c r="I32" s="45">
        <v>601853</v>
      </c>
      <c r="J32" s="45">
        <v>27501</v>
      </c>
      <c r="K32" s="45">
        <v>-17046</v>
      </c>
      <c r="L32" s="45">
        <f t="shared" si="3"/>
        <v>612308</v>
      </c>
      <c r="M32" s="41">
        <f t="shared" si="2"/>
        <v>78577</v>
      </c>
    </row>
    <row r="34" spans="1:13">
      <c r="A34" s="3"/>
      <c r="B34" s="3"/>
      <c r="C34" s="3"/>
      <c r="D34" s="3" t="s">
        <v>21</v>
      </c>
      <c r="E34" s="3"/>
      <c r="F34" s="3"/>
      <c r="G34" s="3"/>
      <c r="H34" s="3"/>
      <c r="I34" s="46">
        <f>SUM(I26:I32)</f>
        <v>13508269</v>
      </c>
      <c r="J34" s="46">
        <f t="shared" ref="J34:L34" si="4">SUM(J26:J32)</f>
        <v>408671</v>
      </c>
      <c r="K34" s="46">
        <f t="shared" si="4"/>
        <v>-97496</v>
      </c>
      <c r="L34" s="46">
        <f t="shared" si="4"/>
        <v>13819444</v>
      </c>
      <c r="M34" s="3"/>
    </row>
    <row r="36" spans="1:13">
      <c r="A36" s="3"/>
      <c r="B36" s="3" t="s">
        <v>22</v>
      </c>
      <c r="C36" s="3"/>
      <c r="D36" s="3"/>
      <c r="E36" s="3"/>
      <c r="F36" s="3"/>
      <c r="G36" s="3"/>
      <c r="H36" s="3"/>
      <c r="I36" s="46">
        <f>I23-I34</f>
        <v>5820287</v>
      </c>
      <c r="J36" s="46">
        <f t="shared" ref="J36:L36" si="5">J23-J34</f>
        <v>-69671</v>
      </c>
      <c r="K36" s="46">
        <f t="shared" si="5"/>
        <v>0</v>
      </c>
      <c r="L36" s="46">
        <f t="shared" si="5"/>
        <v>5750616</v>
      </c>
      <c r="M36" s="3"/>
    </row>
    <row r="38" spans="1:13" ht="19.5" thickBot="1">
      <c r="B38" s="3" t="s">
        <v>23</v>
      </c>
      <c r="I38" s="48">
        <f>I36+I12</f>
        <v>5932487</v>
      </c>
      <c r="J38" s="48">
        <f t="shared" ref="J38:L38" si="6">J36+J12</f>
        <v>-69671</v>
      </c>
      <c r="K38" s="48">
        <f t="shared" si="6"/>
        <v>0</v>
      </c>
      <c r="L38" s="48">
        <f t="shared" si="6"/>
        <v>5862816</v>
      </c>
      <c r="M38" s="41">
        <f>SUM(M9:M32,)</f>
        <v>5862816</v>
      </c>
    </row>
    <row r="39" spans="1:13" ht="19.5" thickTop="1"/>
    <row r="41" spans="1:13" ht="37.5">
      <c r="I41" s="108" t="s">
        <v>3</v>
      </c>
      <c r="J41" s="108" t="s">
        <v>4</v>
      </c>
      <c r="K41" s="108" t="s">
        <v>5</v>
      </c>
      <c r="L41" s="108" t="s">
        <v>6</v>
      </c>
    </row>
    <row r="42" spans="1:13">
      <c r="A42" s="3" t="s">
        <v>34</v>
      </c>
      <c r="B42" s="3"/>
      <c r="C42" s="3"/>
      <c r="D42" s="3"/>
      <c r="E42" s="3"/>
      <c r="F42" s="3"/>
    </row>
    <row r="43" spans="1:13">
      <c r="A43" s="3"/>
      <c r="B43" s="3" t="s">
        <v>10</v>
      </c>
      <c r="C43" s="3"/>
      <c r="D43" s="3"/>
      <c r="E43" s="3"/>
      <c r="F43" s="3"/>
    </row>
    <row r="44" spans="1:13">
      <c r="C44" s="4" t="s">
        <v>11</v>
      </c>
      <c r="J44" s="41">
        <v>0</v>
      </c>
      <c r="K44" s="41">
        <v>0</v>
      </c>
      <c r="L44" s="41">
        <f>SUM(I44:K44)</f>
        <v>0</v>
      </c>
      <c r="M44" s="41">
        <f>SUM(L44)</f>
        <v>0</v>
      </c>
    </row>
    <row r="45" spans="1:13">
      <c r="C45" s="4" t="s">
        <v>12</v>
      </c>
      <c r="I45" s="45"/>
      <c r="J45" s="45"/>
      <c r="K45" s="45">
        <v>0</v>
      </c>
      <c r="L45" s="45">
        <f>SUM(I45:K45)</f>
        <v>0</v>
      </c>
      <c r="M45" s="41">
        <f>SUM(L45)</f>
        <v>0</v>
      </c>
    </row>
    <row r="47" spans="1:13">
      <c r="A47" s="3"/>
      <c r="B47" s="3"/>
      <c r="C47" s="3"/>
      <c r="D47" s="3" t="s">
        <v>26</v>
      </c>
      <c r="E47" s="3"/>
      <c r="F47" s="3"/>
      <c r="G47" s="3"/>
      <c r="H47" s="3"/>
      <c r="I47" s="46">
        <f>SUM(I43:I46)</f>
        <v>0</v>
      </c>
      <c r="J47" s="46">
        <f>SUM(J43:J46)</f>
        <v>0</v>
      </c>
      <c r="K47" s="46">
        <f>SUM(K43:K46)</f>
        <v>0</v>
      </c>
      <c r="L47" s="46">
        <f>SUM(L43:L46)</f>
        <v>0</v>
      </c>
    </row>
    <row r="49" spans="2:13">
      <c r="B49" s="3" t="s">
        <v>35</v>
      </c>
    </row>
    <row r="50" spans="2:13">
      <c r="C50" s="4" t="s">
        <v>15</v>
      </c>
      <c r="I50" s="41">
        <v>88375</v>
      </c>
      <c r="K50" s="41">
        <v>0</v>
      </c>
      <c r="L50" s="41">
        <f t="shared" ref="L50:L51" si="7">SUM(I50:K50)</f>
        <v>88375</v>
      </c>
    </row>
    <row r="51" spans="2:13">
      <c r="C51" s="4" t="s">
        <v>66</v>
      </c>
      <c r="I51" s="45">
        <v>74150</v>
      </c>
      <c r="J51" s="45"/>
      <c r="K51" s="45">
        <v>0</v>
      </c>
      <c r="L51" s="45">
        <f t="shared" si="7"/>
        <v>74150</v>
      </c>
    </row>
    <row r="53" spans="2:13">
      <c r="D53" s="3" t="s">
        <v>39</v>
      </c>
      <c r="E53" s="3"/>
      <c r="F53" s="3"/>
      <c r="G53" s="3"/>
      <c r="I53" s="47">
        <f>SUM(I49:I51)</f>
        <v>162525</v>
      </c>
      <c r="J53" s="47">
        <f>SUM(J49:J51)</f>
        <v>0</v>
      </c>
      <c r="K53" s="47">
        <f>SUM(K49:K51)</f>
        <v>0</v>
      </c>
      <c r="L53" s="47">
        <f>SUM(L49:L51)</f>
        <v>162525</v>
      </c>
    </row>
    <row r="55" spans="2:13">
      <c r="B55" s="4" t="s">
        <v>20</v>
      </c>
    </row>
    <row r="56" spans="2:13">
      <c r="C56" s="4" t="s">
        <v>15</v>
      </c>
      <c r="I56" s="41">
        <v>24855</v>
      </c>
      <c r="J56" s="41">
        <v>2209</v>
      </c>
      <c r="L56" s="41">
        <f t="shared" ref="L56:L57" si="8">SUM(I56:K56)</f>
        <v>27064</v>
      </c>
      <c r="M56" s="41">
        <f>L50-L56</f>
        <v>61311</v>
      </c>
    </row>
    <row r="57" spans="2:13">
      <c r="C57" s="4" t="s">
        <v>66</v>
      </c>
      <c r="I57" s="45">
        <v>43568</v>
      </c>
      <c r="J57" s="45">
        <v>3277</v>
      </c>
      <c r="K57" s="45"/>
      <c r="L57" s="45">
        <f t="shared" si="8"/>
        <v>46845</v>
      </c>
      <c r="M57" s="41">
        <f>L51-L57</f>
        <v>27305</v>
      </c>
    </row>
    <row r="59" spans="2:13">
      <c r="D59" s="3" t="s">
        <v>21</v>
      </c>
      <c r="E59" s="3"/>
      <c r="F59" s="3"/>
      <c r="G59" s="3"/>
      <c r="I59" s="47">
        <f>SUM(I56:I57)</f>
        <v>68423</v>
      </c>
      <c r="J59" s="47">
        <f>SUM(J56:J57)</f>
        <v>5486</v>
      </c>
      <c r="K59" s="47">
        <f>SUM(K56:K57)</f>
        <v>0</v>
      </c>
      <c r="L59" s="47">
        <f>SUM(L56:L57)</f>
        <v>73909</v>
      </c>
    </row>
    <row r="60" spans="2:13">
      <c r="D60" s="3"/>
      <c r="E60" s="3"/>
      <c r="F60" s="3"/>
      <c r="G60" s="3"/>
    </row>
    <row r="61" spans="2:13">
      <c r="D61" s="3" t="s">
        <v>40</v>
      </c>
      <c r="E61" s="3"/>
      <c r="F61" s="3"/>
      <c r="G61" s="3"/>
      <c r="I61" s="47">
        <f>I53-I59</f>
        <v>94102</v>
      </c>
      <c r="J61" s="47">
        <f>J53-J59</f>
        <v>-5486</v>
      </c>
      <c r="K61" s="47">
        <f>K53+K59</f>
        <v>0</v>
      </c>
      <c r="L61" s="47">
        <f>L53-L59</f>
        <v>88616</v>
      </c>
    </row>
    <row r="62" spans="2:13">
      <c r="D62" s="3"/>
      <c r="E62" s="3"/>
      <c r="F62" s="3"/>
      <c r="G62" s="3"/>
    </row>
    <row r="63" spans="2:13" ht="19.5" thickBot="1">
      <c r="D63" s="3" t="s">
        <v>41</v>
      </c>
      <c r="E63" s="3"/>
      <c r="F63" s="3"/>
      <c r="G63" s="3"/>
      <c r="I63" s="48">
        <f>I61+I47</f>
        <v>94102</v>
      </c>
      <c r="J63" s="48">
        <f>J61+J47</f>
        <v>-5486</v>
      </c>
      <c r="K63" s="48">
        <f>K61+K47</f>
        <v>0</v>
      </c>
      <c r="L63" s="48">
        <f>L61+L47</f>
        <v>88616</v>
      </c>
      <c r="M63" s="41">
        <f>SUM(M56:M57,M44:M45)</f>
        <v>88616</v>
      </c>
    </row>
    <row r="64" spans="2:13" ht="19.5" thickTop="1"/>
  </sheetData>
  <mergeCells count="3">
    <mergeCell ref="D1:I1"/>
    <mergeCell ref="D2:I2"/>
    <mergeCell ref="D3:I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75"/>
  <sheetViews>
    <sheetView zoomScale="70" zoomScaleNormal="70" workbookViewId="0">
      <selection activeCell="F34" sqref="F34"/>
    </sheetView>
  </sheetViews>
  <sheetFormatPr defaultColWidth="15.85546875" defaultRowHeight="18.75"/>
  <cols>
    <col min="1" max="1" width="7.85546875" style="4" customWidth="1"/>
    <col min="2" max="2" width="6.5703125" style="4" customWidth="1"/>
    <col min="3" max="3" width="5.28515625" style="4" customWidth="1"/>
    <col min="4" max="4" width="15.85546875" style="4" customWidth="1"/>
    <col min="5" max="5" width="24.5703125" style="4" customWidth="1"/>
    <col min="6" max="6" width="15.85546875" style="4"/>
    <col min="7" max="7" width="18.42578125" style="41" bestFit="1" customWidth="1"/>
    <col min="8" max="9" width="16.85546875" style="41" bestFit="1" customWidth="1"/>
    <col min="10" max="10" width="16.85546875" style="41" customWidth="1"/>
    <col min="11" max="11" width="18.42578125" style="41" bestFit="1" customWidth="1"/>
    <col min="12" max="12" width="17.85546875" style="4" customWidth="1"/>
    <col min="13" max="16384" width="15.85546875" style="4"/>
  </cols>
  <sheetData>
    <row r="1" spans="1:12">
      <c r="D1" s="109" t="s">
        <v>102</v>
      </c>
      <c r="E1" s="109"/>
      <c r="F1" s="109"/>
      <c r="G1" s="109"/>
    </row>
    <row r="2" spans="1:12">
      <c r="D2" s="109" t="s">
        <v>1</v>
      </c>
      <c r="E2" s="109"/>
      <c r="F2" s="109"/>
      <c r="G2" s="109"/>
    </row>
    <row r="3" spans="1:12">
      <c r="D3" s="109" t="s">
        <v>2</v>
      </c>
      <c r="E3" s="109"/>
      <c r="F3" s="109"/>
      <c r="G3" s="109"/>
    </row>
    <row r="4" spans="1:12">
      <c r="D4" s="107"/>
      <c r="E4" s="107"/>
      <c r="F4" s="107"/>
      <c r="G4" s="42"/>
    </row>
    <row r="5" spans="1:12" ht="37.5">
      <c r="G5" s="108" t="s">
        <v>3</v>
      </c>
      <c r="H5" s="108" t="s">
        <v>86</v>
      </c>
      <c r="I5" s="108" t="s">
        <v>60</v>
      </c>
      <c r="J5" s="108" t="s">
        <v>61</v>
      </c>
      <c r="K5" s="108" t="s">
        <v>6</v>
      </c>
      <c r="L5" s="108" t="s">
        <v>7</v>
      </c>
    </row>
    <row r="6" spans="1:12">
      <c r="G6" s="43"/>
      <c r="H6" s="43"/>
      <c r="I6" s="43"/>
      <c r="J6" s="43"/>
      <c r="K6" s="43"/>
    </row>
    <row r="7" spans="1:12">
      <c r="A7" s="3" t="s">
        <v>25</v>
      </c>
      <c r="B7" s="3"/>
      <c r="C7" s="3"/>
      <c r="D7" s="3"/>
      <c r="E7" s="3"/>
      <c r="F7" s="3"/>
    </row>
    <row r="8" spans="1:12">
      <c r="A8" s="3"/>
      <c r="B8" s="3" t="s">
        <v>10</v>
      </c>
      <c r="C8" s="3"/>
      <c r="D8" s="3"/>
      <c r="E8" s="3"/>
      <c r="F8" s="3"/>
    </row>
    <row r="9" spans="1:12">
      <c r="A9" s="3"/>
      <c r="B9" s="3"/>
      <c r="C9" s="4" t="s">
        <v>103</v>
      </c>
      <c r="D9" s="3"/>
      <c r="E9" s="3"/>
      <c r="F9" s="3"/>
    </row>
    <row r="10" spans="1:12">
      <c r="A10" s="3"/>
      <c r="B10" s="3"/>
      <c r="C10" s="3"/>
      <c r="D10" s="4" t="s">
        <v>104</v>
      </c>
      <c r="E10" s="3"/>
      <c r="F10" s="3"/>
      <c r="G10" s="41">
        <v>49900</v>
      </c>
      <c r="K10" s="41">
        <f>SUM(G10:J10)</f>
        <v>49900</v>
      </c>
      <c r="L10" s="41">
        <f t="shared" ref="L10:L13" si="0">SUM(K10)</f>
        <v>49900</v>
      </c>
    </row>
    <row r="11" spans="1:12">
      <c r="D11" s="4" t="s">
        <v>105</v>
      </c>
      <c r="H11" s="41">
        <v>3580</v>
      </c>
      <c r="K11" s="41">
        <f t="shared" ref="K11:K14" si="1">SUM(G11:J11)</f>
        <v>3580</v>
      </c>
      <c r="L11" s="41">
        <f t="shared" si="0"/>
        <v>3580</v>
      </c>
    </row>
    <row r="12" spans="1:12">
      <c r="D12" s="4" t="s">
        <v>106</v>
      </c>
      <c r="G12" s="41">
        <v>30000</v>
      </c>
      <c r="K12" s="41">
        <f t="shared" si="1"/>
        <v>30000</v>
      </c>
      <c r="L12" s="41">
        <f t="shared" si="0"/>
        <v>30000</v>
      </c>
    </row>
    <row r="13" spans="1:12">
      <c r="D13" s="4" t="s">
        <v>107</v>
      </c>
      <c r="G13" s="41">
        <v>15360</v>
      </c>
      <c r="K13" s="41">
        <f t="shared" si="1"/>
        <v>15360</v>
      </c>
      <c r="L13" s="41">
        <f t="shared" si="0"/>
        <v>15360</v>
      </c>
    </row>
    <row r="14" spans="1:12">
      <c r="C14" s="4" t="s">
        <v>12</v>
      </c>
      <c r="G14" s="45">
        <v>235496</v>
      </c>
      <c r="H14" s="45">
        <v>-3580</v>
      </c>
      <c r="I14" s="45">
        <v>2109471</v>
      </c>
      <c r="J14" s="45"/>
      <c r="K14" s="45">
        <f t="shared" si="1"/>
        <v>2341387</v>
      </c>
      <c r="L14" s="41">
        <f>SUM(K14)</f>
        <v>2341387</v>
      </c>
    </row>
    <row r="16" spans="1:12">
      <c r="A16" s="3"/>
      <c r="B16" s="3"/>
      <c r="C16" s="3"/>
      <c r="D16" s="3" t="s">
        <v>26</v>
      </c>
      <c r="E16" s="3"/>
      <c r="F16" s="3"/>
      <c r="G16" s="46">
        <f>SUM(G10:G14)</f>
        <v>330756</v>
      </c>
      <c r="H16" s="46">
        <f t="shared" ref="H16:K16" si="2">SUM(H10:H14)</f>
        <v>0</v>
      </c>
      <c r="I16" s="46">
        <f t="shared" si="2"/>
        <v>2109471</v>
      </c>
      <c r="J16" s="46">
        <f t="shared" si="2"/>
        <v>0</v>
      </c>
      <c r="K16" s="46">
        <f t="shared" si="2"/>
        <v>2440227</v>
      </c>
      <c r="L16" s="3"/>
    </row>
    <row r="18" spans="1:15">
      <c r="A18" s="3" t="s">
        <v>14</v>
      </c>
      <c r="O18" s="41">
        <f>Caldwell!K30</f>
        <v>935</v>
      </c>
    </row>
    <row r="19" spans="1:15">
      <c r="A19" s="3"/>
      <c r="B19" s="4" t="s">
        <v>65</v>
      </c>
    </row>
    <row r="20" spans="1:15">
      <c r="A20" s="3"/>
      <c r="C20" s="4" t="s">
        <v>51</v>
      </c>
      <c r="G20" s="41">
        <v>15517189</v>
      </c>
      <c r="K20" s="41">
        <f>SUM(G20:J20)</f>
        <v>15517189</v>
      </c>
    </row>
    <row r="21" spans="1:15">
      <c r="A21" s="3"/>
      <c r="C21" s="4" t="s">
        <v>52</v>
      </c>
      <c r="G21" s="41">
        <v>1912668</v>
      </c>
      <c r="K21" s="41">
        <f t="shared" ref="K21:K41" si="3">SUM(G21:J21)</f>
        <v>1912668</v>
      </c>
    </row>
    <row r="22" spans="1:15">
      <c r="B22" s="4" t="s">
        <v>92</v>
      </c>
      <c r="G22" s="41">
        <v>15995</v>
      </c>
      <c r="I22" s="41">
        <v>0</v>
      </c>
      <c r="K22" s="41">
        <f t="shared" si="3"/>
        <v>15995</v>
      </c>
    </row>
    <row r="23" spans="1:15">
      <c r="B23" s="4" t="s">
        <v>15</v>
      </c>
      <c r="G23" s="41">
        <v>2549623</v>
      </c>
      <c r="K23" s="41">
        <f t="shared" si="3"/>
        <v>2549623</v>
      </c>
    </row>
    <row r="24" spans="1:15">
      <c r="B24" s="4" t="s">
        <v>108</v>
      </c>
      <c r="G24" s="41">
        <v>2705883</v>
      </c>
      <c r="I24" s="41">
        <v>225117</v>
      </c>
      <c r="J24" s="41">
        <v>-81315</v>
      </c>
      <c r="K24" s="41">
        <f t="shared" si="3"/>
        <v>2849685</v>
      </c>
    </row>
    <row r="25" spans="1:15">
      <c r="B25" s="4" t="s">
        <v>109</v>
      </c>
      <c r="G25" s="41">
        <v>82575</v>
      </c>
      <c r="K25" s="41">
        <f t="shared" si="3"/>
        <v>82575</v>
      </c>
    </row>
    <row r="26" spans="1:15">
      <c r="B26" s="4" t="s">
        <v>30</v>
      </c>
      <c r="G26" s="41">
        <v>201599</v>
      </c>
      <c r="I26" s="41">
        <v>46198</v>
      </c>
      <c r="J26" s="41">
        <v>-15350</v>
      </c>
      <c r="K26" s="41">
        <f t="shared" si="3"/>
        <v>232447</v>
      </c>
    </row>
    <row r="27" spans="1:15">
      <c r="B27" s="4" t="s">
        <v>66</v>
      </c>
      <c r="G27" s="41">
        <v>249691</v>
      </c>
      <c r="K27" s="41">
        <f t="shared" si="3"/>
        <v>249691</v>
      </c>
    </row>
    <row r="28" spans="1:15">
      <c r="B28" s="4" t="s">
        <v>110</v>
      </c>
    </row>
    <row r="29" spans="1:15">
      <c r="C29" s="4" t="s">
        <v>30</v>
      </c>
      <c r="G29" s="41">
        <v>45517</v>
      </c>
      <c r="K29" s="41">
        <f t="shared" si="3"/>
        <v>45517</v>
      </c>
    </row>
    <row r="30" spans="1:15">
      <c r="C30" s="4" t="s">
        <v>66</v>
      </c>
      <c r="G30" s="41">
        <v>50506</v>
      </c>
      <c r="K30" s="41">
        <f t="shared" si="3"/>
        <v>50506</v>
      </c>
    </row>
    <row r="31" spans="1:15">
      <c r="C31" s="4" t="s">
        <v>15</v>
      </c>
      <c r="G31" s="41">
        <v>13205</v>
      </c>
      <c r="K31" s="41">
        <f t="shared" si="3"/>
        <v>13205</v>
      </c>
    </row>
    <row r="32" spans="1:15">
      <c r="B32" s="4" t="s">
        <v>111</v>
      </c>
    </row>
    <row r="33" spans="1:12">
      <c r="C33" s="4" t="s">
        <v>92</v>
      </c>
      <c r="G33" s="41">
        <v>7800</v>
      </c>
      <c r="K33" s="41">
        <f t="shared" si="3"/>
        <v>7800</v>
      </c>
    </row>
    <row r="34" spans="1:12">
      <c r="C34" s="4" t="s">
        <v>15</v>
      </c>
      <c r="G34" s="41">
        <v>62156</v>
      </c>
      <c r="K34" s="41">
        <f t="shared" si="3"/>
        <v>62156</v>
      </c>
    </row>
    <row r="35" spans="1:12">
      <c r="C35" s="4" t="s">
        <v>30</v>
      </c>
      <c r="G35" s="41">
        <v>430873</v>
      </c>
      <c r="I35" s="41">
        <v>44620</v>
      </c>
      <c r="J35" s="41">
        <v>-22530</v>
      </c>
      <c r="K35" s="41">
        <f t="shared" si="3"/>
        <v>452963</v>
      </c>
    </row>
    <row r="36" spans="1:12">
      <c r="C36" s="4" t="s">
        <v>66</v>
      </c>
      <c r="G36" s="41">
        <v>116327</v>
      </c>
      <c r="K36" s="41">
        <f t="shared" si="3"/>
        <v>116327</v>
      </c>
    </row>
    <row r="37" spans="1:12">
      <c r="B37" s="4" t="s">
        <v>112</v>
      </c>
    </row>
    <row r="38" spans="1:12">
      <c r="C38" s="4" t="s">
        <v>15</v>
      </c>
      <c r="G38" s="41">
        <v>797365</v>
      </c>
      <c r="J38" s="41">
        <v>-6999</v>
      </c>
      <c r="K38" s="41">
        <f>SUM(G38:J38)</f>
        <v>790366</v>
      </c>
    </row>
    <row r="39" spans="1:12">
      <c r="C39" s="4" t="s">
        <v>113</v>
      </c>
      <c r="G39" s="41">
        <v>49901</v>
      </c>
      <c r="K39" s="41">
        <f t="shared" si="3"/>
        <v>49901</v>
      </c>
    </row>
    <row r="40" spans="1:12">
      <c r="C40" s="4" t="s">
        <v>63</v>
      </c>
      <c r="G40" s="41">
        <v>91746</v>
      </c>
      <c r="I40" s="41">
        <v>37009</v>
      </c>
      <c r="J40" s="41">
        <v>-32601</v>
      </c>
      <c r="K40" s="41">
        <f t="shared" si="3"/>
        <v>96154</v>
      </c>
    </row>
    <row r="41" spans="1:12">
      <c r="C41" s="4" t="s">
        <v>95</v>
      </c>
      <c r="G41" s="45">
        <v>771167</v>
      </c>
      <c r="H41" s="45"/>
      <c r="I41" s="45">
        <v>29537</v>
      </c>
      <c r="J41" s="45">
        <v>-40881</v>
      </c>
      <c r="K41" s="45">
        <f t="shared" si="3"/>
        <v>759823</v>
      </c>
    </row>
    <row r="43" spans="1:12">
      <c r="A43" s="3"/>
      <c r="B43" s="3"/>
      <c r="C43" s="3"/>
      <c r="D43" s="3" t="s">
        <v>19</v>
      </c>
      <c r="E43" s="3"/>
      <c r="F43" s="3"/>
      <c r="G43" s="46">
        <f>SUM(G20:G41)</f>
        <v>25671786</v>
      </c>
      <c r="H43" s="46">
        <f t="shared" ref="H43:K43" si="4">SUM(H20:H41)</f>
        <v>0</v>
      </c>
      <c r="I43" s="46">
        <f t="shared" si="4"/>
        <v>382481</v>
      </c>
      <c r="J43" s="46">
        <f t="shared" si="4"/>
        <v>-199676</v>
      </c>
      <c r="K43" s="46">
        <f t="shared" si="4"/>
        <v>25854591</v>
      </c>
      <c r="L43" s="3"/>
    </row>
    <row r="45" spans="1:12">
      <c r="A45" s="4" t="s">
        <v>20</v>
      </c>
    </row>
    <row r="46" spans="1:12">
      <c r="B46" s="4" t="s">
        <v>65</v>
      </c>
    </row>
    <row r="47" spans="1:12">
      <c r="C47" s="4" t="s">
        <v>51</v>
      </c>
      <c r="G47" s="41">
        <v>14338755</v>
      </c>
      <c r="I47" s="41">
        <v>37255</v>
      </c>
      <c r="K47" s="41">
        <f>SUM(G47:J47)</f>
        <v>14376010</v>
      </c>
      <c r="L47" s="41">
        <f>K20-K47</f>
        <v>1141179</v>
      </c>
    </row>
    <row r="48" spans="1:12">
      <c r="C48" s="4" t="s">
        <v>52</v>
      </c>
      <c r="G48" s="41">
        <v>1171761</v>
      </c>
      <c r="I48" s="41">
        <v>42692</v>
      </c>
      <c r="K48" s="41">
        <f t="shared" ref="K48:K68" si="5">SUM(G48:J48)</f>
        <v>1214453</v>
      </c>
      <c r="L48" s="41">
        <f t="shared" ref="L48:L68" si="6">K21-K48</f>
        <v>698215</v>
      </c>
    </row>
    <row r="49" spans="2:12">
      <c r="B49" s="4" t="s">
        <v>92</v>
      </c>
      <c r="G49" s="41">
        <v>13263</v>
      </c>
      <c r="I49" s="41">
        <v>800</v>
      </c>
      <c r="K49" s="41">
        <f t="shared" si="5"/>
        <v>14063</v>
      </c>
      <c r="L49" s="41">
        <f t="shared" si="6"/>
        <v>1932</v>
      </c>
    </row>
    <row r="50" spans="2:12">
      <c r="B50" s="4" t="s">
        <v>15</v>
      </c>
      <c r="G50" s="41">
        <v>1624627</v>
      </c>
      <c r="I50" s="41">
        <v>57209</v>
      </c>
      <c r="K50" s="41">
        <f t="shared" si="5"/>
        <v>1681836</v>
      </c>
      <c r="L50" s="41">
        <f t="shared" si="6"/>
        <v>867787</v>
      </c>
    </row>
    <row r="51" spans="2:12">
      <c r="B51" s="4" t="s">
        <v>108</v>
      </c>
      <c r="G51" s="41">
        <v>1647131</v>
      </c>
      <c r="I51" s="41">
        <v>170514</v>
      </c>
      <c r="J51" s="41">
        <v>-73432</v>
      </c>
      <c r="K51" s="41">
        <f t="shared" si="5"/>
        <v>1744213</v>
      </c>
      <c r="L51" s="41">
        <f t="shared" si="6"/>
        <v>1105472</v>
      </c>
    </row>
    <row r="52" spans="2:12">
      <c r="B52" s="4" t="s">
        <v>109</v>
      </c>
      <c r="G52" s="41">
        <v>55031</v>
      </c>
      <c r="I52" s="41">
        <v>3200</v>
      </c>
      <c r="K52" s="41">
        <f t="shared" si="5"/>
        <v>58231</v>
      </c>
      <c r="L52" s="41">
        <f t="shared" si="6"/>
        <v>24344</v>
      </c>
    </row>
    <row r="53" spans="2:12">
      <c r="B53" s="4" t="s">
        <v>30</v>
      </c>
      <c r="G53" s="41">
        <v>84438</v>
      </c>
      <c r="I53" s="41">
        <v>26068</v>
      </c>
      <c r="J53" s="41">
        <v>-9722</v>
      </c>
      <c r="K53" s="41">
        <f t="shared" si="5"/>
        <v>100784</v>
      </c>
      <c r="L53" s="41">
        <f t="shared" si="6"/>
        <v>131663</v>
      </c>
    </row>
    <row r="54" spans="2:12">
      <c r="B54" s="4" t="s">
        <v>66</v>
      </c>
      <c r="G54" s="41">
        <v>61005</v>
      </c>
      <c r="I54" s="41">
        <v>23913</v>
      </c>
      <c r="K54" s="41">
        <f t="shared" si="5"/>
        <v>84918</v>
      </c>
      <c r="L54" s="41">
        <f t="shared" si="6"/>
        <v>164773</v>
      </c>
    </row>
    <row r="55" spans="2:12">
      <c r="B55" s="4" t="s">
        <v>110</v>
      </c>
      <c r="L55" s="41">
        <f t="shared" si="6"/>
        <v>0</v>
      </c>
    </row>
    <row r="56" spans="2:12">
      <c r="C56" s="4" t="s">
        <v>30</v>
      </c>
      <c r="G56" s="41">
        <v>41137</v>
      </c>
      <c r="H56" s="41">
        <v>-2983</v>
      </c>
      <c r="I56" s="41">
        <v>5522</v>
      </c>
      <c r="K56" s="41">
        <f t="shared" si="5"/>
        <v>43676</v>
      </c>
      <c r="L56" s="41">
        <f t="shared" si="6"/>
        <v>1841</v>
      </c>
    </row>
    <row r="57" spans="2:12">
      <c r="C57" s="4" t="s">
        <v>66</v>
      </c>
      <c r="G57" s="41">
        <v>35545</v>
      </c>
      <c r="H57" s="41">
        <v>130</v>
      </c>
      <c r="I57" s="41">
        <v>9833</v>
      </c>
      <c r="K57" s="41">
        <f t="shared" si="5"/>
        <v>45508</v>
      </c>
      <c r="L57" s="41">
        <f t="shared" si="6"/>
        <v>4998</v>
      </c>
    </row>
    <row r="58" spans="2:12">
      <c r="C58" s="4" t="s">
        <v>15</v>
      </c>
      <c r="G58" s="41">
        <v>2365</v>
      </c>
      <c r="I58" s="41">
        <v>660</v>
      </c>
      <c r="K58" s="41">
        <f t="shared" si="5"/>
        <v>3025</v>
      </c>
      <c r="L58" s="41">
        <f t="shared" si="6"/>
        <v>10180</v>
      </c>
    </row>
    <row r="59" spans="2:12">
      <c r="B59" s="4" t="s">
        <v>111</v>
      </c>
      <c r="L59" s="41">
        <f t="shared" si="6"/>
        <v>0</v>
      </c>
    </row>
    <row r="60" spans="2:12">
      <c r="C60" s="4" t="s">
        <v>92</v>
      </c>
      <c r="G60" s="41">
        <v>8255</v>
      </c>
      <c r="H60" s="41">
        <v>-455</v>
      </c>
      <c r="K60" s="41">
        <f t="shared" si="5"/>
        <v>7800</v>
      </c>
      <c r="L60" s="41">
        <f t="shared" si="6"/>
        <v>0</v>
      </c>
    </row>
    <row r="61" spans="2:12">
      <c r="C61" s="4" t="s">
        <v>15</v>
      </c>
      <c r="G61" s="41">
        <v>42647</v>
      </c>
      <c r="I61" s="41">
        <v>2072</v>
      </c>
      <c r="K61" s="41">
        <f t="shared" si="5"/>
        <v>44719</v>
      </c>
      <c r="L61" s="41">
        <f t="shared" si="6"/>
        <v>17437</v>
      </c>
    </row>
    <row r="62" spans="2:12">
      <c r="C62" s="4" t="s">
        <v>30</v>
      </c>
      <c r="G62" s="41">
        <v>381138</v>
      </c>
      <c r="I62" s="41">
        <v>29991</v>
      </c>
      <c r="J62" s="41">
        <v>-22530</v>
      </c>
      <c r="K62" s="41">
        <f t="shared" si="5"/>
        <v>388599</v>
      </c>
      <c r="L62" s="41">
        <f t="shared" si="6"/>
        <v>64364</v>
      </c>
    </row>
    <row r="63" spans="2:12">
      <c r="C63" s="4" t="s">
        <v>66</v>
      </c>
      <c r="G63" s="41">
        <v>107136</v>
      </c>
      <c r="H63" s="41">
        <v>-450</v>
      </c>
      <c r="K63" s="41">
        <f t="shared" si="5"/>
        <v>106686</v>
      </c>
      <c r="L63" s="41">
        <f t="shared" si="6"/>
        <v>9641</v>
      </c>
    </row>
    <row r="64" spans="2:12">
      <c r="B64" s="4" t="s">
        <v>112</v>
      </c>
      <c r="L64" s="41">
        <f t="shared" si="6"/>
        <v>0</v>
      </c>
    </row>
    <row r="65" spans="1:12">
      <c r="C65" s="4" t="s">
        <v>15</v>
      </c>
      <c r="G65" s="41">
        <v>439585</v>
      </c>
      <c r="I65" s="41">
        <v>21587</v>
      </c>
      <c r="J65" s="41">
        <v>-1575</v>
      </c>
      <c r="K65" s="41">
        <f t="shared" si="5"/>
        <v>459597</v>
      </c>
      <c r="L65" s="41">
        <f t="shared" si="6"/>
        <v>330769</v>
      </c>
    </row>
    <row r="66" spans="1:12">
      <c r="C66" s="4" t="s">
        <v>30</v>
      </c>
      <c r="G66" s="41">
        <v>49901</v>
      </c>
      <c r="K66" s="41">
        <f t="shared" si="5"/>
        <v>49901</v>
      </c>
      <c r="L66" s="41">
        <f t="shared" si="6"/>
        <v>0</v>
      </c>
    </row>
    <row r="67" spans="1:12">
      <c r="C67" s="4" t="s">
        <v>63</v>
      </c>
      <c r="G67" s="41">
        <v>73379</v>
      </c>
      <c r="I67" s="41">
        <v>7182</v>
      </c>
      <c r="J67" s="41">
        <v>-29392</v>
      </c>
      <c r="K67" s="41">
        <f t="shared" si="5"/>
        <v>51169</v>
      </c>
      <c r="L67" s="41">
        <f t="shared" si="6"/>
        <v>44985</v>
      </c>
    </row>
    <row r="68" spans="1:12">
      <c r="C68" s="4" t="s">
        <v>95</v>
      </c>
      <c r="G68" s="45">
        <v>734660</v>
      </c>
      <c r="H68" s="45">
        <v>-7657</v>
      </c>
      <c r="I68" s="45">
        <v>73701</v>
      </c>
      <c r="J68" s="45">
        <v>-40881</v>
      </c>
      <c r="K68" s="45">
        <f t="shared" si="5"/>
        <v>759823</v>
      </c>
      <c r="L68" s="41">
        <f t="shared" si="6"/>
        <v>0</v>
      </c>
    </row>
    <row r="70" spans="1:12">
      <c r="A70" s="3"/>
      <c r="B70" s="3"/>
      <c r="C70" s="3"/>
      <c r="D70" s="3" t="s">
        <v>21</v>
      </c>
      <c r="E70" s="3"/>
      <c r="F70" s="3"/>
      <c r="G70" s="46">
        <f>SUM(G47:G68)</f>
        <v>20911759</v>
      </c>
      <c r="H70" s="46">
        <f t="shared" ref="H70:K70" si="7">SUM(H47:H68)</f>
        <v>-11415</v>
      </c>
      <c r="I70" s="46">
        <f t="shared" si="7"/>
        <v>512199</v>
      </c>
      <c r="J70" s="46"/>
      <c r="K70" s="46">
        <f t="shared" si="7"/>
        <v>21235011</v>
      </c>
      <c r="L70" s="3"/>
    </row>
    <row r="72" spans="1:12">
      <c r="A72" s="3"/>
      <c r="B72" s="3" t="s">
        <v>22</v>
      </c>
      <c r="C72" s="3"/>
      <c r="D72" s="3"/>
      <c r="E72" s="3"/>
      <c r="F72" s="3"/>
      <c r="G72" s="46">
        <f>G43-G70</f>
        <v>4760027</v>
      </c>
      <c r="H72" s="46">
        <f t="shared" ref="H72:K72" si="8">H43-H70</f>
        <v>11415</v>
      </c>
      <c r="I72" s="46">
        <f t="shared" si="8"/>
        <v>-129718</v>
      </c>
      <c r="J72" s="46">
        <f t="shared" si="8"/>
        <v>-199676</v>
      </c>
      <c r="K72" s="46">
        <f t="shared" si="8"/>
        <v>4619580</v>
      </c>
      <c r="L72" s="3"/>
    </row>
    <row r="74" spans="1:12" ht="19.5" thickBot="1">
      <c r="B74" s="3" t="s">
        <v>23</v>
      </c>
      <c r="G74" s="48">
        <f>G72+G16</f>
        <v>5090783</v>
      </c>
      <c r="H74" s="48">
        <f>H72+H16</f>
        <v>11415</v>
      </c>
      <c r="I74" s="48">
        <f>I72+I16</f>
        <v>1979753</v>
      </c>
      <c r="J74" s="48"/>
      <c r="K74" s="48">
        <f>K72+K16</f>
        <v>7059807</v>
      </c>
      <c r="L74" s="41">
        <f>SUM(L10:L68)</f>
        <v>7059807</v>
      </c>
    </row>
    <row r="75" spans="1:12" ht="19.5" thickTop="1"/>
  </sheetData>
  <mergeCells count="3">
    <mergeCell ref="D1:G1"/>
    <mergeCell ref="D2:G2"/>
    <mergeCell ref="D3:G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30"/>
  <sheetViews>
    <sheetView zoomScale="80" zoomScaleNormal="80" workbookViewId="0">
      <selection activeCell="L33" sqref="L33"/>
    </sheetView>
  </sheetViews>
  <sheetFormatPr defaultRowHeight="18.75"/>
  <cols>
    <col min="1" max="1" width="7.85546875" style="4" customWidth="1"/>
    <col min="2" max="2" width="6.5703125" style="4" customWidth="1"/>
    <col min="3" max="3" width="5.28515625" style="4" customWidth="1"/>
    <col min="4" max="4" width="15.85546875" style="4" customWidth="1"/>
    <col min="5" max="5" width="24.5703125" style="4" customWidth="1"/>
    <col min="6" max="6" width="15.85546875" style="4"/>
    <col min="7" max="7" width="19.140625" style="41" bestFit="1" customWidth="1"/>
    <col min="8" max="8" width="17.5703125" style="41" customWidth="1"/>
    <col min="9" max="9" width="17" style="41" bestFit="1" customWidth="1"/>
    <col min="10" max="10" width="16.85546875" style="41" customWidth="1"/>
    <col min="11" max="11" width="19.140625" style="41" bestFit="1" customWidth="1"/>
    <col min="12" max="12" width="17.85546875" style="4" customWidth="1"/>
    <col min="14" max="14" width="20" customWidth="1"/>
    <col min="15" max="15" width="22.7109375" customWidth="1"/>
    <col min="16" max="16" width="20.42578125" customWidth="1"/>
  </cols>
  <sheetData>
    <row r="1" spans="1:15">
      <c r="D1" s="109" t="s">
        <v>114</v>
      </c>
      <c r="E1" s="109"/>
      <c r="F1" s="109"/>
      <c r="G1" s="109"/>
    </row>
    <row r="2" spans="1:15">
      <c r="D2" s="109" t="s">
        <v>1</v>
      </c>
      <c r="E2" s="109"/>
      <c r="F2" s="109"/>
      <c r="G2" s="109"/>
    </row>
    <row r="3" spans="1:15">
      <c r="D3" s="109" t="s">
        <v>2</v>
      </c>
      <c r="E3" s="109"/>
      <c r="F3" s="109"/>
      <c r="G3" s="109"/>
    </row>
    <row r="4" spans="1:15">
      <c r="D4" s="107"/>
      <c r="E4" s="107"/>
      <c r="F4" s="107"/>
      <c r="G4" s="42"/>
    </row>
    <row r="5" spans="1:15" ht="56.25">
      <c r="G5" s="108" t="s">
        <v>115</v>
      </c>
      <c r="H5" s="84" t="s">
        <v>116</v>
      </c>
      <c r="I5" s="108" t="s">
        <v>117</v>
      </c>
      <c r="J5" s="108" t="s">
        <v>118</v>
      </c>
      <c r="K5" s="108" t="s">
        <v>119</v>
      </c>
      <c r="L5" s="108" t="s">
        <v>7</v>
      </c>
    </row>
    <row r="6" spans="1:15">
      <c r="G6" s="43"/>
      <c r="H6" s="43"/>
      <c r="I6" s="43"/>
      <c r="J6" s="43"/>
      <c r="K6" s="43"/>
    </row>
    <row r="7" spans="1:15">
      <c r="A7" s="3" t="s">
        <v>25</v>
      </c>
      <c r="B7" s="3"/>
      <c r="C7" s="3"/>
      <c r="D7" s="3"/>
      <c r="E7" s="3"/>
      <c r="F7" s="3"/>
    </row>
    <row r="8" spans="1:15">
      <c r="A8" s="3"/>
      <c r="B8" s="4" t="s">
        <v>120</v>
      </c>
      <c r="C8" s="3"/>
      <c r="D8" s="3"/>
      <c r="E8" s="3"/>
      <c r="F8" s="3"/>
      <c r="G8" s="41">
        <v>7038</v>
      </c>
      <c r="K8" s="41">
        <f t="shared" ref="K8:K14" si="0">SUM(G8:J8)</f>
        <v>7038</v>
      </c>
      <c r="L8" s="41">
        <f>K8</f>
        <v>7038</v>
      </c>
    </row>
    <row r="9" spans="1:15">
      <c r="A9" s="3"/>
      <c r="B9" s="4" t="s">
        <v>121</v>
      </c>
      <c r="C9" s="3"/>
      <c r="D9" s="3"/>
      <c r="E9" s="3"/>
      <c r="F9" s="3"/>
      <c r="G9" s="83"/>
      <c r="H9" s="83"/>
      <c r="I9" s="83"/>
      <c r="J9" s="83"/>
      <c r="K9" s="83"/>
      <c r="L9" s="82"/>
      <c r="N9" t="s">
        <v>122</v>
      </c>
      <c r="O9" t="s">
        <v>54</v>
      </c>
    </row>
    <row r="10" spans="1:15">
      <c r="A10" s="3"/>
      <c r="B10" s="3"/>
      <c r="C10" s="4" t="s">
        <v>27</v>
      </c>
      <c r="D10" s="3"/>
      <c r="E10" s="3"/>
      <c r="F10" s="3"/>
      <c r="G10" s="41">
        <v>5522117</v>
      </c>
      <c r="H10" s="41">
        <v>23394</v>
      </c>
      <c r="I10" s="41">
        <v>383639</v>
      </c>
      <c r="K10" s="41">
        <f t="shared" si="0"/>
        <v>5929150</v>
      </c>
      <c r="L10" s="41"/>
      <c r="N10">
        <f>K10/K16</f>
        <v>0.26803183897195554</v>
      </c>
      <c r="O10" s="71">
        <f>K24*N10</f>
        <v>-3003986.4016024368</v>
      </c>
    </row>
    <row r="11" spans="1:15">
      <c r="A11" s="3"/>
      <c r="B11" s="3"/>
      <c r="C11" s="4" t="s">
        <v>29</v>
      </c>
      <c r="E11" s="3"/>
      <c r="F11" s="3"/>
      <c r="G11" s="41">
        <v>441519</v>
      </c>
      <c r="K11" s="41">
        <f>SUM(G11:J11)</f>
        <v>441519</v>
      </c>
      <c r="L11" s="41"/>
      <c r="N11">
        <f>K11/K16</f>
        <v>1.9959209922342801E-2</v>
      </c>
      <c r="O11" s="71">
        <f>K24*N11</f>
        <v>-223694.30222698126</v>
      </c>
    </row>
    <row r="12" spans="1:15">
      <c r="C12" s="4" t="s">
        <v>16</v>
      </c>
      <c r="G12" s="41">
        <v>2416110</v>
      </c>
      <c r="I12" s="41">
        <v>89142</v>
      </c>
      <c r="K12" s="41">
        <f t="shared" si="0"/>
        <v>2505252</v>
      </c>
      <c r="L12" s="41"/>
      <c r="N12">
        <f>K12/K16</f>
        <v>0.11325186589109223</v>
      </c>
      <c r="O12" s="71">
        <f>K24*N12</f>
        <v>-1269278.5543606263</v>
      </c>
    </row>
    <row r="13" spans="1:15">
      <c r="C13" s="4" t="s">
        <v>123</v>
      </c>
      <c r="G13" s="41">
        <v>1028979</v>
      </c>
      <c r="I13" s="41">
        <v>20708</v>
      </c>
      <c r="K13" s="41">
        <f t="shared" si="0"/>
        <v>1049687</v>
      </c>
      <c r="L13" s="41"/>
      <c r="N13">
        <f>K13/K16</f>
        <v>4.745191755225539E-2</v>
      </c>
      <c r="O13" s="71">
        <f>K24*N13</f>
        <v>-531820.82995688356</v>
      </c>
    </row>
    <row r="14" spans="1:15">
      <c r="C14" s="4" t="s">
        <v>124</v>
      </c>
      <c r="G14" s="41">
        <v>12195458</v>
      </c>
      <c r="K14" s="41">
        <f t="shared" si="0"/>
        <v>12195458</v>
      </c>
      <c r="L14" s="41"/>
      <c r="N14">
        <f>K14/K16</f>
        <v>0.55130516766235405</v>
      </c>
      <c r="O14" s="71">
        <f>K24*N14</f>
        <v>-6178792.9118530722</v>
      </c>
    </row>
    <row r="15" spans="1:15">
      <c r="C15" s="4" t="s">
        <v>12</v>
      </c>
      <c r="G15" s="45">
        <v>23394</v>
      </c>
      <c r="H15" s="45">
        <v>-23394</v>
      </c>
      <c r="I15" s="45"/>
      <c r="J15" s="45"/>
      <c r="K15" s="45">
        <f>SUM(G15:J15)</f>
        <v>0</v>
      </c>
      <c r="L15" s="41"/>
      <c r="N15">
        <f>K15/K27</f>
        <v>0</v>
      </c>
    </row>
    <row r="16" spans="1:15">
      <c r="D16" s="3" t="s">
        <v>125</v>
      </c>
      <c r="G16" s="45">
        <f>SUM(G10:G15)</f>
        <v>21627577</v>
      </c>
      <c r="H16" s="45">
        <f t="shared" ref="H16:K16" si="1">SUM(H10:H15)</f>
        <v>0</v>
      </c>
      <c r="I16" s="45">
        <f t="shared" si="1"/>
        <v>493489</v>
      </c>
      <c r="J16" s="45">
        <f t="shared" si="1"/>
        <v>0</v>
      </c>
      <c r="K16" s="45">
        <f t="shared" si="1"/>
        <v>22121066</v>
      </c>
      <c r="L16" s="41"/>
      <c r="N16">
        <f>SUM(N10:N15)</f>
        <v>1</v>
      </c>
      <c r="O16" s="92">
        <f>SUM(O10:O15)</f>
        <v>-11207573</v>
      </c>
    </row>
    <row r="17" spans="1:15">
      <c r="L17" s="41"/>
    </row>
    <row r="18" spans="1:15">
      <c r="C18" s="4" t="s">
        <v>27</v>
      </c>
      <c r="K18" s="41">
        <v>-3003986</v>
      </c>
      <c r="L18" s="41">
        <f>SUM(K10+K18)</f>
        <v>2925164</v>
      </c>
    </row>
    <row r="19" spans="1:15">
      <c r="C19" s="4" t="s">
        <v>29</v>
      </c>
      <c r="K19" s="41">
        <v>-223694</v>
      </c>
      <c r="L19" s="41">
        <f t="shared" ref="L19:L23" si="2">SUM(K11+K19)</f>
        <v>217825</v>
      </c>
    </row>
    <row r="20" spans="1:15">
      <c r="C20" s="4" t="s">
        <v>16</v>
      </c>
      <c r="K20" s="41">
        <v>-1269279</v>
      </c>
      <c r="L20" s="41">
        <f t="shared" si="2"/>
        <v>1235973</v>
      </c>
    </row>
    <row r="21" spans="1:15">
      <c r="C21" s="4" t="s">
        <v>123</v>
      </c>
      <c r="K21" s="41">
        <v>-531821</v>
      </c>
      <c r="L21" s="41">
        <f t="shared" si="2"/>
        <v>517866</v>
      </c>
    </row>
    <row r="22" spans="1:15">
      <c r="C22" s="4" t="s">
        <v>124</v>
      </c>
      <c r="K22" s="41">
        <v>-6178793</v>
      </c>
      <c r="L22" s="41">
        <f t="shared" si="2"/>
        <v>6016665</v>
      </c>
    </row>
    <row r="23" spans="1:15">
      <c r="C23" s="4" t="s">
        <v>12</v>
      </c>
      <c r="L23" s="41">
        <f t="shared" si="2"/>
        <v>0</v>
      </c>
    </row>
    <row r="24" spans="1:15" s="106" customFormat="1">
      <c r="A24" s="3"/>
      <c r="B24" s="3"/>
      <c r="C24" s="3"/>
      <c r="D24" s="3" t="s">
        <v>97</v>
      </c>
      <c r="E24" s="3"/>
      <c r="F24" s="3"/>
      <c r="G24" s="58">
        <v>-10330886</v>
      </c>
      <c r="H24" s="58"/>
      <c r="I24" s="58">
        <v>-876687</v>
      </c>
      <c r="J24" s="58"/>
      <c r="K24" s="58">
        <f t="shared" ref="K24" si="3">SUM(G24:J24)</f>
        <v>-11207573</v>
      </c>
      <c r="L24" s="58"/>
    </row>
    <row r="25" spans="1:15" ht="15">
      <c r="A25"/>
      <c r="B25"/>
      <c r="C25"/>
      <c r="D25"/>
      <c r="E25"/>
      <c r="F25"/>
      <c r="G25"/>
      <c r="H25"/>
      <c r="I25"/>
      <c r="J25"/>
      <c r="K25"/>
      <c r="L25"/>
    </row>
    <row r="26" spans="1:15">
      <c r="C26" s="4" t="s">
        <v>126</v>
      </c>
      <c r="L26" s="41"/>
    </row>
    <row r="27" spans="1:15">
      <c r="D27" s="4" t="s">
        <v>127</v>
      </c>
      <c r="G27" s="45">
        <v>11303729</v>
      </c>
      <c r="H27" s="45"/>
      <c r="I27" s="45">
        <v>-383198</v>
      </c>
      <c r="J27" s="45"/>
      <c r="K27" s="45">
        <f>SUM(G27:J27)</f>
        <v>10920531</v>
      </c>
      <c r="L27" s="41"/>
      <c r="O27" s="71">
        <f>SUM(K8:K15)+K24</f>
        <v>10920531</v>
      </c>
    </row>
    <row r="28" spans="1:15">
      <c r="L28" s="41"/>
    </row>
    <row r="29" spans="1:15">
      <c r="C29" s="3" t="s">
        <v>84</v>
      </c>
      <c r="D29" s="3"/>
      <c r="E29" s="3"/>
      <c r="F29" s="3"/>
      <c r="G29" s="45">
        <f>G16+G8+G24</f>
        <v>11303729</v>
      </c>
      <c r="H29" s="45">
        <f>H16+H8+H24</f>
        <v>0</v>
      </c>
      <c r="I29" s="45">
        <f>I16+I8+I24</f>
        <v>-383198</v>
      </c>
      <c r="J29" s="45">
        <f>J16+J8+J24</f>
        <v>0</v>
      </c>
      <c r="K29" s="45">
        <f>K16+K8+K24</f>
        <v>10920531</v>
      </c>
      <c r="L29" s="41">
        <f>SUM(L8:L23)</f>
        <v>10920531</v>
      </c>
    </row>
    <row r="30" spans="1:15">
      <c r="L30" s="82"/>
    </row>
  </sheetData>
  <mergeCells count="3">
    <mergeCell ref="D1:G1"/>
    <mergeCell ref="D2:G2"/>
    <mergeCell ref="D3:G3"/>
  </mergeCells>
  <pageMargins left="0.7" right="0.7" top="0.75" bottom="0.75" header="0.3" footer="0.3"/>
  <pageSetup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47"/>
  <sheetViews>
    <sheetView topLeftCell="B1" zoomScale="80" zoomScaleNormal="80" workbookViewId="0">
      <selection activeCell="B1" sqref="B1"/>
    </sheetView>
  </sheetViews>
  <sheetFormatPr defaultColWidth="8.85546875" defaultRowHeight="18.75"/>
  <cols>
    <col min="1" max="1" width="4.42578125" style="4" customWidth="1"/>
    <col min="2" max="2" width="4.7109375" style="4" customWidth="1"/>
    <col min="3" max="3" width="4.28515625" style="4" customWidth="1"/>
    <col min="4" max="6" width="8.85546875" style="4"/>
    <col min="7" max="7" width="14.28515625" style="4" bestFit="1" customWidth="1"/>
    <col min="8" max="8" width="22.42578125" style="4" customWidth="1"/>
    <col min="9" max="9" width="22.85546875" style="4" bestFit="1" customWidth="1"/>
    <col min="10" max="10" width="21.140625" style="4" bestFit="1" customWidth="1"/>
    <col min="11" max="11" width="18.7109375" style="4" customWidth="1"/>
    <col min="12" max="12" width="19.7109375" style="4" customWidth="1"/>
    <col min="13" max="13" width="19.7109375" style="4" bestFit="1" customWidth="1"/>
    <col min="14" max="16384" width="8.85546875" style="4"/>
  </cols>
  <sheetData>
    <row r="1" spans="1:13">
      <c r="D1" s="109" t="s">
        <v>128</v>
      </c>
      <c r="E1" s="109"/>
      <c r="F1" s="109"/>
      <c r="G1" s="109"/>
      <c r="H1" s="109"/>
      <c r="I1" s="109"/>
    </row>
    <row r="2" spans="1:13">
      <c r="D2" s="109" t="s">
        <v>1</v>
      </c>
      <c r="E2" s="109"/>
      <c r="F2" s="109"/>
      <c r="G2" s="109"/>
      <c r="H2" s="109"/>
      <c r="I2" s="109"/>
    </row>
    <row r="3" spans="1:13">
      <c r="D3" s="109" t="s">
        <v>2</v>
      </c>
      <c r="E3" s="109"/>
      <c r="F3" s="109"/>
      <c r="G3" s="109"/>
      <c r="H3" s="109"/>
      <c r="I3" s="109"/>
    </row>
    <row r="4" spans="1:13" ht="14.25" customHeight="1">
      <c r="D4" s="107"/>
      <c r="E4" s="107"/>
      <c r="F4" s="107"/>
      <c r="G4" s="107"/>
      <c r="H4" s="107"/>
      <c r="I4" s="107"/>
    </row>
    <row r="5" spans="1:13" ht="37.5">
      <c r="I5" s="7" t="s">
        <v>81</v>
      </c>
      <c r="J5" s="7" t="s">
        <v>60</v>
      </c>
      <c r="K5" s="7" t="s">
        <v>61</v>
      </c>
      <c r="L5" s="7" t="s">
        <v>82</v>
      </c>
      <c r="M5" s="7" t="s">
        <v>7</v>
      </c>
    </row>
    <row r="6" spans="1:13">
      <c r="I6" s="5"/>
      <c r="J6" s="5"/>
      <c r="K6" s="5"/>
      <c r="L6" s="5"/>
    </row>
    <row r="7" spans="1:13">
      <c r="A7" s="3" t="s">
        <v>25</v>
      </c>
      <c r="B7" s="3"/>
      <c r="C7" s="3"/>
      <c r="D7" s="3"/>
      <c r="E7" s="3"/>
      <c r="F7" s="3"/>
    </row>
    <row r="8" spans="1:13">
      <c r="A8" s="3"/>
      <c r="B8" s="3" t="s">
        <v>10</v>
      </c>
      <c r="C8" s="3"/>
      <c r="D8" s="3"/>
      <c r="E8" s="3"/>
      <c r="F8" s="3"/>
      <c r="I8" s="6"/>
      <c r="J8" s="6"/>
      <c r="K8" s="6"/>
      <c r="L8" s="6"/>
    </row>
    <row r="9" spans="1:13">
      <c r="C9" s="4" t="s">
        <v>11</v>
      </c>
      <c r="I9" s="41">
        <v>1980743</v>
      </c>
      <c r="J9" s="41">
        <v>20000</v>
      </c>
      <c r="K9" s="41">
        <v>-20800</v>
      </c>
      <c r="L9" s="41">
        <f>SUM(I9:K9)</f>
        <v>1979943</v>
      </c>
      <c r="M9" s="41">
        <f>SUM(L9)</f>
        <v>1979943</v>
      </c>
    </row>
    <row r="10" spans="1:13">
      <c r="C10" s="4" t="s">
        <v>12</v>
      </c>
      <c r="I10" s="41">
        <v>2046951</v>
      </c>
      <c r="J10" s="41">
        <v>359254</v>
      </c>
      <c r="K10" s="41">
        <v>-1907311</v>
      </c>
      <c r="L10" s="41">
        <f>SUM(I10:K10)</f>
        <v>498894</v>
      </c>
      <c r="M10" s="41">
        <f>SUM(L10)</f>
        <v>498894</v>
      </c>
    </row>
    <row r="11" spans="1:13">
      <c r="A11" s="3"/>
      <c r="B11" s="3"/>
      <c r="C11" s="3"/>
      <c r="D11" s="3" t="s">
        <v>26</v>
      </c>
      <c r="E11" s="3"/>
      <c r="F11" s="3"/>
      <c r="G11" s="3"/>
      <c r="H11" s="3"/>
      <c r="I11" s="50">
        <f>SUM(I8:I10)</f>
        <v>4027694</v>
      </c>
      <c r="J11" s="50">
        <f t="shared" ref="J11:K11" si="0">SUM(J8:J10)</f>
        <v>379254</v>
      </c>
      <c r="K11" s="50">
        <f t="shared" si="0"/>
        <v>-1928111</v>
      </c>
      <c r="L11" s="50">
        <f>SUM(L8:L10)</f>
        <v>2478837</v>
      </c>
      <c r="M11" s="3"/>
    </row>
    <row r="12" spans="1:13">
      <c r="I12" s="41"/>
      <c r="J12" s="41"/>
      <c r="K12" s="41"/>
      <c r="L12" s="41"/>
    </row>
    <row r="13" spans="1:13">
      <c r="A13" s="3" t="s">
        <v>14</v>
      </c>
      <c r="I13" s="41"/>
      <c r="J13" s="41"/>
      <c r="K13" s="41"/>
      <c r="L13" s="41"/>
    </row>
    <row r="14" spans="1:13">
      <c r="B14" s="4" t="s">
        <v>15</v>
      </c>
      <c r="I14" s="41">
        <v>26639391</v>
      </c>
      <c r="J14" s="41">
        <v>456368</v>
      </c>
      <c r="K14" s="41">
        <v>-13331</v>
      </c>
      <c r="L14" s="41">
        <f>SUM(I14:K14)</f>
        <v>27082428</v>
      </c>
    </row>
    <row r="15" spans="1:13">
      <c r="B15" s="4" t="s">
        <v>129</v>
      </c>
      <c r="I15" s="41">
        <v>2785535</v>
      </c>
      <c r="J15" s="41">
        <v>2407392</v>
      </c>
      <c r="K15" s="41"/>
      <c r="L15" s="41">
        <f t="shared" ref="L15:L16" si="1">SUM(I15:K15)</f>
        <v>5192927</v>
      </c>
    </row>
    <row r="16" spans="1:13">
      <c r="B16" s="4" t="s">
        <v>63</v>
      </c>
      <c r="I16" s="41">
        <v>11864930</v>
      </c>
      <c r="J16" s="41">
        <v>566744</v>
      </c>
      <c r="K16" s="41">
        <v>-40169</v>
      </c>
      <c r="L16" s="41">
        <f t="shared" si="1"/>
        <v>12391505</v>
      </c>
    </row>
    <row r="17" spans="1:13">
      <c r="B17" s="4" t="s">
        <v>18</v>
      </c>
      <c r="I17" s="41">
        <v>217009407</v>
      </c>
      <c r="J17" s="41">
        <v>1774323</v>
      </c>
      <c r="K17" s="41"/>
      <c r="L17" s="41">
        <f>SUM(I17:J17)</f>
        <v>218783730</v>
      </c>
    </row>
    <row r="18" spans="1:13">
      <c r="A18" s="3"/>
      <c r="B18" s="3"/>
      <c r="C18" s="3"/>
      <c r="D18" s="3" t="s">
        <v>19</v>
      </c>
      <c r="E18" s="3"/>
      <c r="F18" s="3"/>
      <c r="G18" s="3"/>
      <c r="H18" s="3"/>
      <c r="I18" s="50">
        <f>SUM(I14:I17)</f>
        <v>258299263</v>
      </c>
      <c r="J18" s="50">
        <f>SUM(J14:J17)</f>
        <v>5204827</v>
      </c>
      <c r="K18" s="50">
        <f>SUM(K14:K17)</f>
        <v>-53500</v>
      </c>
      <c r="L18" s="50">
        <f>SUM(L14:L17)</f>
        <v>263450590</v>
      </c>
      <c r="M18" s="3"/>
    </row>
    <row r="19" spans="1:13">
      <c r="I19" s="41"/>
      <c r="J19" s="41"/>
      <c r="K19" s="41"/>
      <c r="L19" s="41"/>
    </row>
    <row r="20" spans="1:13">
      <c r="A20" s="3" t="s">
        <v>20</v>
      </c>
      <c r="I20" s="41"/>
      <c r="J20" s="41"/>
      <c r="K20" s="41"/>
      <c r="L20" s="41"/>
    </row>
    <row r="21" spans="1:13">
      <c r="B21" s="4" t="s">
        <v>15</v>
      </c>
      <c r="I21" s="41">
        <v>11112067</v>
      </c>
      <c r="J21" s="41">
        <v>663638</v>
      </c>
      <c r="K21" s="41">
        <v>-7943</v>
      </c>
      <c r="L21" s="41">
        <f>SUM(I21:K21)</f>
        <v>11767762</v>
      </c>
      <c r="M21" s="41">
        <f>L14-L21</f>
        <v>15314666</v>
      </c>
    </row>
    <row r="22" spans="1:13">
      <c r="B22" s="4" t="s">
        <v>129</v>
      </c>
      <c r="I22" s="41">
        <v>158146</v>
      </c>
      <c r="J22" s="41">
        <v>187507</v>
      </c>
      <c r="K22" s="41"/>
      <c r="L22" s="41">
        <f>SUM(I22:K22)</f>
        <v>345653</v>
      </c>
      <c r="M22" s="41">
        <f t="shared" ref="M22:M24" si="2">L15-L22</f>
        <v>4847274</v>
      </c>
    </row>
    <row r="23" spans="1:13">
      <c r="B23" s="4" t="s">
        <v>63</v>
      </c>
      <c r="I23" s="41">
        <v>6830433</v>
      </c>
      <c r="J23" s="41">
        <v>1068469</v>
      </c>
      <c r="K23" s="41">
        <v>-14175</v>
      </c>
      <c r="L23" s="41">
        <f>SUM(I23:K23)</f>
        <v>7884727</v>
      </c>
      <c r="M23" s="41">
        <f t="shared" si="2"/>
        <v>4506778</v>
      </c>
    </row>
    <row r="24" spans="1:13">
      <c r="B24" s="4" t="s">
        <v>18</v>
      </c>
      <c r="I24" s="41">
        <v>168627234</v>
      </c>
      <c r="J24" s="41">
        <v>1932445</v>
      </c>
      <c r="K24" s="41"/>
      <c r="L24" s="41">
        <f>SUM(I24:K24)</f>
        <v>170559679</v>
      </c>
      <c r="M24" s="41">
        <f t="shared" si="2"/>
        <v>48224051</v>
      </c>
    </row>
    <row r="25" spans="1:13">
      <c r="A25" s="3"/>
      <c r="B25" s="3"/>
      <c r="C25" s="3"/>
      <c r="D25" s="3" t="s">
        <v>21</v>
      </c>
      <c r="E25" s="3"/>
      <c r="F25" s="3"/>
      <c r="G25" s="3"/>
      <c r="H25" s="3"/>
      <c r="I25" s="50">
        <f>SUM(I21:I24)</f>
        <v>186727880</v>
      </c>
      <c r="J25" s="50">
        <f>SUM(J21:J24)</f>
        <v>3852059</v>
      </c>
      <c r="K25" s="50">
        <f>SUM(K21:K24)</f>
        <v>-22118</v>
      </c>
      <c r="L25" s="50">
        <f>SUM(L21:L24)</f>
        <v>190557821</v>
      </c>
      <c r="M25" s="3"/>
    </row>
    <row r="26" spans="1:13">
      <c r="A26" s="3"/>
      <c r="B26" s="3" t="s">
        <v>22</v>
      </c>
      <c r="C26" s="3"/>
      <c r="D26" s="3"/>
      <c r="E26" s="3"/>
      <c r="F26" s="3"/>
      <c r="G26" s="3"/>
      <c r="H26" s="3"/>
      <c r="I26" s="51">
        <f>I18-I25</f>
        <v>71571383</v>
      </c>
      <c r="J26" s="51">
        <f t="shared" ref="J26:L26" si="3">J18-J25</f>
        <v>1352768</v>
      </c>
      <c r="K26" s="51">
        <f t="shared" si="3"/>
        <v>-31382</v>
      </c>
      <c r="L26" s="51">
        <f t="shared" si="3"/>
        <v>72892769</v>
      </c>
      <c r="M26" s="3"/>
    </row>
    <row r="27" spans="1:13" ht="19.5" thickBot="1">
      <c r="B27" s="3" t="s">
        <v>84</v>
      </c>
      <c r="I27" s="52">
        <f>I26+I11</f>
        <v>75599077</v>
      </c>
      <c r="J27" s="52">
        <f t="shared" ref="J27:L27" si="4">J26+J11</f>
        <v>1732022</v>
      </c>
      <c r="K27" s="52">
        <f t="shared" si="4"/>
        <v>-1959493</v>
      </c>
      <c r="L27" s="52">
        <f t="shared" si="4"/>
        <v>75371606</v>
      </c>
      <c r="M27" s="41">
        <f>SUM(M21:M24,M9:M10)</f>
        <v>75371606</v>
      </c>
    </row>
    <row r="28" spans="1:13" ht="19.5" thickTop="1">
      <c r="I28" s="41"/>
      <c r="J28" s="41"/>
      <c r="K28" s="41"/>
      <c r="L28" s="41"/>
    </row>
    <row r="29" spans="1:13">
      <c r="I29" s="41"/>
      <c r="J29" s="41"/>
      <c r="K29" s="41"/>
      <c r="L29" s="41"/>
    </row>
    <row r="30" spans="1:13" ht="37.5">
      <c r="I30" s="53" t="s">
        <v>85</v>
      </c>
      <c r="J30" s="53" t="s">
        <v>5</v>
      </c>
      <c r="K30" s="53" t="s">
        <v>86</v>
      </c>
      <c r="L30" s="53" t="s">
        <v>87</v>
      </c>
    </row>
    <row r="31" spans="1:13">
      <c r="A31" s="3" t="s">
        <v>34</v>
      </c>
      <c r="B31" s="3"/>
      <c r="C31" s="3"/>
      <c r="D31" s="3"/>
      <c r="E31" s="3"/>
      <c r="F31" s="3"/>
      <c r="I31" s="41"/>
      <c r="J31" s="41"/>
      <c r="K31" s="41"/>
      <c r="L31" s="41"/>
    </row>
    <row r="32" spans="1:13">
      <c r="A32" s="3"/>
      <c r="B32" s="3" t="s">
        <v>10</v>
      </c>
      <c r="C32" s="3"/>
      <c r="D32" s="3"/>
      <c r="E32" s="3"/>
      <c r="F32" s="3"/>
      <c r="I32" s="41"/>
      <c r="J32" s="41"/>
      <c r="K32" s="41"/>
      <c r="L32" s="41"/>
    </row>
    <row r="33" spans="1:13">
      <c r="C33" s="4" t="s">
        <v>11</v>
      </c>
      <c r="I33" s="41">
        <v>10175</v>
      </c>
      <c r="J33" s="41"/>
      <c r="K33" s="41"/>
      <c r="L33" s="41">
        <f>SUM(I33:K33)</f>
        <v>10175</v>
      </c>
      <c r="M33" s="41">
        <f>SUM(L33)</f>
        <v>10175</v>
      </c>
    </row>
    <row r="34" spans="1:13">
      <c r="A34" s="3"/>
      <c r="B34" s="3"/>
      <c r="C34" s="3"/>
      <c r="D34" s="3" t="s">
        <v>26</v>
      </c>
      <c r="E34" s="3"/>
      <c r="F34" s="3"/>
      <c r="G34" s="3"/>
      <c r="H34" s="3"/>
      <c r="I34" s="50">
        <f>SUM(I32:I33)</f>
        <v>10175</v>
      </c>
      <c r="J34" s="50">
        <f>SUM(J32:J33)</f>
        <v>0</v>
      </c>
      <c r="K34" s="50">
        <f>SUM(K32:K33)</f>
        <v>0</v>
      </c>
      <c r="L34" s="50">
        <f>SUM(L32:L33)</f>
        <v>10175</v>
      </c>
    </row>
    <row r="35" spans="1:13">
      <c r="I35" s="41"/>
      <c r="J35" s="41"/>
      <c r="K35" s="41"/>
      <c r="L35" s="41"/>
    </row>
    <row r="36" spans="1:13">
      <c r="A36" s="3" t="s">
        <v>14</v>
      </c>
      <c r="I36" s="41"/>
      <c r="J36" s="41"/>
      <c r="K36" s="41"/>
      <c r="L36" s="41"/>
    </row>
    <row r="37" spans="1:13">
      <c r="B37" s="4" t="s">
        <v>130</v>
      </c>
      <c r="I37" s="41">
        <v>373375</v>
      </c>
      <c r="J37" s="41"/>
      <c r="K37" s="41"/>
      <c r="L37" s="41">
        <f>SUM(I37:K37)</f>
        <v>373375</v>
      </c>
    </row>
    <row r="38" spans="1:13">
      <c r="B38" s="4" t="s">
        <v>131</v>
      </c>
      <c r="I38" s="41">
        <v>101180</v>
      </c>
      <c r="J38" s="41"/>
      <c r="K38" s="41">
        <v>0</v>
      </c>
      <c r="L38" s="41">
        <f>SUM(I38:K38)</f>
        <v>101180</v>
      </c>
    </row>
    <row r="39" spans="1:13">
      <c r="A39" s="3"/>
      <c r="B39" s="3"/>
      <c r="C39" s="3"/>
      <c r="D39" s="3" t="s">
        <v>19</v>
      </c>
      <c r="E39" s="3"/>
      <c r="F39" s="3"/>
      <c r="G39" s="3"/>
      <c r="H39" s="3"/>
      <c r="I39" s="50">
        <f>SUM(I37:I38)</f>
        <v>474555</v>
      </c>
      <c r="J39" s="50">
        <f>SUM(J37:J38)</f>
        <v>0</v>
      </c>
      <c r="K39" s="50">
        <f>SUM(K37:K38)</f>
        <v>0</v>
      </c>
      <c r="L39" s="50">
        <f>SUM(L37:L38)</f>
        <v>474555</v>
      </c>
      <c r="M39" s="3"/>
    </row>
    <row r="40" spans="1:13">
      <c r="I40" s="41"/>
      <c r="J40" s="41"/>
      <c r="K40" s="41"/>
      <c r="L40" s="41"/>
    </row>
    <row r="41" spans="1:13">
      <c r="A41" s="3" t="s">
        <v>20</v>
      </c>
      <c r="I41" s="41"/>
      <c r="J41" s="41"/>
      <c r="K41" s="41"/>
      <c r="L41" s="41"/>
    </row>
    <row r="42" spans="1:13">
      <c r="B42" s="4" t="s">
        <v>130</v>
      </c>
      <c r="I42" s="41">
        <v>373375</v>
      </c>
      <c r="J42" s="41"/>
      <c r="K42" s="41"/>
      <c r="L42" s="41">
        <f>SUM(I42:K42)</f>
        <v>373375</v>
      </c>
      <c r="M42" s="41">
        <f>L37-L42</f>
        <v>0</v>
      </c>
    </row>
    <row r="43" spans="1:13">
      <c r="B43" s="4" t="s">
        <v>131</v>
      </c>
      <c r="I43" s="41">
        <v>101180</v>
      </c>
      <c r="J43" s="41"/>
      <c r="K43" s="41"/>
      <c r="L43" s="41">
        <f>SUM(I43:K43)</f>
        <v>101180</v>
      </c>
      <c r="M43" s="41">
        <f>L38-L43</f>
        <v>0</v>
      </c>
    </row>
    <row r="44" spans="1:13">
      <c r="A44" s="3"/>
      <c r="B44" s="3"/>
      <c r="C44" s="3"/>
      <c r="D44" s="3" t="s">
        <v>21</v>
      </c>
      <c r="E44" s="3"/>
      <c r="F44" s="3"/>
      <c r="G44" s="3"/>
      <c r="H44" s="3"/>
      <c r="I44" s="50">
        <f>SUM(I42:I43)</f>
        <v>474555</v>
      </c>
      <c r="J44" s="50">
        <f>SUM(J42:J43)</f>
        <v>0</v>
      </c>
      <c r="K44" s="50">
        <f>SUM(K42:K43)</f>
        <v>0</v>
      </c>
      <c r="L44" s="50">
        <f>SUM(L42:L43)</f>
        <v>474555</v>
      </c>
      <c r="M44" s="3"/>
    </row>
    <row r="45" spans="1:13">
      <c r="A45" s="3"/>
      <c r="B45" s="3" t="s">
        <v>22</v>
      </c>
      <c r="C45" s="3"/>
      <c r="D45" s="3"/>
      <c r="E45" s="3"/>
      <c r="F45" s="3"/>
      <c r="G45" s="3"/>
      <c r="H45" s="3"/>
      <c r="I45" s="51">
        <f>I39-I44</f>
        <v>0</v>
      </c>
      <c r="J45" s="50">
        <f>J39+J44</f>
        <v>0</v>
      </c>
      <c r="K45" s="50">
        <f>K39+K44</f>
        <v>0</v>
      </c>
      <c r="L45" s="50">
        <f>L39-L44</f>
        <v>0</v>
      </c>
      <c r="M45" s="3"/>
    </row>
    <row r="46" spans="1:13" ht="19.5" thickBot="1">
      <c r="B46" s="3" t="s">
        <v>90</v>
      </c>
      <c r="I46" s="52">
        <f>I45+I34</f>
        <v>10175</v>
      </c>
      <c r="J46" s="52">
        <f t="shared" ref="J46:L46" si="5">J45+J34</f>
        <v>0</v>
      </c>
      <c r="K46" s="52">
        <f t="shared" si="5"/>
        <v>0</v>
      </c>
      <c r="L46" s="52">
        <f t="shared" si="5"/>
        <v>10175</v>
      </c>
      <c r="M46" s="41">
        <f>SUM(M33:M43)</f>
        <v>10175</v>
      </c>
    </row>
    <row r="47" spans="1:13" ht="19.5" thickTop="1"/>
  </sheetData>
  <mergeCells count="3">
    <mergeCell ref="D1:I1"/>
    <mergeCell ref="D2:I2"/>
    <mergeCell ref="D3:I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49"/>
  <sheetViews>
    <sheetView zoomScale="80" zoomScaleNormal="80" workbookViewId="0">
      <selection activeCell="H19" sqref="H19"/>
    </sheetView>
  </sheetViews>
  <sheetFormatPr defaultColWidth="8.85546875" defaultRowHeight="18.75"/>
  <cols>
    <col min="1" max="1" width="4.42578125" style="4" customWidth="1"/>
    <col min="2" max="2" width="4.7109375" style="4" customWidth="1"/>
    <col min="3" max="3" width="4.28515625" style="4" customWidth="1"/>
    <col min="4" max="6" width="8.85546875" style="4"/>
    <col min="7" max="7" width="14.28515625" style="4" bestFit="1" customWidth="1"/>
    <col min="8" max="8" width="22.42578125" style="4" customWidth="1"/>
    <col min="9" max="9" width="22.85546875" style="4" bestFit="1" customWidth="1"/>
    <col min="10" max="11" width="21.140625" style="4" bestFit="1" customWidth="1"/>
    <col min="12" max="12" width="18.7109375" style="4" customWidth="1"/>
    <col min="13" max="13" width="19.7109375" style="4" customWidth="1"/>
    <col min="14" max="14" width="19.7109375" style="4" bestFit="1" customWidth="1"/>
    <col min="15" max="16384" width="8.85546875" style="4"/>
  </cols>
  <sheetData>
    <row r="1" spans="1:14">
      <c r="D1" s="109" t="s">
        <v>132</v>
      </c>
      <c r="E1" s="109"/>
      <c r="F1" s="109"/>
      <c r="G1" s="109"/>
      <c r="H1" s="109"/>
      <c r="I1" s="109"/>
    </row>
    <row r="2" spans="1:14">
      <c r="D2" s="109" t="s">
        <v>1</v>
      </c>
      <c r="E2" s="109"/>
      <c r="F2" s="109"/>
      <c r="G2" s="109"/>
      <c r="H2" s="109"/>
      <c r="I2" s="109"/>
    </row>
    <row r="3" spans="1:14">
      <c r="D3" s="109" t="s">
        <v>2</v>
      </c>
      <c r="E3" s="109"/>
      <c r="F3" s="109"/>
      <c r="G3" s="109"/>
      <c r="H3" s="109"/>
      <c r="I3" s="109"/>
    </row>
    <row r="4" spans="1:14" ht="14.25" customHeight="1">
      <c r="D4" s="107"/>
      <c r="E4" s="107"/>
      <c r="F4" s="107"/>
      <c r="G4" s="107"/>
      <c r="H4" s="107"/>
      <c r="I4" s="107"/>
    </row>
    <row r="5" spans="1:14" ht="37.5">
      <c r="I5" s="7" t="s">
        <v>81</v>
      </c>
      <c r="J5" s="7" t="s">
        <v>62</v>
      </c>
      <c r="K5" s="7" t="s">
        <v>60</v>
      </c>
      <c r="L5" s="7" t="s">
        <v>61</v>
      </c>
      <c r="M5" s="7" t="s">
        <v>82</v>
      </c>
      <c r="N5" s="7" t="s">
        <v>7</v>
      </c>
    </row>
    <row r="6" spans="1:14">
      <c r="I6" s="5"/>
      <c r="J6" s="5"/>
      <c r="K6" s="5"/>
      <c r="L6" s="5"/>
      <c r="M6" s="5"/>
    </row>
    <row r="7" spans="1:14">
      <c r="A7" s="3" t="s">
        <v>25</v>
      </c>
      <c r="B7" s="3"/>
      <c r="C7" s="3"/>
      <c r="D7" s="3"/>
      <c r="E7" s="3"/>
      <c r="F7" s="3"/>
    </row>
    <row r="8" spans="1:14">
      <c r="A8" s="3"/>
      <c r="B8" s="3" t="s">
        <v>10</v>
      </c>
      <c r="C8" s="3"/>
      <c r="D8" s="3"/>
      <c r="E8" s="3"/>
      <c r="F8" s="3"/>
      <c r="I8" s="6"/>
      <c r="J8" s="6"/>
      <c r="K8" s="6"/>
      <c r="L8" s="6"/>
      <c r="M8" s="6"/>
    </row>
    <row r="9" spans="1:14">
      <c r="C9" s="4" t="s">
        <v>133</v>
      </c>
      <c r="I9" s="41">
        <v>11006200</v>
      </c>
      <c r="J9" s="41"/>
      <c r="K9" s="41">
        <v>627124</v>
      </c>
      <c r="L9" s="41"/>
      <c r="M9" s="41">
        <f>SUM(I9:K9)</f>
        <v>11633324</v>
      </c>
      <c r="N9" s="41">
        <f>SUM(M9)</f>
        <v>11633324</v>
      </c>
    </row>
    <row r="10" spans="1:14">
      <c r="C10" s="4" t="s">
        <v>134</v>
      </c>
      <c r="I10" s="41">
        <v>9026422</v>
      </c>
      <c r="J10" s="41">
        <v>-5977507</v>
      </c>
      <c r="K10" s="41">
        <v>8258836</v>
      </c>
      <c r="L10" s="41"/>
      <c r="M10" s="41">
        <f>SUM(I10:K10)</f>
        <v>11307751</v>
      </c>
      <c r="N10" s="41">
        <f>SUM(M10)</f>
        <v>11307751</v>
      </c>
    </row>
    <row r="11" spans="1:14">
      <c r="A11" s="3"/>
      <c r="B11" s="3"/>
      <c r="C11" s="3"/>
      <c r="D11" s="3" t="s">
        <v>26</v>
      </c>
      <c r="E11" s="3"/>
      <c r="F11" s="3"/>
      <c r="G11" s="3"/>
      <c r="H11" s="3"/>
      <c r="I11" s="50">
        <f>SUM(I8:I10)</f>
        <v>20032622</v>
      </c>
      <c r="J11" s="50">
        <f>SUM(J8:J10)</f>
        <v>-5977507</v>
      </c>
      <c r="K11" s="50">
        <f>SUM(K8:K10)</f>
        <v>8885960</v>
      </c>
      <c r="L11" s="50"/>
      <c r="M11" s="50">
        <f>SUM(M8:M10)</f>
        <v>22941075</v>
      </c>
      <c r="N11" s="3"/>
    </row>
    <row r="12" spans="1:14">
      <c r="I12" s="41"/>
      <c r="J12" s="41"/>
      <c r="K12" s="41"/>
      <c r="L12" s="41"/>
      <c r="M12" s="41"/>
    </row>
    <row r="13" spans="1:14">
      <c r="A13" s="3" t="s">
        <v>14</v>
      </c>
      <c r="I13" s="41"/>
      <c r="J13" s="41"/>
      <c r="K13" s="41"/>
      <c r="L13" s="41"/>
      <c r="M13" s="41"/>
    </row>
    <row r="14" spans="1:14">
      <c r="B14" s="4" t="s">
        <v>27</v>
      </c>
      <c r="I14" s="41">
        <v>107230589</v>
      </c>
      <c r="J14" s="41"/>
      <c r="K14" s="41">
        <v>150605</v>
      </c>
      <c r="L14" s="41"/>
      <c r="M14" s="41">
        <f>SUM(I14:K14)</f>
        <v>107381194</v>
      </c>
    </row>
    <row r="15" spans="1:14">
      <c r="B15" s="4" t="s">
        <v>135</v>
      </c>
      <c r="I15" s="41">
        <v>174611343</v>
      </c>
      <c r="J15" s="41">
        <v>5977507</v>
      </c>
      <c r="K15" s="41">
        <v>21236654</v>
      </c>
      <c r="L15" s="41"/>
      <c r="M15" s="41">
        <f t="shared" ref="M15:M16" si="0">SUM(I15:K15)</f>
        <v>201825504</v>
      </c>
    </row>
    <row r="16" spans="1:14">
      <c r="B16" s="4" t="s">
        <v>136</v>
      </c>
      <c r="I16" s="41">
        <v>3739203</v>
      </c>
      <c r="J16" s="41"/>
      <c r="K16" s="41">
        <v>417665</v>
      </c>
      <c r="L16" s="41"/>
      <c r="M16" s="41">
        <f t="shared" si="0"/>
        <v>4156868</v>
      </c>
    </row>
    <row r="17" spans="1:14">
      <c r="A17" s="3"/>
      <c r="B17" s="3"/>
      <c r="C17" s="3"/>
      <c r="D17" s="3" t="s">
        <v>19</v>
      </c>
      <c r="E17" s="3"/>
      <c r="F17" s="3"/>
      <c r="G17" s="3"/>
      <c r="H17" s="3"/>
      <c r="I17" s="50">
        <f>SUM(I14:I16)</f>
        <v>285581135</v>
      </c>
      <c r="J17" s="50">
        <f>SUM(J14:J16)</f>
        <v>5977507</v>
      </c>
      <c r="K17" s="50">
        <f>SUM(K14:K16)</f>
        <v>21804924</v>
      </c>
      <c r="L17" s="50">
        <f>SUM(L14:L16)</f>
        <v>0</v>
      </c>
      <c r="M17" s="50">
        <f>SUM(M14:M16)</f>
        <v>313363566</v>
      </c>
      <c r="N17" s="3"/>
    </row>
    <row r="18" spans="1:14">
      <c r="I18" s="41"/>
      <c r="J18" s="41"/>
      <c r="K18" s="41"/>
      <c r="L18" s="41"/>
      <c r="M18" s="41"/>
    </row>
    <row r="19" spans="1:14">
      <c r="A19" s="3" t="s">
        <v>20</v>
      </c>
      <c r="I19" s="41"/>
      <c r="J19" s="41"/>
      <c r="K19" s="41"/>
      <c r="L19" s="41"/>
      <c r="M19" s="41"/>
    </row>
    <row r="20" spans="1:14">
      <c r="B20" s="4" t="s">
        <v>27</v>
      </c>
      <c r="I20" s="41">
        <v>-18839429</v>
      </c>
      <c r="J20" s="41"/>
      <c r="K20" s="41">
        <v>-2579573</v>
      </c>
      <c r="L20" s="41"/>
      <c r="M20" s="41">
        <f t="shared" ref="M20:M22" si="1">SUM(I20:L20)</f>
        <v>-21419002</v>
      </c>
      <c r="N20" s="41">
        <f>SUM(M20,M14)</f>
        <v>85962192</v>
      </c>
    </row>
    <row r="21" spans="1:14">
      <c r="B21" s="4" t="s">
        <v>135</v>
      </c>
      <c r="I21" s="41">
        <v>-36641632</v>
      </c>
      <c r="J21" s="41"/>
      <c r="K21" s="41">
        <v>-4686019</v>
      </c>
      <c r="L21" s="41"/>
      <c r="M21" s="41">
        <f t="shared" si="1"/>
        <v>-41327651</v>
      </c>
      <c r="N21" s="41">
        <f t="shared" ref="N21:N22" si="2">SUM(M21,M15)</f>
        <v>160497853</v>
      </c>
    </row>
    <row r="22" spans="1:14">
      <c r="B22" s="4" t="s">
        <v>136</v>
      </c>
      <c r="I22" s="41">
        <v>-2800310</v>
      </c>
      <c r="J22" s="41"/>
      <c r="K22" s="41">
        <v>-363030</v>
      </c>
      <c r="L22" s="41"/>
      <c r="M22" s="41">
        <f t="shared" si="1"/>
        <v>-3163340</v>
      </c>
      <c r="N22" s="41">
        <f t="shared" si="2"/>
        <v>993528</v>
      </c>
    </row>
    <row r="23" spans="1:14">
      <c r="A23" s="3"/>
      <c r="B23" s="3"/>
      <c r="C23" s="3"/>
      <c r="D23" s="3" t="s">
        <v>21</v>
      </c>
      <c r="E23" s="3"/>
      <c r="F23" s="3"/>
      <c r="G23" s="3"/>
      <c r="H23" s="3"/>
      <c r="I23" s="50">
        <f>SUM(I20:I22)</f>
        <v>-58281371</v>
      </c>
      <c r="J23" s="50">
        <f>SUM(J20:J22)</f>
        <v>0</v>
      </c>
      <c r="K23" s="50">
        <f>SUM(K20:K22)</f>
        <v>-7628622</v>
      </c>
      <c r="L23" s="50">
        <f>SUM(L20:L22)</f>
        <v>0</v>
      </c>
      <c r="M23" s="50">
        <f>SUM(M20:M22)</f>
        <v>-65909993</v>
      </c>
      <c r="N23" s="3"/>
    </row>
    <row r="24" spans="1:14">
      <c r="A24" s="3"/>
      <c r="B24" s="3" t="s">
        <v>22</v>
      </c>
      <c r="C24" s="3"/>
      <c r="D24" s="3"/>
      <c r="E24" s="3"/>
      <c r="F24" s="3"/>
      <c r="G24" s="3"/>
      <c r="H24" s="3"/>
      <c r="I24" s="51">
        <f>I17+I23</f>
        <v>227299764</v>
      </c>
      <c r="J24" s="51">
        <f>J17+J23</f>
        <v>5977507</v>
      </c>
      <c r="K24" s="50">
        <f>K17+K23</f>
        <v>14176302</v>
      </c>
      <c r="L24" s="50">
        <f>L17+L23</f>
        <v>0</v>
      </c>
      <c r="M24" s="50">
        <f>M17+M23</f>
        <v>247453573</v>
      </c>
      <c r="N24" s="3"/>
    </row>
    <row r="25" spans="1:14" ht="19.5" thickBot="1">
      <c r="B25" s="3" t="s">
        <v>84</v>
      </c>
      <c r="I25" s="52">
        <f>I23+I17+I11</f>
        <v>247332386</v>
      </c>
      <c r="J25" s="52">
        <f>J23+J17+J11</f>
        <v>0</v>
      </c>
      <c r="K25" s="52">
        <f>K23+K17+K11</f>
        <v>23062262</v>
      </c>
      <c r="L25" s="52">
        <f>L23+L17+L11</f>
        <v>0</v>
      </c>
      <c r="M25" s="52">
        <f>SUM(I25:L25)</f>
        <v>270394648</v>
      </c>
      <c r="N25" s="41">
        <f>SUM(N20:N22,N9:N10)</f>
        <v>270394648</v>
      </c>
    </row>
    <row r="26" spans="1:14" ht="19.5" thickTop="1">
      <c r="I26" s="41"/>
      <c r="J26" s="41"/>
      <c r="K26" s="41"/>
      <c r="L26" s="41"/>
      <c r="M26" s="41"/>
    </row>
    <row r="27" spans="1:14">
      <c r="I27" s="41"/>
      <c r="J27" s="41"/>
      <c r="K27" s="41"/>
      <c r="L27" s="41"/>
      <c r="M27" s="41"/>
    </row>
    <row r="28" spans="1:14" ht="37.5">
      <c r="I28" s="53" t="s">
        <v>85</v>
      </c>
      <c r="J28" s="53" t="s">
        <v>4</v>
      </c>
      <c r="K28" s="53" t="s">
        <v>5</v>
      </c>
      <c r="L28" s="53" t="s">
        <v>86</v>
      </c>
      <c r="M28" s="53" t="s">
        <v>87</v>
      </c>
    </row>
    <row r="29" spans="1:14">
      <c r="A29" s="3" t="s">
        <v>34</v>
      </c>
      <c r="B29" s="3"/>
      <c r="C29" s="3"/>
      <c r="D29" s="3"/>
      <c r="E29" s="3"/>
      <c r="F29" s="3"/>
      <c r="I29" s="41"/>
      <c r="J29" s="41"/>
      <c r="K29" s="41"/>
      <c r="L29" s="41"/>
      <c r="M29" s="41"/>
    </row>
    <row r="30" spans="1:14">
      <c r="A30" s="3"/>
      <c r="B30" s="3" t="s">
        <v>10</v>
      </c>
      <c r="C30" s="3"/>
      <c r="D30" s="3"/>
      <c r="E30" s="3"/>
      <c r="F30" s="3"/>
      <c r="I30" s="41"/>
      <c r="J30" s="41"/>
      <c r="K30" s="41"/>
      <c r="L30" s="41"/>
      <c r="M30" s="41"/>
    </row>
    <row r="31" spans="1:14">
      <c r="C31" s="4" t="s">
        <v>133</v>
      </c>
      <c r="I31" s="41">
        <v>77556445</v>
      </c>
      <c r="J31" s="41">
        <v>4035196</v>
      </c>
      <c r="K31" s="41">
        <v>-549917</v>
      </c>
      <c r="L31" s="41">
        <v>-220441</v>
      </c>
      <c r="M31" s="41">
        <f>SUM(I31:L31)</f>
        <v>80821283</v>
      </c>
      <c r="N31" s="41">
        <f>SUM(M31)</f>
        <v>80821283</v>
      </c>
    </row>
    <row r="32" spans="1:14">
      <c r="C32" s="4" t="s">
        <v>137</v>
      </c>
      <c r="I32" s="41">
        <v>57876615</v>
      </c>
      <c r="J32" s="41">
        <v>0</v>
      </c>
      <c r="K32" s="41">
        <v>0</v>
      </c>
      <c r="L32" s="41">
        <v>228103</v>
      </c>
      <c r="M32" s="41">
        <f t="shared" ref="M32:M33" si="3">SUM(I32:L32)</f>
        <v>58104718</v>
      </c>
      <c r="N32" s="41">
        <f t="shared" ref="N32:N33" si="4">SUM(M32)</f>
        <v>58104718</v>
      </c>
    </row>
    <row r="33" spans="1:14">
      <c r="C33" s="4" t="s">
        <v>134</v>
      </c>
      <c r="I33" s="41">
        <v>211622261</v>
      </c>
      <c r="J33" s="41">
        <v>55345105</v>
      </c>
      <c r="K33" s="41">
        <v>-371895</v>
      </c>
      <c r="L33" s="41">
        <v>-150521537</v>
      </c>
      <c r="M33" s="41">
        <f t="shared" si="3"/>
        <v>116073934</v>
      </c>
      <c r="N33" s="41">
        <f t="shared" si="4"/>
        <v>116073934</v>
      </c>
    </row>
    <row r="34" spans="1:14">
      <c r="A34" s="3"/>
      <c r="B34" s="3"/>
      <c r="C34" s="3"/>
      <c r="D34" s="3" t="s">
        <v>26</v>
      </c>
      <c r="E34" s="3"/>
      <c r="F34" s="3"/>
      <c r="G34" s="3"/>
      <c r="H34" s="3"/>
      <c r="I34" s="50">
        <f>SUM(I30:I33)</f>
        <v>347055321</v>
      </c>
      <c r="J34" s="50">
        <f>SUM(J30:J33)</f>
        <v>59380301</v>
      </c>
      <c r="K34" s="50">
        <f>SUM(K30:K33)</f>
        <v>-921812</v>
      </c>
      <c r="L34" s="50">
        <f>SUM(L30:L33)</f>
        <v>-150513875</v>
      </c>
      <c r="M34" s="50">
        <f>SUM(M30:M33)</f>
        <v>254999935</v>
      </c>
    </row>
    <row r="35" spans="1:14">
      <c r="I35" s="41"/>
      <c r="J35" s="41"/>
      <c r="K35" s="41"/>
      <c r="L35" s="41"/>
      <c r="M35" s="41"/>
    </row>
    <row r="36" spans="1:14">
      <c r="A36" s="3" t="s">
        <v>14</v>
      </c>
      <c r="I36" s="41"/>
      <c r="J36" s="41"/>
      <c r="K36" s="41"/>
      <c r="L36" s="41"/>
      <c r="M36" s="41"/>
    </row>
    <row r="37" spans="1:14">
      <c r="B37" s="4" t="s">
        <v>27</v>
      </c>
      <c r="I37" s="41">
        <v>220610624</v>
      </c>
      <c r="J37" s="41">
        <v>4659163</v>
      </c>
      <c r="K37" s="41">
        <v>0</v>
      </c>
      <c r="L37" s="41">
        <v>9553872</v>
      </c>
      <c r="M37" s="41">
        <f>SUM(I37:L37)</f>
        <v>234823659</v>
      </c>
    </row>
    <row r="38" spans="1:14">
      <c r="B38" s="4" t="s">
        <v>135</v>
      </c>
      <c r="I38" s="41">
        <v>1536676864</v>
      </c>
      <c r="J38" s="41">
        <v>219826258</v>
      </c>
      <c r="K38" s="41">
        <v>-10280399</v>
      </c>
      <c r="L38" s="41">
        <v>141207173</v>
      </c>
      <c r="M38" s="41">
        <f>SUM(I38:L38)</f>
        <v>1887429896</v>
      </c>
    </row>
    <row r="39" spans="1:14">
      <c r="B39" s="4" t="s">
        <v>32</v>
      </c>
      <c r="I39" s="41">
        <v>11467460</v>
      </c>
      <c r="J39" s="41">
        <v>164403</v>
      </c>
      <c r="K39" s="41">
        <v>-1055546</v>
      </c>
      <c r="L39" s="41">
        <v>0</v>
      </c>
      <c r="M39" s="41">
        <f>SUM(I39:L39)</f>
        <v>10576317</v>
      </c>
    </row>
    <row r="40" spans="1:14">
      <c r="A40" s="3"/>
      <c r="B40" s="3"/>
      <c r="C40" s="3"/>
      <c r="D40" s="3" t="s">
        <v>19</v>
      </c>
      <c r="E40" s="3"/>
      <c r="F40" s="3"/>
      <c r="G40" s="3"/>
      <c r="H40" s="3"/>
      <c r="I40" s="50">
        <f>SUM(I37:I39)</f>
        <v>1768754948</v>
      </c>
      <c r="J40" s="50">
        <f>SUM(J37:J39)</f>
        <v>224649824</v>
      </c>
      <c r="K40" s="50">
        <f>SUM(K37:K39)</f>
        <v>-11335945</v>
      </c>
      <c r="L40" s="50">
        <f>SUM(L37:L39)</f>
        <v>150761045</v>
      </c>
      <c r="M40" s="50">
        <f>SUM(M37:M39)</f>
        <v>2132829872</v>
      </c>
      <c r="N40" s="3"/>
    </row>
    <row r="41" spans="1:14">
      <c r="I41" s="41"/>
      <c r="J41" s="41"/>
      <c r="K41" s="41"/>
      <c r="L41" s="41"/>
      <c r="M41" s="41"/>
    </row>
    <row r="42" spans="1:14">
      <c r="A42" s="3" t="s">
        <v>20</v>
      </c>
      <c r="I42" s="41"/>
      <c r="J42" s="41"/>
      <c r="K42" s="41"/>
      <c r="L42" s="41"/>
      <c r="M42" s="41"/>
    </row>
    <row r="43" spans="1:14">
      <c r="B43" s="4" t="s">
        <v>27</v>
      </c>
      <c r="I43" s="41">
        <v>-100195132</v>
      </c>
      <c r="J43" s="41">
        <v>-8368419</v>
      </c>
      <c r="K43" s="41">
        <v>0</v>
      </c>
      <c r="L43" s="41"/>
      <c r="M43" s="41">
        <f t="shared" ref="M43:M45" si="5">SUM(I43:L43)</f>
        <v>-108563551</v>
      </c>
      <c r="N43" s="41">
        <f>SUM(M43,M37)</f>
        <v>126260108</v>
      </c>
    </row>
    <row r="44" spans="1:14">
      <c r="B44" s="4" t="s">
        <v>135</v>
      </c>
      <c r="I44" s="41">
        <v>-562556664</v>
      </c>
      <c r="J44" s="41">
        <v>-56150837</v>
      </c>
      <c r="K44" s="41">
        <v>9252036</v>
      </c>
      <c r="L44" s="41"/>
      <c r="M44" s="41">
        <f t="shared" si="5"/>
        <v>-609455465</v>
      </c>
      <c r="N44" s="41">
        <f t="shared" ref="N44:N45" si="6">SUM(M44,M38)</f>
        <v>1277974431</v>
      </c>
    </row>
    <row r="45" spans="1:14">
      <c r="B45" s="4" t="s">
        <v>32</v>
      </c>
      <c r="I45" s="41">
        <v>-10424064</v>
      </c>
      <c r="J45" s="41">
        <v>-338853</v>
      </c>
      <c r="K45" s="41">
        <v>1051880</v>
      </c>
      <c r="L45" s="41"/>
      <c r="M45" s="41">
        <f t="shared" si="5"/>
        <v>-9711037</v>
      </c>
      <c r="N45" s="41">
        <f t="shared" si="6"/>
        <v>865280</v>
      </c>
    </row>
    <row r="46" spans="1:14">
      <c r="A46" s="3"/>
      <c r="B46" s="3"/>
      <c r="C46" s="3"/>
      <c r="D46" s="3" t="s">
        <v>21</v>
      </c>
      <c r="E46" s="3"/>
      <c r="F46" s="3"/>
      <c r="G46" s="3"/>
      <c r="H46" s="3"/>
      <c r="I46" s="50">
        <f>SUM(I43:I45)</f>
        <v>-673175860</v>
      </c>
      <c r="J46" s="50">
        <f>SUM(J43:J45)</f>
        <v>-64858109</v>
      </c>
      <c r="K46" s="50">
        <f>SUM(K43:K45)</f>
        <v>10303916</v>
      </c>
      <c r="L46" s="50">
        <f>SUM(L43:L45)</f>
        <v>0</v>
      </c>
      <c r="M46" s="50">
        <f>SUM(M43:M45)</f>
        <v>-727730053</v>
      </c>
      <c r="N46" s="3"/>
    </row>
    <row r="47" spans="1:14">
      <c r="A47" s="3"/>
      <c r="B47" s="3" t="s">
        <v>22</v>
      </c>
      <c r="C47" s="3"/>
      <c r="D47" s="3"/>
      <c r="E47" s="3"/>
      <c r="F47" s="3"/>
      <c r="G47" s="3"/>
      <c r="H47" s="3"/>
      <c r="I47" s="51">
        <f>I40+I46</f>
        <v>1095579088</v>
      </c>
      <c r="J47" s="51">
        <f>J40+J46</f>
        <v>159791715</v>
      </c>
      <c r="K47" s="50">
        <f>K40+K46</f>
        <v>-1032029</v>
      </c>
      <c r="L47" s="50">
        <f>L40+L46</f>
        <v>150761045</v>
      </c>
      <c r="M47" s="50">
        <f>M40+M46</f>
        <v>1405099819</v>
      </c>
      <c r="N47" s="3"/>
    </row>
    <row r="48" spans="1:14" ht="19.5" thickBot="1">
      <c r="B48" s="3" t="s">
        <v>90</v>
      </c>
      <c r="I48" s="52">
        <f>I46+I40+I34</f>
        <v>1442634409</v>
      </c>
      <c r="J48" s="52">
        <f>J46+J40+J34</f>
        <v>219172016</v>
      </c>
      <c r="K48" s="52">
        <f>K46+K40+K34</f>
        <v>-1953841</v>
      </c>
      <c r="L48" s="52">
        <f>L46+L40+L34</f>
        <v>247170</v>
      </c>
      <c r="M48" s="52">
        <f>SUM(I48:L48)</f>
        <v>1660099754</v>
      </c>
      <c r="N48" s="41">
        <f>SUM(N43:N45,N31:N32,N33)</f>
        <v>1660099754</v>
      </c>
    </row>
    <row r="49" ht="19.5" thickTop="1"/>
  </sheetData>
  <mergeCells count="3">
    <mergeCell ref="D1:I1"/>
    <mergeCell ref="D2:I2"/>
    <mergeCell ref="D3:I3"/>
  </mergeCells>
  <phoneticPr fontId="15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47"/>
  <sheetViews>
    <sheetView zoomScale="70" zoomScaleNormal="70" workbookViewId="0">
      <selection sqref="A1:XFD1048576"/>
    </sheetView>
  </sheetViews>
  <sheetFormatPr defaultColWidth="15.85546875" defaultRowHeight="18.75"/>
  <cols>
    <col min="1" max="1" width="7.85546875" style="4" customWidth="1"/>
    <col min="2" max="2" width="6.5703125" style="4" customWidth="1"/>
    <col min="3" max="3" width="5.28515625" style="4" customWidth="1"/>
    <col min="4" max="4" width="15.85546875" style="4" customWidth="1"/>
    <col min="5" max="5" width="24.5703125" style="4" customWidth="1"/>
    <col min="6" max="6" width="15.85546875" style="4"/>
    <col min="7" max="7" width="18.42578125" style="41" bestFit="1" customWidth="1"/>
    <col min="8" max="8" width="16.85546875" style="41" bestFit="1" customWidth="1"/>
    <col min="9" max="9" width="16.85546875" style="41" customWidth="1"/>
    <col min="10" max="10" width="18.42578125" style="41" bestFit="1" customWidth="1"/>
    <col min="11" max="11" width="17.85546875" style="4" customWidth="1"/>
    <col min="12" max="16384" width="15.85546875" style="4"/>
  </cols>
  <sheetData>
    <row r="1" spans="1:14">
      <c r="D1" s="109" t="s">
        <v>138</v>
      </c>
      <c r="E1" s="109"/>
      <c r="F1" s="109"/>
      <c r="G1" s="109"/>
    </row>
    <row r="2" spans="1:14">
      <c r="D2" s="109" t="s">
        <v>1</v>
      </c>
      <c r="E2" s="109"/>
      <c r="F2" s="109"/>
      <c r="G2" s="109"/>
    </row>
    <row r="3" spans="1:14">
      <c r="D3" s="109" t="s">
        <v>2</v>
      </c>
      <c r="E3" s="109"/>
      <c r="F3" s="109"/>
      <c r="G3" s="109"/>
    </row>
    <row r="4" spans="1:14">
      <c r="D4" s="107"/>
      <c r="E4" s="107"/>
      <c r="F4" s="107"/>
      <c r="G4" s="42"/>
    </row>
    <row r="5" spans="1:14" ht="37.5">
      <c r="G5" s="108" t="s">
        <v>3</v>
      </c>
      <c r="H5" s="108" t="s">
        <v>60</v>
      </c>
      <c r="I5" s="108" t="s">
        <v>61</v>
      </c>
      <c r="J5" s="108" t="s">
        <v>6</v>
      </c>
      <c r="K5" s="108" t="s">
        <v>7</v>
      </c>
    </row>
    <row r="6" spans="1:14">
      <c r="G6" s="43"/>
      <c r="H6" s="43"/>
      <c r="I6" s="43"/>
      <c r="J6" s="43"/>
    </row>
    <row r="7" spans="1:14">
      <c r="A7" s="3" t="s">
        <v>25</v>
      </c>
      <c r="B7" s="3"/>
      <c r="C7" s="3"/>
      <c r="D7" s="3"/>
      <c r="E7" s="3"/>
      <c r="F7" s="3"/>
    </row>
    <row r="8" spans="1:14">
      <c r="A8" s="3"/>
      <c r="B8" s="3" t="s">
        <v>10</v>
      </c>
      <c r="C8" s="3"/>
      <c r="D8" s="3"/>
      <c r="E8" s="3"/>
      <c r="F8" s="3"/>
    </row>
    <row r="9" spans="1:14">
      <c r="C9" s="4" t="s">
        <v>11</v>
      </c>
      <c r="G9" s="41">
        <v>274665</v>
      </c>
      <c r="J9" s="41">
        <f>SUM(G9:I9)</f>
        <v>274665</v>
      </c>
      <c r="K9" s="41">
        <f t="shared" ref="K9:K10" si="0">SUM(J9)</f>
        <v>274665</v>
      </c>
    </row>
    <row r="10" spans="1:14">
      <c r="C10" s="4" t="s">
        <v>139</v>
      </c>
      <c r="G10" s="41">
        <v>101000</v>
      </c>
      <c r="J10" s="41">
        <f>SUM(G10:I10)</f>
        <v>101000</v>
      </c>
      <c r="K10" s="41">
        <f t="shared" si="0"/>
        <v>101000</v>
      </c>
    </row>
    <row r="11" spans="1:14">
      <c r="C11" s="4" t="s">
        <v>12</v>
      </c>
      <c r="G11" s="45">
        <v>353730</v>
      </c>
      <c r="H11" s="45">
        <v>291155</v>
      </c>
      <c r="I11" s="45">
        <v>-383121</v>
      </c>
      <c r="J11" s="45">
        <f>SUM(G11:I11)</f>
        <v>261764</v>
      </c>
      <c r="K11" s="41">
        <f>SUM(J11)</f>
        <v>261764</v>
      </c>
    </row>
    <row r="12" spans="1:14">
      <c r="A12" s="3"/>
      <c r="B12" s="3"/>
      <c r="C12" s="3"/>
      <c r="D12" s="3" t="s">
        <v>26</v>
      </c>
      <c r="E12" s="3"/>
      <c r="F12" s="3"/>
      <c r="G12" s="46">
        <f>SUM(G9:G11)</f>
        <v>729395</v>
      </c>
      <c r="H12" s="46">
        <f>SUM(H9:H11)</f>
        <v>291155</v>
      </c>
      <c r="I12" s="46">
        <f>SUM(I9:I11)</f>
        <v>-383121</v>
      </c>
      <c r="J12" s="46">
        <f>SUM(J9:J11)</f>
        <v>637429</v>
      </c>
      <c r="K12" s="3"/>
    </row>
    <row r="14" spans="1:14">
      <c r="A14" s="3" t="s">
        <v>14</v>
      </c>
      <c r="N14" s="41">
        <f>Caldwell!K30</f>
        <v>935</v>
      </c>
    </row>
    <row r="15" spans="1:14">
      <c r="A15" s="3"/>
      <c r="B15" s="4" t="s">
        <v>27</v>
      </c>
      <c r="G15" s="41">
        <v>2630747</v>
      </c>
      <c r="H15" s="41">
        <v>16081</v>
      </c>
      <c r="J15" s="41">
        <f t="shared" ref="J15:J20" si="1">SUM(G15:I15)</f>
        <v>2646828</v>
      </c>
    </row>
    <row r="16" spans="1:14">
      <c r="A16" s="3"/>
      <c r="B16" s="4" t="s">
        <v>140</v>
      </c>
      <c r="G16" s="41">
        <v>432022</v>
      </c>
      <c r="H16" s="41">
        <v>11948</v>
      </c>
      <c r="I16" s="41">
        <v>16888</v>
      </c>
      <c r="J16" s="41">
        <f t="shared" si="1"/>
        <v>460858</v>
      </c>
    </row>
    <row r="17" spans="1:11">
      <c r="B17" s="4" t="s">
        <v>29</v>
      </c>
      <c r="G17" s="41">
        <v>105179</v>
      </c>
      <c r="H17" s="41">
        <v>14372</v>
      </c>
      <c r="J17" s="41">
        <f t="shared" si="1"/>
        <v>119551</v>
      </c>
    </row>
    <row r="18" spans="1:11">
      <c r="B18" s="4" t="s">
        <v>141</v>
      </c>
      <c r="G18" s="41">
        <v>1533590</v>
      </c>
      <c r="H18" s="41">
        <v>193895</v>
      </c>
      <c r="J18" s="41">
        <f t="shared" si="1"/>
        <v>1727485</v>
      </c>
    </row>
    <row r="19" spans="1:11">
      <c r="B19" s="4" t="s">
        <v>30</v>
      </c>
      <c r="G19" s="41">
        <v>2292724</v>
      </c>
      <c r="H19" s="41">
        <v>106700</v>
      </c>
      <c r="J19" s="41">
        <f t="shared" si="1"/>
        <v>2399424</v>
      </c>
    </row>
    <row r="20" spans="1:11">
      <c r="B20" s="4" t="s">
        <v>142</v>
      </c>
      <c r="G20" s="41">
        <v>342548</v>
      </c>
      <c r="J20" s="41">
        <f t="shared" si="1"/>
        <v>342548</v>
      </c>
    </row>
    <row r="21" spans="1:11">
      <c r="B21" s="4" t="s">
        <v>65</v>
      </c>
    </row>
    <row r="22" spans="1:11">
      <c r="C22" s="4" t="s">
        <v>143</v>
      </c>
      <c r="G22" s="41">
        <v>25000</v>
      </c>
      <c r="J22" s="41">
        <f>SUM(G22:I22)</f>
        <v>25000</v>
      </c>
    </row>
    <row r="23" spans="1:11">
      <c r="C23" s="4" t="s">
        <v>144</v>
      </c>
      <c r="G23" s="41">
        <v>763626</v>
      </c>
      <c r="H23" s="41">
        <v>367040</v>
      </c>
      <c r="J23" s="41">
        <f>SUM(G23:I23)</f>
        <v>1130666</v>
      </c>
    </row>
    <row r="24" spans="1:11">
      <c r="C24" s="4" t="s">
        <v>145</v>
      </c>
      <c r="G24" s="41">
        <v>558234</v>
      </c>
      <c r="J24" s="41">
        <f>SUM(G24:I24)</f>
        <v>558234</v>
      </c>
      <c r="K24" s="41">
        <f>J24</f>
        <v>558234</v>
      </c>
    </row>
    <row r="25" spans="1:11">
      <c r="C25" s="4" t="s">
        <v>146</v>
      </c>
      <c r="G25" s="41">
        <v>9140845</v>
      </c>
      <c r="J25" s="41">
        <f>SUM(G25:I25)</f>
        <v>9140845</v>
      </c>
    </row>
    <row r="26" spans="1:11">
      <c r="C26" s="4" t="s">
        <v>52</v>
      </c>
      <c r="G26" s="45">
        <v>1759091</v>
      </c>
      <c r="H26" s="45"/>
      <c r="I26" s="45"/>
      <c r="J26" s="45">
        <f>SUM(G26:I26)</f>
        <v>1759091</v>
      </c>
    </row>
    <row r="27" spans="1:11">
      <c r="A27" s="3"/>
      <c r="B27" s="3"/>
      <c r="C27" s="3"/>
      <c r="D27" s="3" t="s">
        <v>19</v>
      </c>
      <c r="E27" s="3"/>
      <c r="F27" s="3"/>
      <c r="G27" s="46">
        <f>SUM(G15:G26)</f>
        <v>19583606</v>
      </c>
      <c r="H27" s="46">
        <f>SUM(H15:H26)</f>
        <v>710036</v>
      </c>
      <c r="I27" s="46">
        <f>SUM(I15:I26)</f>
        <v>16888</v>
      </c>
      <c r="J27" s="46">
        <f>SUM(J15:J26)</f>
        <v>20310530</v>
      </c>
      <c r="K27" s="3"/>
    </row>
    <row r="29" spans="1:11">
      <c r="A29" s="4" t="s">
        <v>147</v>
      </c>
    </row>
    <row r="30" spans="1:11">
      <c r="B30" s="4" t="s">
        <v>27</v>
      </c>
      <c r="G30" s="41">
        <v>1535390</v>
      </c>
      <c r="H30" s="41">
        <v>51129</v>
      </c>
      <c r="J30" s="41">
        <f t="shared" ref="J30:J35" si="2">SUM(G30:I30)</f>
        <v>1586519</v>
      </c>
      <c r="K30" s="41">
        <f t="shared" ref="K30:K35" si="3">J15-J30</f>
        <v>1060309</v>
      </c>
    </row>
    <row r="31" spans="1:11">
      <c r="B31" s="4" t="s">
        <v>140</v>
      </c>
      <c r="G31" s="41">
        <v>338093</v>
      </c>
      <c r="H31" s="41">
        <v>28604</v>
      </c>
      <c r="I31" s="41">
        <v>-16888</v>
      </c>
      <c r="J31" s="41">
        <f t="shared" si="2"/>
        <v>349809</v>
      </c>
      <c r="K31" s="41">
        <f t="shared" si="3"/>
        <v>111049</v>
      </c>
    </row>
    <row r="32" spans="1:11">
      <c r="B32" s="4" t="s">
        <v>29</v>
      </c>
      <c r="G32" s="41">
        <v>78239</v>
      </c>
      <c r="H32" s="41">
        <v>5834</v>
      </c>
      <c r="J32" s="41">
        <f t="shared" si="2"/>
        <v>84073</v>
      </c>
      <c r="K32" s="41">
        <f t="shared" si="3"/>
        <v>35478</v>
      </c>
    </row>
    <row r="33" spans="1:11">
      <c r="B33" s="4" t="s">
        <v>141</v>
      </c>
      <c r="G33" s="41">
        <v>1097614</v>
      </c>
      <c r="H33" s="41">
        <v>102043</v>
      </c>
      <c r="J33" s="41">
        <f t="shared" si="2"/>
        <v>1199657</v>
      </c>
      <c r="K33" s="41">
        <f t="shared" si="3"/>
        <v>527828</v>
      </c>
    </row>
    <row r="34" spans="1:11">
      <c r="B34" s="4" t="s">
        <v>30</v>
      </c>
      <c r="G34" s="41">
        <v>1874824</v>
      </c>
      <c r="H34" s="41">
        <v>94659</v>
      </c>
      <c r="J34" s="41">
        <f t="shared" si="2"/>
        <v>1969483</v>
      </c>
      <c r="K34" s="41">
        <f t="shared" si="3"/>
        <v>429941</v>
      </c>
    </row>
    <row r="35" spans="1:11">
      <c r="B35" s="4" t="s">
        <v>142</v>
      </c>
      <c r="G35" s="41">
        <v>339855</v>
      </c>
      <c r="H35" s="41">
        <v>1795</v>
      </c>
      <c r="J35" s="41">
        <f t="shared" si="2"/>
        <v>341650</v>
      </c>
      <c r="K35" s="41">
        <f t="shared" si="3"/>
        <v>898</v>
      </c>
    </row>
    <row r="36" spans="1:11">
      <c r="B36" s="4" t="s">
        <v>65</v>
      </c>
      <c r="K36" s="41"/>
    </row>
    <row r="37" spans="1:11">
      <c r="C37" s="4" t="s">
        <v>143</v>
      </c>
      <c r="G37" s="41">
        <v>23438</v>
      </c>
      <c r="H37" s="41">
        <v>625</v>
      </c>
      <c r="J37" s="41">
        <f>SUM(G37:I37)</f>
        <v>24063</v>
      </c>
      <c r="K37" s="41">
        <f t="shared" ref="K37:K38" si="4">J22-J37</f>
        <v>937</v>
      </c>
    </row>
    <row r="38" spans="1:11">
      <c r="C38" s="4" t="s">
        <v>144</v>
      </c>
      <c r="G38" s="41">
        <v>181361</v>
      </c>
      <c r="H38" s="41">
        <v>23679</v>
      </c>
      <c r="J38" s="41">
        <f>SUM(G38:I38)</f>
        <v>205040</v>
      </c>
      <c r="K38" s="41">
        <f t="shared" si="4"/>
        <v>925626</v>
      </c>
    </row>
    <row r="39" spans="1:11">
      <c r="C39" s="4" t="s">
        <v>146</v>
      </c>
      <c r="G39" s="41">
        <v>8397342</v>
      </c>
      <c r="H39" s="41">
        <v>35595</v>
      </c>
      <c r="J39" s="41">
        <f>SUM(G39:I39)</f>
        <v>8432937</v>
      </c>
      <c r="K39" s="41">
        <f>J25-J39</f>
        <v>707908</v>
      </c>
    </row>
    <row r="40" spans="1:11">
      <c r="C40" s="4" t="s">
        <v>52</v>
      </c>
      <c r="G40" s="45">
        <v>1137577</v>
      </c>
      <c r="H40" s="45">
        <v>28620</v>
      </c>
      <c r="I40" s="45"/>
      <c r="J40" s="45">
        <f>SUM(G40:I40)</f>
        <v>1166197</v>
      </c>
      <c r="K40" s="41">
        <f>J26-J40</f>
        <v>592894</v>
      </c>
    </row>
    <row r="42" spans="1:11">
      <c r="A42" s="3"/>
      <c r="B42" s="3"/>
      <c r="C42" s="3"/>
      <c r="D42" s="3" t="s">
        <v>21</v>
      </c>
      <c r="E42" s="3"/>
      <c r="F42" s="3"/>
      <c r="G42" s="46">
        <f>SUM(G30:G40)</f>
        <v>15003733</v>
      </c>
      <c r="H42" s="46">
        <f>SUM(H30:H40)</f>
        <v>372583</v>
      </c>
      <c r="I42" s="46"/>
      <c r="J42" s="46">
        <f>SUM(J30:J40)</f>
        <v>15359428</v>
      </c>
      <c r="K42" s="3"/>
    </row>
    <row r="44" spans="1:11">
      <c r="A44" s="3"/>
      <c r="B44" s="3" t="s">
        <v>22</v>
      </c>
      <c r="C44" s="3"/>
      <c r="D44" s="3"/>
      <c r="E44" s="3"/>
      <c r="F44" s="3"/>
      <c r="G44" s="46">
        <f>G27-G42</f>
        <v>4579873</v>
      </c>
      <c r="H44" s="46">
        <f>H27-H42</f>
        <v>337453</v>
      </c>
      <c r="I44" s="46">
        <f>I27-I42</f>
        <v>16888</v>
      </c>
      <c r="J44" s="46">
        <f>J27-J42</f>
        <v>4951102</v>
      </c>
      <c r="K44" s="3"/>
    </row>
    <row r="46" spans="1:11" ht="19.5" thickBot="1">
      <c r="B46" s="3" t="s">
        <v>23</v>
      </c>
      <c r="G46" s="48">
        <f>G44+G12</f>
        <v>5309268</v>
      </c>
      <c r="H46" s="48">
        <f>H44+H12</f>
        <v>628608</v>
      </c>
      <c r="I46" s="48"/>
      <c r="J46" s="48">
        <f>J44+J12</f>
        <v>5588531</v>
      </c>
      <c r="K46" s="41">
        <f>SUM(K9:K40)</f>
        <v>5588531</v>
      </c>
    </row>
    <row r="47" spans="1:11" ht="19.5" thickTop="1"/>
  </sheetData>
  <mergeCells count="3">
    <mergeCell ref="D1:G1"/>
    <mergeCell ref="D2:G2"/>
    <mergeCell ref="D3:G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27"/>
  <sheetViews>
    <sheetView topLeftCell="H1" workbookViewId="0">
      <selection activeCell="M28" sqref="M28"/>
    </sheetView>
  </sheetViews>
  <sheetFormatPr defaultColWidth="8.85546875" defaultRowHeight="18.75"/>
  <cols>
    <col min="1" max="1" width="4.42578125" style="4" customWidth="1"/>
    <col min="2" max="2" width="4.7109375" style="4" customWidth="1"/>
    <col min="3" max="3" width="4.28515625" style="4" customWidth="1"/>
    <col min="4" max="6" width="8.85546875" style="4"/>
    <col min="7" max="7" width="14.28515625" style="4" bestFit="1" customWidth="1"/>
    <col min="8" max="8" width="22.85546875" style="4" customWidth="1"/>
    <col min="9" max="9" width="21.42578125" style="4" customWidth="1"/>
    <col min="10" max="10" width="21.140625" style="4" bestFit="1" customWidth="1"/>
    <col min="11" max="11" width="18.7109375" style="4" customWidth="1"/>
    <col min="12" max="12" width="18.5703125" style="4" customWidth="1"/>
    <col min="13" max="13" width="19.7109375" style="4" bestFit="1" customWidth="1"/>
    <col min="14" max="16384" width="8.85546875" style="4"/>
  </cols>
  <sheetData>
    <row r="1" spans="1:13">
      <c r="D1" s="109" t="s">
        <v>148</v>
      </c>
      <c r="E1" s="109"/>
      <c r="F1" s="109"/>
      <c r="G1" s="109"/>
      <c r="H1" s="109"/>
      <c r="I1" s="109"/>
    </row>
    <row r="2" spans="1:13">
      <c r="D2" s="109" t="s">
        <v>1</v>
      </c>
      <c r="E2" s="109"/>
      <c r="F2" s="109"/>
      <c r="G2" s="109"/>
      <c r="H2" s="109"/>
      <c r="I2" s="109"/>
    </row>
    <row r="3" spans="1:13">
      <c r="D3" s="109" t="s">
        <v>2</v>
      </c>
      <c r="E3" s="109"/>
      <c r="F3" s="109"/>
      <c r="G3" s="109"/>
      <c r="H3" s="109"/>
      <c r="I3" s="109"/>
    </row>
    <row r="4" spans="1:13" ht="14.25" customHeight="1">
      <c r="D4" s="107"/>
      <c r="E4" s="107"/>
      <c r="F4" s="107"/>
      <c r="G4" s="107"/>
      <c r="H4" s="107"/>
      <c r="I4" s="107"/>
    </row>
    <row r="5" spans="1:13" ht="37.5" customHeight="1">
      <c r="I5" s="7" t="s">
        <v>3</v>
      </c>
      <c r="J5" s="7" t="s">
        <v>60</v>
      </c>
      <c r="K5" s="7" t="s">
        <v>61</v>
      </c>
      <c r="L5" s="7" t="s">
        <v>6</v>
      </c>
      <c r="M5" s="7" t="s">
        <v>7</v>
      </c>
    </row>
    <row r="6" spans="1:13">
      <c r="I6" s="5"/>
      <c r="J6" s="5"/>
      <c r="K6" s="5"/>
      <c r="L6" s="5"/>
    </row>
    <row r="7" spans="1:13">
      <c r="A7" s="3" t="s">
        <v>25</v>
      </c>
      <c r="B7" s="3"/>
      <c r="C7" s="3"/>
      <c r="D7" s="3"/>
      <c r="E7" s="3"/>
      <c r="F7" s="3"/>
    </row>
    <row r="8" spans="1:13">
      <c r="A8" s="3"/>
      <c r="B8" s="3" t="s">
        <v>10</v>
      </c>
      <c r="C8" s="3"/>
      <c r="D8" s="3"/>
      <c r="E8" s="3"/>
      <c r="F8" s="3"/>
      <c r="I8" s="6"/>
      <c r="J8" s="6"/>
      <c r="K8" s="6"/>
      <c r="L8" s="6"/>
    </row>
    <row r="9" spans="1:13">
      <c r="C9" s="4" t="s">
        <v>11</v>
      </c>
      <c r="I9" s="85">
        <v>259230</v>
      </c>
      <c r="J9" s="85"/>
      <c r="K9" s="85"/>
      <c r="L9" s="85">
        <f>SUM(I9:K9)</f>
        <v>259230</v>
      </c>
      <c r="M9" s="86">
        <f>SUM(L9)</f>
        <v>259230</v>
      </c>
    </row>
    <row r="10" spans="1:13">
      <c r="A10" s="3"/>
      <c r="B10" s="3"/>
      <c r="C10" s="3"/>
      <c r="D10" s="3" t="s">
        <v>26</v>
      </c>
      <c r="E10" s="3"/>
      <c r="F10" s="3"/>
      <c r="G10" s="3"/>
      <c r="H10" s="3"/>
      <c r="I10" s="87">
        <f>SUM(I8:I9)</f>
        <v>259230</v>
      </c>
      <c r="J10" s="87">
        <f>SUM(J8:J9)</f>
        <v>0</v>
      </c>
      <c r="K10" s="87">
        <f>SUM(K8:K9)</f>
        <v>0</v>
      </c>
      <c r="L10" s="87">
        <f>SUM(L8:L9)</f>
        <v>259230</v>
      </c>
      <c r="M10" s="88"/>
    </row>
    <row r="11" spans="1:13">
      <c r="I11" s="85"/>
      <c r="J11" s="85"/>
      <c r="K11" s="85"/>
      <c r="L11" s="85"/>
      <c r="M11" s="85"/>
    </row>
    <row r="12" spans="1:13">
      <c r="A12" s="3" t="s">
        <v>14</v>
      </c>
      <c r="I12" s="85"/>
      <c r="J12" s="85"/>
      <c r="K12" s="85"/>
      <c r="L12" s="85"/>
      <c r="M12" s="85"/>
    </row>
    <row r="13" spans="1:13">
      <c r="B13" s="4" t="s">
        <v>27</v>
      </c>
      <c r="I13" s="85">
        <v>9627258.6300000008</v>
      </c>
      <c r="J13" s="85"/>
      <c r="K13" s="85"/>
      <c r="L13" s="85">
        <f>SUM(I13:K13)</f>
        <v>9627258.6300000008</v>
      </c>
      <c r="M13" s="85"/>
    </row>
    <row r="14" spans="1:13">
      <c r="B14" s="4" t="s">
        <v>149</v>
      </c>
      <c r="I14" s="85">
        <v>4164529.8</v>
      </c>
      <c r="J14" s="85">
        <v>196840.7</v>
      </c>
      <c r="K14" s="85"/>
      <c r="L14" s="85">
        <f>SUM(I14:J14)</f>
        <v>4361370.5</v>
      </c>
      <c r="M14" s="85"/>
    </row>
    <row r="15" spans="1:13">
      <c r="A15" s="3"/>
      <c r="B15" s="3"/>
      <c r="C15" s="3"/>
      <c r="D15" s="3" t="s">
        <v>150</v>
      </c>
      <c r="E15" s="3"/>
      <c r="F15" s="3"/>
      <c r="G15" s="3"/>
      <c r="H15" s="3"/>
      <c r="I15" s="87">
        <f>I13-I14</f>
        <v>5462728.830000001</v>
      </c>
      <c r="J15" s="87">
        <f t="shared" ref="J15:L15" si="0">J13-J14</f>
        <v>-196840.7</v>
      </c>
      <c r="K15" s="87">
        <f t="shared" si="0"/>
        <v>0</v>
      </c>
      <c r="L15" s="87">
        <f t="shared" si="0"/>
        <v>5265888.1300000008</v>
      </c>
      <c r="M15" s="85">
        <f>L13-L14</f>
        <v>5265888.1300000008</v>
      </c>
    </row>
    <row r="16" spans="1:13">
      <c r="I16" s="85"/>
      <c r="J16" s="85"/>
      <c r="K16" s="85"/>
      <c r="L16" s="85"/>
      <c r="M16" s="85"/>
    </row>
    <row r="17" spans="1:13">
      <c r="B17" s="4" t="s">
        <v>151</v>
      </c>
      <c r="I17" s="85">
        <v>3677798.85</v>
      </c>
      <c r="J17" s="85">
        <v>592096.43000000005</v>
      </c>
      <c r="K17" s="85">
        <v>-87400</v>
      </c>
      <c r="L17" s="85">
        <f>SUM(I17:K17)</f>
        <v>4182495.2800000003</v>
      </c>
      <c r="M17" s="85"/>
    </row>
    <row r="18" spans="1:13">
      <c r="B18" s="4" t="s">
        <v>149</v>
      </c>
      <c r="I18" s="86">
        <v>2273761.5299999998</v>
      </c>
      <c r="J18" s="86">
        <v>164978.49</v>
      </c>
      <c r="K18" s="86">
        <v>-87400</v>
      </c>
      <c r="L18" s="86">
        <f>SUM(I18:K18)</f>
        <v>2351340.0199999996</v>
      </c>
      <c r="M18" s="85"/>
    </row>
    <row r="19" spans="1:13">
      <c r="D19" s="3" t="s">
        <v>152</v>
      </c>
      <c r="I19" s="91">
        <f>I17-I18</f>
        <v>1404037.3200000003</v>
      </c>
      <c r="J19" s="91">
        <f t="shared" ref="J19:L19" si="1">J17-J18</f>
        <v>427117.94000000006</v>
      </c>
      <c r="K19" s="91">
        <f t="shared" si="1"/>
        <v>0</v>
      </c>
      <c r="L19" s="91">
        <f t="shared" si="1"/>
        <v>1831155.2600000007</v>
      </c>
      <c r="M19" s="85">
        <f>L17-L18</f>
        <v>1831155.2600000007</v>
      </c>
    </row>
    <row r="20" spans="1:13">
      <c r="I20" s="85"/>
      <c r="J20" s="85"/>
      <c r="K20" s="85"/>
      <c r="L20" s="85"/>
      <c r="M20" s="85"/>
    </row>
    <row r="21" spans="1:13">
      <c r="B21" s="4" t="s">
        <v>153</v>
      </c>
      <c r="I21" s="85">
        <v>1342103.17</v>
      </c>
      <c r="J21" s="85"/>
      <c r="K21" s="85"/>
      <c r="L21" s="85">
        <f>SUM(I21:K21)</f>
        <v>1342103.17</v>
      </c>
      <c r="M21" s="85"/>
    </row>
    <row r="22" spans="1:13">
      <c r="B22" s="4" t="s">
        <v>149</v>
      </c>
      <c r="I22" s="85">
        <v>313695.63</v>
      </c>
      <c r="J22" s="85">
        <v>71604.320000000007</v>
      </c>
      <c r="K22" s="85"/>
      <c r="L22" s="85">
        <f>SUM(I22:K22)</f>
        <v>385299.95</v>
      </c>
      <c r="M22" s="85"/>
    </row>
    <row r="23" spans="1:13">
      <c r="A23" s="3"/>
      <c r="B23" s="3"/>
      <c r="C23" s="3"/>
      <c r="D23" s="3" t="s">
        <v>154</v>
      </c>
      <c r="E23" s="3"/>
      <c r="F23" s="3"/>
      <c r="G23" s="3"/>
      <c r="H23" s="3"/>
      <c r="I23" s="87">
        <f>I21-I22</f>
        <v>1028407.5399999999</v>
      </c>
      <c r="J23" s="87">
        <f t="shared" ref="J23:L23" si="2">J21-J22</f>
        <v>-71604.320000000007</v>
      </c>
      <c r="K23" s="87">
        <f t="shared" si="2"/>
        <v>0</v>
      </c>
      <c r="L23" s="87">
        <f t="shared" si="2"/>
        <v>956803.22</v>
      </c>
      <c r="M23" s="86">
        <f>L21-L22</f>
        <v>956803.22</v>
      </c>
    </row>
    <row r="24" spans="1:13">
      <c r="A24" s="3"/>
      <c r="B24" s="3" t="s">
        <v>155</v>
      </c>
      <c r="C24" s="3"/>
      <c r="D24" s="3"/>
      <c r="E24" s="3"/>
      <c r="F24" s="3"/>
      <c r="G24" s="3"/>
      <c r="H24" s="3"/>
      <c r="I24" s="89">
        <f>I23+I19+I15</f>
        <v>7895173.6900000013</v>
      </c>
      <c r="J24" s="89">
        <f t="shared" ref="J24:L24" si="3">J23+J19+J15</f>
        <v>158672.92000000004</v>
      </c>
      <c r="K24" s="89">
        <f t="shared" si="3"/>
        <v>0</v>
      </c>
      <c r="L24" s="89">
        <f t="shared" si="3"/>
        <v>8053846.6100000013</v>
      </c>
      <c r="M24" s="88"/>
    </row>
    <row r="25" spans="1:13" ht="19.5" thickBot="1">
      <c r="B25" s="3" t="s">
        <v>156</v>
      </c>
      <c r="I25" s="90">
        <f>I24+I10</f>
        <v>8154403.6900000013</v>
      </c>
      <c r="J25" s="90">
        <f t="shared" ref="J25:L25" si="4">J24+J10</f>
        <v>158672.92000000004</v>
      </c>
      <c r="K25" s="90">
        <f t="shared" si="4"/>
        <v>0</v>
      </c>
      <c r="L25" s="90">
        <f t="shared" si="4"/>
        <v>8313076.6100000013</v>
      </c>
      <c r="M25" s="86">
        <f>SUM(M9:M23)</f>
        <v>8313076.6100000013</v>
      </c>
    </row>
    <row r="26" spans="1:13" ht="19.5" thickTop="1">
      <c r="I26" s="41"/>
      <c r="J26" s="41"/>
      <c r="K26" s="41"/>
      <c r="L26" s="41"/>
    </row>
    <row r="27" spans="1:13">
      <c r="I27" s="41"/>
      <c r="J27" s="41"/>
      <c r="K27" s="41"/>
      <c r="L27" s="41"/>
    </row>
  </sheetData>
  <mergeCells count="3">
    <mergeCell ref="D1:I1"/>
    <mergeCell ref="D2:I2"/>
    <mergeCell ref="D3:I3"/>
  </mergeCells>
  <pageMargins left="0.7" right="0.7" top="0.75" bottom="0.75" header="0.3" footer="0.3"/>
  <pageSetup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40"/>
  <sheetViews>
    <sheetView zoomScale="80" zoomScaleNormal="80" workbookViewId="0">
      <selection activeCell="I1" sqref="A1:XFD1048576"/>
    </sheetView>
  </sheetViews>
  <sheetFormatPr defaultColWidth="8.85546875" defaultRowHeight="18.75"/>
  <cols>
    <col min="1" max="1" width="4.42578125" style="4" customWidth="1"/>
    <col min="2" max="3" width="4.7109375" style="4" customWidth="1"/>
    <col min="4" max="6" width="8.85546875" style="4"/>
    <col min="7" max="7" width="14.28515625" style="4" bestFit="1" customWidth="1"/>
    <col min="8" max="8" width="12.7109375" style="4" bestFit="1" customWidth="1"/>
    <col min="9" max="9" width="20.5703125" style="41" bestFit="1" customWidth="1"/>
    <col min="10" max="10" width="17.5703125" style="41" bestFit="1" customWidth="1"/>
    <col min="11" max="11" width="16.85546875" style="41" customWidth="1"/>
    <col min="12" max="12" width="20.85546875" style="41" customWidth="1"/>
    <col min="13" max="13" width="18.140625" style="4" customWidth="1"/>
    <col min="14" max="16384" width="8.85546875" style="4"/>
  </cols>
  <sheetData>
    <row r="1" spans="1:13">
      <c r="D1" s="109" t="s">
        <v>157</v>
      </c>
      <c r="E1" s="109"/>
      <c r="F1" s="109"/>
      <c r="G1" s="109"/>
      <c r="H1" s="109"/>
      <c r="I1" s="109"/>
    </row>
    <row r="2" spans="1:13">
      <c r="D2" s="109" t="s">
        <v>1</v>
      </c>
      <c r="E2" s="109"/>
      <c r="F2" s="109"/>
      <c r="G2" s="109"/>
      <c r="H2" s="109"/>
      <c r="I2" s="109"/>
    </row>
    <row r="3" spans="1:13">
      <c r="D3" s="109" t="s">
        <v>2</v>
      </c>
      <c r="E3" s="109"/>
      <c r="F3" s="109"/>
      <c r="G3" s="109"/>
      <c r="H3" s="109"/>
      <c r="I3" s="109"/>
    </row>
    <row r="4" spans="1:13" ht="14.25" customHeight="1">
      <c r="D4" s="107"/>
      <c r="E4" s="107"/>
      <c r="F4" s="107"/>
      <c r="G4" s="107"/>
      <c r="H4" s="107"/>
      <c r="I4" s="42"/>
    </row>
    <row r="5" spans="1:13" ht="60.75" customHeight="1">
      <c r="I5" s="53" t="s">
        <v>3</v>
      </c>
      <c r="J5" s="53" t="s">
        <v>4</v>
      </c>
      <c r="K5" s="53" t="s">
        <v>5</v>
      </c>
      <c r="L5" s="53" t="s">
        <v>6</v>
      </c>
      <c r="M5" s="53" t="s">
        <v>7</v>
      </c>
    </row>
    <row r="6" spans="1:13">
      <c r="I6" s="65"/>
      <c r="J6" s="65"/>
      <c r="K6" s="65"/>
      <c r="L6" s="65"/>
    </row>
    <row r="7" spans="1:13">
      <c r="A7" s="3" t="s">
        <v>8</v>
      </c>
      <c r="B7" s="3"/>
      <c r="C7" s="3"/>
      <c r="D7" s="3"/>
      <c r="E7" s="3"/>
      <c r="F7" s="3"/>
    </row>
    <row r="8" spans="1:13">
      <c r="A8" s="3" t="s">
        <v>9</v>
      </c>
      <c r="B8" s="3"/>
      <c r="C8" s="3"/>
      <c r="D8" s="3"/>
      <c r="E8" s="3"/>
      <c r="F8" s="3"/>
    </row>
    <row r="9" spans="1:13">
      <c r="A9" s="3" t="s">
        <v>10</v>
      </c>
      <c r="B9" s="3"/>
      <c r="C9" s="3"/>
      <c r="D9" s="3"/>
      <c r="E9" s="3"/>
      <c r="F9" s="3"/>
    </row>
    <row r="10" spans="1:13">
      <c r="B10" s="4" t="s">
        <v>11</v>
      </c>
      <c r="I10" s="41">
        <v>876298</v>
      </c>
      <c r="J10" s="41">
        <v>0</v>
      </c>
      <c r="K10" s="41">
        <v>0</v>
      </c>
      <c r="L10" s="41">
        <f>SUM(I10:K10)</f>
        <v>876298</v>
      </c>
      <c r="M10" s="41">
        <f>SUM(L10)</f>
        <v>876298</v>
      </c>
    </row>
    <row r="11" spans="1:13">
      <c r="B11" s="4" t="s">
        <v>12</v>
      </c>
      <c r="I11" s="41">
        <v>818496</v>
      </c>
      <c r="J11" s="41">
        <v>2647442</v>
      </c>
      <c r="K11" s="41">
        <v>-1614513</v>
      </c>
      <c r="L11" s="41">
        <f>SUM(I11:K11)</f>
        <v>1851425</v>
      </c>
      <c r="M11" s="41">
        <f>SUM(L11)</f>
        <v>1851425</v>
      </c>
    </row>
    <row r="12" spans="1:13">
      <c r="A12" s="3"/>
      <c r="B12" s="3"/>
      <c r="C12" s="3" t="s">
        <v>13</v>
      </c>
      <c r="D12" s="3"/>
      <c r="E12" s="3"/>
      <c r="F12" s="3"/>
      <c r="G12" s="3"/>
      <c r="H12" s="3"/>
      <c r="I12" s="57">
        <f>SUM(I10:I11)</f>
        <v>1694794</v>
      </c>
      <c r="J12" s="57">
        <f t="shared" ref="J12:L12" si="0">SUM(J10:J11)</f>
        <v>2647442</v>
      </c>
      <c r="K12" s="57">
        <f t="shared" si="0"/>
        <v>-1614513</v>
      </c>
      <c r="L12" s="57">
        <f t="shared" si="0"/>
        <v>2727723</v>
      </c>
      <c r="M12" s="3"/>
    </row>
    <row r="14" spans="1:13">
      <c r="A14" s="3" t="s">
        <v>14</v>
      </c>
    </row>
    <row r="15" spans="1:13">
      <c r="A15" s="3"/>
      <c r="B15" s="4" t="s">
        <v>15</v>
      </c>
      <c r="I15" s="41">
        <v>11360591</v>
      </c>
      <c r="J15" s="41">
        <v>197254</v>
      </c>
      <c r="K15" s="41">
        <v>0</v>
      </c>
      <c r="L15" s="41">
        <f>SUM(I15:K15)</f>
        <v>11557845</v>
      </c>
    </row>
    <row r="16" spans="1:13">
      <c r="A16" s="3"/>
      <c r="B16" s="4" t="s">
        <v>18</v>
      </c>
      <c r="I16" s="41">
        <v>19003541</v>
      </c>
      <c r="J16" s="41">
        <v>3376445</v>
      </c>
      <c r="K16" s="41">
        <v>0</v>
      </c>
      <c r="L16" s="41">
        <f>SUM(I16:K16)</f>
        <v>22379986</v>
      </c>
    </row>
    <row r="17" spans="1:13">
      <c r="A17" s="3"/>
      <c r="B17" s="4" t="s">
        <v>30</v>
      </c>
      <c r="I17" s="41">
        <v>660291</v>
      </c>
      <c r="J17" s="41">
        <v>43985</v>
      </c>
      <c r="L17" s="41">
        <f>SUM(I17:K17)</f>
        <v>704276</v>
      </c>
    </row>
    <row r="18" spans="1:13">
      <c r="B18" s="4" t="s">
        <v>57</v>
      </c>
      <c r="I18" s="41">
        <v>5279409</v>
      </c>
      <c r="J18" s="41">
        <v>1204581</v>
      </c>
      <c r="K18" s="41">
        <v>-100700</v>
      </c>
      <c r="L18" s="41">
        <f>SUM(I18:K18)</f>
        <v>6383290</v>
      </c>
    </row>
    <row r="19" spans="1:13">
      <c r="C19" s="3" t="s">
        <v>19</v>
      </c>
      <c r="I19" s="58">
        <f>SUM(I15:I18)</f>
        <v>36303832</v>
      </c>
      <c r="J19" s="58">
        <f>SUM(J15:J18)</f>
        <v>4822265</v>
      </c>
      <c r="K19" s="58">
        <f>SUM(K15:K18)</f>
        <v>-100700</v>
      </c>
      <c r="L19" s="58">
        <f>SUM(L15:L18)</f>
        <v>41025397</v>
      </c>
    </row>
    <row r="20" spans="1:13">
      <c r="A20" s="4" t="s">
        <v>147</v>
      </c>
    </row>
    <row r="21" spans="1:13">
      <c r="B21" s="4" t="s">
        <v>27</v>
      </c>
      <c r="I21" s="41">
        <v>4177812</v>
      </c>
      <c r="J21" s="41">
        <v>303449</v>
      </c>
      <c r="K21" s="41">
        <v>0</v>
      </c>
      <c r="L21" s="41">
        <f>SUM(I21:K21)</f>
        <v>4481261</v>
      </c>
      <c r="M21" s="41">
        <f>L15-L21</f>
        <v>7076584</v>
      </c>
    </row>
    <row r="22" spans="1:13">
      <c r="B22" s="4" t="s">
        <v>18</v>
      </c>
      <c r="I22" s="41">
        <v>9096921</v>
      </c>
      <c r="J22" s="41">
        <v>959297</v>
      </c>
      <c r="K22" s="41">
        <v>0</v>
      </c>
      <c r="L22" s="41">
        <f>SUM(I22:K22)</f>
        <v>10056218</v>
      </c>
      <c r="M22" s="41">
        <f>L16-L22</f>
        <v>12323768</v>
      </c>
    </row>
    <row r="23" spans="1:13">
      <c r="B23" s="4" t="s">
        <v>30</v>
      </c>
      <c r="I23" s="41">
        <v>520294</v>
      </c>
      <c r="J23" s="41">
        <v>58794</v>
      </c>
      <c r="L23" s="41">
        <f>SUM(I23:K23)</f>
        <v>579088</v>
      </c>
      <c r="M23" s="41">
        <f>L17-L23</f>
        <v>125188</v>
      </c>
    </row>
    <row r="24" spans="1:13">
      <c r="B24" s="4" t="s">
        <v>57</v>
      </c>
      <c r="I24" s="41">
        <v>3666099</v>
      </c>
      <c r="J24" s="41">
        <v>406557</v>
      </c>
      <c r="K24" s="41">
        <v>-99600</v>
      </c>
      <c r="L24" s="41">
        <f>SUM(I24:K24)</f>
        <v>3973056</v>
      </c>
      <c r="M24" s="41">
        <f>L18-L24</f>
        <v>2410234</v>
      </c>
    </row>
    <row r="25" spans="1:13">
      <c r="A25" s="3"/>
      <c r="B25" s="3"/>
      <c r="C25" s="3" t="s">
        <v>21</v>
      </c>
      <c r="D25" s="3"/>
      <c r="E25" s="3"/>
      <c r="F25" s="3"/>
      <c r="G25" s="3"/>
      <c r="H25" s="3"/>
      <c r="I25" s="50">
        <f>SUM(I21:I24)</f>
        <v>17461126</v>
      </c>
      <c r="J25" s="50">
        <f>SUM(J21:J24)</f>
        <v>1728097</v>
      </c>
      <c r="K25" s="50">
        <f>SUM(K21:K24)</f>
        <v>-99600</v>
      </c>
      <c r="L25" s="50">
        <f>SUM(L21:L24)</f>
        <v>19089623</v>
      </c>
      <c r="M25" s="3"/>
    </row>
    <row r="26" spans="1:13">
      <c r="A26" s="3"/>
      <c r="B26" s="3" t="s">
        <v>22</v>
      </c>
      <c r="C26" s="3"/>
      <c r="D26" s="3"/>
      <c r="E26" s="3"/>
      <c r="F26" s="3"/>
      <c r="G26" s="3"/>
      <c r="H26" s="3"/>
      <c r="I26" s="50">
        <f>I19-I25</f>
        <v>18842706</v>
      </c>
      <c r="J26" s="50">
        <f t="shared" ref="J26:L26" si="1">J19-J25</f>
        <v>3094168</v>
      </c>
      <c r="K26" s="50">
        <f t="shared" si="1"/>
        <v>-1100</v>
      </c>
      <c r="L26" s="50">
        <f t="shared" si="1"/>
        <v>21935774</v>
      </c>
      <c r="M26" s="3"/>
    </row>
    <row r="27" spans="1:13" ht="19.5" thickBot="1">
      <c r="B27" s="3" t="s">
        <v>23</v>
      </c>
      <c r="I27" s="59">
        <f>I12+I26</f>
        <v>20537500</v>
      </c>
      <c r="J27" s="59">
        <f>J12+J26</f>
        <v>5741610</v>
      </c>
      <c r="K27" s="59">
        <f>K12+K26</f>
        <v>-1615613</v>
      </c>
      <c r="L27" s="59">
        <f>L12+L26</f>
        <v>24663497</v>
      </c>
      <c r="M27" s="41">
        <f>SUM(M21:M24,M10:M11)</f>
        <v>24663497</v>
      </c>
    </row>
    <row r="28" spans="1:13">
      <c r="B28" s="3"/>
      <c r="I28" s="44"/>
      <c r="J28" s="44"/>
      <c r="K28" s="44"/>
      <c r="L28" s="44"/>
    </row>
    <row r="30" spans="1:13" ht="37.5">
      <c r="I30" s="108" t="s">
        <v>3</v>
      </c>
      <c r="J30" s="108" t="s">
        <v>4</v>
      </c>
      <c r="K30" s="108" t="s">
        <v>5</v>
      </c>
      <c r="L30" s="108" t="s">
        <v>6</v>
      </c>
    </row>
    <row r="31" spans="1:13">
      <c r="I31" s="43"/>
      <c r="J31" s="43"/>
      <c r="K31" s="43"/>
      <c r="L31" s="43"/>
    </row>
    <row r="32" spans="1:13">
      <c r="A32" s="3" t="s">
        <v>71</v>
      </c>
      <c r="B32" s="3"/>
      <c r="C32" s="3"/>
      <c r="D32" s="3"/>
      <c r="E32" s="3"/>
      <c r="F32" s="3"/>
    </row>
    <row r="33" spans="1:13">
      <c r="A33" s="3" t="s">
        <v>14</v>
      </c>
    </row>
    <row r="34" spans="1:13">
      <c r="A34" s="3"/>
      <c r="B34" s="4" t="s">
        <v>130</v>
      </c>
      <c r="I34" s="41">
        <v>828812</v>
      </c>
      <c r="J34" s="41">
        <v>0</v>
      </c>
      <c r="K34" s="41">
        <v>0</v>
      </c>
      <c r="L34" s="41">
        <f>SUM(I34:K34)</f>
        <v>828812</v>
      </c>
    </row>
    <row r="35" spans="1:13">
      <c r="B35" s="4" t="s">
        <v>57</v>
      </c>
      <c r="I35" s="41">
        <v>18209</v>
      </c>
      <c r="J35" s="41">
        <v>1560</v>
      </c>
      <c r="L35" s="41">
        <f>SUM(I35:K35)</f>
        <v>19769</v>
      </c>
    </row>
    <row r="36" spans="1:13">
      <c r="C36" s="3" t="s">
        <v>19</v>
      </c>
      <c r="I36" s="57">
        <f>SUM(I34:I35)</f>
        <v>847021</v>
      </c>
      <c r="J36" s="57">
        <f>SUM(J34:J35)</f>
        <v>1560</v>
      </c>
      <c r="K36" s="57">
        <f>SUM(K34:K35)</f>
        <v>0</v>
      </c>
      <c r="L36" s="57">
        <f>SUM(L34:L35)</f>
        <v>848581</v>
      </c>
    </row>
    <row r="37" spans="1:13">
      <c r="C37" s="3"/>
      <c r="I37" s="44"/>
      <c r="J37" s="44"/>
      <c r="K37" s="44"/>
      <c r="L37" s="44"/>
    </row>
    <row r="38" spans="1:13">
      <c r="A38" s="3"/>
      <c r="B38" s="3" t="s">
        <v>97</v>
      </c>
      <c r="C38" s="3"/>
      <c r="D38" s="3"/>
      <c r="E38" s="3"/>
      <c r="F38" s="3"/>
      <c r="G38" s="3"/>
      <c r="I38" s="57">
        <v>528442</v>
      </c>
      <c r="J38" s="57">
        <v>29039</v>
      </c>
      <c r="K38" s="57">
        <v>0</v>
      </c>
      <c r="L38" s="57">
        <f>SUM(I38:K38)</f>
        <v>557481</v>
      </c>
      <c r="M38" s="41">
        <f>L36-L38</f>
        <v>291100</v>
      </c>
    </row>
    <row r="39" spans="1:13">
      <c r="A39" s="3"/>
      <c r="B39" s="3" t="s">
        <v>22</v>
      </c>
      <c r="C39" s="3"/>
      <c r="D39" s="3"/>
      <c r="E39" s="3"/>
      <c r="F39" s="3"/>
      <c r="G39" s="3"/>
      <c r="I39" s="57">
        <f>I36-I38</f>
        <v>318579</v>
      </c>
      <c r="J39" s="57">
        <f t="shared" ref="J39:L39" si="2">J36-J38</f>
        <v>-27479</v>
      </c>
      <c r="K39" s="57">
        <f t="shared" si="2"/>
        <v>0</v>
      </c>
      <c r="L39" s="57">
        <f t="shared" si="2"/>
        <v>291100</v>
      </c>
    </row>
    <row r="40" spans="1:13" ht="19.5" thickBot="1">
      <c r="B40" s="3" t="s">
        <v>41</v>
      </c>
      <c r="I40" s="59">
        <f>I39</f>
        <v>318579</v>
      </c>
      <c r="J40" s="59">
        <f t="shared" ref="J40:L40" si="3">J39</f>
        <v>-27479</v>
      </c>
      <c r="K40" s="59">
        <f t="shared" si="3"/>
        <v>0</v>
      </c>
      <c r="L40" s="59">
        <f t="shared" si="3"/>
        <v>291100</v>
      </c>
      <c r="M40" s="41">
        <f>SUM(M34:M38)</f>
        <v>291100</v>
      </c>
    </row>
  </sheetData>
  <mergeCells count="3">
    <mergeCell ref="D1:I1"/>
    <mergeCell ref="D2:I2"/>
    <mergeCell ref="D3:I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39"/>
  <sheetViews>
    <sheetView zoomScale="70" zoomScaleNormal="70" workbookViewId="0">
      <selection sqref="A1:XFD1048576"/>
    </sheetView>
  </sheetViews>
  <sheetFormatPr defaultColWidth="15.85546875" defaultRowHeight="18.75"/>
  <cols>
    <col min="1" max="1" width="7.85546875" style="4" customWidth="1"/>
    <col min="2" max="2" width="6.5703125" style="4" customWidth="1"/>
    <col min="3" max="3" width="5.28515625" style="4" customWidth="1"/>
    <col min="4" max="4" width="15.85546875" style="4" customWidth="1"/>
    <col min="5" max="5" width="24.5703125" style="4" customWidth="1"/>
    <col min="6" max="6" width="15.85546875" style="4"/>
    <col min="7" max="7" width="18.42578125" style="41" bestFit="1" customWidth="1"/>
    <col min="8" max="8" width="16.85546875" style="41" bestFit="1" customWidth="1"/>
    <col min="9" max="9" width="16.85546875" style="41" customWidth="1"/>
    <col min="10" max="10" width="18.42578125" style="41" bestFit="1" customWidth="1"/>
    <col min="11" max="11" width="17.85546875" style="4" customWidth="1"/>
    <col min="12" max="16384" width="15.85546875" style="4"/>
  </cols>
  <sheetData>
    <row r="1" spans="1:14">
      <c r="D1" s="109" t="s">
        <v>157</v>
      </c>
      <c r="E1" s="109"/>
      <c r="F1" s="109"/>
      <c r="G1" s="109"/>
    </row>
    <row r="2" spans="1:14">
      <c r="D2" s="109" t="s">
        <v>1</v>
      </c>
      <c r="E2" s="109"/>
      <c r="F2" s="109"/>
      <c r="G2" s="109"/>
    </row>
    <row r="3" spans="1:14">
      <c r="D3" s="109" t="s">
        <v>2</v>
      </c>
      <c r="E3" s="109"/>
      <c r="F3" s="109"/>
      <c r="G3" s="109"/>
    </row>
    <row r="4" spans="1:14">
      <c r="D4" s="107"/>
      <c r="E4" s="107"/>
      <c r="F4" s="107"/>
      <c r="G4" s="42"/>
    </row>
    <row r="5" spans="1:14" ht="37.5">
      <c r="G5" s="108" t="s">
        <v>3</v>
      </c>
      <c r="H5" s="108" t="s">
        <v>60</v>
      </c>
      <c r="I5" s="108" t="s">
        <v>61</v>
      </c>
      <c r="J5" s="108" t="s">
        <v>6</v>
      </c>
      <c r="K5" s="108" t="s">
        <v>7</v>
      </c>
    </row>
    <row r="6" spans="1:14">
      <c r="G6" s="43"/>
      <c r="H6" s="43"/>
      <c r="I6" s="43"/>
      <c r="J6" s="43"/>
    </row>
    <row r="7" spans="1:14">
      <c r="A7" s="3" t="s">
        <v>158</v>
      </c>
      <c r="B7" s="3"/>
      <c r="C7" s="3"/>
      <c r="D7" s="3"/>
      <c r="E7" s="3"/>
      <c r="F7" s="3"/>
    </row>
    <row r="8" spans="1:14">
      <c r="A8" s="3"/>
      <c r="B8" s="3" t="s">
        <v>10</v>
      </c>
      <c r="C8" s="3"/>
      <c r="D8" s="3"/>
      <c r="E8" s="3"/>
      <c r="F8" s="3"/>
    </row>
    <row r="9" spans="1:14">
      <c r="C9" s="4" t="s">
        <v>11</v>
      </c>
      <c r="G9" s="41">
        <v>390416</v>
      </c>
      <c r="J9" s="41">
        <f>SUM(G9:I9)</f>
        <v>390416</v>
      </c>
      <c r="K9" s="41">
        <f t="shared" ref="K9:K10" si="0">SUM(J9)</f>
        <v>390416</v>
      </c>
    </row>
    <row r="10" spans="1:14">
      <c r="C10" s="4" t="s">
        <v>12</v>
      </c>
      <c r="G10" s="41">
        <v>311170</v>
      </c>
      <c r="H10" s="41">
        <v>375222</v>
      </c>
      <c r="J10" s="41">
        <f>SUM(G10:I10)</f>
        <v>686392</v>
      </c>
      <c r="K10" s="41">
        <f t="shared" si="0"/>
        <v>686392</v>
      </c>
    </row>
    <row r="11" spans="1:14">
      <c r="C11" s="4" t="s">
        <v>159</v>
      </c>
      <c r="G11" s="45">
        <v>96829</v>
      </c>
      <c r="H11" s="45"/>
      <c r="I11" s="45"/>
      <c r="J11" s="45">
        <f>SUM(G11:I11)</f>
        <v>96829</v>
      </c>
      <c r="K11" s="41">
        <f>SUM(J11)</f>
        <v>96829</v>
      </c>
    </row>
    <row r="12" spans="1:14">
      <c r="A12" s="3"/>
      <c r="B12" s="3"/>
      <c r="C12" s="3"/>
      <c r="D12" s="3" t="s">
        <v>26</v>
      </c>
      <c r="E12" s="3"/>
      <c r="F12" s="3"/>
      <c r="G12" s="46">
        <f>SUM(G9:G11)</f>
        <v>798415</v>
      </c>
      <c r="H12" s="46">
        <f>SUM(H9:H11)</f>
        <v>375222</v>
      </c>
      <c r="I12" s="46">
        <f>SUM(I9:I11)</f>
        <v>0</v>
      </c>
      <c r="J12" s="46">
        <f>SUM(J9:J11)</f>
        <v>1173637</v>
      </c>
      <c r="K12" s="3"/>
    </row>
    <row r="14" spans="1:14">
      <c r="A14" s="3" t="s">
        <v>14</v>
      </c>
      <c r="N14" s="41">
        <f>Caldwell!K30</f>
        <v>935</v>
      </c>
    </row>
    <row r="15" spans="1:14">
      <c r="A15" s="3"/>
      <c r="B15" s="4" t="s">
        <v>160</v>
      </c>
      <c r="G15" s="41">
        <v>86784323</v>
      </c>
      <c r="H15" s="41">
        <v>335893</v>
      </c>
      <c r="J15" s="41">
        <f t="shared" ref="J15:J22" si="1">SUM(G15:I15)</f>
        <v>87120216</v>
      </c>
    </row>
    <row r="16" spans="1:14">
      <c r="A16" s="3"/>
      <c r="B16" s="4" t="s">
        <v>161</v>
      </c>
      <c r="G16" s="41">
        <v>3366140</v>
      </c>
      <c r="J16" s="41">
        <f t="shared" si="1"/>
        <v>3366140</v>
      </c>
    </row>
    <row r="17" spans="1:11">
      <c r="B17" s="4" t="s">
        <v>15</v>
      </c>
      <c r="G17" s="41">
        <v>4765535</v>
      </c>
      <c r="H17" s="41">
        <v>7000</v>
      </c>
      <c r="J17" s="41">
        <f t="shared" si="1"/>
        <v>4772535</v>
      </c>
    </row>
    <row r="18" spans="1:11">
      <c r="B18" s="4" t="s">
        <v>28</v>
      </c>
      <c r="G18" s="41">
        <v>2593516</v>
      </c>
      <c r="J18" s="41">
        <f t="shared" si="1"/>
        <v>2593516</v>
      </c>
    </row>
    <row r="19" spans="1:11">
      <c r="B19" s="4" t="s">
        <v>66</v>
      </c>
      <c r="G19" s="41">
        <v>60459</v>
      </c>
      <c r="J19" s="41">
        <f t="shared" si="1"/>
        <v>60459</v>
      </c>
    </row>
    <row r="20" spans="1:11">
      <c r="B20" s="4" t="s">
        <v>58</v>
      </c>
      <c r="G20" s="41">
        <v>1729613</v>
      </c>
      <c r="H20" s="41">
        <v>131034</v>
      </c>
      <c r="I20" s="41">
        <v>-402630</v>
      </c>
      <c r="J20" s="41">
        <f t="shared" si="1"/>
        <v>1458017</v>
      </c>
    </row>
    <row r="21" spans="1:11">
      <c r="B21" s="4" t="s">
        <v>162</v>
      </c>
      <c r="G21" s="41">
        <v>400559</v>
      </c>
      <c r="H21" s="41">
        <v>6430</v>
      </c>
      <c r="I21" s="41">
        <v>-5850</v>
      </c>
      <c r="J21" s="41">
        <f t="shared" si="1"/>
        <v>401139</v>
      </c>
    </row>
    <row r="22" spans="1:11">
      <c r="B22" s="4" t="s">
        <v>30</v>
      </c>
      <c r="G22" s="45">
        <v>1208005</v>
      </c>
      <c r="H22" s="45"/>
      <c r="I22" s="45">
        <v>-7735</v>
      </c>
      <c r="J22" s="45">
        <f t="shared" si="1"/>
        <v>1200270</v>
      </c>
    </row>
    <row r="23" spans="1:11">
      <c r="A23" s="3"/>
      <c r="B23" s="3"/>
      <c r="C23" s="3"/>
      <c r="D23" s="3" t="s">
        <v>19</v>
      </c>
      <c r="E23" s="3"/>
      <c r="F23" s="3"/>
      <c r="G23" s="46">
        <f>SUM(G15:G22)</f>
        <v>100908150</v>
      </c>
      <c r="H23" s="46">
        <f>SUM(H15:H22)</f>
        <v>480357</v>
      </c>
      <c r="I23" s="46">
        <f>SUM(I15:I22)</f>
        <v>-416215</v>
      </c>
      <c r="J23" s="46">
        <f>SUM(J15:J22)</f>
        <v>100972292</v>
      </c>
      <c r="K23" s="3"/>
    </row>
    <row r="25" spans="1:11">
      <c r="A25" s="4" t="s">
        <v>20</v>
      </c>
    </row>
    <row r="26" spans="1:11">
      <c r="B26" s="4" t="s">
        <v>160</v>
      </c>
      <c r="G26" s="41">
        <v>-74418357</v>
      </c>
      <c r="H26" s="41">
        <v>-738290</v>
      </c>
      <c r="J26" s="41">
        <f t="shared" ref="J26:J33" si="2">SUM(G26:I26)</f>
        <v>-75156647</v>
      </c>
      <c r="K26" s="41">
        <f>J15+J26</f>
        <v>11963569</v>
      </c>
    </row>
    <row r="27" spans="1:11">
      <c r="B27" s="4" t="s">
        <v>161</v>
      </c>
      <c r="G27" s="41">
        <v>-1573675</v>
      </c>
      <c r="H27" s="41">
        <v>-48964</v>
      </c>
      <c r="J27" s="41">
        <f t="shared" si="2"/>
        <v>-1622639</v>
      </c>
      <c r="K27" s="41">
        <f t="shared" ref="K27:K33" si="3">J16+J27</f>
        <v>1743501</v>
      </c>
    </row>
    <row r="28" spans="1:11">
      <c r="B28" s="4" t="s">
        <v>15</v>
      </c>
      <c r="G28" s="41">
        <v>-3337791</v>
      </c>
      <c r="H28" s="41">
        <v>-119343</v>
      </c>
      <c r="J28" s="41">
        <f t="shared" si="2"/>
        <v>-3457134</v>
      </c>
      <c r="K28" s="41">
        <f t="shared" si="3"/>
        <v>1315401</v>
      </c>
    </row>
    <row r="29" spans="1:11">
      <c r="B29" s="4" t="s">
        <v>28</v>
      </c>
      <c r="G29" s="41">
        <v>-1558271</v>
      </c>
      <c r="H29" s="41">
        <v>-111001</v>
      </c>
      <c r="J29" s="41">
        <f t="shared" si="2"/>
        <v>-1669272</v>
      </c>
      <c r="K29" s="41">
        <f t="shared" si="3"/>
        <v>924244</v>
      </c>
    </row>
    <row r="30" spans="1:11">
      <c r="B30" s="4" t="s">
        <v>66</v>
      </c>
      <c r="G30" s="41">
        <v>-58535</v>
      </c>
      <c r="H30" s="41">
        <v>-480</v>
      </c>
      <c r="J30" s="41">
        <f t="shared" si="2"/>
        <v>-59015</v>
      </c>
      <c r="K30" s="41">
        <f t="shared" si="3"/>
        <v>1444</v>
      </c>
    </row>
    <row r="31" spans="1:11">
      <c r="B31" s="4" t="s">
        <v>58</v>
      </c>
      <c r="G31" s="41">
        <v>-990767</v>
      </c>
      <c r="H31" s="41">
        <v>-108647</v>
      </c>
      <c r="I31" s="41">
        <v>207194</v>
      </c>
      <c r="J31" s="41">
        <f t="shared" si="2"/>
        <v>-892220</v>
      </c>
      <c r="K31" s="41">
        <f t="shared" si="3"/>
        <v>565797</v>
      </c>
    </row>
    <row r="32" spans="1:11">
      <c r="B32" s="4" t="s">
        <v>162</v>
      </c>
      <c r="G32" s="41">
        <v>-345648</v>
      </c>
      <c r="H32" s="41">
        <v>-14622</v>
      </c>
      <c r="I32" s="41">
        <v>5850</v>
      </c>
      <c r="J32" s="41">
        <f t="shared" si="2"/>
        <v>-354420</v>
      </c>
      <c r="K32" s="41">
        <f t="shared" si="3"/>
        <v>46719</v>
      </c>
    </row>
    <row r="33" spans="1:11">
      <c r="B33" s="4" t="s">
        <v>30</v>
      </c>
      <c r="G33" s="45">
        <v>-1041791</v>
      </c>
      <c r="H33" s="45">
        <v>-64110</v>
      </c>
      <c r="I33" s="45">
        <v>7735</v>
      </c>
      <c r="J33" s="45">
        <f t="shared" si="2"/>
        <v>-1098166</v>
      </c>
      <c r="K33" s="41">
        <f t="shared" si="3"/>
        <v>102104</v>
      </c>
    </row>
    <row r="34" spans="1:11">
      <c r="A34" s="3"/>
      <c r="B34" s="3"/>
      <c r="C34" s="3"/>
      <c r="D34" s="3" t="s">
        <v>21</v>
      </c>
      <c r="E34" s="3"/>
      <c r="F34" s="3"/>
      <c r="G34" s="46">
        <f>SUM(G26:G33)</f>
        <v>-83324835</v>
      </c>
      <c r="H34" s="46">
        <f>SUM(H26:H33)</f>
        <v>-1205457</v>
      </c>
      <c r="I34" s="46">
        <f>SUM(I26:I33)</f>
        <v>220779</v>
      </c>
      <c r="J34" s="46">
        <f>SUM(J26:J33)</f>
        <v>-84309513</v>
      </c>
      <c r="K34" s="3"/>
    </row>
    <row r="36" spans="1:11">
      <c r="A36" s="3"/>
      <c r="B36" s="3" t="s">
        <v>22</v>
      </c>
      <c r="C36" s="3"/>
      <c r="D36" s="3"/>
      <c r="E36" s="3"/>
      <c r="F36" s="3"/>
      <c r="G36" s="46">
        <f>G23+G34</f>
        <v>17583315</v>
      </c>
      <c r="H36" s="46">
        <f t="shared" ref="H36:J36" si="4">H23+H34</f>
        <v>-725100</v>
      </c>
      <c r="I36" s="46">
        <f t="shared" si="4"/>
        <v>-195436</v>
      </c>
      <c r="J36" s="46">
        <f t="shared" si="4"/>
        <v>16662779</v>
      </c>
      <c r="K36" s="3"/>
    </row>
    <row r="38" spans="1:11" ht="19.5" thickBot="1">
      <c r="B38" s="3" t="s">
        <v>23</v>
      </c>
      <c r="G38" s="48">
        <f>G36+G12</f>
        <v>18381730</v>
      </c>
      <c r="H38" s="48">
        <f>H36+H12</f>
        <v>-349878</v>
      </c>
      <c r="I38" s="48">
        <f>I36+I12</f>
        <v>-195436</v>
      </c>
      <c r="J38" s="48">
        <f>J36+J12</f>
        <v>17836416</v>
      </c>
      <c r="K38" s="41">
        <f>SUM(K9:K33)</f>
        <v>17836416</v>
      </c>
    </row>
    <row r="39" spans="1:11" ht="19.5" thickTop="1"/>
  </sheetData>
  <mergeCells count="3">
    <mergeCell ref="D1:G1"/>
    <mergeCell ref="D2:G2"/>
    <mergeCell ref="D3:G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37"/>
  <sheetViews>
    <sheetView zoomScale="70" zoomScaleNormal="70" workbookViewId="0">
      <selection activeCell="O35" sqref="O35"/>
    </sheetView>
  </sheetViews>
  <sheetFormatPr defaultColWidth="8.85546875" defaultRowHeight="18.75"/>
  <cols>
    <col min="1" max="1" width="4.42578125" style="4" customWidth="1"/>
    <col min="2" max="3" width="4.7109375" style="4" customWidth="1"/>
    <col min="4" max="6" width="8.85546875" style="4"/>
    <col min="7" max="7" width="14.28515625" style="4" bestFit="1" customWidth="1"/>
    <col min="8" max="8" width="12.7109375" style="4" bestFit="1" customWidth="1"/>
    <col min="9" max="9" width="20.5703125" style="41" bestFit="1" customWidth="1"/>
    <col min="10" max="10" width="17.5703125" style="41" bestFit="1" customWidth="1"/>
    <col min="11" max="11" width="16.85546875" style="41" customWidth="1"/>
    <col min="12" max="12" width="20.85546875" style="41" customWidth="1"/>
    <col min="13" max="13" width="18.140625" style="4" customWidth="1"/>
    <col min="14" max="14" width="8.85546875" style="4"/>
    <col min="15" max="15" width="16.85546875" style="4" customWidth="1"/>
    <col min="16" max="16" width="20.5703125" style="4" bestFit="1" customWidth="1"/>
    <col min="17" max="17" width="15.7109375" style="4" customWidth="1"/>
    <col min="18" max="16384" width="8.85546875" style="4"/>
  </cols>
  <sheetData>
    <row r="1" spans="1:18">
      <c r="D1" s="109" t="s">
        <v>163</v>
      </c>
      <c r="E1" s="109"/>
      <c r="F1" s="109"/>
      <c r="G1" s="109"/>
      <c r="H1" s="109"/>
      <c r="I1" s="109"/>
    </row>
    <row r="2" spans="1:18">
      <c r="D2" s="109" t="s">
        <v>1</v>
      </c>
      <c r="E2" s="109"/>
      <c r="F2" s="109"/>
      <c r="G2" s="109"/>
      <c r="H2" s="109"/>
      <c r="I2" s="109"/>
    </row>
    <row r="3" spans="1:18">
      <c r="D3" s="109" t="s">
        <v>2</v>
      </c>
      <c r="E3" s="109"/>
      <c r="F3" s="109"/>
      <c r="G3" s="109"/>
      <c r="H3" s="109"/>
      <c r="I3" s="109"/>
    </row>
    <row r="4" spans="1:18">
      <c r="D4" s="107"/>
      <c r="E4" s="107"/>
      <c r="F4" s="107"/>
      <c r="G4" s="107"/>
      <c r="H4" s="107"/>
      <c r="I4" s="42"/>
    </row>
    <row r="5" spans="1:18" ht="37.5">
      <c r="I5" s="53" t="s">
        <v>3</v>
      </c>
      <c r="J5" s="53" t="s">
        <v>4</v>
      </c>
      <c r="K5" s="53" t="s">
        <v>5</v>
      </c>
      <c r="L5" s="53" t="s">
        <v>6</v>
      </c>
      <c r="M5" s="53" t="s">
        <v>7</v>
      </c>
    </row>
    <row r="6" spans="1:18">
      <c r="I6" s="65"/>
      <c r="J6" s="65"/>
      <c r="K6" s="65"/>
      <c r="L6" s="65"/>
    </row>
    <row r="7" spans="1:18">
      <c r="A7" s="3" t="s">
        <v>8</v>
      </c>
      <c r="B7" s="3"/>
      <c r="C7" s="3"/>
      <c r="D7" s="3"/>
      <c r="E7" s="3"/>
      <c r="F7" s="3"/>
    </row>
    <row r="8" spans="1:18">
      <c r="A8" s="3" t="s">
        <v>9</v>
      </c>
      <c r="B8" s="3"/>
      <c r="C8" s="3"/>
      <c r="D8" s="3"/>
      <c r="E8" s="3"/>
      <c r="F8" s="3"/>
    </row>
    <row r="9" spans="1:18">
      <c r="A9" s="3" t="s">
        <v>10</v>
      </c>
      <c r="B9" s="3"/>
      <c r="C9" s="3"/>
      <c r="D9" s="3"/>
      <c r="E9" s="3"/>
      <c r="F9" s="3"/>
    </row>
    <row r="10" spans="1:18">
      <c r="B10" s="4" t="s">
        <v>12</v>
      </c>
      <c r="I10" s="41">
        <v>196164</v>
      </c>
      <c r="J10" s="41">
        <v>37900</v>
      </c>
      <c r="K10" s="41">
        <v>-196164</v>
      </c>
      <c r="L10" s="41">
        <f>SUM(I10:K10)</f>
        <v>37900</v>
      </c>
      <c r="M10" s="41">
        <f>L10</f>
        <v>37900</v>
      </c>
    </row>
    <row r="11" spans="1:18">
      <c r="B11" s="4" t="s">
        <v>11</v>
      </c>
      <c r="I11" s="41">
        <v>202250</v>
      </c>
      <c r="J11" s="41">
        <v>1000</v>
      </c>
      <c r="L11" s="41">
        <f>SUM(I11:K11)</f>
        <v>203250</v>
      </c>
      <c r="M11" s="41">
        <f>L11</f>
        <v>203250</v>
      </c>
    </row>
    <row r="12" spans="1:18">
      <c r="A12" s="3"/>
      <c r="B12" s="3"/>
      <c r="C12" s="3" t="s">
        <v>13</v>
      </c>
      <c r="D12" s="3"/>
      <c r="E12" s="3"/>
      <c r="F12" s="3"/>
      <c r="G12" s="3"/>
      <c r="H12" s="3"/>
      <c r="I12" s="57">
        <f>SUM(I10:I11)</f>
        <v>398414</v>
      </c>
      <c r="J12" s="57">
        <f t="shared" ref="J12:L12" si="0">SUM(J10:J11)</f>
        <v>38900</v>
      </c>
      <c r="K12" s="57">
        <f t="shared" si="0"/>
        <v>-196164</v>
      </c>
      <c r="L12" s="57">
        <f t="shared" si="0"/>
        <v>241150</v>
      </c>
      <c r="M12" s="3"/>
    </row>
    <row r="14" spans="1:18">
      <c r="A14" s="3" t="s">
        <v>14</v>
      </c>
      <c r="O14" s="3" t="s">
        <v>164</v>
      </c>
      <c r="P14" s="3" t="s">
        <v>49</v>
      </c>
      <c r="Q14" s="3" t="s">
        <v>165</v>
      </c>
      <c r="R14" s="3"/>
    </row>
    <row r="15" spans="1:18">
      <c r="A15" s="3"/>
      <c r="B15" s="4" t="s">
        <v>15</v>
      </c>
      <c r="I15" s="41">
        <v>2641293</v>
      </c>
      <c r="K15" s="41">
        <v>0</v>
      </c>
      <c r="L15" s="41">
        <f>SUM(I15:K15)</f>
        <v>2641293</v>
      </c>
      <c r="M15" s="41">
        <f>L15+P15</f>
        <v>1562053.6602832675</v>
      </c>
      <c r="O15" s="4">
        <f>L15/L19</f>
        <v>0.26736836074305786</v>
      </c>
      <c r="P15" s="66">
        <f>O15*L21</f>
        <v>-1079239.3397167325</v>
      </c>
      <c r="Q15" s="41">
        <f>+L15+P15</f>
        <v>1562053.6602832675</v>
      </c>
    </row>
    <row r="16" spans="1:18">
      <c r="A16" s="3"/>
      <c r="B16" s="4" t="s">
        <v>166</v>
      </c>
      <c r="I16" s="41">
        <v>2360030</v>
      </c>
      <c r="J16" s="41">
        <v>345929</v>
      </c>
      <c r="K16" s="41">
        <v>-130513</v>
      </c>
      <c r="L16" s="41">
        <f>SUM(I16:K16)</f>
        <v>2575446</v>
      </c>
      <c r="M16" s="41">
        <f>L16+P16</f>
        <v>1523111.919488637</v>
      </c>
      <c r="O16" s="4">
        <f>L16/L19</f>
        <v>0.26070291149155561</v>
      </c>
      <c r="P16" s="66">
        <f>O16*L21</f>
        <v>-1052334.080511363</v>
      </c>
      <c r="Q16" s="41">
        <f t="shared" ref="Q16:Q18" si="1">+L16+P16</f>
        <v>1523111.919488637</v>
      </c>
    </row>
    <row r="17" spans="1:17">
      <c r="A17" s="3"/>
      <c r="B17" s="4" t="s">
        <v>18</v>
      </c>
      <c r="I17" s="41">
        <v>4013990</v>
      </c>
      <c r="J17" s="41">
        <v>438478</v>
      </c>
      <c r="L17" s="41">
        <f>SUM(I17:K17)</f>
        <v>4452468</v>
      </c>
      <c r="M17" s="41">
        <f>L17+P17</f>
        <v>2633177.7416190179</v>
      </c>
      <c r="O17" s="4">
        <f>L17/L19</f>
        <v>0.45070693422536662</v>
      </c>
      <c r="P17" s="66">
        <f>O17*L21</f>
        <v>-1819290.2583809823</v>
      </c>
      <c r="Q17" s="41">
        <f t="shared" si="1"/>
        <v>2633177.7416190179</v>
      </c>
    </row>
    <row r="18" spans="1:17">
      <c r="B18" s="4" t="s">
        <v>167</v>
      </c>
      <c r="I18" s="41">
        <v>209647</v>
      </c>
      <c r="L18" s="41">
        <f>SUM(I18:K18)</f>
        <v>209647</v>
      </c>
      <c r="M18" s="41">
        <f>L18+P18</f>
        <v>123984.67860907754</v>
      </c>
      <c r="O18" s="4">
        <f>L18/L19</f>
        <v>2.1221793540019924E-2</v>
      </c>
      <c r="P18" s="66">
        <f>O18*L21</f>
        <v>-85662.321390922458</v>
      </c>
      <c r="Q18" s="41">
        <f t="shared" si="1"/>
        <v>123984.67860907754</v>
      </c>
    </row>
    <row r="19" spans="1:17">
      <c r="C19" s="3" t="s">
        <v>19</v>
      </c>
      <c r="I19" s="58">
        <f>SUM(I15:I18)</f>
        <v>9224960</v>
      </c>
      <c r="J19" s="58">
        <f>SUM(J15:J18)</f>
        <v>784407</v>
      </c>
      <c r="K19" s="58">
        <f>SUM(K15:K18)</f>
        <v>-130513</v>
      </c>
      <c r="L19" s="58">
        <f>SUM(L15:L18)</f>
        <v>9878854</v>
      </c>
      <c r="O19" s="41">
        <f>SUM(O15:O18)</f>
        <v>1</v>
      </c>
      <c r="P19" s="66">
        <f>SUM(P15:P18)</f>
        <v>-4036526.0000000005</v>
      </c>
      <c r="Q19" s="66">
        <f>+L19+P19</f>
        <v>5842328</v>
      </c>
    </row>
    <row r="20" spans="1:17">
      <c r="C20" s="3"/>
      <c r="I20" s="58"/>
      <c r="J20" s="58"/>
      <c r="K20" s="58"/>
      <c r="L20" s="58"/>
      <c r="Q20" s="3" t="s">
        <v>168</v>
      </c>
    </row>
    <row r="21" spans="1:17">
      <c r="A21" s="3"/>
      <c r="B21" s="3" t="s">
        <v>169</v>
      </c>
      <c r="C21" s="3"/>
      <c r="D21" s="3"/>
      <c r="E21" s="3"/>
      <c r="F21" s="3"/>
      <c r="G21" s="3"/>
      <c r="H21" s="3"/>
      <c r="I21" s="50">
        <v>-3831555</v>
      </c>
      <c r="J21" s="50">
        <v>-335484</v>
      </c>
      <c r="K21" s="50">
        <v>130513</v>
      </c>
      <c r="L21" s="50">
        <f>SUM(I21:K21)</f>
        <v>-4036526</v>
      </c>
      <c r="M21" s="3"/>
      <c r="Q21" s="79">
        <f>+L12+Q19</f>
        <v>6083478</v>
      </c>
    </row>
    <row r="22" spans="1:17">
      <c r="A22" s="3"/>
      <c r="B22" s="3" t="s">
        <v>22</v>
      </c>
      <c r="C22" s="3"/>
      <c r="D22" s="3"/>
      <c r="E22" s="3"/>
      <c r="F22" s="3"/>
      <c r="G22" s="3"/>
      <c r="H22" s="3"/>
      <c r="I22" s="50">
        <f>I19+I21</f>
        <v>5393405</v>
      </c>
      <c r="J22" s="50">
        <f t="shared" ref="J22:L22" si="2">J19+J21</f>
        <v>448923</v>
      </c>
      <c r="K22" s="50">
        <f t="shared" si="2"/>
        <v>0</v>
      </c>
      <c r="L22" s="50">
        <f t="shared" si="2"/>
        <v>5842328</v>
      </c>
      <c r="M22" s="3"/>
    </row>
    <row r="23" spans="1:17" ht="19.5" thickBot="1">
      <c r="B23" s="3" t="s">
        <v>23</v>
      </c>
      <c r="I23" s="59">
        <f>I12+I22</f>
        <v>5791819</v>
      </c>
      <c r="J23" s="59">
        <f>J12+J22</f>
        <v>487823</v>
      </c>
      <c r="K23" s="59">
        <f>K12+K22</f>
        <v>-196164</v>
      </c>
      <c r="L23" s="59">
        <f>L12+L22</f>
        <v>6083478</v>
      </c>
      <c r="M23" s="45">
        <f>SUM(M10:M18)</f>
        <v>6083478</v>
      </c>
    </row>
    <row r="24" spans="1:17">
      <c r="B24" s="3"/>
      <c r="I24" s="44"/>
      <c r="J24" s="44"/>
      <c r="K24" s="44"/>
      <c r="L24" s="44"/>
    </row>
    <row r="26" spans="1:17" ht="37.5">
      <c r="I26" s="108" t="s">
        <v>3</v>
      </c>
      <c r="J26" s="108" t="s">
        <v>4</v>
      </c>
      <c r="K26" s="108" t="s">
        <v>5</v>
      </c>
      <c r="L26" s="108" t="s">
        <v>6</v>
      </c>
    </row>
    <row r="27" spans="1:17">
      <c r="I27" s="43"/>
      <c r="J27" s="43"/>
      <c r="K27" s="43"/>
      <c r="L27" s="43"/>
    </row>
    <row r="28" spans="1:17">
      <c r="A28" s="3" t="s">
        <v>71</v>
      </c>
      <c r="B28" s="3"/>
      <c r="C28" s="3"/>
      <c r="D28" s="3"/>
      <c r="E28" s="3"/>
      <c r="F28" s="3"/>
    </row>
    <row r="29" spans="1:17">
      <c r="A29" s="3" t="s">
        <v>14</v>
      </c>
      <c r="O29" s="3" t="s">
        <v>164</v>
      </c>
      <c r="P29" s="3" t="s">
        <v>49</v>
      </c>
      <c r="Q29" s="3" t="s">
        <v>165</v>
      </c>
    </row>
    <row r="30" spans="1:17">
      <c r="A30" s="3"/>
      <c r="B30" s="4" t="s">
        <v>170</v>
      </c>
      <c r="I30" s="41">
        <v>1245902</v>
      </c>
      <c r="J30" s="41">
        <v>0</v>
      </c>
      <c r="K30" s="41">
        <v>0</v>
      </c>
      <c r="L30" s="41">
        <f>SUM(I30:K30)</f>
        <v>1245902</v>
      </c>
      <c r="M30" s="41">
        <f>L30+P30</f>
        <v>299292.0478110048</v>
      </c>
      <c r="O30" s="4">
        <f>L30/L33</f>
        <v>0.83789774691345575</v>
      </c>
      <c r="P30" s="66">
        <f>O30*L35</f>
        <v>-946609.9521889952</v>
      </c>
      <c r="Q30" s="41">
        <f>+L30+P30</f>
        <v>299292.0478110048</v>
      </c>
    </row>
    <row r="31" spans="1:17">
      <c r="A31" s="3"/>
      <c r="B31" s="4" t="s">
        <v>27</v>
      </c>
      <c r="I31" s="41">
        <v>7878</v>
      </c>
      <c r="L31" s="41">
        <f>SUM(I31:K31)</f>
        <v>7878</v>
      </c>
      <c r="M31" s="41">
        <f>L31+P31</f>
        <v>1892.4624510235126</v>
      </c>
      <c r="O31" s="4">
        <f>L31/L33</f>
        <v>5.2981361697663253E-3</v>
      </c>
      <c r="P31" s="66">
        <f>O31*L35</f>
        <v>-5985.5375489764874</v>
      </c>
      <c r="Q31" s="41">
        <f t="shared" ref="Q31:Q33" si="3">+L31+P31</f>
        <v>1892.4624510235126</v>
      </c>
    </row>
    <row r="32" spans="1:17">
      <c r="B32" s="4" t="s">
        <v>32</v>
      </c>
      <c r="I32" s="41">
        <v>228865</v>
      </c>
      <c r="J32" s="41">
        <v>4293</v>
      </c>
      <c r="L32" s="41">
        <f>SUM(I32:K32)</f>
        <v>233158</v>
      </c>
      <c r="M32" s="41">
        <f>L32+P32</f>
        <v>56009.489737971569</v>
      </c>
      <c r="O32" s="4">
        <f>L32/L33</f>
        <v>0.15680411691677798</v>
      </c>
      <c r="P32" s="66">
        <f>O32*L35</f>
        <v>-177148.51026202843</v>
      </c>
      <c r="Q32" s="41">
        <f t="shared" si="3"/>
        <v>56009.489737971569</v>
      </c>
    </row>
    <row r="33" spans="1:19">
      <c r="C33" s="3" t="s">
        <v>19</v>
      </c>
      <c r="I33" s="57">
        <f>SUM(I30:I32)</f>
        <v>1482645</v>
      </c>
      <c r="J33" s="57">
        <f>SUM(J30:J32)</f>
        <v>4293</v>
      </c>
      <c r="K33" s="57">
        <f>SUM(K30:K32)</f>
        <v>0</v>
      </c>
      <c r="L33" s="57">
        <f>SUM(L30:L32)</f>
        <v>1486938</v>
      </c>
      <c r="O33" s="41">
        <f>SUM(O29:O32)</f>
        <v>1</v>
      </c>
      <c r="P33" s="41">
        <f>SUM(P30:P32)</f>
        <v>-1129744</v>
      </c>
      <c r="Q33" s="44">
        <f t="shared" si="3"/>
        <v>357194</v>
      </c>
      <c r="R33" s="3" t="s">
        <v>168</v>
      </c>
      <c r="S33" s="3"/>
    </row>
    <row r="34" spans="1:19">
      <c r="C34" s="3"/>
      <c r="I34" s="44"/>
      <c r="J34" s="44"/>
      <c r="K34" s="44"/>
      <c r="L34" s="44"/>
      <c r="O34" s="41"/>
      <c r="P34" s="66"/>
    </row>
    <row r="35" spans="1:19">
      <c r="A35" s="3"/>
      <c r="B35" s="3" t="s">
        <v>169</v>
      </c>
      <c r="C35" s="3"/>
      <c r="D35" s="3"/>
      <c r="E35" s="3"/>
      <c r="F35" s="3"/>
      <c r="G35" s="3"/>
      <c r="I35" s="57">
        <v>-1093271</v>
      </c>
      <c r="J35" s="57">
        <v>-36473</v>
      </c>
      <c r="K35" s="57">
        <v>0</v>
      </c>
      <c r="L35" s="57">
        <f>SUM(I35:K35)</f>
        <v>-1129744</v>
      </c>
      <c r="M35" s="41"/>
      <c r="Q35" s="66"/>
    </row>
    <row r="36" spans="1:19">
      <c r="A36" s="3"/>
      <c r="B36" s="3" t="s">
        <v>22</v>
      </c>
      <c r="C36" s="3"/>
      <c r="D36" s="3"/>
      <c r="E36" s="3"/>
      <c r="F36" s="3"/>
      <c r="G36" s="3"/>
      <c r="I36" s="57">
        <f>I35+I33</f>
        <v>389374</v>
      </c>
      <c r="J36" s="57">
        <f t="shared" ref="J36:L36" si="4">J35+J33</f>
        <v>-32180</v>
      </c>
      <c r="K36" s="57">
        <f t="shared" si="4"/>
        <v>0</v>
      </c>
      <c r="L36" s="57">
        <f t="shared" si="4"/>
        <v>357194</v>
      </c>
    </row>
    <row r="37" spans="1:19" ht="19.5" thickBot="1">
      <c r="B37" s="3" t="s">
        <v>41</v>
      </c>
      <c r="I37" s="59">
        <f>I36</f>
        <v>389374</v>
      </c>
      <c r="J37" s="59">
        <f t="shared" ref="J37:L37" si="5">J36</f>
        <v>-32180</v>
      </c>
      <c r="K37" s="59">
        <f t="shared" si="5"/>
        <v>0</v>
      </c>
      <c r="L37" s="59">
        <f t="shared" si="5"/>
        <v>357194</v>
      </c>
      <c r="M37" s="45">
        <f>SUM(M30:M32)</f>
        <v>357193.99999999988</v>
      </c>
    </row>
  </sheetData>
  <mergeCells count="3">
    <mergeCell ref="D1:I1"/>
    <mergeCell ref="D2:I2"/>
    <mergeCell ref="D3:I3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30"/>
  <sheetViews>
    <sheetView zoomScale="80" zoomScaleNormal="80" workbookViewId="0">
      <selection sqref="A1:XFD1048576"/>
    </sheetView>
  </sheetViews>
  <sheetFormatPr defaultColWidth="15.85546875" defaultRowHeight="18.75"/>
  <cols>
    <col min="1" max="1" width="7.85546875" style="4" customWidth="1"/>
    <col min="2" max="2" width="6.5703125" style="4" customWidth="1"/>
    <col min="3" max="3" width="5.28515625" style="4" customWidth="1"/>
    <col min="4" max="4" width="15.85546875" style="4" customWidth="1"/>
    <col min="5" max="5" width="24.5703125" style="4" customWidth="1"/>
    <col min="6" max="6" width="15.85546875" style="4"/>
    <col min="7" max="7" width="18.42578125" style="41" bestFit="1" customWidth="1"/>
    <col min="8" max="8" width="16.85546875" style="41" bestFit="1" customWidth="1"/>
    <col min="9" max="9" width="16.85546875" style="41" customWidth="1"/>
    <col min="10" max="10" width="18.42578125" style="41" bestFit="1" customWidth="1"/>
    <col min="11" max="11" width="17.85546875" style="4" customWidth="1"/>
    <col min="12" max="16384" width="15.85546875" style="4"/>
  </cols>
  <sheetData>
    <row r="1" spans="1:14">
      <c r="D1" s="109" t="s">
        <v>171</v>
      </c>
      <c r="E1" s="109"/>
      <c r="F1" s="109"/>
      <c r="G1" s="109"/>
    </row>
    <row r="2" spans="1:14">
      <c r="D2" s="109" t="s">
        <v>1</v>
      </c>
      <c r="E2" s="109"/>
      <c r="F2" s="109"/>
      <c r="G2" s="109"/>
    </row>
    <row r="3" spans="1:14">
      <c r="D3" s="109" t="s">
        <v>2</v>
      </c>
      <c r="E3" s="109"/>
      <c r="F3" s="109"/>
      <c r="G3" s="109"/>
    </row>
    <row r="4" spans="1:14">
      <c r="D4" s="107"/>
      <c r="E4" s="107"/>
      <c r="F4" s="107"/>
      <c r="G4" s="42"/>
    </row>
    <row r="5" spans="1:14" ht="37.5">
      <c r="G5" s="108" t="s">
        <v>3</v>
      </c>
      <c r="H5" s="108" t="s">
        <v>60</v>
      </c>
      <c r="I5" s="108" t="s">
        <v>61</v>
      </c>
      <c r="J5" s="108" t="s">
        <v>6</v>
      </c>
      <c r="K5" s="108" t="s">
        <v>7</v>
      </c>
    </row>
    <row r="6" spans="1:14">
      <c r="G6" s="43"/>
      <c r="H6" s="43"/>
      <c r="I6" s="43"/>
      <c r="J6" s="43"/>
    </row>
    <row r="7" spans="1:14">
      <c r="A7" s="3" t="s">
        <v>158</v>
      </c>
      <c r="B7" s="3"/>
      <c r="C7" s="3"/>
      <c r="D7" s="3"/>
      <c r="E7" s="3"/>
      <c r="F7" s="3"/>
    </row>
    <row r="8" spans="1:14">
      <c r="A8" s="3"/>
      <c r="B8" s="3" t="s">
        <v>10</v>
      </c>
      <c r="C8" s="3"/>
      <c r="D8" s="3"/>
      <c r="E8" s="3"/>
      <c r="F8" s="3"/>
    </row>
    <row r="9" spans="1:14">
      <c r="C9" s="4" t="s">
        <v>11</v>
      </c>
      <c r="G9" s="41">
        <v>2466687</v>
      </c>
      <c r="J9" s="41">
        <f>SUM(G9:I9)</f>
        <v>2466687</v>
      </c>
      <c r="K9" s="41">
        <f t="shared" ref="K9:K10" si="0">SUM(J9)</f>
        <v>2466687</v>
      </c>
    </row>
    <row r="10" spans="1:14">
      <c r="C10" s="4" t="s">
        <v>12</v>
      </c>
      <c r="G10" s="45">
        <v>1680267</v>
      </c>
      <c r="H10" s="45">
        <v>3657657</v>
      </c>
      <c r="I10" s="45">
        <v>-2348332</v>
      </c>
      <c r="J10" s="45">
        <f>SUM(G10:I10)</f>
        <v>2989592</v>
      </c>
      <c r="K10" s="41">
        <f t="shared" si="0"/>
        <v>2989592</v>
      </c>
    </row>
    <row r="11" spans="1:14">
      <c r="A11" s="3"/>
      <c r="B11" s="3"/>
      <c r="C11" s="3"/>
      <c r="D11" s="3" t="s">
        <v>26</v>
      </c>
      <c r="E11" s="3"/>
      <c r="F11" s="3"/>
      <c r="G11" s="46">
        <f>SUM(G9:G10)</f>
        <v>4146954</v>
      </c>
      <c r="H11" s="46">
        <f>SUM(H9:H10)</f>
        <v>3657657</v>
      </c>
      <c r="I11" s="46">
        <f>SUM(I9:I10)</f>
        <v>-2348332</v>
      </c>
      <c r="J11" s="46">
        <f>SUM(J9:J10)</f>
        <v>5456279</v>
      </c>
      <c r="K11" s="3"/>
    </row>
    <row r="13" spans="1:14">
      <c r="A13" s="3" t="s">
        <v>14</v>
      </c>
      <c r="N13" s="41">
        <f>Caldwell!K30</f>
        <v>935</v>
      </c>
    </row>
    <row r="14" spans="1:14">
      <c r="A14" s="3"/>
      <c r="B14" s="4" t="s">
        <v>92</v>
      </c>
      <c r="G14" s="41">
        <v>10470</v>
      </c>
      <c r="J14" s="41">
        <f>SUM(G14:I14)</f>
        <v>10470</v>
      </c>
    </row>
    <row r="15" spans="1:14">
      <c r="B15" s="4" t="s">
        <v>15</v>
      </c>
      <c r="G15" s="41">
        <v>30906429</v>
      </c>
      <c r="H15" s="41">
        <v>1002394</v>
      </c>
      <c r="J15" s="41">
        <f>SUM(G15:I15)</f>
        <v>31908823</v>
      </c>
    </row>
    <row r="16" spans="1:14">
      <c r="B16" s="4" t="s">
        <v>63</v>
      </c>
      <c r="G16" s="41">
        <v>8666144</v>
      </c>
      <c r="H16" s="41">
        <v>1426818</v>
      </c>
      <c r="J16" s="41">
        <f>SUM(G16:I16)</f>
        <v>10092962</v>
      </c>
    </row>
    <row r="17" spans="1:11">
      <c r="B17" s="4" t="s">
        <v>18</v>
      </c>
      <c r="G17" s="45">
        <v>120711529</v>
      </c>
      <c r="H17" s="45">
        <v>2187960</v>
      </c>
      <c r="I17" s="45"/>
      <c r="J17" s="45">
        <f>SUM(G17:I17)</f>
        <v>122899489</v>
      </c>
    </row>
    <row r="18" spans="1:11">
      <c r="A18" s="3"/>
      <c r="B18" s="3"/>
      <c r="C18" s="3"/>
      <c r="D18" s="3" t="s">
        <v>19</v>
      </c>
      <c r="E18" s="3"/>
      <c r="F18" s="3"/>
      <c r="G18" s="46">
        <f>SUM(G14:G17)</f>
        <v>160294572</v>
      </c>
      <c r="H18" s="46">
        <f>SUM(H14:H17)</f>
        <v>4617172</v>
      </c>
      <c r="I18" s="46">
        <f>SUM(I14:I17)</f>
        <v>0</v>
      </c>
      <c r="J18" s="46">
        <f>SUM(J14:J17)</f>
        <v>164911744</v>
      </c>
      <c r="K18" s="3"/>
    </row>
    <row r="20" spans="1:11">
      <c r="A20" s="4" t="s">
        <v>20</v>
      </c>
    </row>
    <row r="21" spans="1:11">
      <c r="B21" s="4" t="s">
        <v>92</v>
      </c>
      <c r="G21" s="41">
        <v>6850</v>
      </c>
      <c r="H21" s="41">
        <v>524</v>
      </c>
      <c r="J21" s="41">
        <f>SUM(G21:I21)</f>
        <v>7374</v>
      </c>
      <c r="K21" s="41">
        <f>J14-J21</f>
        <v>3096</v>
      </c>
    </row>
    <row r="22" spans="1:11">
      <c r="B22" s="4" t="s">
        <v>15</v>
      </c>
      <c r="G22" s="41">
        <v>16537907</v>
      </c>
      <c r="H22" s="41">
        <v>671569</v>
      </c>
      <c r="J22" s="41">
        <f>SUM(G22:I22)</f>
        <v>17209476</v>
      </c>
      <c r="K22" s="41">
        <f t="shared" ref="K22:K24" si="1">J15-J22</f>
        <v>14699347</v>
      </c>
    </row>
    <row r="23" spans="1:11">
      <c r="B23" s="4" t="s">
        <v>63</v>
      </c>
      <c r="G23" s="41">
        <v>5981376</v>
      </c>
      <c r="H23" s="41">
        <v>594345</v>
      </c>
      <c r="J23" s="41">
        <f>SUM(G23:I23)</f>
        <v>6575721</v>
      </c>
      <c r="K23" s="41">
        <f t="shared" si="1"/>
        <v>3517241</v>
      </c>
    </row>
    <row r="24" spans="1:11">
      <c r="B24" s="4" t="s">
        <v>18</v>
      </c>
      <c r="G24" s="45">
        <v>47625240</v>
      </c>
      <c r="H24" s="45">
        <v>3012949</v>
      </c>
      <c r="I24" s="45"/>
      <c r="J24" s="45">
        <f>SUM(G24:I24)</f>
        <v>50638189</v>
      </c>
      <c r="K24" s="41">
        <f t="shared" si="1"/>
        <v>72261300</v>
      </c>
    </row>
    <row r="25" spans="1:11">
      <c r="A25" s="3"/>
      <c r="B25" s="3"/>
      <c r="C25" s="3"/>
      <c r="D25" s="3" t="s">
        <v>21</v>
      </c>
      <c r="E25" s="3"/>
      <c r="F25" s="3"/>
      <c r="G25" s="46">
        <f>SUM(G21:G24)</f>
        <v>70151373</v>
      </c>
      <c r="H25" s="46">
        <f>SUM(H21:H24)</f>
        <v>4279387</v>
      </c>
      <c r="I25" s="46">
        <f>SUM(I21:I24)</f>
        <v>0</v>
      </c>
      <c r="J25" s="46">
        <f>SUM(J21:J24)</f>
        <v>74430760</v>
      </c>
      <c r="K25" s="3"/>
    </row>
    <row r="27" spans="1:11">
      <c r="A27" s="3"/>
      <c r="B27" s="3" t="s">
        <v>22</v>
      </c>
      <c r="C27" s="3"/>
      <c r="D27" s="3"/>
      <c r="E27" s="3"/>
      <c r="F27" s="3"/>
      <c r="G27" s="46">
        <f>G18-G25</f>
        <v>90143199</v>
      </c>
      <c r="H27" s="46">
        <f t="shared" ref="H27:J27" si="2">H18-H25</f>
        <v>337785</v>
      </c>
      <c r="I27" s="46">
        <f t="shared" si="2"/>
        <v>0</v>
      </c>
      <c r="J27" s="46">
        <f t="shared" si="2"/>
        <v>90480984</v>
      </c>
      <c r="K27" s="3"/>
    </row>
    <row r="29" spans="1:11" ht="19.5" thickBot="1">
      <c r="B29" s="3" t="s">
        <v>23</v>
      </c>
      <c r="G29" s="48">
        <f>G27+G11</f>
        <v>94290153</v>
      </c>
      <c r="H29" s="48">
        <f>H27+H11</f>
        <v>3995442</v>
      </c>
      <c r="I29" s="48">
        <f>I27+I11</f>
        <v>-2348332</v>
      </c>
      <c r="J29" s="48">
        <f>J27+J11</f>
        <v>95937263</v>
      </c>
      <c r="K29" s="41">
        <f>SUM(K9:K24)</f>
        <v>95937263</v>
      </c>
    </row>
    <row r="30" spans="1:11" ht="19.5" thickTop="1"/>
  </sheetData>
  <mergeCells count="3">
    <mergeCell ref="D1:G1"/>
    <mergeCell ref="D2:G2"/>
    <mergeCell ref="D3:G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K66"/>
  <sheetViews>
    <sheetView zoomScale="86" zoomScaleNormal="86" zoomScalePageLayoutView="70" workbookViewId="0">
      <selection sqref="A1:XFD1048576"/>
    </sheetView>
  </sheetViews>
  <sheetFormatPr defaultColWidth="8.85546875" defaultRowHeight="18.75"/>
  <cols>
    <col min="1" max="1" width="4.42578125" style="4" customWidth="1"/>
    <col min="2" max="2" width="4.7109375" style="4" customWidth="1"/>
    <col min="3" max="3" width="4.140625" style="4" customWidth="1"/>
    <col min="4" max="4" width="79.140625" style="4" customWidth="1"/>
    <col min="5" max="5" width="21.140625" style="4" bestFit="1" customWidth="1"/>
    <col min="6" max="6" width="21" style="4" customWidth="1"/>
    <col min="7" max="7" width="20.28515625" style="4" customWidth="1"/>
    <col min="8" max="8" width="18.140625" style="4" customWidth="1"/>
    <col min="9" max="11" width="17.42578125" style="4" bestFit="1" customWidth="1"/>
    <col min="12" max="16384" width="8.85546875" style="4"/>
  </cols>
  <sheetData>
    <row r="1" spans="2:11">
      <c r="D1" s="109" t="s">
        <v>172</v>
      </c>
      <c r="E1" s="109"/>
      <c r="F1" s="109"/>
      <c r="G1" s="109"/>
      <c r="H1" s="109"/>
    </row>
    <row r="2" spans="2:11">
      <c r="D2" s="109" t="s">
        <v>1</v>
      </c>
      <c r="E2" s="109"/>
      <c r="F2" s="109"/>
      <c r="G2" s="109"/>
      <c r="H2" s="109"/>
    </row>
    <row r="3" spans="2:11">
      <c r="D3" s="109" t="s">
        <v>2</v>
      </c>
      <c r="E3" s="109"/>
      <c r="F3" s="109"/>
      <c r="G3" s="109"/>
      <c r="H3" s="109"/>
    </row>
    <row r="4" spans="2:11">
      <c r="D4" s="107"/>
      <c r="E4" s="107"/>
      <c r="F4" s="107"/>
      <c r="G4" s="107"/>
      <c r="H4" s="107"/>
    </row>
    <row r="5" spans="2:11">
      <c r="C5" s="3" t="s">
        <v>173</v>
      </c>
      <c r="D5" s="107"/>
      <c r="E5" s="107"/>
      <c r="F5" s="107"/>
      <c r="G5" s="107"/>
      <c r="H5" s="107"/>
    </row>
    <row r="6" spans="2:11" ht="42.75" customHeight="1">
      <c r="E6" s="18" t="s">
        <v>11</v>
      </c>
      <c r="F6" s="7" t="s">
        <v>174</v>
      </c>
      <c r="G6" s="7" t="s">
        <v>175</v>
      </c>
      <c r="H6" s="7" t="s">
        <v>18</v>
      </c>
      <c r="I6" s="7" t="s">
        <v>176</v>
      </c>
      <c r="J6" s="7" t="s">
        <v>177</v>
      </c>
    </row>
    <row r="7" spans="2:11">
      <c r="C7" s="4" t="s">
        <v>178</v>
      </c>
      <c r="E7" s="41">
        <v>2975825</v>
      </c>
      <c r="F7" s="41">
        <v>1088045</v>
      </c>
      <c r="G7" s="41">
        <v>39668784</v>
      </c>
      <c r="H7" s="41">
        <v>79445129</v>
      </c>
      <c r="I7" s="41">
        <v>27946409</v>
      </c>
      <c r="J7" s="41">
        <f>SUM(E7:I7)</f>
        <v>151124192</v>
      </c>
      <c r="K7" s="41">
        <f>E10</f>
        <v>2975825</v>
      </c>
    </row>
    <row r="8" spans="2:11">
      <c r="D8" s="4" t="s">
        <v>60</v>
      </c>
      <c r="E8" s="41">
        <v>0</v>
      </c>
      <c r="F8" s="41">
        <v>5130816</v>
      </c>
      <c r="G8" s="41">
        <v>533136</v>
      </c>
      <c r="H8" s="41">
        <v>2089142</v>
      </c>
      <c r="I8" s="41">
        <v>954391</v>
      </c>
      <c r="J8" s="41">
        <f t="shared" ref="J8:J10" si="0">SUM(E8:I8)</f>
        <v>8707485</v>
      </c>
      <c r="K8" s="41">
        <f>F10</f>
        <v>6218861</v>
      </c>
    </row>
    <row r="9" spans="2:11">
      <c r="D9" s="4" t="s">
        <v>61</v>
      </c>
      <c r="E9" s="45">
        <v>0</v>
      </c>
      <c r="F9" s="45">
        <v>0</v>
      </c>
      <c r="G9" s="45">
        <v>0</v>
      </c>
      <c r="H9" s="45">
        <v>0</v>
      </c>
      <c r="I9" s="45">
        <v>-46461</v>
      </c>
      <c r="J9" s="45">
        <f t="shared" si="0"/>
        <v>-46461</v>
      </c>
    </row>
    <row r="10" spans="2:11">
      <c r="C10" s="4" t="s">
        <v>179</v>
      </c>
      <c r="E10" s="45">
        <f>SUM(E7:E9)</f>
        <v>2975825</v>
      </c>
      <c r="F10" s="45">
        <f t="shared" ref="F10:I10" si="1">SUM(F7:F9)</f>
        <v>6218861</v>
      </c>
      <c r="G10" s="45">
        <f t="shared" si="1"/>
        <v>40201920</v>
      </c>
      <c r="H10" s="45">
        <f t="shared" si="1"/>
        <v>81534271</v>
      </c>
      <c r="I10" s="45">
        <f t="shared" si="1"/>
        <v>28854339</v>
      </c>
      <c r="J10" s="45">
        <f t="shared" si="0"/>
        <v>159785216</v>
      </c>
    </row>
    <row r="11" spans="2:11">
      <c r="E11" s="41"/>
      <c r="F11" s="41"/>
      <c r="G11" s="41"/>
      <c r="H11" s="41"/>
      <c r="I11" s="41"/>
      <c r="J11" s="41" t="s">
        <v>180</v>
      </c>
    </row>
    <row r="12" spans="2:11">
      <c r="B12" s="4" t="s">
        <v>181</v>
      </c>
      <c r="E12" s="41"/>
      <c r="F12" s="41"/>
      <c r="G12" s="41"/>
      <c r="H12" s="41"/>
      <c r="I12" s="41"/>
      <c r="J12" s="41" t="s">
        <v>180</v>
      </c>
    </row>
    <row r="13" spans="2:11">
      <c r="C13" s="4" t="s">
        <v>182</v>
      </c>
      <c r="D13" s="54"/>
      <c r="E13" s="41">
        <v>0</v>
      </c>
      <c r="F13" s="41">
        <v>0</v>
      </c>
      <c r="G13" s="41">
        <v>-7488940</v>
      </c>
      <c r="H13" s="41">
        <v>-24522162</v>
      </c>
      <c r="I13" s="41">
        <v>-23795945</v>
      </c>
      <c r="J13" s="41">
        <f>SUM(E13:I13)</f>
        <v>-55807047</v>
      </c>
      <c r="K13" s="41">
        <f>G10+G16</f>
        <v>31725027</v>
      </c>
    </row>
    <row r="14" spans="2:11">
      <c r="D14" s="4" t="s">
        <v>60</v>
      </c>
      <c r="E14" s="41">
        <v>0</v>
      </c>
      <c r="F14" s="41">
        <v>0</v>
      </c>
      <c r="G14" s="41">
        <v>-987953</v>
      </c>
      <c r="H14" s="41">
        <v>-1769107</v>
      </c>
      <c r="I14" s="41">
        <v>-1081177</v>
      </c>
      <c r="J14" s="41">
        <f>SUM(E14:I14)</f>
        <v>-3838237</v>
      </c>
      <c r="K14" s="41">
        <f>H10+H16</f>
        <v>55243002</v>
      </c>
    </row>
    <row r="15" spans="2:11">
      <c r="D15" s="4" t="s">
        <v>61</v>
      </c>
      <c r="E15" s="45">
        <v>0</v>
      </c>
      <c r="F15" s="45">
        <v>0</v>
      </c>
      <c r="G15" s="45">
        <v>0</v>
      </c>
      <c r="H15" s="45">
        <v>0</v>
      </c>
      <c r="I15" s="45">
        <v>46461</v>
      </c>
      <c r="J15" s="45">
        <f>SUM(E15:I15)</f>
        <v>46461</v>
      </c>
      <c r="K15" s="41">
        <f>I10+I16</f>
        <v>4023678</v>
      </c>
    </row>
    <row r="16" spans="2:11">
      <c r="C16" s="4" t="s">
        <v>183</v>
      </c>
      <c r="E16" s="45">
        <f>SUM(E13:E15)</f>
        <v>0</v>
      </c>
      <c r="F16" s="45">
        <f t="shared" ref="F16:I16" si="2">SUM(F13:F15)</f>
        <v>0</v>
      </c>
      <c r="G16" s="45">
        <f t="shared" si="2"/>
        <v>-8476893</v>
      </c>
      <c r="H16" s="45">
        <f t="shared" si="2"/>
        <v>-26291269</v>
      </c>
      <c r="I16" s="45">
        <f t="shared" si="2"/>
        <v>-24830661</v>
      </c>
      <c r="J16" s="45">
        <f>SUM(J13:J15)</f>
        <v>-59598823</v>
      </c>
    </row>
    <row r="17" spans="2:11">
      <c r="E17" s="41"/>
      <c r="F17" s="41"/>
      <c r="G17" s="41"/>
      <c r="H17" s="41"/>
      <c r="I17" s="41"/>
      <c r="J17" s="41" t="s">
        <v>180</v>
      </c>
    </row>
    <row r="18" spans="2:11">
      <c r="C18" s="4" t="s">
        <v>184</v>
      </c>
      <c r="E18" s="45">
        <f>SUM(E16,E10)</f>
        <v>2975825</v>
      </c>
      <c r="F18" s="45">
        <f t="shared" ref="F18:J18" si="3">SUM(F16,F10)</f>
        <v>6218861</v>
      </c>
      <c r="G18" s="45">
        <f t="shared" si="3"/>
        <v>31725027</v>
      </c>
      <c r="H18" s="45">
        <f t="shared" si="3"/>
        <v>55243002</v>
      </c>
      <c r="I18" s="45">
        <f t="shared" si="3"/>
        <v>4023678</v>
      </c>
      <c r="J18" s="45">
        <f t="shared" si="3"/>
        <v>100186393</v>
      </c>
      <c r="K18" s="41">
        <f>SUM(K7:K15)</f>
        <v>100186393</v>
      </c>
    </row>
    <row r="19" spans="2:11" s="55" customFormat="1" ht="21" customHeight="1">
      <c r="C19" s="4"/>
      <c r="E19" s="56"/>
      <c r="F19" s="56"/>
      <c r="G19" s="56"/>
      <c r="H19" s="56"/>
      <c r="I19" s="56"/>
    </row>
    <row r="20" spans="2:11" s="55" customFormat="1" ht="21" customHeight="1">
      <c r="E20" s="56"/>
      <c r="F20" s="56"/>
      <c r="G20" s="56"/>
      <c r="H20" s="56"/>
      <c r="I20" s="56"/>
    </row>
    <row r="21" spans="2:11" s="55" customFormat="1" ht="21" customHeight="1">
      <c r="C21" s="3" t="s">
        <v>185</v>
      </c>
      <c r="E21" s="56"/>
      <c r="F21" s="56"/>
      <c r="G21" s="56"/>
      <c r="H21" s="56"/>
      <c r="I21" s="56"/>
    </row>
    <row r="22" spans="2:11" ht="42.75" customHeight="1">
      <c r="E22" s="18" t="s">
        <v>11</v>
      </c>
      <c r="F22" s="7" t="s">
        <v>174</v>
      </c>
      <c r="G22" s="7" t="s">
        <v>175</v>
      </c>
      <c r="H22" s="7" t="s">
        <v>32</v>
      </c>
      <c r="I22" s="7" t="s">
        <v>177</v>
      </c>
    </row>
    <row r="23" spans="2:11">
      <c r="C23" s="4" t="s">
        <v>178</v>
      </c>
      <c r="E23" s="41">
        <v>193511</v>
      </c>
      <c r="F23" s="41">
        <v>40151</v>
      </c>
      <c r="G23" s="41">
        <v>18891560</v>
      </c>
      <c r="H23" s="41">
        <v>1007203</v>
      </c>
      <c r="I23" s="41">
        <f>SUM(E23:H23)</f>
        <v>20132425</v>
      </c>
      <c r="J23" s="41">
        <f>E27</f>
        <v>193511</v>
      </c>
    </row>
    <row r="24" spans="2:11">
      <c r="D24" s="4" t="s">
        <v>60</v>
      </c>
      <c r="E24" s="41">
        <v>0</v>
      </c>
      <c r="F24" s="41">
        <v>116582</v>
      </c>
      <c r="G24" s="41">
        <v>232017</v>
      </c>
      <c r="H24" s="41">
        <v>71106</v>
      </c>
      <c r="I24" s="41">
        <f t="shared" ref="I24:I26" si="4">SUM(E24:H24)</f>
        <v>419705</v>
      </c>
      <c r="J24" s="41">
        <f>F27</f>
        <v>156733</v>
      </c>
    </row>
    <row r="25" spans="2:11">
      <c r="D25" s="4" t="s">
        <v>186</v>
      </c>
      <c r="E25" s="41">
        <v>0</v>
      </c>
      <c r="F25" s="41">
        <v>0</v>
      </c>
      <c r="G25" s="41">
        <v>-75959</v>
      </c>
      <c r="H25" s="41">
        <v>-7666</v>
      </c>
      <c r="I25" s="41">
        <f t="shared" si="4"/>
        <v>-83625</v>
      </c>
    </row>
    <row r="26" spans="2:11">
      <c r="D26" s="4" t="s">
        <v>61</v>
      </c>
      <c r="E26" s="45">
        <v>0</v>
      </c>
      <c r="F26" s="45">
        <v>0</v>
      </c>
      <c r="G26" s="45">
        <v>0</v>
      </c>
      <c r="H26" s="45">
        <v>0</v>
      </c>
      <c r="I26" s="45">
        <f t="shared" si="4"/>
        <v>0</v>
      </c>
    </row>
    <row r="27" spans="2:11">
      <c r="C27" s="4" t="s">
        <v>179</v>
      </c>
      <c r="E27" s="45">
        <f>SUM(E23:E26)</f>
        <v>193511</v>
      </c>
      <c r="F27" s="45">
        <f t="shared" ref="F27:I27" si="5">SUM(F23:F26)</f>
        <v>156733</v>
      </c>
      <c r="G27" s="45">
        <f t="shared" si="5"/>
        <v>19047618</v>
      </c>
      <c r="H27" s="45">
        <f t="shared" si="5"/>
        <v>1070643</v>
      </c>
      <c r="I27" s="45">
        <f t="shared" si="5"/>
        <v>20468505</v>
      </c>
    </row>
    <row r="28" spans="2:11">
      <c r="E28" s="41"/>
      <c r="F28" s="41"/>
      <c r="G28" s="41"/>
      <c r="H28" s="41"/>
      <c r="I28" s="41"/>
    </row>
    <row r="29" spans="2:11">
      <c r="B29" s="4" t="s">
        <v>181</v>
      </c>
      <c r="E29" s="41"/>
      <c r="F29" s="41"/>
      <c r="G29" s="41"/>
      <c r="H29" s="41"/>
      <c r="I29" s="41"/>
    </row>
    <row r="30" spans="2:11">
      <c r="C30" s="4" t="s">
        <v>182</v>
      </c>
      <c r="D30" s="54"/>
      <c r="E30" s="41">
        <v>0</v>
      </c>
      <c r="F30" s="41">
        <v>0</v>
      </c>
      <c r="G30" s="41">
        <v>-8509184</v>
      </c>
      <c r="H30" s="41">
        <v>-866246</v>
      </c>
      <c r="I30" s="41">
        <f>SUM(E30:H30)</f>
        <v>-9375430</v>
      </c>
      <c r="J30" s="41">
        <f>G27+G34</f>
        <v>10071429</v>
      </c>
    </row>
    <row r="31" spans="2:11">
      <c r="D31" s="4" t="s">
        <v>60</v>
      </c>
      <c r="E31" s="41">
        <v>0</v>
      </c>
      <c r="F31" s="41">
        <v>0</v>
      </c>
      <c r="G31" s="41">
        <v>-542964</v>
      </c>
      <c r="H31" s="41">
        <v>-57550</v>
      </c>
      <c r="I31" s="41">
        <f>SUM(E31:H31)</f>
        <v>-600514</v>
      </c>
      <c r="J31" s="41">
        <f>H27+H34</f>
        <v>154513</v>
      </c>
    </row>
    <row r="32" spans="2:11">
      <c r="D32" s="4" t="s">
        <v>186</v>
      </c>
      <c r="E32" s="41">
        <v>0</v>
      </c>
      <c r="F32" s="41">
        <v>0</v>
      </c>
      <c r="G32" s="41">
        <v>0</v>
      </c>
      <c r="H32" s="41">
        <v>0</v>
      </c>
      <c r="I32" s="41">
        <f>SUM(E32:H32)</f>
        <v>0</v>
      </c>
    </row>
    <row r="33" spans="2:10">
      <c r="D33" s="4" t="s">
        <v>61</v>
      </c>
      <c r="E33" s="45">
        <v>0</v>
      </c>
      <c r="F33" s="45">
        <v>0</v>
      </c>
      <c r="G33" s="45">
        <v>75959</v>
      </c>
      <c r="H33" s="45">
        <v>7666</v>
      </c>
      <c r="I33" s="45">
        <f t="shared" ref="I33" si="6">SUM(E33:H33)</f>
        <v>83625</v>
      </c>
    </row>
    <row r="34" spans="2:10">
      <c r="C34" s="4" t="s">
        <v>183</v>
      </c>
      <c r="E34" s="45">
        <f>SUM(E30:E33)</f>
        <v>0</v>
      </c>
      <c r="F34" s="45">
        <f>SUM(F30:F33)</f>
        <v>0</v>
      </c>
      <c r="G34" s="45">
        <f>SUM(G30:G33)</f>
        <v>-8976189</v>
      </c>
      <c r="H34" s="45">
        <f>SUM(H30:H33)</f>
        <v>-916130</v>
      </c>
      <c r="I34" s="45">
        <f>SUM(I30:I33)</f>
        <v>-9892319</v>
      </c>
    </row>
    <row r="35" spans="2:10">
      <c r="E35" s="41"/>
      <c r="F35" s="41"/>
      <c r="G35" s="41"/>
      <c r="H35" s="41"/>
      <c r="I35" s="41"/>
    </row>
    <row r="36" spans="2:10">
      <c r="C36" s="4" t="s">
        <v>184</v>
      </c>
      <c r="E36" s="45">
        <f>SUM(E34,E27)</f>
        <v>193511</v>
      </c>
      <c r="F36" s="45">
        <f t="shared" ref="F36:I36" si="7">SUM(F34,F27)</f>
        <v>156733</v>
      </c>
      <c r="G36" s="45">
        <f t="shared" si="7"/>
        <v>10071429</v>
      </c>
      <c r="H36" s="45">
        <f t="shared" si="7"/>
        <v>154513</v>
      </c>
      <c r="I36" s="45">
        <f t="shared" si="7"/>
        <v>10576186</v>
      </c>
      <c r="J36" s="41">
        <f>SUM(J23:J34)</f>
        <v>10576186</v>
      </c>
    </row>
    <row r="37" spans="2:10">
      <c r="E37" s="41"/>
      <c r="F37" s="41"/>
      <c r="G37" s="41"/>
      <c r="H37" s="41"/>
      <c r="I37" s="41"/>
    </row>
    <row r="38" spans="2:10">
      <c r="C38" s="3" t="s">
        <v>187</v>
      </c>
      <c r="E38" s="41"/>
      <c r="F38" s="41"/>
      <c r="G38" s="41"/>
      <c r="H38" s="41"/>
      <c r="I38" s="41"/>
    </row>
    <row r="39" spans="2:10" ht="42.75" customHeight="1">
      <c r="E39" s="53" t="s">
        <v>188</v>
      </c>
      <c r="F39" s="53" t="s">
        <v>189</v>
      </c>
      <c r="G39" s="53" t="s">
        <v>190</v>
      </c>
      <c r="H39" s="53" t="s">
        <v>32</v>
      </c>
      <c r="I39" s="53" t="s">
        <v>177</v>
      </c>
    </row>
    <row r="40" spans="2:10">
      <c r="C40" s="4" t="s">
        <v>178</v>
      </c>
      <c r="E40" s="41">
        <v>3234179</v>
      </c>
      <c r="F40" s="41">
        <v>3252606</v>
      </c>
      <c r="G40" s="41">
        <v>1294627</v>
      </c>
      <c r="H40" s="41">
        <v>2365159</v>
      </c>
      <c r="I40" s="41">
        <f>SUM(E40:H40)</f>
        <v>10146571</v>
      </c>
    </row>
    <row r="41" spans="2:10">
      <c r="D41" s="4" t="s">
        <v>60</v>
      </c>
      <c r="E41" s="41">
        <v>35533</v>
      </c>
      <c r="F41" s="41">
        <v>1429631</v>
      </c>
      <c r="G41" s="41">
        <v>0</v>
      </c>
      <c r="H41" s="41">
        <v>60766</v>
      </c>
      <c r="I41" s="41">
        <f t="shared" ref="I41:I42" si="8">SUM(E41:H41)</f>
        <v>1525930</v>
      </c>
    </row>
    <row r="42" spans="2:10">
      <c r="D42" s="4" t="s">
        <v>61</v>
      </c>
      <c r="E42" s="45">
        <v>0</v>
      </c>
      <c r="F42" s="45">
        <v>0</v>
      </c>
      <c r="G42" s="45">
        <v>-1294627</v>
      </c>
      <c r="H42" s="45">
        <v>0</v>
      </c>
      <c r="I42" s="45">
        <f t="shared" si="8"/>
        <v>-1294627</v>
      </c>
    </row>
    <row r="43" spans="2:10">
      <c r="C43" s="4" t="s">
        <v>179</v>
      </c>
      <c r="E43" s="45">
        <f>SUM(E40:E42)</f>
        <v>3269712</v>
      </c>
      <c r="F43" s="45">
        <f t="shared" ref="F43:I43" si="9">SUM(F40:F42)</f>
        <v>4682237</v>
      </c>
      <c r="G43" s="45">
        <f t="shared" si="9"/>
        <v>0</v>
      </c>
      <c r="H43" s="45">
        <f t="shared" si="9"/>
        <v>2425925</v>
      </c>
      <c r="I43" s="45">
        <f t="shared" si="9"/>
        <v>10377874</v>
      </c>
    </row>
    <row r="44" spans="2:10">
      <c r="E44" s="41"/>
      <c r="F44" s="41"/>
      <c r="G44" s="41"/>
      <c r="H44" s="41"/>
      <c r="I44" s="41"/>
    </row>
    <row r="45" spans="2:10">
      <c r="B45" s="4" t="s">
        <v>181</v>
      </c>
      <c r="E45" s="41"/>
      <c r="F45" s="41"/>
      <c r="G45" s="41"/>
      <c r="H45" s="41"/>
      <c r="I45" s="41"/>
    </row>
    <row r="46" spans="2:10">
      <c r="C46" s="4" t="s">
        <v>182</v>
      </c>
      <c r="D46" s="54"/>
      <c r="E46" s="41">
        <v>-1432859</v>
      </c>
      <c r="F46" s="41">
        <v>-1211594</v>
      </c>
      <c r="G46" s="41">
        <v>0</v>
      </c>
      <c r="H46" s="41">
        <v>-1044257</v>
      </c>
      <c r="I46" s="41">
        <f t="shared" ref="I46" si="10">SUM(E46:H46)</f>
        <v>-3688710</v>
      </c>
    </row>
    <row r="47" spans="2:10">
      <c r="D47" s="4" t="s">
        <v>60</v>
      </c>
      <c r="E47" s="41">
        <v>-79806</v>
      </c>
      <c r="F47" s="41">
        <v>-65052</v>
      </c>
      <c r="G47" s="41">
        <v>0</v>
      </c>
      <c r="H47" s="41">
        <v>-103948</v>
      </c>
      <c r="I47" s="41">
        <f t="shared" ref="I47:I48" si="11">SUM(E47:H47)</f>
        <v>-248806</v>
      </c>
    </row>
    <row r="48" spans="2:10">
      <c r="D48" s="4" t="s">
        <v>61</v>
      </c>
      <c r="E48" s="45">
        <v>0</v>
      </c>
      <c r="F48" s="45">
        <v>0</v>
      </c>
      <c r="G48" s="45">
        <v>0</v>
      </c>
      <c r="H48" s="45">
        <v>0</v>
      </c>
      <c r="I48" s="45">
        <f t="shared" si="11"/>
        <v>0</v>
      </c>
    </row>
    <row r="49" spans="2:11">
      <c r="C49" s="4" t="s">
        <v>183</v>
      </c>
      <c r="E49" s="45">
        <f>SUM(E46:E48)</f>
        <v>-1512665</v>
      </c>
      <c r="F49" s="45">
        <f t="shared" ref="F49:I49" si="12">SUM(F46:F48)</f>
        <v>-1276646</v>
      </c>
      <c r="G49" s="45">
        <f t="shared" si="12"/>
        <v>0</v>
      </c>
      <c r="H49" s="45">
        <f t="shared" si="12"/>
        <v>-1148205</v>
      </c>
      <c r="I49" s="45">
        <f t="shared" si="12"/>
        <v>-3937516</v>
      </c>
    </row>
    <row r="50" spans="2:11">
      <c r="E50" s="41"/>
      <c r="F50" s="41"/>
      <c r="G50" s="41"/>
      <c r="H50" s="41"/>
      <c r="I50" s="41"/>
    </row>
    <row r="51" spans="2:11">
      <c r="C51" s="4" t="s">
        <v>184</v>
      </c>
      <c r="E51" s="45">
        <f>SUM(E49,E43)</f>
        <v>1757047</v>
      </c>
      <c r="F51" s="45">
        <f t="shared" ref="F51:I51" si="13">SUM(F49,F43)</f>
        <v>3405591</v>
      </c>
      <c r="G51" s="45">
        <f t="shared" si="13"/>
        <v>0</v>
      </c>
      <c r="H51" s="45">
        <f t="shared" si="13"/>
        <v>1277720</v>
      </c>
      <c r="I51" s="45">
        <f t="shared" si="13"/>
        <v>6440358</v>
      </c>
    </row>
    <row r="53" spans="2:11">
      <c r="C53" s="3" t="s">
        <v>191</v>
      </c>
      <c r="E53" s="41"/>
      <c r="F53" s="41"/>
      <c r="G53" s="41"/>
      <c r="H53" s="41"/>
      <c r="I53" s="41"/>
    </row>
    <row r="54" spans="2:11" ht="58.5" customHeight="1">
      <c r="E54" s="53" t="s">
        <v>11</v>
      </c>
      <c r="F54" s="53" t="s">
        <v>192</v>
      </c>
      <c r="G54" s="53" t="s">
        <v>193</v>
      </c>
      <c r="H54" s="53" t="s">
        <v>194</v>
      </c>
      <c r="I54" s="53" t="s">
        <v>195</v>
      </c>
      <c r="J54" s="53" t="s">
        <v>196</v>
      </c>
      <c r="K54" s="53" t="s">
        <v>177</v>
      </c>
    </row>
    <row r="55" spans="2:11">
      <c r="C55" s="4" t="s">
        <v>178</v>
      </c>
      <c r="E55" s="41">
        <v>435740</v>
      </c>
      <c r="F55" s="41">
        <v>467485</v>
      </c>
      <c r="G55" s="41">
        <v>1958343</v>
      </c>
      <c r="H55" s="41">
        <v>2823818</v>
      </c>
      <c r="I55" s="41">
        <v>1914980</v>
      </c>
      <c r="J55" s="41">
        <v>2934710</v>
      </c>
      <c r="K55" s="41">
        <f>SUM(E55:J55)</f>
        <v>10535076</v>
      </c>
    </row>
    <row r="56" spans="2:11">
      <c r="D56" s="4" t="s">
        <v>60</v>
      </c>
      <c r="E56" s="41">
        <v>0</v>
      </c>
      <c r="F56" s="41">
        <v>0</v>
      </c>
      <c r="G56" s="41">
        <v>164208</v>
      </c>
      <c r="H56" s="41">
        <v>142880</v>
      </c>
      <c r="I56" s="41">
        <v>126313</v>
      </c>
      <c r="J56" s="41">
        <v>8306</v>
      </c>
      <c r="K56" s="41">
        <f t="shared" ref="K56:K65" si="14">SUM(E56:J56)</f>
        <v>441707</v>
      </c>
    </row>
    <row r="57" spans="2:11">
      <c r="D57" s="4" t="s">
        <v>61</v>
      </c>
      <c r="E57" s="45">
        <v>0</v>
      </c>
      <c r="F57" s="45">
        <v>-467485</v>
      </c>
      <c r="G57" s="45">
        <v>467485</v>
      </c>
      <c r="H57" s="45">
        <v>-73128</v>
      </c>
      <c r="I57" s="45">
        <v>0</v>
      </c>
      <c r="J57" s="45">
        <v>0</v>
      </c>
      <c r="K57" s="45">
        <f t="shared" si="14"/>
        <v>-73128</v>
      </c>
    </row>
    <row r="58" spans="2:11">
      <c r="C58" s="4" t="s">
        <v>179</v>
      </c>
      <c r="E58" s="45">
        <f t="shared" ref="E58" si="15">SUM(E55:E57)</f>
        <v>435740</v>
      </c>
      <c r="F58" s="45">
        <f t="shared" ref="F58" si="16">SUM(F55:F57)</f>
        <v>0</v>
      </c>
      <c r="G58" s="45">
        <f t="shared" ref="G58" si="17">SUM(G55:G57)</f>
        <v>2590036</v>
      </c>
      <c r="H58" s="45">
        <f t="shared" ref="H58" si="18">SUM(H55:H57)</f>
        <v>2893570</v>
      </c>
      <c r="I58" s="45">
        <f t="shared" ref="I58" si="19">SUM(I55:I57)</f>
        <v>2041293</v>
      </c>
      <c r="J58" s="45">
        <f t="shared" ref="J58" si="20">SUM(J55:J57)</f>
        <v>2943016</v>
      </c>
      <c r="K58" s="45">
        <f t="shared" si="14"/>
        <v>10903655</v>
      </c>
    </row>
    <row r="59" spans="2:11">
      <c r="E59" s="41"/>
      <c r="F59" s="41"/>
      <c r="G59" s="41"/>
      <c r="H59" s="41"/>
      <c r="I59" s="41"/>
      <c r="J59" s="41"/>
      <c r="K59" s="41">
        <f t="shared" si="14"/>
        <v>0</v>
      </c>
    </row>
    <row r="60" spans="2:11">
      <c r="B60" s="4" t="s">
        <v>181</v>
      </c>
      <c r="E60" s="41"/>
      <c r="F60" s="41"/>
      <c r="G60" s="41"/>
      <c r="H60" s="41"/>
      <c r="I60" s="41"/>
      <c r="J60" s="41"/>
      <c r="K60" s="41">
        <f t="shared" si="14"/>
        <v>0</v>
      </c>
    </row>
    <row r="61" spans="2:11">
      <c r="C61" s="4" t="s">
        <v>182</v>
      </c>
      <c r="D61" s="54"/>
      <c r="E61" s="41">
        <v>0</v>
      </c>
      <c r="F61" s="41">
        <v>0</v>
      </c>
      <c r="G61" s="41">
        <v>-1527627</v>
      </c>
      <c r="H61" s="41">
        <v>-2755365</v>
      </c>
      <c r="I61" s="41">
        <v>-1685370</v>
      </c>
      <c r="J61" s="41">
        <v>-2579288</v>
      </c>
      <c r="K61" s="41">
        <f t="shared" si="14"/>
        <v>-8547650</v>
      </c>
    </row>
    <row r="62" spans="2:11">
      <c r="D62" s="4" t="s">
        <v>60</v>
      </c>
      <c r="E62" s="41">
        <v>0</v>
      </c>
      <c r="F62" s="41">
        <v>0</v>
      </c>
      <c r="G62" s="41">
        <v>-63342</v>
      </c>
      <c r="H62" s="41">
        <v>-58220</v>
      </c>
      <c r="I62" s="41">
        <v>-140911</v>
      </c>
      <c r="J62" s="41">
        <v>-32610</v>
      </c>
      <c r="K62" s="41">
        <f t="shared" si="14"/>
        <v>-295083</v>
      </c>
    </row>
    <row r="63" spans="2:11">
      <c r="D63" s="4" t="s">
        <v>61</v>
      </c>
      <c r="E63" s="45">
        <v>0</v>
      </c>
      <c r="F63" s="45">
        <v>0</v>
      </c>
      <c r="G63" s="45">
        <v>0</v>
      </c>
      <c r="H63" s="45">
        <v>73128</v>
      </c>
      <c r="I63" s="45">
        <v>0</v>
      </c>
      <c r="J63" s="45">
        <v>0</v>
      </c>
      <c r="K63" s="45">
        <f t="shared" si="14"/>
        <v>73128</v>
      </c>
    </row>
    <row r="64" spans="2:11">
      <c r="C64" s="4" t="s">
        <v>183</v>
      </c>
      <c r="E64" s="45">
        <f>SUM(E61:E63)</f>
        <v>0</v>
      </c>
      <c r="F64" s="45">
        <f t="shared" ref="F64:J64" si="21">SUM(F61:F63)</f>
        <v>0</v>
      </c>
      <c r="G64" s="45">
        <f t="shared" si="21"/>
        <v>-1590969</v>
      </c>
      <c r="H64" s="45">
        <f t="shared" si="21"/>
        <v>-2740457</v>
      </c>
      <c r="I64" s="45">
        <f t="shared" si="21"/>
        <v>-1826281</v>
      </c>
      <c r="J64" s="45">
        <f t="shared" si="21"/>
        <v>-2611898</v>
      </c>
      <c r="K64" s="45">
        <f t="shared" si="14"/>
        <v>-8769605</v>
      </c>
    </row>
    <row r="65" spans="3:11">
      <c r="E65" s="41"/>
      <c r="F65" s="41"/>
      <c r="G65" s="41"/>
      <c r="H65" s="41"/>
      <c r="I65" s="41"/>
      <c r="J65" s="41"/>
      <c r="K65" s="41">
        <f t="shared" si="14"/>
        <v>0</v>
      </c>
    </row>
    <row r="66" spans="3:11">
      <c r="C66" s="4" t="s">
        <v>184</v>
      </c>
      <c r="E66" s="45">
        <f>SUM(E64,E58)</f>
        <v>435740</v>
      </c>
      <c r="F66" s="45">
        <f t="shared" ref="F66:K66" si="22">SUM(F64,F58)</f>
        <v>0</v>
      </c>
      <c r="G66" s="45">
        <f t="shared" si="22"/>
        <v>999067</v>
      </c>
      <c r="H66" s="45">
        <f t="shared" si="22"/>
        <v>153113</v>
      </c>
      <c r="I66" s="45">
        <f t="shared" si="22"/>
        <v>215012</v>
      </c>
      <c r="J66" s="45">
        <f t="shared" si="22"/>
        <v>331118</v>
      </c>
      <c r="K66" s="45">
        <f t="shared" si="22"/>
        <v>2134050</v>
      </c>
    </row>
  </sheetData>
  <mergeCells count="3">
    <mergeCell ref="D1:H1"/>
    <mergeCell ref="D2:H2"/>
    <mergeCell ref="D3:H3"/>
  </mergeCells>
  <phoneticPr fontId="15" type="noConversion"/>
  <pageMargins left="0.7" right="0.7" top="0.75" bottom="0.75" header="0.3" footer="0.3"/>
  <pageSetup orientation="portrait" horizontalDpi="1200" verticalDpi="1200" r:id="rId1"/>
  <extLst>
    <ext xmlns:mx="http://schemas.microsoft.com/office/mac/excel/2008/main" uri="{64002731-A6B0-56B0-2670-7721B7C09600}">
      <mx:PLV Mode="0" OnePage="0" WScale="0"/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30"/>
  <sheetViews>
    <sheetView topLeftCell="D1" zoomScale="90" zoomScaleNormal="90" workbookViewId="0">
      <selection activeCell="G27" sqref="G27"/>
    </sheetView>
  </sheetViews>
  <sheetFormatPr defaultColWidth="15.85546875" defaultRowHeight="18.75"/>
  <cols>
    <col min="1" max="1" width="7.85546875" style="4" customWidth="1"/>
    <col min="2" max="2" width="6.5703125" style="4" customWidth="1"/>
    <col min="3" max="3" width="5.28515625" style="4" customWidth="1"/>
    <col min="4" max="4" width="15.85546875" style="4" customWidth="1"/>
    <col min="5" max="5" width="24.5703125" style="4" customWidth="1"/>
    <col min="6" max="6" width="15.85546875" style="4"/>
    <col min="7" max="7" width="18.42578125" style="41" bestFit="1" customWidth="1"/>
    <col min="8" max="8" width="16.85546875" style="41" bestFit="1" customWidth="1"/>
    <col min="9" max="9" width="16.85546875" style="41" customWidth="1"/>
    <col min="10" max="10" width="18.42578125" style="41" bestFit="1" customWidth="1"/>
    <col min="11" max="11" width="17.85546875" style="4" customWidth="1"/>
    <col min="12" max="16384" width="15.85546875" style="4"/>
  </cols>
  <sheetData>
    <row r="1" spans="1:14">
      <c r="D1" s="109" t="s">
        <v>197</v>
      </c>
      <c r="E1" s="109"/>
      <c r="F1" s="109"/>
      <c r="G1" s="109"/>
    </row>
    <row r="2" spans="1:14">
      <c r="D2" s="109" t="s">
        <v>1</v>
      </c>
      <c r="E2" s="109"/>
      <c r="F2" s="109"/>
      <c r="G2" s="109"/>
    </row>
    <row r="3" spans="1:14">
      <c r="D3" s="109" t="s">
        <v>2</v>
      </c>
      <c r="E3" s="109"/>
      <c r="F3" s="109"/>
      <c r="G3" s="109"/>
    </row>
    <row r="4" spans="1:14">
      <c r="D4" s="107"/>
      <c r="E4" s="107"/>
      <c r="F4" s="107"/>
      <c r="G4" s="42"/>
    </row>
    <row r="5" spans="1:14" ht="37.5">
      <c r="G5" s="108" t="s">
        <v>3</v>
      </c>
      <c r="H5" s="108" t="s">
        <v>60</v>
      </c>
      <c r="I5" s="108" t="s">
        <v>61</v>
      </c>
      <c r="J5" s="108" t="s">
        <v>6</v>
      </c>
      <c r="K5" s="108" t="s">
        <v>7</v>
      </c>
    </row>
    <row r="6" spans="1:14">
      <c r="G6" s="43"/>
      <c r="H6" s="43"/>
      <c r="I6" s="43"/>
      <c r="J6" s="43"/>
    </row>
    <row r="7" spans="1:14">
      <c r="A7" s="3" t="s">
        <v>158</v>
      </c>
      <c r="B7" s="3"/>
      <c r="C7" s="3"/>
      <c r="D7" s="3"/>
      <c r="E7" s="3"/>
      <c r="F7" s="3"/>
    </row>
    <row r="8" spans="1:14">
      <c r="A8" s="3"/>
      <c r="B8" s="3" t="s">
        <v>10</v>
      </c>
      <c r="C8" s="3"/>
      <c r="D8" s="3"/>
      <c r="E8" s="3"/>
      <c r="F8" s="3"/>
    </row>
    <row r="9" spans="1:14">
      <c r="C9" s="4" t="s">
        <v>11</v>
      </c>
      <c r="G9" s="41">
        <v>388962</v>
      </c>
      <c r="H9" s="41">
        <v>38600</v>
      </c>
      <c r="J9" s="41">
        <f>SUM(G9:I9)</f>
        <v>427562</v>
      </c>
      <c r="K9" s="41">
        <f t="shared" ref="K9:K10" si="0">SUM(J9)</f>
        <v>427562</v>
      </c>
    </row>
    <row r="10" spans="1:14">
      <c r="C10" s="4" t="s">
        <v>12</v>
      </c>
      <c r="G10" s="45">
        <v>406981</v>
      </c>
      <c r="H10" s="45">
        <v>779309</v>
      </c>
      <c r="I10" s="45">
        <v>-496712</v>
      </c>
      <c r="J10" s="45">
        <f>SUM(G10:I10)</f>
        <v>689578</v>
      </c>
      <c r="K10" s="41">
        <f t="shared" si="0"/>
        <v>689578</v>
      </c>
    </row>
    <row r="11" spans="1:14">
      <c r="A11" s="3"/>
      <c r="B11" s="3"/>
      <c r="C11" s="3"/>
      <c r="D11" s="3" t="s">
        <v>26</v>
      </c>
      <c r="E11" s="3"/>
      <c r="F11" s="3"/>
      <c r="G11" s="46">
        <f>SUM(G9:G10)</f>
        <v>795943</v>
      </c>
      <c r="H11" s="46">
        <f>SUM(H9:H10)</f>
        <v>817909</v>
      </c>
      <c r="I11" s="46">
        <f>SUM(I9:I10)</f>
        <v>-496712</v>
      </c>
      <c r="J11" s="46">
        <f>SUM(J9:J10)</f>
        <v>1117140</v>
      </c>
      <c r="K11" s="3"/>
    </row>
    <row r="13" spans="1:14">
      <c r="A13" s="3" t="s">
        <v>14</v>
      </c>
      <c r="N13" s="41">
        <f>Caldwell!K30</f>
        <v>935</v>
      </c>
    </row>
    <row r="14" spans="1:14">
      <c r="A14" s="3"/>
      <c r="B14" s="4" t="s">
        <v>15</v>
      </c>
      <c r="G14" s="41">
        <v>6999747</v>
      </c>
      <c r="H14" s="41">
        <v>482867</v>
      </c>
      <c r="J14" s="41">
        <f>SUM(G14:I14)</f>
        <v>7482614</v>
      </c>
    </row>
    <row r="15" spans="1:14">
      <c r="B15" s="4" t="s">
        <v>30</v>
      </c>
      <c r="G15" s="41">
        <v>2212472</v>
      </c>
      <c r="H15" s="41">
        <v>58818</v>
      </c>
      <c r="J15" s="41">
        <f>SUM(G15:I15)</f>
        <v>2271290</v>
      </c>
    </row>
    <row r="16" spans="1:14">
      <c r="B16" s="4" t="s">
        <v>198</v>
      </c>
      <c r="G16" s="41">
        <v>3761823</v>
      </c>
      <c r="H16" s="41">
        <v>402604</v>
      </c>
      <c r="I16" s="41">
        <v>-158951</v>
      </c>
      <c r="J16" s="41">
        <f>SUM(G16:I16)</f>
        <v>4005476</v>
      </c>
    </row>
    <row r="17" spans="1:11">
      <c r="B17" s="4" t="s">
        <v>199</v>
      </c>
      <c r="G17" s="45">
        <v>16292434</v>
      </c>
      <c r="H17" s="45">
        <v>1430035</v>
      </c>
      <c r="I17" s="45"/>
      <c r="J17" s="45">
        <f>SUM(G17:I17)</f>
        <v>17722469</v>
      </c>
    </row>
    <row r="18" spans="1:11">
      <c r="A18" s="3"/>
      <c r="B18" s="3"/>
      <c r="C18" s="3"/>
      <c r="D18" s="3" t="s">
        <v>19</v>
      </c>
      <c r="E18" s="3"/>
      <c r="F18" s="3"/>
      <c r="G18" s="46">
        <f>SUM(G14:G17)</f>
        <v>29266476</v>
      </c>
      <c r="H18" s="46">
        <f>SUM(H14:H17)</f>
        <v>2374324</v>
      </c>
      <c r="I18" s="46">
        <f>SUM(I14:I17)</f>
        <v>-158951</v>
      </c>
      <c r="J18" s="46">
        <f>SUM(J14:J17)</f>
        <v>31481849</v>
      </c>
      <c r="K18" s="3"/>
    </row>
    <row r="20" spans="1:11">
      <c r="A20" s="4" t="s">
        <v>20</v>
      </c>
    </row>
    <row r="21" spans="1:11">
      <c r="B21" s="4" t="s">
        <v>15</v>
      </c>
      <c r="G21" s="41">
        <v>2324134</v>
      </c>
      <c r="H21" s="41">
        <v>204936</v>
      </c>
      <c r="J21" s="41">
        <f>SUM(G21:I21)</f>
        <v>2529070</v>
      </c>
      <c r="K21" s="41">
        <f>J14-J21</f>
        <v>4953544</v>
      </c>
    </row>
    <row r="22" spans="1:11">
      <c r="B22" s="4" t="s">
        <v>30</v>
      </c>
      <c r="G22" s="41">
        <v>1540554</v>
      </c>
      <c r="H22" s="41">
        <v>118703</v>
      </c>
      <c r="J22" s="41">
        <f>SUM(G22:I22)</f>
        <v>1659257</v>
      </c>
      <c r="K22" s="41">
        <f t="shared" ref="K22:K24" si="1">J15-J22</f>
        <v>612033</v>
      </c>
    </row>
    <row r="23" spans="1:11">
      <c r="B23" s="4" t="s">
        <v>198</v>
      </c>
      <c r="G23" s="41">
        <v>1715524</v>
      </c>
      <c r="H23" s="41">
        <v>449375</v>
      </c>
      <c r="I23" s="41">
        <v>-158951</v>
      </c>
      <c r="J23" s="41">
        <f>SUM(G23:I23)</f>
        <v>2005948</v>
      </c>
      <c r="K23" s="41">
        <f t="shared" si="1"/>
        <v>1999528</v>
      </c>
    </row>
    <row r="24" spans="1:11">
      <c r="B24" s="4" t="s">
        <v>199</v>
      </c>
      <c r="G24" s="45">
        <v>8358533</v>
      </c>
      <c r="H24" s="45">
        <v>1646553</v>
      </c>
      <c r="I24" s="45"/>
      <c r="J24" s="45">
        <f>SUM(G24:I24)</f>
        <v>10005086</v>
      </c>
      <c r="K24" s="41">
        <f t="shared" si="1"/>
        <v>7717383</v>
      </c>
    </row>
    <row r="25" spans="1:11">
      <c r="A25" s="3"/>
      <c r="B25" s="3"/>
      <c r="C25" s="3"/>
      <c r="D25" s="3" t="s">
        <v>21</v>
      </c>
      <c r="E25" s="3"/>
      <c r="F25" s="3"/>
      <c r="G25" s="46">
        <f>SUM(G21:G24)</f>
        <v>13938745</v>
      </c>
      <c r="H25" s="46">
        <f>SUM(H21:H24)</f>
        <v>2419567</v>
      </c>
      <c r="I25" s="46">
        <f>SUM(I21:I24)</f>
        <v>-158951</v>
      </c>
      <c r="J25" s="46">
        <f>SUM(J21:J24)</f>
        <v>16199361</v>
      </c>
      <c r="K25" s="3"/>
    </row>
    <row r="27" spans="1:11">
      <c r="A27" s="3"/>
      <c r="B27" s="3" t="s">
        <v>22</v>
      </c>
      <c r="C27" s="3"/>
      <c r="D27" s="3"/>
      <c r="E27" s="3"/>
      <c r="F27" s="3"/>
      <c r="G27" s="46">
        <f>G18-G25</f>
        <v>15327731</v>
      </c>
      <c r="H27" s="46">
        <f t="shared" ref="H27:J27" si="2">H18-H25</f>
        <v>-45243</v>
      </c>
      <c r="I27" s="46">
        <f t="shared" si="2"/>
        <v>0</v>
      </c>
      <c r="J27" s="46">
        <f t="shared" si="2"/>
        <v>15282488</v>
      </c>
      <c r="K27" s="3"/>
    </row>
    <row r="29" spans="1:11" ht="19.5" thickBot="1">
      <c r="B29" s="3" t="s">
        <v>23</v>
      </c>
      <c r="G29" s="48">
        <f>G27+G11</f>
        <v>16123674</v>
      </c>
      <c r="H29" s="48">
        <f>H27+H11</f>
        <v>772666</v>
      </c>
      <c r="I29" s="48">
        <f>I27+I11</f>
        <v>-496712</v>
      </c>
      <c r="J29" s="48">
        <f>J27+J11</f>
        <v>16399628</v>
      </c>
      <c r="K29" s="41">
        <f>SUM(K9:K24)</f>
        <v>16399628</v>
      </c>
    </row>
    <row r="30" spans="1:11" ht="19.5" thickTop="1"/>
  </sheetData>
  <mergeCells count="3">
    <mergeCell ref="D1:G1"/>
    <mergeCell ref="D2:G2"/>
    <mergeCell ref="D3:G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5"/>
  <sheetViews>
    <sheetView topLeftCell="C4" zoomScale="90" zoomScaleNormal="90" workbookViewId="0">
      <selection activeCell="M30" sqref="M30"/>
    </sheetView>
  </sheetViews>
  <sheetFormatPr defaultColWidth="8.85546875" defaultRowHeight="18.75"/>
  <cols>
    <col min="1" max="1" width="4.7109375" style="4" customWidth="1"/>
    <col min="2" max="2" width="4.140625" style="4" customWidth="1"/>
    <col min="3" max="3" width="21.42578125" style="4" customWidth="1"/>
    <col min="4" max="5" width="8.85546875" style="4"/>
    <col min="6" max="6" width="17" style="4" customWidth="1"/>
    <col min="7" max="7" width="16.140625" style="4" customWidth="1"/>
    <col min="8" max="9" width="16.28515625" style="4" customWidth="1"/>
    <col min="10" max="10" width="18.7109375" style="4" customWidth="1"/>
    <col min="11" max="11" width="18" style="4" customWidth="1"/>
    <col min="12" max="16384" width="8.85546875" style="4"/>
  </cols>
  <sheetData>
    <row r="1" spans="1:11">
      <c r="C1" s="109" t="s">
        <v>200</v>
      </c>
      <c r="D1" s="109"/>
      <c r="E1" s="109"/>
      <c r="F1" s="109"/>
      <c r="G1" s="109"/>
      <c r="H1" s="109"/>
      <c r="I1" s="107"/>
    </row>
    <row r="2" spans="1:11">
      <c r="C2" s="109" t="s">
        <v>1</v>
      </c>
      <c r="D2" s="109"/>
      <c r="E2" s="109"/>
      <c r="F2" s="109"/>
      <c r="G2" s="109"/>
      <c r="H2" s="109"/>
      <c r="I2" s="107"/>
    </row>
    <row r="3" spans="1:11">
      <c r="C3" s="109" t="s">
        <v>2</v>
      </c>
      <c r="D3" s="109"/>
      <c r="E3" s="109"/>
      <c r="F3" s="109"/>
      <c r="G3" s="109"/>
      <c r="H3" s="109"/>
      <c r="I3" s="107"/>
    </row>
    <row r="4" spans="1:11">
      <c r="C4" s="107"/>
      <c r="D4" s="107"/>
      <c r="E4" s="107"/>
      <c r="F4" s="107"/>
      <c r="G4" s="107"/>
      <c r="H4" s="107"/>
      <c r="I4" s="107"/>
    </row>
    <row r="5" spans="1:11" ht="24.95" customHeight="1">
      <c r="F5"/>
      <c r="G5"/>
      <c r="H5"/>
      <c r="I5"/>
      <c r="J5"/>
    </row>
    <row r="6" spans="1:11" ht="37.5">
      <c r="F6" s="15" t="s">
        <v>201</v>
      </c>
      <c r="G6" s="25" t="s">
        <v>60</v>
      </c>
      <c r="H6" s="15" t="s">
        <v>202</v>
      </c>
      <c r="I6" s="15" t="s">
        <v>62</v>
      </c>
      <c r="J6" s="15" t="s">
        <v>203</v>
      </c>
      <c r="K6" s="15" t="s">
        <v>7</v>
      </c>
    </row>
    <row r="7" spans="1:11">
      <c r="A7" s="19" t="s">
        <v>25</v>
      </c>
      <c r="F7" s="20"/>
      <c r="G7" s="20"/>
      <c r="H7" s="20"/>
      <c r="I7" s="20"/>
      <c r="J7" s="20"/>
    </row>
    <row r="8" spans="1:11">
      <c r="A8" s="19"/>
      <c r="B8" s="19" t="s">
        <v>10</v>
      </c>
      <c r="F8" s="20"/>
      <c r="G8" s="20"/>
      <c r="H8" s="20"/>
      <c r="I8" s="20"/>
      <c r="J8" s="20"/>
    </row>
    <row r="9" spans="1:11">
      <c r="B9" s="4" t="s">
        <v>11</v>
      </c>
      <c r="F9" s="22">
        <v>436905</v>
      </c>
      <c r="G9" s="23">
        <v>88800</v>
      </c>
      <c r="H9" s="23"/>
      <c r="I9" s="23"/>
      <c r="J9" s="23">
        <f>SUM(F9:I9)</f>
        <v>525705</v>
      </c>
      <c r="K9" s="6">
        <f>SUM(J9)</f>
        <v>525705</v>
      </c>
    </row>
    <row r="10" spans="1:11">
      <c r="B10" s="4" t="s">
        <v>12</v>
      </c>
      <c r="F10" s="22">
        <v>595916</v>
      </c>
      <c r="G10" s="23">
        <v>45312</v>
      </c>
      <c r="H10" s="23"/>
      <c r="I10" s="23">
        <v>-553221</v>
      </c>
      <c r="J10" s="23">
        <f>SUM(F10:I10)</f>
        <v>88007</v>
      </c>
      <c r="K10" s="6">
        <f>SUM(J10)</f>
        <v>88007</v>
      </c>
    </row>
    <row r="11" spans="1:11" ht="19.5" thickBot="1">
      <c r="C11" s="3" t="s">
        <v>204</v>
      </c>
      <c r="F11" s="26">
        <f>SUM(F9:F10)</f>
        <v>1032821</v>
      </c>
      <c r="G11" s="26">
        <f t="shared" ref="G11:J11" si="0">SUM(G9:G10)</f>
        <v>134112</v>
      </c>
      <c r="H11" s="26">
        <f t="shared" si="0"/>
        <v>0</v>
      </c>
      <c r="I11" s="26">
        <f t="shared" si="0"/>
        <v>-553221</v>
      </c>
      <c r="J11" s="26">
        <f t="shared" si="0"/>
        <v>613712</v>
      </c>
    </row>
    <row r="12" spans="1:11">
      <c r="F12" s="23"/>
      <c r="G12" s="23"/>
      <c r="H12" s="23"/>
      <c r="I12" s="23"/>
      <c r="J12" s="23"/>
    </row>
    <row r="13" spans="1:11">
      <c r="B13" s="19" t="s">
        <v>14</v>
      </c>
      <c r="F13" s="23"/>
      <c r="G13" s="23"/>
      <c r="H13" s="23"/>
      <c r="I13" s="23"/>
      <c r="J13" s="23"/>
    </row>
    <row r="14" spans="1:11">
      <c r="B14" s="4" t="s">
        <v>15</v>
      </c>
      <c r="F14" s="23">
        <v>12583050</v>
      </c>
      <c r="G14" s="23">
        <v>70989</v>
      </c>
      <c r="H14" s="23"/>
      <c r="I14" s="23"/>
      <c r="J14" s="23">
        <f>SUM(F14:I14)</f>
        <v>12654039</v>
      </c>
    </row>
    <row r="15" spans="1:11">
      <c r="B15" s="4" t="s">
        <v>30</v>
      </c>
      <c r="F15" s="23">
        <v>4976735</v>
      </c>
      <c r="G15" s="23">
        <v>61475</v>
      </c>
      <c r="H15" s="23">
        <v>-133557</v>
      </c>
      <c r="I15" s="23">
        <v>553221</v>
      </c>
      <c r="J15" s="23">
        <f t="shared" ref="J15:J20" si="1">SUM(F15:I15)</f>
        <v>5457874</v>
      </c>
    </row>
    <row r="16" spans="1:11">
      <c r="B16" s="4" t="s">
        <v>205</v>
      </c>
      <c r="F16" s="23">
        <v>2272472</v>
      </c>
      <c r="G16" s="23">
        <v>90556</v>
      </c>
      <c r="H16" s="23">
        <v>-133885</v>
      </c>
      <c r="I16" s="23"/>
      <c r="J16" s="23">
        <f t="shared" si="1"/>
        <v>2229143</v>
      </c>
    </row>
    <row r="17" spans="1:11">
      <c r="B17" s="4" t="s">
        <v>16</v>
      </c>
      <c r="F17" s="23">
        <v>1556951</v>
      </c>
      <c r="G17" s="23">
        <v>78036</v>
      </c>
      <c r="H17" s="23">
        <v>-15710</v>
      </c>
      <c r="I17" s="23"/>
      <c r="J17" s="23">
        <f t="shared" si="1"/>
        <v>1619277</v>
      </c>
    </row>
    <row r="18" spans="1:11">
      <c r="B18" s="4" t="s">
        <v>66</v>
      </c>
      <c r="F18" s="6">
        <v>336986</v>
      </c>
      <c r="G18" s="6">
        <v>1949</v>
      </c>
      <c r="H18" s="6"/>
      <c r="I18" s="6"/>
      <c r="J18" s="23">
        <f t="shared" si="1"/>
        <v>338935</v>
      </c>
    </row>
    <row r="19" spans="1:11">
      <c r="B19" s="4" t="s">
        <v>206</v>
      </c>
      <c r="F19" s="23">
        <v>318782</v>
      </c>
      <c r="G19" s="23"/>
      <c r="H19" s="23"/>
      <c r="I19" s="23"/>
      <c r="J19" s="23">
        <f t="shared" si="1"/>
        <v>318782</v>
      </c>
    </row>
    <row r="20" spans="1:11">
      <c r="B20" s="4" t="s">
        <v>18</v>
      </c>
      <c r="F20" s="23">
        <v>22176351</v>
      </c>
      <c r="G20" s="23">
        <v>1726216</v>
      </c>
      <c r="H20" s="23"/>
      <c r="I20" s="23"/>
      <c r="J20" s="23">
        <f t="shared" si="1"/>
        <v>23902567</v>
      </c>
    </row>
    <row r="21" spans="1:11">
      <c r="C21" s="3" t="s">
        <v>207</v>
      </c>
      <c r="F21" s="11">
        <f>SUM(F14:F20)</f>
        <v>44221327</v>
      </c>
      <c r="G21" s="11">
        <f>SUM(G14:G20)</f>
        <v>2029221</v>
      </c>
      <c r="H21" s="11">
        <f>SUM(H14:H20)</f>
        <v>-283152</v>
      </c>
      <c r="I21" s="11">
        <f>SUM(I14:I20)</f>
        <v>553221</v>
      </c>
      <c r="J21" s="11">
        <f>SUM(J14:J20)</f>
        <v>46520617</v>
      </c>
    </row>
    <row r="22" spans="1:11">
      <c r="C22" s="3"/>
      <c r="F22" s="6"/>
      <c r="G22" s="6"/>
      <c r="H22" s="6"/>
      <c r="I22" s="6"/>
      <c r="J22" s="6"/>
    </row>
    <row r="23" spans="1:11">
      <c r="A23" s="19" t="s">
        <v>54</v>
      </c>
      <c r="B23" s="21"/>
      <c r="C23" s="21"/>
      <c r="D23" s="21"/>
      <c r="F23" s="6"/>
      <c r="G23" s="6"/>
      <c r="H23" s="6"/>
      <c r="I23" s="6"/>
      <c r="J23" s="6"/>
    </row>
    <row r="24" spans="1:11">
      <c r="B24" s="4" t="s">
        <v>15</v>
      </c>
      <c r="F24" s="6">
        <v>3625848</v>
      </c>
      <c r="G24" s="6">
        <v>399175</v>
      </c>
      <c r="H24" s="6"/>
      <c r="I24" s="6"/>
      <c r="J24" s="6">
        <f>SUM(F24:I24)</f>
        <v>4025023</v>
      </c>
      <c r="K24" s="6">
        <f>J14-J24</f>
        <v>8629016</v>
      </c>
    </row>
    <row r="25" spans="1:11">
      <c r="B25" s="4" t="s">
        <v>30</v>
      </c>
      <c r="F25" s="6">
        <v>2536409</v>
      </c>
      <c r="G25" s="6">
        <v>333535</v>
      </c>
      <c r="H25" s="6">
        <v>-64555</v>
      </c>
      <c r="I25" s="6"/>
      <c r="J25" s="6">
        <f>SUM(F25:I25)</f>
        <v>2805389</v>
      </c>
      <c r="K25" s="6">
        <f t="shared" ref="K25:K30" si="2">J15-J25</f>
        <v>2652485</v>
      </c>
    </row>
    <row r="26" spans="1:11">
      <c r="B26" s="4" t="s">
        <v>208</v>
      </c>
      <c r="F26" s="6">
        <v>1190339</v>
      </c>
      <c r="G26" s="6">
        <v>141505</v>
      </c>
      <c r="H26" s="6">
        <v>-85755</v>
      </c>
      <c r="I26" s="6"/>
      <c r="J26" s="6">
        <f t="shared" ref="J26:J30" si="3">SUM(F26:I26)</f>
        <v>1246089</v>
      </c>
      <c r="K26" s="6">
        <f t="shared" si="2"/>
        <v>983054</v>
      </c>
    </row>
    <row r="27" spans="1:11">
      <c r="B27" s="4" t="s">
        <v>16</v>
      </c>
      <c r="F27" s="6">
        <v>1196002</v>
      </c>
      <c r="G27" s="6">
        <v>93920</v>
      </c>
      <c r="H27" s="6">
        <v>-15710</v>
      </c>
      <c r="I27" s="6"/>
      <c r="J27" s="6">
        <f t="shared" si="3"/>
        <v>1274212</v>
      </c>
      <c r="K27" s="6">
        <f t="shared" si="2"/>
        <v>345065</v>
      </c>
    </row>
    <row r="28" spans="1:11">
      <c r="B28" s="4" t="s">
        <v>66</v>
      </c>
      <c r="F28" s="6">
        <v>242074</v>
      </c>
      <c r="G28" s="6">
        <v>26534</v>
      </c>
      <c r="H28" s="6"/>
      <c r="I28" s="6"/>
      <c r="J28" s="6">
        <f t="shared" si="3"/>
        <v>268608</v>
      </c>
      <c r="K28" s="6">
        <f t="shared" si="2"/>
        <v>70327</v>
      </c>
    </row>
    <row r="29" spans="1:11">
      <c r="B29" s="4" t="s">
        <v>206</v>
      </c>
      <c r="F29" s="6">
        <v>63658</v>
      </c>
      <c r="G29" s="6">
        <v>7970</v>
      </c>
      <c r="H29" s="6"/>
      <c r="I29" s="6"/>
      <c r="J29" s="6">
        <f t="shared" si="3"/>
        <v>71628</v>
      </c>
      <c r="K29" s="6">
        <f t="shared" si="2"/>
        <v>247154</v>
      </c>
    </row>
    <row r="30" spans="1:11">
      <c r="B30" s="4" t="s">
        <v>18</v>
      </c>
      <c r="F30" s="6">
        <v>3099207</v>
      </c>
      <c r="G30" s="6">
        <v>779259</v>
      </c>
      <c r="H30" s="6"/>
      <c r="I30" s="6"/>
      <c r="J30" s="6">
        <f t="shared" si="3"/>
        <v>3878466</v>
      </c>
      <c r="K30" s="6">
        <f t="shared" si="2"/>
        <v>20024101</v>
      </c>
    </row>
    <row r="31" spans="1:11">
      <c r="C31" s="3" t="s">
        <v>21</v>
      </c>
      <c r="F31" s="11">
        <f>SUM(F24:F30)</f>
        <v>11953537</v>
      </c>
      <c r="G31" s="11">
        <f>SUM(G24:G30)</f>
        <v>1781898</v>
      </c>
      <c r="H31" s="11">
        <f>SUM(H24:H30)</f>
        <v>-166020</v>
      </c>
      <c r="I31" s="11">
        <f t="shared" ref="I31:J31" si="4">SUM(I24:I30)</f>
        <v>0</v>
      </c>
      <c r="J31" s="11">
        <f t="shared" si="4"/>
        <v>13569415</v>
      </c>
    </row>
    <row r="32" spans="1:11">
      <c r="C32" s="3" t="s">
        <v>209</v>
      </c>
      <c r="F32" s="24">
        <f>F21-F31</f>
        <v>32267790</v>
      </c>
      <c r="G32" s="24">
        <f t="shared" ref="G32:J32" si="5">G21-G31</f>
        <v>247323</v>
      </c>
      <c r="H32" s="24">
        <f t="shared" si="5"/>
        <v>-117132</v>
      </c>
      <c r="I32" s="24">
        <f t="shared" si="5"/>
        <v>553221</v>
      </c>
      <c r="J32" s="24">
        <f t="shared" si="5"/>
        <v>32951202</v>
      </c>
    </row>
    <row r="33" spans="3:11">
      <c r="C33" s="3"/>
      <c r="F33" s="27"/>
      <c r="G33" s="27"/>
      <c r="H33" s="27"/>
      <c r="I33" s="27"/>
      <c r="J33" s="27"/>
    </row>
    <row r="34" spans="3:11" ht="19.5" thickBot="1">
      <c r="C34" s="3" t="s">
        <v>210</v>
      </c>
      <c r="F34" s="16">
        <f>F32+F11</f>
        <v>33300611</v>
      </c>
      <c r="G34" s="16">
        <f t="shared" ref="G34:J34" si="6">G32+G11</f>
        <v>381435</v>
      </c>
      <c r="H34" s="16">
        <f t="shared" si="6"/>
        <v>-117132</v>
      </c>
      <c r="I34" s="16">
        <f t="shared" si="6"/>
        <v>0</v>
      </c>
      <c r="J34" s="16">
        <f t="shared" si="6"/>
        <v>33564914</v>
      </c>
      <c r="K34" s="6">
        <f>SUM(K24:K30,K9:K10)</f>
        <v>33564914</v>
      </c>
    </row>
    <row r="35" spans="3:11">
      <c r="F35" s="6"/>
      <c r="G35" s="6"/>
      <c r="H35" s="6"/>
      <c r="I35" s="6"/>
      <c r="J35" s="6"/>
    </row>
  </sheetData>
  <mergeCells count="3">
    <mergeCell ref="C1:H1"/>
    <mergeCell ref="C2:H2"/>
    <mergeCell ref="C3:H3"/>
  </mergeCells>
  <pageMargins left="0.7" right="0.7" top="0.75" bottom="0.75" header="0.3" footer="0.3"/>
  <pageSetup orientation="portrait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58"/>
  <sheetViews>
    <sheetView topLeftCell="H1" zoomScale="85" zoomScaleNormal="85" zoomScalePageLayoutView="85" workbookViewId="0">
      <selection activeCell="G30" sqref="G30"/>
    </sheetView>
  </sheetViews>
  <sheetFormatPr defaultColWidth="8.85546875" defaultRowHeight="18.75"/>
  <cols>
    <col min="1" max="1" width="4.42578125" style="4" customWidth="1"/>
    <col min="2" max="3" width="4.7109375" style="4" customWidth="1"/>
    <col min="4" max="6" width="8.85546875" style="4"/>
    <col min="7" max="7" width="14.28515625" style="4" bestFit="1" customWidth="1"/>
    <col min="8" max="8" width="12.7109375" style="4" bestFit="1" customWidth="1"/>
    <col min="9" max="9" width="20.5703125" style="41" bestFit="1" customWidth="1"/>
    <col min="10" max="10" width="17.5703125" style="41" bestFit="1" customWidth="1"/>
    <col min="11" max="13" width="16.85546875" style="41" customWidth="1"/>
    <col min="14" max="14" width="20.85546875" style="41" customWidth="1"/>
    <col min="15" max="15" width="18.140625" style="4" customWidth="1"/>
    <col min="16" max="16384" width="8.85546875" style="4"/>
  </cols>
  <sheetData>
    <row r="1" spans="1:15">
      <c r="D1" s="109" t="s">
        <v>211</v>
      </c>
      <c r="E1" s="109"/>
      <c r="F1" s="109"/>
      <c r="G1" s="109"/>
      <c r="H1" s="109"/>
      <c r="I1" s="109"/>
    </row>
    <row r="2" spans="1:15">
      <c r="D2" s="109" t="s">
        <v>1</v>
      </c>
      <c r="E2" s="109"/>
      <c r="F2" s="109"/>
      <c r="G2" s="109"/>
      <c r="H2" s="109"/>
      <c r="I2" s="109"/>
    </row>
    <row r="3" spans="1:15">
      <c r="D3" s="109" t="s">
        <v>2</v>
      </c>
      <c r="E3" s="109"/>
      <c r="F3" s="109"/>
      <c r="G3" s="109"/>
      <c r="H3" s="109"/>
      <c r="I3" s="109"/>
    </row>
    <row r="4" spans="1:15" ht="14.25" customHeight="1">
      <c r="D4" s="107"/>
      <c r="E4" s="107"/>
      <c r="F4" s="107"/>
      <c r="G4" s="107" t="s">
        <v>212</v>
      </c>
      <c r="H4" s="107"/>
      <c r="I4" s="42"/>
    </row>
    <row r="5" spans="1:15" ht="14.25" customHeight="1">
      <c r="D5" s="107"/>
      <c r="E5" s="107"/>
      <c r="F5" s="107"/>
      <c r="G5" s="107"/>
      <c r="H5" s="107"/>
      <c r="I5" s="42"/>
    </row>
    <row r="6" spans="1:15" ht="60.75" customHeight="1">
      <c r="I6" s="53" t="s">
        <v>3</v>
      </c>
      <c r="J6" s="53" t="s">
        <v>4</v>
      </c>
      <c r="K6" s="53" t="s">
        <v>5</v>
      </c>
      <c r="L6" s="53" t="s">
        <v>213</v>
      </c>
      <c r="M6" s="53" t="s">
        <v>214</v>
      </c>
      <c r="N6" s="53" t="s">
        <v>6</v>
      </c>
      <c r="O6" s="53" t="s">
        <v>7</v>
      </c>
    </row>
    <row r="7" spans="1:15">
      <c r="I7" s="65"/>
      <c r="J7" s="65"/>
      <c r="K7" s="65"/>
      <c r="L7" s="65"/>
      <c r="M7" s="65"/>
      <c r="N7" s="65"/>
    </row>
    <row r="8" spans="1:15">
      <c r="A8" s="3" t="s">
        <v>8</v>
      </c>
      <c r="B8" s="3"/>
      <c r="C8" s="3"/>
      <c r="D8" s="3"/>
      <c r="E8" s="3"/>
      <c r="F8" s="3"/>
    </row>
    <row r="9" spans="1:15">
      <c r="A9" s="3" t="s">
        <v>9</v>
      </c>
      <c r="B9" s="3"/>
      <c r="C9" s="3"/>
      <c r="D9" s="3"/>
      <c r="E9" s="3"/>
      <c r="F9" s="3"/>
    </row>
    <row r="10" spans="1:15">
      <c r="A10" s="3" t="s">
        <v>10</v>
      </c>
      <c r="B10" s="3"/>
      <c r="C10" s="3"/>
      <c r="D10" s="3"/>
      <c r="E10" s="3"/>
      <c r="F10" s="3"/>
    </row>
    <row r="11" spans="1:15">
      <c r="B11" s="4" t="s">
        <v>76</v>
      </c>
      <c r="I11" s="41">
        <v>59236000</v>
      </c>
      <c r="J11" s="41">
        <v>0</v>
      </c>
      <c r="K11" s="41">
        <v>0</v>
      </c>
      <c r="L11" s="41">
        <v>5038000</v>
      </c>
      <c r="M11" s="41">
        <v>0</v>
      </c>
      <c r="N11" s="41">
        <f>SUM(I11:M11)</f>
        <v>64274000</v>
      </c>
      <c r="O11" s="41">
        <f>SUM(N11)</f>
        <v>64274000</v>
      </c>
    </row>
    <row r="12" spans="1:15">
      <c r="B12" s="4" t="s">
        <v>12</v>
      </c>
      <c r="I12" s="41">
        <v>162686000</v>
      </c>
      <c r="J12" s="41">
        <v>111186000</v>
      </c>
      <c r="K12" s="41">
        <v>0</v>
      </c>
      <c r="L12" s="41">
        <v>-86196000</v>
      </c>
      <c r="M12" s="41">
        <v>-8769000</v>
      </c>
      <c r="N12" s="41">
        <f>SUM(I12:M12)</f>
        <v>178907000</v>
      </c>
      <c r="O12" s="41">
        <f>SUM(N12)</f>
        <v>178907000</v>
      </c>
    </row>
    <row r="13" spans="1:15">
      <c r="A13" s="3"/>
      <c r="B13" s="3"/>
      <c r="C13" s="3" t="s">
        <v>13</v>
      </c>
      <c r="D13" s="3"/>
      <c r="E13" s="3"/>
      <c r="F13" s="3"/>
      <c r="G13" s="3"/>
      <c r="H13" s="3"/>
      <c r="I13" s="57">
        <f>SUM(I11:I12)</f>
        <v>221922000</v>
      </c>
      <c r="J13" s="57">
        <f t="shared" ref="J13" si="0">SUM(J11:J12)</f>
        <v>111186000</v>
      </c>
      <c r="K13" s="57">
        <f t="shared" ref="K13" si="1">SUM(K11:K12)</f>
        <v>0</v>
      </c>
      <c r="L13" s="57">
        <f t="shared" ref="L13" si="2">SUM(L11:L12)</f>
        <v>-81158000</v>
      </c>
      <c r="M13" s="57">
        <f t="shared" ref="M13" si="3">SUM(M11:M12)</f>
        <v>-8769000</v>
      </c>
      <c r="N13" s="57">
        <f t="shared" ref="N13" si="4">SUM(N11:N12)</f>
        <v>243181000</v>
      </c>
      <c r="O13" s="3"/>
    </row>
    <row r="15" spans="1:15">
      <c r="A15" s="3" t="s">
        <v>14</v>
      </c>
    </row>
    <row r="16" spans="1:15">
      <c r="A16" s="3"/>
      <c r="B16" s="4" t="s">
        <v>27</v>
      </c>
      <c r="I16" s="41">
        <v>378812000</v>
      </c>
      <c r="J16" s="41">
        <v>0</v>
      </c>
      <c r="K16" s="41">
        <v>0</v>
      </c>
      <c r="L16" s="41">
        <v>2176000</v>
      </c>
      <c r="M16" s="41">
        <v>0</v>
      </c>
      <c r="N16" s="41">
        <f>SUM(I16:M16)</f>
        <v>380988000</v>
      </c>
    </row>
    <row r="17" spans="1:15">
      <c r="A17" s="3"/>
      <c r="B17" s="4" t="s">
        <v>28</v>
      </c>
      <c r="I17" s="41">
        <v>179678000</v>
      </c>
      <c r="J17" s="41">
        <v>0</v>
      </c>
      <c r="K17" s="41">
        <v>0</v>
      </c>
      <c r="L17" s="41">
        <v>7884000</v>
      </c>
      <c r="M17" s="41">
        <v>0</v>
      </c>
      <c r="N17" s="41">
        <f t="shared" ref="N17:N20" si="5">SUM(I17:M17)</f>
        <v>187562000</v>
      </c>
    </row>
    <row r="18" spans="1:15">
      <c r="A18" s="3"/>
      <c r="B18" s="4" t="s">
        <v>30</v>
      </c>
      <c r="I18" s="41">
        <v>57275000</v>
      </c>
      <c r="J18" s="41">
        <v>4466000</v>
      </c>
      <c r="K18" s="41">
        <v>-4349000</v>
      </c>
      <c r="L18" s="41">
        <v>0</v>
      </c>
      <c r="M18" s="41">
        <v>1200000</v>
      </c>
      <c r="N18" s="41">
        <f t="shared" si="5"/>
        <v>58592000</v>
      </c>
    </row>
    <row r="19" spans="1:15">
      <c r="B19" s="4" t="s">
        <v>16</v>
      </c>
      <c r="I19" s="41">
        <v>250521000</v>
      </c>
      <c r="J19" s="41">
        <v>1361000</v>
      </c>
      <c r="K19" s="41">
        <v>-2201000</v>
      </c>
      <c r="L19" s="41">
        <v>91000</v>
      </c>
      <c r="M19" s="41">
        <v>88000</v>
      </c>
      <c r="N19" s="41">
        <f t="shared" si="5"/>
        <v>249860000</v>
      </c>
    </row>
    <row r="20" spans="1:15">
      <c r="B20" s="4" t="s">
        <v>18</v>
      </c>
      <c r="I20" s="41">
        <v>2924471000</v>
      </c>
      <c r="J20" s="41">
        <v>0</v>
      </c>
      <c r="K20" s="41">
        <v>0</v>
      </c>
      <c r="L20" s="41">
        <v>71007000</v>
      </c>
      <c r="M20" s="41">
        <v>0</v>
      </c>
      <c r="N20" s="41">
        <f t="shared" si="5"/>
        <v>2995478000</v>
      </c>
    </row>
    <row r="21" spans="1:15">
      <c r="C21" s="3" t="s">
        <v>19</v>
      </c>
      <c r="I21" s="58">
        <f>SUM(I16:I20)</f>
        <v>3790757000</v>
      </c>
      <c r="J21" s="58">
        <f>SUM(J16:J20)</f>
        <v>5827000</v>
      </c>
      <c r="K21" s="58">
        <f>SUM(K16:K20)</f>
        <v>-6550000</v>
      </c>
      <c r="L21" s="58">
        <f t="shared" ref="L21:N21" si="6">SUM(L16:L20)</f>
        <v>81158000</v>
      </c>
      <c r="M21" s="58">
        <f t="shared" si="6"/>
        <v>1288000</v>
      </c>
      <c r="N21" s="58">
        <f t="shared" si="6"/>
        <v>3872480000</v>
      </c>
    </row>
    <row r="22" spans="1:15">
      <c r="A22" s="4" t="s">
        <v>20</v>
      </c>
    </row>
    <row r="23" spans="1:15">
      <c r="B23" s="4" t="s">
        <v>27</v>
      </c>
      <c r="I23" s="41">
        <v>-159176000</v>
      </c>
      <c r="J23" s="41">
        <v>-10016000</v>
      </c>
      <c r="K23" s="41">
        <v>0</v>
      </c>
      <c r="L23" s="41">
        <v>0</v>
      </c>
      <c r="M23" s="41">
        <v>0</v>
      </c>
      <c r="N23" s="41">
        <f>SUM(I23:M23)</f>
        <v>-169192000</v>
      </c>
      <c r="O23" s="41">
        <f>SUM(N23,N16)</f>
        <v>211796000</v>
      </c>
    </row>
    <row r="24" spans="1:15">
      <c r="B24" s="4" t="s">
        <v>28</v>
      </c>
      <c r="I24" s="41">
        <v>-69203000</v>
      </c>
      <c r="J24" s="41">
        <v>-7387000</v>
      </c>
      <c r="K24" s="41">
        <v>0</v>
      </c>
      <c r="L24" s="41">
        <v>0</v>
      </c>
      <c r="M24" s="41">
        <v>0</v>
      </c>
      <c r="N24" s="41">
        <f t="shared" ref="N24:N27" si="7">SUM(I24:M24)</f>
        <v>-76590000</v>
      </c>
      <c r="O24" s="41">
        <f t="shared" ref="O24:O27" si="8">SUM(N24,N17)</f>
        <v>110972000</v>
      </c>
    </row>
    <row r="25" spans="1:15">
      <c r="B25" s="4" t="s">
        <v>30</v>
      </c>
      <c r="I25" s="41">
        <v>-41672000</v>
      </c>
      <c r="J25" s="41">
        <v>-5652000</v>
      </c>
      <c r="K25" s="41">
        <v>4254000</v>
      </c>
      <c r="L25" s="41">
        <v>0</v>
      </c>
      <c r="M25" s="41">
        <v>-1183000</v>
      </c>
      <c r="N25" s="41">
        <f t="shared" si="7"/>
        <v>-44253000</v>
      </c>
      <c r="O25" s="41">
        <f t="shared" si="8"/>
        <v>14339000</v>
      </c>
    </row>
    <row r="26" spans="1:15">
      <c r="B26" s="4" t="s">
        <v>16</v>
      </c>
      <c r="I26" s="41">
        <v>-202856000</v>
      </c>
      <c r="J26" s="41">
        <v>-3932000</v>
      </c>
      <c r="K26" s="41">
        <v>2111000</v>
      </c>
      <c r="L26" s="41">
        <v>0</v>
      </c>
      <c r="M26" s="41">
        <v>-73000</v>
      </c>
      <c r="N26" s="41">
        <f t="shared" si="7"/>
        <v>-204750000</v>
      </c>
      <c r="O26" s="41">
        <f t="shared" si="8"/>
        <v>45110000</v>
      </c>
    </row>
    <row r="27" spans="1:15">
      <c r="B27" s="4" t="s">
        <v>18</v>
      </c>
      <c r="I27" s="41">
        <v>-2420867000</v>
      </c>
      <c r="J27" s="41">
        <v>-26007000</v>
      </c>
      <c r="K27" s="41">
        <v>0</v>
      </c>
      <c r="L27" s="41">
        <v>0</v>
      </c>
      <c r="M27" s="41">
        <v>0</v>
      </c>
      <c r="N27" s="41">
        <f t="shared" si="7"/>
        <v>-2446874000</v>
      </c>
      <c r="O27" s="41">
        <f t="shared" si="8"/>
        <v>548604000</v>
      </c>
    </row>
    <row r="28" spans="1:15">
      <c r="A28" s="3"/>
      <c r="B28" s="3"/>
      <c r="C28" s="3" t="s">
        <v>21</v>
      </c>
      <c r="D28" s="3"/>
      <c r="E28" s="3"/>
      <c r="F28" s="3"/>
      <c r="G28" s="3"/>
      <c r="H28" s="3"/>
      <c r="I28" s="50">
        <f>SUM(I23:I27)</f>
        <v>-2893774000</v>
      </c>
      <c r="J28" s="50">
        <f t="shared" ref="J28:N28" si="9">SUM(J23:J27)</f>
        <v>-52994000</v>
      </c>
      <c r="K28" s="50">
        <f t="shared" si="9"/>
        <v>6365000</v>
      </c>
      <c r="L28" s="50">
        <f t="shared" si="9"/>
        <v>0</v>
      </c>
      <c r="M28" s="50">
        <f t="shared" si="9"/>
        <v>-1256000</v>
      </c>
      <c r="N28" s="50">
        <f t="shared" si="9"/>
        <v>-2941659000</v>
      </c>
      <c r="O28" s="3"/>
    </row>
    <row r="29" spans="1:15">
      <c r="A29" s="3"/>
      <c r="B29" s="3" t="s">
        <v>22</v>
      </c>
      <c r="C29" s="3"/>
      <c r="D29" s="3"/>
      <c r="E29" s="3"/>
      <c r="F29" s="3"/>
      <c r="G29" s="3"/>
      <c r="H29" s="3"/>
      <c r="I29" s="50">
        <f>I21-I28</f>
        <v>6684531000</v>
      </c>
      <c r="J29" s="50">
        <f t="shared" ref="J29:M29" si="10">J21-J28</f>
        <v>58821000</v>
      </c>
      <c r="K29" s="50">
        <f t="shared" si="10"/>
        <v>-12915000</v>
      </c>
      <c r="L29" s="50">
        <f t="shared" si="10"/>
        <v>81158000</v>
      </c>
      <c r="M29" s="50">
        <f t="shared" si="10"/>
        <v>2544000</v>
      </c>
      <c r="N29" s="50">
        <f>SUM(N28,N21)</f>
        <v>930821000</v>
      </c>
      <c r="O29" s="3"/>
    </row>
    <row r="30" spans="1:15" ht="19.5" thickBot="1">
      <c r="B30" s="3" t="s">
        <v>23</v>
      </c>
      <c r="I30" s="59">
        <f>I13+I29</f>
        <v>6906453000</v>
      </c>
      <c r="J30" s="59">
        <f t="shared" ref="J30:N30" si="11">J13+J29</f>
        <v>170007000</v>
      </c>
      <c r="K30" s="59">
        <f t="shared" si="11"/>
        <v>-12915000</v>
      </c>
      <c r="L30" s="59">
        <f t="shared" si="11"/>
        <v>0</v>
      </c>
      <c r="M30" s="59">
        <f t="shared" si="11"/>
        <v>-6225000</v>
      </c>
      <c r="N30" s="59">
        <f t="shared" si="11"/>
        <v>1174002000</v>
      </c>
      <c r="O30" s="41">
        <f>SUM(O23:O27,O11:O12)</f>
        <v>1174002000</v>
      </c>
    </row>
    <row r="31" spans="1:15">
      <c r="B31" s="3"/>
      <c r="I31" s="44"/>
      <c r="J31" s="44"/>
      <c r="K31" s="44"/>
      <c r="L31" s="44"/>
      <c r="M31" s="44"/>
      <c r="N31" s="44"/>
    </row>
    <row r="33" spans="1:15" ht="56.25">
      <c r="I33" s="108" t="s">
        <v>3</v>
      </c>
      <c r="J33" s="108" t="s">
        <v>4</v>
      </c>
      <c r="K33" s="108" t="s">
        <v>5</v>
      </c>
      <c r="L33" s="108" t="s">
        <v>213</v>
      </c>
      <c r="M33" s="108" t="s">
        <v>214</v>
      </c>
      <c r="N33" s="108" t="s">
        <v>6</v>
      </c>
    </row>
    <row r="34" spans="1:15">
      <c r="I34" s="43"/>
      <c r="J34" s="43"/>
      <c r="K34" s="43"/>
      <c r="L34" s="43"/>
      <c r="M34" s="43"/>
      <c r="N34" s="43"/>
    </row>
    <row r="35" spans="1:15">
      <c r="A35" s="3" t="s">
        <v>71</v>
      </c>
      <c r="B35" s="3"/>
      <c r="C35" s="3"/>
      <c r="D35" s="3"/>
      <c r="E35" s="3"/>
      <c r="F35" s="3"/>
    </row>
    <row r="36" spans="1:15">
      <c r="A36" s="3" t="s">
        <v>72</v>
      </c>
      <c r="B36" s="3"/>
      <c r="C36" s="3"/>
      <c r="D36" s="3"/>
      <c r="E36" s="3"/>
      <c r="F36" s="3"/>
    </row>
    <row r="37" spans="1:15">
      <c r="B37" s="4" t="s">
        <v>76</v>
      </c>
      <c r="I37" s="41">
        <v>13591000</v>
      </c>
      <c r="J37" s="41">
        <v>0</v>
      </c>
      <c r="K37" s="41">
        <v>0</v>
      </c>
      <c r="L37" s="41">
        <v>0</v>
      </c>
      <c r="M37" s="41">
        <v>0</v>
      </c>
      <c r="N37" s="41">
        <f>SUM(I37:M37)</f>
        <v>13591000</v>
      </c>
      <c r="O37" s="41">
        <f>SUM(N37)</f>
        <v>13591000</v>
      </c>
    </row>
    <row r="38" spans="1:15">
      <c r="B38" s="4" t="s">
        <v>12</v>
      </c>
      <c r="I38" s="41">
        <v>5768000</v>
      </c>
      <c r="J38" s="41">
        <v>13409000</v>
      </c>
      <c r="K38" s="41">
        <v>0</v>
      </c>
      <c r="L38" s="41">
        <v>-16065000</v>
      </c>
      <c r="M38" s="41">
        <v>0</v>
      </c>
      <c r="N38" s="41">
        <f>SUM(I38:M38)</f>
        <v>3112000</v>
      </c>
      <c r="O38" s="41">
        <f>SUM(N38)</f>
        <v>3112000</v>
      </c>
    </row>
    <row r="39" spans="1:15">
      <c r="A39" s="3"/>
      <c r="B39" s="3"/>
      <c r="C39" s="3" t="s">
        <v>13</v>
      </c>
      <c r="D39" s="3"/>
      <c r="E39" s="3"/>
      <c r="F39" s="3"/>
      <c r="G39" s="3"/>
      <c r="I39" s="57">
        <f>SUM(I37:I38)</f>
        <v>19359000</v>
      </c>
      <c r="J39" s="57">
        <f t="shared" ref="J39:N39" si="12">SUM(J37:J38)</f>
        <v>13409000</v>
      </c>
      <c r="K39" s="57">
        <f t="shared" si="12"/>
        <v>0</v>
      </c>
      <c r="L39" s="57">
        <f t="shared" si="12"/>
        <v>-16065000</v>
      </c>
      <c r="M39" s="57">
        <f t="shared" si="12"/>
        <v>0</v>
      </c>
      <c r="N39" s="57">
        <f t="shared" si="12"/>
        <v>16703000</v>
      </c>
    </row>
    <row r="41" spans="1:15">
      <c r="A41" s="3" t="s">
        <v>14</v>
      </c>
    </row>
    <row r="42" spans="1:15">
      <c r="A42" s="3"/>
      <c r="B42" s="4" t="s">
        <v>27</v>
      </c>
      <c r="I42" s="41">
        <v>23293000</v>
      </c>
      <c r="J42" s="41">
        <v>0</v>
      </c>
      <c r="K42" s="41">
        <v>0</v>
      </c>
      <c r="L42" s="41">
        <v>0</v>
      </c>
      <c r="M42" s="41">
        <v>0</v>
      </c>
      <c r="N42" s="41">
        <f>SUM(I42:M42)</f>
        <v>23293000</v>
      </c>
    </row>
    <row r="43" spans="1:15">
      <c r="A43" s="3"/>
      <c r="B43" s="4" t="s">
        <v>215</v>
      </c>
      <c r="I43" s="41">
        <v>609135000</v>
      </c>
      <c r="J43" s="41">
        <v>0</v>
      </c>
      <c r="K43" s="41">
        <v>0</v>
      </c>
      <c r="L43" s="41">
        <v>16065000</v>
      </c>
      <c r="M43" s="41">
        <v>3462000</v>
      </c>
      <c r="N43" s="41">
        <f t="shared" ref="N43:N47" si="13">SUM(I43:M43)</f>
        <v>628662000</v>
      </c>
    </row>
    <row r="44" spans="1:15">
      <c r="A44" s="3"/>
      <c r="B44" s="4" t="s">
        <v>216</v>
      </c>
      <c r="I44" s="41">
        <v>260269000</v>
      </c>
      <c r="J44" s="41">
        <v>0</v>
      </c>
      <c r="K44" s="41">
        <v>0</v>
      </c>
      <c r="L44" s="41">
        <v>0</v>
      </c>
      <c r="M44" s="41">
        <v>0</v>
      </c>
      <c r="N44" s="41">
        <f t="shared" si="13"/>
        <v>260269000</v>
      </c>
    </row>
    <row r="45" spans="1:15">
      <c r="A45" s="3"/>
      <c r="B45" s="4" t="s">
        <v>28</v>
      </c>
      <c r="I45" s="41">
        <v>10449000</v>
      </c>
      <c r="J45" s="41">
        <v>0</v>
      </c>
      <c r="K45" s="41">
        <v>0</v>
      </c>
      <c r="L45" s="41">
        <v>0</v>
      </c>
      <c r="M45" s="41">
        <v>5307000</v>
      </c>
      <c r="N45" s="41">
        <f t="shared" si="13"/>
        <v>15756000</v>
      </c>
    </row>
    <row r="46" spans="1:15">
      <c r="B46" s="4" t="s">
        <v>16</v>
      </c>
      <c r="I46" s="41">
        <v>8847000</v>
      </c>
      <c r="J46" s="41">
        <v>28000</v>
      </c>
      <c r="K46" s="41">
        <v>-38000</v>
      </c>
      <c r="L46" s="41">
        <v>0</v>
      </c>
      <c r="M46" s="41">
        <v>-58000</v>
      </c>
      <c r="N46" s="41">
        <f t="shared" si="13"/>
        <v>8779000</v>
      </c>
    </row>
    <row r="47" spans="1:15">
      <c r="B47" s="4" t="s">
        <v>30</v>
      </c>
      <c r="I47" s="41">
        <v>11488000</v>
      </c>
      <c r="J47" s="41">
        <v>939000</v>
      </c>
      <c r="K47" s="41">
        <v>-93000</v>
      </c>
      <c r="L47" s="41">
        <v>0</v>
      </c>
      <c r="M47" s="41">
        <v>-688000</v>
      </c>
      <c r="N47" s="41">
        <f t="shared" si="13"/>
        <v>11646000</v>
      </c>
    </row>
    <row r="48" spans="1:15">
      <c r="C48" s="3" t="s">
        <v>19</v>
      </c>
      <c r="I48" s="57">
        <f>SUM(I42:I47)</f>
        <v>923481000</v>
      </c>
      <c r="J48" s="57">
        <f t="shared" ref="J48:N48" si="14">SUM(J42:J47)</f>
        <v>967000</v>
      </c>
      <c r="K48" s="57">
        <f t="shared" si="14"/>
        <v>-131000</v>
      </c>
      <c r="L48" s="57">
        <f t="shared" si="14"/>
        <v>16065000</v>
      </c>
      <c r="M48" s="57">
        <f t="shared" si="14"/>
        <v>8023000</v>
      </c>
      <c r="N48" s="57">
        <f t="shared" si="14"/>
        <v>948405000</v>
      </c>
    </row>
    <row r="49" spans="1:15">
      <c r="A49" s="4" t="s">
        <v>20</v>
      </c>
    </row>
    <row r="50" spans="1:15">
      <c r="B50" s="4" t="s">
        <v>27</v>
      </c>
      <c r="I50" s="41">
        <v>-9558000</v>
      </c>
      <c r="J50" s="41">
        <v>-434000</v>
      </c>
      <c r="K50" s="41">
        <v>0</v>
      </c>
      <c r="L50" s="41">
        <v>0</v>
      </c>
      <c r="M50" s="41">
        <v>0</v>
      </c>
      <c r="N50" s="41">
        <f>SUM(I50:M50)</f>
        <v>-9992000</v>
      </c>
      <c r="O50" s="41">
        <f>SUM(N50,N42)</f>
        <v>13301000</v>
      </c>
    </row>
    <row r="51" spans="1:15">
      <c r="B51" s="4" t="s">
        <v>215</v>
      </c>
      <c r="I51" s="41">
        <v>-257879000</v>
      </c>
      <c r="J51" s="41">
        <v>-13984000</v>
      </c>
      <c r="K51" s="41">
        <v>0</v>
      </c>
      <c r="L51" s="41">
        <v>0</v>
      </c>
      <c r="M51" s="41">
        <v>0</v>
      </c>
      <c r="N51" s="41">
        <f t="shared" ref="N51:N55" si="15">SUM(I51:M51)</f>
        <v>-271863000</v>
      </c>
      <c r="O51" s="41">
        <f t="shared" ref="O51:O55" si="16">SUM(N51,N43)</f>
        <v>356799000</v>
      </c>
    </row>
    <row r="52" spans="1:15">
      <c r="B52" s="4" t="s">
        <v>216</v>
      </c>
      <c r="I52" s="41">
        <v>-109585000</v>
      </c>
      <c r="J52" s="41">
        <v>-5845000</v>
      </c>
      <c r="K52" s="41">
        <v>0</v>
      </c>
      <c r="L52" s="41">
        <v>0</v>
      </c>
      <c r="M52" s="41">
        <v>0</v>
      </c>
      <c r="N52" s="41">
        <f t="shared" si="15"/>
        <v>-115430000</v>
      </c>
      <c r="O52" s="41">
        <f t="shared" si="16"/>
        <v>144839000</v>
      </c>
    </row>
    <row r="53" spans="1:15">
      <c r="B53" s="4" t="s">
        <v>28</v>
      </c>
      <c r="I53" s="41">
        <v>-4322000</v>
      </c>
      <c r="J53" s="41">
        <v>-512000</v>
      </c>
      <c r="K53" s="41">
        <v>0</v>
      </c>
      <c r="L53" s="41">
        <v>0</v>
      </c>
      <c r="M53" s="41">
        <v>0</v>
      </c>
      <c r="N53" s="41">
        <f t="shared" si="15"/>
        <v>-4834000</v>
      </c>
      <c r="O53" s="41">
        <f t="shared" si="16"/>
        <v>10922000</v>
      </c>
    </row>
    <row r="54" spans="1:15">
      <c r="B54" s="4" t="s">
        <v>16</v>
      </c>
      <c r="I54" s="41">
        <v>-7779000</v>
      </c>
      <c r="J54" s="41">
        <v>-351000</v>
      </c>
      <c r="K54" s="41">
        <v>38000</v>
      </c>
      <c r="L54" s="41">
        <v>0</v>
      </c>
      <c r="M54" s="41">
        <v>76000</v>
      </c>
      <c r="N54" s="41">
        <f t="shared" si="15"/>
        <v>-8016000</v>
      </c>
      <c r="O54" s="41">
        <f t="shared" si="16"/>
        <v>763000</v>
      </c>
    </row>
    <row r="55" spans="1:15">
      <c r="B55" s="4" t="s">
        <v>30</v>
      </c>
      <c r="I55" s="41">
        <v>-8378000</v>
      </c>
      <c r="J55" s="41">
        <v>-1186000</v>
      </c>
      <c r="K55" s="41">
        <v>93000</v>
      </c>
      <c r="L55" s="41">
        <v>0</v>
      </c>
      <c r="M55" s="41">
        <v>1155000</v>
      </c>
      <c r="N55" s="41">
        <f t="shared" si="15"/>
        <v>-8316000</v>
      </c>
      <c r="O55" s="41">
        <f t="shared" si="16"/>
        <v>3330000</v>
      </c>
    </row>
    <row r="56" spans="1:15">
      <c r="A56" s="3"/>
      <c r="B56" s="3"/>
      <c r="C56" s="3" t="s">
        <v>21</v>
      </c>
      <c r="D56" s="3"/>
      <c r="E56" s="3"/>
      <c r="F56" s="3"/>
      <c r="G56" s="3"/>
      <c r="I56" s="57">
        <f>SUM(I50:I55)</f>
        <v>-397501000</v>
      </c>
      <c r="J56" s="57">
        <f t="shared" ref="J56:N56" si="17">SUM(J50:J55)</f>
        <v>-22312000</v>
      </c>
      <c r="K56" s="57">
        <f t="shared" si="17"/>
        <v>131000</v>
      </c>
      <c r="L56" s="57">
        <f t="shared" si="17"/>
        <v>0</v>
      </c>
      <c r="M56" s="57">
        <f t="shared" si="17"/>
        <v>1231000</v>
      </c>
      <c r="N56" s="57">
        <f t="shared" si="17"/>
        <v>-418451000</v>
      </c>
    </row>
    <row r="57" spans="1:15">
      <c r="A57" s="3"/>
      <c r="B57" s="3" t="s">
        <v>22</v>
      </c>
      <c r="C57" s="3"/>
      <c r="D57" s="3"/>
      <c r="E57" s="3"/>
      <c r="F57" s="3"/>
      <c r="G57" s="3"/>
      <c r="I57" s="57">
        <f t="shared" ref="I57:J57" si="18">SUM(I56,I48)</f>
        <v>525980000</v>
      </c>
      <c r="J57" s="57">
        <f t="shared" si="18"/>
        <v>-21345000</v>
      </c>
      <c r="K57" s="57">
        <f>SUM(K56,K48)</f>
        <v>0</v>
      </c>
      <c r="L57" s="57">
        <f t="shared" ref="L57" si="19">SUM(L56,L48)</f>
        <v>16065000</v>
      </c>
      <c r="M57" s="57">
        <f t="shared" ref="M57" si="20">SUM(M56,M48)</f>
        <v>9254000</v>
      </c>
      <c r="N57" s="57">
        <f>SUM(N56,N48)</f>
        <v>529954000</v>
      </c>
    </row>
    <row r="58" spans="1:15" ht="19.5" thickBot="1">
      <c r="B58" s="3" t="s">
        <v>41</v>
      </c>
      <c r="I58" s="59">
        <f>I39+I57</f>
        <v>545339000</v>
      </c>
      <c r="J58" s="59">
        <f t="shared" ref="J58:N58" si="21">J39+J57</f>
        <v>-7936000</v>
      </c>
      <c r="K58" s="59">
        <f t="shared" si="21"/>
        <v>0</v>
      </c>
      <c r="L58" s="59">
        <f t="shared" si="21"/>
        <v>0</v>
      </c>
      <c r="M58" s="59">
        <f t="shared" si="21"/>
        <v>9254000</v>
      </c>
      <c r="N58" s="59">
        <f t="shared" si="21"/>
        <v>546657000</v>
      </c>
      <c r="O58" s="41">
        <f>SUM(O50:O55,O37:O38)</f>
        <v>546657000</v>
      </c>
    </row>
  </sheetData>
  <mergeCells count="3">
    <mergeCell ref="D1:I1"/>
    <mergeCell ref="D2:I2"/>
    <mergeCell ref="D3:I3"/>
  </mergeCells>
  <phoneticPr fontId="15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50"/>
  <sheetViews>
    <sheetView zoomScale="90" zoomScaleNormal="90" workbookViewId="0">
      <selection activeCell="M51" sqref="M51"/>
    </sheetView>
  </sheetViews>
  <sheetFormatPr defaultColWidth="8.85546875" defaultRowHeight="18.75"/>
  <cols>
    <col min="1" max="1" width="4.42578125" style="4" customWidth="1"/>
    <col min="2" max="3" width="4.7109375" style="4" customWidth="1"/>
    <col min="4" max="6" width="8.85546875" style="4"/>
    <col min="7" max="7" width="14.28515625" style="4" bestFit="1" customWidth="1"/>
    <col min="8" max="8" width="12.7109375" style="4" bestFit="1" customWidth="1"/>
    <col min="9" max="9" width="20.5703125" style="41" bestFit="1" customWidth="1"/>
    <col min="10" max="10" width="17.5703125" style="41" bestFit="1" customWidth="1"/>
    <col min="11" max="11" width="16.85546875" style="41" customWidth="1"/>
    <col min="12" max="12" width="20.85546875" style="41" customWidth="1"/>
    <col min="13" max="13" width="18.140625" style="4" customWidth="1"/>
    <col min="14" max="16384" width="8.85546875" style="4"/>
  </cols>
  <sheetData>
    <row r="1" spans="1:13">
      <c r="D1" s="109" t="s">
        <v>217</v>
      </c>
      <c r="E1" s="109"/>
      <c r="F1" s="109"/>
      <c r="G1" s="109"/>
      <c r="H1" s="109"/>
      <c r="I1" s="109"/>
    </row>
    <row r="2" spans="1:13">
      <c r="D2" s="109" t="s">
        <v>1</v>
      </c>
      <c r="E2" s="109"/>
      <c r="F2" s="109"/>
      <c r="G2" s="109"/>
      <c r="H2" s="109"/>
      <c r="I2" s="109"/>
    </row>
    <row r="3" spans="1:13">
      <c r="D3" s="109" t="s">
        <v>2</v>
      </c>
      <c r="E3" s="109"/>
      <c r="F3" s="109"/>
      <c r="G3" s="109"/>
      <c r="H3" s="109"/>
      <c r="I3" s="109"/>
    </row>
    <row r="4" spans="1:13" ht="14.25" customHeight="1">
      <c r="D4" s="107"/>
      <c r="E4" s="107"/>
      <c r="F4" s="107"/>
      <c r="G4" s="107"/>
      <c r="H4" s="107"/>
      <c r="I4" s="42"/>
    </row>
    <row r="5" spans="1:13" ht="60.75" customHeight="1">
      <c r="I5" s="53" t="s">
        <v>3</v>
      </c>
      <c r="J5" s="53" t="s">
        <v>4</v>
      </c>
      <c r="K5" s="53" t="s">
        <v>5</v>
      </c>
      <c r="L5" s="53" t="s">
        <v>6</v>
      </c>
      <c r="M5" s="53" t="s">
        <v>7</v>
      </c>
    </row>
    <row r="6" spans="1:13">
      <c r="I6" s="65"/>
      <c r="J6" s="65"/>
      <c r="K6" s="65"/>
      <c r="L6" s="65"/>
    </row>
    <row r="7" spans="1:13">
      <c r="A7" s="3" t="s">
        <v>158</v>
      </c>
      <c r="B7" s="3"/>
      <c r="C7" s="3"/>
      <c r="D7" s="3"/>
      <c r="E7" s="3"/>
      <c r="F7" s="3"/>
    </row>
    <row r="8" spans="1:13">
      <c r="A8" s="3" t="s">
        <v>9</v>
      </c>
      <c r="B8" s="3"/>
      <c r="C8" s="3"/>
      <c r="D8" s="3"/>
      <c r="E8" s="3"/>
      <c r="F8" s="3"/>
    </row>
    <row r="9" spans="1:13">
      <c r="A9" s="3" t="s">
        <v>10</v>
      </c>
      <c r="B9" s="3"/>
      <c r="C9" s="3"/>
      <c r="D9" s="3"/>
      <c r="E9" s="3"/>
      <c r="F9" s="3"/>
    </row>
    <row r="10" spans="1:13">
      <c r="B10" s="4" t="s">
        <v>11</v>
      </c>
      <c r="I10" s="41">
        <v>477208</v>
      </c>
      <c r="J10" s="41">
        <v>0</v>
      </c>
      <c r="K10" s="41">
        <v>0</v>
      </c>
      <c r="L10" s="41">
        <f>SUM(I10:K10)</f>
        <v>477208</v>
      </c>
      <c r="M10" s="41">
        <f>SUM(L10)</f>
        <v>477208</v>
      </c>
    </row>
    <row r="11" spans="1:13">
      <c r="A11" s="3"/>
      <c r="B11" s="3"/>
      <c r="C11" s="3" t="s">
        <v>13</v>
      </c>
      <c r="D11" s="3"/>
      <c r="E11" s="3"/>
      <c r="F11" s="3"/>
      <c r="G11" s="3"/>
      <c r="H11" s="3"/>
      <c r="I11" s="57">
        <f>SUM(I10:I10)</f>
        <v>477208</v>
      </c>
      <c r="J11" s="57">
        <f>SUM(J10:J10)</f>
        <v>0</v>
      </c>
      <c r="K11" s="57">
        <f>SUM(K10:K10)</f>
        <v>0</v>
      </c>
      <c r="L11" s="57">
        <f>SUM(L10:L10)</f>
        <v>477208</v>
      </c>
      <c r="M11" s="3"/>
    </row>
    <row r="13" spans="1:13">
      <c r="A13" s="3" t="s">
        <v>14</v>
      </c>
    </row>
    <row r="14" spans="1:13">
      <c r="A14" s="3"/>
      <c r="B14" s="4" t="s">
        <v>218</v>
      </c>
      <c r="I14" s="41">
        <v>76971471</v>
      </c>
      <c r="J14" s="41">
        <v>271974</v>
      </c>
      <c r="K14" s="41">
        <v>0</v>
      </c>
      <c r="L14" s="41">
        <f t="shared" ref="L14:L19" si="0">SUM(I14:K14)</f>
        <v>77243445</v>
      </c>
    </row>
    <row r="15" spans="1:13">
      <c r="A15" s="3"/>
      <c r="B15" s="4" t="s">
        <v>15</v>
      </c>
      <c r="I15" s="41">
        <v>1971980</v>
      </c>
      <c r="J15" s="41">
        <v>426774</v>
      </c>
      <c r="K15" s="41">
        <v>-10925</v>
      </c>
      <c r="L15" s="41">
        <f t="shared" si="0"/>
        <v>2387829</v>
      </c>
    </row>
    <row r="16" spans="1:13">
      <c r="A16" s="3"/>
      <c r="B16" s="4" t="s">
        <v>66</v>
      </c>
      <c r="I16" s="41">
        <v>324575</v>
      </c>
      <c r="J16" s="41">
        <v>25610</v>
      </c>
      <c r="K16" s="41">
        <v>-2900</v>
      </c>
      <c r="L16" s="41">
        <f t="shared" si="0"/>
        <v>347285</v>
      </c>
    </row>
    <row r="17" spans="1:13">
      <c r="A17" s="3"/>
      <c r="B17" s="4" t="s">
        <v>58</v>
      </c>
      <c r="I17" s="41">
        <v>2650998</v>
      </c>
      <c r="J17" s="41">
        <v>336679</v>
      </c>
      <c r="K17" s="41">
        <v>-630604</v>
      </c>
      <c r="L17" s="41">
        <f t="shared" si="0"/>
        <v>2357073</v>
      </c>
    </row>
    <row r="18" spans="1:13">
      <c r="B18" s="4" t="s">
        <v>162</v>
      </c>
      <c r="I18" s="41">
        <v>285625</v>
      </c>
      <c r="J18" s="41">
        <v>6000</v>
      </c>
      <c r="K18" s="41">
        <v>-190377</v>
      </c>
      <c r="L18" s="41">
        <f t="shared" si="0"/>
        <v>101248</v>
      </c>
    </row>
    <row r="19" spans="1:13">
      <c r="B19" s="4" t="s">
        <v>30</v>
      </c>
      <c r="I19" s="41">
        <v>302197</v>
      </c>
      <c r="J19" s="41">
        <v>0</v>
      </c>
      <c r="K19" s="41">
        <v>-5000</v>
      </c>
      <c r="L19" s="41">
        <f t="shared" si="0"/>
        <v>297197</v>
      </c>
    </row>
    <row r="20" spans="1:13">
      <c r="C20" s="3" t="s">
        <v>19</v>
      </c>
      <c r="I20" s="58">
        <f>SUM(I14:I19)</f>
        <v>82506846</v>
      </c>
      <c r="J20" s="58">
        <f>SUM(J14:J19)</f>
        <v>1067037</v>
      </c>
      <c r="K20" s="58">
        <f>SUM(K14:K19)</f>
        <v>-839806</v>
      </c>
      <c r="L20" s="58">
        <f t="shared" ref="L20" si="1">SUM(L14:L19)</f>
        <v>82734077</v>
      </c>
    </row>
    <row r="21" spans="1:13">
      <c r="C21" s="3"/>
      <c r="I21" s="58"/>
      <c r="J21" s="58"/>
      <c r="K21" s="58"/>
      <c r="L21" s="58"/>
    </row>
    <row r="22" spans="1:13" ht="19.5" thickBot="1">
      <c r="B22" s="3" t="s">
        <v>23</v>
      </c>
      <c r="I22" s="59">
        <f>I20+I11</f>
        <v>82984054</v>
      </c>
      <c r="J22" s="59">
        <f t="shared" ref="J22:L22" si="2">J20+J11</f>
        <v>1067037</v>
      </c>
      <c r="K22" s="59">
        <f t="shared" si="2"/>
        <v>-839806</v>
      </c>
      <c r="L22" s="59">
        <f t="shared" si="2"/>
        <v>83211285</v>
      </c>
      <c r="M22" s="41"/>
    </row>
    <row r="23" spans="1:13">
      <c r="B23" s="3"/>
      <c r="I23" s="44"/>
      <c r="J23" s="44"/>
      <c r="K23" s="44"/>
      <c r="L23" s="44"/>
    </row>
    <row r="25" spans="1:13" ht="37.5">
      <c r="I25" s="108" t="s">
        <v>3</v>
      </c>
      <c r="J25" s="108" t="s">
        <v>4</v>
      </c>
      <c r="K25" s="108" t="s">
        <v>5</v>
      </c>
      <c r="L25" s="108" t="s">
        <v>6</v>
      </c>
    </row>
    <row r="26" spans="1:13">
      <c r="A26" s="3" t="s">
        <v>112</v>
      </c>
      <c r="B26" s="3"/>
      <c r="C26" s="3"/>
      <c r="D26" s="3"/>
      <c r="E26" s="3"/>
      <c r="F26" s="3"/>
    </row>
    <row r="27" spans="1:13">
      <c r="A27" s="3" t="s">
        <v>72</v>
      </c>
      <c r="B27" s="3"/>
      <c r="C27" s="3"/>
      <c r="D27" s="3"/>
      <c r="E27" s="3"/>
      <c r="F27" s="3"/>
    </row>
    <row r="28" spans="1:13">
      <c r="B28" s="4" t="s">
        <v>11</v>
      </c>
      <c r="I28" s="41">
        <v>23810</v>
      </c>
      <c r="J28" s="41">
        <v>0</v>
      </c>
      <c r="K28" s="41">
        <v>0</v>
      </c>
      <c r="L28" s="41">
        <f>SUM(I28:K28)</f>
        <v>23810</v>
      </c>
      <c r="M28" s="41">
        <f>SUM(L28)</f>
        <v>23810</v>
      </c>
    </row>
    <row r="29" spans="1:13">
      <c r="B29" s="4" t="s">
        <v>12</v>
      </c>
      <c r="I29" s="41">
        <v>136855</v>
      </c>
      <c r="J29" s="41">
        <v>517483</v>
      </c>
      <c r="K29" s="41">
        <v>-654338</v>
      </c>
      <c r="L29" s="41">
        <f>SUM(I29:K29)</f>
        <v>0</v>
      </c>
      <c r="M29" s="41">
        <f>SUM(L29)</f>
        <v>0</v>
      </c>
    </row>
    <row r="30" spans="1:13">
      <c r="A30" s="3"/>
      <c r="B30" s="3"/>
      <c r="C30" s="3" t="s">
        <v>13</v>
      </c>
      <c r="D30" s="3"/>
      <c r="E30" s="3"/>
      <c r="F30" s="3"/>
      <c r="G30" s="3"/>
      <c r="I30" s="57">
        <f>SUM(I28:I29)</f>
        <v>160665</v>
      </c>
      <c r="J30" s="57">
        <f t="shared" ref="J30:L30" si="3">SUM(J28:J29)</f>
        <v>517483</v>
      </c>
      <c r="K30" s="57">
        <f t="shared" si="3"/>
        <v>-654338</v>
      </c>
      <c r="L30" s="57">
        <f t="shared" si="3"/>
        <v>23810</v>
      </c>
    </row>
    <row r="32" spans="1:13">
      <c r="A32" s="3" t="s">
        <v>14</v>
      </c>
    </row>
    <row r="33" spans="1:13">
      <c r="A33" s="3"/>
      <c r="B33" s="4" t="s">
        <v>219</v>
      </c>
      <c r="I33" s="41">
        <v>494242</v>
      </c>
      <c r="J33" s="41">
        <v>41577</v>
      </c>
      <c r="K33" s="41">
        <v>-21581</v>
      </c>
      <c r="L33" s="41">
        <f>SUM(I33:K33)</f>
        <v>514238</v>
      </c>
      <c r="M33" s="41">
        <f>L33</f>
        <v>514238</v>
      </c>
    </row>
    <row r="34" spans="1:13">
      <c r="A34" s="3"/>
      <c r="B34" s="4" t="s">
        <v>30</v>
      </c>
      <c r="I34" s="41">
        <v>44382</v>
      </c>
      <c r="J34" s="41">
        <v>0</v>
      </c>
      <c r="K34" s="41">
        <v>0</v>
      </c>
      <c r="L34" s="41">
        <f>SUM(I34:K34)</f>
        <v>44382</v>
      </c>
      <c r="M34" s="41">
        <f>L34</f>
        <v>44382</v>
      </c>
    </row>
    <row r="35" spans="1:13">
      <c r="A35" s="3"/>
      <c r="B35" s="4" t="s">
        <v>27</v>
      </c>
      <c r="I35" s="41">
        <v>308405</v>
      </c>
      <c r="J35" s="41">
        <v>548474</v>
      </c>
      <c r="K35" s="41">
        <v>-43313</v>
      </c>
      <c r="L35" s="41">
        <f>SUM(I35:K35)</f>
        <v>813566</v>
      </c>
      <c r="M35" s="41">
        <f>L35</f>
        <v>813566</v>
      </c>
    </row>
    <row r="36" spans="1:13">
      <c r="A36" s="3"/>
      <c r="B36" s="4" t="s">
        <v>220</v>
      </c>
      <c r="I36" s="41">
        <v>51106</v>
      </c>
      <c r="J36" s="41">
        <v>96056</v>
      </c>
      <c r="K36" s="41">
        <v>-11900</v>
      </c>
      <c r="L36" s="41">
        <f>SUM(I36:K36)</f>
        <v>135262</v>
      </c>
      <c r="M36" s="41">
        <f>L36</f>
        <v>135262</v>
      </c>
    </row>
    <row r="37" spans="1:13">
      <c r="B37" s="4" t="s">
        <v>32</v>
      </c>
      <c r="I37" s="41">
        <v>59378</v>
      </c>
      <c r="J37" s="41">
        <v>11302</v>
      </c>
      <c r="K37" s="41">
        <v>-5609</v>
      </c>
      <c r="L37" s="41">
        <f>SUM(I37:K37)</f>
        <v>65071</v>
      </c>
      <c r="M37" s="41">
        <f>L37</f>
        <v>65071</v>
      </c>
    </row>
    <row r="38" spans="1:13">
      <c r="C38" s="3" t="s">
        <v>221</v>
      </c>
      <c r="I38" s="57">
        <f>SUM(I33:I37)</f>
        <v>957513</v>
      </c>
      <c r="J38" s="57">
        <f>SUM(J33:J37)</f>
        <v>697409</v>
      </c>
      <c r="K38" s="57">
        <f>SUM(K33:K37)</f>
        <v>-82403</v>
      </c>
      <c r="L38" s="57">
        <f>SUM(L33:L37)</f>
        <v>1572519</v>
      </c>
    </row>
    <row r="39" spans="1:13">
      <c r="A39" s="4" t="s">
        <v>20</v>
      </c>
    </row>
    <row r="40" spans="1:13">
      <c r="B40" s="4" t="s">
        <v>99</v>
      </c>
      <c r="I40" s="41">
        <v>-74406368</v>
      </c>
      <c r="J40" s="41">
        <v>-138318</v>
      </c>
      <c r="K40" s="41">
        <v>0</v>
      </c>
      <c r="L40" s="41">
        <f t="shared" ref="L40:L46" si="4">SUM(I40:K40)</f>
        <v>-74544686</v>
      </c>
      <c r="M40" s="41">
        <f t="shared" ref="M40:M45" si="5">L14+L40</f>
        <v>2698759</v>
      </c>
    </row>
    <row r="41" spans="1:13">
      <c r="B41" s="4" t="s">
        <v>15</v>
      </c>
      <c r="I41" s="41">
        <v>-1487424</v>
      </c>
      <c r="J41" s="41">
        <v>-65811</v>
      </c>
      <c r="K41" s="41">
        <v>50720</v>
      </c>
      <c r="L41" s="41">
        <f t="shared" si="4"/>
        <v>-1502515</v>
      </c>
      <c r="M41" s="41">
        <f t="shared" si="5"/>
        <v>885314</v>
      </c>
    </row>
    <row r="42" spans="1:13">
      <c r="B42" s="4" t="s">
        <v>66</v>
      </c>
      <c r="I42" s="41">
        <v>-411694</v>
      </c>
      <c r="J42" s="41">
        <v>-31802</v>
      </c>
      <c r="K42" s="41">
        <v>200225</v>
      </c>
      <c r="L42" s="41">
        <f t="shared" si="4"/>
        <v>-243271</v>
      </c>
      <c r="M42" s="41">
        <f t="shared" si="5"/>
        <v>104014</v>
      </c>
    </row>
    <row r="43" spans="1:13">
      <c r="B43" s="4" t="s">
        <v>58</v>
      </c>
      <c r="I43" s="41">
        <v>-2318606</v>
      </c>
      <c r="J43" s="41">
        <v>-75248</v>
      </c>
      <c r="K43" s="41">
        <v>498870</v>
      </c>
      <c r="L43" s="41">
        <f t="shared" si="4"/>
        <v>-1894984</v>
      </c>
      <c r="M43" s="41">
        <f t="shared" si="5"/>
        <v>462089</v>
      </c>
    </row>
    <row r="44" spans="1:13">
      <c r="B44" s="4" t="s">
        <v>162</v>
      </c>
      <c r="I44" s="41">
        <v>-222123</v>
      </c>
      <c r="J44" s="41">
        <v>-17363</v>
      </c>
      <c r="K44" s="41">
        <v>8506</v>
      </c>
      <c r="L44" s="41">
        <f t="shared" si="4"/>
        <v>-230980</v>
      </c>
      <c r="M44" s="41">
        <f t="shared" si="5"/>
        <v>-129732</v>
      </c>
    </row>
    <row r="45" spans="1:13">
      <c r="B45" s="4" t="s">
        <v>30</v>
      </c>
      <c r="I45" s="41">
        <v>-136532</v>
      </c>
      <c r="J45" s="41">
        <v>-47250</v>
      </c>
      <c r="K45" s="41">
        <v>5000</v>
      </c>
      <c r="L45" s="41">
        <f t="shared" si="4"/>
        <v>-178782</v>
      </c>
      <c r="M45" s="41">
        <f t="shared" si="5"/>
        <v>118415</v>
      </c>
    </row>
    <row r="46" spans="1:13">
      <c r="B46" s="4" t="s">
        <v>219</v>
      </c>
      <c r="I46" s="41">
        <v>-355058</v>
      </c>
      <c r="J46" s="41">
        <v>-32757</v>
      </c>
      <c r="K46" s="41">
        <v>21581</v>
      </c>
      <c r="L46" s="41">
        <f t="shared" si="4"/>
        <v>-366234</v>
      </c>
      <c r="M46" s="41">
        <f>L46</f>
        <v>-366234</v>
      </c>
    </row>
    <row r="47" spans="1:13">
      <c r="A47" s="3"/>
      <c r="B47" s="3"/>
      <c r="C47" s="3" t="s">
        <v>21</v>
      </c>
      <c r="D47" s="3"/>
      <c r="E47" s="3"/>
      <c r="F47" s="3"/>
      <c r="G47" s="3"/>
      <c r="I47" s="57">
        <f>SUM(I40:I46)</f>
        <v>-79337805</v>
      </c>
      <c r="J47" s="57">
        <f>SUM(J40:J46)</f>
        <v>-408549</v>
      </c>
      <c r="K47" s="57">
        <f>SUM(K40:K46)</f>
        <v>784902</v>
      </c>
      <c r="L47" s="57">
        <f>SUM(L40:L46)</f>
        <v>-78961452</v>
      </c>
    </row>
    <row r="48" spans="1:13">
      <c r="A48" s="3"/>
      <c r="B48" s="3" t="s">
        <v>22</v>
      </c>
      <c r="C48" s="3"/>
      <c r="D48" s="3"/>
      <c r="E48" s="3"/>
      <c r="F48" s="3"/>
      <c r="G48" s="3"/>
      <c r="I48" s="57">
        <f>I47+I38+I20</f>
        <v>4126554</v>
      </c>
      <c r="J48" s="57">
        <f t="shared" ref="J48:L48" si="6">J47+J38+J20</f>
        <v>1355897</v>
      </c>
      <c r="K48" s="57">
        <f t="shared" si="6"/>
        <v>-137307</v>
      </c>
      <c r="L48" s="57">
        <f t="shared" si="6"/>
        <v>5345144</v>
      </c>
    </row>
    <row r="49" spans="1:13">
      <c r="A49" s="3"/>
      <c r="B49" s="3"/>
      <c r="C49" s="3"/>
      <c r="D49" s="3"/>
      <c r="E49" s="3"/>
      <c r="F49" s="3"/>
      <c r="G49" s="3"/>
      <c r="I49" s="58"/>
      <c r="J49" s="58"/>
      <c r="K49" s="58"/>
      <c r="L49" s="58"/>
    </row>
    <row r="50" spans="1:13" ht="19.5" thickBot="1">
      <c r="B50" s="3" t="s">
        <v>41</v>
      </c>
      <c r="I50" s="59">
        <f>I48+I30+I11</f>
        <v>4764427</v>
      </c>
      <c r="J50" s="59">
        <f t="shared" ref="J50:L50" si="7">J48+J30+J11</f>
        <v>1873380</v>
      </c>
      <c r="K50" s="59">
        <f t="shared" si="7"/>
        <v>-791645</v>
      </c>
      <c r="L50" s="59">
        <f t="shared" si="7"/>
        <v>5846162</v>
      </c>
      <c r="M50" s="41">
        <f>SUM(M10:M46)</f>
        <v>5846162</v>
      </c>
    </row>
  </sheetData>
  <mergeCells count="3">
    <mergeCell ref="D1:I1"/>
    <mergeCell ref="D2:I2"/>
    <mergeCell ref="D3:I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116"/>
  <sheetViews>
    <sheetView tabSelected="1" topLeftCell="A19" workbookViewId="0">
      <selection activeCell="A34" sqref="A34:XFD34"/>
    </sheetView>
  </sheetViews>
  <sheetFormatPr defaultColWidth="8.85546875" defaultRowHeight="15"/>
  <cols>
    <col min="1" max="1" width="17.85546875" style="93" customWidth="1"/>
    <col min="2" max="2" width="14.28515625" style="94" customWidth="1"/>
    <col min="3" max="3" width="22.85546875" style="94" bestFit="1" customWidth="1"/>
    <col min="4" max="4" width="22.85546875" style="94" customWidth="1"/>
    <col min="5" max="5" width="27.28515625" style="94" bestFit="1" customWidth="1"/>
    <col min="6" max="6" width="33" style="94" bestFit="1" customWidth="1"/>
    <col min="7" max="7" width="24.7109375" style="94" customWidth="1"/>
    <col min="8" max="8" width="30.42578125" style="94" customWidth="1"/>
    <col min="9" max="9" width="20.140625" style="94" customWidth="1"/>
    <col min="10" max="10" width="22.42578125" style="94" customWidth="1"/>
    <col min="11" max="11" width="11.28515625" style="94" customWidth="1"/>
    <col min="12" max="12" width="12.85546875" style="94" customWidth="1"/>
    <col min="13" max="13" width="35" style="94" bestFit="1" customWidth="1"/>
    <col min="14" max="14" width="13.28515625" style="94" bestFit="1" customWidth="1"/>
    <col min="15" max="15" width="25" style="94" customWidth="1"/>
    <col min="16" max="16" width="13.7109375" style="94" customWidth="1"/>
    <col min="17" max="17" width="8.85546875" style="94"/>
    <col min="18" max="18" width="18" style="94" customWidth="1"/>
    <col min="19" max="19" width="22.85546875" style="94" bestFit="1" customWidth="1"/>
    <col min="20" max="20" width="22.85546875" style="94" customWidth="1"/>
    <col min="21" max="21" width="27.28515625" style="94" bestFit="1" customWidth="1"/>
    <col min="22" max="22" width="33" style="94" bestFit="1" customWidth="1"/>
    <col min="23" max="23" width="24.85546875" style="94" bestFit="1" customWidth="1"/>
    <col min="24" max="24" width="30.7109375" style="94" bestFit="1" customWidth="1"/>
    <col min="25" max="26" width="20.42578125" style="94" bestFit="1" customWidth="1"/>
    <col min="27" max="28" width="18" style="94" customWidth="1"/>
    <col min="29" max="29" width="35" style="94" bestFit="1" customWidth="1"/>
    <col min="30" max="33" width="18" style="94" customWidth="1"/>
    <col min="34" max="34" width="15.85546875" style="94" customWidth="1"/>
    <col min="35" max="35" width="14.140625" style="94" customWidth="1"/>
    <col min="36" max="36" width="10.42578125" style="94" customWidth="1"/>
    <col min="37" max="16384" width="8.85546875" style="94"/>
  </cols>
  <sheetData>
    <row r="1" spans="1:36">
      <c r="B1" s="93" t="s">
        <v>222</v>
      </c>
    </row>
    <row r="2" spans="1:36">
      <c r="B2" s="93" t="s">
        <v>223</v>
      </c>
      <c r="O2" s="95" t="s">
        <v>224</v>
      </c>
      <c r="AE2" s="95" t="s">
        <v>225</v>
      </c>
      <c r="AH2" s="93" t="s">
        <v>226</v>
      </c>
    </row>
    <row r="3" spans="1:36">
      <c r="B3" s="96" t="s">
        <v>224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8" t="s">
        <v>1</v>
      </c>
      <c r="P3" s="99"/>
      <c r="R3" s="96" t="s">
        <v>225</v>
      </c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8" t="s">
        <v>1</v>
      </c>
      <c r="AF3" s="99"/>
      <c r="AH3" s="93" t="s">
        <v>227</v>
      </c>
    </row>
    <row r="4" spans="1:36" s="93" customFormat="1">
      <c r="B4" s="100" t="s">
        <v>11</v>
      </c>
      <c r="C4" s="93" t="s">
        <v>12</v>
      </c>
      <c r="D4" s="93" t="s">
        <v>228</v>
      </c>
      <c r="E4" s="93" t="s">
        <v>229</v>
      </c>
      <c r="F4" s="93" t="s">
        <v>28</v>
      </c>
      <c r="G4" s="93" t="s">
        <v>16</v>
      </c>
      <c r="H4" s="93" t="s">
        <v>230</v>
      </c>
      <c r="I4" s="93" t="s">
        <v>101</v>
      </c>
      <c r="J4" s="93" t="s">
        <v>29</v>
      </c>
      <c r="K4" s="93" t="s">
        <v>30</v>
      </c>
      <c r="L4" s="93" t="s">
        <v>52</v>
      </c>
      <c r="M4" s="93" t="s">
        <v>231</v>
      </c>
      <c r="N4" s="93" t="s">
        <v>18</v>
      </c>
      <c r="O4" s="95" t="s">
        <v>232</v>
      </c>
      <c r="P4" s="93" t="s">
        <v>233</v>
      </c>
      <c r="Q4" s="93" t="s">
        <v>234</v>
      </c>
      <c r="R4" s="100" t="s">
        <v>11</v>
      </c>
      <c r="S4" s="93" t="s">
        <v>12</v>
      </c>
      <c r="T4" s="93" t="s">
        <v>228</v>
      </c>
      <c r="U4" s="93" t="s">
        <v>229</v>
      </c>
      <c r="V4" s="93" t="s">
        <v>28</v>
      </c>
      <c r="W4" s="93" t="s">
        <v>16</v>
      </c>
      <c r="X4" s="93" t="s">
        <v>230</v>
      </c>
      <c r="Y4" s="93" t="s">
        <v>101</v>
      </c>
      <c r="Z4" s="93" t="s">
        <v>29</v>
      </c>
      <c r="AA4" s="93" t="s">
        <v>30</v>
      </c>
      <c r="AB4" s="93" t="s">
        <v>52</v>
      </c>
      <c r="AC4" s="93" t="s">
        <v>231</v>
      </c>
      <c r="AD4" s="93" t="s">
        <v>18</v>
      </c>
      <c r="AE4" s="95" t="s">
        <v>232</v>
      </c>
      <c r="AF4" s="93" t="s">
        <v>233</v>
      </c>
      <c r="AG4" s="93" t="s">
        <v>234</v>
      </c>
      <c r="AI4" s="93" t="s">
        <v>233</v>
      </c>
      <c r="AJ4" s="93" t="s">
        <v>234</v>
      </c>
    </row>
    <row r="5" spans="1:36" ht="14.25" customHeight="1">
      <c r="A5" s="93" t="s">
        <v>235</v>
      </c>
      <c r="B5" s="94">
        <f>Acadia!M10</f>
        <v>1329008</v>
      </c>
      <c r="C5" s="94">
        <f>Acadia!M11</f>
        <v>10247945</v>
      </c>
      <c r="D5" s="94">
        <v>0</v>
      </c>
      <c r="E5" s="94">
        <f>Acadia!M22</f>
        <v>17694464</v>
      </c>
      <c r="F5" s="94">
        <f>Acadia!M24</f>
        <v>359357</v>
      </c>
      <c r="G5" s="94">
        <f>Acadia!M23</f>
        <v>5453244</v>
      </c>
      <c r="H5" s="94">
        <v>0</v>
      </c>
      <c r="I5" s="94">
        <v>0</v>
      </c>
      <c r="J5" s="94">
        <v>0</v>
      </c>
      <c r="K5" s="94">
        <v>0</v>
      </c>
      <c r="L5" s="94">
        <v>0</v>
      </c>
      <c r="M5" s="94">
        <v>0</v>
      </c>
      <c r="N5" s="94">
        <f>Acadia!M25</f>
        <v>19386268</v>
      </c>
      <c r="O5" s="101">
        <f>Acadia!M28</f>
        <v>54470286</v>
      </c>
      <c r="P5" s="94">
        <f t="shared" ref="P5:P6" si="0">SUM(B5:N5)</f>
        <v>54470286</v>
      </c>
      <c r="Q5" s="95" t="str">
        <f t="shared" ref="Q5:Q6" si="1">IF(O5="","Blank",IF(O5=P5,"Yes","No"))</f>
        <v>Yes</v>
      </c>
      <c r="AF5" s="93">
        <f t="shared" ref="AF5:AF6" si="2">SUM(R5:AD5)</f>
        <v>0</v>
      </c>
      <c r="AG5" s="95" t="str">
        <f t="shared" ref="AG5:AG6" si="3">IF(AE5="","Blank",IF(AE5=AF5,"Yes","No"))</f>
        <v>Blank</v>
      </c>
      <c r="AH5" s="94">
        <f>Acadia!M28</f>
        <v>54470286</v>
      </c>
      <c r="AI5" s="94">
        <f t="shared" ref="AI5:AI6" si="4">O5+AE5</f>
        <v>54470286</v>
      </c>
      <c r="AJ5" s="93" t="str">
        <f t="shared" ref="AJ5:AJ6" si="5">IF(AH5="","Blank",IF(AH5=AI5,"Yes","No"))</f>
        <v>Yes</v>
      </c>
    </row>
    <row r="6" spans="1:36" ht="14.25" customHeight="1">
      <c r="A6" s="93" t="s">
        <v>236</v>
      </c>
      <c r="B6" s="94">
        <f>Allen!K10</f>
        <v>572300</v>
      </c>
      <c r="C6" s="94">
        <v>0</v>
      </c>
      <c r="D6" s="94">
        <v>0</v>
      </c>
      <c r="E6" s="94">
        <f>Allen!K25</f>
        <v>2760230</v>
      </c>
      <c r="F6" s="94">
        <f>Allen!K26</f>
        <v>3671842</v>
      </c>
      <c r="G6" s="94">
        <f>Allen!K29</f>
        <v>1024328</v>
      </c>
      <c r="H6" s="94">
        <v>0</v>
      </c>
      <c r="I6" s="94">
        <v>0</v>
      </c>
      <c r="J6" s="94">
        <f>Allen!K27</f>
        <v>78403</v>
      </c>
      <c r="K6" s="94">
        <f>Allen!K28</f>
        <v>200490</v>
      </c>
      <c r="L6" s="94">
        <v>0</v>
      </c>
      <c r="M6" s="94">
        <v>0</v>
      </c>
      <c r="N6" s="94">
        <f>Allen!K30</f>
        <v>16358162</v>
      </c>
      <c r="O6" s="101">
        <f>Allen!K36</f>
        <v>24665755</v>
      </c>
      <c r="P6" s="94">
        <f t="shared" si="0"/>
        <v>24665755</v>
      </c>
      <c r="Q6" s="95" t="str">
        <f t="shared" si="1"/>
        <v>Yes</v>
      </c>
      <c r="AF6" s="93">
        <f t="shared" si="2"/>
        <v>0</v>
      </c>
      <c r="AG6" s="95" t="str">
        <f t="shared" si="3"/>
        <v>Blank</v>
      </c>
      <c r="AH6" s="94">
        <f>Allen!K36</f>
        <v>24665755</v>
      </c>
      <c r="AI6" s="94">
        <f t="shared" si="4"/>
        <v>24665755</v>
      </c>
      <c r="AJ6" s="93" t="str">
        <f t="shared" si="5"/>
        <v>Yes</v>
      </c>
    </row>
    <row r="7" spans="1:36" ht="14.25" customHeight="1">
      <c r="A7" s="93" t="s">
        <v>237</v>
      </c>
      <c r="B7" s="94">
        <f>Ascension!M9</f>
        <v>17313</v>
      </c>
      <c r="C7" s="94">
        <f>Ascension!M10</f>
        <v>55787</v>
      </c>
      <c r="D7" s="94">
        <v>0</v>
      </c>
      <c r="E7" s="94">
        <f>Ascension!M25</f>
        <v>41802</v>
      </c>
      <c r="F7" s="94">
        <v>0</v>
      </c>
      <c r="G7" s="94">
        <f>Ascension!M27</f>
        <v>2677</v>
      </c>
      <c r="H7" s="94">
        <v>0</v>
      </c>
      <c r="I7" s="94">
        <f>Ascension!M29</f>
        <v>967</v>
      </c>
      <c r="J7" s="94">
        <f>Ascension!M28</f>
        <v>482</v>
      </c>
      <c r="K7" s="94">
        <f>Ascension!M26</f>
        <v>4175</v>
      </c>
      <c r="L7" s="94">
        <v>0</v>
      </c>
      <c r="M7" s="94">
        <v>0</v>
      </c>
      <c r="N7" s="94">
        <f>Ascension!M30</f>
        <v>86362</v>
      </c>
      <c r="O7" s="101">
        <f>Ascension!M36</f>
        <v>209565</v>
      </c>
      <c r="P7" s="94">
        <f>SUM(B7:N7)</f>
        <v>209565</v>
      </c>
      <c r="Q7" s="95" t="str">
        <f>IF(O7="","Blank",IF(O7=P7,"Yes","No"))</f>
        <v>Yes</v>
      </c>
      <c r="R7" s="94">
        <f>Ascension!M42</f>
        <v>670</v>
      </c>
      <c r="S7" s="94">
        <f>Ascension!M43</f>
        <v>271</v>
      </c>
      <c r="T7" s="94">
        <v>0</v>
      </c>
      <c r="U7" s="94">
        <v>0</v>
      </c>
      <c r="V7" s="94">
        <v>0</v>
      </c>
      <c r="W7" s="94">
        <v>0</v>
      </c>
      <c r="X7" s="94">
        <f>Ascension!M57</f>
        <v>5763</v>
      </c>
      <c r="Y7" s="94">
        <v>0</v>
      </c>
      <c r="Z7" s="94">
        <v>0</v>
      </c>
      <c r="AA7" s="94">
        <v>0</v>
      </c>
      <c r="AB7" s="94">
        <v>0</v>
      </c>
      <c r="AC7" s="94">
        <v>0</v>
      </c>
      <c r="AD7" s="94">
        <f>Ascension!M55+Ascension!M56</f>
        <v>4189</v>
      </c>
      <c r="AE7" s="94">
        <f>Ascension!M63</f>
        <v>10893</v>
      </c>
      <c r="AF7" s="94">
        <f>SUM(R7:AD7)</f>
        <v>10893</v>
      </c>
      <c r="AG7" s="95" t="str">
        <f>IF(AE7="","Blank",IF(AE7=AF7,"Yes","No"))</f>
        <v>Yes</v>
      </c>
      <c r="AH7" s="94">
        <f>Ascension!M63+Ascension!M36</f>
        <v>220458</v>
      </c>
      <c r="AI7" s="94">
        <f>O7+AE7</f>
        <v>220458</v>
      </c>
      <c r="AJ7" s="93" t="str">
        <f>IF(AH7="","Blank",IF(AH7=AI7,"Yes","No"))</f>
        <v>Yes</v>
      </c>
    </row>
    <row r="8" spans="1:36" ht="14.25" customHeight="1">
      <c r="A8" s="93" t="s">
        <v>238</v>
      </c>
      <c r="B8" s="94">
        <f>Assumption!N8</f>
        <v>2213381</v>
      </c>
      <c r="C8" s="94">
        <v>0</v>
      </c>
      <c r="D8" s="94">
        <v>0</v>
      </c>
      <c r="E8" s="94">
        <f>Assumption!N9</f>
        <v>16396346.364302615</v>
      </c>
      <c r="F8" s="94">
        <f>Assumption!N10</f>
        <v>8078091.8530061478</v>
      </c>
      <c r="G8" s="94">
        <f>Assumption!N13</f>
        <v>5012768.5433378359</v>
      </c>
      <c r="H8" s="94">
        <f>Assumption!N14</f>
        <v>488571</v>
      </c>
      <c r="I8" s="94">
        <v>0</v>
      </c>
      <c r="J8" s="94">
        <v>0</v>
      </c>
      <c r="K8" s="94">
        <v>0</v>
      </c>
      <c r="L8" s="94">
        <f>Assumption!N12</f>
        <v>407084.59974238102</v>
      </c>
      <c r="M8" s="94">
        <v>0</v>
      </c>
      <c r="N8" s="94">
        <f>Assumption!N11</f>
        <v>11136887.639611021</v>
      </c>
      <c r="O8" s="101">
        <f>Assumption!N19</f>
        <v>43733131</v>
      </c>
      <c r="P8" s="94">
        <f t="shared" ref="P8:P59" si="6">SUM(B8:N8)</f>
        <v>43733131</v>
      </c>
      <c r="Q8" s="95" t="str">
        <f t="shared" ref="Q8:Q59" si="7">IF(O8="","Blank",IF(O8=P8,"Yes","No"))</f>
        <v>Yes</v>
      </c>
      <c r="AF8" s="93">
        <f t="shared" ref="AF8:AF59" si="8">SUM(R8:AD8)</f>
        <v>0</v>
      </c>
      <c r="AG8" s="95" t="str">
        <f t="shared" ref="AG8:AG59" si="9">IF(AE8="","Blank",IF(AE8=AF8,"Yes","No"))</f>
        <v>Blank</v>
      </c>
      <c r="AH8" s="94">
        <f>Assumption!N19</f>
        <v>43733131</v>
      </c>
      <c r="AI8" s="94">
        <f t="shared" ref="AI8:AI59" si="10">O8+AE8</f>
        <v>43733131</v>
      </c>
      <c r="AJ8" s="93" t="str">
        <f t="shared" ref="AJ8:AJ59" si="11">IF(AH8="","Blank",IF(AH8=AI8,"Yes","No"))</f>
        <v>Yes</v>
      </c>
    </row>
    <row r="9" spans="1:36">
      <c r="A9" s="93" t="s">
        <v>239</v>
      </c>
      <c r="B9" s="94">
        <f>Avoyelles!K9</f>
        <v>584787</v>
      </c>
      <c r="C9" s="94">
        <f>Avoyelles!K10</f>
        <v>1083069</v>
      </c>
      <c r="D9" s="94">
        <v>0</v>
      </c>
      <c r="E9" s="94">
        <f>Avoyelles!K23</f>
        <v>2728965</v>
      </c>
      <c r="F9" s="94">
        <v>0</v>
      </c>
      <c r="G9" s="94">
        <f>Avoyelles!K24+Avoyelles!K26</f>
        <v>791620</v>
      </c>
      <c r="H9" s="94">
        <v>0</v>
      </c>
      <c r="I9" s="94">
        <v>0</v>
      </c>
      <c r="J9" s="94">
        <v>0</v>
      </c>
      <c r="K9" s="94">
        <v>0</v>
      </c>
      <c r="L9" s="94">
        <v>0</v>
      </c>
      <c r="M9" s="94">
        <v>0</v>
      </c>
      <c r="N9" s="94">
        <f>Avoyelles!K25</f>
        <v>43801</v>
      </c>
      <c r="O9" s="101">
        <f>Avoyelles!K32</f>
        <v>5232242</v>
      </c>
      <c r="P9" s="94">
        <f t="shared" ref="P9" si="12">SUM(B9:N9)</f>
        <v>5232242</v>
      </c>
      <c r="Q9" s="95" t="str">
        <f t="shared" ref="Q9:Q20" si="13">IF(O9="","Blank",IF(O9=P9,"Yes","No"))</f>
        <v>Yes</v>
      </c>
      <c r="AF9" s="94">
        <f t="shared" ref="AF9:AF20" si="14">SUM(R9:AD9)</f>
        <v>0</v>
      </c>
      <c r="AG9" s="95" t="str">
        <f t="shared" ref="AG9:AG20" si="15">IF(AE9="","Blank",IF(AE9=AF9,"Yes","No"))</f>
        <v>Blank</v>
      </c>
      <c r="AH9" s="94">
        <f>Avoyelles!K32</f>
        <v>5232242</v>
      </c>
      <c r="AI9" s="94">
        <f t="shared" ref="AI9:AI20" si="16">O9+AE9</f>
        <v>5232242</v>
      </c>
      <c r="AJ9" s="93" t="str">
        <f t="shared" ref="AJ9:AJ20" si="17">IF(AH9="","Blank",IF(AH9=AI9,"Yes","No"))</f>
        <v>Yes</v>
      </c>
    </row>
    <row r="10" spans="1:36" ht="14.25" customHeight="1">
      <c r="A10" s="93" t="s">
        <v>240</v>
      </c>
      <c r="B10" s="94">
        <f>Beauregard!N10</f>
        <v>806735</v>
      </c>
      <c r="C10" s="94">
        <f>Beauregard!N11</f>
        <v>790379</v>
      </c>
      <c r="D10" s="94">
        <v>0</v>
      </c>
      <c r="E10" s="94">
        <f>Beauregard!N21</f>
        <v>9930994</v>
      </c>
      <c r="F10" s="94">
        <v>0</v>
      </c>
      <c r="G10" s="94">
        <f>Assumption!N15</f>
        <v>0</v>
      </c>
      <c r="H10" s="94">
        <f>Assumption!N16</f>
        <v>0</v>
      </c>
      <c r="I10" s="94">
        <v>0</v>
      </c>
      <c r="J10" s="94">
        <f>Beauregard!N23</f>
        <v>3990003</v>
      </c>
      <c r="K10" s="94">
        <v>0</v>
      </c>
      <c r="L10" s="94">
        <v>0</v>
      </c>
      <c r="M10" s="94">
        <v>0</v>
      </c>
      <c r="N10" s="94">
        <f>Beauregard!N22</f>
        <v>15989047</v>
      </c>
      <c r="O10" s="101">
        <f>Beauregard!N26</f>
        <v>31507158</v>
      </c>
      <c r="P10" s="94">
        <f t="shared" ref="P10" si="18">SUM(B10:N10)</f>
        <v>31507158</v>
      </c>
      <c r="Q10" s="95" t="str">
        <f t="shared" si="13"/>
        <v>Yes</v>
      </c>
      <c r="AF10" s="93">
        <f t="shared" si="14"/>
        <v>0</v>
      </c>
      <c r="AG10" s="95" t="str">
        <f t="shared" si="15"/>
        <v>Blank</v>
      </c>
      <c r="AH10" s="94">
        <f>Beauregard!M26</f>
        <v>31507158</v>
      </c>
      <c r="AI10" s="94">
        <f t="shared" si="16"/>
        <v>31507158</v>
      </c>
      <c r="AJ10" s="93" t="str">
        <f t="shared" si="17"/>
        <v>Yes</v>
      </c>
    </row>
    <row r="11" spans="1:36">
      <c r="A11" s="93" t="s">
        <v>241</v>
      </c>
      <c r="B11" s="94">
        <f>Bienville!K9</f>
        <v>660250</v>
      </c>
      <c r="C11" s="94">
        <f>Iberville!K6</f>
        <v>0</v>
      </c>
      <c r="D11" s="94">
        <v>0</v>
      </c>
      <c r="E11" s="94">
        <f>Bienville!K30</f>
        <v>13921140</v>
      </c>
      <c r="F11" s="94">
        <v>0</v>
      </c>
      <c r="G11" s="94">
        <f>Bienville!K32+Bienville!K34</f>
        <v>575348</v>
      </c>
      <c r="H11" s="94">
        <v>0</v>
      </c>
      <c r="I11" s="94">
        <v>0</v>
      </c>
      <c r="J11" s="94">
        <f>Bienville!K31</f>
        <v>415316</v>
      </c>
      <c r="K11" s="94">
        <f>Bienville!K33</f>
        <v>684844</v>
      </c>
      <c r="L11" s="94">
        <v>0</v>
      </c>
      <c r="M11" s="94">
        <v>0</v>
      </c>
      <c r="N11" s="94">
        <f>Bienville!K28+Bienville!K29</f>
        <v>6557278</v>
      </c>
      <c r="O11" s="101">
        <f>Bienville!K40</f>
        <v>22814176</v>
      </c>
      <c r="P11" s="94">
        <f t="shared" ref="P11:P17" si="19">SUM(B11:N11)</f>
        <v>22814176</v>
      </c>
      <c r="Q11" s="95" t="str">
        <f t="shared" si="13"/>
        <v>Yes</v>
      </c>
      <c r="AF11" s="94">
        <f t="shared" si="14"/>
        <v>0</v>
      </c>
      <c r="AG11" s="95" t="str">
        <f t="shared" si="15"/>
        <v>Blank</v>
      </c>
      <c r="AH11" s="94">
        <f>Bienville!K40</f>
        <v>22814176</v>
      </c>
      <c r="AI11" s="94">
        <f t="shared" si="16"/>
        <v>22814176</v>
      </c>
      <c r="AJ11" s="93" t="str">
        <f t="shared" si="17"/>
        <v>Yes</v>
      </c>
    </row>
    <row r="12" spans="1:36">
      <c r="A12" s="93" t="s">
        <v>242</v>
      </c>
      <c r="B12" s="94">
        <f>Bossier!N10</f>
        <v>12207084</v>
      </c>
      <c r="C12" s="94">
        <f>Bossier!N11</f>
        <v>6042279</v>
      </c>
      <c r="D12" s="94">
        <v>0</v>
      </c>
      <c r="E12" s="94">
        <f>Bossier!N22</f>
        <v>84034576</v>
      </c>
      <c r="F12" s="94">
        <f>Lafayette!K18</f>
        <v>0</v>
      </c>
      <c r="G12" s="94">
        <v>0</v>
      </c>
      <c r="H12" s="94">
        <f>Lafayette!K21</f>
        <v>0</v>
      </c>
      <c r="I12" s="94">
        <f>Bossier!N25</f>
        <v>1104772</v>
      </c>
      <c r="J12" s="94">
        <f>Bossier!N24</f>
        <v>4367053</v>
      </c>
      <c r="K12" s="94">
        <f>Lafayette!K20</f>
        <v>0</v>
      </c>
      <c r="L12" s="94">
        <v>0</v>
      </c>
      <c r="M12" s="94">
        <v>0</v>
      </c>
      <c r="N12" s="94">
        <f>Bossier!N23</f>
        <v>173547703</v>
      </c>
      <c r="O12" s="101">
        <f>Bossier!N28</f>
        <v>281303467</v>
      </c>
      <c r="P12" s="94">
        <f t="shared" si="19"/>
        <v>281303467</v>
      </c>
      <c r="Q12" s="95" t="str">
        <f t="shared" si="13"/>
        <v>Yes</v>
      </c>
      <c r="R12" s="94">
        <f>Bossier!N35</f>
        <v>1301778</v>
      </c>
      <c r="S12" s="94">
        <f>Bossier!N37</f>
        <v>3279798</v>
      </c>
      <c r="T12" s="94">
        <f>Bossier!N36</f>
        <v>1226000</v>
      </c>
      <c r="U12" s="94">
        <f>Bossier!N47</f>
        <v>2863000</v>
      </c>
      <c r="V12" s="94">
        <v>0</v>
      </c>
      <c r="W12" s="94">
        <v>0</v>
      </c>
      <c r="X12" s="94">
        <v>0</v>
      </c>
      <c r="Y12" s="94">
        <v>0</v>
      </c>
      <c r="Z12" s="94">
        <f>Bossier!N46</f>
        <v>13301000</v>
      </c>
      <c r="AA12" s="94">
        <v>0</v>
      </c>
      <c r="AB12" s="94">
        <v>0</v>
      </c>
      <c r="AC12" s="94">
        <v>0</v>
      </c>
      <c r="AD12" s="94">
        <f>Lafayette!K43+Lafayette!K44+Lafayette!K45</f>
        <v>0</v>
      </c>
      <c r="AE12" s="94">
        <f>Bossier!N50</f>
        <v>21971576</v>
      </c>
      <c r="AF12" s="94">
        <f t="shared" si="14"/>
        <v>21971576</v>
      </c>
      <c r="AG12" s="95" t="str">
        <f t="shared" si="15"/>
        <v>Yes</v>
      </c>
      <c r="AH12" s="94">
        <f>Bossier!M28+Bossier!M50</f>
        <v>303275043</v>
      </c>
      <c r="AI12" s="94">
        <f t="shared" si="16"/>
        <v>303275043</v>
      </c>
      <c r="AJ12" s="93" t="str">
        <f t="shared" si="17"/>
        <v>Yes</v>
      </c>
    </row>
    <row r="13" spans="1:36">
      <c r="A13" s="93" t="s">
        <v>243</v>
      </c>
      <c r="B13" s="94">
        <f>Caddo!N10</f>
        <v>14578409</v>
      </c>
      <c r="C13" s="94">
        <f>Caddo!N11+Caddo!N12</f>
        <v>13982884</v>
      </c>
      <c r="D13" s="94">
        <v>0</v>
      </c>
      <c r="E13" s="94">
        <f>Caddo!N22</f>
        <v>52889687</v>
      </c>
      <c r="F13" s="94">
        <f>Jefferson!O21</f>
        <v>0</v>
      </c>
      <c r="G13" s="94">
        <f>Caddo!N23</f>
        <v>11851594</v>
      </c>
      <c r="H13" s="94">
        <v>0</v>
      </c>
      <c r="I13" s="94">
        <v>0</v>
      </c>
      <c r="J13" s="102">
        <v>0</v>
      </c>
      <c r="K13" s="94">
        <f>Jefferson!O22</f>
        <v>0</v>
      </c>
      <c r="L13" s="94">
        <v>0</v>
      </c>
      <c r="M13" s="94">
        <v>0</v>
      </c>
      <c r="N13" s="94">
        <f>Caddo!N24</f>
        <v>116966351</v>
      </c>
      <c r="O13" s="101">
        <f>Caddo!N27</f>
        <v>210268925</v>
      </c>
      <c r="P13" s="94">
        <f t="shared" si="19"/>
        <v>210268925</v>
      </c>
      <c r="Q13" s="95" t="str">
        <f t="shared" si="13"/>
        <v>Yes</v>
      </c>
      <c r="AF13" s="94">
        <f t="shared" si="14"/>
        <v>0</v>
      </c>
      <c r="AG13" s="95" t="str">
        <f t="shared" si="15"/>
        <v>Blank</v>
      </c>
      <c r="AH13" s="94">
        <f>Caddo!M27</f>
        <v>210268925</v>
      </c>
      <c r="AI13" s="94">
        <f t="shared" si="16"/>
        <v>210268925</v>
      </c>
      <c r="AJ13" s="93" t="str">
        <f t="shared" si="17"/>
        <v>Yes</v>
      </c>
    </row>
    <row r="14" spans="1:36">
      <c r="A14" s="93" t="s">
        <v>244</v>
      </c>
      <c r="B14" s="94">
        <f>Calcasieu!M9</f>
        <v>17544546</v>
      </c>
      <c r="C14" s="94">
        <f>Calcasieu!M10</f>
        <v>16852520</v>
      </c>
      <c r="D14" s="94">
        <f>Calcasieu!M11</f>
        <v>383317282</v>
      </c>
      <c r="E14" s="94">
        <f>Calcasieu!M21</f>
        <v>72678854</v>
      </c>
      <c r="F14" s="94">
        <f>Jefferson!O21</f>
        <v>0</v>
      </c>
      <c r="G14" s="94">
        <f>Calcasieu!M22</f>
        <v>12115797</v>
      </c>
      <c r="H14" s="94">
        <v>0</v>
      </c>
      <c r="I14" s="94">
        <v>0</v>
      </c>
      <c r="J14" s="102">
        <v>0</v>
      </c>
      <c r="K14" s="94">
        <f>Jefferson!O22</f>
        <v>0</v>
      </c>
      <c r="L14" s="94">
        <f>Calcasieu!M23</f>
        <v>7934446</v>
      </c>
      <c r="M14" s="94">
        <v>0</v>
      </c>
      <c r="N14" s="94">
        <v>0</v>
      </c>
      <c r="O14" s="101">
        <f>Calcasieu!M26</f>
        <v>510443445</v>
      </c>
      <c r="P14" s="94">
        <f t="shared" si="19"/>
        <v>510443445</v>
      </c>
      <c r="Q14" s="95" t="str">
        <f t="shared" si="13"/>
        <v>Yes</v>
      </c>
      <c r="R14" s="94">
        <f>Calcasieu!M32</f>
        <v>227920</v>
      </c>
      <c r="S14" s="94">
        <f>Calcasieu!M33</f>
        <v>718820</v>
      </c>
      <c r="T14" s="94">
        <v>0</v>
      </c>
      <c r="U14" s="94">
        <f>Calcasieu!M45</f>
        <v>20320</v>
      </c>
      <c r="V14" s="94">
        <f>Calcasieu!M44</f>
        <v>6880833</v>
      </c>
      <c r="W14" s="94">
        <f>Calcasieu!M47</f>
        <v>38722</v>
      </c>
      <c r="X14" s="94">
        <v>0</v>
      </c>
      <c r="Y14" s="94">
        <v>0</v>
      </c>
      <c r="Z14" s="94">
        <v>0</v>
      </c>
      <c r="AA14" s="94">
        <v>0</v>
      </c>
      <c r="AB14" s="94">
        <v>0</v>
      </c>
      <c r="AC14" s="94">
        <v>0</v>
      </c>
      <c r="AD14" s="94">
        <f>Calcasieu!M46</f>
        <v>1360644</v>
      </c>
      <c r="AE14" s="94">
        <f>Calcasieu!M50</f>
        <v>9247259</v>
      </c>
      <c r="AF14" s="94">
        <f t="shared" si="14"/>
        <v>9247259</v>
      </c>
      <c r="AG14" s="95" t="str">
        <f t="shared" si="15"/>
        <v>Yes</v>
      </c>
      <c r="AH14" s="94">
        <f>Calcasieu!L50+Calcasieu!L26</f>
        <v>519690704</v>
      </c>
      <c r="AI14" s="94">
        <f t="shared" si="16"/>
        <v>519690704</v>
      </c>
      <c r="AJ14" s="93" t="str">
        <f t="shared" si="17"/>
        <v>Yes</v>
      </c>
    </row>
    <row r="15" spans="1:36">
      <c r="A15" s="93" t="s">
        <v>245</v>
      </c>
      <c r="B15" s="94">
        <f>Caldwell!K9</f>
        <v>420095</v>
      </c>
      <c r="C15" s="94">
        <f>Caldwell!K10</f>
        <v>7932354</v>
      </c>
      <c r="D15" s="94">
        <v>0</v>
      </c>
      <c r="E15" s="94">
        <f>Caldwell!K31</f>
        <v>376134</v>
      </c>
      <c r="F15" s="94">
        <f>Caldwell!K32</f>
        <v>529880</v>
      </c>
      <c r="G15" s="94">
        <f>Caldwell!K33+Caldwell!K35</f>
        <v>470657</v>
      </c>
      <c r="H15" s="94">
        <v>0</v>
      </c>
      <c r="I15" s="94">
        <v>0</v>
      </c>
      <c r="J15" s="102">
        <f>Caldwell!K36</f>
        <v>129155</v>
      </c>
      <c r="K15" s="94">
        <f>Caldwell!K34</f>
        <v>113361</v>
      </c>
      <c r="L15" s="94">
        <v>0</v>
      </c>
      <c r="M15" s="94">
        <v>0</v>
      </c>
      <c r="N15" s="94">
        <f>Caldwell!K29+Caldwell!K30</f>
        <v>1747530</v>
      </c>
      <c r="O15" s="101">
        <f>Caldwell!K42</f>
        <v>11719166</v>
      </c>
      <c r="P15" s="94">
        <f t="shared" si="19"/>
        <v>11719166</v>
      </c>
      <c r="Q15" s="95" t="str">
        <f t="shared" si="13"/>
        <v>Yes</v>
      </c>
      <c r="AF15" s="94">
        <f t="shared" si="14"/>
        <v>0</v>
      </c>
      <c r="AG15" s="95" t="str">
        <f t="shared" si="15"/>
        <v>Blank</v>
      </c>
      <c r="AH15" s="94">
        <f>Caldwell!J42</f>
        <v>11719166</v>
      </c>
      <c r="AI15" s="94">
        <f t="shared" si="16"/>
        <v>11719166</v>
      </c>
      <c r="AJ15" s="93" t="str">
        <f t="shared" si="17"/>
        <v>Yes</v>
      </c>
    </row>
    <row r="16" spans="1:36">
      <c r="A16" s="93" t="s">
        <v>246</v>
      </c>
      <c r="B16" s="94">
        <f>Cameron!K7</f>
        <v>1381390</v>
      </c>
      <c r="C16" s="94">
        <f>Cameron!K8</f>
        <v>20795365</v>
      </c>
      <c r="D16" s="94">
        <v>0</v>
      </c>
      <c r="E16" s="94">
        <f>Cameron!K9</f>
        <v>29213489.847426414</v>
      </c>
      <c r="F16" s="94">
        <v>0</v>
      </c>
      <c r="G16" s="94">
        <f>Cameron!K11</f>
        <v>14957979.991368111</v>
      </c>
      <c r="H16" s="94">
        <v>0</v>
      </c>
      <c r="I16" s="94">
        <f>Cameron!K10</f>
        <v>579254.47790194803</v>
      </c>
      <c r="J16" s="102">
        <v>0</v>
      </c>
      <c r="K16" s="94">
        <v>0</v>
      </c>
      <c r="L16" s="94">
        <v>0</v>
      </c>
      <c r="M16" s="94">
        <v>0</v>
      </c>
      <c r="N16" s="94">
        <f>Cameron!K12</f>
        <v>44826330.683303528</v>
      </c>
      <c r="O16" s="101">
        <f>Cameron!K18</f>
        <v>111753810</v>
      </c>
      <c r="P16" s="94">
        <f t="shared" ref="P16" si="20">SUM(B16:N16)</f>
        <v>111753810</v>
      </c>
      <c r="Q16" s="95" t="str">
        <f t="shared" ref="Q16" si="21">IF(O16="","Blank",IF(O16=P16,"Yes","No"))</f>
        <v>Yes</v>
      </c>
      <c r="AF16" s="94">
        <f t="shared" ref="AF16" si="22">SUM(R16:AD16)</f>
        <v>0</v>
      </c>
      <c r="AG16" s="95" t="str">
        <f t="shared" ref="AG16" si="23">IF(AE16="","Blank",IF(AE16=AF16,"Yes","No"))</f>
        <v>Blank</v>
      </c>
      <c r="AH16" s="94">
        <f>Cameron!J18</f>
        <v>111753810</v>
      </c>
      <c r="AI16" s="94">
        <f t="shared" ref="AI16" si="24">O16+AE16</f>
        <v>111753810</v>
      </c>
      <c r="AJ16" s="93" t="str">
        <f t="shared" ref="AJ16" si="25">IF(AH16="","Blank",IF(AH16=AI16,"Yes","No"))</f>
        <v>Yes</v>
      </c>
    </row>
    <row r="17" spans="1:36">
      <c r="A17" s="93" t="s">
        <v>247</v>
      </c>
      <c r="B17" s="94">
        <f>Catahoula!M9</f>
        <v>112200</v>
      </c>
      <c r="C17" s="94">
        <f>Iberville!K6</f>
        <v>0</v>
      </c>
      <c r="D17" s="94">
        <v>0</v>
      </c>
      <c r="E17" s="94">
        <f>Catahoula!M27+Catahoula!M28</f>
        <v>1854325</v>
      </c>
      <c r="F17" s="94">
        <v>0</v>
      </c>
      <c r="G17" s="94">
        <f>Catahoula!M30+Catahoula!M29</f>
        <v>546162</v>
      </c>
      <c r="H17" s="94">
        <v>0</v>
      </c>
      <c r="I17" s="94">
        <f>Catahoula!M32</f>
        <v>78577</v>
      </c>
      <c r="J17" s="94">
        <v>0</v>
      </c>
      <c r="K17" s="94">
        <f>Catahoula!M31</f>
        <v>250198</v>
      </c>
      <c r="L17" s="94">
        <v>0</v>
      </c>
      <c r="M17" s="94">
        <v>0</v>
      </c>
      <c r="N17" s="94">
        <f>Catahoula!M26</f>
        <v>3021354</v>
      </c>
      <c r="O17" s="101">
        <f>Catahoula!M38</f>
        <v>5862816</v>
      </c>
      <c r="P17" s="94">
        <f t="shared" si="19"/>
        <v>5862816</v>
      </c>
      <c r="Q17" s="95" t="str">
        <f t="shared" si="13"/>
        <v>Yes</v>
      </c>
      <c r="R17" s="94">
        <f>Iberville!J21</f>
        <v>0</v>
      </c>
      <c r="S17" s="94">
        <f>Iberville!J22</f>
        <v>0</v>
      </c>
      <c r="T17" s="94">
        <v>0</v>
      </c>
      <c r="U17" s="94">
        <f>Catahoula!M56</f>
        <v>61311</v>
      </c>
      <c r="V17" s="94">
        <v>0</v>
      </c>
      <c r="W17" s="94">
        <f>Iberville!J29</f>
        <v>0</v>
      </c>
      <c r="X17" s="94">
        <v>0</v>
      </c>
      <c r="Y17" s="94">
        <v>0</v>
      </c>
      <c r="Z17" s="94">
        <f>Catahoula!M57</f>
        <v>27305</v>
      </c>
      <c r="AA17" s="94">
        <v>0</v>
      </c>
      <c r="AB17" s="94">
        <v>0</v>
      </c>
      <c r="AC17" s="94">
        <v>0</v>
      </c>
      <c r="AD17" s="94">
        <v>0</v>
      </c>
      <c r="AE17" s="94">
        <f>Catahoula!M63</f>
        <v>88616</v>
      </c>
      <c r="AF17" s="94">
        <f t="shared" si="14"/>
        <v>88616</v>
      </c>
      <c r="AG17" s="95" t="str">
        <f t="shared" si="15"/>
        <v>Yes</v>
      </c>
      <c r="AH17" s="94">
        <f>Catahoula!L63+Catahoula!L38</f>
        <v>5951432</v>
      </c>
      <c r="AI17" s="94">
        <f t="shared" si="16"/>
        <v>5951432</v>
      </c>
      <c r="AJ17" s="93" t="str">
        <f t="shared" si="17"/>
        <v>Yes</v>
      </c>
    </row>
    <row r="18" spans="1:36">
      <c r="A18" s="93" t="s">
        <v>248</v>
      </c>
      <c r="B18" s="94">
        <f>Claiborne!L10+Claiborne!L11+Claiborne!L12+Claiborne!L13</f>
        <v>98840</v>
      </c>
      <c r="C18" s="94">
        <f>Claiborne!L14</f>
        <v>2341387</v>
      </c>
      <c r="D18" s="94">
        <v>0</v>
      </c>
      <c r="E18" s="94">
        <f>Claiborne!L50</f>
        <v>867787</v>
      </c>
      <c r="F18" s="94">
        <f>Claiborne!L49</f>
        <v>1932</v>
      </c>
      <c r="G18" s="103">
        <f>Claiborne!L51+Claiborne!L52</f>
        <v>1129816</v>
      </c>
      <c r="H18" s="103">
        <f>Claiborne!L56+Claiborne!L57+Claiborne!L58+Claiborne!L60+Claiborne!L61+Claiborne!L62+Claiborne!L63</f>
        <v>108461</v>
      </c>
      <c r="I18" s="94">
        <f>Claiborne!L65+Claiborne!L66+Claiborne!L67+Claiborne!L68</f>
        <v>375754</v>
      </c>
      <c r="J18" s="94">
        <f>Claiborne!L54</f>
        <v>164773</v>
      </c>
      <c r="K18" s="103">
        <f>Claiborne!L53</f>
        <v>131663</v>
      </c>
      <c r="L18" s="94">
        <v>0</v>
      </c>
      <c r="M18" s="94">
        <v>0</v>
      </c>
      <c r="N18" s="94">
        <f>Claiborne!L47+Claiborne!L48</f>
        <v>1839394</v>
      </c>
      <c r="O18" s="101">
        <f>Claiborne!L74</f>
        <v>7059807</v>
      </c>
      <c r="P18" s="94">
        <f t="shared" ref="P18:P20" si="26">SUM(B18:N18)</f>
        <v>7059807</v>
      </c>
      <c r="Q18" s="95" t="str">
        <f t="shared" si="13"/>
        <v>Yes</v>
      </c>
      <c r="R18" s="94">
        <v>0</v>
      </c>
      <c r="S18" s="94">
        <v>0</v>
      </c>
      <c r="T18" s="94">
        <v>0</v>
      </c>
      <c r="U18" s="94">
        <v>0</v>
      </c>
      <c r="V18" s="94">
        <v>0</v>
      </c>
      <c r="W18" s="94">
        <v>0</v>
      </c>
      <c r="X18" s="94">
        <v>0</v>
      </c>
      <c r="Y18" s="94">
        <v>0</v>
      </c>
      <c r="Z18" s="94">
        <v>0</v>
      </c>
      <c r="AA18" s="94">
        <v>0</v>
      </c>
      <c r="AB18" s="94">
        <v>0</v>
      </c>
      <c r="AC18" s="94">
        <v>0</v>
      </c>
      <c r="AD18" s="94">
        <v>0</v>
      </c>
      <c r="AF18" s="94">
        <f t="shared" si="14"/>
        <v>0</v>
      </c>
      <c r="AG18" s="95" t="str">
        <f t="shared" si="15"/>
        <v>Blank</v>
      </c>
      <c r="AH18" s="94">
        <f>Claiborne!K74</f>
        <v>7059807</v>
      </c>
      <c r="AI18" s="94">
        <f t="shared" si="16"/>
        <v>7059807</v>
      </c>
      <c r="AJ18" s="93" t="str">
        <f t="shared" si="17"/>
        <v>Yes</v>
      </c>
    </row>
    <row r="19" spans="1:36">
      <c r="A19" s="93" t="s">
        <v>249</v>
      </c>
      <c r="B19" s="94">
        <f>Concordia!L8</f>
        <v>7038</v>
      </c>
      <c r="C19" s="94">
        <v>0</v>
      </c>
      <c r="D19" s="94">
        <v>0</v>
      </c>
      <c r="E19" s="94">
        <f>Concordia!L18</f>
        <v>2925164</v>
      </c>
      <c r="F19" s="94">
        <v>0</v>
      </c>
      <c r="G19" s="103">
        <f>Concordia!L20+Concordia!L21</f>
        <v>1753839</v>
      </c>
      <c r="H19" s="103">
        <f>Concordia!L24</f>
        <v>0</v>
      </c>
      <c r="I19" s="94">
        <v>0</v>
      </c>
      <c r="J19" s="94">
        <f>Concordia!L19</f>
        <v>217825</v>
      </c>
      <c r="K19" s="103">
        <v>0</v>
      </c>
      <c r="L19" s="94">
        <f>Concordia!L22</f>
        <v>6016665</v>
      </c>
      <c r="M19" s="94">
        <v>0</v>
      </c>
      <c r="N19" s="94">
        <v>0</v>
      </c>
      <c r="O19" s="101">
        <f>Concordia!L29</f>
        <v>10920531</v>
      </c>
      <c r="P19" s="94">
        <f t="shared" si="26"/>
        <v>10920531</v>
      </c>
      <c r="Q19" s="95" t="str">
        <f t="shared" si="13"/>
        <v>Yes</v>
      </c>
      <c r="R19" s="94">
        <v>0</v>
      </c>
      <c r="S19" s="94">
        <v>0</v>
      </c>
      <c r="T19" s="94">
        <v>0</v>
      </c>
      <c r="U19" s="94">
        <v>0</v>
      </c>
      <c r="V19" s="94">
        <v>0</v>
      </c>
      <c r="W19" s="94">
        <v>0</v>
      </c>
      <c r="X19" s="94">
        <v>0</v>
      </c>
      <c r="Y19" s="94">
        <v>0</v>
      </c>
      <c r="Z19" s="94">
        <v>0</v>
      </c>
      <c r="AA19" s="94">
        <v>0</v>
      </c>
      <c r="AB19" s="94">
        <v>0</v>
      </c>
      <c r="AC19" s="94">
        <v>0</v>
      </c>
      <c r="AD19" s="94">
        <v>0</v>
      </c>
      <c r="AF19" s="94">
        <f t="shared" si="14"/>
        <v>0</v>
      </c>
      <c r="AG19" s="95" t="str">
        <f t="shared" si="15"/>
        <v>Blank</v>
      </c>
      <c r="AH19" s="94">
        <f>Concordia!L29</f>
        <v>10920531</v>
      </c>
      <c r="AI19" s="94">
        <f t="shared" si="16"/>
        <v>10920531</v>
      </c>
      <c r="AJ19" s="93" t="str">
        <f t="shared" si="17"/>
        <v>Yes</v>
      </c>
    </row>
    <row r="20" spans="1:36">
      <c r="A20" s="93" t="s">
        <v>250</v>
      </c>
      <c r="B20" s="94">
        <f>DeSoto!M9</f>
        <v>1979943</v>
      </c>
      <c r="C20" s="94">
        <f>DeSoto!M10</f>
        <v>498894</v>
      </c>
      <c r="D20" s="94">
        <v>0</v>
      </c>
      <c r="E20" s="94">
        <f>DeSoto!M21</f>
        <v>15314666</v>
      </c>
      <c r="F20" s="94">
        <f>DeSoto!M22</f>
        <v>4847274</v>
      </c>
      <c r="G20" s="94">
        <v>0</v>
      </c>
      <c r="H20" s="94">
        <v>0</v>
      </c>
      <c r="I20" s="94">
        <v>0</v>
      </c>
      <c r="J20" s="102">
        <f>DeSoto!M23</f>
        <v>4506778</v>
      </c>
      <c r="K20" s="94">
        <f>Jefferson!O22</f>
        <v>0</v>
      </c>
      <c r="L20" s="94">
        <v>0</v>
      </c>
      <c r="M20" s="94">
        <v>0</v>
      </c>
      <c r="N20" s="94">
        <f>DeSoto!M24</f>
        <v>48224051</v>
      </c>
      <c r="O20" s="101">
        <f>DeSoto!M27</f>
        <v>75371606</v>
      </c>
      <c r="P20" s="94">
        <f t="shared" si="26"/>
        <v>75371606</v>
      </c>
      <c r="Q20" s="95" t="str">
        <f t="shared" si="13"/>
        <v>Yes</v>
      </c>
      <c r="R20" s="94">
        <f>DeSoto!M33</f>
        <v>10175</v>
      </c>
      <c r="S20" s="94">
        <f>Jefferson!O35</f>
        <v>0</v>
      </c>
      <c r="T20" s="94">
        <v>0</v>
      </c>
      <c r="U20" s="94">
        <f>Jefferson!O47</f>
        <v>0</v>
      </c>
      <c r="V20" s="94">
        <v>0</v>
      </c>
      <c r="W20" s="94">
        <v>0</v>
      </c>
      <c r="X20" s="94">
        <v>0</v>
      </c>
      <c r="Y20" s="94">
        <v>0</v>
      </c>
      <c r="Z20" s="94">
        <v>0</v>
      </c>
      <c r="AA20" s="94">
        <v>0</v>
      </c>
      <c r="AB20" s="94">
        <v>0</v>
      </c>
      <c r="AC20" s="94">
        <v>0</v>
      </c>
      <c r="AD20" s="94">
        <f>Jefferson!O48+Jefferson!O49</f>
        <v>0</v>
      </c>
      <c r="AE20" s="94">
        <f>DeSoto!M46</f>
        <v>10175</v>
      </c>
      <c r="AF20" s="94">
        <f t="shared" si="14"/>
        <v>10175</v>
      </c>
      <c r="AG20" s="95" t="str">
        <f t="shared" si="15"/>
        <v>Yes</v>
      </c>
      <c r="AH20" s="94">
        <f>DeSoto!L46+DeSoto!L27</f>
        <v>75381781</v>
      </c>
      <c r="AI20" s="94">
        <f t="shared" si="16"/>
        <v>75381781</v>
      </c>
      <c r="AJ20" s="93" t="str">
        <f t="shared" si="17"/>
        <v>Yes</v>
      </c>
    </row>
    <row r="21" spans="1:36">
      <c r="A21" s="93" t="s">
        <v>251</v>
      </c>
      <c r="B21" s="94">
        <f>'East Baton Rouge'!N9</f>
        <v>11633324</v>
      </c>
      <c r="C21" s="94">
        <f>'East Baton Rouge'!N10</f>
        <v>11307751</v>
      </c>
      <c r="D21" s="94">
        <v>0</v>
      </c>
      <c r="E21" s="94">
        <f>'East Baton Rouge'!N20</f>
        <v>85962192</v>
      </c>
      <c r="F21" s="94">
        <f>'East Baton Rouge'!N21</f>
        <v>160497853</v>
      </c>
      <c r="G21" s="94">
        <f>'East Baton Rouge'!N22</f>
        <v>993528</v>
      </c>
      <c r="H21" s="94">
        <v>0</v>
      </c>
      <c r="I21" s="94">
        <v>0</v>
      </c>
      <c r="J21" s="94">
        <v>0</v>
      </c>
      <c r="K21" s="94">
        <v>0</v>
      </c>
      <c r="L21" s="94">
        <v>0</v>
      </c>
      <c r="M21" s="94">
        <v>0</v>
      </c>
      <c r="N21" s="94">
        <v>0</v>
      </c>
      <c r="O21" s="101">
        <f>'East Baton Rouge'!N25</f>
        <v>270394648</v>
      </c>
      <c r="P21" s="94">
        <f t="shared" si="6"/>
        <v>270394648</v>
      </c>
      <c r="Q21" s="95" t="str">
        <f t="shared" si="7"/>
        <v>Yes</v>
      </c>
      <c r="R21" s="94">
        <f>'East Baton Rouge'!N31</f>
        <v>80821283</v>
      </c>
      <c r="S21" s="94">
        <f>'East Baton Rouge'!N33</f>
        <v>116073934</v>
      </c>
      <c r="T21" s="94">
        <f>'East Baton Rouge'!N32</f>
        <v>58104718</v>
      </c>
      <c r="U21" s="94">
        <f>'East Baton Rouge'!N43</f>
        <v>126260108</v>
      </c>
      <c r="V21" s="94">
        <f>'East Baton Rouge'!N44</f>
        <v>1277974431</v>
      </c>
      <c r="W21" s="94">
        <f>'East Baton Rouge'!N45</f>
        <v>865280</v>
      </c>
      <c r="X21" s="94">
        <v>0</v>
      </c>
      <c r="Y21" s="94">
        <v>0</v>
      </c>
      <c r="Z21" s="94">
        <v>0</v>
      </c>
      <c r="AA21" s="94">
        <v>0</v>
      </c>
      <c r="AB21" s="94">
        <v>0</v>
      </c>
      <c r="AC21" s="94">
        <v>0</v>
      </c>
      <c r="AD21" s="94">
        <v>0</v>
      </c>
      <c r="AE21" s="94">
        <f>'East Baton Rouge'!N48</f>
        <v>1660099754</v>
      </c>
      <c r="AF21" s="94">
        <f t="shared" si="8"/>
        <v>1660099754</v>
      </c>
      <c r="AG21" s="95" t="str">
        <f t="shared" si="9"/>
        <v>Yes</v>
      </c>
      <c r="AH21" s="94">
        <f>'East Baton Rouge'!N48+'East Baton Rouge'!N25</f>
        <v>1930494402</v>
      </c>
      <c r="AI21" s="94">
        <f t="shared" si="10"/>
        <v>1930494402</v>
      </c>
      <c r="AJ21" s="93" t="str">
        <f t="shared" si="11"/>
        <v>Yes</v>
      </c>
    </row>
    <row r="22" spans="1:36">
      <c r="A22" s="93" t="s">
        <v>252</v>
      </c>
      <c r="B22" s="94">
        <f>'East Carroll'!K9+'East Carroll'!K10</f>
        <v>375665</v>
      </c>
      <c r="C22" s="94">
        <f>'East Carroll'!K11</f>
        <v>261764</v>
      </c>
      <c r="D22" s="94">
        <v>0</v>
      </c>
      <c r="E22" s="94">
        <f>'East Carroll'!K30</f>
        <v>1060309</v>
      </c>
      <c r="F22" s="94">
        <f>Lafayette!K19</f>
        <v>0</v>
      </c>
      <c r="G22" s="94">
        <f>'East Carroll'!K31+'East Carroll'!K33</f>
        <v>638877</v>
      </c>
      <c r="H22" s="94">
        <v>0</v>
      </c>
      <c r="I22" s="94">
        <f>'East Carroll'!K35</f>
        <v>898</v>
      </c>
      <c r="J22" s="94">
        <f>'East Carroll'!K32</f>
        <v>35478</v>
      </c>
      <c r="K22" s="94">
        <f>'East Carroll'!K34</f>
        <v>429941</v>
      </c>
      <c r="L22" s="94">
        <v>0</v>
      </c>
      <c r="M22" s="94">
        <v>0</v>
      </c>
      <c r="N22" s="94">
        <f>'East Carroll'!K37+'East Carroll'!K38+'East Carroll'!K39+'East Carroll'!K40+'East Carroll'!K24</f>
        <v>2785599</v>
      </c>
      <c r="O22" s="101">
        <f>'East Carroll'!K46</f>
        <v>5588531</v>
      </c>
      <c r="P22" s="94">
        <f t="shared" ref="P22:P27" si="27">SUM(B22:N22)</f>
        <v>5588531</v>
      </c>
      <c r="Q22" s="95" t="str">
        <f t="shared" ref="Q22:Q27" si="28">IF(O22="","Blank",IF(O22=P22,"Yes","No"))</f>
        <v>Yes</v>
      </c>
      <c r="R22" s="94">
        <f>Lafayette!K30</f>
        <v>0</v>
      </c>
      <c r="S22" s="94">
        <f>Lafayette!K31</f>
        <v>0</v>
      </c>
      <c r="T22" s="94">
        <v>0</v>
      </c>
      <c r="U22" s="94">
        <f>Lafayette!K43</f>
        <v>0</v>
      </c>
      <c r="V22" s="94">
        <v>0</v>
      </c>
      <c r="W22" s="94">
        <v>0</v>
      </c>
      <c r="X22" s="94">
        <v>0</v>
      </c>
      <c r="Y22" s="94">
        <v>0</v>
      </c>
      <c r="Z22" s="94">
        <v>0</v>
      </c>
      <c r="AA22" s="94">
        <v>0</v>
      </c>
      <c r="AB22" s="94">
        <v>0</v>
      </c>
      <c r="AC22" s="94">
        <v>0</v>
      </c>
      <c r="AD22" s="94">
        <v>0</v>
      </c>
      <c r="AF22" s="94">
        <f t="shared" ref="AF22:AF24" si="29">SUM(R22:AD22)</f>
        <v>0</v>
      </c>
      <c r="AG22" s="95" t="str">
        <f t="shared" ref="AG22:AG27" si="30">IF(AE22="","Blank",IF(AE22=AF22,"Yes","No"))</f>
        <v>Blank</v>
      </c>
      <c r="AH22" s="94">
        <f>'East Carroll'!J46</f>
        <v>5588531</v>
      </c>
      <c r="AI22" s="94">
        <f t="shared" ref="AI22:AI27" si="31">O22+AE22</f>
        <v>5588531</v>
      </c>
      <c r="AJ22" s="93" t="str">
        <f t="shared" ref="AJ22:AJ27" si="32">IF(AH22="","Blank",IF(AH22=AI22,"Yes","No"))</f>
        <v>Yes</v>
      </c>
    </row>
    <row r="23" spans="1:36">
      <c r="A23" s="104" t="s">
        <v>253</v>
      </c>
      <c r="B23" s="94">
        <f>'East Feliciana'!M9</f>
        <v>259230</v>
      </c>
      <c r="C23" s="94">
        <v>0</v>
      </c>
      <c r="D23" s="94">
        <v>0</v>
      </c>
      <c r="E23" s="94">
        <f>'East Feliciana'!M15</f>
        <v>5265888.1300000008</v>
      </c>
      <c r="F23" s="94">
        <v>0</v>
      </c>
      <c r="G23" s="94">
        <f>'East Feliciana'!M19</f>
        <v>1831155.2600000007</v>
      </c>
      <c r="H23" s="94">
        <v>0</v>
      </c>
      <c r="I23" s="94">
        <v>0</v>
      </c>
      <c r="J23" s="94">
        <v>0</v>
      </c>
      <c r="K23" s="94">
        <v>0</v>
      </c>
      <c r="L23" s="94">
        <v>0</v>
      </c>
      <c r="M23" s="94">
        <v>0</v>
      </c>
      <c r="N23" s="94">
        <f>'East Feliciana'!M23</f>
        <v>956803.22</v>
      </c>
      <c r="O23" s="101">
        <f>'East Feliciana'!M25</f>
        <v>8313076.6100000013</v>
      </c>
      <c r="P23" s="94">
        <f t="shared" ref="P23" si="33">SUM(B23:N23)</f>
        <v>8313076.6100000013</v>
      </c>
      <c r="Q23" s="95" t="str">
        <f t="shared" ref="Q23" si="34">IF(O23="","Blank",IF(O23=P23,"Yes","No"))</f>
        <v>Yes</v>
      </c>
      <c r="AF23" s="94">
        <f>SUM(R23:AE23)</f>
        <v>0</v>
      </c>
      <c r="AG23" s="95" t="str">
        <f t="shared" ref="AG23" si="35">IF(AE23="","Blank",IF(AE23=AF23,"Yes","No"))</f>
        <v>Blank</v>
      </c>
      <c r="AH23" s="94">
        <f>'East Feliciana'!L25</f>
        <v>8313076.6100000013</v>
      </c>
      <c r="AI23" s="94">
        <f t="shared" ref="AI23" si="36">O23+AE23</f>
        <v>8313076.6100000013</v>
      </c>
      <c r="AJ23" s="93" t="str">
        <f t="shared" ref="AJ23" si="37">IF(AH23="","Blank",IF(AH23=AI23,"Yes","No"))</f>
        <v>Yes</v>
      </c>
    </row>
    <row r="24" spans="1:36">
      <c r="A24" s="93" t="s">
        <v>254</v>
      </c>
      <c r="B24" s="102">
        <f>Evangeline!M10</f>
        <v>876298</v>
      </c>
      <c r="C24" s="94">
        <f>Evangeline!M11</f>
        <v>1851425</v>
      </c>
      <c r="D24" s="94">
        <v>0</v>
      </c>
      <c r="E24" s="94">
        <f>Evangeline!M21</f>
        <v>7076584</v>
      </c>
      <c r="F24" s="94">
        <v>0</v>
      </c>
      <c r="G24" s="94">
        <f>Evangeline!M24</f>
        <v>2410234</v>
      </c>
      <c r="H24" s="94">
        <f>Livingston!M17</f>
        <v>0</v>
      </c>
      <c r="I24" s="94">
        <v>0</v>
      </c>
      <c r="J24" s="94">
        <v>0</v>
      </c>
      <c r="K24" s="94">
        <f>Evangeline!M23</f>
        <v>125188</v>
      </c>
      <c r="L24" s="103">
        <v>0</v>
      </c>
      <c r="M24" s="94">
        <v>0</v>
      </c>
      <c r="N24" s="94">
        <f>Evangeline!M22</f>
        <v>12323768</v>
      </c>
      <c r="O24" s="101">
        <f>Evangeline!M27</f>
        <v>24663497</v>
      </c>
      <c r="P24" s="94">
        <f t="shared" si="27"/>
        <v>24663497</v>
      </c>
      <c r="Q24" s="95" t="str">
        <f t="shared" si="28"/>
        <v>Yes</v>
      </c>
      <c r="R24" s="94">
        <v>0</v>
      </c>
      <c r="S24" s="94">
        <f>Livingston!M30</f>
        <v>0</v>
      </c>
      <c r="T24" s="94">
        <v>0</v>
      </c>
      <c r="U24" s="94">
        <v>0</v>
      </c>
      <c r="V24" s="94">
        <v>0</v>
      </c>
      <c r="W24" s="94">
        <v>0</v>
      </c>
      <c r="X24" s="94">
        <v>0</v>
      </c>
      <c r="Y24" s="94">
        <v>0</v>
      </c>
      <c r="Z24" s="94">
        <v>0</v>
      </c>
      <c r="AA24" s="94">
        <v>0</v>
      </c>
      <c r="AB24" s="94">
        <v>0</v>
      </c>
      <c r="AC24" s="94">
        <v>0</v>
      </c>
      <c r="AD24" s="94">
        <f>Evangeline!M38</f>
        <v>291100</v>
      </c>
      <c r="AE24" s="94">
        <f>Evangeline!M40</f>
        <v>291100</v>
      </c>
      <c r="AF24" s="94">
        <f t="shared" si="29"/>
        <v>291100</v>
      </c>
      <c r="AG24" s="95" t="str">
        <f t="shared" si="30"/>
        <v>Yes</v>
      </c>
      <c r="AH24" s="94">
        <f>Evangeline!L40+Evangeline!L27</f>
        <v>24954597</v>
      </c>
      <c r="AI24" s="94">
        <f t="shared" si="31"/>
        <v>24954597</v>
      </c>
      <c r="AJ24" s="93" t="str">
        <f t="shared" si="32"/>
        <v>Yes</v>
      </c>
    </row>
    <row r="25" spans="1:36">
      <c r="A25" s="104" t="s">
        <v>255</v>
      </c>
      <c r="B25" s="94">
        <f>Franklin!K9</f>
        <v>390416</v>
      </c>
      <c r="C25" s="94">
        <f>Franklin!K10</f>
        <v>686392</v>
      </c>
      <c r="D25" s="94">
        <f>Franklin!K11</f>
        <v>96829</v>
      </c>
      <c r="E25" s="94">
        <f>Franklin!K28</f>
        <v>1315401</v>
      </c>
      <c r="F25" s="94">
        <f>Franklin!K29</f>
        <v>924244</v>
      </c>
      <c r="G25" s="94">
        <f>Franklin!K31+Franklin!K32</f>
        <v>612516</v>
      </c>
      <c r="H25" s="94">
        <v>0</v>
      </c>
      <c r="I25" s="94">
        <v>0</v>
      </c>
      <c r="J25" s="94">
        <f>Franklin!K30</f>
        <v>1444</v>
      </c>
      <c r="K25" s="94">
        <f>Franklin!K33</f>
        <v>102104</v>
      </c>
      <c r="L25" s="94">
        <v>0</v>
      </c>
      <c r="M25" s="94">
        <v>0</v>
      </c>
      <c r="N25" s="94">
        <f>Franklin!K26+Franklin!K27</f>
        <v>13707070</v>
      </c>
      <c r="O25" s="101">
        <f>Franklin!K38</f>
        <v>17836416</v>
      </c>
      <c r="P25" s="94">
        <f t="shared" si="27"/>
        <v>17836416</v>
      </c>
      <c r="Q25" s="95" t="str">
        <f t="shared" si="28"/>
        <v>Yes</v>
      </c>
      <c r="R25" s="94">
        <v>0</v>
      </c>
      <c r="S25" s="94">
        <v>0</v>
      </c>
      <c r="T25" s="94">
        <v>0</v>
      </c>
      <c r="U25" s="94">
        <v>0</v>
      </c>
      <c r="V25" s="94">
        <v>0</v>
      </c>
      <c r="W25" s="94">
        <v>0</v>
      </c>
      <c r="X25" s="94">
        <v>0</v>
      </c>
      <c r="Y25" s="94">
        <v>0</v>
      </c>
      <c r="Z25" s="94">
        <v>0</v>
      </c>
      <c r="AA25" s="94">
        <v>0</v>
      </c>
      <c r="AB25" s="94">
        <v>0</v>
      </c>
      <c r="AC25" s="94">
        <v>0</v>
      </c>
      <c r="AD25" s="94">
        <v>0</v>
      </c>
      <c r="AF25" s="94">
        <f>SUM(R25:AE25)</f>
        <v>0</v>
      </c>
      <c r="AG25" s="95" t="str">
        <f t="shared" si="30"/>
        <v>Blank</v>
      </c>
      <c r="AH25" s="94">
        <f>Franklin!J38</f>
        <v>17836416</v>
      </c>
      <c r="AI25" s="94">
        <f t="shared" si="31"/>
        <v>17836416</v>
      </c>
      <c r="AJ25" s="93" t="str">
        <f t="shared" si="32"/>
        <v>Yes</v>
      </c>
    </row>
    <row r="26" spans="1:36">
      <c r="A26" s="93" t="s">
        <v>256</v>
      </c>
      <c r="B26" s="94">
        <f>Grant!M11</f>
        <v>203250</v>
      </c>
      <c r="C26" s="94">
        <f>Grant!M10</f>
        <v>37900</v>
      </c>
      <c r="D26" s="94">
        <v>0</v>
      </c>
      <c r="E26" s="94">
        <f>Grant!M15</f>
        <v>1562053.6602832675</v>
      </c>
      <c r="F26" s="94">
        <v>0</v>
      </c>
      <c r="G26" s="94">
        <v>0</v>
      </c>
      <c r="H26" s="94">
        <v>0</v>
      </c>
      <c r="I26" s="94">
        <v>0</v>
      </c>
      <c r="J26" s="102">
        <f>Grant!M16</f>
        <v>1523111.919488637</v>
      </c>
      <c r="K26" s="94">
        <v>0</v>
      </c>
      <c r="L26" s="94">
        <v>0</v>
      </c>
      <c r="M26" s="94">
        <v>0</v>
      </c>
      <c r="N26" s="94">
        <f>Grant!M17+Grant!M18</f>
        <v>2757162.4202280953</v>
      </c>
      <c r="O26" s="101">
        <f>Grant!M23</f>
        <v>6083478</v>
      </c>
      <c r="P26" s="94">
        <f t="shared" ref="P26" si="38">SUM(B26:N26)</f>
        <v>6083478</v>
      </c>
      <c r="Q26" s="95" t="str">
        <f t="shared" si="28"/>
        <v>Yes</v>
      </c>
      <c r="R26" s="94">
        <v>0</v>
      </c>
      <c r="S26" s="94">
        <v>0</v>
      </c>
      <c r="T26" s="94">
        <v>0</v>
      </c>
      <c r="U26" s="94">
        <f>Grant!M31</f>
        <v>1892.4624510235126</v>
      </c>
      <c r="V26" s="94">
        <v>0</v>
      </c>
      <c r="W26" s="94">
        <f>Grant!M32</f>
        <v>56009.489737971569</v>
      </c>
      <c r="X26" s="94">
        <v>0</v>
      </c>
      <c r="Y26" s="94">
        <v>0</v>
      </c>
      <c r="Z26" s="94">
        <v>0</v>
      </c>
      <c r="AA26" s="94">
        <v>0</v>
      </c>
      <c r="AB26" s="94">
        <v>0</v>
      </c>
      <c r="AC26" s="94">
        <v>0</v>
      </c>
      <c r="AD26" s="94">
        <f>Grant!M30</f>
        <v>299292.0478110048</v>
      </c>
      <c r="AE26" s="94">
        <f>Grant!M37</f>
        <v>357193.99999999988</v>
      </c>
      <c r="AF26" s="94">
        <f t="shared" ref="AF26" si="39">SUM(R26:AD26)</f>
        <v>357193.99999999988</v>
      </c>
      <c r="AG26" s="95" t="str">
        <f t="shared" si="30"/>
        <v>Yes</v>
      </c>
      <c r="AH26" s="94">
        <f>Grant!L37+Grant!L23</f>
        <v>6440672</v>
      </c>
      <c r="AI26" s="94">
        <f t="shared" si="31"/>
        <v>6440672</v>
      </c>
      <c r="AJ26" s="93" t="str">
        <f t="shared" si="32"/>
        <v>Yes</v>
      </c>
    </row>
    <row r="27" spans="1:36">
      <c r="A27" s="104" t="s">
        <v>257</v>
      </c>
      <c r="B27" s="94">
        <f>Iberia!K9</f>
        <v>2466687</v>
      </c>
      <c r="C27" s="94">
        <f>Iberia!K10</f>
        <v>2989592</v>
      </c>
      <c r="D27" s="94">
        <v>0</v>
      </c>
      <c r="E27" s="94">
        <f>Iberia!K22</f>
        <v>14699347</v>
      </c>
      <c r="F27" s="94">
        <f>Iberia!K21</f>
        <v>3096</v>
      </c>
      <c r="G27" s="94">
        <f>Morehouse!N9</f>
        <v>0</v>
      </c>
      <c r="H27" s="94">
        <v>0</v>
      </c>
      <c r="I27" s="94">
        <v>0</v>
      </c>
      <c r="J27" s="94">
        <f>Iberia!K23</f>
        <v>3517241</v>
      </c>
      <c r="K27" s="94">
        <v>0</v>
      </c>
      <c r="L27" s="94">
        <v>0</v>
      </c>
      <c r="M27" s="94">
        <v>0</v>
      </c>
      <c r="N27" s="94">
        <f>Iberia!K24</f>
        <v>72261300</v>
      </c>
      <c r="O27" s="101">
        <f>Iberia!K29</f>
        <v>95937263</v>
      </c>
      <c r="P27" s="94">
        <f t="shared" si="27"/>
        <v>95937263</v>
      </c>
      <c r="Q27" s="95" t="str">
        <f t="shared" si="28"/>
        <v>Yes</v>
      </c>
      <c r="R27" s="94">
        <v>0</v>
      </c>
      <c r="S27" s="94">
        <v>0</v>
      </c>
      <c r="T27" s="94">
        <v>0</v>
      </c>
      <c r="U27" s="94">
        <v>0</v>
      </c>
      <c r="V27" s="94">
        <v>0</v>
      </c>
      <c r="W27" s="94">
        <v>0</v>
      </c>
      <c r="X27" s="94">
        <v>0</v>
      </c>
      <c r="Y27" s="94">
        <v>0</v>
      </c>
      <c r="Z27" s="94">
        <v>0</v>
      </c>
      <c r="AA27" s="94">
        <v>0</v>
      </c>
      <c r="AB27" s="94">
        <v>0</v>
      </c>
      <c r="AC27" s="94">
        <v>0</v>
      </c>
      <c r="AD27" s="94">
        <v>0</v>
      </c>
      <c r="AF27" s="94">
        <f>SUM(R27:AE27)</f>
        <v>0</v>
      </c>
      <c r="AG27" s="95" t="str">
        <f t="shared" si="30"/>
        <v>Blank</v>
      </c>
      <c r="AH27" s="94">
        <f>Iberia!J29</f>
        <v>95937263</v>
      </c>
      <c r="AI27" s="94">
        <f t="shared" si="31"/>
        <v>95937263</v>
      </c>
      <c r="AJ27" s="93" t="str">
        <f t="shared" si="32"/>
        <v>Yes</v>
      </c>
    </row>
    <row r="28" spans="1:36">
      <c r="A28" s="93" t="s">
        <v>258</v>
      </c>
      <c r="B28" s="94">
        <f>Iberville!K7</f>
        <v>2975825</v>
      </c>
      <c r="C28" s="94">
        <f>Iberville!K8</f>
        <v>6218861</v>
      </c>
      <c r="D28" s="94">
        <v>0</v>
      </c>
      <c r="E28" s="94">
        <f>Iberville!K13</f>
        <v>31725027</v>
      </c>
      <c r="F28" s="94">
        <v>0</v>
      </c>
      <c r="G28" s="94">
        <f>Iberville!K15</f>
        <v>4023678</v>
      </c>
      <c r="H28" s="94">
        <v>0</v>
      </c>
      <c r="I28" s="94">
        <v>0</v>
      </c>
      <c r="J28" s="94">
        <v>0</v>
      </c>
      <c r="K28" s="94">
        <v>0</v>
      </c>
      <c r="L28" s="94">
        <v>0</v>
      </c>
      <c r="M28" s="94">
        <v>0</v>
      </c>
      <c r="N28" s="94">
        <f>Iberville!K14</f>
        <v>55243002</v>
      </c>
      <c r="O28" s="101">
        <f>Iberville!K18</f>
        <v>100186393</v>
      </c>
      <c r="P28" s="94">
        <f t="shared" si="6"/>
        <v>100186393</v>
      </c>
      <c r="Q28" s="95" t="str">
        <f t="shared" si="7"/>
        <v>Yes</v>
      </c>
      <c r="R28" s="94">
        <f>Iberville!J23</f>
        <v>193511</v>
      </c>
      <c r="S28" s="94">
        <f>Iberville!J24</f>
        <v>156733</v>
      </c>
      <c r="T28" s="94">
        <v>0</v>
      </c>
      <c r="U28" s="94">
        <f>Iberville!J30</f>
        <v>10071429</v>
      </c>
      <c r="V28" s="94">
        <v>0</v>
      </c>
      <c r="W28" s="94">
        <f>Iberville!J31</f>
        <v>154513</v>
      </c>
      <c r="X28" s="94">
        <v>0</v>
      </c>
      <c r="Y28" s="94">
        <v>0</v>
      </c>
      <c r="Z28" s="94">
        <v>0</v>
      </c>
      <c r="AA28" s="94">
        <v>0</v>
      </c>
      <c r="AB28" s="94">
        <v>0</v>
      </c>
      <c r="AC28" s="94">
        <v>0</v>
      </c>
      <c r="AD28" s="94">
        <v>0</v>
      </c>
      <c r="AE28" s="94">
        <f>Iberville!J36</f>
        <v>10576186</v>
      </c>
      <c r="AF28" s="94">
        <f t="shared" si="8"/>
        <v>10576186</v>
      </c>
      <c r="AG28" s="95" t="str">
        <f t="shared" si="9"/>
        <v>Yes</v>
      </c>
      <c r="AH28" s="94">
        <f>Iberville!K18+Iberville!J36</f>
        <v>110762579</v>
      </c>
      <c r="AI28" s="94">
        <f t="shared" si="10"/>
        <v>110762579</v>
      </c>
      <c r="AJ28" s="93" t="str">
        <f t="shared" si="11"/>
        <v>Yes</v>
      </c>
    </row>
    <row r="29" spans="1:36">
      <c r="A29" s="93" t="s">
        <v>259</v>
      </c>
      <c r="B29" s="102">
        <f>Jackson!K9</f>
        <v>427562</v>
      </c>
      <c r="C29" s="94">
        <f>Jackson!K10</f>
        <v>689578</v>
      </c>
      <c r="D29" s="94">
        <v>0</v>
      </c>
      <c r="E29" s="94">
        <f>Jackson!K21</f>
        <v>4953544</v>
      </c>
      <c r="F29" s="94">
        <v>0</v>
      </c>
      <c r="G29" s="94">
        <f>Jackson!K23</f>
        <v>1999528</v>
      </c>
      <c r="H29" s="94">
        <f>Livingston!M18</f>
        <v>0</v>
      </c>
      <c r="I29" s="94">
        <v>0</v>
      </c>
      <c r="J29" s="94">
        <v>0</v>
      </c>
      <c r="K29" s="94">
        <f>Jackson!K22</f>
        <v>612033</v>
      </c>
      <c r="L29" s="103">
        <v>0</v>
      </c>
      <c r="M29" s="94">
        <v>0</v>
      </c>
      <c r="N29" s="94">
        <f>Jackson!K24</f>
        <v>7717383</v>
      </c>
      <c r="O29" s="101">
        <f>Jackson!K29</f>
        <v>16399628</v>
      </c>
      <c r="P29" s="94">
        <f t="shared" ref="P29" si="40">SUM(B29:N29)</f>
        <v>16399628</v>
      </c>
      <c r="Q29" s="95" t="str">
        <f t="shared" ref="Q29" si="41">IF(O29="","Blank",IF(O29=P29,"Yes","No"))</f>
        <v>Yes</v>
      </c>
      <c r="R29" s="94">
        <f>Livingston!M30</f>
        <v>0</v>
      </c>
      <c r="S29" s="94">
        <f>Livingston!M31</f>
        <v>0</v>
      </c>
      <c r="T29" s="94">
        <v>0</v>
      </c>
      <c r="U29" s="94">
        <v>0</v>
      </c>
      <c r="V29" s="94">
        <v>0</v>
      </c>
      <c r="W29" s="94">
        <v>0</v>
      </c>
      <c r="X29" s="94">
        <v>0</v>
      </c>
      <c r="Y29" s="94">
        <v>0</v>
      </c>
      <c r="Z29" s="94">
        <v>0</v>
      </c>
      <c r="AA29" s="94">
        <v>0</v>
      </c>
      <c r="AB29" s="94">
        <v>0</v>
      </c>
      <c r="AC29" s="94">
        <v>0</v>
      </c>
      <c r="AD29" s="94">
        <f>Livingston!M37</f>
        <v>0</v>
      </c>
      <c r="AF29" s="94">
        <f t="shared" ref="AF29" si="42">SUM(R29:AD29)</f>
        <v>0</v>
      </c>
      <c r="AG29" s="95" t="str">
        <f t="shared" ref="AG29" si="43">IF(AE29="","Blank",IF(AE29=AF29,"Yes","No"))</f>
        <v>Blank</v>
      </c>
      <c r="AH29" s="94">
        <f>Jackson!K29</f>
        <v>16399628</v>
      </c>
      <c r="AI29" s="94">
        <f t="shared" ref="AI29" si="44">O29+AE29</f>
        <v>16399628</v>
      </c>
      <c r="AJ29" s="93" t="str">
        <f t="shared" ref="AJ29" si="45">IF(AH29="","Blank",IF(AH29=AI29,"Yes","No"))</f>
        <v>Yes</v>
      </c>
    </row>
    <row r="30" spans="1:36">
      <c r="A30" s="93" t="s">
        <v>260</v>
      </c>
      <c r="B30" s="94">
        <f>Jefferson!O11</f>
        <v>64274000</v>
      </c>
      <c r="C30" s="94">
        <f>Jefferson!O12</f>
        <v>178907000</v>
      </c>
      <c r="D30" s="94">
        <v>0</v>
      </c>
      <c r="E30" s="94">
        <f>Jefferson!O23</f>
        <v>211796000</v>
      </c>
      <c r="F30" s="94">
        <f>Jefferson!O24</f>
        <v>110972000</v>
      </c>
      <c r="G30" s="94">
        <f>Jefferson!O26</f>
        <v>45110000</v>
      </c>
      <c r="H30" s="94">
        <v>0</v>
      </c>
      <c r="I30" s="94">
        <v>0</v>
      </c>
      <c r="J30" s="102">
        <v>0</v>
      </c>
      <c r="K30" s="94">
        <f>Jefferson!O25</f>
        <v>14339000</v>
      </c>
      <c r="L30" s="94">
        <v>0</v>
      </c>
      <c r="M30" s="94">
        <v>0</v>
      </c>
      <c r="N30" s="94">
        <f>Jefferson!O27</f>
        <v>548604000</v>
      </c>
      <c r="O30" s="101">
        <f>Jefferson!O30</f>
        <v>1174002000</v>
      </c>
      <c r="P30" s="94">
        <f t="shared" si="6"/>
        <v>1174002000</v>
      </c>
      <c r="Q30" s="95" t="str">
        <f t="shared" si="7"/>
        <v>Yes</v>
      </c>
      <c r="R30" s="94">
        <f>Jefferson!O37</f>
        <v>13591000</v>
      </c>
      <c r="S30" s="94">
        <f>Jefferson!O38</f>
        <v>3112000</v>
      </c>
      <c r="T30" s="94">
        <v>0</v>
      </c>
      <c r="U30" s="94">
        <f>Jefferson!O50</f>
        <v>13301000</v>
      </c>
      <c r="V30" s="94">
        <f>Jefferson!O53</f>
        <v>10922000</v>
      </c>
      <c r="W30" s="94">
        <f>Jefferson!O54</f>
        <v>763000</v>
      </c>
      <c r="X30" s="94">
        <v>0</v>
      </c>
      <c r="Y30" s="94">
        <v>0</v>
      </c>
      <c r="Z30" s="94">
        <v>0</v>
      </c>
      <c r="AA30" s="94">
        <f>Jefferson!O55</f>
        <v>3330000</v>
      </c>
      <c r="AB30" s="94">
        <v>0</v>
      </c>
      <c r="AC30" s="94">
        <v>0</v>
      </c>
      <c r="AD30" s="94">
        <f>Jefferson!O51+Jefferson!O52</f>
        <v>501638000</v>
      </c>
      <c r="AE30" s="94">
        <f>Jefferson!O58</f>
        <v>546657000</v>
      </c>
      <c r="AF30" s="94">
        <f t="shared" si="8"/>
        <v>546657000</v>
      </c>
      <c r="AG30" s="95" t="str">
        <f t="shared" si="9"/>
        <v>Yes</v>
      </c>
      <c r="AH30" s="94">
        <f>Jefferson!O30+Jefferson!O58</f>
        <v>1720659000</v>
      </c>
      <c r="AI30" s="94">
        <f t="shared" si="10"/>
        <v>1720659000</v>
      </c>
      <c r="AJ30" s="93" t="str">
        <f t="shared" si="11"/>
        <v>Yes</v>
      </c>
    </row>
    <row r="31" spans="1:36">
      <c r="A31" s="93" t="s">
        <v>261</v>
      </c>
      <c r="B31" s="94">
        <f>'Jefferson Davis'!K9</f>
        <v>525705</v>
      </c>
      <c r="C31" s="94">
        <f>'Jefferson Davis'!K10</f>
        <v>88007</v>
      </c>
      <c r="D31" s="94">
        <v>0</v>
      </c>
      <c r="E31" s="94">
        <f>'Jefferson Davis'!K24</f>
        <v>8629016</v>
      </c>
      <c r="F31" s="94">
        <v>0</v>
      </c>
      <c r="G31" s="94">
        <f>'Jefferson Davis'!K26+'Jefferson Davis'!K27</f>
        <v>1328119</v>
      </c>
      <c r="H31" s="94">
        <f>Orleans!N18</f>
        <v>0</v>
      </c>
      <c r="I31" s="94">
        <v>0</v>
      </c>
      <c r="J31" s="94">
        <f>'Jefferson Davis'!K28</f>
        <v>70327</v>
      </c>
      <c r="K31" s="94">
        <f>'Jefferson Davis'!K25</f>
        <v>2652485</v>
      </c>
      <c r="L31" s="94">
        <v>0</v>
      </c>
      <c r="M31" s="94">
        <v>0</v>
      </c>
      <c r="N31" s="94">
        <f>'Jefferson Davis'!K29+'Jefferson Davis'!K30</f>
        <v>20271255</v>
      </c>
      <c r="O31" s="101">
        <f>'Jefferson Davis'!K34</f>
        <v>33564914</v>
      </c>
      <c r="P31" s="94">
        <f>SUM(B31:N31)</f>
        <v>33564914</v>
      </c>
      <c r="Q31" s="95" t="str">
        <f>IF(O31="","Blank",IF(O31=P31,"Yes","No"))</f>
        <v>Yes</v>
      </c>
      <c r="R31" s="94">
        <v>0</v>
      </c>
      <c r="S31" s="94">
        <v>0</v>
      </c>
      <c r="T31" s="94">
        <v>0</v>
      </c>
      <c r="U31" s="94">
        <v>0</v>
      </c>
      <c r="V31" s="94">
        <v>0</v>
      </c>
      <c r="W31" s="94">
        <v>0</v>
      </c>
      <c r="X31" s="94">
        <v>0</v>
      </c>
      <c r="Y31" s="94">
        <v>0</v>
      </c>
      <c r="Z31" s="94">
        <v>0</v>
      </c>
      <c r="AA31" s="94">
        <v>0</v>
      </c>
      <c r="AB31" s="94">
        <v>0</v>
      </c>
      <c r="AC31" s="94">
        <v>0</v>
      </c>
      <c r="AD31" s="94">
        <v>0</v>
      </c>
      <c r="AF31" s="94">
        <f>SUM(R31:AD31)</f>
        <v>0</v>
      </c>
      <c r="AG31" s="95" t="str">
        <f>IF(AE31="","Blank",IF(AE31=AF31,"Yes","No"))</f>
        <v>Blank</v>
      </c>
      <c r="AH31" s="94">
        <f>'Jefferson Davis'!K34</f>
        <v>33564914</v>
      </c>
      <c r="AI31" s="94">
        <f>O31+AE31</f>
        <v>33564914</v>
      </c>
      <c r="AJ31" s="93" t="str">
        <f>IF(AH31="","Blank",IF(AH31=AI31,"Yes","No"))</f>
        <v>Yes</v>
      </c>
    </row>
    <row r="32" spans="1:36">
      <c r="A32" s="93" t="s">
        <v>262</v>
      </c>
      <c r="B32" s="94">
        <f>Lafayette!K10</f>
        <v>38517490</v>
      </c>
      <c r="C32" s="94">
        <f>Lafayette!K11</f>
        <v>31680505</v>
      </c>
      <c r="D32" s="94">
        <v>0</v>
      </c>
      <c r="E32" s="94">
        <f>Lafayette!K23</f>
        <v>255344012</v>
      </c>
      <c r="F32" s="94">
        <f>Lafayette!K22</f>
        <v>7439174</v>
      </c>
      <c r="G32" s="94">
        <v>0</v>
      </c>
      <c r="H32" s="94">
        <f>Lafayette!K25</f>
        <v>58611671</v>
      </c>
      <c r="I32" s="94">
        <v>0</v>
      </c>
      <c r="J32" s="94">
        <v>0</v>
      </c>
      <c r="K32" s="94">
        <f>Lafayette!K24</f>
        <v>85328518</v>
      </c>
      <c r="L32" s="94">
        <v>0</v>
      </c>
      <c r="M32" s="94">
        <v>0</v>
      </c>
      <c r="N32" s="94">
        <f>Lafayette!K26</f>
        <v>931529137</v>
      </c>
      <c r="O32" s="101">
        <f>Lafayette!K28</f>
        <v>1408450507</v>
      </c>
      <c r="P32" s="94">
        <f t="shared" si="6"/>
        <v>1408450507</v>
      </c>
      <c r="Q32" s="95" t="str">
        <f t="shared" si="7"/>
        <v>Yes</v>
      </c>
      <c r="R32" s="94">
        <f>Lafayette!K33</f>
        <v>21168445</v>
      </c>
      <c r="S32" s="94">
        <f>Lafayette!K34</f>
        <v>45063725</v>
      </c>
      <c r="T32" s="94">
        <v>0</v>
      </c>
      <c r="U32" s="94">
        <f>Lafayette!K46</f>
        <v>228117</v>
      </c>
      <c r="V32" s="94">
        <v>0</v>
      </c>
      <c r="W32" s="94">
        <f>Lafayette!K51</f>
        <v>14444193</v>
      </c>
      <c r="X32" s="94">
        <f>Lafayette!K50</f>
        <v>85009057</v>
      </c>
      <c r="Y32" s="94">
        <v>0</v>
      </c>
      <c r="Z32" s="94">
        <v>0</v>
      </c>
      <c r="AA32" s="94">
        <v>0</v>
      </c>
      <c r="AB32" s="94">
        <v>0</v>
      </c>
      <c r="AC32" s="94">
        <v>0</v>
      </c>
      <c r="AD32" s="94">
        <f>Lafayette!K47+Lafayette!K48+Lafayette!K49</f>
        <v>562950949</v>
      </c>
      <c r="AE32" s="94">
        <f>Lafayette!K53</f>
        <v>728864486</v>
      </c>
      <c r="AF32" s="94">
        <f t="shared" si="8"/>
        <v>728864486</v>
      </c>
      <c r="AG32" s="95" t="str">
        <f t="shared" si="9"/>
        <v>Yes</v>
      </c>
      <c r="AH32" s="94">
        <f>Lafayette!K28+Lafayette!K53</f>
        <v>2137314993</v>
      </c>
      <c r="AI32" s="94">
        <f t="shared" si="10"/>
        <v>2137314993</v>
      </c>
      <c r="AJ32" s="93" t="str">
        <f t="shared" si="11"/>
        <v>Yes</v>
      </c>
    </row>
    <row r="33" spans="1:36">
      <c r="A33" s="93" t="s">
        <v>263</v>
      </c>
      <c r="B33" s="94">
        <f>LaFourche!J8</f>
        <v>1315603</v>
      </c>
      <c r="C33" s="94">
        <f>LaFourche!J9</f>
        <v>23784977</v>
      </c>
      <c r="D33" s="94">
        <v>0</v>
      </c>
      <c r="E33" s="94">
        <f>LaFourche!J22</f>
        <v>24429538</v>
      </c>
      <c r="F33" s="94">
        <f>LaFourche!J24</f>
        <v>1269667</v>
      </c>
      <c r="G33" s="103">
        <f>LaFourche!J26</f>
        <v>3325327</v>
      </c>
      <c r="H33" s="103">
        <v>0</v>
      </c>
      <c r="I33" s="94">
        <v>0</v>
      </c>
      <c r="J33" s="94">
        <v>0</v>
      </c>
      <c r="K33" s="103">
        <f>LaFourche!J27</f>
        <v>3332367</v>
      </c>
      <c r="L33" s="94">
        <v>0</v>
      </c>
      <c r="M33" s="94">
        <v>0</v>
      </c>
      <c r="N33" s="94">
        <f>LaFourche!J23+LaFourche!J25</f>
        <v>25595009</v>
      </c>
      <c r="O33" s="101">
        <f>LaFourche!J30</f>
        <v>83052488</v>
      </c>
      <c r="P33" s="94">
        <f t="shared" si="6"/>
        <v>83052488</v>
      </c>
      <c r="Q33" s="95" t="str">
        <f t="shared" si="7"/>
        <v>Yes</v>
      </c>
      <c r="R33" s="94">
        <v>0</v>
      </c>
      <c r="S33" s="94">
        <v>0</v>
      </c>
      <c r="T33" s="94">
        <v>0</v>
      </c>
      <c r="U33" s="94">
        <v>0</v>
      </c>
      <c r="V33" s="94">
        <v>0</v>
      </c>
      <c r="W33" s="94">
        <v>0</v>
      </c>
      <c r="X33" s="94">
        <v>0</v>
      </c>
      <c r="Y33" s="94">
        <v>0</v>
      </c>
      <c r="Z33" s="94">
        <v>0</v>
      </c>
      <c r="AA33" s="94">
        <v>0</v>
      </c>
      <c r="AB33" s="94">
        <v>0</v>
      </c>
      <c r="AC33" s="94">
        <v>0</v>
      </c>
      <c r="AD33" s="94">
        <v>0</v>
      </c>
      <c r="AF33" s="94">
        <f t="shared" si="8"/>
        <v>0</v>
      </c>
      <c r="AG33" s="95" t="str">
        <f t="shared" si="9"/>
        <v>Blank</v>
      </c>
      <c r="AH33" s="94">
        <f>LaFourche!J30</f>
        <v>83052488</v>
      </c>
      <c r="AI33" s="94">
        <f t="shared" si="10"/>
        <v>83052488</v>
      </c>
      <c r="AJ33" s="93" t="str">
        <f t="shared" si="11"/>
        <v>Yes</v>
      </c>
    </row>
    <row r="34" spans="1:36">
      <c r="A34" s="93" t="s">
        <v>264</v>
      </c>
      <c r="B34" s="94">
        <f>LaSalle!M10+LaSalle!M28</f>
        <v>501018</v>
      </c>
      <c r="C34" s="94">
        <f>LaSalle!M29</f>
        <v>0</v>
      </c>
      <c r="D34" s="94">
        <v>0</v>
      </c>
      <c r="E34" s="94">
        <f>LaSalle!M35+LaSalle!M41</f>
        <v>1698880</v>
      </c>
      <c r="F34" s="94">
        <f>Plaquemines!M16</f>
        <v>0</v>
      </c>
      <c r="G34" s="94">
        <f>LaSalle!M44+LaSalle!M43+LaSalle!M37</f>
        <v>397428</v>
      </c>
      <c r="H34" s="94">
        <v>0</v>
      </c>
      <c r="I34" s="94">
        <f>LaSalle!M46+LaSalle!M33</f>
        <v>148004</v>
      </c>
      <c r="J34" s="94">
        <f>LaSalle!M42+LaSalle!M36</f>
        <v>239276</v>
      </c>
      <c r="K34" s="94">
        <f>LaSalle!M34+LaSalle!M45</f>
        <v>162797</v>
      </c>
      <c r="L34" s="94">
        <v>0</v>
      </c>
      <c r="M34" s="94">
        <v>0</v>
      </c>
      <c r="N34" s="94">
        <f>LaSalle!M40</f>
        <v>2698759</v>
      </c>
      <c r="O34" s="101">
        <f>LaSalle!M50</f>
        <v>5846162</v>
      </c>
      <c r="P34" s="94">
        <f t="shared" ref="P34" si="46">SUM(B34:N34)</f>
        <v>5846162</v>
      </c>
      <c r="Q34" s="95" t="str">
        <f t="shared" ref="Q34" si="47">IF(O34="","Blank",IF(O34=P34,"Yes","No"))</f>
        <v>Yes</v>
      </c>
      <c r="R34" s="94">
        <f>Plaquemines!M27</f>
        <v>0</v>
      </c>
      <c r="S34" s="94">
        <v>0</v>
      </c>
      <c r="T34" s="94">
        <v>0</v>
      </c>
      <c r="U34" s="94">
        <f>Plaquemines!M39</f>
        <v>0</v>
      </c>
      <c r="V34" s="94">
        <f>Plaquemines!M40</f>
        <v>0</v>
      </c>
      <c r="W34" s="94">
        <v>0</v>
      </c>
      <c r="X34" s="94">
        <v>0</v>
      </c>
      <c r="Y34" s="94">
        <v>0</v>
      </c>
      <c r="Z34" s="94">
        <v>0</v>
      </c>
      <c r="AA34" s="94">
        <v>0</v>
      </c>
      <c r="AB34" s="94">
        <v>0</v>
      </c>
      <c r="AC34" s="94">
        <v>0</v>
      </c>
      <c r="AD34" s="94">
        <f>Plaquemines!M35</f>
        <v>0</v>
      </c>
      <c r="AF34" s="94">
        <f t="shared" ref="AF34" si="48">SUM(R34:AD34)</f>
        <v>0</v>
      </c>
      <c r="AG34" s="95" t="str">
        <f t="shared" ref="AG34" si="49">IF(AE34="","Blank",IF(AE34=AF34,"Yes","No"))</f>
        <v>Blank</v>
      </c>
      <c r="AH34" s="94">
        <f>LaSalle!M50</f>
        <v>5846162</v>
      </c>
      <c r="AI34" s="94">
        <f t="shared" ref="AI34" si="50">O34+AE34</f>
        <v>5846162</v>
      </c>
      <c r="AJ34" s="93" t="str">
        <f t="shared" ref="AJ34" si="51">IF(AH34="","Blank",IF(AH34=AI34,"Yes","No"))</f>
        <v>Yes</v>
      </c>
    </row>
    <row r="35" spans="1:36">
      <c r="A35" s="93" t="s">
        <v>265</v>
      </c>
      <c r="B35" s="94">
        <f>Lincoln!M9</f>
        <v>1775786</v>
      </c>
      <c r="C35" s="94">
        <v>0</v>
      </c>
      <c r="D35" s="94">
        <v>0</v>
      </c>
      <c r="E35" s="94">
        <f>Lincoln!M22+Lincoln!M24</f>
        <v>11922226</v>
      </c>
      <c r="F35" s="94">
        <f>Plaquemines!M18</f>
        <v>0</v>
      </c>
      <c r="G35" s="94">
        <f>Lincoln!M27</f>
        <v>1796224</v>
      </c>
      <c r="H35" s="94">
        <v>0</v>
      </c>
      <c r="I35" s="94">
        <v>0</v>
      </c>
      <c r="J35" s="94">
        <f>Lincoln!M26</f>
        <v>315178</v>
      </c>
      <c r="K35" s="94">
        <f>Lincoln!M25</f>
        <v>531373</v>
      </c>
      <c r="L35" s="94">
        <v>0</v>
      </c>
      <c r="M35" s="94">
        <v>0</v>
      </c>
      <c r="N35" s="94">
        <f>Lincoln!M23</f>
        <v>7529398</v>
      </c>
      <c r="O35" s="101">
        <f>Lincoln!M30</f>
        <v>23870185</v>
      </c>
      <c r="P35" s="94">
        <f t="shared" ref="P35" si="52">SUM(B35:N35)</f>
        <v>23870185</v>
      </c>
      <c r="Q35" s="95" t="str">
        <f t="shared" ref="Q35" si="53">IF(O35="","Blank",IF(O35=P35,"Yes","No"))</f>
        <v>Yes</v>
      </c>
      <c r="R35" s="94">
        <f>Plaquemines!M29</f>
        <v>0</v>
      </c>
      <c r="S35" s="94">
        <f>Plaquemines!M30</f>
        <v>0</v>
      </c>
      <c r="T35" s="94">
        <v>0</v>
      </c>
      <c r="U35" s="94">
        <v>0</v>
      </c>
      <c r="V35" s="94">
        <f>Plaquemines!M42</f>
        <v>0</v>
      </c>
      <c r="W35" s="94">
        <f>Plaquemines!M43</f>
        <v>0</v>
      </c>
      <c r="X35" s="94">
        <v>0</v>
      </c>
      <c r="Y35" s="94">
        <v>0</v>
      </c>
      <c r="Z35" s="94">
        <v>0</v>
      </c>
      <c r="AA35" s="94">
        <v>0</v>
      </c>
      <c r="AB35" s="94">
        <v>0</v>
      </c>
      <c r="AC35" s="94">
        <v>0</v>
      </c>
      <c r="AD35" s="94">
        <f>Plaquemines!M37</f>
        <v>0</v>
      </c>
      <c r="AF35" s="94">
        <f t="shared" ref="AF35" si="54">SUM(R35:AD35)</f>
        <v>0</v>
      </c>
      <c r="AG35" s="95" t="str">
        <f t="shared" ref="AG35" si="55">IF(AE35="","Blank",IF(AE35=AF35,"Yes","No"))</f>
        <v>Blank</v>
      </c>
      <c r="AH35" s="94">
        <f>Lincoln!M30</f>
        <v>23870185</v>
      </c>
      <c r="AI35" s="94">
        <f t="shared" ref="AI35" si="56">O35+AE35</f>
        <v>23870185</v>
      </c>
      <c r="AJ35" s="93" t="str">
        <f t="shared" ref="AJ35" si="57">IF(AH35="","Blank",IF(AH35=AI35,"Yes","No"))</f>
        <v>Yes</v>
      </c>
    </row>
    <row r="36" spans="1:36">
      <c r="A36" s="93" t="s">
        <v>266</v>
      </c>
      <c r="B36" s="102">
        <f>Livingston!M9</f>
        <v>5844429</v>
      </c>
      <c r="C36" s="94">
        <f>Livingston!M10</f>
        <v>15111097</v>
      </c>
      <c r="D36" s="94">
        <v>0</v>
      </c>
      <c r="E36" s="94">
        <f>Livingston!M21</f>
        <v>45429948</v>
      </c>
      <c r="F36" s="94">
        <v>0</v>
      </c>
      <c r="G36" s="94">
        <f>Livingston!M23</f>
        <v>1538945</v>
      </c>
      <c r="H36" s="94">
        <f>Livingston!M22</f>
        <v>3452060</v>
      </c>
      <c r="I36" s="94">
        <v>0</v>
      </c>
      <c r="J36" s="94">
        <f>Livingston!M26</f>
        <v>-17870</v>
      </c>
      <c r="K36" s="94">
        <v>0</v>
      </c>
      <c r="L36" s="103">
        <v>0</v>
      </c>
      <c r="M36" s="94">
        <v>0</v>
      </c>
      <c r="N36" s="94">
        <f>Livingston!M25+Livingston!M24</f>
        <v>72313919</v>
      </c>
      <c r="O36" s="101">
        <f>Livingston!M29</f>
        <v>143672528</v>
      </c>
      <c r="P36" s="94">
        <f t="shared" si="6"/>
        <v>143672528</v>
      </c>
      <c r="Q36" s="95" t="str">
        <f t="shared" si="7"/>
        <v>Yes</v>
      </c>
      <c r="R36" s="94">
        <f>Livingston!M34</f>
        <v>13243</v>
      </c>
      <c r="S36" s="94">
        <f>Livingston!M35</f>
        <v>177483</v>
      </c>
      <c r="T36" s="94">
        <v>0</v>
      </c>
      <c r="U36" s="94">
        <v>0</v>
      </c>
      <c r="V36" s="94">
        <v>0</v>
      </c>
      <c r="W36" s="94">
        <v>0</v>
      </c>
      <c r="X36" s="94">
        <v>0</v>
      </c>
      <c r="Y36" s="94">
        <v>0</v>
      </c>
      <c r="Z36" s="94">
        <v>0</v>
      </c>
      <c r="AA36" s="94">
        <v>0</v>
      </c>
      <c r="AB36" s="94">
        <v>0</v>
      </c>
      <c r="AC36" s="94">
        <v>0</v>
      </c>
      <c r="AD36" s="94">
        <f>Livingston!M41</f>
        <v>8106754</v>
      </c>
      <c r="AE36" s="94">
        <f>Livingston!M44</f>
        <v>8297480</v>
      </c>
      <c r="AF36" s="94">
        <f t="shared" si="8"/>
        <v>8297480</v>
      </c>
      <c r="AG36" s="95" t="str">
        <f t="shared" si="9"/>
        <v>Yes</v>
      </c>
      <c r="AH36" s="94">
        <f>Livingston!M44+Livingston!M29</f>
        <v>151970008</v>
      </c>
      <c r="AI36" s="94">
        <f t="shared" si="10"/>
        <v>151970008</v>
      </c>
      <c r="AJ36" s="93" t="str">
        <f t="shared" si="11"/>
        <v>Yes</v>
      </c>
    </row>
    <row r="37" spans="1:36">
      <c r="A37" s="104" t="s">
        <v>267</v>
      </c>
      <c r="B37" s="94">
        <f>Madison!M9</f>
        <v>188750</v>
      </c>
      <c r="C37" s="94">
        <v>0</v>
      </c>
      <c r="D37" s="94">
        <f>Madison!M10</f>
        <v>3771405</v>
      </c>
      <c r="E37" s="94">
        <f>Madison!M20</f>
        <v>1572206</v>
      </c>
      <c r="F37" s="94">
        <v>0</v>
      </c>
      <c r="G37" s="94">
        <f>'Pointe Coupee'!M18</f>
        <v>0</v>
      </c>
      <c r="H37" s="94">
        <f>Madison!M14</f>
        <v>1509539</v>
      </c>
      <c r="I37" s="94">
        <f>Madison!M22</f>
        <v>109434</v>
      </c>
      <c r="J37" s="94">
        <f>Madison!M21</f>
        <v>1026033</v>
      </c>
      <c r="K37" s="94">
        <v>0</v>
      </c>
      <c r="L37" s="94">
        <v>0</v>
      </c>
      <c r="M37" s="94">
        <v>0</v>
      </c>
      <c r="N37" s="94">
        <f>'Pointe Coupee'!M19</f>
        <v>0</v>
      </c>
      <c r="O37" s="101">
        <f>Madison!M25</f>
        <v>8177367</v>
      </c>
      <c r="P37" s="94">
        <f t="shared" ref="P37" si="58">SUM(B37:N37)</f>
        <v>8177367</v>
      </c>
      <c r="Q37" s="95" t="str">
        <f t="shared" ref="Q37" si="59">IF(O37="","Blank",IF(O37=P37,"Yes","No"))</f>
        <v>Yes</v>
      </c>
      <c r="R37" s="94">
        <f>'Pointe Coupee'!M28</f>
        <v>0</v>
      </c>
      <c r="S37" s="94">
        <v>0</v>
      </c>
      <c r="T37" s="94">
        <v>0</v>
      </c>
      <c r="U37" s="94">
        <v>0</v>
      </c>
      <c r="V37" s="94">
        <v>0</v>
      </c>
      <c r="W37" s="94">
        <v>0</v>
      </c>
      <c r="X37" s="94">
        <v>0</v>
      </c>
      <c r="Y37" s="94">
        <v>0</v>
      </c>
      <c r="Z37" s="94">
        <v>0</v>
      </c>
      <c r="AA37" s="94">
        <v>0</v>
      </c>
      <c r="AB37" s="94">
        <v>0</v>
      </c>
      <c r="AC37" s="94">
        <v>0</v>
      </c>
      <c r="AD37" s="94">
        <v>0</v>
      </c>
      <c r="AF37" s="94">
        <f t="shared" ref="AF37" si="60">SUM(R37:AD37)</f>
        <v>0</v>
      </c>
      <c r="AG37" s="95" t="str">
        <f t="shared" ref="AG37" si="61">IF(AE37="","Blank",IF(AE37=AF37,"Yes","No"))</f>
        <v>Blank</v>
      </c>
      <c r="AH37" s="94">
        <f>Madison!M25</f>
        <v>8177367</v>
      </c>
      <c r="AI37" s="94">
        <f t="shared" ref="AI37" si="62">O37+AE37</f>
        <v>8177367</v>
      </c>
      <c r="AJ37" s="93" t="str">
        <f t="shared" ref="AJ37" si="63">IF(AH37="","Blank",IF(AH37=AI37,"Yes","No"))</f>
        <v>Yes</v>
      </c>
    </row>
    <row r="38" spans="1:36">
      <c r="A38" s="104" t="s">
        <v>268</v>
      </c>
      <c r="B38" s="94">
        <f>Morehouse!N8</f>
        <v>778626</v>
      </c>
      <c r="C38" s="94">
        <v>0</v>
      </c>
      <c r="D38" s="94">
        <v>0</v>
      </c>
      <c r="E38" s="94">
        <f>Morehouse!N14</f>
        <v>11986527</v>
      </c>
      <c r="G38" s="94">
        <f>Morehouse!N15</f>
        <v>879268</v>
      </c>
      <c r="H38" s="94">
        <v>0</v>
      </c>
      <c r="I38" s="94">
        <v>0</v>
      </c>
      <c r="J38" s="94">
        <v>0</v>
      </c>
      <c r="K38" s="94">
        <v>0</v>
      </c>
      <c r="L38" s="94">
        <v>0</v>
      </c>
      <c r="M38" s="94">
        <v>0</v>
      </c>
      <c r="N38" s="94">
        <v>0</v>
      </c>
      <c r="O38" s="101">
        <f>Morehouse!N19</f>
        <v>13644421</v>
      </c>
      <c r="P38" s="94">
        <f t="shared" si="6"/>
        <v>13644421</v>
      </c>
      <c r="Q38" s="95" t="str">
        <f t="shared" si="7"/>
        <v>Yes</v>
      </c>
      <c r="R38" s="94">
        <v>0</v>
      </c>
      <c r="S38" s="94">
        <v>0</v>
      </c>
      <c r="T38" s="94">
        <v>0</v>
      </c>
      <c r="U38" s="94">
        <v>0</v>
      </c>
      <c r="V38" s="94">
        <v>0</v>
      </c>
      <c r="W38" s="94">
        <v>0</v>
      </c>
      <c r="X38" s="94">
        <v>0</v>
      </c>
      <c r="Y38" s="94">
        <v>0</v>
      </c>
      <c r="Z38" s="94">
        <v>0</v>
      </c>
      <c r="AA38" s="94">
        <v>0</v>
      </c>
      <c r="AB38" s="94">
        <v>0</v>
      </c>
      <c r="AC38" s="94">
        <v>0</v>
      </c>
      <c r="AD38" s="94">
        <v>0</v>
      </c>
      <c r="AF38" s="94">
        <f>SUM(R38:AE38)</f>
        <v>0</v>
      </c>
      <c r="AG38" s="95" t="str">
        <f t="shared" si="9"/>
        <v>Blank</v>
      </c>
      <c r="AH38" s="94">
        <f>Morehouse!N19</f>
        <v>13644421</v>
      </c>
      <c r="AI38" s="94">
        <f t="shared" si="10"/>
        <v>13644421</v>
      </c>
      <c r="AJ38" s="93" t="str">
        <f t="shared" si="11"/>
        <v>Yes</v>
      </c>
    </row>
    <row r="39" spans="1:36">
      <c r="A39" s="104" t="s">
        <v>269</v>
      </c>
      <c r="B39" s="94">
        <f>Natchitoches!M9+Natchitoches!M120</f>
        <v>471485</v>
      </c>
      <c r="C39" s="94">
        <f>Natchitoches!M108</f>
        <v>29054</v>
      </c>
      <c r="D39" s="94">
        <v>0</v>
      </c>
      <c r="E39" s="94">
        <f>Natchitoches!M17+Natchitoches!M54+Natchitoches!M80+Natchitoches!M130</f>
        <v>2102193</v>
      </c>
      <c r="F39" s="94">
        <v>0</v>
      </c>
      <c r="G39" s="94">
        <f>Natchitoches!M18+Natchitoches!M19+Natchitoches!M55+Natchitoches!M56+Natchitoches!M67+Natchitoches!M82+Natchitoches!M81+Natchitoches!M113+Natchitoches!M131+Natchitoches!M132</f>
        <v>521785</v>
      </c>
      <c r="H39" s="94">
        <v>0</v>
      </c>
      <c r="I39" s="94">
        <f>Natchitoches!M115</f>
        <v>337451</v>
      </c>
      <c r="J39" s="94">
        <v>0</v>
      </c>
      <c r="K39" s="94">
        <f>Natchitoches!M20+Natchitoches!M57+Natchitoches!M68+Natchitoches!M83+Natchitoches!M101+Natchitoches!M114+Natchitoches!M133</f>
        <v>404192</v>
      </c>
      <c r="L39" s="94">
        <f>Natchitoches!M134</f>
        <v>6711927</v>
      </c>
      <c r="M39" s="94">
        <v>0</v>
      </c>
      <c r="N39" s="94">
        <f>Natchitoches!M135</f>
        <v>127966</v>
      </c>
      <c r="O39" s="101">
        <f>Natchitoches!M140</f>
        <v>10706053</v>
      </c>
      <c r="P39" s="94">
        <f t="shared" ref="P39" si="64">SUM(B39:N39)</f>
        <v>10706053</v>
      </c>
      <c r="Q39" s="95" t="str">
        <f t="shared" ref="Q39" si="65">IF(O39="","Blank",IF(O39=P39,"Yes","No"))</f>
        <v>Yes</v>
      </c>
      <c r="R39" s="94">
        <f>'Pointe Coupee'!M29</f>
        <v>0</v>
      </c>
      <c r="S39" s="94">
        <v>0</v>
      </c>
      <c r="T39" s="94">
        <v>0</v>
      </c>
      <c r="U39" s="94">
        <v>0</v>
      </c>
      <c r="V39" s="94">
        <v>0</v>
      </c>
      <c r="W39" s="94">
        <v>0</v>
      </c>
      <c r="X39" s="94">
        <v>0</v>
      </c>
      <c r="Y39" s="94">
        <v>0</v>
      </c>
      <c r="Z39" s="94">
        <v>0</v>
      </c>
      <c r="AA39" s="94">
        <v>0</v>
      </c>
      <c r="AB39" s="94">
        <v>0</v>
      </c>
      <c r="AC39" s="94">
        <v>0</v>
      </c>
      <c r="AD39" s="94">
        <f>'Pointe Coupee'!M33</f>
        <v>0</v>
      </c>
      <c r="AF39" s="94">
        <f t="shared" ref="AF39" si="66">SUM(R39:AD39)</f>
        <v>0</v>
      </c>
      <c r="AG39" s="95" t="str">
        <f t="shared" ref="AG39" si="67">IF(AE39="","Blank",IF(AE39=AF39,"Yes","No"))</f>
        <v>Blank</v>
      </c>
      <c r="AH39" s="94">
        <f>Natchitoches!M140</f>
        <v>10706053</v>
      </c>
      <c r="AI39" s="94">
        <f t="shared" ref="AI39" si="68">O39+AE39</f>
        <v>10706053</v>
      </c>
      <c r="AJ39" s="93" t="str">
        <f t="shared" ref="AJ39" si="69">IF(AH39="","Blank",IF(AH39=AI39,"Yes","No"))</f>
        <v>Yes</v>
      </c>
    </row>
    <row r="40" spans="1:36">
      <c r="A40" s="93" t="s">
        <v>270</v>
      </c>
      <c r="B40" s="94">
        <f>Orleans!N9</f>
        <v>94474000</v>
      </c>
      <c r="C40" s="94">
        <f>Orleans!N10</f>
        <v>447135000</v>
      </c>
      <c r="D40" s="94">
        <v>0</v>
      </c>
      <c r="E40" s="94">
        <f>Orleans!N22</f>
        <v>254036000</v>
      </c>
      <c r="F40" s="94">
        <v>0</v>
      </c>
      <c r="G40" s="94">
        <f>Orleans!N23</f>
        <v>19119000</v>
      </c>
      <c r="H40" s="94">
        <f>Orleans!N24</f>
        <v>10310000</v>
      </c>
      <c r="I40" s="94">
        <v>0</v>
      </c>
      <c r="J40" s="94">
        <v>0</v>
      </c>
      <c r="K40" s="94">
        <v>0</v>
      </c>
      <c r="L40" s="94">
        <v>0</v>
      </c>
      <c r="M40" s="94">
        <v>0</v>
      </c>
      <c r="N40" s="94">
        <f>Orleans!N21</f>
        <v>725036000</v>
      </c>
      <c r="O40" s="101">
        <f>Orleans!N27</f>
        <v>1550110000</v>
      </c>
      <c r="P40" s="94">
        <f t="shared" si="6"/>
        <v>1550110000</v>
      </c>
      <c r="Q40" s="95" t="str">
        <f t="shared" si="7"/>
        <v>Yes</v>
      </c>
      <c r="R40" s="94">
        <v>0</v>
      </c>
      <c r="S40" s="94">
        <v>0</v>
      </c>
      <c r="T40" s="94">
        <v>0</v>
      </c>
      <c r="U40" s="94">
        <v>0</v>
      </c>
      <c r="V40" s="94">
        <v>0</v>
      </c>
      <c r="W40" s="94">
        <v>0</v>
      </c>
      <c r="X40" s="94">
        <v>0</v>
      </c>
      <c r="Y40" s="94">
        <v>0</v>
      </c>
      <c r="Z40" s="94">
        <v>0</v>
      </c>
      <c r="AA40" s="94">
        <v>0</v>
      </c>
      <c r="AB40" s="94">
        <v>0</v>
      </c>
      <c r="AC40" s="94">
        <v>0</v>
      </c>
      <c r="AD40" s="94">
        <v>0</v>
      </c>
      <c r="AF40" s="94">
        <f t="shared" si="8"/>
        <v>0</v>
      </c>
      <c r="AG40" s="95" t="str">
        <f t="shared" si="9"/>
        <v>Blank</v>
      </c>
      <c r="AH40" s="94">
        <f>Orleans!N27</f>
        <v>1550110000</v>
      </c>
      <c r="AI40" s="94">
        <f t="shared" si="10"/>
        <v>1550110000</v>
      </c>
      <c r="AJ40" s="93" t="str">
        <f t="shared" si="11"/>
        <v>Yes</v>
      </c>
    </row>
    <row r="41" spans="1:36">
      <c r="A41" s="104" t="s">
        <v>271</v>
      </c>
      <c r="B41" s="94">
        <f>Ouachita!M9</f>
        <v>8970022</v>
      </c>
      <c r="C41" s="94">
        <f>Ouachita!M10</f>
        <v>10039664</v>
      </c>
      <c r="D41" s="94">
        <v>0</v>
      </c>
      <c r="E41" s="94">
        <f>Ouachita!M24</f>
        <v>37393923</v>
      </c>
      <c r="F41" s="94">
        <v>0</v>
      </c>
      <c r="G41" s="94">
        <f>Morehouse!N18</f>
        <v>0</v>
      </c>
      <c r="H41" s="94">
        <v>0</v>
      </c>
      <c r="I41" s="94">
        <f>Ouachita!M26</f>
        <v>1524273</v>
      </c>
      <c r="J41" s="94">
        <f>Ouachita!M25</f>
        <v>10285677</v>
      </c>
      <c r="K41" s="94">
        <v>0</v>
      </c>
      <c r="L41" s="94">
        <v>0</v>
      </c>
      <c r="M41" s="94">
        <v>0</v>
      </c>
      <c r="N41" s="94">
        <f>Ouachita!M28+Ouachita!M29+Ouachita!M30</f>
        <v>113145796</v>
      </c>
      <c r="O41" s="101">
        <f>Ouachita!M33</f>
        <v>181359355</v>
      </c>
      <c r="P41" s="94">
        <f t="shared" ref="P41" si="70">SUM(B41:N41)</f>
        <v>181359355</v>
      </c>
      <c r="Q41" s="95" t="str">
        <f t="shared" ref="Q41" si="71">IF(O41="","Blank",IF(O41=P41,"Yes","No"))</f>
        <v>Yes</v>
      </c>
      <c r="R41" s="94">
        <v>0</v>
      </c>
      <c r="S41" s="94">
        <v>0</v>
      </c>
      <c r="T41" s="94">
        <v>0</v>
      </c>
      <c r="U41" s="94">
        <v>0</v>
      </c>
      <c r="V41" s="94">
        <v>0</v>
      </c>
      <c r="W41" s="94">
        <v>0</v>
      </c>
      <c r="X41" s="94">
        <v>0</v>
      </c>
      <c r="Y41" s="94">
        <v>0</v>
      </c>
      <c r="Z41" s="94">
        <v>0</v>
      </c>
      <c r="AA41" s="94">
        <v>0</v>
      </c>
      <c r="AB41" s="94">
        <v>0</v>
      </c>
      <c r="AC41" s="94">
        <v>0</v>
      </c>
      <c r="AD41" s="94">
        <v>0</v>
      </c>
      <c r="AF41" s="94">
        <f>SUM(R41:AE41)</f>
        <v>0</v>
      </c>
      <c r="AG41" s="95" t="str">
        <f t="shared" ref="AG41" si="72">IF(AE41="","Blank",IF(AE41=AF41,"Yes","No"))</f>
        <v>Blank</v>
      </c>
      <c r="AH41" s="94">
        <f>Ouachita!L33</f>
        <v>181359355</v>
      </c>
      <c r="AI41" s="94">
        <f t="shared" ref="AI41" si="73">O41+AE41</f>
        <v>181359355</v>
      </c>
      <c r="AJ41" s="93" t="str">
        <f t="shared" ref="AJ41" si="74">IF(AH41="","Blank",IF(AH41=AI41,"Yes","No"))</f>
        <v>Yes</v>
      </c>
    </row>
    <row r="42" spans="1:36">
      <c r="A42" s="93" t="s">
        <v>272</v>
      </c>
      <c r="B42" s="94">
        <f>Plaquemines!M8</f>
        <v>13511734</v>
      </c>
      <c r="C42" s="94">
        <f>Plaquemines!M9+Plaquemines!M10</f>
        <v>125867194</v>
      </c>
      <c r="D42" s="94">
        <v>0</v>
      </c>
      <c r="E42" s="94">
        <f>Plaquemines!M21</f>
        <v>129982363</v>
      </c>
      <c r="F42" s="94">
        <f>Plaquemines!M22</f>
        <v>68326186</v>
      </c>
      <c r="G42" s="94">
        <f>Plaquemines!M23</f>
        <v>21643821</v>
      </c>
      <c r="H42" s="94">
        <v>0</v>
      </c>
      <c r="I42" s="94">
        <v>0</v>
      </c>
      <c r="J42" s="94">
        <v>0</v>
      </c>
      <c r="K42" s="94">
        <v>0</v>
      </c>
      <c r="L42" s="94">
        <v>0</v>
      </c>
      <c r="M42" s="94">
        <v>0</v>
      </c>
      <c r="N42" s="94">
        <f>Plaquemines!M24</f>
        <v>78499297</v>
      </c>
      <c r="O42" s="101">
        <f>Plaquemines!M28</f>
        <v>437830595</v>
      </c>
      <c r="P42" s="94">
        <f t="shared" si="6"/>
        <v>437830595</v>
      </c>
      <c r="Q42" s="95" t="str">
        <f t="shared" si="7"/>
        <v>Yes</v>
      </c>
      <c r="R42" s="94">
        <f>Plaquemines!M33</f>
        <v>52000</v>
      </c>
      <c r="S42" s="94">
        <f>Plaquemines!M34</f>
        <v>31001463</v>
      </c>
      <c r="T42" s="94">
        <v>0</v>
      </c>
      <c r="U42" s="94">
        <f>Plaquemines!M45</f>
        <v>13167508</v>
      </c>
      <c r="V42" s="94">
        <f>Plaquemines!M46</f>
        <v>39913135</v>
      </c>
      <c r="W42" s="94">
        <f>Plaquemines!M47</f>
        <v>1019380</v>
      </c>
      <c r="X42" s="94">
        <v>0</v>
      </c>
      <c r="Y42" s="94">
        <v>0</v>
      </c>
      <c r="Z42" s="94">
        <v>0</v>
      </c>
      <c r="AA42" s="94">
        <v>0</v>
      </c>
      <c r="AB42" s="94">
        <v>0</v>
      </c>
      <c r="AC42" s="94">
        <v>0</v>
      </c>
      <c r="AD42" s="94">
        <f>Plaquemines!M41</f>
        <v>5670859</v>
      </c>
      <c r="AE42" s="94">
        <f>Plaquemines!M52</f>
        <v>90824345</v>
      </c>
      <c r="AF42" s="94">
        <f t="shared" si="8"/>
        <v>90824345</v>
      </c>
      <c r="AG42" s="95" t="str">
        <f t="shared" si="9"/>
        <v>Yes</v>
      </c>
      <c r="AH42" s="94">
        <f>Plaquemines!M28+Plaquemines!M52</f>
        <v>528654940</v>
      </c>
      <c r="AI42" s="94">
        <f t="shared" si="10"/>
        <v>528654940</v>
      </c>
      <c r="AJ42" s="93" t="str">
        <f t="shared" si="11"/>
        <v>Yes</v>
      </c>
    </row>
    <row r="43" spans="1:36">
      <c r="A43" s="104" t="s">
        <v>273</v>
      </c>
      <c r="B43" s="94">
        <f>'Pointe Coupee'!M8</f>
        <v>841274</v>
      </c>
      <c r="C43" s="94">
        <f>'Pointe Coupee'!M9</f>
        <v>2713183</v>
      </c>
      <c r="D43" s="94">
        <v>0</v>
      </c>
      <c r="E43" s="94">
        <f>'Pointe Coupee'!M20</f>
        <v>4906692</v>
      </c>
      <c r="F43" s="94">
        <v>0</v>
      </c>
      <c r="G43" s="94">
        <f>'Pointe Coupee'!M22</f>
        <v>337679</v>
      </c>
      <c r="H43" s="94">
        <v>0</v>
      </c>
      <c r="I43" s="94">
        <f>'Pointe Coupee'!M21</f>
        <v>508875</v>
      </c>
      <c r="J43" s="94">
        <v>0</v>
      </c>
      <c r="K43" s="94">
        <v>0</v>
      </c>
      <c r="L43" s="94">
        <v>0</v>
      </c>
      <c r="M43" s="94">
        <v>0</v>
      </c>
      <c r="N43" s="94">
        <f>'Pointe Coupee'!M23</f>
        <v>7847049</v>
      </c>
      <c r="O43" s="101">
        <f>'Pointe Coupee'!M27</f>
        <v>17154752</v>
      </c>
      <c r="P43" s="94">
        <f t="shared" si="6"/>
        <v>17154752</v>
      </c>
      <c r="Q43" s="95" t="str">
        <f t="shared" si="7"/>
        <v>Yes</v>
      </c>
      <c r="R43" s="94">
        <f>'Pointe Coupee'!M32</f>
        <v>45233</v>
      </c>
      <c r="S43" s="94">
        <v>0</v>
      </c>
      <c r="T43" s="94">
        <v>0</v>
      </c>
      <c r="U43" s="94">
        <v>0</v>
      </c>
      <c r="V43" s="94">
        <v>0</v>
      </c>
      <c r="W43" s="94">
        <v>0</v>
      </c>
      <c r="X43" s="94">
        <v>0</v>
      </c>
      <c r="Y43" s="94">
        <v>0</v>
      </c>
      <c r="Z43" s="94">
        <v>0</v>
      </c>
      <c r="AA43" s="94">
        <v>0</v>
      </c>
      <c r="AB43" s="94">
        <v>0</v>
      </c>
      <c r="AC43" s="94">
        <v>0</v>
      </c>
      <c r="AD43" s="94">
        <f>'Pointe Coupee'!M36</f>
        <v>2117538</v>
      </c>
      <c r="AE43" s="94">
        <f>'Pointe Coupee'!M40</f>
        <v>2162771</v>
      </c>
      <c r="AF43" s="94">
        <f t="shared" si="8"/>
        <v>2162771</v>
      </c>
      <c r="AG43" s="95" t="str">
        <f t="shared" si="9"/>
        <v>Yes</v>
      </c>
      <c r="AH43" s="94">
        <f>'Pointe Coupee'!M27+'Pointe Coupee'!M40</f>
        <v>19317523</v>
      </c>
      <c r="AI43" s="94">
        <f t="shared" si="10"/>
        <v>19317523</v>
      </c>
      <c r="AJ43" s="93" t="str">
        <f t="shared" si="11"/>
        <v>Yes</v>
      </c>
    </row>
    <row r="44" spans="1:36">
      <c r="A44" s="93" t="s">
        <v>274</v>
      </c>
      <c r="B44" s="94">
        <f>Rapides!K7</f>
        <v>1689373</v>
      </c>
      <c r="C44" s="94">
        <f>Rapides!K8</f>
        <v>1375268</v>
      </c>
      <c r="D44" s="94">
        <v>0</v>
      </c>
      <c r="E44" s="94">
        <f>Rapides!K13</f>
        <v>10856728</v>
      </c>
      <c r="F44" s="94">
        <f>'St. James'!M18</f>
        <v>0</v>
      </c>
      <c r="G44" s="94">
        <f>'St. James'!M19</f>
        <v>0</v>
      </c>
      <c r="H44" s="94">
        <v>0</v>
      </c>
      <c r="I44" s="94">
        <v>0</v>
      </c>
      <c r="J44" s="94">
        <f>Rapides!K14</f>
        <v>7063408</v>
      </c>
      <c r="K44" s="94">
        <f>'St. James'!M20</f>
        <v>0</v>
      </c>
      <c r="L44" s="94">
        <v>0</v>
      </c>
      <c r="M44" s="94">
        <v>0</v>
      </c>
      <c r="N44" s="94">
        <f>Rapides!K15</f>
        <v>30119389</v>
      </c>
      <c r="O44" s="101">
        <f>Rapides!K18</f>
        <v>51104166</v>
      </c>
      <c r="P44" s="94">
        <f t="shared" ref="P44:P47" si="75">SUM(B44:N44)</f>
        <v>51104166</v>
      </c>
      <c r="Q44" s="95" t="str">
        <f t="shared" ref="Q44:Q47" si="76">IF(O44="","Blank",IF(O44=P44,"Yes","No"))</f>
        <v>Yes</v>
      </c>
      <c r="R44" s="94">
        <f>'St. James'!M29</f>
        <v>0</v>
      </c>
      <c r="S44" s="94">
        <f>'St. James'!M30</f>
        <v>0</v>
      </c>
      <c r="T44" s="94">
        <v>0</v>
      </c>
      <c r="U44" s="94">
        <f>'St. James'!M42</f>
        <v>0</v>
      </c>
      <c r="V44" s="94">
        <v>0</v>
      </c>
      <c r="W44" s="94">
        <v>0</v>
      </c>
      <c r="X44" s="94">
        <v>0</v>
      </c>
      <c r="Y44" s="94">
        <v>0</v>
      </c>
      <c r="Z44" s="94">
        <f>'St. James'!M45</f>
        <v>0</v>
      </c>
      <c r="AA44" s="94">
        <v>0</v>
      </c>
      <c r="AB44" s="94">
        <v>0</v>
      </c>
      <c r="AC44" s="94">
        <v>0</v>
      </c>
      <c r="AD44" s="94">
        <f>'St. James'!M43+'St. James'!M44</f>
        <v>0</v>
      </c>
      <c r="AF44" s="94">
        <f t="shared" ref="AF44:AF47" si="77">SUM(R44:AD44)</f>
        <v>0</v>
      </c>
      <c r="AG44" s="95" t="str">
        <f t="shared" ref="AG44:AG47" si="78">IF(AE44="","Blank",IF(AE44=AF44,"Yes","No"))</f>
        <v>Blank</v>
      </c>
      <c r="AH44" s="94">
        <f>Rapides!J18</f>
        <v>51104166</v>
      </c>
      <c r="AI44" s="94">
        <f t="shared" ref="AI44:AI47" si="79">O44+AE44</f>
        <v>51104166</v>
      </c>
      <c r="AJ44" s="93" t="str">
        <f t="shared" ref="AJ44:AJ47" si="80">IF(AH44="","Blank",IF(AH44=AI44,"Yes","No"))</f>
        <v>Yes</v>
      </c>
    </row>
    <row r="45" spans="1:36">
      <c r="A45" s="93" t="s">
        <v>275</v>
      </c>
      <c r="B45" s="94">
        <f>'Red River'!M8</f>
        <v>301537</v>
      </c>
      <c r="C45" s="94">
        <f>'Red River'!M9</f>
        <v>1874046</v>
      </c>
      <c r="D45" s="94">
        <v>0</v>
      </c>
      <c r="E45" s="94">
        <f>'Red River'!M14</f>
        <v>2628041</v>
      </c>
      <c r="F45" s="94">
        <f>'St. James'!M18</f>
        <v>0</v>
      </c>
      <c r="G45" s="94">
        <f>'St. James'!M19</f>
        <v>0</v>
      </c>
      <c r="H45" s="94">
        <v>0</v>
      </c>
      <c r="I45" s="94">
        <f>'Red River'!M26</f>
        <v>73621</v>
      </c>
      <c r="J45" s="94">
        <f>'Red River'!M22</f>
        <v>1281860</v>
      </c>
      <c r="K45" s="94">
        <f>'St. James'!M20</f>
        <v>0</v>
      </c>
      <c r="L45" s="94">
        <v>0</v>
      </c>
      <c r="M45" s="94">
        <v>0</v>
      </c>
      <c r="N45" s="94">
        <f>'Red River'!M18</f>
        <v>8076956</v>
      </c>
      <c r="O45" s="101">
        <f>'Red River'!M31</f>
        <v>14236061</v>
      </c>
      <c r="P45" s="94">
        <f t="shared" si="75"/>
        <v>14236061</v>
      </c>
      <c r="Q45" s="95" t="str">
        <f t="shared" si="76"/>
        <v>Yes</v>
      </c>
      <c r="R45" s="94">
        <f>'St. James'!M29</f>
        <v>0</v>
      </c>
      <c r="S45" s="94">
        <f>'St. James'!M30</f>
        <v>0</v>
      </c>
      <c r="T45" s="94">
        <v>0</v>
      </c>
      <c r="U45" s="94">
        <f>'St. James'!M42</f>
        <v>0</v>
      </c>
      <c r="V45" s="94">
        <v>0</v>
      </c>
      <c r="W45" s="94">
        <v>0</v>
      </c>
      <c r="X45" s="94">
        <v>0</v>
      </c>
      <c r="Y45" s="94">
        <v>0</v>
      </c>
      <c r="Z45" s="94">
        <f>'St. James'!M45</f>
        <v>0</v>
      </c>
      <c r="AA45" s="94">
        <v>0</v>
      </c>
      <c r="AB45" s="94">
        <v>0</v>
      </c>
      <c r="AC45" s="94">
        <v>0</v>
      </c>
      <c r="AD45" s="94">
        <f>'St. James'!M43+'St. James'!M44</f>
        <v>0</v>
      </c>
      <c r="AF45" s="94">
        <f t="shared" si="77"/>
        <v>0</v>
      </c>
      <c r="AG45" s="95" t="str">
        <f t="shared" si="78"/>
        <v>Blank</v>
      </c>
      <c r="AH45" s="94">
        <f>'Red River'!L31</f>
        <v>14236061</v>
      </c>
      <c r="AI45" s="94">
        <f t="shared" si="79"/>
        <v>14236061</v>
      </c>
      <c r="AJ45" s="93" t="str">
        <f t="shared" si="80"/>
        <v>Yes</v>
      </c>
    </row>
    <row r="46" spans="1:36">
      <c r="A46" s="93" t="s">
        <v>276</v>
      </c>
      <c r="B46" s="101">
        <f>Richland!M9</f>
        <v>300273</v>
      </c>
      <c r="C46" s="94">
        <v>0</v>
      </c>
      <c r="D46" s="94">
        <f>'St. Charles'!N6</f>
        <v>0</v>
      </c>
      <c r="E46" s="94">
        <f>Richland!M18</f>
        <v>1569503</v>
      </c>
      <c r="F46" s="94">
        <f>'St. Charles'!N19</f>
        <v>0</v>
      </c>
      <c r="G46" s="94">
        <f>Richland!M19</f>
        <v>568244</v>
      </c>
      <c r="H46" s="94">
        <v>0</v>
      </c>
      <c r="I46" s="94">
        <v>0</v>
      </c>
      <c r="J46" s="94">
        <v>0</v>
      </c>
      <c r="K46" s="103">
        <v>0</v>
      </c>
      <c r="L46" s="94">
        <v>0</v>
      </c>
      <c r="M46" s="94">
        <v>0</v>
      </c>
      <c r="N46" s="94">
        <v>0</v>
      </c>
      <c r="O46" s="101">
        <f>Richland!M23</f>
        <v>2438020</v>
      </c>
      <c r="P46" s="94">
        <f t="shared" si="75"/>
        <v>2438020</v>
      </c>
      <c r="Q46" s="95" t="str">
        <f t="shared" si="76"/>
        <v>Yes</v>
      </c>
      <c r="R46" s="94">
        <f>'St. Charles'!N30</f>
        <v>0</v>
      </c>
      <c r="S46" s="94">
        <f>'St. Charles'!N31</f>
        <v>0</v>
      </c>
      <c r="T46" s="94">
        <v>0</v>
      </c>
      <c r="U46" s="94">
        <f>'St. Charles'!N40</f>
        <v>0</v>
      </c>
      <c r="V46" s="94">
        <v>0</v>
      </c>
      <c r="W46" s="94">
        <f>'St. Charles'!N41</f>
        <v>0</v>
      </c>
      <c r="X46" s="94">
        <v>0</v>
      </c>
      <c r="Y46" s="94">
        <v>0</v>
      </c>
      <c r="Z46" s="94">
        <v>0</v>
      </c>
      <c r="AA46" s="94">
        <v>0</v>
      </c>
      <c r="AB46" s="94">
        <v>0</v>
      </c>
      <c r="AC46" s="94">
        <v>0</v>
      </c>
      <c r="AD46" s="94">
        <v>0</v>
      </c>
      <c r="AF46" s="94">
        <f t="shared" si="77"/>
        <v>0</v>
      </c>
      <c r="AG46" s="95" t="str">
        <f t="shared" si="78"/>
        <v>Blank</v>
      </c>
      <c r="AH46" s="94">
        <f>Richland!L23</f>
        <v>2438020</v>
      </c>
      <c r="AI46" s="94">
        <f t="shared" si="79"/>
        <v>2438020</v>
      </c>
      <c r="AJ46" s="93" t="str">
        <f t="shared" si="80"/>
        <v>Yes</v>
      </c>
    </row>
    <row r="47" spans="1:36">
      <c r="A47" s="93" t="s">
        <v>277</v>
      </c>
      <c r="B47" s="102">
        <f>Sabine!M9</f>
        <v>639576</v>
      </c>
      <c r="C47" s="94">
        <f>Sabine!M10</f>
        <v>540422</v>
      </c>
      <c r="D47" s="94">
        <v>0</v>
      </c>
      <c r="E47" s="94">
        <f>Sabine!M21</f>
        <v>1720235</v>
      </c>
      <c r="F47" s="94">
        <v>0</v>
      </c>
      <c r="G47" s="94">
        <f>Sabine!M22</f>
        <v>3069476</v>
      </c>
      <c r="H47" s="94">
        <v>0</v>
      </c>
      <c r="I47" s="94">
        <v>0</v>
      </c>
      <c r="J47" s="94">
        <f>Sabine!M23</f>
        <v>15328</v>
      </c>
      <c r="K47" s="94">
        <v>0</v>
      </c>
      <c r="L47" s="94">
        <v>0</v>
      </c>
      <c r="M47" s="94">
        <v>0</v>
      </c>
      <c r="N47" s="94">
        <f>Sabine!M24</f>
        <v>6610386</v>
      </c>
      <c r="O47" s="101">
        <f>Sabine!M28</f>
        <v>12595423</v>
      </c>
      <c r="P47" s="94">
        <f t="shared" si="75"/>
        <v>12595423</v>
      </c>
      <c r="Q47" s="95" t="str">
        <f t="shared" si="76"/>
        <v>Yes</v>
      </c>
      <c r="R47" s="94">
        <v>0</v>
      </c>
      <c r="S47" s="94">
        <v>0</v>
      </c>
      <c r="T47" s="94">
        <v>0</v>
      </c>
      <c r="U47" s="94">
        <v>0</v>
      </c>
      <c r="V47" s="94">
        <v>0</v>
      </c>
      <c r="W47" s="94">
        <v>0</v>
      </c>
      <c r="X47" s="94">
        <v>0</v>
      </c>
      <c r="Y47" s="94">
        <v>0</v>
      </c>
      <c r="Z47" s="94">
        <v>0</v>
      </c>
      <c r="AA47" s="94">
        <v>0</v>
      </c>
      <c r="AB47" s="94">
        <v>0</v>
      </c>
      <c r="AC47" s="94">
        <v>0</v>
      </c>
      <c r="AD47" s="94">
        <v>0</v>
      </c>
      <c r="AF47" s="94">
        <f t="shared" si="77"/>
        <v>0</v>
      </c>
      <c r="AG47" s="95" t="str">
        <f t="shared" si="78"/>
        <v>Blank</v>
      </c>
      <c r="AH47" s="94">
        <f>Sabine!M28</f>
        <v>12595423</v>
      </c>
      <c r="AI47" s="94">
        <f t="shared" si="79"/>
        <v>12595423</v>
      </c>
      <c r="AJ47" s="93" t="str">
        <f t="shared" si="80"/>
        <v>Yes</v>
      </c>
    </row>
    <row r="48" spans="1:36">
      <c r="A48" s="93" t="s">
        <v>278</v>
      </c>
      <c r="B48" s="94">
        <f>'St. Bernard'!N8</f>
        <v>19245801</v>
      </c>
      <c r="C48" s="94">
        <f>'St. Bernard'!N9</f>
        <v>23876204</v>
      </c>
      <c r="D48" s="94">
        <v>0</v>
      </c>
      <c r="E48" s="94">
        <f>'St. Bernard'!N14</f>
        <v>112386892.78447987</v>
      </c>
      <c r="F48" s="94">
        <f>'St. Bernard'!N13</f>
        <v>17474.676762073879</v>
      </c>
      <c r="G48" s="94">
        <f>'St. Bernard'!N16</f>
        <v>15365043.875464179</v>
      </c>
      <c r="H48" s="94">
        <v>0</v>
      </c>
      <c r="I48" s="94">
        <v>0</v>
      </c>
      <c r="J48" s="94">
        <f>'St. Bernard'!N15</f>
        <v>330940.93425210071</v>
      </c>
      <c r="K48" s="94">
        <v>0</v>
      </c>
      <c r="L48" s="94">
        <f>'St. Bernard'!N18</f>
        <v>1181349.4972153045</v>
      </c>
      <c r="M48" s="94">
        <v>0</v>
      </c>
      <c r="N48" s="94">
        <f>'St. Bernard'!N17</f>
        <v>213736784.23182648</v>
      </c>
      <c r="O48" s="101">
        <f>'St. Bernard'!N22</f>
        <v>386140491.00000006</v>
      </c>
      <c r="P48" s="94">
        <f t="shared" si="6"/>
        <v>386140491</v>
      </c>
      <c r="Q48" s="95" t="str">
        <f t="shared" si="7"/>
        <v>Yes</v>
      </c>
      <c r="R48" s="94">
        <f>'St. Bernard'!N27</f>
        <v>221036</v>
      </c>
      <c r="S48" s="94">
        <f>'St. Bernard'!N28</f>
        <v>50611062</v>
      </c>
      <c r="T48" s="94">
        <v>0</v>
      </c>
      <c r="U48" s="94">
        <f>'St. Bernard'!N32</f>
        <v>43285819.160179451</v>
      </c>
      <c r="V48" s="94">
        <v>0</v>
      </c>
      <c r="W48" s="94">
        <f>'St. Bernard'!N34</f>
        <v>944154.47661553603</v>
      </c>
      <c r="X48" s="94">
        <v>0</v>
      </c>
      <c r="Y48" s="94">
        <v>0</v>
      </c>
      <c r="Z48" s="94">
        <f>'St. Bernard'!N33</f>
        <v>21353.962819785953</v>
      </c>
      <c r="AA48" s="94">
        <v>0</v>
      </c>
      <c r="AB48" s="94">
        <v>0</v>
      </c>
      <c r="AC48" s="94">
        <v>0</v>
      </c>
      <c r="AD48" s="94">
        <f>'St. Bernard'!N35</f>
        <v>109882729.40038523</v>
      </c>
      <c r="AE48" s="94">
        <f>'St. Bernard'!N39</f>
        <v>204966155</v>
      </c>
      <c r="AF48" s="94">
        <f t="shared" si="8"/>
        <v>204966155</v>
      </c>
      <c r="AG48" s="95" t="str">
        <f t="shared" si="9"/>
        <v>Yes</v>
      </c>
      <c r="AH48" s="94">
        <f>'St. Bernard'!M39+'St. Bernard'!M22</f>
        <v>591106646</v>
      </c>
      <c r="AI48" s="94">
        <f t="shared" si="10"/>
        <v>591106646</v>
      </c>
      <c r="AJ48" s="93" t="str">
        <f t="shared" si="11"/>
        <v>Yes</v>
      </c>
    </row>
    <row r="49" spans="1:36">
      <c r="A49" s="93" t="s">
        <v>279</v>
      </c>
      <c r="B49" s="101">
        <f>'St. Charles'!N7</f>
        <v>10141106</v>
      </c>
      <c r="C49" s="94">
        <f>'St. Charles'!N9</f>
        <v>50057093</v>
      </c>
      <c r="D49" s="94">
        <f>'St. Charles'!N8</f>
        <v>14855447</v>
      </c>
      <c r="E49" s="94">
        <f>'St. Charles'!N20</f>
        <v>20280744</v>
      </c>
      <c r="F49" s="94">
        <f>'St. Charles'!N21</f>
        <v>44140924</v>
      </c>
      <c r="G49" s="94">
        <f>'St. Charles'!N22</f>
        <v>9895293</v>
      </c>
      <c r="H49" s="94">
        <v>0</v>
      </c>
      <c r="I49" s="94">
        <v>0</v>
      </c>
      <c r="J49" s="94">
        <v>0</v>
      </c>
      <c r="K49" s="103">
        <v>0</v>
      </c>
      <c r="L49" s="94">
        <v>0</v>
      </c>
      <c r="M49" s="94">
        <v>0</v>
      </c>
      <c r="N49" s="94">
        <f>'St. Charles'!N23</f>
        <v>44893562</v>
      </c>
      <c r="O49" s="101">
        <f>'St. Charles'!N28</f>
        <v>194264169</v>
      </c>
      <c r="P49" s="94">
        <f t="shared" si="6"/>
        <v>194264169</v>
      </c>
      <c r="Q49" s="95" t="str">
        <f t="shared" si="7"/>
        <v>Yes</v>
      </c>
      <c r="R49" s="94">
        <f>'St. Charles'!N32</f>
        <v>824777</v>
      </c>
      <c r="S49" s="94">
        <f>'St. Charles'!N33</f>
        <v>5726853</v>
      </c>
      <c r="T49" s="94">
        <v>0</v>
      </c>
      <c r="U49" s="94">
        <f>'St. Charles'!N42</f>
        <v>126209531</v>
      </c>
      <c r="V49" s="94">
        <v>0</v>
      </c>
      <c r="W49" s="94">
        <f>'St. Charles'!N43</f>
        <v>2038904</v>
      </c>
      <c r="X49" s="94">
        <v>0</v>
      </c>
      <c r="Y49" s="94">
        <v>0</v>
      </c>
      <c r="Z49" s="94">
        <v>0</v>
      </c>
      <c r="AA49" s="94">
        <v>0</v>
      </c>
      <c r="AB49" s="94">
        <v>0</v>
      </c>
      <c r="AC49" s="94">
        <v>0</v>
      </c>
      <c r="AD49" s="94">
        <v>0</v>
      </c>
      <c r="AE49" s="94">
        <f>'St. Charles'!N48</f>
        <v>134800065</v>
      </c>
      <c r="AF49" s="94">
        <f t="shared" si="8"/>
        <v>134800065</v>
      </c>
      <c r="AG49" s="95" t="str">
        <f t="shared" si="9"/>
        <v>Yes</v>
      </c>
      <c r="AH49" s="94">
        <f>'St. Charles'!N28+'St. Charles'!N48</f>
        <v>329064234</v>
      </c>
      <c r="AI49" s="94">
        <f t="shared" si="10"/>
        <v>329064234</v>
      </c>
      <c r="AJ49" s="93" t="str">
        <f t="shared" si="11"/>
        <v>Yes</v>
      </c>
    </row>
    <row r="50" spans="1:36">
      <c r="A50" s="93" t="s">
        <v>280</v>
      </c>
      <c r="B50" s="102">
        <f>'St. Helena'!N9</f>
        <v>227865</v>
      </c>
      <c r="C50" s="94">
        <f>'St. Helena'!N10</f>
        <v>1476353</v>
      </c>
      <c r="D50" s="94">
        <v>0</v>
      </c>
      <c r="E50" s="94">
        <f>'St. Helena'!N20</f>
        <v>2494097</v>
      </c>
      <c r="F50" s="94">
        <v>0</v>
      </c>
      <c r="G50" s="94">
        <f>'St. Helena'!N21</f>
        <v>2558875</v>
      </c>
      <c r="H50" s="94">
        <v>0</v>
      </c>
      <c r="I50" s="94">
        <v>0</v>
      </c>
      <c r="J50" s="94">
        <v>0</v>
      </c>
      <c r="K50" s="94">
        <v>0</v>
      </c>
      <c r="L50" s="94">
        <v>0</v>
      </c>
      <c r="M50" s="94">
        <v>0</v>
      </c>
      <c r="N50" s="94">
        <f>'St. Helena'!N22</f>
        <v>5782016</v>
      </c>
      <c r="O50" s="101">
        <f>'St. Helena'!N26</f>
        <v>12539206</v>
      </c>
      <c r="P50" s="94">
        <f t="shared" si="6"/>
        <v>12539206</v>
      </c>
      <c r="Q50" s="95" t="str">
        <f t="shared" si="7"/>
        <v>Yes</v>
      </c>
      <c r="R50" s="94">
        <v>0</v>
      </c>
      <c r="S50" s="94">
        <v>0</v>
      </c>
      <c r="T50" s="94">
        <v>0</v>
      </c>
      <c r="U50" s="94">
        <v>0</v>
      </c>
      <c r="V50" s="94">
        <v>0</v>
      </c>
      <c r="W50" s="94">
        <v>0</v>
      </c>
      <c r="X50" s="94">
        <v>0</v>
      </c>
      <c r="Y50" s="94">
        <v>0</v>
      </c>
      <c r="Z50" s="94">
        <v>0</v>
      </c>
      <c r="AA50" s="94">
        <v>0</v>
      </c>
      <c r="AB50" s="94">
        <v>0</v>
      </c>
      <c r="AC50" s="94">
        <v>0</v>
      </c>
      <c r="AD50" s="94">
        <v>0</v>
      </c>
      <c r="AF50" s="94">
        <f t="shared" si="8"/>
        <v>0</v>
      </c>
      <c r="AG50" s="95" t="str">
        <f t="shared" si="9"/>
        <v>Blank</v>
      </c>
      <c r="AH50" s="94">
        <f>'St. Helena'!N26</f>
        <v>12539206</v>
      </c>
      <c r="AI50" s="94">
        <f t="shared" si="10"/>
        <v>12539206</v>
      </c>
      <c r="AJ50" s="93" t="str">
        <f t="shared" si="11"/>
        <v>Yes</v>
      </c>
    </row>
    <row r="51" spans="1:36">
      <c r="A51" s="93" t="s">
        <v>281</v>
      </c>
      <c r="B51" s="94">
        <f>'St. James'!M8</f>
        <v>17858242</v>
      </c>
      <c r="C51" s="94">
        <f>'St. James'!M9</f>
        <v>1874609</v>
      </c>
      <c r="D51" s="94">
        <v>0</v>
      </c>
      <c r="E51" s="94">
        <f>'St. James'!M21</f>
        <v>14480256</v>
      </c>
      <c r="F51" s="94">
        <f>'St. James'!M22</f>
        <v>3238805</v>
      </c>
      <c r="G51" s="94">
        <f>'St. James'!M23</f>
        <v>6067699</v>
      </c>
      <c r="H51" s="94">
        <v>0</v>
      </c>
      <c r="I51" s="94">
        <v>0</v>
      </c>
      <c r="J51" s="94">
        <v>0</v>
      </c>
      <c r="K51" s="94">
        <f>'St. James'!M24</f>
        <v>73884</v>
      </c>
      <c r="L51" s="94">
        <v>0</v>
      </c>
      <c r="M51" s="94">
        <v>0</v>
      </c>
      <c r="N51" s="94">
        <f>'St. James'!M25</f>
        <v>12685889</v>
      </c>
      <c r="O51" s="101">
        <f>'St. James'!M28</f>
        <v>56279384</v>
      </c>
      <c r="P51" s="94">
        <f t="shared" si="6"/>
        <v>56279384</v>
      </c>
      <c r="Q51" s="95" t="str">
        <f t="shared" si="7"/>
        <v>Yes</v>
      </c>
      <c r="R51" s="94">
        <f>'St. James'!M33</f>
        <v>1040000</v>
      </c>
      <c r="S51" s="94">
        <f>'St. James'!M34</f>
        <v>23713</v>
      </c>
      <c r="T51" s="94">
        <v>0</v>
      </c>
      <c r="U51" s="94">
        <f>'St. James'!M46</f>
        <v>1415647</v>
      </c>
      <c r="V51" s="94">
        <v>0</v>
      </c>
      <c r="W51" s="94">
        <f>'St. James'!M50</f>
        <v>140519</v>
      </c>
      <c r="X51" s="94">
        <v>0</v>
      </c>
      <c r="Y51" s="94">
        <v>0</v>
      </c>
      <c r="Z51" s="94">
        <f>'St. James'!M49</f>
        <v>12192</v>
      </c>
      <c r="AA51" s="94">
        <v>0</v>
      </c>
      <c r="AB51" s="94">
        <v>0</v>
      </c>
      <c r="AC51" s="94">
        <v>0</v>
      </c>
      <c r="AD51" s="94">
        <f>'St. James'!M47+'St. James'!M48</f>
        <v>11888193</v>
      </c>
      <c r="AE51" s="94">
        <f>'St. James'!M53</f>
        <v>14520264</v>
      </c>
      <c r="AF51" s="94">
        <f t="shared" si="8"/>
        <v>14520264</v>
      </c>
      <c r="AG51" s="95" t="str">
        <f t="shared" si="9"/>
        <v>Yes</v>
      </c>
      <c r="AH51" s="94">
        <f>'St. James'!M28+'St. James'!M53</f>
        <v>70799648</v>
      </c>
      <c r="AI51" s="94">
        <f t="shared" si="10"/>
        <v>70799648</v>
      </c>
      <c r="AJ51" s="93" t="str">
        <f t="shared" si="11"/>
        <v>Yes</v>
      </c>
    </row>
    <row r="52" spans="1:36">
      <c r="A52" s="93" t="s">
        <v>282</v>
      </c>
      <c r="B52" s="94">
        <f>'St. John the Baptist'!M8</f>
        <v>3976254</v>
      </c>
      <c r="C52" s="94">
        <f>'St. John the Baptist'!M9</f>
        <v>4747061</v>
      </c>
      <c r="D52" s="94">
        <v>0</v>
      </c>
      <c r="E52" s="105">
        <f>'St. John the Baptist'!M21</f>
        <v>24484784</v>
      </c>
      <c r="F52" s="94">
        <v>0</v>
      </c>
      <c r="G52" s="94">
        <v>0</v>
      </c>
      <c r="H52" s="94">
        <v>0</v>
      </c>
      <c r="I52" s="94">
        <v>0</v>
      </c>
      <c r="J52" s="94">
        <f>'St. John the Baptist'!M24</f>
        <v>2170865</v>
      </c>
      <c r="K52" s="94">
        <f>'St. John the Baptist'!M25</f>
        <v>2289874</v>
      </c>
      <c r="L52" s="94">
        <v>0</v>
      </c>
      <c r="M52" s="94">
        <v>0</v>
      </c>
      <c r="N52" s="94">
        <f>'St. John the Baptist'!M22+'St. John the Baptist'!M23</f>
        <v>39715385</v>
      </c>
      <c r="O52" s="101">
        <f>'St. John the Baptist'!M28</f>
        <v>77384223</v>
      </c>
      <c r="P52" s="94">
        <f t="shared" si="6"/>
        <v>77384223</v>
      </c>
      <c r="Q52" s="95" t="str">
        <f t="shared" si="7"/>
        <v>Yes</v>
      </c>
      <c r="R52" s="94">
        <f>'St. John the Baptist'!M33</f>
        <v>1678616</v>
      </c>
      <c r="S52" s="94">
        <f>'St. John the Baptist'!M34</f>
        <v>352803</v>
      </c>
      <c r="T52" s="94">
        <v>0</v>
      </c>
      <c r="U52" s="94">
        <f>'St. John the Baptist'!M45</f>
        <v>12089368</v>
      </c>
      <c r="V52" s="94">
        <v>0</v>
      </c>
      <c r="W52" s="94">
        <v>0</v>
      </c>
      <c r="X52" s="94">
        <v>0</v>
      </c>
      <c r="Y52" s="94">
        <v>0</v>
      </c>
      <c r="Z52" s="94">
        <f>'St. John the Baptist'!M47</f>
        <v>3040136</v>
      </c>
      <c r="AA52" s="94">
        <f>'St. John the Baptist'!M48</f>
        <v>352017</v>
      </c>
      <c r="AB52" s="94">
        <v>0</v>
      </c>
      <c r="AC52" s="94">
        <v>0</v>
      </c>
      <c r="AD52" s="94">
        <f>'St. John the Baptist'!M46</f>
        <v>111453819</v>
      </c>
      <c r="AE52" s="94">
        <f>'St. John the Baptist'!M51</f>
        <v>128966759</v>
      </c>
      <c r="AF52" s="94">
        <f>SUM(R52:AD52)</f>
        <v>128966759</v>
      </c>
      <c r="AG52" s="95" t="str">
        <f t="shared" si="9"/>
        <v>Yes</v>
      </c>
      <c r="AH52" s="94">
        <f>'St. John the Baptist'!M28+'St. John the Baptist'!M51</f>
        <v>206350982</v>
      </c>
      <c r="AI52" s="94">
        <f t="shared" si="10"/>
        <v>206350982</v>
      </c>
      <c r="AJ52" s="93" t="str">
        <f t="shared" si="11"/>
        <v>Yes</v>
      </c>
    </row>
    <row r="53" spans="1:36">
      <c r="A53" s="104" t="s">
        <v>283</v>
      </c>
      <c r="B53" s="94">
        <f>'St. Landry'!M8</f>
        <v>499243</v>
      </c>
      <c r="C53" s="94">
        <v>0</v>
      </c>
      <c r="D53" s="94">
        <v>0</v>
      </c>
      <c r="E53" s="94">
        <f>'St. Landry'!M17</f>
        <v>3917630</v>
      </c>
      <c r="F53" s="94">
        <f>'St. Landry'!M20</f>
        <v>3543986</v>
      </c>
      <c r="G53" s="94">
        <f>'St. Landry'!M19</f>
        <v>1305861</v>
      </c>
      <c r="H53" s="94">
        <v>0</v>
      </c>
      <c r="I53" s="94">
        <v>0</v>
      </c>
      <c r="J53" s="94">
        <v>0</v>
      </c>
      <c r="K53" s="94">
        <f>'St. Landry'!M18</f>
        <v>239595</v>
      </c>
      <c r="L53" s="94">
        <v>0</v>
      </c>
      <c r="M53" s="94">
        <v>0</v>
      </c>
      <c r="N53" s="94">
        <v>0</v>
      </c>
      <c r="O53" s="101">
        <f>'St. Landry'!M23</f>
        <v>9506315</v>
      </c>
      <c r="P53" s="94">
        <f t="shared" si="6"/>
        <v>9506315</v>
      </c>
      <c r="Q53" s="95" t="str">
        <f t="shared" si="7"/>
        <v>Yes</v>
      </c>
      <c r="R53" s="94">
        <v>0</v>
      </c>
      <c r="S53" s="94">
        <v>0</v>
      </c>
      <c r="T53" s="94">
        <v>0</v>
      </c>
      <c r="U53" s="94">
        <v>0</v>
      </c>
      <c r="V53" s="94">
        <v>0</v>
      </c>
      <c r="W53" s="94">
        <v>0</v>
      </c>
      <c r="X53" s="94">
        <v>0</v>
      </c>
      <c r="Y53" s="94">
        <v>0</v>
      </c>
      <c r="Z53" s="94">
        <v>0</v>
      </c>
      <c r="AA53" s="94">
        <v>0</v>
      </c>
      <c r="AB53" s="94">
        <v>0</v>
      </c>
      <c r="AC53" s="94">
        <v>0</v>
      </c>
      <c r="AD53" s="94">
        <v>0</v>
      </c>
      <c r="AF53" s="94">
        <f t="shared" si="8"/>
        <v>0</v>
      </c>
      <c r="AG53" s="95" t="str">
        <f t="shared" si="9"/>
        <v>Blank</v>
      </c>
      <c r="AH53" s="94">
        <f>'St. Landry'!M23</f>
        <v>9506315</v>
      </c>
      <c r="AI53" s="94">
        <f t="shared" si="10"/>
        <v>9506315</v>
      </c>
      <c r="AJ53" s="93" t="str">
        <f t="shared" si="11"/>
        <v>Yes</v>
      </c>
    </row>
    <row r="54" spans="1:36">
      <c r="A54" s="93" t="s">
        <v>284</v>
      </c>
      <c r="B54" s="94">
        <f>'St. Martin'!M9</f>
        <v>1515115</v>
      </c>
      <c r="C54" s="94">
        <f>'St. Martin'!M10</f>
        <v>9423016</v>
      </c>
      <c r="D54" s="94">
        <f>Tangipahoa!M7</f>
        <v>0</v>
      </c>
      <c r="E54" s="94">
        <f>'St. Martin'!M21</f>
        <v>23307165</v>
      </c>
      <c r="F54" s="94">
        <f>'St. Martin'!M23</f>
        <v>1105624</v>
      </c>
      <c r="G54" s="94">
        <f>'St. Martin'!M22</f>
        <v>5506413</v>
      </c>
      <c r="H54" s="94">
        <v>0</v>
      </c>
      <c r="I54" s="94">
        <v>0</v>
      </c>
      <c r="J54" s="94">
        <v>0</v>
      </c>
      <c r="K54" s="94">
        <v>0</v>
      </c>
      <c r="L54" s="105">
        <v>0</v>
      </c>
      <c r="M54" s="94">
        <v>0</v>
      </c>
      <c r="N54" s="94">
        <f>'St. Martin'!M24</f>
        <v>29503502</v>
      </c>
      <c r="O54" s="101">
        <f>'St. Martin'!M28</f>
        <v>70360835</v>
      </c>
      <c r="P54" s="94">
        <f t="shared" ref="P54" si="81">SUM(B54:N54)</f>
        <v>70360835</v>
      </c>
      <c r="Q54" s="95" t="str">
        <f t="shared" ref="Q54" si="82">IF(O54="","Blank",IF(O54=P54,"Yes","No"))</f>
        <v>Yes</v>
      </c>
      <c r="R54" s="94">
        <v>0</v>
      </c>
      <c r="S54" s="94">
        <v>0</v>
      </c>
      <c r="T54" s="94">
        <v>0</v>
      </c>
      <c r="U54" s="94">
        <v>0</v>
      </c>
      <c r="V54" s="94">
        <v>0</v>
      </c>
      <c r="W54" s="94">
        <v>0</v>
      </c>
      <c r="X54" s="94">
        <v>0</v>
      </c>
      <c r="Y54" s="94">
        <v>0</v>
      </c>
      <c r="Z54" s="94">
        <v>0</v>
      </c>
      <c r="AA54" s="94">
        <v>0</v>
      </c>
      <c r="AB54" s="94">
        <v>0</v>
      </c>
      <c r="AC54" s="94">
        <v>0</v>
      </c>
      <c r="AD54" s="94">
        <v>0</v>
      </c>
      <c r="AF54" s="94">
        <f t="shared" ref="AF54" si="83">SUM(R54:AD54)</f>
        <v>0</v>
      </c>
      <c r="AG54" s="95" t="str">
        <f t="shared" ref="AG54" si="84">IF(AE54="","Blank",IF(AE54=AF54,"Yes","No"))</f>
        <v>Blank</v>
      </c>
      <c r="AH54" s="94">
        <f>'St. Martin'!L28</f>
        <v>70360835</v>
      </c>
      <c r="AI54" s="94">
        <f t="shared" ref="AI54" si="85">O54+AE54</f>
        <v>70360835</v>
      </c>
      <c r="AJ54" s="93" t="str">
        <f t="shared" ref="AJ54" si="86">IF(AH54="","Blank",IF(AH54=AI54,"Yes","No"))</f>
        <v>Yes</v>
      </c>
    </row>
    <row r="55" spans="1:36">
      <c r="A55" s="93" t="s">
        <v>285</v>
      </c>
      <c r="B55" s="94">
        <f>'St. Mary'!M9</f>
        <v>1870876</v>
      </c>
      <c r="C55" s="94">
        <f>'St. Mary'!M10</f>
        <v>1887343</v>
      </c>
      <c r="D55" s="94">
        <v>0</v>
      </c>
      <c r="E55" s="94">
        <f>'St. Mary'!M22+'St. Mary'!M24</f>
        <v>24265438</v>
      </c>
      <c r="F55" s="94">
        <v>0</v>
      </c>
      <c r="G55" s="94">
        <f>'St. Mary'!M23</f>
        <v>2023025</v>
      </c>
      <c r="H55" s="94">
        <v>0</v>
      </c>
      <c r="I55" s="94">
        <v>0</v>
      </c>
      <c r="J55" s="94">
        <v>0</v>
      </c>
      <c r="K55" s="94">
        <v>0</v>
      </c>
      <c r="L55" s="94">
        <v>0</v>
      </c>
      <c r="M55" s="94">
        <v>0</v>
      </c>
      <c r="N55" s="94">
        <f>'St. Mary'!M21</f>
        <v>78560660</v>
      </c>
      <c r="O55" s="101">
        <f>'St. Mary'!M27</f>
        <v>108607342</v>
      </c>
      <c r="P55" s="94">
        <f t="shared" si="6"/>
        <v>108607342</v>
      </c>
      <c r="Q55" s="95" t="str">
        <f t="shared" si="7"/>
        <v>Yes</v>
      </c>
      <c r="R55" s="94">
        <f>'St. Mary'!M33+'St. Mary'!M34</f>
        <v>3802599</v>
      </c>
      <c r="S55" s="94">
        <f>'St. Mary'!M32</f>
        <v>314569</v>
      </c>
      <c r="T55" s="94">
        <v>0</v>
      </c>
      <c r="U55" s="94">
        <f>'St. Mary'!M44+'St. Mary'!M46</f>
        <v>14901020</v>
      </c>
      <c r="V55" s="94">
        <v>0</v>
      </c>
      <c r="W55" s="94">
        <f>'St. Mary'!M45</f>
        <v>2065040</v>
      </c>
      <c r="X55" s="94">
        <v>0</v>
      </c>
      <c r="Y55" s="94">
        <v>0</v>
      </c>
      <c r="Z55" s="94">
        <v>0</v>
      </c>
      <c r="AA55" s="94">
        <v>0</v>
      </c>
      <c r="AB55" s="94">
        <v>0</v>
      </c>
      <c r="AC55" s="94">
        <v>0</v>
      </c>
      <c r="AD55" s="94">
        <v>0</v>
      </c>
      <c r="AE55" s="94">
        <f>'St. Mary'!M49</f>
        <v>21083228</v>
      </c>
      <c r="AF55" s="94">
        <f t="shared" si="8"/>
        <v>21083228</v>
      </c>
      <c r="AG55" s="95" t="str">
        <f t="shared" si="9"/>
        <v>Yes</v>
      </c>
      <c r="AH55" s="94">
        <f>'St. Mary'!M49+'St. Mary'!M27</f>
        <v>129690570</v>
      </c>
      <c r="AI55" s="94">
        <f t="shared" si="10"/>
        <v>129690570</v>
      </c>
      <c r="AJ55" s="93" t="str">
        <f t="shared" si="11"/>
        <v>Yes</v>
      </c>
    </row>
    <row r="56" spans="1:36">
      <c r="A56" s="93" t="s">
        <v>286</v>
      </c>
      <c r="B56" s="94">
        <f>'St. Tammany'!O7+'St. Tammany'!O8</f>
        <v>48413710</v>
      </c>
      <c r="C56" s="94">
        <f>'St. Tammany'!O9</f>
        <v>218211</v>
      </c>
      <c r="D56" s="94">
        <f>'St. Tammany'!O11+'St. Tammany'!O12+'St. Tammany'!O13</f>
        <v>54757659</v>
      </c>
      <c r="E56" s="94">
        <f>'St. Tammany'!O29+'St. Tammany'!O30</f>
        <v>77524186</v>
      </c>
      <c r="F56" s="94">
        <f>'St. Tammany'!O28</f>
        <v>3177109</v>
      </c>
      <c r="G56" s="94">
        <f>'St. Tammany'!O33+'St. Tammany'!O34</f>
        <v>7391788</v>
      </c>
      <c r="H56" s="94">
        <v>0</v>
      </c>
      <c r="I56" s="94">
        <v>0</v>
      </c>
      <c r="J56" s="94">
        <v>0</v>
      </c>
      <c r="K56" s="94">
        <f>'St. Tammany'!O32</f>
        <v>447854</v>
      </c>
      <c r="L56" s="94">
        <v>0</v>
      </c>
      <c r="M56" s="94">
        <v>0</v>
      </c>
      <c r="N56" s="94">
        <f>'St. Tammany'!O31+'St. Tammany'!O36+'St. Tammany'!O37</f>
        <v>198738116</v>
      </c>
      <c r="O56" s="101">
        <f>'St. Tammany'!O40</f>
        <v>390668633</v>
      </c>
      <c r="P56" s="94">
        <f t="shared" si="6"/>
        <v>390668633</v>
      </c>
      <c r="Q56" s="95" t="str">
        <f t="shared" si="7"/>
        <v>Yes</v>
      </c>
      <c r="R56" s="94">
        <f>'St. Tammany'!O44</f>
        <v>575567</v>
      </c>
      <c r="S56" s="94">
        <f>'St. Tammany'!O45</f>
        <v>591451</v>
      </c>
      <c r="T56" s="94">
        <v>0</v>
      </c>
      <c r="U56" s="94">
        <f>'St. Tammany'!O59</f>
        <v>11191</v>
      </c>
      <c r="V56" s="94">
        <f>'St. Tammany'!O58</f>
        <v>41693</v>
      </c>
      <c r="W56" s="94">
        <f>'St. Tammany'!O61+'St. Tammany'!O62</f>
        <v>231740</v>
      </c>
      <c r="X56" s="94">
        <v>0</v>
      </c>
      <c r="Y56" s="94">
        <v>0</v>
      </c>
      <c r="Z56" s="94">
        <v>0</v>
      </c>
      <c r="AA56" s="94">
        <f>'St. Tammany'!O60</f>
        <v>260098</v>
      </c>
      <c r="AB56" s="94">
        <v>0</v>
      </c>
      <c r="AC56" s="94">
        <v>0</v>
      </c>
      <c r="AD56" s="94">
        <f>'St. Tammany'!O64+'St. Tammany'!O65</f>
        <v>38941795</v>
      </c>
      <c r="AE56" s="94">
        <f>'St. Tammany'!O68</f>
        <v>40653535</v>
      </c>
      <c r="AF56" s="94">
        <f t="shared" si="8"/>
        <v>40653535</v>
      </c>
      <c r="AG56" s="95" t="str">
        <f t="shared" si="9"/>
        <v>Yes</v>
      </c>
      <c r="AH56" s="94">
        <f>'St. Tammany'!O40+'St. Tammany'!O68</f>
        <v>431322168</v>
      </c>
      <c r="AI56" s="94">
        <f t="shared" si="10"/>
        <v>431322168</v>
      </c>
      <c r="AJ56" s="93" t="str">
        <f t="shared" si="11"/>
        <v>Yes</v>
      </c>
    </row>
    <row r="57" spans="1:36">
      <c r="A57" s="93" t="s">
        <v>287</v>
      </c>
      <c r="B57" s="94">
        <f>Tangipahoa!M9</f>
        <v>2938462</v>
      </c>
      <c r="C57" s="94">
        <f>Tangipahoa!M11</f>
        <v>9985749</v>
      </c>
      <c r="D57" s="94">
        <f>Tangipahoa!M10</f>
        <v>70869285</v>
      </c>
      <c r="E57" s="94">
        <f>Tangipahoa!M21</f>
        <v>28177803</v>
      </c>
      <c r="F57" s="94">
        <v>0</v>
      </c>
      <c r="G57" s="94">
        <f>Tangipahoa!M23</f>
        <v>6391220</v>
      </c>
      <c r="H57" s="94">
        <v>0</v>
      </c>
      <c r="I57" s="94">
        <v>0</v>
      </c>
      <c r="J57" s="94">
        <v>0</v>
      </c>
      <c r="K57" s="94">
        <v>0</v>
      </c>
      <c r="L57" s="105">
        <v>0</v>
      </c>
      <c r="M57" s="94">
        <v>0</v>
      </c>
      <c r="N57" s="94">
        <f>Tangipahoa!M22</f>
        <v>59877912</v>
      </c>
      <c r="O57" s="101">
        <f>Tangipahoa!M27</f>
        <v>178240431</v>
      </c>
      <c r="P57" s="94">
        <f t="shared" si="6"/>
        <v>178240431</v>
      </c>
      <c r="Q57" s="95" t="str">
        <f t="shared" si="7"/>
        <v>Yes</v>
      </c>
      <c r="R57" s="94">
        <v>0</v>
      </c>
      <c r="S57" s="94">
        <v>0</v>
      </c>
      <c r="T57" s="94">
        <v>0</v>
      </c>
      <c r="U57" s="94">
        <v>0</v>
      </c>
      <c r="V57" s="94">
        <v>0</v>
      </c>
      <c r="W57" s="94">
        <v>0</v>
      </c>
      <c r="X57" s="94">
        <v>0</v>
      </c>
      <c r="Y57" s="94">
        <v>0</v>
      </c>
      <c r="Z57" s="94">
        <v>0</v>
      </c>
      <c r="AA57" s="94">
        <v>0</v>
      </c>
      <c r="AB57" s="94">
        <v>0</v>
      </c>
      <c r="AC57" s="94">
        <v>0</v>
      </c>
      <c r="AD57" s="94">
        <v>0</v>
      </c>
      <c r="AF57" s="94">
        <f t="shared" si="8"/>
        <v>0</v>
      </c>
      <c r="AG57" s="95" t="str">
        <f t="shared" si="9"/>
        <v>Blank</v>
      </c>
      <c r="AH57" s="94">
        <f>Tangipahoa!M27</f>
        <v>178240431</v>
      </c>
      <c r="AI57" s="94">
        <f t="shared" si="10"/>
        <v>178240431</v>
      </c>
      <c r="AJ57" s="93" t="str">
        <f t="shared" si="11"/>
        <v>Yes</v>
      </c>
    </row>
    <row r="58" spans="1:36">
      <c r="A58" s="93" t="s">
        <v>288</v>
      </c>
      <c r="B58" s="94">
        <f>Tensas!M8</f>
        <v>743698</v>
      </c>
      <c r="C58" s="94">
        <f>Rapides!K22</f>
        <v>0</v>
      </c>
      <c r="D58" s="94">
        <v>0</v>
      </c>
      <c r="E58" s="94">
        <f>Tensas!M17</f>
        <v>6945698</v>
      </c>
      <c r="F58" s="94">
        <f>'St. James'!M32</f>
        <v>0</v>
      </c>
      <c r="G58" s="94">
        <v>0</v>
      </c>
      <c r="H58" s="94">
        <v>0</v>
      </c>
      <c r="I58" s="94">
        <v>0</v>
      </c>
      <c r="J58" s="94">
        <f>Tensas!M18</f>
        <v>878515</v>
      </c>
      <c r="K58" s="94">
        <v>0</v>
      </c>
      <c r="L58" s="94">
        <v>0</v>
      </c>
      <c r="M58" s="94">
        <v>0</v>
      </c>
      <c r="N58" s="94">
        <f>Rapides!K29</f>
        <v>0</v>
      </c>
      <c r="O58" s="101">
        <f>Tensas!M22</f>
        <v>8567911</v>
      </c>
      <c r="P58" s="94">
        <f t="shared" si="6"/>
        <v>8567911</v>
      </c>
      <c r="Q58" s="95" t="str">
        <f t="shared" si="7"/>
        <v>Yes</v>
      </c>
      <c r="R58" s="94">
        <f>'St. James'!M43</f>
        <v>0</v>
      </c>
      <c r="S58" s="94">
        <f>'St. James'!M44</f>
        <v>0</v>
      </c>
      <c r="T58" s="94">
        <v>0</v>
      </c>
      <c r="U58" s="94">
        <f>'St. James'!M56</f>
        <v>0</v>
      </c>
      <c r="V58" s="94">
        <v>0</v>
      </c>
      <c r="W58" s="94">
        <v>0</v>
      </c>
      <c r="X58" s="94">
        <v>0</v>
      </c>
      <c r="Y58" s="94">
        <v>0</v>
      </c>
      <c r="Z58" s="94">
        <f>'St. James'!M59</f>
        <v>0</v>
      </c>
      <c r="AA58" s="94">
        <v>0</v>
      </c>
      <c r="AB58" s="94">
        <v>0</v>
      </c>
      <c r="AC58" s="94">
        <v>0</v>
      </c>
      <c r="AD58" s="94">
        <f>'St. James'!M57+'St. James'!M58</f>
        <v>0</v>
      </c>
      <c r="AF58" s="94">
        <f t="shared" si="8"/>
        <v>0</v>
      </c>
      <c r="AG58" s="95" t="str">
        <f t="shared" si="9"/>
        <v>Blank</v>
      </c>
      <c r="AH58" s="94">
        <f>Tensas!L22</f>
        <v>8567911</v>
      </c>
      <c r="AI58" s="94">
        <f t="shared" si="10"/>
        <v>8567911</v>
      </c>
      <c r="AJ58" s="93" t="str">
        <f t="shared" si="11"/>
        <v>Yes</v>
      </c>
    </row>
    <row r="59" spans="1:36">
      <c r="A59" s="93" t="s">
        <v>289</v>
      </c>
      <c r="B59" s="94">
        <f>Terrebonne!N7</f>
        <v>4988188</v>
      </c>
      <c r="C59" s="94">
        <f>Terrebonne!N8</f>
        <v>44105622</v>
      </c>
      <c r="D59" s="94">
        <v>0</v>
      </c>
      <c r="E59" s="94">
        <f>Terrebonne!N16</f>
        <v>28429056</v>
      </c>
      <c r="F59" s="94">
        <v>0</v>
      </c>
      <c r="G59" s="94">
        <f>Terrebonne!N17</f>
        <v>20694379</v>
      </c>
      <c r="H59" s="94">
        <v>0</v>
      </c>
      <c r="I59" s="94">
        <v>0</v>
      </c>
      <c r="J59" s="94">
        <v>0</v>
      </c>
      <c r="K59" s="94">
        <v>0</v>
      </c>
      <c r="L59" s="94">
        <v>0</v>
      </c>
      <c r="M59" s="94">
        <v>0</v>
      </c>
      <c r="N59" s="94">
        <f>Terrebonne!N18</f>
        <v>199508522</v>
      </c>
      <c r="O59" s="101">
        <f>Terrebonne!N21</f>
        <v>297725767</v>
      </c>
      <c r="P59" s="94">
        <f t="shared" si="6"/>
        <v>297725767</v>
      </c>
      <c r="Q59" s="95" t="str">
        <f t="shared" si="7"/>
        <v>Yes</v>
      </c>
      <c r="R59" s="94">
        <f>Terrebonne!N26</f>
        <v>3767923</v>
      </c>
      <c r="S59" s="94">
        <f>Terrebonne!N27</f>
        <v>11900470</v>
      </c>
      <c r="T59" s="94">
        <v>0</v>
      </c>
      <c r="U59" s="94">
        <f>Terrebonne!N42</f>
        <v>11395744</v>
      </c>
      <c r="V59" s="94">
        <v>0</v>
      </c>
      <c r="W59" s="94">
        <f>Terrebonne!N43</f>
        <v>3092446</v>
      </c>
      <c r="X59" s="94">
        <v>0</v>
      </c>
      <c r="Y59" s="94">
        <v>0</v>
      </c>
      <c r="Z59" s="94">
        <v>0</v>
      </c>
      <c r="AA59" s="94">
        <v>0</v>
      </c>
      <c r="AB59" s="94">
        <v>0</v>
      </c>
      <c r="AC59" s="94">
        <v>0</v>
      </c>
      <c r="AD59" s="94">
        <f>Terrebonne!N38+Terrebonne!N39+Terrebonne!N40+Terrebonne!N41</f>
        <v>120946538</v>
      </c>
      <c r="AE59" s="94">
        <f>Terrebonne!N46</f>
        <v>151103121</v>
      </c>
      <c r="AF59" s="94">
        <f t="shared" si="8"/>
        <v>151103121</v>
      </c>
      <c r="AG59" s="95" t="str">
        <f t="shared" si="9"/>
        <v>Yes</v>
      </c>
      <c r="AH59" s="94">
        <f>Terrebonne!N21+Terrebonne!N46</f>
        <v>448828888</v>
      </c>
      <c r="AI59" s="94">
        <f t="shared" si="10"/>
        <v>448828888</v>
      </c>
      <c r="AJ59" s="93" t="str">
        <f t="shared" si="11"/>
        <v>Yes</v>
      </c>
    </row>
    <row r="60" spans="1:36">
      <c r="A60" s="93" t="s">
        <v>290</v>
      </c>
      <c r="B60" s="94">
        <f>Union!M9</f>
        <v>760833</v>
      </c>
      <c r="C60" s="94">
        <f>Union!M10</f>
        <v>1119052</v>
      </c>
      <c r="D60" s="94">
        <v>0</v>
      </c>
      <c r="E60" s="94">
        <f>Union!M30</f>
        <v>5246518</v>
      </c>
      <c r="F60" s="94">
        <f>Union!M29+Union!M31+Union!M32</f>
        <v>2635808</v>
      </c>
      <c r="G60" s="94">
        <f>Union!M33</f>
        <v>1957093</v>
      </c>
      <c r="H60" s="94">
        <v>0</v>
      </c>
      <c r="I60" s="94">
        <f>Union!M37+Union!M38+Union!M39+Union!M40</f>
        <v>223496</v>
      </c>
      <c r="J60" s="94">
        <f>Union!M35</f>
        <v>40376</v>
      </c>
      <c r="K60" s="94">
        <f>Union!M34</f>
        <v>224671</v>
      </c>
      <c r="L60" s="94">
        <v>0</v>
      </c>
      <c r="M60" s="94">
        <v>0</v>
      </c>
      <c r="N60" s="94">
        <f>'St. Mary'!M26</f>
        <v>0</v>
      </c>
      <c r="O60" s="101">
        <f>Union!M44</f>
        <v>12207847</v>
      </c>
      <c r="P60" s="94">
        <f t="shared" ref="P60:P62" si="87">SUM(B60:N60)</f>
        <v>12207847</v>
      </c>
      <c r="Q60" s="95" t="str">
        <f t="shared" ref="Q60:Q62" si="88">IF(O60="","Blank",IF(O60=P60,"Yes","No"))</f>
        <v>Yes</v>
      </c>
      <c r="R60" s="94">
        <f>'St. Mary'!M38+'St. Mary'!M39</f>
        <v>0</v>
      </c>
      <c r="S60" s="94">
        <f>'St. Mary'!M37</f>
        <v>0</v>
      </c>
      <c r="T60" s="94">
        <v>0</v>
      </c>
      <c r="U60" s="94">
        <v>0</v>
      </c>
      <c r="V60" s="94">
        <v>0</v>
      </c>
      <c r="W60" s="94">
        <f>'St. Mary'!M50</f>
        <v>0</v>
      </c>
      <c r="X60" s="94">
        <v>0</v>
      </c>
      <c r="Y60" s="94">
        <v>0</v>
      </c>
      <c r="Z60" s="94">
        <v>0</v>
      </c>
      <c r="AA60" s="94">
        <v>0</v>
      </c>
      <c r="AB60" s="94">
        <v>0</v>
      </c>
      <c r="AC60" s="94">
        <v>0</v>
      </c>
      <c r="AD60" s="94">
        <v>0</v>
      </c>
      <c r="AF60" s="94">
        <f t="shared" ref="AF60:AF62" si="89">SUM(R60:AD60)</f>
        <v>0</v>
      </c>
      <c r="AG60" s="95" t="str">
        <f t="shared" ref="AG60:AG62" si="90">IF(AE60="","Blank",IF(AE60=AF60,"Yes","No"))</f>
        <v>Blank</v>
      </c>
      <c r="AH60" s="94">
        <f>Union!L44</f>
        <v>12207847</v>
      </c>
      <c r="AI60" s="94">
        <f t="shared" ref="AI60:AI62" si="91">O60+AE60</f>
        <v>12207847</v>
      </c>
      <c r="AJ60" s="93" t="str">
        <f t="shared" ref="AJ60:AJ62" si="92">IF(AH60="","Blank",IF(AH60=AI60,"Yes","No"))</f>
        <v>Yes</v>
      </c>
    </row>
    <row r="61" spans="1:36">
      <c r="A61" s="93" t="s">
        <v>291</v>
      </c>
      <c r="B61" s="94">
        <f>Vermillion!M9</f>
        <v>1893204</v>
      </c>
      <c r="C61" s="94">
        <f>Vermillion!M10</f>
        <v>3747744</v>
      </c>
      <c r="D61" s="94">
        <v>0</v>
      </c>
      <c r="E61" s="94">
        <f>Vermillion!M24</f>
        <v>9431363</v>
      </c>
      <c r="F61" s="94">
        <f>'St. James'!M35</f>
        <v>0</v>
      </c>
      <c r="G61" s="94">
        <v>0</v>
      </c>
      <c r="H61" s="94">
        <v>0</v>
      </c>
      <c r="I61" s="94">
        <v>0</v>
      </c>
      <c r="J61" s="94">
        <f>Vermillion!M25</f>
        <v>5567795</v>
      </c>
      <c r="K61" s="94">
        <v>0</v>
      </c>
      <c r="L61" s="94">
        <v>0</v>
      </c>
      <c r="M61" s="94">
        <v>0</v>
      </c>
      <c r="N61" s="94">
        <f>Vermillion!M27+Vermillion!M28</f>
        <v>61860148</v>
      </c>
      <c r="O61" s="101">
        <f>Vermillion!M32</f>
        <v>82500254</v>
      </c>
      <c r="P61" s="94">
        <f t="shared" si="87"/>
        <v>82500254</v>
      </c>
      <c r="Q61" s="95" t="str">
        <f t="shared" si="88"/>
        <v>Yes</v>
      </c>
      <c r="R61" s="94">
        <v>0</v>
      </c>
      <c r="S61" s="94">
        <v>0</v>
      </c>
      <c r="T61" s="94">
        <v>0</v>
      </c>
      <c r="U61" s="94">
        <f>'St. James'!M59</f>
        <v>0</v>
      </c>
      <c r="V61" s="94">
        <v>0</v>
      </c>
      <c r="W61" s="94">
        <v>0</v>
      </c>
      <c r="X61" s="94">
        <v>0</v>
      </c>
      <c r="Y61" s="94">
        <v>0</v>
      </c>
      <c r="Z61" s="94">
        <f>'St. James'!M62</f>
        <v>0</v>
      </c>
      <c r="AA61" s="94">
        <v>0</v>
      </c>
      <c r="AB61" s="94">
        <v>0</v>
      </c>
      <c r="AC61" s="94">
        <v>0</v>
      </c>
      <c r="AD61" s="94">
        <f>'St. James'!M60+'St. James'!M61</f>
        <v>0</v>
      </c>
      <c r="AF61" s="94">
        <f t="shared" si="89"/>
        <v>0</v>
      </c>
      <c r="AG61" s="95" t="str">
        <f t="shared" si="90"/>
        <v>Blank</v>
      </c>
      <c r="AH61" s="94">
        <f>Vermillion!L32</f>
        <v>82500254</v>
      </c>
      <c r="AI61" s="94">
        <f t="shared" si="91"/>
        <v>82500254</v>
      </c>
      <c r="AJ61" s="93" t="str">
        <f t="shared" si="92"/>
        <v>Yes</v>
      </c>
    </row>
    <row r="62" spans="1:36">
      <c r="A62" s="93" t="s">
        <v>292</v>
      </c>
      <c r="B62" s="94">
        <f>Vernon!K7</f>
        <v>1695977</v>
      </c>
      <c r="C62" s="94">
        <f>Terrebonne!N11</f>
        <v>0</v>
      </c>
      <c r="D62" s="94">
        <v>0</v>
      </c>
      <c r="E62" s="94">
        <f>Vernon!K10</f>
        <v>6348922</v>
      </c>
      <c r="F62" s="94">
        <v>0</v>
      </c>
      <c r="G62" s="94">
        <f>Vernon!K11</f>
        <v>8930284</v>
      </c>
      <c r="H62" s="94">
        <v>0</v>
      </c>
      <c r="I62" s="94">
        <f>Vernon!K13</f>
        <v>544834</v>
      </c>
      <c r="J62" s="94">
        <v>0</v>
      </c>
      <c r="K62" s="94">
        <v>0</v>
      </c>
      <c r="L62" s="94">
        <v>0</v>
      </c>
      <c r="M62" s="94">
        <v>0</v>
      </c>
      <c r="N62" s="94">
        <f>Vernon!K12</f>
        <v>27802037</v>
      </c>
      <c r="O62" s="101">
        <f>Vernon!K14</f>
        <v>45322054</v>
      </c>
      <c r="P62" s="94">
        <f t="shared" si="87"/>
        <v>45322054</v>
      </c>
      <c r="Q62" s="95" t="str">
        <f t="shared" si="88"/>
        <v>Yes</v>
      </c>
      <c r="R62" s="94">
        <f>Terrebonne!N29</f>
        <v>0</v>
      </c>
      <c r="S62" s="94">
        <f>Terrebonne!N30</f>
        <v>0</v>
      </c>
      <c r="T62" s="94">
        <v>0</v>
      </c>
      <c r="U62" s="94">
        <f>Terrebonne!N45</f>
        <v>0</v>
      </c>
      <c r="V62" s="94">
        <v>0</v>
      </c>
      <c r="W62" s="94">
        <v>0</v>
      </c>
      <c r="X62" s="94">
        <v>0</v>
      </c>
      <c r="Y62" s="94">
        <v>0</v>
      </c>
      <c r="Z62" s="94">
        <v>0</v>
      </c>
      <c r="AA62" s="94">
        <v>0</v>
      </c>
      <c r="AB62" s="94">
        <v>0</v>
      </c>
      <c r="AC62" s="94">
        <v>0</v>
      </c>
      <c r="AD62" s="94">
        <v>0</v>
      </c>
      <c r="AF62" s="94">
        <f t="shared" si="89"/>
        <v>0</v>
      </c>
      <c r="AG62" s="95" t="str">
        <f t="shared" si="90"/>
        <v>Blank</v>
      </c>
      <c r="AH62" s="94">
        <f>Vernon!J14</f>
        <v>45322054</v>
      </c>
      <c r="AI62" s="94">
        <f t="shared" si="91"/>
        <v>45322054</v>
      </c>
      <c r="AJ62" s="93" t="str">
        <f t="shared" si="92"/>
        <v>Yes</v>
      </c>
    </row>
    <row r="63" spans="1:36">
      <c r="A63" s="93" t="s">
        <v>293</v>
      </c>
      <c r="B63" s="94">
        <f>Washington!M8</f>
        <v>2560211</v>
      </c>
      <c r="C63" s="94">
        <f>Washington!M9</f>
        <v>217385</v>
      </c>
      <c r="D63" s="94">
        <f>Tangipahoa!M12</f>
        <v>0</v>
      </c>
      <c r="E63" s="94">
        <f>Washington!M21</f>
        <v>6349642</v>
      </c>
      <c r="F63" s="94">
        <v>0</v>
      </c>
      <c r="G63" s="94">
        <f>Washington!M22</f>
        <v>1395236</v>
      </c>
      <c r="H63" s="94">
        <v>0</v>
      </c>
      <c r="I63" s="94">
        <f>Washington!M23</f>
        <v>1975</v>
      </c>
      <c r="J63" s="94">
        <v>0</v>
      </c>
      <c r="K63" s="94">
        <v>0</v>
      </c>
      <c r="L63" s="105">
        <f>Washington!M26</f>
        <v>16098602</v>
      </c>
      <c r="M63" s="94">
        <v>0</v>
      </c>
      <c r="N63" s="94">
        <f>Washington!M24+Washington!M25</f>
        <v>12527874</v>
      </c>
      <c r="O63" s="101">
        <f>Washington!M29</f>
        <v>39150925</v>
      </c>
      <c r="P63" s="94">
        <f t="shared" ref="P63" si="93">SUM(B63:N63)</f>
        <v>39150925</v>
      </c>
      <c r="Q63" s="95" t="str">
        <f t="shared" ref="Q63:Q65" si="94">IF(O63="","Blank",IF(O63=P63,"Yes","No"))</f>
        <v>Yes</v>
      </c>
      <c r="R63" s="94">
        <v>0</v>
      </c>
      <c r="S63" s="94">
        <v>0</v>
      </c>
      <c r="T63" s="94">
        <v>0</v>
      </c>
      <c r="U63" s="94">
        <v>0</v>
      </c>
      <c r="V63" s="94">
        <v>0</v>
      </c>
      <c r="W63" s="94">
        <v>0</v>
      </c>
      <c r="X63" s="94">
        <v>0</v>
      </c>
      <c r="Y63" s="94">
        <v>0</v>
      </c>
      <c r="Z63" s="94">
        <v>0</v>
      </c>
      <c r="AA63" s="94">
        <v>0</v>
      </c>
      <c r="AB63" s="94">
        <v>0</v>
      </c>
      <c r="AC63" s="94">
        <v>0</v>
      </c>
      <c r="AD63" s="94">
        <v>0</v>
      </c>
      <c r="AF63" s="94">
        <f t="shared" ref="AF63:AF65" si="95">SUM(R63:AD63)</f>
        <v>0</v>
      </c>
      <c r="AG63" s="95" t="str">
        <f t="shared" ref="AG63:AG65" si="96">IF(AE63="","Blank",IF(AE63=AF63,"Yes","No"))</f>
        <v>Blank</v>
      </c>
      <c r="AH63" s="94">
        <f>Washington!M29</f>
        <v>39150925</v>
      </c>
      <c r="AI63" s="94">
        <f t="shared" ref="AI63:AI65" si="97">O63+AE63</f>
        <v>39150925</v>
      </c>
      <c r="AJ63" s="93" t="str">
        <f t="shared" ref="AJ63:AJ65" si="98">IF(AH63="","Blank",IF(AH63=AI63,"Yes","No"))</f>
        <v>Yes</v>
      </c>
    </row>
    <row r="64" spans="1:36">
      <c r="A64" s="93" t="s">
        <v>294</v>
      </c>
      <c r="B64" s="94">
        <f>Webster!M9</f>
        <v>1212782</v>
      </c>
      <c r="C64" s="94">
        <f>'St. Tammany'!O17</f>
        <v>0</v>
      </c>
      <c r="D64" s="94">
        <f>'St. Tammany'!O19+'St. Tammany'!O20+'St. Tammany'!O21</f>
        <v>0</v>
      </c>
      <c r="E64" s="94">
        <f>Webster!M21</f>
        <v>6892714</v>
      </c>
      <c r="F64" s="94">
        <v>0</v>
      </c>
      <c r="G64" s="94">
        <f>'St. Tammany'!O42+'St. Tammany'!O43</f>
        <v>0</v>
      </c>
      <c r="H64" s="94">
        <v>0</v>
      </c>
      <c r="I64" s="94">
        <f>Webster!M24</f>
        <v>740705</v>
      </c>
      <c r="J64" s="94">
        <f>Webster!M23</f>
        <v>923225</v>
      </c>
      <c r="K64" s="94">
        <v>0</v>
      </c>
      <c r="L64" s="94">
        <v>0</v>
      </c>
      <c r="M64" s="94">
        <v>0</v>
      </c>
      <c r="N64" s="94">
        <f>Webster!M22</f>
        <v>1762052</v>
      </c>
      <c r="O64" s="101">
        <f>Webster!M28</f>
        <v>11531478</v>
      </c>
      <c r="P64" s="94">
        <f t="shared" ref="P64:P65" si="99">SUM(B64:N64)</f>
        <v>11531478</v>
      </c>
      <c r="Q64" s="95" t="str">
        <f t="shared" si="94"/>
        <v>Yes</v>
      </c>
      <c r="R64" s="94">
        <f>'St. Tammany'!O52</f>
        <v>0</v>
      </c>
      <c r="S64" s="94">
        <f>'St. Tammany'!O53</f>
        <v>0</v>
      </c>
      <c r="T64" s="94">
        <v>0</v>
      </c>
      <c r="U64" s="94">
        <f>'St. Tammany'!O67</f>
        <v>0</v>
      </c>
      <c r="V64" s="94">
        <f>'St. Tammany'!O66</f>
        <v>0</v>
      </c>
      <c r="W64" s="94">
        <v>0</v>
      </c>
      <c r="X64" s="94">
        <v>0</v>
      </c>
      <c r="Y64" s="94">
        <v>0</v>
      </c>
      <c r="Z64" s="94">
        <v>0</v>
      </c>
      <c r="AA64" s="94">
        <v>0</v>
      </c>
      <c r="AB64" s="94">
        <v>0</v>
      </c>
      <c r="AC64" s="94">
        <v>0</v>
      </c>
      <c r="AD64" s="94">
        <f>'St. Tammany'!O72+'St. Tammany'!O73</f>
        <v>0</v>
      </c>
      <c r="AF64" s="94">
        <f t="shared" si="95"/>
        <v>0</v>
      </c>
      <c r="AG64" s="95" t="str">
        <f t="shared" si="96"/>
        <v>Blank</v>
      </c>
      <c r="AH64" s="94">
        <f>Webster!L28</f>
        <v>11531478</v>
      </c>
      <c r="AI64" s="94">
        <f t="shared" si="97"/>
        <v>11531478</v>
      </c>
      <c r="AJ64" s="93" t="str">
        <f t="shared" si="98"/>
        <v>Yes</v>
      </c>
    </row>
    <row r="65" spans="1:36">
      <c r="A65" s="93" t="s">
        <v>295</v>
      </c>
      <c r="B65" s="94">
        <f>'West Baton Rouge'!M9</f>
        <v>1760826</v>
      </c>
      <c r="C65" s="94">
        <f>'West Baton Rouge'!M10</f>
        <v>1260003</v>
      </c>
      <c r="D65" s="94">
        <v>0</v>
      </c>
      <c r="E65" s="94">
        <f>'West Baton Rouge'!M20</f>
        <v>25337975</v>
      </c>
      <c r="F65" s="94">
        <v>0</v>
      </c>
      <c r="G65" s="94">
        <f>'West Baton Rouge'!M21</f>
        <v>3363008</v>
      </c>
      <c r="H65" s="94">
        <v>0</v>
      </c>
      <c r="I65" s="94">
        <f>Vernon!K16</f>
        <v>0</v>
      </c>
      <c r="J65" s="94">
        <v>0</v>
      </c>
      <c r="K65" s="94">
        <v>0</v>
      </c>
      <c r="L65" s="94">
        <v>0</v>
      </c>
      <c r="M65" s="94">
        <v>0</v>
      </c>
      <c r="N65" s="94">
        <f>'West Baton Rouge'!M22</f>
        <v>29443251</v>
      </c>
      <c r="O65" s="101">
        <f>'West Baton Rouge'!M26</f>
        <v>61165063</v>
      </c>
      <c r="P65" s="94">
        <f t="shared" si="99"/>
        <v>61165063</v>
      </c>
      <c r="Q65" s="95" t="str">
        <f t="shared" si="94"/>
        <v>Yes</v>
      </c>
      <c r="R65" s="94">
        <f>Terrebonne!N32</f>
        <v>0</v>
      </c>
      <c r="S65" s="94">
        <f>Terrebonne!N33</f>
        <v>0</v>
      </c>
      <c r="T65" s="94">
        <v>0</v>
      </c>
      <c r="U65" s="94">
        <f>Terrebonne!N48</f>
        <v>0</v>
      </c>
      <c r="V65" s="94">
        <v>0</v>
      </c>
      <c r="W65" s="94">
        <v>0</v>
      </c>
      <c r="X65" s="94">
        <v>0</v>
      </c>
      <c r="Y65" s="94">
        <v>0</v>
      </c>
      <c r="Z65" s="94">
        <v>0</v>
      </c>
      <c r="AA65" s="94">
        <v>0</v>
      </c>
      <c r="AB65" s="94">
        <v>0</v>
      </c>
      <c r="AC65" s="94">
        <v>0</v>
      </c>
      <c r="AD65" s="94">
        <v>0</v>
      </c>
      <c r="AF65" s="94">
        <f t="shared" si="95"/>
        <v>0</v>
      </c>
      <c r="AG65" s="95" t="str">
        <f t="shared" si="96"/>
        <v>Blank</v>
      </c>
      <c r="AH65" s="94">
        <f>'West Baton Rouge'!L26</f>
        <v>61165063</v>
      </c>
      <c r="AI65" s="94">
        <f t="shared" si="97"/>
        <v>61165063</v>
      </c>
      <c r="AJ65" s="93" t="str">
        <f t="shared" si="98"/>
        <v>Yes</v>
      </c>
    </row>
    <row r="66" spans="1:36">
      <c r="A66" s="93" t="s">
        <v>296</v>
      </c>
      <c r="B66" s="94">
        <f>'West Carroll'!M9</f>
        <v>936927</v>
      </c>
      <c r="C66" s="94">
        <f>'West Carroll'!M11</f>
        <v>24000</v>
      </c>
      <c r="D66" s="94">
        <f>'West Carroll'!M10</f>
        <v>89589</v>
      </c>
      <c r="E66" s="94">
        <f>'West Carroll'!M30</f>
        <v>3264952</v>
      </c>
      <c r="F66" s="94">
        <f>'West Carroll'!M31</f>
        <v>1978893</v>
      </c>
      <c r="G66" s="94">
        <f>'West Carroll'!M34+'West Carroll'!M33</f>
        <v>657197</v>
      </c>
      <c r="H66" s="94">
        <v>0</v>
      </c>
      <c r="I66" s="94">
        <v>0</v>
      </c>
      <c r="J66" s="94">
        <f>'West Carroll'!M32</f>
        <v>13339</v>
      </c>
      <c r="K66" s="94">
        <f>'West Carroll'!M35</f>
        <v>155568</v>
      </c>
      <c r="L66" s="105">
        <v>0</v>
      </c>
      <c r="M66" s="94">
        <v>0</v>
      </c>
      <c r="N66" s="94">
        <f>'West Carroll'!M28+'West Carroll'!M29</f>
        <v>6896805</v>
      </c>
      <c r="O66" s="101">
        <f>'West Carroll'!M39</f>
        <v>14017270</v>
      </c>
      <c r="P66" s="94">
        <f t="shared" ref="P66:P67" si="100">SUM(B66:N66)</f>
        <v>14017270</v>
      </c>
      <c r="Q66" s="95" t="str">
        <f t="shared" ref="Q66:Q68" si="101">IF(O66="","Blank",IF(O66=P66,"Yes","No"))</f>
        <v>Yes</v>
      </c>
      <c r="R66" s="94">
        <v>0</v>
      </c>
      <c r="S66" s="94">
        <v>0</v>
      </c>
      <c r="T66" s="94">
        <v>0</v>
      </c>
      <c r="U66" s="94">
        <v>0</v>
      </c>
      <c r="V66" s="94">
        <v>0</v>
      </c>
      <c r="W66" s="94">
        <v>0</v>
      </c>
      <c r="X66" s="94">
        <v>0</v>
      </c>
      <c r="Y66" s="94">
        <v>0</v>
      </c>
      <c r="Z66" s="94">
        <v>0</v>
      </c>
      <c r="AA66" s="94">
        <v>0</v>
      </c>
      <c r="AB66" s="94">
        <v>0</v>
      </c>
      <c r="AC66" s="94">
        <v>0</v>
      </c>
      <c r="AD66" s="94">
        <v>0</v>
      </c>
      <c r="AF66" s="94">
        <f t="shared" ref="AF66:AF68" si="102">SUM(R66:AD66)</f>
        <v>0</v>
      </c>
      <c r="AG66" s="95" t="str">
        <f t="shared" ref="AG66:AG68" si="103">IF(AE66="","Blank",IF(AE66=AF66,"Yes","No"))</f>
        <v>Blank</v>
      </c>
      <c r="AH66" s="94">
        <f>'West Carroll'!L39</f>
        <v>14017270</v>
      </c>
      <c r="AI66" s="94">
        <f t="shared" ref="AI66:AI68" si="104">O66+AE66</f>
        <v>14017270</v>
      </c>
      <c r="AJ66" s="93" t="str">
        <f t="shared" ref="AJ66:AJ68" si="105">IF(AH66="","Blank",IF(AH66=AI66,"Yes","No"))</f>
        <v>Yes</v>
      </c>
    </row>
    <row r="67" spans="1:36">
      <c r="A67" s="93" t="s">
        <v>297</v>
      </c>
      <c r="B67" s="94">
        <f>'West Feliciana'!N7</f>
        <v>1388267</v>
      </c>
      <c r="C67" s="94">
        <f>'West Feliciana'!N8</f>
        <v>1195435</v>
      </c>
      <c r="D67" s="94">
        <v>0</v>
      </c>
      <c r="E67" s="94">
        <f>'West Feliciana'!N19</f>
        <v>10232299</v>
      </c>
      <c r="F67" s="94">
        <v>0</v>
      </c>
      <c r="G67" s="94">
        <f>'West Feliciana'!N20</f>
        <v>446329</v>
      </c>
      <c r="H67" s="94">
        <v>0</v>
      </c>
      <c r="I67" s="94">
        <f>'West Feliciana'!N22</f>
        <v>72081</v>
      </c>
      <c r="J67" s="94">
        <f>'West Feliciana'!N21</f>
        <v>9399</v>
      </c>
      <c r="K67" s="94">
        <f>'West Feliciana'!N24</f>
        <v>124354</v>
      </c>
      <c r="L67" s="105">
        <v>0</v>
      </c>
      <c r="M67" s="94">
        <v>0</v>
      </c>
      <c r="N67" s="94">
        <f>'West Feliciana'!N23</f>
        <v>3162459</v>
      </c>
      <c r="O67" s="101">
        <f>'West Feliciana'!N27</f>
        <v>16630623</v>
      </c>
      <c r="P67" s="94">
        <f t="shared" si="100"/>
        <v>16630623</v>
      </c>
      <c r="Q67" s="95" t="str">
        <f t="shared" si="101"/>
        <v>Yes</v>
      </c>
      <c r="R67" s="94">
        <v>0</v>
      </c>
      <c r="S67" s="94">
        <v>0</v>
      </c>
      <c r="T67" s="94">
        <v>0</v>
      </c>
      <c r="U67" s="94">
        <v>0</v>
      </c>
      <c r="V67" s="94">
        <v>0</v>
      </c>
      <c r="W67" s="94">
        <f>'West Feliciana'!N42</f>
        <v>120849</v>
      </c>
      <c r="X67" s="94">
        <v>0</v>
      </c>
      <c r="Y67" s="94">
        <v>0</v>
      </c>
      <c r="Z67" s="94">
        <v>0</v>
      </c>
      <c r="AA67" s="94">
        <f>'West Feliciana'!N43</f>
        <v>16683</v>
      </c>
      <c r="AB67" s="94">
        <v>0</v>
      </c>
      <c r="AC67" s="94">
        <v>0</v>
      </c>
      <c r="AD67" s="94">
        <f>'West Feliciana'!N41</f>
        <v>9840641</v>
      </c>
      <c r="AE67" s="94">
        <f>'West Feliciana'!N46</f>
        <v>9978173</v>
      </c>
      <c r="AF67" s="94">
        <f t="shared" si="102"/>
        <v>9978173</v>
      </c>
      <c r="AG67" s="95" t="str">
        <f t="shared" si="103"/>
        <v>Yes</v>
      </c>
      <c r="AH67" s="94">
        <f>'West Feliciana'!M46+'West Feliciana'!M27</f>
        <v>26608796</v>
      </c>
      <c r="AI67" s="94">
        <f t="shared" si="104"/>
        <v>26608796</v>
      </c>
      <c r="AJ67" s="93" t="str">
        <f t="shared" si="105"/>
        <v>Yes</v>
      </c>
    </row>
    <row r="68" spans="1:36">
      <c r="A68" s="93" t="s">
        <v>298</v>
      </c>
      <c r="B68" s="94">
        <f>Winn!M8</f>
        <v>223675</v>
      </c>
      <c r="C68" s="94">
        <f>Winn!M14</f>
        <v>1298815</v>
      </c>
      <c r="D68" s="94">
        <v>0</v>
      </c>
      <c r="E68" s="94">
        <f>Winn!M21</f>
        <v>698972</v>
      </c>
      <c r="F68" s="94">
        <v>0</v>
      </c>
      <c r="G68" s="94">
        <f>Winn!M22</f>
        <v>421743</v>
      </c>
      <c r="H68" s="94">
        <v>0</v>
      </c>
      <c r="I68" s="94">
        <f>Winn!M25</f>
        <v>151415</v>
      </c>
      <c r="J68" s="94">
        <f>Winn!M24</f>
        <v>2335</v>
      </c>
      <c r="K68" s="94">
        <f>Winn!M23</f>
        <v>64062</v>
      </c>
      <c r="L68" s="94">
        <v>0</v>
      </c>
      <c r="M68" s="94">
        <v>0</v>
      </c>
      <c r="N68" s="94">
        <f>Winn!M27</f>
        <v>737271</v>
      </c>
      <c r="O68" s="101">
        <f>Winn!M30</f>
        <v>3598288</v>
      </c>
      <c r="P68" s="94">
        <f t="shared" ref="P68" si="106">SUM(B68:N68)</f>
        <v>3598288</v>
      </c>
      <c r="Q68" s="95" t="str">
        <f t="shared" si="101"/>
        <v>Yes</v>
      </c>
      <c r="R68" s="94">
        <f>Terrebonne!N34</f>
        <v>0</v>
      </c>
      <c r="S68" s="94">
        <f>Terrebonne!N35</f>
        <v>0</v>
      </c>
      <c r="T68" s="94">
        <v>0</v>
      </c>
      <c r="U68" s="94">
        <f>Terrebonne!N50</f>
        <v>0</v>
      </c>
      <c r="V68" s="94">
        <v>0</v>
      </c>
      <c r="W68" s="94">
        <v>0</v>
      </c>
      <c r="X68" s="94">
        <v>0</v>
      </c>
      <c r="Y68" s="94">
        <v>0</v>
      </c>
      <c r="Z68" s="94">
        <v>0</v>
      </c>
      <c r="AA68" s="94">
        <v>0</v>
      </c>
      <c r="AB68" s="94">
        <v>0</v>
      </c>
      <c r="AC68" s="94">
        <v>0</v>
      </c>
      <c r="AD68" s="94">
        <v>0</v>
      </c>
      <c r="AF68" s="94">
        <f t="shared" si="102"/>
        <v>0</v>
      </c>
      <c r="AG68" s="95" t="str">
        <f t="shared" si="103"/>
        <v>Blank</v>
      </c>
      <c r="AH68" s="94">
        <f>Winn!L30</f>
        <v>3598288</v>
      </c>
      <c r="AI68" s="94">
        <f t="shared" si="104"/>
        <v>3598288</v>
      </c>
      <c r="AJ68" s="93" t="str">
        <f t="shared" si="105"/>
        <v>Yes</v>
      </c>
    </row>
    <row r="69" spans="1:36">
      <c r="A69" s="94"/>
      <c r="Q69" s="95"/>
      <c r="AG69" s="95"/>
      <c r="AJ69" s="93"/>
    </row>
    <row r="70" spans="1:36">
      <c r="A70" s="94"/>
      <c r="Q70" s="95"/>
      <c r="AG70" s="95"/>
      <c r="AJ70" s="93"/>
    </row>
    <row r="71" spans="1:36">
      <c r="A71" s="94"/>
      <c r="Q71" s="95"/>
      <c r="AG71" s="95"/>
      <c r="AJ71" s="93"/>
    </row>
    <row r="72" spans="1:36">
      <c r="A72" s="94"/>
      <c r="Q72" s="95"/>
      <c r="AG72" s="95"/>
      <c r="AJ72" s="93"/>
    </row>
    <row r="73" spans="1:36">
      <c r="A73" s="94"/>
      <c r="Q73" s="95"/>
      <c r="AG73" s="95"/>
      <c r="AJ73" s="93"/>
    </row>
    <row r="74" spans="1:36">
      <c r="A74" s="94"/>
      <c r="Q74" s="95"/>
      <c r="AG74" s="95"/>
      <c r="AJ74" s="93"/>
    </row>
    <row r="75" spans="1:36">
      <c r="A75" s="94"/>
      <c r="Q75" s="95"/>
      <c r="AG75" s="95"/>
      <c r="AJ75" s="93"/>
    </row>
    <row r="76" spans="1:36">
      <c r="A76" s="94"/>
      <c r="Q76" s="95"/>
      <c r="AG76" s="95"/>
      <c r="AJ76" s="93"/>
    </row>
    <row r="77" spans="1:36">
      <c r="A77" s="94"/>
      <c r="Q77" s="95"/>
      <c r="AG77" s="95"/>
      <c r="AJ77" s="93"/>
    </row>
    <row r="78" spans="1:36">
      <c r="A78" s="94"/>
      <c r="Q78" s="95"/>
      <c r="AG78" s="95"/>
      <c r="AJ78" s="93"/>
    </row>
    <row r="79" spans="1:36">
      <c r="A79" s="94"/>
      <c r="Q79" s="95"/>
      <c r="AG79" s="95"/>
      <c r="AJ79" s="93"/>
    </row>
    <row r="80" spans="1:36">
      <c r="A80" s="94"/>
      <c r="Q80" s="95"/>
      <c r="AG80" s="95"/>
      <c r="AJ80" s="93"/>
    </row>
    <row r="81" spans="1:36">
      <c r="A81" s="94"/>
      <c r="Q81" s="95"/>
      <c r="AG81" s="95"/>
      <c r="AJ81" s="93"/>
    </row>
    <row r="82" spans="1:36">
      <c r="A82" s="94"/>
      <c r="Q82" s="95"/>
      <c r="AG82" s="95"/>
      <c r="AJ82" s="93"/>
    </row>
    <row r="83" spans="1:36">
      <c r="A83" s="94"/>
      <c r="Q83" s="95"/>
      <c r="AG83" s="95"/>
      <c r="AJ83" s="93"/>
    </row>
    <row r="84" spans="1:36">
      <c r="A84" s="94"/>
      <c r="Q84" s="95"/>
      <c r="AG84" s="95"/>
      <c r="AJ84" s="93"/>
    </row>
    <row r="85" spans="1:36">
      <c r="A85" s="94"/>
      <c r="Q85" s="95"/>
      <c r="AG85" s="95"/>
      <c r="AJ85" s="93"/>
    </row>
    <row r="86" spans="1:36">
      <c r="A86" s="94"/>
      <c r="Q86" s="95"/>
      <c r="AG86" s="95"/>
      <c r="AJ86" s="93"/>
    </row>
    <row r="87" spans="1:36">
      <c r="A87" s="94"/>
      <c r="Q87" s="95"/>
      <c r="AG87" s="95"/>
      <c r="AJ87" s="93"/>
    </row>
    <row r="88" spans="1:36">
      <c r="A88" s="94"/>
      <c r="Q88" s="95"/>
      <c r="AG88" s="95"/>
      <c r="AJ88" s="93"/>
    </row>
    <row r="89" spans="1:36">
      <c r="A89" s="94"/>
      <c r="Q89" s="95"/>
      <c r="AG89" s="95"/>
      <c r="AJ89" s="93"/>
    </row>
    <row r="90" spans="1:36">
      <c r="A90" s="94"/>
      <c r="Q90" s="95"/>
      <c r="AG90" s="95"/>
      <c r="AJ90" s="93"/>
    </row>
    <row r="91" spans="1:36">
      <c r="A91" s="94"/>
      <c r="Q91" s="95"/>
      <c r="AG91" s="95"/>
      <c r="AJ91" s="93"/>
    </row>
    <row r="92" spans="1:36">
      <c r="A92" s="94"/>
      <c r="Q92" s="95"/>
      <c r="AG92" s="95"/>
      <c r="AJ92" s="93"/>
    </row>
    <row r="93" spans="1:36">
      <c r="A93" s="94"/>
      <c r="Q93" s="95"/>
      <c r="AG93" s="95"/>
      <c r="AJ93" s="93"/>
    </row>
    <row r="94" spans="1:36">
      <c r="A94" s="94"/>
      <c r="Q94" s="95"/>
      <c r="AG94" s="95"/>
      <c r="AJ94" s="93"/>
    </row>
    <row r="95" spans="1:36">
      <c r="A95" s="94"/>
      <c r="Q95" s="95"/>
      <c r="AG95" s="95"/>
      <c r="AJ95" s="93"/>
    </row>
    <row r="96" spans="1:36">
      <c r="A96" s="94"/>
      <c r="Q96" s="95"/>
      <c r="AG96" s="95"/>
      <c r="AJ96" s="93"/>
    </row>
    <row r="97" spans="1:36">
      <c r="A97" s="94"/>
      <c r="Q97" s="95"/>
      <c r="AG97" s="95"/>
      <c r="AJ97" s="93"/>
    </row>
    <row r="98" spans="1:36">
      <c r="A98" s="94"/>
      <c r="Q98" s="95"/>
      <c r="AG98" s="95"/>
      <c r="AJ98" s="93"/>
    </row>
    <row r="99" spans="1:36">
      <c r="A99" s="94"/>
      <c r="Q99" s="95"/>
      <c r="AG99" s="95"/>
      <c r="AJ99" s="93"/>
    </row>
    <row r="100" spans="1:36">
      <c r="A100" s="94"/>
      <c r="Q100" s="95"/>
      <c r="AG100" s="95"/>
      <c r="AJ100" s="93"/>
    </row>
    <row r="101" spans="1:36">
      <c r="A101" s="94"/>
      <c r="Q101" s="95"/>
      <c r="AG101" s="95"/>
      <c r="AJ101" s="93"/>
    </row>
    <row r="102" spans="1:36">
      <c r="A102" s="94"/>
      <c r="Q102" s="95"/>
      <c r="AG102" s="95"/>
      <c r="AJ102" s="93"/>
    </row>
    <row r="103" spans="1:36">
      <c r="A103" s="94"/>
      <c r="Q103" s="95"/>
      <c r="AG103" s="95"/>
      <c r="AJ103" s="93"/>
    </row>
    <row r="104" spans="1:36">
      <c r="A104" s="94"/>
      <c r="Q104" s="95"/>
      <c r="AG104" s="95"/>
      <c r="AJ104" s="93"/>
    </row>
    <row r="105" spans="1:36">
      <c r="A105" s="94"/>
      <c r="Q105" s="95"/>
      <c r="AG105" s="95"/>
      <c r="AJ105" s="93"/>
    </row>
    <row r="106" spans="1:36">
      <c r="A106" s="94"/>
      <c r="Q106" s="95"/>
      <c r="AG106" s="95"/>
      <c r="AJ106" s="93"/>
    </row>
    <row r="107" spans="1:36">
      <c r="A107" s="94"/>
      <c r="Q107" s="95"/>
      <c r="AG107" s="95"/>
      <c r="AJ107" s="93"/>
    </row>
    <row r="108" spans="1:36">
      <c r="A108" s="94"/>
      <c r="Q108" s="95"/>
      <c r="AG108" s="95"/>
      <c r="AJ108" s="93"/>
    </row>
    <row r="109" spans="1:36">
      <c r="A109" s="94"/>
      <c r="Q109" s="95"/>
      <c r="AG109" s="95"/>
      <c r="AJ109" s="93"/>
    </row>
    <row r="110" spans="1:36">
      <c r="A110" s="94"/>
      <c r="Q110" s="95"/>
      <c r="AG110" s="95"/>
      <c r="AJ110" s="93"/>
    </row>
    <row r="111" spans="1:36">
      <c r="A111" s="94"/>
      <c r="Q111" s="95"/>
      <c r="AG111" s="95"/>
      <c r="AJ111" s="93"/>
    </row>
    <row r="112" spans="1:36">
      <c r="A112" s="94"/>
      <c r="Q112" s="95"/>
      <c r="AG112" s="95"/>
      <c r="AJ112" s="93"/>
    </row>
    <row r="113" spans="1:36">
      <c r="A113" s="94"/>
      <c r="Q113" s="95"/>
      <c r="AG113" s="95"/>
      <c r="AJ113" s="93"/>
    </row>
    <row r="114" spans="1:36">
      <c r="A114" s="94"/>
      <c r="Q114" s="95"/>
      <c r="AG114" s="95"/>
      <c r="AJ114" s="93"/>
    </row>
    <row r="115" spans="1:36">
      <c r="A115" s="94"/>
      <c r="AG115" s="95"/>
      <c r="AJ115" s="93"/>
    </row>
    <row r="116" spans="1:36">
      <c r="A116" s="94"/>
      <c r="AG116" s="95"/>
      <c r="AJ116" s="93"/>
    </row>
  </sheetData>
  <pageMargins left="0.7" right="0.7" top="0.75" bottom="0.75" header="0.3" footer="0.3"/>
  <pageSetup orientation="portrait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53"/>
  <sheetViews>
    <sheetView zoomScale="85" zoomScaleNormal="85" zoomScalePageLayoutView="85" workbookViewId="0">
      <selection activeCell="Q44" sqref="Q44"/>
    </sheetView>
  </sheetViews>
  <sheetFormatPr defaultColWidth="8.85546875" defaultRowHeight="18.75"/>
  <cols>
    <col min="1" max="1" width="3" style="4" customWidth="1"/>
    <col min="2" max="2" width="4.7109375" style="4" customWidth="1"/>
    <col min="3" max="3" width="4.140625" style="4" customWidth="1"/>
    <col min="4" max="4" width="21.42578125" style="4" customWidth="1"/>
    <col min="5" max="5" width="8.85546875" style="4"/>
    <col min="6" max="6" width="17.140625" style="4" customWidth="1"/>
    <col min="7" max="7" width="24.85546875" style="41" bestFit="1" customWidth="1"/>
    <col min="8" max="8" width="22.7109375" style="41" bestFit="1" customWidth="1"/>
    <col min="9" max="9" width="22.140625" style="41" bestFit="1" customWidth="1"/>
    <col min="10" max="10" width="24.85546875" style="41" bestFit="1" customWidth="1"/>
    <col min="11" max="11" width="19.140625" style="4" customWidth="1"/>
    <col min="12" max="16" width="8.85546875" style="4"/>
    <col min="17" max="17" width="14.28515625" style="4" bestFit="1" customWidth="1"/>
    <col min="18" max="16384" width="8.85546875" style="4"/>
  </cols>
  <sheetData>
    <row r="1" spans="1:11">
      <c r="D1" s="109" t="s">
        <v>299</v>
      </c>
      <c r="E1" s="109"/>
      <c r="F1" s="109"/>
      <c r="G1" s="109"/>
      <c r="H1" s="109"/>
      <c r="I1" s="109"/>
    </row>
    <row r="2" spans="1:11">
      <c r="D2" s="109" t="s">
        <v>1</v>
      </c>
      <c r="E2" s="109"/>
      <c r="F2" s="109"/>
      <c r="G2" s="109"/>
      <c r="H2" s="109"/>
      <c r="I2" s="109"/>
    </row>
    <row r="3" spans="1:11">
      <c r="D3" s="109" t="s">
        <v>300</v>
      </c>
      <c r="E3" s="109"/>
      <c r="F3" s="109"/>
      <c r="G3" s="109"/>
      <c r="H3" s="109"/>
      <c r="I3" s="109"/>
    </row>
    <row r="4" spans="1:11">
      <c r="D4" s="107"/>
      <c r="E4" s="107"/>
      <c r="F4" s="107"/>
      <c r="G4" s="42"/>
      <c r="H4" s="42"/>
      <c r="I4" s="42"/>
    </row>
    <row r="5" spans="1:11">
      <c r="D5" s="107"/>
      <c r="E5" s="107"/>
      <c r="F5" s="107"/>
      <c r="G5" s="42"/>
      <c r="H5" s="42"/>
      <c r="I5" s="42"/>
    </row>
    <row r="6" spans="1:11" ht="15" customHeight="1">
      <c r="G6" s="44"/>
      <c r="H6" s="44"/>
      <c r="I6" s="44"/>
      <c r="J6" s="44"/>
    </row>
    <row r="7" spans="1:11" ht="37.5">
      <c r="G7" s="53" t="s">
        <v>301</v>
      </c>
      <c r="H7" s="60" t="s">
        <v>60</v>
      </c>
      <c r="I7" s="60" t="s">
        <v>61</v>
      </c>
      <c r="J7" s="53" t="s">
        <v>302</v>
      </c>
      <c r="K7" s="53" t="s">
        <v>7</v>
      </c>
    </row>
    <row r="8" spans="1:11">
      <c r="A8" s="19" t="s">
        <v>25</v>
      </c>
      <c r="B8" s="19"/>
    </row>
    <row r="9" spans="1:11">
      <c r="B9" s="19" t="s">
        <v>72</v>
      </c>
      <c r="C9" s="21"/>
      <c r="D9" s="21"/>
    </row>
    <row r="10" spans="1:11">
      <c r="C10" s="4" t="s">
        <v>11</v>
      </c>
      <c r="G10" s="61">
        <v>38247443</v>
      </c>
      <c r="H10" s="61">
        <v>270047</v>
      </c>
      <c r="I10" s="61">
        <v>0</v>
      </c>
      <c r="J10" s="61">
        <f>SUM(G10:I10)</f>
        <v>38517490</v>
      </c>
      <c r="K10" s="41">
        <f>SUM(J10)</f>
        <v>38517490</v>
      </c>
    </row>
    <row r="11" spans="1:11">
      <c r="C11" s="4" t="s">
        <v>12</v>
      </c>
      <c r="G11" s="61">
        <v>30874317</v>
      </c>
      <c r="H11" s="61">
        <v>24104541</v>
      </c>
      <c r="I11" s="61">
        <v>-23298353</v>
      </c>
      <c r="J11" s="61">
        <f t="shared" ref="J11:J18" si="0">SUM(G11:I11)</f>
        <v>31680505</v>
      </c>
      <c r="K11" s="41">
        <f>SUM(J11)</f>
        <v>31680505</v>
      </c>
    </row>
    <row r="12" spans="1:11">
      <c r="G12" s="61"/>
      <c r="H12" s="61"/>
      <c r="I12" s="61"/>
      <c r="J12" s="61"/>
    </row>
    <row r="13" spans="1:11">
      <c r="B13" s="4" t="s">
        <v>303</v>
      </c>
      <c r="G13" s="62"/>
      <c r="H13" s="62"/>
      <c r="I13" s="62"/>
      <c r="J13" s="61"/>
    </row>
    <row r="14" spans="1:11">
      <c r="C14" s="4" t="s">
        <v>92</v>
      </c>
      <c r="G14" s="62">
        <v>6231119</v>
      </c>
      <c r="H14" s="62">
        <v>420400</v>
      </c>
      <c r="I14" s="62">
        <v>0</v>
      </c>
      <c r="J14" s="61">
        <f t="shared" si="0"/>
        <v>6651519</v>
      </c>
    </row>
    <row r="15" spans="1:11">
      <c r="B15" s="21"/>
      <c r="C15" s="4" t="s">
        <v>15</v>
      </c>
      <c r="G15" s="61">
        <v>170879001</v>
      </c>
      <c r="H15" s="61">
        <v>3479264</v>
      </c>
      <c r="I15" s="61">
        <v>-144842</v>
      </c>
      <c r="J15" s="61">
        <f t="shared" si="0"/>
        <v>174213423</v>
      </c>
    </row>
    <row r="16" spans="1:11">
      <c r="C16" s="4" t="s">
        <v>30</v>
      </c>
      <c r="G16" s="61">
        <v>52110662</v>
      </c>
      <c r="H16" s="61">
        <v>3916443</v>
      </c>
      <c r="I16" s="61">
        <v>-3172775</v>
      </c>
      <c r="J16" s="61">
        <f t="shared" si="0"/>
        <v>52854330</v>
      </c>
    </row>
    <row r="17" spans="1:11">
      <c r="C17" s="4" t="s">
        <v>304</v>
      </c>
      <c r="G17" s="61">
        <v>32874173</v>
      </c>
      <c r="H17" s="61">
        <v>2550187</v>
      </c>
      <c r="I17" s="61">
        <v>-223889</v>
      </c>
      <c r="J17" s="61">
        <f t="shared" si="0"/>
        <v>35200471</v>
      </c>
    </row>
    <row r="18" spans="1:11">
      <c r="C18" s="4" t="s">
        <v>18</v>
      </c>
      <c r="G18" s="61">
        <v>637794887</v>
      </c>
      <c r="H18" s="61">
        <v>21032505</v>
      </c>
      <c r="I18" s="61"/>
      <c r="J18" s="61">
        <f t="shared" si="0"/>
        <v>658827392</v>
      </c>
    </row>
    <row r="19" spans="1:11">
      <c r="D19" s="3" t="s">
        <v>305</v>
      </c>
      <c r="E19" s="3"/>
      <c r="F19" s="3"/>
      <c r="G19" s="57">
        <f>SUM(G10:G18)</f>
        <v>969011602</v>
      </c>
      <c r="H19" s="57">
        <f t="shared" ref="H19:J19" si="1">SUM(H10:H18)</f>
        <v>55773387</v>
      </c>
      <c r="I19" s="57">
        <f t="shared" si="1"/>
        <v>-26839859</v>
      </c>
      <c r="J19" s="57">
        <f t="shared" si="1"/>
        <v>997945130</v>
      </c>
    </row>
    <row r="21" spans="1:11">
      <c r="B21" s="21" t="s">
        <v>20</v>
      </c>
      <c r="C21" s="21"/>
      <c r="D21" s="21"/>
      <c r="E21" s="21"/>
    </row>
    <row r="22" spans="1:11">
      <c r="C22" s="4" t="s">
        <v>92</v>
      </c>
      <c r="G22" s="41">
        <v>532297</v>
      </c>
      <c r="H22" s="41">
        <v>255358</v>
      </c>
      <c r="I22" s="41">
        <v>0</v>
      </c>
      <c r="J22" s="41">
        <f>SUM(G22:I22)</f>
        <v>787655</v>
      </c>
      <c r="K22" s="41">
        <f>SUM(J22,J14)</f>
        <v>7439174</v>
      </c>
    </row>
    <row r="23" spans="1:11">
      <c r="C23" s="4" t="s">
        <v>15</v>
      </c>
      <c r="G23" s="41">
        <v>77542860</v>
      </c>
      <c r="H23" s="41">
        <v>3656837</v>
      </c>
      <c r="I23" s="41">
        <v>-69108</v>
      </c>
      <c r="J23" s="41">
        <f>SUM(G23:I23)</f>
        <v>81130589</v>
      </c>
      <c r="K23" s="41">
        <f t="shared" ref="K23:K26" si="2">SUM(J23,J15)</f>
        <v>255344012</v>
      </c>
    </row>
    <row r="24" spans="1:11">
      <c r="C24" s="4" t="s">
        <v>30</v>
      </c>
      <c r="G24" s="41">
        <v>31665948</v>
      </c>
      <c r="H24" s="41">
        <v>3720756</v>
      </c>
      <c r="I24" s="41">
        <v>-2912516</v>
      </c>
      <c r="J24" s="41">
        <f>SUM(G24:I24)</f>
        <v>32474188</v>
      </c>
      <c r="K24" s="41">
        <f t="shared" si="2"/>
        <v>85328518</v>
      </c>
    </row>
    <row r="25" spans="1:11">
      <c r="C25" s="4" t="s">
        <v>304</v>
      </c>
      <c r="G25" s="41">
        <v>20971467</v>
      </c>
      <c r="H25" s="41">
        <v>2626892</v>
      </c>
      <c r="I25" s="41">
        <v>-187159</v>
      </c>
      <c r="J25" s="41">
        <f>SUM(G25:I25)</f>
        <v>23411200</v>
      </c>
      <c r="K25" s="41">
        <f t="shared" si="2"/>
        <v>58611671</v>
      </c>
    </row>
    <row r="26" spans="1:11">
      <c r="C26" s="4" t="s">
        <v>18</v>
      </c>
      <c r="G26" s="41">
        <v>255697323</v>
      </c>
      <c r="H26" s="41">
        <v>17004422</v>
      </c>
      <c r="I26" s="41">
        <v>0</v>
      </c>
      <c r="J26" s="41">
        <f>SUM(G26:I26)</f>
        <v>272701745</v>
      </c>
      <c r="K26" s="41">
        <f t="shared" si="2"/>
        <v>931529137</v>
      </c>
    </row>
    <row r="27" spans="1:11">
      <c r="D27" s="3" t="s">
        <v>21</v>
      </c>
      <c r="E27" s="3"/>
      <c r="F27" s="3"/>
      <c r="G27" s="58">
        <f>SUM(G22:G26)</f>
        <v>386409895</v>
      </c>
      <c r="H27" s="58">
        <f>SUM(H22:H26)</f>
        <v>27264265</v>
      </c>
      <c r="I27" s="58">
        <f>SUM(I22:I26)</f>
        <v>-3168783</v>
      </c>
      <c r="J27" s="58">
        <f>SUM(J22:J26)</f>
        <v>410505377</v>
      </c>
    </row>
    <row r="28" spans="1:11" ht="19.5" thickBot="1">
      <c r="C28" s="13" t="s">
        <v>23</v>
      </c>
      <c r="D28" s="13"/>
      <c r="E28" s="13"/>
      <c r="F28" s="13"/>
      <c r="G28" s="59">
        <f>G19-G27</f>
        <v>582601707</v>
      </c>
      <c r="H28" s="59">
        <f t="shared" ref="H28:J28" si="3">H19-H27</f>
        <v>28509122</v>
      </c>
      <c r="I28" s="59">
        <f t="shared" si="3"/>
        <v>-23671076</v>
      </c>
      <c r="J28" s="59">
        <f t="shared" si="3"/>
        <v>587439753</v>
      </c>
      <c r="K28" s="41">
        <f>SUM(K22:K26,K10:K11)</f>
        <v>1408450507</v>
      </c>
    </row>
    <row r="30" spans="1:11">
      <c r="G30" s="53" t="s">
        <v>306</v>
      </c>
      <c r="H30" s="60" t="s">
        <v>60</v>
      </c>
      <c r="I30" s="60" t="s">
        <v>61</v>
      </c>
      <c r="J30" s="53" t="s">
        <v>307</v>
      </c>
    </row>
    <row r="31" spans="1:11">
      <c r="A31" s="19" t="s">
        <v>308</v>
      </c>
      <c r="B31" s="19"/>
    </row>
    <row r="32" spans="1:11">
      <c r="B32" s="19" t="s">
        <v>72</v>
      </c>
      <c r="C32" s="21"/>
      <c r="D32" s="21"/>
    </row>
    <row r="33" spans="2:11">
      <c r="C33" s="4" t="s">
        <v>11</v>
      </c>
      <c r="G33" s="61">
        <v>19176349</v>
      </c>
      <c r="H33" s="61">
        <v>1992096</v>
      </c>
      <c r="I33" s="61"/>
      <c r="J33" s="61">
        <f>SUM(G33:I33)</f>
        <v>21168445</v>
      </c>
      <c r="K33" s="41">
        <f>SUM(J33)</f>
        <v>21168445</v>
      </c>
    </row>
    <row r="34" spans="2:11">
      <c r="C34" s="4" t="s">
        <v>12</v>
      </c>
      <c r="G34" s="61">
        <v>29319113</v>
      </c>
      <c r="H34" s="61">
        <v>67194534</v>
      </c>
      <c r="I34" s="61">
        <v>-51449922</v>
      </c>
      <c r="J34" s="61">
        <f t="shared" ref="J34:J42" si="4">SUM(G34:I34)</f>
        <v>45063725</v>
      </c>
      <c r="K34" s="41">
        <f>SUM(J34)</f>
        <v>45063725</v>
      </c>
    </row>
    <row r="35" spans="2:11">
      <c r="G35" s="61"/>
      <c r="H35" s="61"/>
      <c r="I35" s="61"/>
      <c r="J35" s="61"/>
    </row>
    <row r="36" spans="2:11">
      <c r="B36" s="4" t="s">
        <v>303</v>
      </c>
      <c r="G36" s="62"/>
      <c r="H36" s="62"/>
      <c r="I36" s="62"/>
      <c r="J36" s="61"/>
    </row>
    <row r="37" spans="2:11">
      <c r="C37" s="4" t="s">
        <v>15</v>
      </c>
      <c r="G37" s="62">
        <v>3150901</v>
      </c>
      <c r="H37" s="62">
        <v>8748</v>
      </c>
      <c r="I37" s="62">
        <v>0</v>
      </c>
      <c r="J37" s="61">
        <f t="shared" si="4"/>
        <v>3159649</v>
      </c>
    </row>
    <row r="38" spans="2:11">
      <c r="B38" s="21"/>
      <c r="C38" s="4" t="s">
        <v>309</v>
      </c>
      <c r="G38" s="61">
        <v>690950504</v>
      </c>
      <c r="H38" s="61">
        <v>16553604</v>
      </c>
      <c r="I38" s="61">
        <v>-1559172</v>
      </c>
      <c r="J38" s="61">
        <f t="shared" si="4"/>
        <v>705944936</v>
      </c>
    </row>
    <row r="39" spans="2:11">
      <c r="C39" s="4" t="s">
        <v>310</v>
      </c>
      <c r="G39" s="61">
        <v>139367051</v>
      </c>
      <c r="H39" s="61">
        <v>8928495</v>
      </c>
      <c r="I39" s="61">
        <v>-138638</v>
      </c>
      <c r="J39" s="61">
        <f t="shared" si="4"/>
        <v>148156908</v>
      </c>
    </row>
    <row r="40" spans="2:11">
      <c r="C40" s="4" t="s">
        <v>311</v>
      </c>
      <c r="G40" s="61">
        <v>203212854</v>
      </c>
      <c r="H40" s="61">
        <v>16126165</v>
      </c>
      <c r="I40" s="61">
        <v>-476165</v>
      </c>
      <c r="J40" s="61">
        <f t="shared" si="4"/>
        <v>218862854</v>
      </c>
    </row>
    <row r="41" spans="2:11">
      <c r="C41" s="4" t="s">
        <v>312</v>
      </c>
      <c r="G41" s="61">
        <v>118857347</v>
      </c>
      <c r="H41" s="61">
        <v>8105492</v>
      </c>
      <c r="I41" s="61">
        <v>-157092</v>
      </c>
      <c r="J41" s="61">
        <f t="shared" si="4"/>
        <v>126805747</v>
      </c>
    </row>
    <row r="42" spans="2:11">
      <c r="C42" s="4" t="s">
        <v>32</v>
      </c>
      <c r="G42" s="61">
        <v>18593375</v>
      </c>
      <c r="H42" s="61">
        <v>106066</v>
      </c>
      <c r="I42" s="61">
        <v>-163872</v>
      </c>
      <c r="J42" s="61">
        <f t="shared" si="4"/>
        <v>18535569</v>
      </c>
    </row>
    <row r="43" spans="2:11">
      <c r="D43" s="3" t="s">
        <v>305</v>
      </c>
      <c r="E43" s="3"/>
      <c r="F43" s="3"/>
      <c r="G43" s="57">
        <f>SUM(G33:G42)</f>
        <v>1222627494</v>
      </c>
      <c r="H43" s="57">
        <f>SUM(H33:H42)</f>
        <v>119015200</v>
      </c>
      <c r="I43" s="57">
        <f>SUM(I33:I42)</f>
        <v>-53944861</v>
      </c>
      <c r="J43" s="57">
        <f>SUM(J33:J42)</f>
        <v>1287697833</v>
      </c>
    </row>
    <row r="45" spans="2:11">
      <c r="B45" s="21" t="s">
        <v>20</v>
      </c>
      <c r="C45" s="21"/>
      <c r="D45" s="21"/>
      <c r="E45" s="21"/>
    </row>
    <row r="46" spans="2:11">
      <c r="C46" s="4" t="s">
        <v>15</v>
      </c>
      <c r="G46" s="41">
        <v>-2923274</v>
      </c>
      <c r="H46" s="41">
        <v>-8258</v>
      </c>
      <c r="I46" s="41">
        <v>0</v>
      </c>
      <c r="J46" s="41">
        <f>SUM(G46:I46)</f>
        <v>-2931532</v>
      </c>
      <c r="K46" s="41">
        <f>SUM(J46,J37)</f>
        <v>228117</v>
      </c>
    </row>
    <row r="47" spans="2:11">
      <c r="C47" s="4" t="s">
        <v>309</v>
      </c>
      <c r="G47" s="41">
        <v>-375023592</v>
      </c>
      <c r="H47" s="41">
        <v>-16419727</v>
      </c>
      <c r="I47" s="41">
        <v>1307307</v>
      </c>
      <c r="J47" s="41">
        <f t="shared" ref="J47:J51" si="5">SUM(G47:I47)</f>
        <v>-390136012</v>
      </c>
      <c r="K47" s="41">
        <f t="shared" ref="K47:K51" si="6">SUM(J47,J38)</f>
        <v>315808924</v>
      </c>
    </row>
    <row r="48" spans="2:11">
      <c r="C48" s="4" t="s">
        <v>310</v>
      </c>
      <c r="G48" s="41">
        <v>-50756707</v>
      </c>
      <c r="H48" s="41">
        <v>-3704634</v>
      </c>
      <c r="I48" s="41">
        <v>127299</v>
      </c>
      <c r="J48" s="41">
        <f t="shared" si="5"/>
        <v>-54334042</v>
      </c>
      <c r="K48" s="41">
        <f t="shared" si="6"/>
        <v>93822866</v>
      </c>
    </row>
    <row r="49" spans="3:11">
      <c r="C49" s="4" t="s">
        <v>311</v>
      </c>
      <c r="G49" s="41">
        <v>-61676614</v>
      </c>
      <c r="H49" s="41">
        <v>-4328760</v>
      </c>
      <c r="I49" s="41">
        <v>461679</v>
      </c>
      <c r="J49" s="41">
        <f t="shared" si="5"/>
        <v>-65543695</v>
      </c>
      <c r="K49" s="41">
        <f t="shared" si="6"/>
        <v>153319159</v>
      </c>
    </row>
    <row r="50" spans="3:11">
      <c r="C50" s="4" t="s">
        <v>312</v>
      </c>
      <c r="G50" s="41">
        <v>-30571005</v>
      </c>
      <c r="H50" s="41">
        <v>-11244478</v>
      </c>
      <c r="I50" s="41">
        <v>18793</v>
      </c>
      <c r="J50" s="41">
        <f t="shared" si="5"/>
        <v>-41796690</v>
      </c>
      <c r="K50" s="41">
        <f t="shared" si="6"/>
        <v>85009057</v>
      </c>
    </row>
    <row r="51" spans="3:11">
      <c r="C51" s="4" t="s">
        <v>32</v>
      </c>
      <c r="G51" s="41">
        <v>-3509018</v>
      </c>
      <c r="H51" s="41">
        <v>-613487</v>
      </c>
      <c r="I51" s="41">
        <v>31129</v>
      </c>
      <c r="J51" s="41">
        <f t="shared" si="5"/>
        <v>-4091376</v>
      </c>
      <c r="K51" s="41">
        <f t="shared" si="6"/>
        <v>14444193</v>
      </c>
    </row>
    <row r="52" spans="3:11">
      <c r="D52" s="3" t="s">
        <v>21</v>
      </c>
      <c r="E52" s="3"/>
      <c r="F52" s="3"/>
      <c r="G52" s="58">
        <f>SUM(G46:G51)</f>
        <v>-524460210</v>
      </c>
      <c r="H52" s="58">
        <f>SUM(H46:H51)</f>
        <v>-36319344</v>
      </c>
      <c r="I52" s="58">
        <f>SUM(I46:I51)</f>
        <v>1946207</v>
      </c>
      <c r="J52" s="58">
        <f>SUM(J46:J51)</f>
        <v>-558833347</v>
      </c>
    </row>
    <row r="53" spans="3:11" ht="19.5" thickBot="1">
      <c r="C53" s="3" t="s">
        <v>41</v>
      </c>
      <c r="D53" s="3"/>
      <c r="E53" s="3"/>
      <c r="F53" s="3"/>
      <c r="G53" s="59">
        <f>SUM(G52,G43)</f>
        <v>698167284</v>
      </c>
      <c r="H53" s="59">
        <f>SUM(H52,H43)</f>
        <v>82695856</v>
      </c>
      <c r="I53" s="59">
        <f>SUM(I52,I43)</f>
        <v>-51998654</v>
      </c>
      <c r="J53" s="59">
        <f>SUM(J52,J43)</f>
        <v>728864486</v>
      </c>
      <c r="K53" s="41">
        <f>SUM(K47:K51,K46,K33:K34)</f>
        <v>728864486</v>
      </c>
    </row>
  </sheetData>
  <mergeCells count="3">
    <mergeCell ref="D1:I1"/>
    <mergeCell ref="D2:I2"/>
    <mergeCell ref="D3:I3"/>
  </mergeCells>
  <phoneticPr fontId="15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31"/>
  <sheetViews>
    <sheetView workbookViewId="0">
      <selection activeCell="D26" sqref="D26"/>
    </sheetView>
  </sheetViews>
  <sheetFormatPr defaultColWidth="8.85546875" defaultRowHeight="18.75"/>
  <cols>
    <col min="1" max="1" width="4.7109375" style="4" customWidth="1"/>
    <col min="2" max="2" width="4.140625" style="4" customWidth="1"/>
    <col min="3" max="3" width="21.42578125" style="4" customWidth="1"/>
    <col min="4" max="5" width="8.85546875" style="4"/>
    <col min="6" max="6" width="17" style="4" customWidth="1"/>
    <col min="7" max="7" width="16.140625" style="4" customWidth="1"/>
    <col min="8" max="8" width="16.28515625" style="4" customWidth="1"/>
    <col min="9" max="9" width="18.7109375" style="4" customWidth="1"/>
    <col min="10" max="10" width="18" style="4" customWidth="1"/>
    <col min="11" max="16384" width="8.85546875" style="4"/>
  </cols>
  <sheetData>
    <row r="1" spans="1:10">
      <c r="C1" s="109" t="s">
        <v>313</v>
      </c>
      <c r="D1" s="109"/>
      <c r="E1" s="109"/>
      <c r="F1" s="109"/>
      <c r="G1" s="109"/>
      <c r="H1" s="109"/>
    </row>
    <row r="2" spans="1:10">
      <c r="C2" s="109" t="s">
        <v>1</v>
      </c>
      <c r="D2" s="109"/>
      <c r="E2" s="109"/>
      <c r="F2" s="109"/>
      <c r="G2" s="109"/>
      <c r="H2" s="109"/>
    </row>
    <row r="3" spans="1:10">
      <c r="C3" s="109" t="s">
        <v>2</v>
      </c>
      <c r="D3" s="109"/>
      <c r="E3" s="109"/>
      <c r="F3" s="109"/>
      <c r="G3" s="109"/>
      <c r="H3" s="109"/>
    </row>
    <row r="4" spans="1:10">
      <c r="C4" s="107"/>
      <c r="D4" s="107"/>
      <c r="E4" s="107"/>
      <c r="F4" s="107"/>
      <c r="G4" s="107"/>
      <c r="H4" s="107"/>
    </row>
    <row r="5" spans="1:10" ht="24.95" customHeight="1">
      <c r="F5"/>
      <c r="G5"/>
      <c r="H5"/>
      <c r="I5"/>
    </row>
    <row r="6" spans="1:10" ht="37.5">
      <c r="F6" s="15" t="s">
        <v>201</v>
      </c>
      <c r="G6" s="25" t="s">
        <v>60</v>
      </c>
      <c r="H6" s="15" t="s">
        <v>202</v>
      </c>
      <c r="I6" s="15" t="s">
        <v>203</v>
      </c>
      <c r="J6" s="15" t="s">
        <v>7</v>
      </c>
    </row>
    <row r="7" spans="1:10">
      <c r="A7" s="19" t="s">
        <v>314</v>
      </c>
      <c r="F7" s="20"/>
      <c r="G7" s="20"/>
      <c r="H7" s="20"/>
      <c r="I7" s="20"/>
    </row>
    <row r="8" spans="1:10">
      <c r="B8" s="4" t="s">
        <v>11</v>
      </c>
      <c r="F8" s="22">
        <v>1486401</v>
      </c>
      <c r="G8" s="23"/>
      <c r="H8" s="23">
        <v>-170798</v>
      </c>
      <c r="I8" s="23">
        <f>SUM(F8:H8)</f>
        <v>1315603</v>
      </c>
      <c r="J8" s="6">
        <f>SUM(I8)</f>
        <v>1315603</v>
      </c>
    </row>
    <row r="9" spans="1:10">
      <c r="B9" s="4" t="s">
        <v>12</v>
      </c>
      <c r="F9" s="22">
        <v>15114930</v>
      </c>
      <c r="G9" s="23">
        <v>18321399</v>
      </c>
      <c r="H9" s="23">
        <v>-9651352</v>
      </c>
      <c r="I9" s="23">
        <f>SUM(F9:H9)</f>
        <v>23784977</v>
      </c>
      <c r="J9" s="6">
        <f>SUM(I9)</f>
        <v>23784977</v>
      </c>
    </row>
    <row r="10" spans="1:10" ht="19.5" thickBot="1">
      <c r="C10" s="3" t="s">
        <v>204</v>
      </c>
      <c r="F10" s="26">
        <f>SUM(F8:F9)</f>
        <v>16601331</v>
      </c>
      <c r="G10" s="26">
        <f t="shared" ref="G10:H10" si="0">SUM(G8:G9)</f>
        <v>18321399</v>
      </c>
      <c r="H10" s="26">
        <f t="shared" si="0"/>
        <v>-9822150</v>
      </c>
      <c r="I10" s="26">
        <v>25100579</v>
      </c>
    </row>
    <row r="11" spans="1:10">
      <c r="F11" s="23"/>
      <c r="G11" s="23"/>
      <c r="H11" s="23"/>
      <c r="I11" s="23"/>
    </row>
    <row r="12" spans="1:10">
      <c r="B12" s="4" t="s">
        <v>27</v>
      </c>
      <c r="F12" s="23">
        <v>33585886</v>
      </c>
      <c r="G12" s="23">
        <v>4643130</v>
      </c>
      <c r="H12" s="23">
        <v>-6931425</v>
      </c>
      <c r="I12" s="23">
        <f>SUM(F12:H12)</f>
        <v>31297591</v>
      </c>
    </row>
    <row r="13" spans="1:10">
      <c r="B13" s="4" t="s">
        <v>18</v>
      </c>
      <c r="F13" s="23">
        <v>106610769</v>
      </c>
      <c r="G13" s="23">
        <v>1095451</v>
      </c>
      <c r="H13" s="23"/>
      <c r="I13" s="23">
        <f t="shared" ref="I13:I17" si="1">SUM(F13:H13)</f>
        <v>107706220</v>
      </c>
    </row>
    <row r="14" spans="1:10">
      <c r="B14" s="4" t="s">
        <v>315</v>
      </c>
      <c r="F14" s="23">
        <v>2464790</v>
      </c>
      <c r="G14" s="23">
        <v>96103</v>
      </c>
      <c r="H14" s="23">
        <v>60000</v>
      </c>
      <c r="I14" s="23">
        <f t="shared" si="1"/>
        <v>2620893</v>
      </c>
    </row>
    <row r="15" spans="1:10">
      <c r="B15" s="4" t="s">
        <v>316</v>
      </c>
      <c r="F15" s="6">
        <v>32610612</v>
      </c>
      <c r="G15" s="6">
        <v>4687965</v>
      </c>
      <c r="H15" s="6"/>
      <c r="I15" s="23">
        <f t="shared" si="1"/>
        <v>37298577</v>
      </c>
    </row>
    <row r="16" spans="1:10">
      <c r="B16" s="4" t="s">
        <v>317</v>
      </c>
      <c r="F16" s="23">
        <v>7411059</v>
      </c>
      <c r="G16" s="23">
        <v>847266</v>
      </c>
      <c r="H16" s="23">
        <v>-748151</v>
      </c>
      <c r="I16" s="40">
        <f>SUM(F16:H16)</f>
        <v>7510174</v>
      </c>
    </row>
    <row r="17" spans="1:10">
      <c r="B17" s="4" t="s">
        <v>318</v>
      </c>
      <c r="F17" s="23">
        <v>8558656</v>
      </c>
      <c r="G17" s="23">
        <v>1289116</v>
      </c>
      <c r="H17" s="23">
        <v>-40605</v>
      </c>
      <c r="I17" s="23">
        <f t="shared" si="1"/>
        <v>9807167</v>
      </c>
    </row>
    <row r="18" spans="1:10">
      <c r="C18" s="3" t="s">
        <v>207</v>
      </c>
      <c r="F18" s="11">
        <f>SUM(F12:F17)</f>
        <v>191241772</v>
      </c>
      <c r="G18" s="11">
        <f>SUM(G12:G17)</f>
        <v>12659031</v>
      </c>
      <c r="H18" s="11">
        <f>SUM(H12:H17)</f>
        <v>-7660181</v>
      </c>
      <c r="I18" s="11">
        <v>196240621</v>
      </c>
    </row>
    <row r="19" spans="1:10" ht="19.5" thickBot="1">
      <c r="C19" s="3" t="s">
        <v>319</v>
      </c>
      <c r="F19" s="16">
        <f>F10+F18</f>
        <v>207843103</v>
      </c>
      <c r="G19" s="16">
        <f t="shared" ref="G19:I19" si="2">G10+G18</f>
        <v>30980430</v>
      </c>
      <c r="H19" s="16">
        <f t="shared" si="2"/>
        <v>-17482331</v>
      </c>
      <c r="I19" s="16">
        <f t="shared" si="2"/>
        <v>221341200</v>
      </c>
    </row>
    <row r="20" spans="1:10">
      <c r="C20" s="3"/>
      <c r="F20" s="6"/>
      <c r="G20" s="6"/>
      <c r="H20" s="6"/>
      <c r="I20" s="6"/>
    </row>
    <row r="21" spans="1:10">
      <c r="A21" s="19" t="s">
        <v>54</v>
      </c>
      <c r="B21" s="21"/>
      <c r="C21" s="21"/>
      <c r="D21" s="21"/>
      <c r="F21" s="6"/>
      <c r="G21" s="6"/>
      <c r="H21" s="6"/>
      <c r="I21" s="6"/>
    </row>
    <row r="22" spans="1:10">
      <c r="B22" s="4" t="s">
        <v>27</v>
      </c>
      <c r="F22" s="6">
        <v>-7238270</v>
      </c>
      <c r="G22" s="6">
        <v>-715358</v>
      </c>
      <c r="H22" s="6">
        <v>1085575</v>
      </c>
      <c r="I22" s="6">
        <f>SUM(F22:H22)</f>
        <v>-6868053</v>
      </c>
      <c r="J22" s="6">
        <f>SUM(I22,I12)</f>
        <v>24429538</v>
      </c>
    </row>
    <row r="23" spans="1:10">
      <c r="B23" s="4" t="s">
        <v>18</v>
      </c>
      <c r="F23" s="6">
        <v>-84296255</v>
      </c>
      <c r="G23" s="6">
        <v>-5251751</v>
      </c>
      <c r="H23" s="6"/>
      <c r="I23" s="6">
        <f t="shared" ref="I23:I27" si="3">SUM(F23:H23)</f>
        <v>-89548006</v>
      </c>
      <c r="J23" s="6">
        <f t="shared" ref="J23:J27" si="4">SUM(I23,I13)</f>
        <v>18158214</v>
      </c>
    </row>
    <row r="24" spans="1:10">
      <c r="B24" s="4" t="s">
        <v>315</v>
      </c>
      <c r="F24" s="6">
        <v>-1169104</v>
      </c>
      <c r="G24" s="6">
        <v>-178122</v>
      </c>
      <c r="H24" s="6">
        <v>-4000</v>
      </c>
      <c r="I24" s="6">
        <f t="shared" si="3"/>
        <v>-1351226</v>
      </c>
      <c r="J24" s="6">
        <f t="shared" si="4"/>
        <v>1269667</v>
      </c>
    </row>
    <row r="25" spans="1:10">
      <c r="B25" s="4" t="s">
        <v>316</v>
      </c>
      <c r="F25" s="6">
        <v>-29012407</v>
      </c>
      <c r="G25" s="6">
        <v>-849375</v>
      </c>
      <c r="H25" s="6"/>
      <c r="I25" s="6">
        <f t="shared" si="3"/>
        <v>-29861782</v>
      </c>
      <c r="J25" s="6">
        <f t="shared" si="4"/>
        <v>7436795</v>
      </c>
    </row>
    <row r="26" spans="1:10">
      <c r="B26" s="4" t="s">
        <v>320</v>
      </c>
      <c r="F26" s="6">
        <v>-4409408</v>
      </c>
      <c r="G26" s="6">
        <v>-1127484</v>
      </c>
      <c r="H26" s="6">
        <v>1352045</v>
      </c>
      <c r="I26" s="6">
        <f t="shared" si="3"/>
        <v>-4184847</v>
      </c>
      <c r="J26" s="6">
        <f t="shared" si="4"/>
        <v>3325327</v>
      </c>
    </row>
    <row r="27" spans="1:10">
      <c r="B27" s="4" t="s">
        <v>318</v>
      </c>
      <c r="F27" s="6">
        <v>-6045301</v>
      </c>
      <c r="G27" s="6">
        <v>-569415</v>
      </c>
      <c r="H27" s="6">
        <v>139916</v>
      </c>
      <c r="I27" s="6">
        <f t="shared" si="3"/>
        <v>-6474800</v>
      </c>
      <c r="J27" s="6">
        <f t="shared" si="4"/>
        <v>3332367</v>
      </c>
    </row>
    <row r="28" spans="1:10">
      <c r="C28" s="3" t="s">
        <v>21</v>
      </c>
      <c r="F28" s="11">
        <f>SUM(F22:F27)</f>
        <v>-132170745</v>
      </c>
      <c r="G28" s="11">
        <f>SUM(G22:G27)</f>
        <v>-8691505</v>
      </c>
      <c r="H28" s="11">
        <f>SUM(H22:H27)</f>
        <v>2573536</v>
      </c>
      <c r="I28" s="11">
        <v>-138288715</v>
      </c>
    </row>
    <row r="29" spans="1:10">
      <c r="C29" s="3" t="s">
        <v>209</v>
      </c>
      <c r="F29" s="24">
        <f>F18+F28</f>
        <v>59071027</v>
      </c>
      <c r="G29" s="24">
        <f t="shared" ref="G29" si="5">G18+G28</f>
        <v>3967526</v>
      </c>
      <c r="H29" s="24">
        <v>-5086645</v>
      </c>
      <c r="I29" s="24">
        <f>I18+I28</f>
        <v>57951906</v>
      </c>
    </row>
    <row r="30" spans="1:10" ht="19.5" thickBot="1">
      <c r="C30" s="3" t="s">
        <v>210</v>
      </c>
      <c r="F30" s="16">
        <v>75672358</v>
      </c>
      <c r="G30" s="16"/>
      <c r="H30" s="16"/>
      <c r="I30" s="16">
        <v>83052485</v>
      </c>
      <c r="J30" s="6">
        <f>SUM(J22:J27,J8:J9)</f>
        <v>83052488</v>
      </c>
    </row>
    <row r="31" spans="1:10">
      <c r="F31" s="6"/>
      <c r="G31" s="6"/>
      <c r="H31" s="6"/>
      <c r="I31" s="6"/>
    </row>
  </sheetData>
  <mergeCells count="3">
    <mergeCell ref="C1:H1"/>
    <mergeCell ref="C2:H2"/>
    <mergeCell ref="C3:H3"/>
  </mergeCells>
  <phoneticPr fontId="15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38"/>
  <sheetViews>
    <sheetView workbookViewId="0">
      <selection activeCell="H18" sqref="H18"/>
    </sheetView>
  </sheetViews>
  <sheetFormatPr defaultColWidth="8.85546875" defaultRowHeight="18.75"/>
  <cols>
    <col min="1" max="1" width="4.42578125" style="4" customWidth="1"/>
    <col min="2" max="3" width="4.7109375" style="4" customWidth="1"/>
    <col min="4" max="6" width="8.85546875" style="4"/>
    <col min="7" max="7" width="14.28515625" style="4" bestFit="1" customWidth="1"/>
    <col min="8" max="8" width="12.7109375" style="4" bestFit="1" customWidth="1"/>
    <col min="9" max="9" width="19.140625" style="4" bestFit="1" customWidth="1"/>
    <col min="10" max="10" width="22.140625" style="4" bestFit="1" customWidth="1"/>
    <col min="11" max="11" width="16.85546875" style="4" customWidth="1"/>
    <col min="12" max="12" width="23" style="4" bestFit="1" customWidth="1"/>
    <col min="13" max="13" width="17.85546875" style="4" customWidth="1"/>
    <col min="14" max="16384" width="8.85546875" style="4"/>
  </cols>
  <sheetData>
    <row r="1" spans="1:13">
      <c r="D1" s="109" t="s">
        <v>321</v>
      </c>
      <c r="E1" s="109"/>
      <c r="F1" s="109"/>
      <c r="G1" s="109"/>
      <c r="H1" s="109"/>
      <c r="I1" s="109"/>
    </row>
    <row r="2" spans="1:13">
      <c r="D2" s="109" t="s">
        <v>1</v>
      </c>
      <c r="E2" s="109"/>
      <c r="F2" s="109"/>
      <c r="G2" s="109"/>
      <c r="H2" s="109"/>
      <c r="I2" s="109"/>
    </row>
    <row r="3" spans="1:13">
      <c r="D3" s="109" t="s">
        <v>2</v>
      </c>
      <c r="E3" s="109"/>
      <c r="F3" s="109"/>
      <c r="G3" s="109"/>
      <c r="H3" s="109"/>
      <c r="I3" s="109"/>
    </row>
    <row r="4" spans="1:13" ht="14.25" customHeight="1">
      <c r="D4" s="107"/>
      <c r="E4" s="107"/>
      <c r="F4" s="107"/>
      <c r="G4" s="107"/>
      <c r="H4" s="107"/>
      <c r="I4" s="42"/>
      <c r="J4" s="41"/>
      <c r="K4" s="41"/>
      <c r="L4" s="41"/>
      <c r="M4" s="41"/>
    </row>
    <row r="5" spans="1:13" ht="39" customHeight="1">
      <c r="I5" s="110" t="s">
        <v>322</v>
      </c>
      <c r="J5" s="108"/>
      <c r="K5" s="108"/>
      <c r="L5" s="110" t="s">
        <v>323</v>
      </c>
      <c r="M5" s="110" t="s">
        <v>7</v>
      </c>
    </row>
    <row r="6" spans="1:13">
      <c r="I6" s="110"/>
      <c r="J6" s="108" t="s">
        <v>4</v>
      </c>
      <c r="K6" s="108" t="s">
        <v>5</v>
      </c>
      <c r="L6" s="110"/>
      <c r="M6" s="110"/>
    </row>
    <row r="7" spans="1:13">
      <c r="A7" s="3" t="s">
        <v>224</v>
      </c>
      <c r="B7" s="3"/>
      <c r="C7" s="3"/>
      <c r="D7" s="3"/>
      <c r="E7" s="3"/>
      <c r="F7" s="3"/>
      <c r="I7" s="41"/>
      <c r="J7" s="41"/>
      <c r="K7" s="41"/>
      <c r="L7" s="41"/>
      <c r="M7" s="41"/>
    </row>
    <row r="8" spans="1:13">
      <c r="A8" s="3" t="s">
        <v>324</v>
      </c>
      <c r="B8" s="3"/>
      <c r="C8" s="3"/>
      <c r="D8" s="3"/>
      <c r="E8" s="3"/>
      <c r="F8" s="3"/>
      <c r="I8" s="41"/>
      <c r="J8" s="41"/>
      <c r="K8" s="41"/>
      <c r="L8" s="41"/>
      <c r="M8" s="41"/>
    </row>
    <row r="9" spans="1:13">
      <c r="B9" s="4" t="s">
        <v>11</v>
      </c>
      <c r="I9" s="41">
        <v>1775786</v>
      </c>
      <c r="J9" s="41"/>
      <c r="K9" s="41"/>
      <c r="L9" s="41">
        <f>SUM(I9:K9)</f>
        <v>1775786</v>
      </c>
      <c r="M9" s="41">
        <f>SUM(L9)</f>
        <v>1775786</v>
      </c>
    </row>
    <row r="10" spans="1:13">
      <c r="B10" s="4" t="s">
        <v>325</v>
      </c>
      <c r="I10" s="41"/>
      <c r="J10" s="41"/>
      <c r="K10" s="41"/>
      <c r="L10" s="41"/>
      <c r="M10" s="41"/>
    </row>
    <row r="11" spans="1:13">
      <c r="B11" s="4" t="s">
        <v>12</v>
      </c>
      <c r="I11" s="41"/>
      <c r="J11" s="41"/>
      <c r="K11" s="41"/>
      <c r="L11" s="41">
        <f>SUM(I11:K11)</f>
        <v>0</v>
      </c>
      <c r="M11" s="41">
        <f>SUM(L11)</f>
        <v>0</v>
      </c>
    </row>
    <row r="12" spans="1:13">
      <c r="A12" s="3"/>
      <c r="B12" s="3"/>
      <c r="C12" s="3" t="s">
        <v>326</v>
      </c>
      <c r="D12" s="3"/>
      <c r="E12" s="3"/>
      <c r="F12" s="3"/>
      <c r="G12" s="3"/>
      <c r="H12" s="3"/>
      <c r="I12" s="50">
        <f>SUM(I9:I11)</f>
        <v>1775786</v>
      </c>
      <c r="J12" s="50">
        <f t="shared" ref="J12:L12" si="0">SUM(J9:J11)</f>
        <v>0</v>
      </c>
      <c r="K12" s="50">
        <f t="shared" si="0"/>
        <v>0</v>
      </c>
      <c r="L12" s="50">
        <f t="shared" si="0"/>
        <v>1775786</v>
      </c>
      <c r="M12" s="44"/>
    </row>
    <row r="13" spans="1:13">
      <c r="A13" s="3" t="s">
        <v>327</v>
      </c>
      <c r="I13" s="41"/>
      <c r="J13" s="41"/>
      <c r="K13" s="41"/>
      <c r="L13" s="41"/>
      <c r="M13" s="41"/>
    </row>
    <row r="14" spans="1:13">
      <c r="A14" s="3"/>
      <c r="B14" s="4" t="s">
        <v>328</v>
      </c>
      <c r="I14" s="41">
        <v>13459488</v>
      </c>
      <c r="J14" s="41"/>
      <c r="K14" s="41"/>
      <c r="L14" s="41">
        <f t="shared" ref="L14:L19" si="1">SUM(I14:K14)</f>
        <v>13459488</v>
      </c>
      <c r="M14" s="41"/>
    </row>
    <row r="15" spans="1:13">
      <c r="A15" s="3"/>
      <c r="B15" s="4" t="s">
        <v>18</v>
      </c>
      <c r="I15" s="41">
        <v>26022018</v>
      </c>
      <c r="J15" s="41"/>
      <c r="K15" s="41"/>
      <c r="L15" s="41">
        <f t="shared" si="1"/>
        <v>26022018</v>
      </c>
      <c r="M15" s="41"/>
    </row>
    <row r="16" spans="1:13">
      <c r="A16" s="3"/>
      <c r="B16" s="4" t="s">
        <v>100</v>
      </c>
      <c r="I16" s="41">
        <v>6845204</v>
      </c>
      <c r="J16" s="41"/>
      <c r="K16" s="41"/>
      <c r="L16" s="41">
        <f t="shared" si="1"/>
        <v>6845204</v>
      </c>
      <c r="M16" s="41"/>
    </row>
    <row r="17" spans="1:13">
      <c r="A17" s="3"/>
      <c r="B17" s="4" t="s">
        <v>30</v>
      </c>
      <c r="I17" s="41">
        <v>1733825</v>
      </c>
      <c r="J17" s="41">
        <v>10000</v>
      </c>
      <c r="K17" s="41">
        <v>-125692</v>
      </c>
      <c r="L17" s="41">
        <f t="shared" si="1"/>
        <v>1618133</v>
      </c>
      <c r="M17" s="41"/>
    </row>
    <row r="18" spans="1:13">
      <c r="A18" s="3"/>
      <c r="B18" s="4" t="s">
        <v>329</v>
      </c>
      <c r="I18" s="41">
        <v>1394667</v>
      </c>
      <c r="J18" s="41"/>
      <c r="K18" s="41">
        <v>-13073</v>
      </c>
      <c r="L18" s="41">
        <f t="shared" si="1"/>
        <v>1381594</v>
      </c>
      <c r="M18" s="41"/>
    </row>
    <row r="19" spans="1:13">
      <c r="A19" s="3"/>
      <c r="B19" s="4" t="s">
        <v>330</v>
      </c>
      <c r="I19" s="41">
        <v>4195355</v>
      </c>
      <c r="J19" s="41">
        <v>471822</v>
      </c>
      <c r="K19" s="41">
        <v>-291151</v>
      </c>
      <c r="L19" s="41">
        <f t="shared" si="1"/>
        <v>4376026</v>
      </c>
      <c r="M19" s="41"/>
    </row>
    <row r="20" spans="1:13" ht="19.5" thickBot="1">
      <c r="A20" s="3"/>
      <c r="C20" s="3" t="s">
        <v>331</v>
      </c>
      <c r="I20" s="59">
        <f>SUM(I14:I19)</f>
        <v>53650557</v>
      </c>
      <c r="J20" s="59">
        <f t="shared" ref="J20:L20" si="2">SUM(J14:J19)</f>
        <v>481822</v>
      </c>
      <c r="K20" s="59">
        <f t="shared" si="2"/>
        <v>-429916</v>
      </c>
      <c r="L20" s="59">
        <f t="shared" si="2"/>
        <v>53702463</v>
      </c>
      <c r="M20" s="41"/>
    </row>
    <row r="21" spans="1:13">
      <c r="A21" s="3" t="s">
        <v>20</v>
      </c>
      <c r="I21" s="41"/>
      <c r="J21" s="41"/>
      <c r="K21" s="41"/>
      <c r="L21" s="41"/>
      <c r="M21" s="41"/>
    </row>
    <row r="22" spans="1:13">
      <c r="B22" s="4" t="s">
        <v>328</v>
      </c>
      <c r="I22" s="41">
        <v>-4696075</v>
      </c>
      <c r="J22" s="41">
        <v>-141454</v>
      </c>
      <c r="K22" s="41"/>
      <c r="L22" s="41">
        <f t="shared" ref="L22:L27" si="3">SUM(I22:K22)</f>
        <v>-4837529</v>
      </c>
      <c r="M22" s="41">
        <f>SUM(L22,L14)</f>
        <v>8621959</v>
      </c>
    </row>
    <row r="23" spans="1:13">
      <c r="B23" s="4" t="s">
        <v>18</v>
      </c>
      <c r="I23" s="41">
        <v>-18164949</v>
      </c>
      <c r="J23" s="41">
        <v>-327671</v>
      </c>
      <c r="K23" s="41"/>
      <c r="L23" s="41">
        <f t="shared" si="3"/>
        <v>-18492620</v>
      </c>
      <c r="M23" s="41">
        <f t="shared" ref="M23:M27" si="4">SUM(L23,L15)</f>
        <v>7529398</v>
      </c>
    </row>
    <row r="24" spans="1:13">
      <c r="B24" s="4" t="s">
        <v>100</v>
      </c>
      <c r="I24" s="41">
        <v>-3158795</v>
      </c>
      <c r="J24" s="41">
        <v>-386142</v>
      </c>
      <c r="K24" s="41"/>
      <c r="L24" s="41">
        <f t="shared" si="3"/>
        <v>-3544937</v>
      </c>
      <c r="M24" s="41">
        <f t="shared" si="4"/>
        <v>3300267</v>
      </c>
    </row>
    <row r="25" spans="1:13">
      <c r="B25" s="4" t="s">
        <v>30</v>
      </c>
      <c r="I25" s="41">
        <v>-1126804</v>
      </c>
      <c r="J25" s="41">
        <v>-65483</v>
      </c>
      <c r="K25" s="41">
        <v>105527</v>
      </c>
      <c r="L25" s="41">
        <f t="shared" si="3"/>
        <v>-1086760</v>
      </c>
      <c r="M25" s="41">
        <f t="shared" si="4"/>
        <v>531373</v>
      </c>
    </row>
    <row r="26" spans="1:13">
      <c r="B26" s="4" t="s">
        <v>329</v>
      </c>
      <c r="I26" s="41">
        <v>-1015388</v>
      </c>
      <c r="J26" s="41">
        <v>-58316</v>
      </c>
      <c r="K26" s="41">
        <v>7288</v>
      </c>
      <c r="L26" s="41">
        <f t="shared" si="3"/>
        <v>-1066416</v>
      </c>
      <c r="M26" s="41">
        <f t="shared" si="4"/>
        <v>315178</v>
      </c>
    </row>
    <row r="27" spans="1:13">
      <c r="B27" s="4" t="s">
        <v>330</v>
      </c>
      <c r="I27" s="41">
        <v>-2379461</v>
      </c>
      <c r="J27" s="41">
        <v>-359190</v>
      </c>
      <c r="K27" s="41">
        <v>158849</v>
      </c>
      <c r="L27" s="41">
        <f t="shared" si="3"/>
        <v>-2579802</v>
      </c>
      <c r="M27" s="41">
        <f t="shared" si="4"/>
        <v>1796224</v>
      </c>
    </row>
    <row r="28" spans="1:13">
      <c r="C28" s="3" t="s">
        <v>21</v>
      </c>
      <c r="I28" s="57">
        <f>SUM(I22:I27)</f>
        <v>-30541472</v>
      </c>
      <c r="J28" s="57">
        <f t="shared" ref="J28:L28" si="5">SUM(J22:J27)</f>
        <v>-1338256</v>
      </c>
      <c r="K28" s="57">
        <f t="shared" si="5"/>
        <v>271664</v>
      </c>
      <c r="L28" s="57">
        <f t="shared" si="5"/>
        <v>-31608064</v>
      </c>
      <c r="M28" s="44"/>
    </row>
    <row r="29" spans="1:13">
      <c r="B29" s="3" t="s">
        <v>332</v>
      </c>
      <c r="C29" s="3"/>
      <c r="D29" s="3"/>
      <c r="E29" s="3"/>
      <c r="F29" s="3"/>
      <c r="I29" s="57">
        <f>I28+I20</f>
        <v>23109085</v>
      </c>
      <c r="J29" s="57">
        <f t="shared" ref="J29:L29" si="6">J28+J20</f>
        <v>-856434</v>
      </c>
      <c r="K29" s="57">
        <f t="shared" si="6"/>
        <v>-158252</v>
      </c>
      <c r="L29" s="57">
        <f t="shared" si="6"/>
        <v>22094399</v>
      </c>
      <c r="M29" s="41"/>
    </row>
    <row r="30" spans="1:13" ht="19.5" thickBot="1">
      <c r="B30" s="3" t="s">
        <v>333</v>
      </c>
      <c r="C30" s="3"/>
      <c r="D30" s="3"/>
      <c r="E30" s="3"/>
      <c r="F30" s="3"/>
      <c r="I30" s="59">
        <f>I12+I29</f>
        <v>24884871</v>
      </c>
      <c r="J30" s="59">
        <f>J12+J29</f>
        <v>-856434</v>
      </c>
      <c r="K30" s="59">
        <f>K12+K29</f>
        <v>-158252</v>
      </c>
      <c r="L30" s="59">
        <f>L12+L29</f>
        <v>23870185</v>
      </c>
      <c r="M30" s="41">
        <f>SUM(M22:M27,M9:M11)</f>
        <v>23870185</v>
      </c>
    </row>
    <row r="31" spans="1:13" s="3" customFormat="1">
      <c r="A31"/>
      <c r="B31"/>
      <c r="C31"/>
      <c r="D31"/>
      <c r="E31"/>
      <c r="F31"/>
      <c r="G31"/>
      <c r="H31"/>
      <c r="I31" s="71"/>
      <c r="J31" s="71"/>
      <c r="K31" s="71"/>
      <c r="L31" s="71"/>
      <c r="M31" s="71"/>
    </row>
    <row r="32" spans="1:13">
      <c r="A32"/>
      <c r="B32"/>
      <c r="C32"/>
      <c r="D32"/>
      <c r="E32"/>
      <c r="F32"/>
      <c r="G32"/>
      <c r="H32"/>
      <c r="I32"/>
      <c r="J32"/>
      <c r="K32"/>
      <c r="L32"/>
      <c r="M32"/>
    </row>
    <row r="33" spans="2:12">
      <c r="C33"/>
      <c r="D33"/>
      <c r="E33"/>
      <c r="F33"/>
      <c r="G33"/>
      <c r="H33"/>
      <c r="I33"/>
      <c r="J33"/>
      <c r="K33"/>
      <c r="L33"/>
    </row>
    <row r="34" spans="2:12">
      <c r="B34"/>
      <c r="C34"/>
      <c r="D34"/>
      <c r="E34"/>
      <c r="F34"/>
      <c r="G34"/>
      <c r="H34"/>
      <c r="I34"/>
      <c r="J34"/>
      <c r="K34"/>
      <c r="L34"/>
    </row>
    <row r="35" spans="2:12">
      <c r="B35"/>
      <c r="C35"/>
      <c r="D35"/>
      <c r="E35"/>
      <c r="F35"/>
      <c r="G35"/>
      <c r="H35"/>
      <c r="I35"/>
      <c r="J35"/>
      <c r="K35"/>
      <c r="L35"/>
    </row>
    <row r="36" spans="2:12">
      <c r="B36"/>
      <c r="C36"/>
      <c r="D36"/>
      <c r="E36"/>
      <c r="F36"/>
      <c r="G36"/>
      <c r="H36"/>
      <c r="I36"/>
      <c r="J36"/>
      <c r="K36"/>
      <c r="L36"/>
    </row>
    <row r="37" spans="2:12">
      <c r="C37"/>
      <c r="D37"/>
      <c r="E37"/>
      <c r="F37"/>
      <c r="G37"/>
      <c r="H37"/>
      <c r="I37"/>
      <c r="J37"/>
      <c r="K37"/>
      <c r="L37"/>
    </row>
    <row r="38" spans="2:12">
      <c r="C38"/>
      <c r="D38"/>
      <c r="E38"/>
      <c r="F38"/>
      <c r="G38"/>
      <c r="H38"/>
      <c r="I38"/>
      <c r="J38"/>
      <c r="K38"/>
      <c r="L38"/>
    </row>
  </sheetData>
  <mergeCells count="6">
    <mergeCell ref="M5:M6"/>
    <mergeCell ref="D1:I1"/>
    <mergeCell ref="D2:I2"/>
    <mergeCell ref="D3:I3"/>
    <mergeCell ref="I5:I6"/>
    <mergeCell ref="L5:L6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52"/>
  <sheetViews>
    <sheetView workbookViewId="0">
      <selection sqref="A1:XFD1048576"/>
    </sheetView>
  </sheetViews>
  <sheetFormatPr defaultColWidth="8.85546875" defaultRowHeight="18.75"/>
  <cols>
    <col min="1" max="1" width="4.42578125" style="4" customWidth="1"/>
    <col min="2" max="3" width="4.7109375" style="4" customWidth="1"/>
    <col min="4" max="6" width="8.85546875" style="4"/>
    <col min="7" max="7" width="14.28515625" style="4" bestFit="1" customWidth="1"/>
    <col min="8" max="8" width="12.7109375" style="4" bestFit="1" customWidth="1"/>
    <col min="9" max="9" width="19.140625" style="4" bestFit="1" customWidth="1"/>
    <col min="10" max="10" width="22.140625" style="4" bestFit="1" customWidth="1"/>
    <col min="11" max="11" width="16.85546875" style="4" customWidth="1"/>
    <col min="12" max="12" width="23" style="4" bestFit="1" customWidth="1"/>
    <col min="13" max="13" width="17.85546875" style="4" customWidth="1"/>
    <col min="14" max="16384" width="8.85546875" style="4"/>
  </cols>
  <sheetData>
    <row r="1" spans="1:13">
      <c r="D1" s="109" t="s">
        <v>334</v>
      </c>
      <c r="E1" s="109"/>
      <c r="F1" s="109"/>
      <c r="G1" s="109"/>
      <c r="H1" s="109"/>
      <c r="I1" s="109"/>
    </row>
    <row r="2" spans="1:13">
      <c r="D2" s="109" t="s">
        <v>1</v>
      </c>
      <c r="E2" s="109"/>
      <c r="F2" s="109"/>
      <c r="G2" s="109"/>
      <c r="H2" s="109"/>
      <c r="I2" s="109"/>
    </row>
    <row r="3" spans="1:13">
      <c r="D3" s="109" t="s">
        <v>2</v>
      </c>
      <c r="E3" s="109"/>
      <c r="F3" s="109"/>
      <c r="G3" s="109"/>
      <c r="H3" s="109"/>
      <c r="I3" s="109"/>
    </row>
    <row r="4" spans="1:13" ht="14.25" customHeight="1">
      <c r="D4" s="107"/>
      <c r="E4" s="107"/>
      <c r="F4" s="107"/>
      <c r="G4" s="107"/>
      <c r="H4" s="107"/>
      <c r="I4" s="42"/>
      <c r="J4" s="41"/>
      <c r="K4" s="41"/>
      <c r="L4" s="41"/>
      <c r="M4" s="41"/>
    </row>
    <row r="5" spans="1:13" ht="39" customHeight="1">
      <c r="I5" s="110" t="s">
        <v>322</v>
      </c>
      <c r="J5" s="108"/>
      <c r="K5" s="108"/>
      <c r="L5" s="110" t="s">
        <v>323</v>
      </c>
      <c r="M5" s="110" t="s">
        <v>7</v>
      </c>
    </row>
    <row r="6" spans="1:13">
      <c r="I6" s="110"/>
      <c r="J6" s="108" t="s">
        <v>4</v>
      </c>
      <c r="K6" s="108" t="s">
        <v>5</v>
      </c>
      <c r="L6" s="110"/>
      <c r="M6" s="110"/>
    </row>
    <row r="7" spans="1:13">
      <c r="A7" s="3" t="s">
        <v>224</v>
      </c>
      <c r="B7" s="3"/>
      <c r="C7" s="3"/>
      <c r="D7" s="3"/>
      <c r="E7" s="3"/>
      <c r="F7" s="3"/>
      <c r="I7" s="41"/>
      <c r="J7" s="41"/>
      <c r="K7" s="41"/>
      <c r="L7" s="41"/>
      <c r="M7" s="41"/>
    </row>
    <row r="8" spans="1:13">
      <c r="A8" s="3" t="s">
        <v>324</v>
      </c>
      <c r="B8" s="3"/>
      <c r="C8" s="3"/>
      <c r="D8" s="3"/>
      <c r="E8" s="3"/>
      <c r="F8" s="3"/>
      <c r="I8" s="41"/>
      <c r="J8" s="41"/>
      <c r="K8" s="41"/>
      <c r="L8" s="41"/>
      <c r="M8" s="41"/>
    </row>
    <row r="9" spans="1:13">
      <c r="B9" s="4" t="s">
        <v>11</v>
      </c>
      <c r="I9" s="41">
        <v>5844429</v>
      </c>
      <c r="J9" s="41"/>
      <c r="K9" s="41"/>
      <c r="L9" s="41">
        <f>SUM(I9:K9)</f>
        <v>5844429</v>
      </c>
      <c r="M9" s="41">
        <f>SUM(L9)</f>
        <v>5844429</v>
      </c>
    </row>
    <row r="10" spans="1:13">
      <c r="B10" s="4" t="s">
        <v>12</v>
      </c>
      <c r="I10" s="41">
        <v>7416561</v>
      </c>
      <c r="J10" s="41">
        <v>12652731</v>
      </c>
      <c r="K10" s="41">
        <v>-4958195</v>
      </c>
      <c r="L10" s="41">
        <f>SUM(I10:K10)</f>
        <v>15111097</v>
      </c>
      <c r="M10" s="41">
        <f>SUM(L10)</f>
        <v>15111097</v>
      </c>
    </row>
    <row r="11" spans="1:13">
      <c r="A11" s="3"/>
      <c r="B11" s="3"/>
      <c r="C11" s="3" t="s">
        <v>326</v>
      </c>
      <c r="D11" s="3"/>
      <c r="E11" s="3"/>
      <c r="F11" s="3"/>
      <c r="G11" s="3"/>
      <c r="H11" s="3"/>
      <c r="I11" s="50">
        <f>SUM(I9:I10)</f>
        <v>13260990</v>
      </c>
      <c r="J11" s="50">
        <f t="shared" ref="J11:L11" si="0">SUM(J9:J10)</f>
        <v>12652731</v>
      </c>
      <c r="K11" s="50">
        <f t="shared" si="0"/>
        <v>-4958195</v>
      </c>
      <c r="L11" s="50">
        <f t="shared" si="0"/>
        <v>20955526</v>
      </c>
      <c r="M11" s="44"/>
    </row>
    <row r="12" spans="1:13">
      <c r="A12" s="3" t="s">
        <v>327</v>
      </c>
      <c r="I12" s="41"/>
      <c r="J12" s="41"/>
      <c r="K12" s="41"/>
      <c r="L12" s="41"/>
      <c r="M12" s="41"/>
    </row>
    <row r="13" spans="1:13">
      <c r="A13" s="3"/>
      <c r="B13" s="4" t="s">
        <v>328</v>
      </c>
      <c r="I13" s="41">
        <v>53096695</v>
      </c>
      <c r="J13" s="41">
        <v>1717022</v>
      </c>
      <c r="K13" s="41"/>
      <c r="L13" s="41">
        <f t="shared" ref="L13:L18" si="1">SUM(I13:K13)</f>
        <v>54813717</v>
      </c>
      <c r="M13" s="41"/>
    </row>
    <row r="14" spans="1:13">
      <c r="A14" s="3"/>
      <c r="B14" s="4" t="s">
        <v>335</v>
      </c>
      <c r="I14" s="41">
        <v>3758232</v>
      </c>
      <c r="J14" s="41"/>
      <c r="K14" s="41"/>
      <c r="L14" s="41">
        <f t="shared" si="1"/>
        <v>3758232</v>
      </c>
      <c r="M14" s="41"/>
    </row>
    <row r="15" spans="1:13">
      <c r="A15" s="3"/>
      <c r="B15" s="4" t="s">
        <v>330</v>
      </c>
      <c r="I15" s="41">
        <v>6290267</v>
      </c>
      <c r="J15" s="41">
        <v>477952</v>
      </c>
      <c r="K15" s="41">
        <v>-529226</v>
      </c>
      <c r="L15" s="41">
        <f t="shared" si="1"/>
        <v>6238993</v>
      </c>
      <c r="M15" s="41"/>
    </row>
    <row r="16" spans="1:13">
      <c r="A16" s="3"/>
      <c r="B16" s="4" t="s">
        <v>336</v>
      </c>
      <c r="I16" s="41">
        <v>2126234</v>
      </c>
      <c r="J16" s="41"/>
      <c r="K16" s="41"/>
      <c r="L16" s="41">
        <f t="shared" si="1"/>
        <v>2126234</v>
      </c>
      <c r="M16" s="41"/>
    </row>
    <row r="17" spans="1:13">
      <c r="A17" s="3"/>
      <c r="B17" s="4" t="s">
        <v>18</v>
      </c>
      <c r="I17" s="41">
        <v>143108015</v>
      </c>
      <c r="J17" s="41">
        <v>3254528</v>
      </c>
      <c r="K17" s="41"/>
      <c r="L17" s="41">
        <f t="shared" si="1"/>
        <v>146362543</v>
      </c>
      <c r="M17" s="41"/>
    </row>
    <row r="18" spans="1:13">
      <c r="A18" s="3"/>
      <c r="B18" s="4" t="s">
        <v>329</v>
      </c>
      <c r="I18" s="41">
        <v>250660</v>
      </c>
      <c r="J18" s="41"/>
      <c r="K18" s="41"/>
      <c r="L18" s="41">
        <f t="shared" si="1"/>
        <v>250660</v>
      </c>
      <c r="M18" s="41"/>
    </row>
    <row r="19" spans="1:13">
      <c r="A19" s="3"/>
      <c r="C19" s="3" t="s">
        <v>331</v>
      </c>
      <c r="I19" s="59">
        <f>SUM(I13:I18)</f>
        <v>208630103</v>
      </c>
      <c r="J19" s="59">
        <f t="shared" ref="J19:L19" si="2">SUM(J13:J18)</f>
        <v>5449502</v>
      </c>
      <c r="K19" s="59">
        <f t="shared" si="2"/>
        <v>-529226</v>
      </c>
      <c r="L19" s="59">
        <f t="shared" si="2"/>
        <v>213550379</v>
      </c>
      <c r="M19" s="41"/>
    </row>
    <row r="20" spans="1:13">
      <c r="A20" s="3" t="s">
        <v>20</v>
      </c>
      <c r="I20" s="41"/>
      <c r="J20" s="41"/>
      <c r="K20" s="41"/>
      <c r="L20" s="41"/>
      <c r="M20" s="41"/>
    </row>
    <row r="21" spans="1:13">
      <c r="B21" s="4" t="s">
        <v>18</v>
      </c>
      <c r="I21" s="41">
        <v>-7991608</v>
      </c>
      <c r="J21" s="41">
        <v>-1392161</v>
      </c>
      <c r="K21" s="41"/>
      <c r="L21" s="41">
        <f t="shared" ref="L21:L26" si="3">SUM(I21:K21)</f>
        <v>-9383769</v>
      </c>
      <c r="M21" s="41">
        <f>SUM(L21,L13)</f>
        <v>45429948</v>
      </c>
    </row>
    <row r="22" spans="1:13">
      <c r="B22" s="4" t="s">
        <v>335</v>
      </c>
      <c r="I22" s="41">
        <v>-164423</v>
      </c>
      <c r="J22" s="41">
        <v>-141749</v>
      </c>
      <c r="K22" s="41"/>
      <c r="L22" s="41">
        <f t="shared" si="3"/>
        <v>-306172</v>
      </c>
      <c r="M22" s="41">
        <f t="shared" ref="M22:M26" si="4">SUM(L22,L14)</f>
        <v>3452060</v>
      </c>
    </row>
    <row r="23" spans="1:13">
      <c r="B23" s="4" t="s">
        <v>330</v>
      </c>
      <c r="I23" s="41">
        <v>-4559562</v>
      </c>
      <c r="J23" s="41">
        <v>-561739</v>
      </c>
      <c r="K23" s="41">
        <v>421253</v>
      </c>
      <c r="L23" s="41">
        <f t="shared" si="3"/>
        <v>-4700048</v>
      </c>
      <c r="M23" s="41">
        <f t="shared" si="4"/>
        <v>1538945</v>
      </c>
    </row>
    <row r="24" spans="1:13">
      <c r="B24" s="4" t="s">
        <v>336</v>
      </c>
      <c r="I24" s="41">
        <v>-99937</v>
      </c>
      <c r="J24" s="41">
        <v>-9081199</v>
      </c>
      <c r="K24" s="41"/>
      <c r="L24" s="41">
        <f t="shared" si="3"/>
        <v>-9181136</v>
      </c>
      <c r="M24" s="41">
        <f t="shared" si="4"/>
        <v>-7054902</v>
      </c>
    </row>
    <row r="25" spans="1:13">
      <c r="B25" s="4" t="s">
        <v>18</v>
      </c>
      <c r="I25" s="41">
        <v>-66964782</v>
      </c>
      <c r="J25" s="41">
        <v>-28940</v>
      </c>
      <c r="K25" s="41"/>
      <c r="L25" s="41">
        <f t="shared" si="3"/>
        <v>-66993722</v>
      </c>
      <c r="M25" s="41">
        <f t="shared" si="4"/>
        <v>79368821</v>
      </c>
    </row>
    <row r="26" spans="1:13">
      <c r="B26" s="4" t="s">
        <v>329</v>
      </c>
      <c r="I26" s="41">
        <v>-174574</v>
      </c>
      <c r="J26" s="41">
        <v>-93956</v>
      </c>
      <c r="K26" s="41"/>
      <c r="L26" s="41">
        <f t="shared" si="3"/>
        <v>-268530</v>
      </c>
      <c r="M26" s="41">
        <f t="shared" si="4"/>
        <v>-17870</v>
      </c>
    </row>
    <row r="27" spans="1:13">
      <c r="C27" s="3" t="s">
        <v>21</v>
      </c>
      <c r="I27" s="57">
        <f>SUM(I21:I26)</f>
        <v>-79954886</v>
      </c>
      <c r="J27" s="57">
        <f t="shared" ref="J27:L27" si="5">SUM(J21:J26)</f>
        <v>-11299744</v>
      </c>
      <c r="K27" s="57">
        <f t="shared" si="5"/>
        <v>421253</v>
      </c>
      <c r="L27" s="57">
        <f t="shared" si="5"/>
        <v>-90833377</v>
      </c>
      <c r="M27" s="44"/>
    </row>
    <row r="28" spans="1:13">
      <c r="B28" s="3" t="s">
        <v>332</v>
      </c>
      <c r="C28" s="3"/>
      <c r="D28" s="3"/>
      <c r="E28" s="3"/>
      <c r="F28" s="3"/>
      <c r="I28" s="57">
        <v>128675217</v>
      </c>
      <c r="J28" s="57">
        <v>-5850242</v>
      </c>
      <c r="K28" s="57">
        <v>-107973</v>
      </c>
      <c r="L28" s="57">
        <f>SUM(I28:K28)</f>
        <v>122717002</v>
      </c>
      <c r="M28" s="41"/>
    </row>
    <row r="29" spans="1:13">
      <c r="B29" s="3" t="s">
        <v>333</v>
      </c>
      <c r="C29" s="3"/>
      <c r="D29" s="3"/>
      <c r="E29" s="3"/>
      <c r="F29" s="3"/>
      <c r="I29" s="59">
        <f>I11+I28</f>
        <v>141936207</v>
      </c>
      <c r="J29" s="59">
        <f>J11+J28</f>
        <v>6802489</v>
      </c>
      <c r="K29" s="59">
        <f>K11+K28</f>
        <v>-5066168</v>
      </c>
      <c r="L29" s="59">
        <f>L11+L28</f>
        <v>143672528</v>
      </c>
      <c r="M29" s="41">
        <f>SUM(M21:M26,M9:M10)</f>
        <v>143672528</v>
      </c>
    </row>
    <row r="30" spans="1:13" s="3" customFormat="1">
      <c r="A30"/>
      <c r="B30"/>
      <c r="C30"/>
      <c r="D30"/>
      <c r="E30"/>
      <c r="F30"/>
      <c r="G30"/>
      <c r="H30"/>
      <c r="I30" s="71"/>
      <c r="J30" s="71"/>
      <c r="K30" s="71"/>
      <c r="L30" s="71"/>
      <c r="M30" s="71"/>
    </row>
    <row r="31" spans="1:13">
      <c r="A31"/>
      <c r="B31"/>
      <c r="C31"/>
      <c r="D31"/>
      <c r="E31"/>
      <c r="F31"/>
      <c r="G31"/>
      <c r="H31"/>
      <c r="I31" s="71"/>
      <c r="J31" s="71"/>
      <c r="K31" s="71"/>
      <c r="L31" s="71"/>
      <c r="M31" s="71"/>
    </row>
    <row r="32" spans="1:13">
      <c r="A32" s="3" t="s">
        <v>337</v>
      </c>
      <c r="B32" s="3"/>
      <c r="C32" s="3"/>
      <c r="D32" s="3"/>
      <c r="E32" s="3"/>
      <c r="F32" s="3"/>
      <c r="I32" s="41"/>
      <c r="J32" s="41"/>
      <c r="K32" s="41"/>
      <c r="L32" s="41"/>
      <c r="M32" s="41"/>
    </row>
    <row r="33" spans="1:13">
      <c r="A33" s="3" t="s">
        <v>324</v>
      </c>
      <c r="B33" s="3"/>
      <c r="C33" s="3"/>
      <c r="D33" s="3"/>
      <c r="E33" s="3"/>
      <c r="F33" s="3"/>
      <c r="I33" s="41"/>
      <c r="J33" s="41"/>
      <c r="K33" s="41"/>
      <c r="L33" s="41"/>
      <c r="M33" s="41"/>
    </row>
    <row r="34" spans="1:13">
      <c r="B34" s="4" t="s">
        <v>11</v>
      </c>
      <c r="I34" s="41">
        <v>13243</v>
      </c>
      <c r="J34" s="41"/>
      <c r="K34" s="41"/>
      <c r="L34" s="41">
        <f>SUM(I34:K34)</f>
        <v>13243</v>
      </c>
      <c r="M34" s="41">
        <f>SUM(L34)</f>
        <v>13243</v>
      </c>
    </row>
    <row r="35" spans="1:13">
      <c r="B35" s="4" t="s">
        <v>12</v>
      </c>
      <c r="I35" s="41">
        <v>223862</v>
      </c>
      <c r="J35" s="41">
        <v>629643</v>
      </c>
      <c r="K35" s="41">
        <v>-676022</v>
      </c>
      <c r="L35" s="41">
        <f>SUM(I35:K35)</f>
        <v>177483</v>
      </c>
      <c r="M35" s="41">
        <f>SUM(L35)</f>
        <v>177483</v>
      </c>
    </row>
    <row r="36" spans="1:13">
      <c r="A36" s="3"/>
      <c r="B36" s="3"/>
      <c r="C36" s="3" t="s">
        <v>326</v>
      </c>
      <c r="D36" s="3"/>
      <c r="E36" s="3"/>
      <c r="F36" s="3"/>
      <c r="G36" s="3"/>
      <c r="H36" s="3"/>
      <c r="I36" s="50">
        <f>SUM(I34:I35)</f>
        <v>237105</v>
      </c>
      <c r="J36" s="50">
        <f t="shared" ref="J36:L36" si="6">SUM(J34:J35)</f>
        <v>629643</v>
      </c>
      <c r="K36" s="50">
        <f t="shared" si="6"/>
        <v>-676022</v>
      </c>
      <c r="L36" s="50">
        <f t="shared" si="6"/>
        <v>190726</v>
      </c>
      <c r="M36" s="44"/>
    </row>
    <row r="37" spans="1:13">
      <c r="A37" s="3" t="s">
        <v>327</v>
      </c>
      <c r="I37" s="41"/>
      <c r="J37" s="41"/>
      <c r="K37" s="41"/>
      <c r="L37" s="41"/>
      <c r="M37" s="41"/>
    </row>
    <row r="38" spans="1:13">
      <c r="A38" s="3"/>
      <c r="B38" s="4" t="s">
        <v>338</v>
      </c>
      <c r="I38" s="41">
        <v>9261411</v>
      </c>
      <c r="J38" s="41">
        <v>684247</v>
      </c>
      <c r="K38" s="41"/>
      <c r="L38" s="41">
        <f>SUM(I38:K38)</f>
        <v>9945658</v>
      </c>
      <c r="M38" s="41"/>
    </row>
    <row r="39" spans="1:13">
      <c r="A39" s="3"/>
      <c r="C39" s="3" t="s">
        <v>331</v>
      </c>
      <c r="I39" s="59">
        <f>SUM(I38:I38)</f>
        <v>9261411</v>
      </c>
      <c r="J39" s="59">
        <f>SUM(J38:J38)</f>
        <v>684247</v>
      </c>
      <c r="K39" s="59">
        <f>SUM(K38:K38)</f>
        <v>0</v>
      </c>
      <c r="L39" s="59">
        <f>SUM(L38:L38)</f>
        <v>9945658</v>
      </c>
      <c r="M39" s="41"/>
    </row>
    <row r="40" spans="1:13">
      <c r="A40" s="3" t="s">
        <v>20</v>
      </c>
      <c r="I40" s="41"/>
      <c r="J40" s="41"/>
      <c r="K40" s="41"/>
      <c r="L40" s="41"/>
      <c r="M40" s="41"/>
    </row>
    <row r="41" spans="1:13">
      <c r="B41" s="4" t="s">
        <v>339</v>
      </c>
      <c r="I41" s="41">
        <v>-1558758</v>
      </c>
      <c r="J41" s="41">
        <v>-280146</v>
      </c>
      <c r="K41" s="41"/>
      <c r="L41" s="41">
        <f>SUM(I41:K41)</f>
        <v>-1838904</v>
      </c>
      <c r="M41" s="41">
        <f>SUM(L41,L38)</f>
        <v>8106754</v>
      </c>
    </row>
    <row r="42" spans="1:13">
      <c r="C42" s="3" t="s">
        <v>21</v>
      </c>
      <c r="I42" s="57">
        <f>SUM(I41:I41)</f>
        <v>-1558758</v>
      </c>
      <c r="J42" s="57">
        <f>SUM(J41:J41)</f>
        <v>-280146</v>
      </c>
      <c r="K42" s="57">
        <f>SUM(K41:K41)</f>
        <v>0</v>
      </c>
      <c r="L42" s="57">
        <f>SUM(L41:L41)</f>
        <v>-1838904</v>
      </c>
      <c r="M42" s="44"/>
    </row>
    <row r="43" spans="1:13">
      <c r="B43" s="3" t="s">
        <v>332</v>
      </c>
      <c r="C43" s="3"/>
      <c r="D43" s="3"/>
      <c r="E43" s="3"/>
      <c r="F43" s="3"/>
      <c r="I43" s="57">
        <v>7702653</v>
      </c>
      <c r="J43" s="57">
        <v>404101</v>
      </c>
      <c r="K43" s="57">
        <f>K39-K42</f>
        <v>0</v>
      </c>
      <c r="L43" s="57">
        <f>SUM(I43:K43)</f>
        <v>8106754</v>
      </c>
      <c r="M43" s="41"/>
    </row>
    <row r="44" spans="1:13">
      <c r="B44" s="3" t="s">
        <v>333</v>
      </c>
      <c r="C44" s="3"/>
      <c r="D44" s="3"/>
      <c r="E44" s="3"/>
      <c r="F44" s="3"/>
      <c r="I44" s="59">
        <f>I36+I43</f>
        <v>7939758</v>
      </c>
      <c r="J44" s="59">
        <f>J36+J43</f>
        <v>1033744</v>
      </c>
      <c r="K44" s="59">
        <f>K36+K43</f>
        <v>-676022</v>
      </c>
      <c r="L44" s="59">
        <f>L36+L43</f>
        <v>8297480</v>
      </c>
      <c r="M44" s="41">
        <f>SUM(M41,M34:M35)</f>
        <v>8297480</v>
      </c>
    </row>
    <row r="45" spans="1:13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3">
      <c r="A46"/>
      <c r="B46"/>
      <c r="C46"/>
      <c r="D46"/>
      <c r="E46"/>
      <c r="F46"/>
      <c r="G46"/>
      <c r="H46"/>
      <c r="I46"/>
      <c r="J46"/>
      <c r="K46"/>
      <c r="L46"/>
      <c r="M46"/>
    </row>
    <row r="47" spans="1:13">
      <c r="C47"/>
      <c r="D47"/>
      <c r="E47"/>
      <c r="F47"/>
      <c r="G47"/>
      <c r="H47"/>
      <c r="I47"/>
      <c r="J47"/>
      <c r="K47"/>
      <c r="L47"/>
    </row>
    <row r="48" spans="1:13">
      <c r="B48"/>
      <c r="C48"/>
      <c r="D48"/>
      <c r="E48"/>
      <c r="F48"/>
      <c r="G48"/>
      <c r="H48"/>
      <c r="I48"/>
      <c r="J48"/>
      <c r="K48"/>
      <c r="L48"/>
    </row>
    <row r="49" spans="2:12">
      <c r="B49"/>
      <c r="C49"/>
      <c r="D49"/>
      <c r="E49"/>
      <c r="F49"/>
      <c r="G49"/>
      <c r="H49"/>
      <c r="I49"/>
      <c r="J49"/>
      <c r="K49"/>
      <c r="L49"/>
    </row>
    <row r="50" spans="2:12">
      <c r="B50"/>
      <c r="C50"/>
      <c r="D50"/>
      <c r="E50"/>
      <c r="F50"/>
      <c r="G50"/>
      <c r="H50"/>
      <c r="I50"/>
      <c r="J50"/>
      <c r="K50"/>
      <c r="L50"/>
    </row>
    <row r="51" spans="2:12">
      <c r="C51"/>
      <c r="D51"/>
      <c r="E51"/>
      <c r="F51"/>
      <c r="G51"/>
      <c r="H51"/>
      <c r="I51"/>
      <c r="J51"/>
      <c r="K51"/>
      <c r="L51"/>
    </row>
    <row r="52" spans="2:12">
      <c r="C52"/>
      <c r="D52"/>
      <c r="E52"/>
      <c r="F52"/>
      <c r="G52"/>
      <c r="H52"/>
      <c r="I52"/>
      <c r="J52"/>
      <c r="K52"/>
      <c r="L52"/>
    </row>
  </sheetData>
  <mergeCells count="6">
    <mergeCell ref="M5:M6"/>
    <mergeCell ref="D1:I1"/>
    <mergeCell ref="D2:I2"/>
    <mergeCell ref="D3:I3"/>
    <mergeCell ref="I5:I6"/>
    <mergeCell ref="L5:L6"/>
  </mergeCells>
  <phoneticPr fontId="15" type="noConversion"/>
  <pageMargins left="0.7" right="0.7" top="0.75" bottom="0.75" header="0.3" footer="0.3"/>
  <pageSetup orientation="portrait" horizontalDpi="1200" verticalDpi="1200" r:id="rId1"/>
  <extLst>
    <ext xmlns:mx="http://schemas.microsoft.com/office/mac/excel/2008/main" uri="{64002731-A6B0-56B0-2670-7721B7C09600}">
      <mx:PLV Mode="0" OnePage="0" WScale="0"/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33"/>
  <sheetViews>
    <sheetView workbookViewId="0">
      <selection activeCell="M26" sqref="M26"/>
    </sheetView>
  </sheetViews>
  <sheetFormatPr defaultColWidth="8.85546875" defaultRowHeight="18.75"/>
  <cols>
    <col min="1" max="1" width="4.42578125" style="4" customWidth="1"/>
    <col min="2" max="3" width="4.7109375" style="4" customWidth="1"/>
    <col min="4" max="6" width="8.85546875" style="4"/>
    <col min="7" max="7" width="14.28515625" style="4" bestFit="1" customWidth="1"/>
    <col min="8" max="8" width="12.7109375" style="4" bestFit="1" customWidth="1"/>
    <col min="9" max="9" width="19.140625" style="4" bestFit="1" customWidth="1"/>
    <col min="10" max="10" width="22.140625" style="4" bestFit="1" customWidth="1"/>
    <col min="11" max="11" width="16.85546875" style="4" customWidth="1"/>
    <col min="12" max="12" width="23" style="4" bestFit="1" customWidth="1"/>
    <col min="13" max="13" width="17.85546875" style="4" customWidth="1"/>
    <col min="14" max="16384" width="8.85546875" style="4"/>
  </cols>
  <sheetData>
    <row r="1" spans="1:13">
      <c r="D1" s="109" t="s">
        <v>340</v>
      </c>
      <c r="E1" s="109"/>
      <c r="F1" s="109"/>
      <c r="G1" s="109"/>
      <c r="H1" s="109"/>
      <c r="I1" s="109"/>
    </row>
    <row r="2" spans="1:13">
      <c r="D2" s="109" t="s">
        <v>1</v>
      </c>
      <c r="E2" s="109"/>
      <c r="F2" s="109"/>
      <c r="G2" s="109"/>
      <c r="H2" s="109"/>
      <c r="I2" s="109"/>
    </row>
    <row r="3" spans="1:13">
      <c r="D3" s="109" t="s">
        <v>2</v>
      </c>
      <c r="E3" s="109"/>
      <c r="F3" s="109"/>
      <c r="G3" s="109"/>
      <c r="H3" s="109"/>
      <c r="I3" s="109"/>
    </row>
    <row r="4" spans="1:13" ht="14.25" customHeight="1">
      <c r="D4" s="107"/>
      <c r="E4" s="107"/>
      <c r="F4" s="107"/>
      <c r="G4" s="107"/>
      <c r="H4" s="107"/>
      <c r="I4" s="42"/>
      <c r="J4" s="41"/>
      <c r="K4" s="41"/>
      <c r="L4" s="41"/>
      <c r="M4" s="41"/>
    </row>
    <row r="5" spans="1:13" ht="39" customHeight="1">
      <c r="I5" s="110" t="s">
        <v>322</v>
      </c>
      <c r="J5" s="108"/>
      <c r="K5" s="108"/>
      <c r="L5" s="110" t="s">
        <v>323</v>
      </c>
      <c r="M5" s="110" t="s">
        <v>7</v>
      </c>
    </row>
    <row r="6" spans="1:13">
      <c r="I6" s="110"/>
      <c r="J6" s="108" t="s">
        <v>4</v>
      </c>
      <c r="K6" s="108" t="s">
        <v>5</v>
      </c>
      <c r="L6" s="110"/>
      <c r="M6" s="110"/>
    </row>
    <row r="7" spans="1:13">
      <c r="A7" s="3" t="s">
        <v>224</v>
      </c>
      <c r="B7" s="3"/>
      <c r="C7" s="3"/>
      <c r="D7" s="3"/>
      <c r="E7" s="3"/>
      <c r="F7" s="3"/>
      <c r="I7" s="41"/>
      <c r="J7" s="41"/>
      <c r="K7" s="41"/>
      <c r="L7" s="41"/>
      <c r="M7" s="41"/>
    </row>
    <row r="8" spans="1:13">
      <c r="A8" s="3" t="s">
        <v>324</v>
      </c>
      <c r="B8" s="3"/>
      <c r="C8" s="3"/>
      <c r="D8" s="3"/>
      <c r="E8" s="3"/>
      <c r="F8" s="3"/>
      <c r="I8" s="41"/>
      <c r="J8" s="41"/>
      <c r="K8" s="41"/>
      <c r="L8" s="41"/>
      <c r="M8" s="41"/>
    </row>
    <row r="9" spans="1:13">
      <c r="B9" s="4" t="s">
        <v>11</v>
      </c>
      <c r="I9" s="41">
        <v>188750</v>
      </c>
      <c r="J9" s="41"/>
      <c r="K9" s="41"/>
      <c r="L9" s="41">
        <f>SUM(I9:K9)</f>
        <v>188750</v>
      </c>
      <c r="M9" s="41">
        <f>SUM(L9)</f>
        <v>188750</v>
      </c>
    </row>
    <row r="10" spans="1:13">
      <c r="B10" s="4" t="s">
        <v>341</v>
      </c>
      <c r="I10" s="41">
        <v>3771405</v>
      </c>
      <c r="J10" s="41"/>
      <c r="K10" s="41"/>
      <c r="L10" s="41">
        <f>SUM(I10:K10)</f>
        <v>3771405</v>
      </c>
      <c r="M10" s="41">
        <f>L10</f>
        <v>3771405</v>
      </c>
    </row>
    <row r="11" spans="1:13">
      <c r="B11" s="4" t="s">
        <v>342</v>
      </c>
      <c r="I11" s="41">
        <v>98884</v>
      </c>
      <c r="J11" s="41">
        <v>1410655</v>
      </c>
      <c r="K11" s="41">
        <v>-1509539</v>
      </c>
      <c r="L11" s="41">
        <f>SUM(I11:K11)</f>
        <v>0</v>
      </c>
      <c r="M11" s="41">
        <f>SUM(L11)</f>
        <v>0</v>
      </c>
    </row>
    <row r="12" spans="1:13">
      <c r="A12" s="3"/>
      <c r="B12" s="3"/>
      <c r="C12" s="3" t="s">
        <v>326</v>
      </c>
      <c r="D12" s="3"/>
      <c r="E12" s="3"/>
      <c r="F12" s="3"/>
      <c r="G12" s="3"/>
      <c r="H12" s="3"/>
      <c r="I12" s="50">
        <f>SUM(I9:I11)</f>
        <v>4059039</v>
      </c>
      <c r="J12" s="50">
        <f t="shared" ref="J12:L12" si="0">SUM(J9:J11)</f>
        <v>1410655</v>
      </c>
      <c r="K12" s="50">
        <f t="shared" si="0"/>
        <v>-1509539</v>
      </c>
      <c r="L12" s="50">
        <f t="shared" si="0"/>
        <v>3960155</v>
      </c>
      <c r="M12" s="44"/>
    </row>
    <row r="13" spans="1:13">
      <c r="A13" s="3" t="s">
        <v>327</v>
      </c>
      <c r="I13" s="41"/>
      <c r="J13" s="41"/>
      <c r="K13" s="41"/>
      <c r="L13" s="41"/>
      <c r="M13" s="41"/>
    </row>
    <row r="14" spans="1:13">
      <c r="A14" s="3"/>
      <c r="B14" s="4" t="s">
        <v>343</v>
      </c>
      <c r="I14" s="41"/>
      <c r="J14" s="41">
        <v>1509539</v>
      </c>
      <c r="K14" s="41"/>
      <c r="L14" s="41">
        <f t="shared" ref="L14:L17" si="1">SUM(I14:K14)</f>
        <v>1509539</v>
      </c>
      <c r="M14" s="41">
        <f>L14</f>
        <v>1509539</v>
      </c>
    </row>
    <row r="15" spans="1:13">
      <c r="A15" s="3"/>
      <c r="B15" s="4" t="s">
        <v>15</v>
      </c>
      <c r="I15" s="41">
        <v>5553844</v>
      </c>
      <c r="J15" s="41">
        <v>435581</v>
      </c>
      <c r="K15" s="41"/>
      <c r="L15" s="41">
        <f t="shared" si="1"/>
        <v>5989425</v>
      </c>
      <c r="M15" s="41"/>
    </row>
    <row r="16" spans="1:13">
      <c r="A16" s="3"/>
      <c r="B16" s="4" t="s">
        <v>63</v>
      </c>
      <c r="I16" s="41">
        <v>3096559</v>
      </c>
      <c r="J16" s="41">
        <v>373155</v>
      </c>
      <c r="K16" s="41">
        <v>-84149</v>
      </c>
      <c r="L16" s="41">
        <f t="shared" si="1"/>
        <v>3385565</v>
      </c>
      <c r="M16" s="41"/>
    </row>
    <row r="17" spans="1:13">
      <c r="A17" s="3"/>
      <c r="B17" s="4" t="s">
        <v>101</v>
      </c>
      <c r="I17" s="41">
        <v>440791</v>
      </c>
      <c r="J17" s="41">
        <v>51067</v>
      </c>
      <c r="K17" s="41">
        <v>-5708</v>
      </c>
      <c r="L17" s="41">
        <f t="shared" si="1"/>
        <v>486150</v>
      </c>
      <c r="M17" s="41"/>
    </row>
    <row r="18" spans="1:13" ht="19.5" thickBot="1">
      <c r="A18" s="3"/>
      <c r="C18" s="3" t="s">
        <v>331</v>
      </c>
      <c r="I18" s="59">
        <f>SUM(I14:I17)</f>
        <v>9091194</v>
      </c>
      <c r="J18" s="59">
        <f>SUM(J14:J17)</f>
        <v>2369342</v>
      </c>
      <c r="K18" s="59">
        <f>SUM(K14:K17)</f>
        <v>-89857</v>
      </c>
      <c r="L18" s="59">
        <f>SUM(L14:L17)</f>
        <v>11370679</v>
      </c>
      <c r="M18" s="41"/>
    </row>
    <row r="19" spans="1:13">
      <c r="A19" s="3" t="s">
        <v>20</v>
      </c>
      <c r="I19" s="41"/>
      <c r="J19" s="41"/>
      <c r="K19" s="41"/>
      <c r="L19" s="41"/>
      <c r="M19" s="41"/>
    </row>
    <row r="20" spans="1:13">
      <c r="B20" s="4" t="s">
        <v>15</v>
      </c>
      <c r="I20" s="41">
        <v>4332904</v>
      </c>
      <c r="J20" s="41">
        <v>84315</v>
      </c>
      <c r="K20" s="41"/>
      <c r="L20" s="41">
        <f t="shared" ref="L20:L22" si="2">SUM(I20:K20)</f>
        <v>4417219</v>
      </c>
      <c r="M20" s="41">
        <f>L15-L20</f>
        <v>1572206</v>
      </c>
    </row>
    <row r="21" spans="1:13">
      <c r="B21" s="4" t="s">
        <v>63</v>
      </c>
      <c r="I21" s="41">
        <v>2209465</v>
      </c>
      <c r="J21" s="41">
        <v>209399</v>
      </c>
      <c r="K21" s="41">
        <v>-59332</v>
      </c>
      <c r="L21" s="41">
        <f t="shared" si="2"/>
        <v>2359532</v>
      </c>
      <c r="M21" s="41">
        <f>L16-L21</f>
        <v>1026033</v>
      </c>
    </row>
    <row r="22" spans="1:13">
      <c r="B22" s="4" t="s">
        <v>101</v>
      </c>
      <c r="I22" s="41">
        <v>333809</v>
      </c>
      <c r="J22" s="41">
        <v>48615</v>
      </c>
      <c r="K22" s="41">
        <v>-5708</v>
      </c>
      <c r="L22" s="41">
        <f t="shared" si="2"/>
        <v>376716</v>
      </c>
      <c r="M22" s="41">
        <f>L17-L22</f>
        <v>109434</v>
      </c>
    </row>
    <row r="23" spans="1:13">
      <c r="C23" s="3" t="s">
        <v>21</v>
      </c>
      <c r="I23" s="57">
        <f>SUM(I20:I22)</f>
        <v>6876178</v>
      </c>
      <c r="J23" s="57">
        <f>SUM(J20:J22)</f>
        <v>342329</v>
      </c>
      <c r="K23" s="57">
        <f>SUM(K20:K22)</f>
        <v>-65040</v>
      </c>
      <c r="L23" s="57">
        <f>SUM(L20:L22)</f>
        <v>7153467</v>
      </c>
      <c r="M23" s="44"/>
    </row>
    <row r="24" spans="1:13">
      <c r="B24" s="3" t="s">
        <v>332</v>
      </c>
      <c r="C24" s="3"/>
      <c r="D24" s="3"/>
      <c r="E24" s="3"/>
      <c r="F24" s="3"/>
      <c r="I24" s="57">
        <f>I18-I23</f>
        <v>2215016</v>
      </c>
      <c r="J24" s="57">
        <f t="shared" ref="J24:L24" si="3">J18-J23</f>
        <v>2027013</v>
      </c>
      <c r="K24" s="57">
        <f t="shared" si="3"/>
        <v>-24817</v>
      </c>
      <c r="L24" s="57">
        <f t="shared" si="3"/>
        <v>4217212</v>
      </c>
      <c r="M24" s="41"/>
    </row>
    <row r="25" spans="1:13" ht="19.5" thickBot="1">
      <c r="B25" s="3" t="s">
        <v>333</v>
      </c>
      <c r="C25" s="3"/>
      <c r="D25" s="3"/>
      <c r="E25" s="3"/>
      <c r="F25" s="3"/>
      <c r="I25" s="59">
        <f>I12+I24</f>
        <v>6274055</v>
      </c>
      <c r="J25" s="59">
        <f>J12+J24</f>
        <v>3437668</v>
      </c>
      <c r="K25" s="59">
        <f>K12+K24</f>
        <v>-1534356</v>
      </c>
      <c r="L25" s="59">
        <f>L12+L24</f>
        <v>8177367</v>
      </c>
      <c r="M25" s="41">
        <f>SUM(M14:M22,M9:M11)</f>
        <v>8177367</v>
      </c>
    </row>
    <row r="26" spans="1:13" s="3" customFormat="1">
      <c r="A26"/>
      <c r="B26"/>
      <c r="C26"/>
      <c r="D26"/>
      <c r="E26"/>
      <c r="F26"/>
      <c r="G26"/>
      <c r="H26"/>
      <c r="I26" s="71"/>
      <c r="J26" s="71"/>
      <c r="K26" s="71"/>
      <c r="L26" s="71"/>
      <c r="M26" s="71"/>
    </row>
    <row r="27" spans="1:13">
      <c r="A27"/>
      <c r="B27"/>
      <c r="C27"/>
      <c r="D27"/>
      <c r="E27"/>
      <c r="F27"/>
      <c r="G27"/>
      <c r="H27"/>
      <c r="I27"/>
      <c r="J27"/>
      <c r="K27"/>
      <c r="L27"/>
      <c r="M27"/>
    </row>
    <row r="28" spans="1:13">
      <c r="C28"/>
      <c r="D28"/>
      <c r="E28"/>
      <c r="F28"/>
      <c r="G28"/>
      <c r="H28"/>
      <c r="I28"/>
      <c r="J28"/>
      <c r="K28"/>
      <c r="L28"/>
    </row>
    <row r="29" spans="1:13">
      <c r="B29"/>
      <c r="C29"/>
      <c r="D29"/>
      <c r="E29"/>
      <c r="F29"/>
      <c r="G29"/>
      <c r="H29"/>
      <c r="I29"/>
      <c r="J29"/>
      <c r="K29"/>
      <c r="L29"/>
    </row>
    <row r="30" spans="1:13">
      <c r="B30"/>
      <c r="C30"/>
      <c r="D30"/>
      <c r="E30"/>
      <c r="F30"/>
      <c r="G30"/>
      <c r="H30"/>
      <c r="I30"/>
      <c r="J30"/>
      <c r="K30"/>
      <c r="L30"/>
    </row>
    <row r="31" spans="1:13">
      <c r="B31"/>
      <c r="C31"/>
      <c r="D31"/>
      <c r="E31"/>
      <c r="F31"/>
      <c r="G31"/>
      <c r="H31"/>
      <c r="I31"/>
      <c r="J31"/>
      <c r="K31"/>
      <c r="L31"/>
    </row>
    <row r="32" spans="1:13">
      <c r="C32"/>
      <c r="D32"/>
      <c r="E32"/>
      <c r="F32"/>
      <c r="G32"/>
      <c r="H32"/>
      <c r="I32"/>
      <c r="J32"/>
      <c r="K32"/>
      <c r="L32"/>
    </row>
    <row r="33" spans="3:12">
      <c r="C33"/>
      <c r="D33"/>
      <c r="E33"/>
      <c r="F33"/>
      <c r="G33"/>
      <c r="H33"/>
      <c r="I33"/>
      <c r="J33"/>
      <c r="K33"/>
      <c r="L33"/>
    </row>
  </sheetData>
  <mergeCells count="6">
    <mergeCell ref="M5:M6"/>
    <mergeCell ref="D1:I1"/>
    <mergeCell ref="D2:I2"/>
    <mergeCell ref="D3:I3"/>
    <mergeCell ref="I5:I6"/>
    <mergeCell ref="L5:L6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N53"/>
  <sheetViews>
    <sheetView zoomScale="80" zoomScaleNormal="80" zoomScalePageLayoutView="80" workbookViewId="0">
      <selection activeCell="N23" sqref="N23"/>
    </sheetView>
  </sheetViews>
  <sheetFormatPr defaultColWidth="8.85546875" defaultRowHeight="18.75"/>
  <cols>
    <col min="1" max="1" width="4.42578125" style="4" customWidth="1"/>
    <col min="2" max="3" width="4.7109375" style="4" customWidth="1"/>
    <col min="4" max="6" width="8.85546875" style="4"/>
    <col min="7" max="7" width="14.28515625" style="4" bestFit="1" customWidth="1"/>
    <col min="8" max="8" width="12.7109375" style="4" bestFit="1" customWidth="1"/>
    <col min="9" max="9" width="15.42578125" style="4" customWidth="1"/>
    <col min="10" max="10" width="15.85546875" style="4" customWidth="1"/>
    <col min="11" max="12" width="16.85546875" style="4" customWidth="1"/>
    <col min="13" max="13" width="15.7109375" style="4" customWidth="1"/>
    <col min="14" max="14" width="17.7109375" style="4" customWidth="1"/>
    <col min="15" max="16384" width="8.85546875" style="4"/>
  </cols>
  <sheetData>
    <row r="1" spans="1:14">
      <c r="D1" s="109" t="s">
        <v>344</v>
      </c>
      <c r="E1" s="109"/>
      <c r="F1" s="109"/>
      <c r="G1" s="109"/>
      <c r="H1" s="109"/>
      <c r="I1" s="109"/>
    </row>
    <row r="2" spans="1:14">
      <c r="D2" s="109" t="s">
        <v>345</v>
      </c>
      <c r="E2" s="109"/>
      <c r="F2" s="109"/>
      <c r="G2" s="109"/>
      <c r="H2" s="109"/>
      <c r="I2" s="109"/>
    </row>
    <row r="3" spans="1:14">
      <c r="D3" s="109" t="s">
        <v>346</v>
      </c>
      <c r="E3" s="109"/>
      <c r="F3" s="109"/>
      <c r="G3" s="109"/>
      <c r="H3" s="109"/>
      <c r="I3" s="109"/>
    </row>
    <row r="4" spans="1:14" ht="14.25" customHeight="1">
      <c r="D4" s="107"/>
      <c r="E4" s="107"/>
      <c r="F4" s="107"/>
      <c r="G4" s="107"/>
      <c r="H4" s="107"/>
      <c r="I4" s="107"/>
    </row>
    <row r="5" spans="1:14" ht="37.5">
      <c r="I5" s="64" t="s">
        <v>347</v>
      </c>
      <c r="J5" s="64" t="s">
        <v>348</v>
      </c>
      <c r="K5" s="64" t="s">
        <v>349</v>
      </c>
      <c r="L5" s="64" t="s">
        <v>350</v>
      </c>
      <c r="M5" s="64" t="s">
        <v>351</v>
      </c>
    </row>
    <row r="6" spans="1:14">
      <c r="A6" s="3"/>
      <c r="B6" s="3"/>
      <c r="C6" s="3"/>
      <c r="D6" s="3"/>
      <c r="E6" s="3"/>
      <c r="F6" s="3"/>
      <c r="I6" s="17"/>
      <c r="J6" s="17"/>
      <c r="K6" s="17"/>
      <c r="L6" s="17"/>
      <c r="M6" s="17"/>
    </row>
    <row r="7" spans="1:14">
      <c r="A7" s="3" t="s">
        <v>352</v>
      </c>
      <c r="B7" s="3"/>
      <c r="C7" s="3"/>
      <c r="D7" s="3"/>
      <c r="E7" s="3"/>
      <c r="F7" s="3"/>
      <c r="I7" s="6"/>
      <c r="J7" s="6"/>
      <c r="K7" s="6"/>
      <c r="L7" s="6"/>
      <c r="M7" s="6"/>
    </row>
    <row r="8" spans="1:14">
      <c r="B8" s="4" t="s">
        <v>11</v>
      </c>
      <c r="I8" s="67">
        <v>783626</v>
      </c>
      <c r="J8" s="72"/>
      <c r="K8" s="72">
        <v>-5000</v>
      </c>
      <c r="L8" s="72"/>
      <c r="M8" s="67">
        <f>SUM(I8:L8)</f>
        <v>778626</v>
      </c>
      <c r="N8" s="67">
        <f>M8</f>
        <v>778626</v>
      </c>
    </row>
    <row r="9" spans="1:14">
      <c r="A9" s="3" t="s">
        <v>353</v>
      </c>
    </row>
    <row r="10" spans="1:14">
      <c r="A10" s="3"/>
      <c r="B10" s="4" t="s">
        <v>354</v>
      </c>
      <c r="I10" s="4">
        <v>16405517</v>
      </c>
      <c r="J10" s="4">
        <v>183124</v>
      </c>
      <c r="K10" s="4">
        <v>-10356</v>
      </c>
      <c r="L10" s="4">
        <v>22341</v>
      </c>
      <c r="M10" s="4">
        <f>SUM(I10:L10)</f>
        <v>16600626</v>
      </c>
    </row>
    <row r="11" spans="1:14">
      <c r="A11" s="3"/>
      <c r="B11" s="4" t="s">
        <v>355</v>
      </c>
      <c r="I11" s="4">
        <v>3379690</v>
      </c>
      <c r="J11" s="4">
        <v>29913</v>
      </c>
      <c r="L11" s="4">
        <v>-322458</v>
      </c>
      <c r="M11" s="4">
        <f t="shared" ref="M11" si="0">SUM(I11:L11)</f>
        <v>3087145</v>
      </c>
    </row>
    <row r="12" spans="1:14">
      <c r="A12" s="3"/>
      <c r="B12" s="3" t="s">
        <v>356</v>
      </c>
      <c r="C12" s="3"/>
      <c r="I12" s="8">
        <f>SUM(I10:I11)</f>
        <v>19785207</v>
      </c>
      <c r="J12" s="8">
        <f>SUM(J10:J11)</f>
        <v>213037</v>
      </c>
      <c r="K12" s="8">
        <f>SUM(K10:K11)</f>
        <v>-10356</v>
      </c>
      <c r="L12" s="8">
        <f>SUM(L10:L11)</f>
        <v>-300117</v>
      </c>
      <c r="M12" s="8">
        <f>SUM(M10:M11)</f>
        <v>19687771</v>
      </c>
    </row>
    <row r="13" spans="1:14">
      <c r="A13" s="3" t="s">
        <v>20</v>
      </c>
      <c r="J13" s="6"/>
      <c r="K13" s="6"/>
      <c r="L13" s="6"/>
    </row>
    <row r="14" spans="1:14">
      <c r="B14" s="4" t="s">
        <v>354</v>
      </c>
      <c r="I14" s="6">
        <v>4217857</v>
      </c>
      <c r="J14" s="6">
        <v>406598</v>
      </c>
      <c r="K14" s="6">
        <v>-10356</v>
      </c>
      <c r="L14" s="6"/>
      <c r="M14" s="6">
        <f>SUM(I14:L14)</f>
        <v>4614099</v>
      </c>
      <c r="N14" s="6">
        <f>M10-M14</f>
        <v>11986527</v>
      </c>
    </row>
    <row r="15" spans="1:14">
      <c r="B15" s="4" t="s">
        <v>355</v>
      </c>
      <c r="I15" s="6">
        <v>2234911</v>
      </c>
      <c r="J15" s="6">
        <v>299015</v>
      </c>
      <c r="K15" s="6"/>
      <c r="L15" s="6">
        <v>-326049</v>
      </c>
      <c r="M15" s="6">
        <f>SUM(I15:L15)</f>
        <v>2207877</v>
      </c>
      <c r="N15" s="67">
        <f>M11-M15</f>
        <v>879268</v>
      </c>
    </row>
    <row r="16" spans="1:14">
      <c r="B16" s="3" t="s">
        <v>21</v>
      </c>
      <c r="C16" s="3"/>
      <c r="I16" s="11">
        <f>SUM(I14:I15)</f>
        <v>6452768</v>
      </c>
      <c r="J16" s="11">
        <f>SUM(J14:J15)</f>
        <v>705613</v>
      </c>
      <c r="K16" s="11">
        <f>SUM(K14:K15)</f>
        <v>-10356</v>
      </c>
      <c r="L16" s="11">
        <f>SUM(L14:L15)</f>
        <v>-326049</v>
      </c>
      <c r="M16" s="11">
        <f>SUM(I16:L16)</f>
        <v>6821976</v>
      </c>
      <c r="N16" s="27"/>
    </row>
    <row r="17" spans="1:14" ht="19.5" thickBot="1">
      <c r="B17" s="3" t="s">
        <v>357</v>
      </c>
      <c r="C17" s="3"/>
      <c r="D17" s="3"/>
      <c r="E17" s="3"/>
      <c r="F17" s="3"/>
      <c r="I17" s="12">
        <v>13332439</v>
      </c>
      <c r="J17" s="12">
        <v>-492576</v>
      </c>
      <c r="K17" s="12"/>
      <c r="L17" s="12">
        <v>25932</v>
      </c>
      <c r="M17" s="12">
        <f>SUM(I17:L17)</f>
        <v>12865795</v>
      </c>
    </row>
    <row r="18" spans="1:14">
      <c r="B18"/>
      <c r="C18"/>
      <c r="D18"/>
      <c r="E18"/>
      <c r="F18"/>
      <c r="G18"/>
      <c r="H18"/>
      <c r="I18"/>
      <c r="J18"/>
      <c r="K18"/>
      <c r="L18"/>
      <c r="M18"/>
    </row>
    <row r="19" spans="1:14" s="3" customFormat="1">
      <c r="A19"/>
      <c r="B19"/>
      <c r="C19"/>
      <c r="D19" s="1" t="s">
        <v>358</v>
      </c>
      <c r="E19"/>
      <c r="F19"/>
      <c r="G19"/>
      <c r="H19"/>
      <c r="I19" s="77">
        <f>I17+I8</f>
        <v>14116065</v>
      </c>
      <c r="J19" s="77">
        <f t="shared" ref="J19:M19" si="1">J17+J8</f>
        <v>-492576</v>
      </c>
      <c r="K19" s="77">
        <f t="shared" si="1"/>
        <v>-5000</v>
      </c>
      <c r="L19" s="77">
        <f t="shared" si="1"/>
        <v>25932</v>
      </c>
      <c r="M19" s="77">
        <f t="shared" si="1"/>
        <v>13644421</v>
      </c>
      <c r="N19" s="67">
        <f>SUM(N8:N15)</f>
        <v>13644421</v>
      </c>
    </row>
    <row r="20" spans="1:14">
      <c r="A20"/>
      <c r="B20"/>
      <c r="C20"/>
      <c r="D20"/>
      <c r="E20"/>
      <c r="F20"/>
      <c r="G20"/>
      <c r="H20"/>
      <c r="I20"/>
      <c r="J20"/>
      <c r="K20"/>
      <c r="L20"/>
      <c r="M20"/>
      <c r="N20"/>
    </row>
    <row r="21" spans="1:14">
      <c r="A21"/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1:14">
      <c r="A22"/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1:14">
      <c r="A23"/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1:14">
      <c r="A24"/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1:14">
      <c r="A25"/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1:14">
      <c r="A26"/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1:14">
      <c r="A27"/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1:14">
      <c r="A28"/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1:14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>
      <c r="A31"/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1:14">
      <c r="A32"/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1:14">
      <c r="A33"/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1:14">
      <c r="A34"/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1:14">
      <c r="A35"/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1:14">
      <c r="A36"/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1:14">
      <c r="A37"/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1:14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4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>
      <c r="A46"/>
      <c r="B46"/>
      <c r="C46"/>
      <c r="D46"/>
      <c r="E46"/>
      <c r="F46"/>
      <c r="G46"/>
      <c r="H46"/>
      <c r="I46"/>
      <c r="J46"/>
      <c r="K46"/>
      <c r="L46"/>
      <c r="M46"/>
      <c r="N46"/>
    </row>
    <row r="47" spans="1:14">
      <c r="A47"/>
      <c r="B47"/>
      <c r="C47"/>
      <c r="D47"/>
      <c r="E47"/>
      <c r="F47"/>
      <c r="G47"/>
      <c r="H47"/>
      <c r="I47"/>
      <c r="J47"/>
      <c r="K47"/>
      <c r="L47"/>
      <c r="M47"/>
      <c r="N47"/>
    </row>
    <row r="48" spans="1:14">
      <c r="C48"/>
      <c r="D48"/>
      <c r="E48"/>
      <c r="F48"/>
      <c r="G48"/>
      <c r="H48"/>
      <c r="I48"/>
      <c r="J48"/>
      <c r="K48"/>
      <c r="L48"/>
      <c r="M48"/>
    </row>
    <row r="49" spans="2:13">
      <c r="B49"/>
      <c r="C49"/>
      <c r="D49"/>
      <c r="E49"/>
      <c r="F49"/>
      <c r="G49"/>
      <c r="H49"/>
      <c r="I49"/>
      <c r="J49"/>
      <c r="K49"/>
      <c r="L49"/>
      <c r="M49"/>
    </row>
    <row r="50" spans="2:13">
      <c r="B50"/>
      <c r="C50"/>
      <c r="D50"/>
      <c r="E50"/>
      <c r="F50"/>
      <c r="G50"/>
      <c r="H50"/>
      <c r="I50"/>
      <c r="J50"/>
      <c r="K50"/>
      <c r="L50"/>
      <c r="M50"/>
    </row>
    <row r="51" spans="2:13">
      <c r="B51"/>
      <c r="C51"/>
      <c r="D51"/>
      <c r="E51"/>
      <c r="F51"/>
      <c r="G51"/>
      <c r="H51"/>
      <c r="I51"/>
      <c r="J51"/>
      <c r="K51"/>
      <c r="L51"/>
      <c r="M51"/>
    </row>
    <row r="52" spans="2:13">
      <c r="C52"/>
      <c r="D52"/>
      <c r="E52"/>
      <c r="F52"/>
      <c r="G52"/>
      <c r="H52"/>
      <c r="I52"/>
      <c r="J52"/>
      <c r="K52"/>
      <c r="L52"/>
      <c r="M52"/>
    </row>
    <row r="53" spans="2:13">
      <c r="C53"/>
      <c r="D53"/>
      <c r="E53"/>
      <c r="F53"/>
      <c r="G53"/>
      <c r="H53"/>
      <c r="I53"/>
      <c r="J53"/>
      <c r="K53"/>
      <c r="L53"/>
      <c r="M53"/>
    </row>
  </sheetData>
  <mergeCells count="3">
    <mergeCell ref="D1:I1"/>
    <mergeCell ref="D2:I2"/>
    <mergeCell ref="D3:I3"/>
  </mergeCells>
  <phoneticPr fontId="15" type="noConversion"/>
  <pageMargins left="0.7" right="0.7" top="0.75" bottom="0.75" header="0.3" footer="0.3"/>
  <pageSetup orientation="portrait" horizontalDpi="1200" verticalDpi="1200" r:id="rId1"/>
  <extLst>
    <ext xmlns:mx="http://schemas.microsoft.com/office/mac/excel/2008/main" uri="{64002731-A6B0-56B0-2670-7721B7C09600}">
      <mx:PLV Mode="0" OnePage="0" WScale="0"/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140"/>
  <sheetViews>
    <sheetView topLeftCell="G1" workbookViewId="0">
      <selection activeCell="I20" sqref="I20"/>
    </sheetView>
  </sheetViews>
  <sheetFormatPr defaultColWidth="8.85546875" defaultRowHeight="18.75"/>
  <cols>
    <col min="1" max="1" width="4.42578125" style="4" customWidth="1"/>
    <col min="2" max="3" width="4.7109375" style="4" customWidth="1"/>
    <col min="4" max="6" width="8.85546875" style="4"/>
    <col min="7" max="7" width="14.28515625" style="4" bestFit="1" customWidth="1"/>
    <col min="8" max="8" width="12.7109375" style="4" bestFit="1" customWidth="1"/>
    <col min="9" max="9" width="19.140625" style="4" bestFit="1" customWidth="1"/>
    <col min="10" max="10" width="22.140625" style="4" bestFit="1" customWidth="1"/>
    <col min="11" max="11" width="16.85546875" style="4" customWidth="1"/>
    <col min="12" max="12" width="23" style="4" bestFit="1" customWidth="1"/>
    <col min="13" max="13" width="17.85546875" style="4" customWidth="1"/>
    <col min="14" max="16384" width="8.85546875" style="4"/>
  </cols>
  <sheetData>
    <row r="1" spans="1:13">
      <c r="D1" s="109" t="s">
        <v>359</v>
      </c>
      <c r="E1" s="109"/>
      <c r="F1" s="109"/>
      <c r="G1" s="109"/>
      <c r="H1" s="109"/>
      <c r="I1" s="109"/>
    </row>
    <row r="2" spans="1:13">
      <c r="D2" s="109" t="s">
        <v>1</v>
      </c>
      <c r="E2" s="109"/>
      <c r="F2" s="109"/>
      <c r="G2" s="109"/>
      <c r="H2" s="109"/>
      <c r="I2" s="109"/>
    </row>
    <row r="3" spans="1:13">
      <c r="D3" s="109" t="s">
        <v>2</v>
      </c>
      <c r="E3" s="109"/>
      <c r="F3" s="109"/>
      <c r="G3" s="109"/>
      <c r="H3" s="109"/>
      <c r="I3" s="109"/>
    </row>
    <row r="4" spans="1:13" ht="14.25" customHeight="1">
      <c r="D4" s="107"/>
      <c r="E4" s="107"/>
      <c r="F4" s="107"/>
      <c r="G4" s="107"/>
      <c r="H4" s="107"/>
      <c r="I4" s="42"/>
      <c r="J4" s="41"/>
      <c r="K4" s="41"/>
      <c r="L4" s="41"/>
      <c r="M4" s="41"/>
    </row>
    <row r="5" spans="1:13" ht="39" customHeight="1">
      <c r="I5" s="110" t="s">
        <v>322</v>
      </c>
      <c r="J5" s="108"/>
      <c r="K5" s="108"/>
      <c r="L5" s="110" t="s">
        <v>323</v>
      </c>
      <c r="M5" s="110" t="s">
        <v>7</v>
      </c>
    </row>
    <row r="6" spans="1:13">
      <c r="I6" s="110"/>
      <c r="J6" s="108" t="s">
        <v>4</v>
      </c>
      <c r="K6" s="108" t="s">
        <v>5</v>
      </c>
      <c r="L6" s="110"/>
      <c r="M6" s="110"/>
    </row>
    <row r="7" spans="1:13">
      <c r="A7" s="3" t="s">
        <v>360</v>
      </c>
      <c r="B7" s="3"/>
      <c r="C7" s="3"/>
      <c r="D7" s="3"/>
      <c r="E7" s="3"/>
      <c r="F7" s="3"/>
      <c r="I7" s="41"/>
      <c r="J7" s="41"/>
      <c r="K7" s="41"/>
      <c r="L7" s="41"/>
      <c r="M7" s="41"/>
    </row>
    <row r="8" spans="1:13">
      <c r="A8" s="3" t="s">
        <v>361</v>
      </c>
      <c r="B8" s="3"/>
      <c r="C8" s="3"/>
      <c r="D8" s="3"/>
      <c r="E8" s="3"/>
      <c r="F8" s="3"/>
      <c r="I8" s="41"/>
      <c r="J8" s="41"/>
      <c r="K8" s="41"/>
      <c r="L8" s="41"/>
      <c r="M8" s="41"/>
    </row>
    <row r="9" spans="1:13">
      <c r="B9" s="4" t="s">
        <v>11</v>
      </c>
      <c r="I9" s="41">
        <v>423873</v>
      </c>
      <c r="J9" s="41"/>
      <c r="K9" s="41">
        <v>-500</v>
      </c>
      <c r="L9" s="41">
        <f>SUM(I9:K9)</f>
        <v>423373</v>
      </c>
      <c r="M9" s="41">
        <f>SUM(L9)</f>
        <v>423373</v>
      </c>
    </row>
    <row r="10" spans="1:13">
      <c r="A10" s="3"/>
      <c r="B10" s="4" t="s">
        <v>362</v>
      </c>
      <c r="I10" s="41">
        <v>4973966</v>
      </c>
      <c r="J10" s="41"/>
      <c r="K10" s="41"/>
      <c r="L10" s="41">
        <f t="shared" ref="L10:L13" si="0">SUM(I10:K10)</f>
        <v>4973966</v>
      </c>
      <c r="M10" s="41"/>
    </row>
    <row r="11" spans="1:13">
      <c r="A11" s="3"/>
      <c r="B11" s="4" t="s">
        <v>140</v>
      </c>
      <c r="I11" s="41">
        <v>244564</v>
      </c>
      <c r="J11" s="41"/>
      <c r="K11" s="41">
        <v>-30911</v>
      </c>
      <c r="L11" s="41">
        <f t="shared" si="0"/>
        <v>213653</v>
      </c>
      <c r="M11" s="41"/>
    </row>
    <row r="12" spans="1:13">
      <c r="A12" s="3"/>
      <c r="B12" s="4" t="s">
        <v>162</v>
      </c>
      <c r="I12" s="41">
        <v>87409</v>
      </c>
      <c r="J12" s="41"/>
      <c r="K12" s="41">
        <v>-29254</v>
      </c>
      <c r="L12" s="41">
        <f t="shared" si="0"/>
        <v>58155</v>
      </c>
      <c r="M12" s="41"/>
    </row>
    <row r="13" spans="1:13">
      <c r="A13" s="3"/>
      <c r="B13" s="4" t="s">
        <v>30</v>
      </c>
      <c r="I13" s="41">
        <v>230923</v>
      </c>
      <c r="J13" s="41"/>
      <c r="K13" s="41"/>
      <c r="L13" s="41">
        <f t="shared" si="0"/>
        <v>230923</v>
      </c>
      <c r="M13" s="41"/>
    </row>
    <row r="14" spans="1:13" ht="19.5" thickBot="1">
      <c r="A14" s="3"/>
      <c r="C14" s="3" t="s">
        <v>363</v>
      </c>
      <c r="I14" s="59">
        <f>SUM(I9:I13)</f>
        <v>5960735</v>
      </c>
      <c r="J14" s="59">
        <f t="shared" ref="J14:L14" si="1">SUM(J9:J13)</f>
        <v>0</v>
      </c>
      <c r="K14" s="59">
        <f t="shared" si="1"/>
        <v>-60665</v>
      </c>
      <c r="L14" s="59">
        <f t="shared" si="1"/>
        <v>5900070</v>
      </c>
      <c r="M14" s="41"/>
    </row>
    <row r="15" spans="1:13">
      <c r="A15" s="3"/>
      <c r="C15" s="3"/>
      <c r="I15" s="44"/>
      <c r="J15" s="44"/>
      <c r="K15" s="44"/>
      <c r="L15" s="44"/>
      <c r="M15" s="41"/>
    </row>
    <row r="16" spans="1:13">
      <c r="A16" s="3" t="s">
        <v>364</v>
      </c>
      <c r="I16" s="41"/>
      <c r="J16" s="41"/>
      <c r="K16" s="41"/>
      <c r="L16" s="41"/>
      <c r="M16" s="41"/>
    </row>
    <row r="17" spans="1:13">
      <c r="B17" s="4" t="s">
        <v>362</v>
      </c>
      <c r="I17" s="41">
        <v>3273123</v>
      </c>
      <c r="J17" s="41">
        <v>90340</v>
      </c>
      <c r="K17" s="41"/>
      <c r="L17" s="41">
        <f t="shared" ref="L17:L20" si="2">SUM(I17:K17)</f>
        <v>3363463</v>
      </c>
      <c r="M17" s="41">
        <f>L10-L17</f>
        <v>1610503</v>
      </c>
    </row>
    <row r="18" spans="1:13">
      <c r="B18" s="4" t="s">
        <v>140</v>
      </c>
      <c r="I18" s="41">
        <v>241276</v>
      </c>
      <c r="J18" s="41">
        <v>1181</v>
      </c>
      <c r="K18" s="41">
        <v>-30911</v>
      </c>
      <c r="L18" s="41">
        <f t="shared" si="2"/>
        <v>211546</v>
      </c>
      <c r="M18" s="41">
        <f>L11-L18</f>
        <v>2107</v>
      </c>
    </row>
    <row r="19" spans="1:13">
      <c r="B19" s="4" t="s">
        <v>162</v>
      </c>
      <c r="I19" s="41">
        <v>73211</v>
      </c>
      <c r="J19" s="41">
        <v>3124</v>
      </c>
      <c r="K19" s="41">
        <v>-29136</v>
      </c>
      <c r="L19" s="41">
        <f t="shared" si="2"/>
        <v>47199</v>
      </c>
      <c r="M19" s="41">
        <f>L12-L19</f>
        <v>10956</v>
      </c>
    </row>
    <row r="20" spans="1:13">
      <c r="B20" s="4" t="s">
        <v>30</v>
      </c>
      <c r="I20" s="41">
        <v>228214</v>
      </c>
      <c r="J20" s="41">
        <v>2707</v>
      </c>
      <c r="K20" s="41"/>
      <c r="L20" s="41">
        <f t="shared" si="2"/>
        <v>230921</v>
      </c>
      <c r="M20" s="41">
        <f>L13-L20</f>
        <v>2</v>
      </c>
    </row>
    <row r="21" spans="1:13">
      <c r="C21" s="3" t="s">
        <v>21</v>
      </c>
      <c r="I21" s="57">
        <f>SUM(I17:I20)</f>
        <v>3815824</v>
      </c>
      <c r="J21" s="57">
        <f>SUM(J17:J20)</f>
        <v>97352</v>
      </c>
      <c r="K21" s="57">
        <f>SUM(K17:K20)</f>
        <v>-60047</v>
      </c>
      <c r="L21" s="57">
        <f>SUM(L17:L20)</f>
        <v>3853129</v>
      </c>
      <c r="M21" s="44"/>
    </row>
    <row r="22" spans="1:13">
      <c r="C22" s="3"/>
      <c r="I22" s="44"/>
      <c r="J22" s="44"/>
      <c r="K22" s="44"/>
      <c r="L22" s="44"/>
      <c r="M22" s="44"/>
    </row>
    <row r="23" spans="1:13">
      <c r="A23" s="3" t="s">
        <v>365</v>
      </c>
      <c r="B23" s="3"/>
      <c r="C23" s="3"/>
      <c r="D23" s="3"/>
      <c r="E23" s="3"/>
      <c r="F23" s="3"/>
      <c r="I23" s="41"/>
      <c r="J23" s="41"/>
      <c r="K23" s="41"/>
      <c r="L23" s="41"/>
      <c r="M23" s="41"/>
    </row>
    <row r="24" spans="1:13">
      <c r="A24" s="3" t="s">
        <v>361</v>
      </c>
      <c r="B24" s="3"/>
      <c r="C24" s="3"/>
      <c r="D24" s="3"/>
      <c r="E24" s="3"/>
      <c r="F24" s="3"/>
      <c r="I24" s="41"/>
      <c r="J24" s="41"/>
      <c r="K24" s="41"/>
      <c r="L24" s="41"/>
      <c r="M24" s="41"/>
    </row>
    <row r="25" spans="1:13">
      <c r="B25" s="4" t="s">
        <v>140</v>
      </c>
      <c r="I25" s="41">
        <v>38504</v>
      </c>
      <c r="J25" s="41"/>
      <c r="K25" s="41"/>
      <c r="L25" s="41">
        <f>SUM(I25:K25)</f>
        <v>38504</v>
      </c>
      <c r="M25" s="41"/>
    </row>
    <row r="26" spans="1:13">
      <c r="B26" s="4" t="s">
        <v>162</v>
      </c>
      <c r="I26" s="41">
        <v>18265</v>
      </c>
      <c r="J26" s="41"/>
      <c r="K26" s="41"/>
      <c r="L26" s="41">
        <f>SUM(I26:K26)</f>
        <v>18265</v>
      </c>
      <c r="M26" s="41"/>
    </row>
    <row r="27" spans="1:13">
      <c r="A27" s="3"/>
      <c r="B27" s="3"/>
      <c r="C27" s="3" t="s">
        <v>363</v>
      </c>
      <c r="D27" s="3"/>
      <c r="E27" s="3"/>
      <c r="F27" s="3"/>
      <c r="G27" s="3"/>
      <c r="H27" s="3"/>
      <c r="I27" s="50">
        <f>SUM(I25:I26)</f>
        <v>56769</v>
      </c>
      <c r="J27" s="50">
        <f t="shared" ref="J27:L27" si="3">SUM(J25:J26)</f>
        <v>0</v>
      </c>
      <c r="K27" s="50">
        <f t="shared" si="3"/>
        <v>0</v>
      </c>
      <c r="L27" s="50">
        <f t="shared" si="3"/>
        <v>56769</v>
      </c>
      <c r="M27" s="44"/>
    </row>
    <row r="28" spans="1:13">
      <c r="A28" s="3"/>
      <c r="B28" s="3"/>
      <c r="C28" s="3"/>
      <c r="D28" s="3"/>
      <c r="E28" s="3"/>
      <c r="F28" s="3"/>
      <c r="G28" s="3"/>
      <c r="H28" s="3"/>
      <c r="I28" s="74"/>
      <c r="J28" s="74"/>
      <c r="K28" s="74"/>
      <c r="L28" s="74"/>
      <c r="M28" s="44"/>
    </row>
    <row r="29" spans="1:13">
      <c r="A29" s="3" t="s">
        <v>364</v>
      </c>
      <c r="I29" s="41"/>
      <c r="J29" s="41"/>
      <c r="K29" s="41"/>
      <c r="L29" s="41"/>
      <c r="M29" s="41"/>
    </row>
    <row r="30" spans="1:13">
      <c r="A30" s="3"/>
      <c r="B30" s="4" t="s">
        <v>140</v>
      </c>
      <c r="I30" s="41">
        <v>38504</v>
      </c>
      <c r="J30" s="41"/>
      <c r="K30" s="41"/>
      <c r="L30" s="41">
        <f>SUM(I30:K30)</f>
        <v>38504</v>
      </c>
      <c r="M30" s="41">
        <f>L25-L30</f>
        <v>0</v>
      </c>
    </row>
    <row r="31" spans="1:13">
      <c r="B31" s="4" t="s">
        <v>162</v>
      </c>
      <c r="I31" s="41">
        <v>18265</v>
      </c>
      <c r="J31" s="41"/>
      <c r="K31" s="41"/>
      <c r="L31" s="41">
        <f>SUM(I31:K31)</f>
        <v>18265</v>
      </c>
      <c r="M31" s="41">
        <f>L26-L31</f>
        <v>0</v>
      </c>
    </row>
    <row r="32" spans="1:13">
      <c r="C32" s="3" t="s">
        <v>21</v>
      </c>
      <c r="I32" s="57">
        <f>SUM(I30:I31)</f>
        <v>56769</v>
      </c>
      <c r="J32" s="57">
        <f t="shared" ref="J32:L32" si="4">SUM(J30:J31)</f>
        <v>0</v>
      </c>
      <c r="K32" s="57">
        <f t="shared" si="4"/>
        <v>0</v>
      </c>
      <c r="L32" s="57">
        <f t="shared" si="4"/>
        <v>56769</v>
      </c>
      <c r="M32" s="44"/>
    </row>
    <row r="33" spans="1:13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3">
      <c r="A34" s="3" t="s">
        <v>366</v>
      </c>
      <c r="B34" s="3"/>
      <c r="C34" s="3"/>
      <c r="D34" s="3"/>
      <c r="E34" s="3"/>
      <c r="F34" s="3"/>
      <c r="I34" s="41"/>
      <c r="J34" s="41"/>
      <c r="K34" s="41"/>
      <c r="L34" s="41"/>
      <c r="M34" s="41"/>
    </row>
    <row r="35" spans="1:13">
      <c r="A35" s="3" t="s">
        <v>361</v>
      </c>
      <c r="B35" s="3"/>
      <c r="C35" s="3"/>
      <c r="D35" s="3"/>
      <c r="E35" s="3"/>
      <c r="F35" s="3"/>
      <c r="I35" s="41"/>
      <c r="J35" s="41"/>
      <c r="K35" s="41"/>
      <c r="L35" s="41"/>
      <c r="M35" s="41"/>
    </row>
    <row r="36" spans="1:13">
      <c r="B36" s="4" t="s">
        <v>140</v>
      </c>
      <c r="I36" s="41">
        <v>50880</v>
      </c>
      <c r="J36" s="41"/>
      <c r="K36" s="41">
        <v>-12300</v>
      </c>
      <c r="L36" s="41">
        <f>SUM(I36:K36)</f>
        <v>38580</v>
      </c>
      <c r="M36" s="41"/>
    </row>
    <row r="37" spans="1:13">
      <c r="B37" s="4" t="s">
        <v>162</v>
      </c>
      <c r="I37" s="41">
        <v>39733</v>
      </c>
      <c r="J37" s="41"/>
      <c r="K37" s="41">
        <v>-3169</v>
      </c>
      <c r="L37" s="41">
        <f>SUM(I37:K37)</f>
        <v>36564</v>
      </c>
      <c r="M37" s="41"/>
    </row>
    <row r="38" spans="1:13">
      <c r="A38" s="3"/>
      <c r="B38" s="3"/>
      <c r="C38" s="3" t="s">
        <v>363</v>
      </c>
      <c r="D38" s="3"/>
      <c r="E38" s="3"/>
      <c r="F38" s="3"/>
      <c r="G38" s="3"/>
      <c r="H38" s="3"/>
      <c r="I38" s="50">
        <f>SUM(I36:I37)</f>
        <v>90613</v>
      </c>
      <c r="J38" s="50">
        <f t="shared" ref="J38:L38" si="5">SUM(J36:J37)</f>
        <v>0</v>
      </c>
      <c r="K38" s="50">
        <f t="shared" si="5"/>
        <v>-15469</v>
      </c>
      <c r="L38" s="50">
        <f t="shared" si="5"/>
        <v>75144</v>
      </c>
      <c r="M38" s="44"/>
    </row>
    <row r="39" spans="1:13">
      <c r="A39" s="3"/>
      <c r="B39" s="3"/>
      <c r="C39" s="3"/>
      <c r="D39" s="3"/>
      <c r="E39" s="3"/>
      <c r="F39" s="3"/>
      <c r="G39" s="3"/>
      <c r="H39" s="3"/>
      <c r="I39" s="74"/>
      <c r="J39" s="74"/>
      <c r="K39" s="74"/>
      <c r="L39" s="74"/>
      <c r="M39" s="44"/>
    </row>
    <row r="40" spans="1:13">
      <c r="A40" s="3" t="s">
        <v>364</v>
      </c>
      <c r="I40" s="41"/>
      <c r="J40" s="41"/>
      <c r="K40" s="41"/>
      <c r="L40" s="41"/>
      <c r="M40" s="41"/>
    </row>
    <row r="41" spans="1:13">
      <c r="A41" s="3"/>
      <c r="B41" s="4" t="s">
        <v>140</v>
      </c>
      <c r="I41" s="41">
        <v>50880</v>
      </c>
      <c r="J41" s="41"/>
      <c r="K41" s="41">
        <v>-12300</v>
      </c>
      <c r="L41" s="41">
        <f>SUM(I41:K41)</f>
        <v>38580</v>
      </c>
      <c r="M41" s="41">
        <f>L36-L41</f>
        <v>0</v>
      </c>
    </row>
    <row r="42" spans="1:13">
      <c r="B42" s="4" t="s">
        <v>162</v>
      </c>
      <c r="I42" s="41">
        <v>39733</v>
      </c>
      <c r="J42" s="41"/>
      <c r="K42" s="41">
        <v>-3169</v>
      </c>
      <c r="L42" s="41">
        <f>SUM(I42:K42)</f>
        <v>36564</v>
      </c>
      <c r="M42" s="41">
        <f>L37-L42</f>
        <v>0</v>
      </c>
    </row>
    <row r="43" spans="1:13">
      <c r="C43" s="3" t="s">
        <v>21</v>
      </c>
      <c r="I43" s="57">
        <f>SUM(I42:I42)</f>
        <v>39733</v>
      </c>
      <c r="J43" s="57">
        <f>SUM(J42:J42)</f>
        <v>0</v>
      </c>
      <c r="K43" s="57">
        <f>SUM(K42:K42)</f>
        <v>-3169</v>
      </c>
      <c r="L43" s="57">
        <f>SUM(L42:L42)</f>
        <v>36564</v>
      </c>
      <c r="M43" s="44"/>
    </row>
    <row r="44" spans="1:13">
      <c r="A44"/>
      <c r="B44"/>
      <c r="C44"/>
      <c r="D44"/>
      <c r="E44"/>
      <c r="F44"/>
      <c r="G44"/>
      <c r="H44"/>
      <c r="I44"/>
      <c r="J44"/>
      <c r="K44"/>
      <c r="L44"/>
      <c r="M44"/>
    </row>
    <row r="45" spans="1:13">
      <c r="A45" s="3" t="s">
        <v>367</v>
      </c>
      <c r="B45" s="3"/>
      <c r="C45" s="3"/>
      <c r="D45" s="3"/>
      <c r="E45" s="3"/>
      <c r="F45" s="3"/>
      <c r="I45" s="41"/>
      <c r="J45" s="41"/>
      <c r="K45" s="41"/>
      <c r="L45" s="41"/>
      <c r="M45" s="41"/>
    </row>
    <row r="46" spans="1:13">
      <c r="A46" s="3" t="s">
        <v>361</v>
      </c>
      <c r="B46" s="3"/>
      <c r="C46" s="3"/>
      <c r="D46" s="3"/>
      <c r="E46" s="3"/>
      <c r="F46" s="3"/>
      <c r="I46" s="41"/>
      <c r="J46" s="41"/>
      <c r="K46" s="41"/>
      <c r="L46" s="41"/>
      <c r="M46" s="41"/>
    </row>
    <row r="47" spans="1:13">
      <c r="B47" s="4" t="s">
        <v>362</v>
      </c>
      <c r="I47" s="41">
        <v>846415</v>
      </c>
      <c r="J47" s="41"/>
      <c r="K47" s="41"/>
      <c r="L47" s="41">
        <f>SUM(I47:K47)</f>
        <v>846415</v>
      </c>
      <c r="M47" s="41"/>
    </row>
    <row r="48" spans="1:13">
      <c r="B48" s="4" t="s">
        <v>140</v>
      </c>
      <c r="I48" s="41">
        <v>57750</v>
      </c>
      <c r="J48" s="41"/>
      <c r="K48" s="41">
        <v>-1396</v>
      </c>
      <c r="L48" s="41">
        <f t="shared" ref="L48:L49" si="6">SUM(I48:K48)</f>
        <v>56354</v>
      </c>
      <c r="M48" s="41"/>
    </row>
    <row r="49" spans="1:13">
      <c r="B49" s="4" t="s">
        <v>162</v>
      </c>
      <c r="I49" s="41">
        <v>71086</v>
      </c>
      <c r="J49" s="41">
        <v>1349</v>
      </c>
      <c r="K49" s="41">
        <v>-6590</v>
      </c>
      <c r="L49" s="41">
        <f t="shared" si="6"/>
        <v>65845</v>
      </c>
      <c r="M49" s="41"/>
    </row>
    <row r="50" spans="1:13">
      <c r="B50" s="4" t="s">
        <v>30</v>
      </c>
      <c r="I50" s="41">
        <v>214790</v>
      </c>
      <c r="J50" s="41"/>
      <c r="K50" s="41"/>
      <c r="L50" s="41">
        <f>SUM(I50:K50)</f>
        <v>214790</v>
      </c>
      <c r="M50" s="41"/>
    </row>
    <row r="51" spans="1:13">
      <c r="A51" s="3"/>
      <c r="B51" s="3"/>
      <c r="C51" s="3" t="s">
        <v>363</v>
      </c>
      <c r="D51" s="3"/>
      <c r="E51" s="3"/>
      <c r="F51" s="3"/>
      <c r="G51" s="3"/>
      <c r="H51" s="3"/>
      <c r="I51" s="50">
        <f>SUM(I47:I50)</f>
        <v>1190041</v>
      </c>
      <c r="J51" s="50">
        <f t="shared" ref="J51:L51" si="7">SUM(J47:J50)</f>
        <v>1349</v>
      </c>
      <c r="K51" s="50">
        <f t="shared" si="7"/>
        <v>-7986</v>
      </c>
      <c r="L51" s="50">
        <f t="shared" si="7"/>
        <v>1183404</v>
      </c>
      <c r="M51" s="44"/>
    </row>
    <row r="52" spans="1:13">
      <c r="A52" s="3"/>
      <c r="B52" s="3"/>
      <c r="C52" s="3"/>
      <c r="D52" s="3"/>
      <c r="E52" s="3"/>
      <c r="F52" s="3"/>
      <c r="G52" s="3"/>
      <c r="H52" s="3"/>
      <c r="I52" s="74"/>
      <c r="J52" s="74"/>
      <c r="K52" s="74"/>
      <c r="L52" s="74"/>
      <c r="M52" s="44"/>
    </row>
    <row r="53" spans="1:13">
      <c r="A53" s="3" t="s">
        <v>364</v>
      </c>
      <c r="I53" s="41"/>
      <c r="J53" s="41"/>
      <c r="K53" s="41"/>
      <c r="L53" s="41"/>
      <c r="M53" s="41"/>
    </row>
    <row r="54" spans="1:13">
      <c r="A54" s="3"/>
      <c r="B54" s="4" t="s">
        <v>362</v>
      </c>
      <c r="I54" s="41">
        <v>527899</v>
      </c>
      <c r="J54" s="41">
        <v>21160</v>
      </c>
      <c r="K54" s="41"/>
      <c r="L54" s="41">
        <f>SUM(I54:K54)</f>
        <v>549059</v>
      </c>
      <c r="M54" s="41">
        <f>L47-L54</f>
        <v>297356</v>
      </c>
    </row>
    <row r="55" spans="1:13">
      <c r="A55" s="3"/>
      <c r="B55" s="4" t="s">
        <v>140</v>
      </c>
      <c r="I55" s="41">
        <v>49611</v>
      </c>
      <c r="J55" s="41">
        <v>2921</v>
      </c>
      <c r="K55" s="41">
        <v>-1396</v>
      </c>
      <c r="L55" s="41">
        <f t="shared" ref="L55:L56" si="8">SUM(I55:K55)</f>
        <v>51136</v>
      </c>
      <c r="M55" s="41">
        <f>L48-L55</f>
        <v>5218</v>
      </c>
    </row>
    <row r="56" spans="1:13">
      <c r="A56" s="3"/>
      <c r="B56" s="4" t="s">
        <v>162</v>
      </c>
      <c r="I56" s="41">
        <v>62006</v>
      </c>
      <c r="J56" s="41">
        <v>6055</v>
      </c>
      <c r="K56" s="41">
        <v>-6590</v>
      </c>
      <c r="L56" s="41">
        <f t="shared" si="8"/>
        <v>61471</v>
      </c>
      <c r="M56" s="41">
        <f>L49-L56</f>
        <v>4374</v>
      </c>
    </row>
    <row r="57" spans="1:13">
      <c r="B57" s="4" t="s">
        <v>30</v>
      </c>
      <c r="I57" s="41">
        <v>111247</v>
      </c>
      <c r="J57" s="41">
        <v>24463</v>
      </c>
      <c r="K57" s="41"/>
      <c r="L57" s="41">
        <f>SUM(I57:K57)</f>
        <v>135710</v>
      </c>
      <c r="M57" s="41">
        <f>L50-L57</f>
        <v>79080</v>
      </c>
    </row>
    <row r="58" spans="1:13">
      <c r="C58" s="3" t="s">
        <v>21</v>
      </c>
      <c r="I58" s="57">
        <f>SUM(I57:I57)</f>
        <v>111247</v>
      </c>
      <c r="J58" s="57">
        <f>SUM(J57:J57)</f>
        <v>24463</v>
      </c>
      <c r="K58" s="57">
        <f>SUM(K57:K57)</f>
        <v>0</v>
      </c>
      <c r="L58" s="57">
        <f>SUM(L57:L57)</f>
        <v>135710</v>
      </c>
      <c r="M58" s="44"/>
    </row>
    <row r="59" spans="1:13">
      <c r="A59"/>
      <c r="B59"/>
      <c r="C59"/>
      <c r="D59"/>
      <c r="E59"/>
      <c r="F59"/>
      <c r="G59"/>
      <c r="H59"/>
      <c r="I59"/>
      <c r="J59"/>
      <c r="K59"/>
      <c r="L59"/>
      <c r="M59"/>
    </row>
    <row r="60" spans="1:13">
      <c r="A60" s="3" t="s">
        <v>368</v>
      </c>
      <c r="B60" s="3"/>
      <c r="C60" s="3"/>
      <c r="D60" s="3"/>
      <c r="E60" s="3"/>
      <c r="F60" s="3"/>
      <c r="I60" s="41"/>
      <c r="J60" s="41"/>
      <c r="K60" s="41"/>
      <c r="L60" s="41"/>
      <c r="M60" s="41"/>
    </row>
    <row r="61" spans="1:13">
      <c r="A61" s="3" t="s">
        <v>361</v>
      </c>
      <c r="B61" s="3"/>
      <c r="C61" s="3"/>
      <c r="D61" s="3"/>
      <c r="E61" s="3"/>
      <c r="F61" s="3"/>
      <c r="I61" s="41"/>
      <c r="J61" s="41"/>
      <c r="K61" s="41"/>
      <c r="L61" s="41"/>
      <c r="M61" s="41"/>
    </row>
    <row r="62" spans="1:13">
      <c r="B62" s="4" t="s">
        <v>162</v>
      </c>
      <c r="I62" s="41">
        <v>42178</v>
      </c>
      <c r="J62" s="41">
        <v>1995</v>
      </c>
      <c r="K62" s="41">
        <v>-3692</v>
      </c>
      <c r="L62" s="41">
        <f>SUM(I62:K62)</f>
        <v>40481</v>
      </c>
      <c r="M62" s="41"/>
    </row>
    <row r="63" spans="1:13">
      <c r="B63" s="4" t="s">
        <v>30</v>
      </c>
      <c r="I63" s="41">
        <v>12993</v>
      </c>
      <c r="J63" s="41"/>
      <c r="K63" s="41"/>
      <c r="L63" s="41">
        <f>SUM(I63:K63)</f>
        <v>12993</v>
      </c>
      <c r="M63" s="41"/>
    </row>
    <row r="64" spans="1:13">
      <c r="A64" s="3"/>
      <c r="B64" s="3"/>
      <c r="C64" s="3" t="s">
        <v>363</v>
      </c>
      <c r="D64" s="3"/>
      <c r="E64" s="3"/>
      <c r="F64" s="3"/>
      <c r="G64" s="3"/>
      <c r="H64" s="3"/>
      <c r="I64" s="50">
        <f>SUM(I62:I63)</f>
        <v>55171</v>
      </c>
      <c r="J64" s="50">
        <f t="shared" ref="J64:L64" si="9">SUM(J62:J63)</f>
        <v>1995</v>
      </c>
      <c r="K64" s="50">
        <f t="shared" si="9"/>
        <v>-3692</v>
      </c>
      <c r="L64" s="50">
        <f t="shared" si="9"/>
        <v>53474</v>
      </c>
      <c r="M64" s="44"/>
    </row>
    <row r="65" spans="1:13">
      <c r="A65" s="3"/>
      <c r="B65" s="3"/>
      <c r="C65" s="3"/>
      <c r="D65" s="3"/>
      <c r="E65" s="3"/>
      <c r="F65" s="3"/>
      <c r="G65" s="3"/>
      <c r="H65" s="3"/>
      <c r="I65" s="74"/>
      <c r="J65" s="74"/>
      <c r="K65" s="74"/>
      <c r="L65" s="74"/>
      <c r="M65" s="44"/>
    </row>
    <row r="66" spans="1:13">
      <c r="A66" s="3" t="s">
        <v>364</v>
      </c>
      <c r="I66" s="41"/>
      <c r="J66" s="41"/>
      <c r="K66" s="41"/>
      <c r="L66" s="41"/>
      <c r="M66" s="41"/>
    </row>
    <row r="67" spans="1:13">
      <c r="A67" s="3"/>
      <c r="B67" s="4" t="s">
        <v>162</v>
      </c>
      <c r="I67" s="41">
        <v>18114</v>
      </c>
      <c r="J67" s="41">
        <v>3526</v>
      </c>
      <c r="K67" s="41">
        <v>-3221</v>
      </c>
      <c r="L67" s="41">
        <f>SUM(I67:K67)</f>
        <v>18419</v>
      </c>
      <c r="M67" s="41">
        <f>L62-L67</f>
        <v>22062</v>
      </c>
    </row>
    <row r="68" spans="1:13">
      <c r="B68" s="4" t="s">
        <v>30</v>
      </c>
      <c r="I68" s="41">
        <v>12213</v>
      </c>
      <c r="J68" s="41">
        <v>260</v>
      </c>
      <c r="K68" s="41"/>
      <c r="L68" s="41">
        <f>SUM(I68:K68)</f>
        <v>12473</v>
      </c>
      <c r="M68" s="41">
        <f>L63-L68</f>
        <v>520</v>
      </c>
    </row>
    <row r="69" spans="1:13">
      <c r="C69" s="3" t="s">
        <v>21</v>
      </c>
      <c r="I69" s="57">
        <f>SUM(I67:I68)</f>
        <v>30327</v>
      </c>
      <c r="J69" s="57">
        <f t="shared" ref="J69:L69" si="10">SUM(J67:J68)</f>
        <v>3786</v>
      </c>
      <c r="K69" s="57">
        <f t="shared" si="10"/>
        <v>-3221</v>
      </c>
      <c r="L69" s="57">
        <f t="shared" si="10"/>
        <v>30892</v>
      </c>
      <c r="M69" s="44"/>
    </row>
    <row r="70" spans="1:13">
      <c r="A70"/>
      <c r="B70"/>
      <c r="C70"/>
      <c r="D70"/>
      <c r="E70"/>
      <c r="F70"/>
      <c r="G70"/>
      <c r="H70"/>
      <c r="I70"/>
      <c r="J70"/>
      <c r="K70"/>
      <c r="L70"/>
      <c r="M70"/>
    </row>
    <row r="71" spans="1:13">
      <c r="A71" s="3" t="s">
        <v>369</v>
      </c>
      <c r="B71" s="3"/>
      <c r="C71" s="3"/>
      <c r="D71" s="3"/>
      <c r="E71" s="3"/>
      <c r="F71" s="3"/>
      <c r="I71" s="41"/>
      <c r="J71" s="41"/>
      <c r="K71" s="41"/>
      <c r="L71" s="41"/>
      <c r="M71" s="41"/>
    </row>
    <row r="72" spans="1:13">
      <c r="A72" s="3" t="s">
        <v>361</v>
      </c>
      <c r="B72" s="3"/>
      <c r="C72" s="3"/>
      <c r="D72" s="3"/>
      <c r="E72" s="3"/>
      <c r="F72" s="3"/>
      <c r="I72" s="41"/>
      <c r="J72" s="41"/>
      <c r="K72" s="41"/>
      <c r="L72" s="41"/>
      <c r="M72" s="41"/>
    </row>
    <row r="73" spans="1:13">
      <c r="B73" s="4" t="s">
        <v>362</v>
      </c>
      <c r="I73" s="41">
        <v>140390</v>
      </c>
      <c r="J73" s="41"/>
      <c r="K73" s="41">
        <v>-4542</v>
      </c>
      <c r="L73" s="41">
        <f>SUM(I73:K73)</f>
        <v>135848</v>
      </c>
      <c r="M73" s="41"/>
    </row>
    <row r="74" spans="1:13">
      <c r="B74" s="4" t="s">
        <v>140</v>
      </c>
      <c r="I74" s="41">
        <v>180889</v>
      </c>
      <c r="J74" s="41">
        <v>2354</v>
      </c>
      <c r="K74" s="41">
        <v>-21856</v>
      </c>
      <c r="L74" s="41">
        <f t="shared" ref="L74:L75" si="11">SUM(I74:K74)</f>
        <v>161387</v>
      </c>
      <c r="M74" s="41"/>
    </row>
    <row r="75" spans="1:13">
      <c r="B75" s="4" t="s">
        <v>162</v>
      </c>
      <c r="I75" s="41">
        <v>376125</v>
      </c>
      <c r="J75" s="41">
        <v>8056</v>
      </c>
      <c r="K75" s="41">
        <v>-27674</v>
      </c>
      <c r="L75" s="41">
        <f t="shared" si="11"/>
        <v>356507</v>
      </c>
      <c r="M75" s="41"/>
    </row>
    <row r="76" spans="1:13">
      <c r="B76" s="4" t="s">
        <v>30</v>
      </c>
      <c r="I76" s="41">
        <v>181279</v>
      </c>
      <c r="J76" s="41"/>
      <c r="K76" s="41"/>
      <c r="L76" s="41">
        <f>SUM(I76:K76)</f>
        <v>181279</v>
      </c>
      <c r="M76" s="41"/>
    </row>
    <row r="77" spans="1:13">
      <c r="A77" s="3"/>
      <c r="B77" s="3"/>
      <c r="C77" s="3" t="s">
        <v>363</v>
      </c>
      <c r="D77" s="3"/>
      <c r="E77" s="3"/>
      <c r="F77" s="3"/>
      <c r="G77" s="3"/>
      <c r="H77" s="3"/>
      <c r="I77" s="50">
        <f>SUM(I73:I76)</f>
        <v>878683</v>
      </c>
      <c r="J77" s="50">
        <f t="shared" ref="J77:L77" si="12">SUM(J73:J76)</f>
        <v>10410</v>
      </c>
      <c r="K77" s="50">
        <f t="shared" si="12"/>
        <v>-54072</v>
      </c>
      <c r="L77" s="50">
        <f t="shared" si="12"/>
        <v>835021</v>
      </c>
      <c r="M77" s="44"/>
    </row>
    <row r="78" spans="1:13">
      <c r="A78" s="3"/>
      <c r="B78" s="3"/>
      <c r="C78" s="3"/>
      <c r="D78" s="3"/>
      <c r="E78" s="3"/>
      <c r="F78" s="3"/>
      <c r="G78" s="3"/>
      <c r="H78" s="3"/>
      <c r="I78" s="74"/>
      <c r="J78" s="74"/>
      <c r="K78" s="74"/>
      <c r="L78" s="74"/>
      <c r="M78" s="44"/>
    </row>
    <row r="79" spans="1:13">
      <c r="A79" s="3" t="s">
        <v>364</v>
      </c>
      <c r="I79" s="41"/>
      <c r="J79" s="41"/>
      <c r="K79" s="41"/>
      <c r="L79" s="41"/>
      <c r="M79" s="41"/>
    </row>
    <row r="80" spans="1:13">
      <c r="A80" s="3"/>
      <c r="B80" s="4" t="s">
        <v>362</v>
      </c>
      <c r="I80" s="41">
        <v>115411</v>
      </c>
      <c r="J80" s="41">
        <v>5471</v>
      </c>
      <c r="K80" s="41">
        <v>-3267</v>
      </c>
      <c r="L80" s="41">
        <f>SUM(I80:K80)</f>
        <v>117615</v>
      </c>
      <c r="M80" s="41">
        <f>L73-L80</f>
        <v>18233</v>
      </c>
    </row>
    <row r="81" spans="1:13">
      <c r="A81" s="3"/>
      <c r="B81" s="4" t="s">
        <v>140</v>
      </c>
      <c r="I81" s="41">
        <v>179337</v>
      </c>
      <c r="J81" s="41">
        <v>1367</v>
      </c>
      <c r="K81" s="41">
        <v>-21856</v>
      </c>
      <c r="L81" s="41">
        <f t="shared" ref="L81:L82" si="13">SUM(I81:K81)</f>
        <v>158848</v>
      </c>
      <c r="M81" s="41">
        <f>L74-L81</f>
        <v>2539</v>
      </c>
    </row>
    <row r="82" spans="1:13">
      <c r="A82" s="3"/>
      <c r="B82" s="4" t="s">
        <v>162</v>
      </c>
      <c r="I82" s="41">
        <v>248459</v>
      </c>
      <c r="J82" s="41">
        <v>24588</v>
      </c>
      <c r="K82" s="41">
        <v>-25114</v>
      </c>
      <c r="L82" s="41">
        <f t="shared" si="13"/>
        <v>247933</v>
      </c>
      <c r="M82" s="41">
        <f>L75-L82</f>
        <v>108574</v>
      </c>
    </row>
    <row r="83" spans="1:13">
      <c r="B83" s="4" t="s">
        <v>30</v>
      </c>
      <c r="I83" s="41">
        <v>181279</v>
      </c>
      <c r="J83" s="41"/>
      <c r="K83" s="41"/>
      <c r="L83" s="41">
        <f>SUM(I83:K83)</f>
        <v>181279</v>
      </c>
      <c r="M83" s="41">
        <f>L76-L83</f>
        <v>0</v>
      </c>
    </row>
    <row r="84" spans="1:13">
      <c r="C84" s="3" t="s">
        <v>21</v>
      </c>
      <c r="I84" s="57">
        <f>SUM(I80:I83)</f>
        <v>724486</v>
      </c>
      <c r="J84" s="57">
        <f t="shared" ref="J84:L84" si="14">SUM(J80:J83)</f>
        <v>31426</v>
      </c>
      <c r="K84" s="57">
        <f t="shared" si="14"/>
        <v>-50237</v>
      </c>
      <c r="L84" s="57">
        <f t="shared" si="14"/>
        <v>705675</v>
      </c>
      <c r="M84" s="44"/>
    </row>
    <row r="85" spans="1:13">
      <c r="A85"/>
      <c r="B85"/>
      <c r="C85"/>
      <c r="D85"/>
      <c r="E85"/>
      <c r="F85"/>
      <c r="G85"/>
      <c r="H85"/>
      <c r="I85"/>
      <c r="J85"/>
      <c r="K85"/>
      <c r="L85"/>
      <c r="M85"/>
    </row>
    <row r="86" spans="1:13">
      <c r="A86" s="3" t="s">
        <v>370</v>
      </c>
      <c r="B86" s="3"/>
      <c r="C86" s="3"/>
      <c r="D86" s="3"/>
      <c r="E86" s="3"/>
      <c r="F86" s="3"/>
      <c r="I86" s="41"/>
      <c r="J86" s="41"/>
      <c r="K86" s="41"/>
      <c r="L86" s="41"/>
      <c r="M86" s="41"/>
    </row>
    <row r="87" spans="1:13">
      <c r="A87" s="3" t="s">
        <v>361</v>
      </c>
      <c r="B87" s="3"/>
      <c r="C87" s="3"/>
      <c r="D87" s="3"/>
      <c r="E87" s="3"/>
      <c r="F87" s="3"/>
      <c r="I87" s="41"/>
      <c r="J87" s="41"/>
      <c r="K87" s="41"/>
      <c r="L87" s="41"/>
      <c r="M87" s="41"/>
    </row>
    <row r="88" spans="1:13">
      <c r="B88" s="4" t="s">
        <v>140</v>
      </c>
      <c r="I88" s="41">
        <v>4256</v>
      </c>
      <c r="J88" s="41"/>
      <c r="K88" s="41"/>
      <c r="L88" s="41">
        <f>SUM(I88:K88)</f>
        <v>4256</v>
      </c>
      <c r="M88" s="41"/>
    </row>
    <row r="89" spans="1:13">
      <c r="A89" s="3"/>
      <c r="B89" s="3"/>
      <c r="C89" s="3" t="s">
        <v>363</v>
      </c>
      <c r="D89" s="3"/>
      <c r="E89" s="3"/>
      <c r="F89" s="3"/>
      <c r="G89" s="3"/>
      <c r="H89" s="3"/>
      <c r="I89" s="50">
        <f>SUM(I88:I88)</f>
        <v>4256</v>
      </c>
      <c r="J89" s="50">
        <f>SUM(J88:J88)</f>
        <v>0</v>
      </c>
      <c r="K89" s="50">
        <f>SUM(K88:K88)</f>
        <v>0</v>
      </c>
      <c r="L89" s="50">
        <f>SUM(L88:L88)</f>
        <v>4256</v>
      </c>
      <c r="M89" s="44"/>
    </row>
    <row r="90" spans="1:13">
      <c r="A90" s="3"/>
      <c r="B90" s="3"/>
      <c r="C90" s="3"/>
      <c r="D90" s="3"/>
      <c r="E90" s="3"/>
      <c r="F90" s="3"/>
      <c r="G90" s="3"/>
      <c r="H90" s="3"/>
      <c r="I90" s="74"/>
      <c r="J90" s="74"/>
      <c r="K90" s="74"/>
      <c r="L90" s="74"/>
      <c r="M90" s="44"/>
    </row>
    <row r="91" spans="1:13">
      <c r="A91" s="3" t="s">
        <v>364</v>
      </c>
      <c r="I91" s="41"/>
      <c r="J91" s="41"/>
      <c r="K91" s="41"/>
      <c r="L91" s="41"/>
      <c r="M91" s="41"/>
    </row>
    <row r="92" spans="1:13">
      <c r="A92" s="3"/>
      <c r="B92" s="4" t="s">
        <v>140</v>
      </c>
      <c r="I92" s="41">
        <v>4256</v>
      </c>
      <c r="J92" s="41"/>
      <c r="K92" s="41"/>
      <c r="L92" s="41">
        <f>SUM(I92:K92)</f>
        <v>4256</v>
      </c>
      <c r="M92" s="41">
        <f>L88-L92</f>
        <v>0</v>
      </c>
    </row>
    <row r="93" spans="1:13">
      <c r="C93" s="3" t="s">
        <v>21</v>
      </c>
      <c r="I93" s="57">
        <f>I92</f>
        <v>4256</v>
      </c>
      <c r="J93" s="57">
        <f t="shared" ref="J93:L93" si="15">J92</f>
        <v>0</v>
      </c>
      <c r="K93" s="57">
        <f t="shared" si="15"/>
        <v>0</v>
      </c>
      <c r="L93" s="57">
        <f t="shared" si="15"/>
        <v>4256</v>
      </c>
      <c r="M93" s="44"/>
    </row>
    <row r="94" spans="1:13">
      <c r="A94"/>
      <c r="B94"/>
      <c r="C94"/>
      <c r="D94"/>
      <c r="E94"/>
      <c r="F94"/>
      <c r="G94"/>
      <c r="H94"/>
      <c r="I94"/>
      <c r="J94"/>
      <c r="K94"/>
      <c r="L94"/>
      <c r="M94"/>
    </row>
    <row r="95" spans="1:13">
      <c r="A95" s="3" t="s">
        <v>371</v>
      </c>
      <c r="B95" s="3"/>
      <c r="C95" s="3"/>
      <c r="D95" s="3"/>
      <c r="E95" s="3"/>
      <c r="F95" s="3"/>
      <c r="I95" s="41"/>
      <c r="J95" s="41"/>
      <c r="K95" s="41"/>
      <c r="L95" s="41"/>
      <c r="M95" s="41"/>
    </row>
    <row r="96" spans="1:13">
      <c r="A96" s="3" t="s">
        <v>361</v>
      </c>
      <c r="B96" s="3"/>
      <c r="C96" s="3"/>
      <c r="D96" s="3"/>
      <c r="E96" s="3"/>
      <c r="F96" s="3"/>
      <c r="I96" s="41"/>
      <c r="J96" s="41"/>
      <c r="K96" s="41"/>
      <c r="L96" s="41"/>
      <c r="M96" s="41"/>
    </row>
    <row r="97" spans="1:13">
      <c r="B97" s="4" t="s">
        <v>30</v>
      </c>
      <c r="I97" s="41">
        <v>15425</v>
      </c>
      <c r="J97" s="41"/>
      <c r="K97" s="41"/>
      <c r="L97" s="41">
        <f>SUM(I97:K97)</f>
        <v>15425</v>
      </c>
      <c r="M97" s="41"/>
    </row>
    <row r="98" spans="1:13">
      <c r="A98" s="3"/>
      <c r="B98" s="3"/>
      <c r="C98" s="3" t="s">
        <v>363</v>
      </c>
      <c r="D98" s="3"/>
      <c r="E98" s="3"/>
      <c r="F98" s="3"/>
      <c r="G98" s="3"/>
      <c r="H98" s="3"/>
      <c r="I98" s="50">
        <f>SUM(I97:I97)</f>
        <v>15425</v>
      </c>
      <c r="J98" s="50">
        <f>SUM(J97:J97)</f>
        <v>0</v>
      </c>
      <c r="K98" s="50">
        <f>SUM(K97:K97)</f>
        <v>0</v>
      </c>
      <c r="L98" s="50">
        <f>SUM(L97:L97)</f>
        <v>15425</v>
      </c>
      <c r="M98" s="44"/>
    </row>
    <row r="99" spans="1:13">
      <c r="A99" s="3"/>
      <c r="B99" s="3"/>
      <c r="C99" s="3"/>
      <c r="D99" s="3"/>
      <c r="E99" s="3"/>
      <c r="F99" s="3"/>
      <c r="G99" s="3"/>
      <c r="H99" s="3"/>
      <c r="I99" s="74"/>
      <c r="J99" s="74"/>
      <c r="K99" s="74"/>
      <c r="L99" s="74"/>
      <c r="M99" s="44"/>
    </row>
    <row r="100" spans="1:13">
      <c r="A100" s="3" t="s">
        <v>364</v>
      </c>
      <c r="I100" s="41"/>
      <c r="J100" s="41"/>
      <c r="K100" s="41"/>
      <c r="L100" s="41"/>
      <c r="M100" s="41"/>
    </row>
    <row r="101" spans="1:13">
      <c r="A101" s="3"/>
      <c r="B101" s="4" t="s">
        <v>30</v>
      </c>
      <c r="I101" s="41">
        <v>15425</v>
      </c>
      <c r="J101" s="41"/>
      <c r="K101" s="41"/>
      <c r="L101" s="41">
        <f>SUM(I101:K101)</f>
        <v>15425</v>
      </c>
      <c r="M101" s="41">
        <f>L97-L101</f>
        <v>0</v>
      </c>
    </row>
    <row r="102" spans="1:13">
      <c r="C102" s="3" t="s">
        <v>21</v>
      </c>
      <c r="I102" s="57">
        <f>I101</f>
        <v>15425</v>
      </c>
      <c r="J102" s="57">
        <f t="shared" ref="J102:L102" si="16">J101</f>
        <v>0</v>
      </c>
      <c r="K102" s="57">
        <f t="shared" si="16"/>
        <v>0</v>
      </c>
      <c r="L102" s="57">
        <f t="shared" si="16"/>
        <v>15425</v>
      </c>
      <c r="M102" s="44"/>
    </row>
    <row r="104" spans="1:13">
      <c r="A104" s="3" t="s">
        <v>112</v>
      </c>
      <c r="B104" s="3"/>
      <c r="C104" s="3"/>
      <c r="D104" s="3"/>
      <c r="E104" s="3"/>
      <c r="F104" s="3"/>
      <c r="I104" s="41"/>
      <c r="J104" s="41"/>
      <c r="K104" s="41"/>
      <c r="L104" s="41"/>
      <c r="M104" s="41"/>
    </row>
    <row r="105" spans="1:13">
      <c r="A105" s="3" t="s">
        <v>361</v>
      </c>
      <c r="B105" s="3"/>
      <c r="C105" s="3"/>
      <c r="D105" s="3"/>
      <c r="E105" s="3"/>
      <c r="F105" s="3"/>
      <c r="I105" s="41"/>
      <c r="J105" s="41"/>
      <c r="K105" s="41"/>
      <c r="L105" s="41"/>
      <c r="M105" s="41"/>
    </row>
    <row r="106" spans="1:13">
      <c r="B106" s="4" t="s">
        <v>140</v>
      </c>
      <c r="I106" s="41">
        <v>715130</v>
      </c>
      <c r="J106" s="41">
        <v>3525</v>
      </c>
      <c r="K106" s="41">
        <v>-96462</v>
      </c>
      <c r="L106" s="41">
        <f>SUM(I106:K106)</f>
        <v>622193</v>
      </c>
      <c r="M106" s="41"/>
    </row>
    <row r="107" spans="1:13">
      <c r="B107" s="4" t="s">
        <v>30</v>
      </c>
      <c r="I107" s="41">
        <v>20730</v>
      </c>
      <c r="J107" s="41"/>
      <c r="K107" s="41"/>
      <c r="L107" s="41">
        <f t="shared" ref="L107:L108" si="17">SUM(I107:K107)</f>
        <v>20730</v>
      </c>
      <c r="M107" s="41"/>
    </row>
    <row r="108" spans="1:13">
      <c r="B108" s="4" t="s">
        <v>372</v>
      </c>
      <c r="I108" s="41"/>
      <c r="J108" s="41">
        <v>29054</v>
      </c>
      <c r="K108" s="41"/>
      <c r="L108" s="41">
        <f t="shared" si="17"/>
        <v>29054</v>
      </c>
      <c r="M108" s="41">
        <f>L108</f>
        <v>29054</v>
      </c>
    </row>
    <row r="109" spans="1:13">
      <c r="B109" s="4" t="s">
        <v>373</v>
      </c>
      <c r="I109" s="41">
        <v>1915009</v>
      </c>
      <c r="J109" s="41">
        <v>154146</v>
      </c>
      <c r="K109" s="41">
        <v>-153315</v>
      </c>
      <c r="L109" s="41">
        <f>SUM(I109:K109)</f>
        <v>1915840</v>
      </c>
      <c r="M109" s="41"/>
    </row>
    <row r="110" spans="1:13">
      <c r="A110" s="3"/>
      <c r="B110" s="3"/>
      <c r="C110" s="3" t="s">
        <v>363</v>
      </c>
      <c r="D110" s="3"/>
      <c r="E110" s="3"/>
      <c r="F110" s="3"/>
      <c r="G110" s="3"/>
      <c r="H110" s="3"/>
      <c r="I110" s="50">
        <f>SUM(I106:I109)</f>
        <v>2650869</v>
      </c>
      <c r="J110" s="50">
        <f t="shared" ref="J110:L110" si="18">SUM(J106:J109)</f>
        <v>186725</v>
      </c>
      <c r="K110" s="50">
        <f t="shared" si="18"/>
        <v>-249777</v>
      </c>
      <c r="L110" s="50">
        <f t="shared" si="18"/>
        <v>2587817</v>
      </c>
      <c r="M110" s="44"/>
    </row>
    <row r="111" spans="1:13">
      <c r="A111" s="3"/>
      <c r="B111" s="3"/>
      <c r="C111" s="3"/>
      <c r="D111" s="3"/>
      <c r="E111" s="3"/>
      <c r="F111" s="3"/>
      <c r="G111" s="3"/>
      <c r="H111" s="3"/>
      <c r="I111" s="74"/>
      <c r="J111" s="74"/>
      <c r="K111" s="74"/>
      <c r="L111" s="74"/>
      <c r="M111" s="44"/>
    </row>
    <row r="112" spans="1:13">
      <c r="A112" s="3" t="s">
        <v>364</v>
      </c>
      <c r="I112" s="41"/>
      <c r="J112" s="41"/>
      <c r="K112" s="41"/>
      <c r="L112" s="41"/>
      <c r="M112" s="41"/>
    </row>
    <row r="113" spans="1:13">
      <c r="A113" s="3"/>
      <c r="B113" s="4" t="s">
        <v>140</v>
      </c>
      <c r="I113" s="41">
        <v>561213</v>
      </c>
      <c r="J113" s="41">
        <v>34373</v>
      </c>
      <c r="K113" s="41">
        <v>-94727</v>
      </c>
      <c r="L113" s="41">
        <f>SUM(I113:K113)</f>
        <v>500859</v>
      </c>
      <c r="M113" s="41">
        <f>L106-L113</f>
        <v>121334</v>
      </c>
    </row>
    <row r="114" spans="1:13">
      <c r="A114" s="3"/>
      <c r="B114" s="4" t="s">
        <v>30</v>
      </c>
      <c r="I114" s="41">
        <v>4146</v>
      </c>
      <c r="J114" s="41">
        <v>4146</v>
      </c>
      <c r="K114" s="41"/>
      <c r="L114" s="41">
        <f>SUM(I114:K114)</f>
        <v>8292</v>
      </c>
      <c r="M114" s="41">
        <f>L107-L114</f>
        <v>12438</v>
      </c>
    </row>
    <row r="115" spans="1:13">
      <c r="B115" s="4" t="s">
        <v>373</v>
      </c>
      <c r="I115" s="41">
        <v>1567112</v>
      </c>
      <c r="J115" s="41">
        <v>164592</v>
      </c>
      <c r="K115" s="41">
        <v>-153315</v>
      </c>
      <c r="L115" s="41">
        <f>SUM(I115:K115)</f>
        <v>1578389</v>
      </c>
      <c r="M115" s="41">
        <f>L109-L115</f>
        <v>337451</v>
      </c>
    </row>
    <row r="116" spans="1:13">
      <c r="C116" s="3" t="s">
        <v>21</v>
      </c>
      <c r="I116" s="57">
        <f>SUM(I115:I115)</f>
        <v>1567112</v>
      </c>
      <c r="J116" s="57">
        <f>SUM(J115:J115)</f>
        <v>164592</v>
      </c>
      <c r="K116" s="57">
        <f>SUM(K115:K115)</f>
        <v>-153315</v>
      </c>
      <c r="L116" s="57">
        <f>SUM(L115:L115)</f>
        <v>1578389</v>
      </c>
      <c r="M116" s="44"/>
    </row>
    <row r="117" spans="1:13">
      <c r="A117"/>
      <c r="B117"/>
      <c r="C117"/>
      <c r="D117"/>
      <c r="E117"/>
      <c r="F117"/>
      <c r="G117"/>
      <c r="H117"/>
      <c r="I117"/>
      <c r="J117"/>
      <c r="K117"/>
      <c r="L117"/>
      <c r="M117"/>
    </row>
    <row r="118" spans="1:13">
      <c r="A118" s="3" t="s">
        <v>374</v>
      </c>
      <c r="B118" s="3"/>
      <c r="C118" s="3"/>
      <c r="D118" s="3"/>
      <c r="E118" s="3"/>
      <c r="F118" s="3"/>
      <c r="I118" s="41"/>
      <c r="J118" s="41"/>
      <c r="K118" s="41"/>
      <c r="L118" s="41"/>
      <c r="M118" s="41"/>
    </row>
    <row r="119" spans="1:13">
      <c r="A119" s="3" t="s">
        <v>361</v>
      </c>
      <c r="B119" s="3"/>
      <c r="C119" s="3"/>
      <c r="D119" s="3"/>
      <c r="E119" s="3"/>
      <c r="F119" s="3"/>
      <c r="I119" s="41"/>
      <c r="J119" s="41"/>
      <c r="K119" s="41"/>
      <c r="L119" s="41"/>
      <c r="M119" s="41"/>
    </row>
    <row r="120" spans="1:13">
      <c r="A120" s="3"/>
      <c r="B120" s="4" t="s">
        <v>11</v>
      </c>
      <c r="C120" s="3"/>
      <c r="D120" s="3"/>
      <c r="E120" s="3"/>
      <c r="F120" s="3"/>
      <c r="I120" s="41">
        <v>48112</v>
      </c>
      <c r="J120" s="41"/>
      <c r="K120" s="41"/>
      <c r="L120" s="41">
        <f>SUM(I120:K120)</f>
        <v>48112</v>
      </c>
      <c r="M120" s="41">
        <f>L120</f>
        <v>48112</v>
      </c>
    </row>
    <row r="121" spans="1:13">
      <c r="B121" s="4" t="s">
        <v>362</v>
      </c>
      <c r="I121" s="41">
        <v>512194</v>
      </c>
      <c r="J121" s="41"/>
      <c r="K121" s="41">
        <v>-978</v>
      </c>
      <c r="L121" s="41">
        <f t="shared" ref="L121:L125" si="19">SUM(I121:K121)</f>
        <v>511216</v>
      </c>
      <c r="M121" s="41"/>
    </row>
    <row r="122" spans="1:13">
      <c r="B122" s="4" t="s">
        <v>140</v>
      </c>
      <c r="I122" s="41">
        <v>16251</v>
      </c>
      <c r="J122" s="41"/>
      <c r="K122" s="41"/>
      <c r="L122" s="41">
        <f t="shared" si="19"/>
        <v>16251</v>
      </c>
      <c r="M122" s="41"/>
    </row>
    <row r="123" spans="1:13">
      <c r="B123" s="4" t="s">
        <v>162</v>
      </c>
      <c r="I123" s="41">
        <v>944185</v>
      </c>
      <c r="J123" s="41"/>
      <c r="K123" s="41">
        <v>-12166</v>
      </c>
      <c r="L123" s="41">
        <f t="shared" si="19"/>
        <v>932019</v>
      </c>
      <c r="M123" s="41"/>
    </row>
    <row r="124" spans="1:13">
      <c r="B124" s="4" t="s">
        <v>30</v>
      </c>
      <c r="I124" s="41">
        <v>1179568</v>
      </c>
      <c r="J124" s="41"/>
      <c r="K124" s="41"/>
      <c r="L124" s="41">
        <f t="shared" si="19"/>
        <v>1179568</v>
      </c>
      <c r="M124" s="41"/>
    </row>
    <row r="125" spans="1:13">
      <c r="B125" s="4" t="s">
        <v>52</v>
      </c>
      <c r="I125" s="41">
        <v>9890376</v>
      </c>
      <c r="J125" s="41">
        <v>1083846</v>
      </c>
      <c r="K125" s="41">
        <v>-114871</v>
      </c>
      <c r="L125" s="41">
        <f t="shared" si="19"/>
        <v>10859351</v>
      </c>
      <c r="M125" s="41"/>
    </row>
    <row r="126" spans="1:13">
      <c r="B126" s="4" t="s">
        <v>51</v>
      </c>
      <c r="I126" s="41">
        <v>10229452</v>
      </c>
      <c r="J126" s="41"/>
      <c r="K126" s="41"/>
      <c r="L126" s="41">
        <f>SUM(I126:K126)</f>
        <v>10229452</v>
      </c>
      <c r="M126" s="41"/>
    </row>
    <row r="127" spans="1:13">
      <c r="A127" s="3"/>
      <c r="B127" s="3"/>
      <c r="C127" s="3" t="s">
        <v>363</v>
      </c>
      <c r="D127" s="3"/>
      <c r="E127" s="3"/>
      <c r="F127" s="3"/>
      <c r="G127" s="3"/>
      <c r="H127" s="3"/>
      <c r="I127" s="50">
        <f>SUM(I120:I126)</f>
        <v>22820138</v>
      </c>
      <c r="J127" s="50">
        <f t="shared" ref="J127:L127" si="20">SUM(J120:J126)</f>
        <v>1083846</v>
      </c>
      <c r="K127" s="50">
        <f t="shared" si="20"/>
        <v>-128015</v>
      </c>
      <c r="L127" s="50">
        <f t="shared" si="20"/>
        <v>23775969</v>
      </c>
      <c r="M127" s="44"/>
    </row>
    <row r="128" spans="1:13">
      <c r="A128" s="3"/>
      <c r="B128" s="3"/>
      <c r="C128" s="3"/>
      <c r="D128" s="3"/>
      <c r="E128" s="3"/>
      <c r="F128" s="3"/>
      <c r="G128" s="3"/>
      <c r="H128" s="3"/>
      <c r="I128" s="74"/>
      <c r="J128" s="74"/>
      <c r="K128" s="74"/>
      <c r="L128" s="74"/>
      <c r="M128" s="44"/>
    </row>
    <row r="129" spans="1:13">
      <c r="A129" s="3" t="s">
        <v>364</v>
      </c>
      <c r="I129" s="41"/>
      <c r="J129" s="41"/>
      <c r="K129" s="41"/>
      <c r="L129" s="41"/>
      <c r="M129" s="41"/>
    </row>
    <row r="130" spans="1:13">
      <c r="A130" s="3"/>
      <c r="B130" s="4" t="s">
        <v>362</v>
      </c>
      <c r="I130" s="41">
        <v>320227</v>
      </c>
      <c r="J130" s="41">
        <v>15866</v>
      </c>
      <c r="K130" s="41">
        <v>-978</v>
      </c>
      <c r="L130" s="41">
        <f>SUM(I130:K130)</f>
        <v>335115</v>
      </c>
      <c r="M130" s="41">
        <f t="shared" ref="M130:M135" si="21">L121-L130</f>
        <v>176101</v>
      </c>
    </row>
    <row r="131" spans="1:13">
      <c r="A131" s="3"/>
      <c r="B131" s="4" t="s">
        <v>140</v>
      </c>
      <c r="I131" s="41">
        <v>15708</v>
      </c>
      <c r="J131" s="41">
        <v>543</v>
      </c>
      <c r="K131" s="41"/>
      <c r="L131" s="41">
        <f>SUM(I131:K131)</f>
        <v>16251</v>
      </c>
      <c r="M131" s="41">
        <f t="shared" si="21"/>
        <v>0</v>
      </c>
    </row>
    <row r="132" spans="1:13">
      <c r="A132" s="3"/>
      <c r="B132" s="4" t="s">
        <v>162</v>
      </c>
      <c r="I132" s="41">
        <v>619836</v>
      </c>
      <c r="J132" s="41">
        <v>79728</v>
      </c>
      <c r="K132" s="41">
        <v>-12166</v>
      </c>
      <c r="L132" s="41">
        <f>SUM(I132:K132)</f>
        <v>687398</v>
      </c>
      <c r="M132" s="41">
        <f t="shared" si="21"/>
        <v>244621</v>
      </c>
    </row>
    <row r="133" spans="1:13">
      <c r="A133" s="3"/>
      <c r="B133" s="4" t="s">
        <v>30</v>
      </c>
      <c r="I133" s="41">
        <v>798984</v>
      </c>
      <c r="J133" s="41">
        <v>68432</v>
      </c>
      <c r="K133" s="41"/>
      <c r="L133" s="41">
        <f t="shared" ref="L133:L134" si="22">SUM(I133:K133)</f>
        <v>867416</v>
      </c>
      <c r="M133" s="41">
        <f t="shared" si="21"/>
        <v>312152</v>
      </c>
    </row>
    <row r="134" spans="1:13">
      <c r="A134" s="3"/>
      <c r="B134" s="4" t="s">
        <v>52</v>
      </c>
      <c r="I134" s="41">
        <v>4077477</v>
      </c>
      <c r="J134" s="41">
        <v>184818</v>
      </c>
      <c r="K134" s="41">
        <v>-114871</v>
      </c>
      <c r="L134" s="41">
        <f t="shared" si="22"/>
        <v>4147424</v>
      </c>
      <c r="M134" s="41">
        <f t="shared" si="21"/>
        <v>6711927</v>
      </c>
    </row>
    <row r="135" spans="1:13">
      <c r="B135" s="4" t="s">
        <v>51</v>
      </c>
      <c r="I135" s="41">
        <v>10096539</v>
      </c>
      <c r="J135" s="41">
        <v>4947</v>
      </c>
      <c r="K135" s="41"/>
      <c r="L135" s="41">
        <f>SUM(I135:K135)</f>
        <v>10101486</v>
      </c>
      <c r="M135" s="41">
        <f t="shared" si="21"/>
        <v>127966</v>
      </c>
    </row>
    <row r="136" spans="1:13">
      <c r="C136" s="3" t="s">
        <v>21</v>
      </c>
      <c r="I136" s="57">
        <f>SUM(I130:I135)</f>
        <v>15928771</v>
      </c>
      <c r="J136" s="57">
        <f t="shared" ref="J136:L136" si="23">SUM(J130:J135)</f>
        <v>354334</v>
      </c>
      <c r="K136" s="57">
        <f t="shared" si="23"/>
        <v>-128015</v>
      </c>
      <c r="L136" s="57">
        <f t="shared" si="23"/>
        <v>16155090</v>
      </c>
      <c r="M136" s="44"/>
    </row>
    <row r="137" spans="1:13">
      <c r="A137"/>
      <c r="B137"/>
      <c r="C137"/>
      <c r="D137"/>
      <c r="E137"/>
      <c r="F137"/>
      <c r="G137"/>
      <c r="H137"/>
      <c r="I137"/>
      <c r="J137"/>
      <c r="K137"/>
      <c r="L137"/>
      <c r="M137"/>
    </row>
    <row r="138" spans="1:13">
      <c r="C138" s="3" t="s">
        <v>375</v>
      </c>
      <c r="I138" s="75">
        <v>33722700</v>
      </c>
      <c r="J138" s="68">
        <v>1284325</v>
      </c>
      <c r="K138" s="68">
        <v>-519676</v>
      </c>
      <c r="L138" s="75">
        <f>SUM(I138:K138)</f>
        <v>34487349</v>
      </c>
    </row>
    <row r="139" spans="1:13">
      <c r="C139" s="3" t="s">
        <v>21</v>
      </c>
      <c r="I139" s="68">
        <v>23549705</v>
      </c>
      <c r="J139" s="68">
        <v>744608</v>
      </c>
      <c r="K139" s="68">
        <v>-513016</v>
      </c>
      <c r="L139" s="68">
        <f>SUM(I139:K139)</f>
        <v>23781297</v>
      </c>
    </row>
    <row r="140" spans="1:13">
      <c r="C140" s="3" t="s">
        <v>376</v>
      </c>
      <c r="I140" s="68">
        <v>10172995</v>
      </c>
      <c r="J140" s="68">
        <v>539717</v>
      </c>
      <c r="K140" s="68">
        <v>-6660</v>
      </c>
      <c r="L140" s="68">
        <f>SUM(I140:K140)</f>
        <v>10706052</v>
      </c>
      <c r="M140" s="41">
        <f>SUM(M9:M135)</f>
        <v>10706053</v>
      </c>
    </row>
  </sheetData>
  <mergeCells count="6">
    <mergeCell ref="M5:M6"/>
    <mergeCell ref="D1:I1"/>
    <mergeCell ref="D2:I2"/>
    <mergeCell ref="D3:I3"/>
    <mergeCell ref="I5:I6"/>
    <mergeCell ref="L5:L6"/>
  </mergeCells>
  <pageMargins left="0.7" right="0.7" top="0.75" bottom="0.75" header="0.3" footer="0.3"/>
  <pageSetup orientation="portrait" horizontalDpi="1200" verticalDpi="12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N27"/>
  <sheetViews>
    <sheetView topLeftCell="C1" zoomScale="80" zoomScaleNormal="80" zoomScalePageLayoutView="80" workbookViewId="0">
      <selection activeCell="N30" sqref="N30"/>
    </sheetView>
  </sheetViews>
  <sheetFormatPr defaultColWidth="8.85546875" defaultRowHeight="18.75"/>
  <cols>
    <col min="1" max="1" width="4.42578125" style="4" customWidth="1"/>
    <col min="2" max="2" width="3.7109375" style="4" customWidth="1"/>
    <col min="3" max="3" width="4.7109375" style="4" customWidth="1"/>
    <col min="4" max="6" width="8.85546875" style="4"/>
    <col min="7" max="7" width="14.28515625" style="4" bestFit="1" customWidth="1"/>
    <col min="8" max="8" width="12.7109375" style="4" bestFit="1" customWidth="1"/>
    <col min="9" max="9" width="18.42578125" style="4" customWidth="1"/>
    <col min="10" max="10" width="14.28515625" style="4" bestFit="1" customWidth="1"/>
    <col min="11" max="12" width="16.85546875" style="4" customWidth="1"/>
    <col min="13" max="13" width="16.7109375" style="4" bestFit="1" customWidth="1"/>
    <col min="14" max="14" width="17.5703125" style="4" customWidth="1"/>
    <col min="15" max="16384" width="8.85546875" style="4"/>
  </cols>
  <sheetData>
    <row r="1" spans="1:14">
      <c r="D1" s="109" t="s">
        <v>377</v>
      </c>
      <c r="E1" s="109"/>
      <c r="F1" s="109"/>
      <c r="G1" s="109"/>
      <c r="H1" s="109"/>
      <c r="I1" s="109"/>
    </row>
    <row r="2" spans="1:14">
      <c r="D2" s="109" t="s">
        <v>1</v>
      </c>
      <c r="E2" s="109"/>
      <c r="F2" s="109"/>
      <c r="G2" s="109"/>
      <c r="H2" s="109"/>
      <c r="I2" s="109"/>
    </row>
    <row r="3" spans="1:14">
      <c r="D3" s="109" t="s">
        <v>346</v>
      </c>
      <c r="E3" s="109"/>
      <c r="F3" s="109"/>
      <c r="G3" s="109"/>
      <c r="H3" s="109"/>
      <c r="I3" s="109"/>
    </row>
    <row r="4" spans="1:14" ht="14.25" customHeight="1">
      <c r="D4" s="107"/>
      <c r="E4" s="107"/>
      <c r="F4" s="107"/>
      <c r="G4" s="107"/>
      <c r="H4" s="107"/>
      <c r="I4" s="107"/>
    </row>
    <row r="5" spans="1:14" ht="39" customHeight="1">
      <c r="I5" s="64" t="s">
        <v>378</v>
      </c>
      <c r="J5" s="64" t="s">
        <v>60</v>
      </c>
      <c r="K5" s="64" t="s">
        <v>379</v>
      </c>
      <c r="L5" s="64" t="s">
        <v>380</v>
      </c>
      <c r="M5" s="64" t="s">
        <v>381</v>
      </c>
      <c r="N5" s="3" t="s">
        <v>7</v>
      </c>
    </row>
    <row r="6" spans="1:14">
      <c r="I6" s="5"/>
      <c r="J6" s="5"/>
      <c r="K6" s="5"/>
      <c r="L6" s="5"/>
      <c r="M6" s="5"/>
    </row>
    <row r="7" spans="1:14">
      <c r="A7" s="3" t="s">
        <v>25</v>
      </c>
      <c r="B7" s="3"/>
      <c r="C7" s="3"/>
      <c r="D7" s="3"/>
      <c r="E7" s="3"/>
      <c r="F7" s="3"/>
    </row>
    <row r="8" spans="1:14">
      <c r="A8" s="3" t="s">
        <v>352</v>
      </c>
      <c r="B8" s="3"/>
      <c r="C8" s="3"/>
      <c r="D8" s="3"/>
      <c r="E8" s="3"/>
      <c r="F8" s="3"/>
      <c r="I8" s="6"/>
      <c r="J8" s="6"/>
      <c r="K8" s="6"/>
      <c r="L8" s="6"/>
      <c r="M8" s="6"/>
    </row>
    <row r="9" spans="1:14">
      <c r="B9" s="4" t="s">
        <v>11</v>
      </c>
      <c r="I9" s="6">
        <v>94474000</v>
      </c>
      <c r="M9" s="6">
        <f>SUM(I9:L9)</f>
        <v>94474000</v>
      </c>
      <c r="N9" s="6">
        <f>M9</f>
        <v>94474000</v>
      </c>
    </row>
    <row r="10" spans="1:14">
      <c r="B10" s="4" t="s">
        <v>12</v>
      </c>
      <c r="I10" s="4">
        <v>347632000</v>
      </c>
      <c r="J10" s="4">
        <v>143696000</v>
      </c>
      <c r="L10" s="4">
        <v>-44193000</v>
      </c>
      <c r="M10" s="6">
        <f>SUM(I10:L10)</f>
        <v>447135000</v>
      </c>
      <c r="N10" s="67">
        <f>M10</f>
        <v>447135000</v>
      </c>
    </row>
    <row r="11" spans="1:14">
      <c r="A11" s="3"/>
      <c r="B11" s="3"/>
      <c r="C11" s="3" t="s">
        <v>382</v>
      </c>
      <c r="D11" s="3"/>
      <c r="E11" s="3"/>
      <c r="F11" s="3"/>
      <c r="G11" s="3"/>
      <c r="H11" s="3"/>
      <c r="I11" s="10">
        <f>SUM(I9:I10)</f>
        <v>442106000</v>
      </c>
      <c r="J11" s="10">
        <f>SUM(J9:J10)</f>
        <v>143696000</v>
      </c>
      <c r="K11" s="10">
        <f>SUM(K9:K10)</f>
        <v>0</v>
      </c>
      <c r="L11" s="10">
        <f>SUM(L9:L10)</f>
        <v>-44193000</v>
      </c>
      <c r="M11" s="10">
        <f>SUM(M9:M10)</f>
        <v>541609000</v>
      </c>
      <c r="N11" s="3"/>
    </row>
    <row r="12" spans="1:14">
      <c r="A12" s="3"/>
      <c r="B12" s="3"/>
      <c r="C12" s="3"/>
      <c r="D12" s="3"/>
      <c r="E12" s="3"/>
      <c r="F12" s="3"/>
      <c r="G12" s="3"/>
      <c r="H12" s="3"/>
      <c r="I12" s="28"/>
      <c r="J12" s="28"/>
      <c r="K12" s="28"/>
      <c r="L12" s="28"/>
      <c r="M12" s="28"/>
      <c r="N12" s="3"/>
    </row>
    <row r="13" spans="1:14">
      <c r="A13" s="3" t="s">
        <v>353</v>
      </c>
    </row>
    <row r="14" spans="1:14">
      <c r="A14" s="3"/>
      <c r="B14" s="4" t="s">
        <v>383</v>
      </c>
      <c r="I14" s="4">
        <v>2469541000</v>
      </c>
      <c r="J14" s="4">
        <v>11251000</v>
      </c>
      <c r="K14" s="4">
        <v>-217000</v>
      </c>
      <c r="M14" s="4">
        <f>SUM(I14:L14)</f>
        <v>2480575000</v>
      </c>
    </row>
    <row r="15" spans="1:14">
      <c r="A15" s="3"/>
      <c r="B15" s="4" t="s">
        <v>384</v>
      </c>
      <c r="I15" s="4">
        <v>333798000</v>
      </c>
      <c r="J15" s="4">
        <v>32955000</v>
      </c>
      <c r="K15" s="4">
        <v>-564000</v>
      </c>
      <c r="M15" s="4">
        <f t="shared" ref="M15:M17" si="0">SUM(I15:L15)</f>
        <v>366189000</v>
      </c>
    </row>
    <row r="16" spans="1:14">
      <c r="B16" s="4" t="s">
        <v>385</v>
      </c>
      <c r="I16" s="6">
        <v>97002000</v>
      </c>
      <c r="J16" s="6">
        <v>9238000</v>
      </c>
      <c r="K16" s="6">
        <v>-1167000</v>
      </c>
      <c r="L16" s="6"/>
      <c r="M16" s="4">
        <f t="shared" si="0"/>
        <v>105073000</v>
      </c>
    </row>
    <row r="17" spans="1:14">
      <c r="B17" s="4" t="s">
        <v>386</v>
      </c>
      <c r="I17" s="6">
        <v>41072000</v>
      </c>
      <c r="J17" s="6"/>
      <c r="K17" s="6">
        <v>-580000</v>
      </c>
      <c r="L17" s="6"/>
      <c r="M17" s="4">
        <f t="shared" si="0"/>
        <v>40492000</v>
      </c>
    </row>
    <row r="18" spans="1:14">
      <c r="C18" s="3" t="s">
        <v>19</v>
      </c>
      <c r="I18" s="11">
        <f>SUM(I14:I17)</f>
        <v>2941413000</v>
      </c>
      <c r="J18" s="11">
        <f t="shared" ref="J18:M18" si="1">SUM(J14:J17)</f>
        <v>53444000</v>
      </c>
      <c r="K18" s="11">
        <f t="shared" ref="K18" si="2">SUM(K14:K17)</f>
        <v>-2528000</v>
      </c>
      <c r="L18" s="11">
        <f t="shared" si="1"/>
        <v>0</v>
      </c>
      <c r="M18" s="11">
        <f t="shared" si="1"/>
        <v>2992329000</v>
      </c>
    </row>
    <row r="19" spans="1:14" s="2" customFormat="1"/>
    <row r="20" spans="1:14" s="3" customFormat="1">
      <c r="A20" s="3" t="s">
        <v>20</v>
      </c>
    </row>
    <row r="21" spans="1:14">
      <c r="B21" s="4" t="s">
        <v>383</v>
      </c>
      <c r="I21" s="6">
        <v>1697429000</v>
      </c>
      <c r="J21" s="6">
        <v>58233000</v>
      </c>
      <c r="K21" s="6">
        <v>-123000</v>
      </c>
      <c r="L21" s="6"/>
      <c r="M21" s="6">
        <f>SUM(I21:L21)</f>
        <v>1755539000</v>
      </c>
      <c r="N21" s="6">
        <f>M14-M21</f>
        <v>725036000</v>
      </c>
    </row>
    <row r="22" spans="1:14">
      <c r="B22" s="4" t="s">
        <v>354</v>
      </c>
      <c r="I22" s="6">
        <v>102449000</v>
      </c>
      <c r="J22" s="6">
        <v>9925000</v>
      </c>
      <c r="K22" s="6">
        <v>-221000</v>
      </c>
      <c r="L22" s="6"/>
      <c r="M22" s="6">
        <f t="shared" ref="M22:M24" si="3">SUM(I22:L22)</f>
        <v>112153000</v>
      </c>
      <c r="N22" s="6">
        <f>M15-M22</f>
        <v>254036000</v>
      </c>
    </row>
    <row r="23" spans="1:14">
      <c r="B23" s="4" t="s">
        <v>385</v>
      </c>
      <c r="I23" s="6">
        <v>80217000</v>
      </c>
      <c r="J23" s="6">
        <v>6800000</v>
      </c>
      <c r="K23" s="6">
        <v>-1063000</v>
      </c>
      <c r="L23" s="6"/>
      <c r="M23" s="6">
        <f t="shared" si="3"/>
        <v>85954000</v>
      </c>
      <c r="N23" s="6">
        <f>M16-M23</f>
        <v>19119000</v>
      </c>
    </row>
    <row r="24" spans="1:14">
      <c r="B24" s="4" t="s">
        <v>386</v>
      </c>
      <c r="I24" s="6">
        <v>29133000</v>
      </c>
      <c r="J24" s="6">
        <v>1387000</v>
      </c>
      <c r="K24" s="6">
        <v>-338000</v>
      </c>
      <c r="L24" s="6"/>
      <c r="M24" s="6">
        <f t="shared" si="3"/>
        <v>30182000</v>
      </c>
      <c r="N24" s="67">
        <f>M17-M24</f>
        <v>10310000</v>
      </c>
    </row>
    <row r="25" spans="1:14">
      <c r="A25" s="3"/>
      <c r="B25" s="3"/>
      <c r="C25" s="3" t="s">
        <v>21</v>
      </c>
      <c r="D25" s="3"/>
      <c r="E25" s="3"/>
      <c r="F25" s="3"/>
      <c r="G25" s="3"/>
      <c r="H25" s="3"/>
      <c r="I25" s="10">
        <f>SUM(I21:I24)</f>
        <v>1909228000</v>
      </c>
      <c r="J25" s="10">
        <f>SUM(J21:J24)</f>
        <v>76345000</v>
      </c>
      <c r="K25" s="10">
        <f>SUM(K21:K24)</f>
        <v>-1745000</v>
      </c>
      <c r="L25" s="10">
        <f>SUM(L21:L24)</f>
        <v>0</v>
      </c>
      <c r="M25" s="10">
        <f>SUM(M21:M24)</f>
        <v>1983828000</v>
      </c>
      <c r="N25" s="3"/>
    </row>
    <row r="26" spans="1:14">
      <c r="A26" s="3"/>
      <c r="B26" s="3" t="s">
        <v>22</v>
      </c>
      <c r="C26" s="3"/>
      <c r="D26" s="3"/>
      <c r="E26" s="3"/>
      <c r="F26" s="3"/>
      <c r="G26" s="3"/>
      <c r="H26" s="3"/>
      <c r="I26" s="10">
        <f>I18-I25</f>
        <v>1032185000</v>
      </c>
      <c r="J26" s="10">
        <f t="shared" ref="J26:M26" si="4">J18-J25</f>
        <v>-22901000</v>
      </c>
      <c r="K26" s="10">
        <f t="shared" si="4"/>
        <v>-783000</v>
      </c>
      <c r="L26" s="10">
        <f t="shared" si="4"/>
        <v>0</v>
      </c>
      <c r="M26" s="10">
        <f t="shared" si="4"/>
        <v>1008501000</v>
      </c>
      <c r="N26" s="3"/>
    </row>
    <row r="27" spans="1:14" ht="19.5" thickBot="1">
      <c r="A27" s="3"/>
      <c r="B27" s="3" t="s">
        <v>387</v>
      </c>
      <c r="I27" s="12">
        <f>I26+I11</f>
        <v>1474291000</v>
      </c>
      <c r="J27" s="12">
        <f t="shared" ref="J27:M27" si="5">J26+J11</f>
        <v>120795000</v>
      </c>
      <c r="K27" s="12">
        <f t="shared" ref="K27" si="6">K26+K11</f>
        <v>-783000</v>
      </c>
      <c r="L27" s="12">
        <f t="shared" si="5"/>
        <v>-44193000</v>
      </c>
      <c r="M27" s="12">
        <f t="shared" si="5"/>
        <v>1550110000</v>
      </c>
      <c r="N27" s="67">
        <f>SUM(N9:N24)</f>
        <v>1550110000</v>
      </c>
    </row>
  </sheetData>
  <mergeCells count="3">
    <mergeCell ref="D1:I1"/>
    <mergeCell ref="D2:I2"/>
    <mergeCell ref="D3:I3"/>
  </mergeCells>
  <phoneticPr fontId="15" type="noConversion"/>
  <pageMargins left="0.75" right="0.75" top="1" bottom="1" header="0.5" footer="0.5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M41"/>
  <sheetViews>
    <sheetView zoomScale="70" zoomScaleNormal="70" workbookViewId="0">
      <selection activeCell="J44" sqref="J44"/>
    </sheetView>
  </sheetViews>
  <sheetFormatPr defaultColWidth="8.85546875" defaultRowHeight="18.75"/>
  <cols>
    <col min="1" max="1" width="4.42578125" style="4" customWidth="1"/>
    <col min="2" max="3" width="4.7109375" style="4" customWidth="1"/>
    <col min="4" max="6" width="8.85546875" style="4"/>
    <col min="7" max="7" width="14.28515625" style="4" bestFit="1" customWidth="1"/>
    <col min="8" max="8" width="12.7109375" style="4" bestFit="1" customWidth="1"/>
    <col min="9" max="9" width="19.140625" style="4" bestFit="1" customWidth="1"/>
    <col min="10" max="10" width="22.140625" style="4" bestFit="1" customWidth="1"/>
    <col min="11" max="11" width="16.85546875" style="4" customWidth="1"/>
    <col min="12" max="12" width="23" style="4" bestFit="1" customWidth="1"/>
    <col min="13" max="13" width="17.85546875" style="4" customWidth="1"/>
    <col min="14" max="16384" width="8.85546875" style="4"/>
  </cols>
  <sheetData>
    <row r="1" spans="1:13">
      <c r="D1" s="109" t="s">
        <v>388</v>
      </c>
      <c r="E1" s="109"/>
      <c r="F1" s="109"/>
      <c r="G1" s="109"/>
      <c r="H1" s="109"/>
      <c r="I1" s="109"/>
    </row>
    <row r="2" spans="1:13">
      <c r="D2" s="109" t="s">
        <v>1</v>
      </c>
      <c r="E2" s="109"/>
      <c r="F2" s="109"/>
      <c r="G2" s="109"/>
      <c r="H2" s="109"/>
      <c r="I2" s="109"/>
    </row>
    <row r="3" spans="1:13">
      <c r="D3" s="109" t="s">
        <v>2</v>
      </c>
      <c r="E3" s="109"/>
      <c r="F3" s="109"/>
      <c r="G3" s="109"/>
      <c r="H3" s="109"/>
      <c r="I3" s="109"/>
    </row>
    <row r="4" spans="1:13" ht="14.25" customHeight="1">
      <c r="D4" s="107"/>
      <c r="E4" s="107"/>
      <c r="F4" s="107"/>
      <c r="G4" s="107"/>
      <c r="H4" s="107"/>
      <c r="I4" s="42"/>
      <c r="J4" s="41"/>
      <c r="K4" s="41"/>
      <c r="L4" s="41"/>
      <c r="M4" s="41"/>
    </row>
    <row r="5" spans="1:13" ht="39" customHeight="1">
      <c r="I5" s="110" t="s">
        <v>322</v>
      </c>
      <c r="J5" s="108"/>
      <c r="K5" s="108"/>
      <c r="L5" s="110" t="s">
        <v>323</v>
      </c>
      <c r="M5" s="110" t="s">
        <v>7</v>
      </c>
    </row>
    <row r="6" spans="1:13" ht="37.5">
      <c r="I6" s="110"/>
      <c r="J6" s="108" t="s">
        <v>389</v>
      </c>
      <c r="K6" s="108" t="s">
        <v>390</v>
      </c>
      <c r="L6" s="110"/>
      <c r="M6" s="110"/>
    </row>
    <row r="7" spans="1:13">
      <c r="A7" s="3" t="s">
        <v>224</v>
      </c>
      <c r="B7" s="3"/>
      <c r="C7" s="3"/>
      <c r="D7" s="3"/>
      <c r="E7" s="3"/>
      <c r="F7" s="3"/>
      <c r="I7" s="41"/>
      <c r="J7" s="41"/>
      <c r="K7" s="41"/>
      <c r="L7" s="41"/>
      <c r="M7" s="41"/>
    </row>
    <row r="8" spans="1:13">
      <c r="A8" s="3" t="s">
        <v>324</v>
      </c>
      <c r="B8" s="3"/>
      <c r="C8" s="3"/>
      <c r="D8" s="3"/>
      <c r="E8" s="3"/>
      <c r="F8" s="3"/>
      <c r="I8" s="41"/>
      <c r="J8" s="41"/>
      <c r="K8" s="41"/>
      <c r="L8" s="41"/>
      <c r="M8" s="41"/>
    </row>
    <row r="9" spans="1:13">
      <c r="B9" s="4" t="s">
        <v>11</v>
      </c>
      <c r="I9" s="41">
        <v>9045433</v>
      </c>
      <c r="J9" s="41"/>
      <c r="K9" s="41">
        <v>-75411</v>
      </c>
      <c r="L9" s="41">
        <f>SUM(I9:K9)</f>
        <v>8970022</v>
      </c>
      <c r="M9" s="41">
        <f>SUM(L9)</f>
        <v>8970022</v>
      </c>
    </row>
    <row r="10" spans="1:13">
      <c r="B10" s="4" t="s">
        <v>12</v>
      </c>
      <c r="I10" s="41">
        <v>9599699</v>
      </c>
      <c r="J10" s="41">
        <v>3681222</v>
      </c>
      <c r="K10" s="41">
        <v>-3241257</v>
      </c>
      <c r="L10" s="41">
        <f>SUM(I10:K10)</f>
        <v>10039664</v>
      </c>
      <c r="M10" s="41">
        <f>SUM(L10)</f>
        <v>10039664</v>
      </c>
    </row>
    <row r="11" spans="1:13">
      <c r="A11" s="3"/>
      <c r="B11" s="3"/>
      <c r="C11" s="3" t="s">
        <v>326</v>
      </c>
      <c r="D11" s="3"/>
      <c r="E11" s="3"/>
      <c r="F11" s="3"/>
      <c r="G11" s="3"/>
      <c r="H11" s="3"/>
      <c r="I11" s="50">
        <f>SUM(I9:I10)</f>
        <v>18645132</v>
      </c>
      <c r="J11" s="50">
        <f t="shared" ref="J11:L11" si="0">SUM(J9:J10)</f>
        <v>3681222</v>
      </c>
      <c r="K11" s="50">
        <f t="shared" si="0"/>
        <v>-3316668</v>
      </c>
      <c r="L11" s="50">
        <f t="shared" si="0"/>
        <v>19009686</v>
      </c>
      <c r="M11" s="44"/>
    </row>
    <row r="12" spans="1:13">
      <c r="A12" s="3"/>
      <c r="B12" s="3"/>
      <c r="C12" s="3"/>
      <c r="D12" s="3"/>
      <c r="E12" s="3"/>
      <c r="F12" s="3"/>
      <c r="G12" s="3"/>
      <c r="H12" s="3"/>
      <c r="I12" s="74"/>
      <c r="J12" s="74"/>
      <c r="K12" s="74"/>
      <c r="L12" s="74"/>
      <c r="M12" s="44"/>
    </row>
    <row r="13" spans="1:13">
      <c r="A13" s="3" t="s">
        <v>327</v>
      </c>
      <c r="I13" s="41"/>
      <c r="J13" s="41"/>
      <c r="K13" s="41"/>
      <c r="L13" s="41"/>
      <c r="M13" s="41"/>
    </row>
    <row r="14" spans="1:13">
      <c r="A14" s="3"/>
      <c r="B14" s="4" t="s">
        <v>328</v>
      </c>
      <c r="I14" s="41">
        <v>57087679</v>
      </c>
      <c r="J14" s="41">
        <v>1142912</v>
      </c>
      <c r="K14" s="41">
        <v>-5000</v>
      </c>
      <c r="L14" s="41">
        <f t="shared" ref="L14:L20" si="1">SUM(I14:K14)</f>
        <v>58225591</v>
      </c>
      <c r="M14" s="41"/>
    </row>
    <row r="15" spans="1:13">
      <c r="A15" s="3"/>
      <c r="B15" s="4" t="s">
        <v>166</v>
      </c>
      <c r="I15" s="41">
        <v>29680408</v>
      </c>
      <c r="J15" s="41">
        <v>2988190</v>
      </c>
      <c r="K15" s="41">
        <v>-471898</v>
      </c>
      <c r="L15" s="41">
        <f t="shared" si="1"/>
        <v>32196700</v>
      </c>
      <c r="M15" s="41"/>
    </row>
    <row r="16" spans="1:13">
      <c r="A16" s="3"/>
      <c r="B16" s="4" t="s">
        <v>219</v>
      </c>
      <c r="I16" s="41">
        <v>4820701</v>
      </c>
      <c r="J16" s="41">
        <v>510570</v>
      </c>
      <c r="K16" s="41">
        <v>-566894</v>
      </c>
      <c r="L16" s="41">
        <f t="shared" si="1"/>
        <v>4764377</v>
      </c>
      <c r="M16" s="41"/>
    </row>
    <row r="17" spans="1:13">
      <c r="A17" s="3"/>
      <c r="B17" s="4" t="s">
        <v>65</v>
      </c>
      <c r="I17" s="41"/>
      <c r="J17" s="41"/>
      <c r="K17" s="41"/>
      <c r="L17" s="41"/>
      <c r="M17" s="41"/>
    </row>
    <row r="18" spans="1:13">
      <c r="A18" s="3"/>
      <c r="C18" s="4" t="s">
        <v>51</v>
      </c>
      <c r="I18" s="41">
        <v>251520541</v>
      </c>
      <c r="J18" s="41">
        <v>3494100</v>
      </c>
      <c r="K18" s="41"/>
      <c r="L18" s="41">
        <f t="shared" si="1"/>
        <v>255014641</v>
      </c>
      <c r="M18" s="41"/>
    </row>
    <row r="19" spans="1:13">
      <c r="A19" s="3"/>
      <c r="C19" s="4" t="s">
        <v>52</v>
      </c>
      <c r="I19" s="41">
        <v>6541105</v>
      </c>
      <c r="J19" s="41"/>
      <c r="K19" s="41"/>
      <c r="L19" s="41">
        <f t="shared" si="1"/>
        <v>6541105</v>
      </c>
      <c r="M19" s="41"/>
    </row>
    <row r="20" spans="1:13">
      <c r="A20" s="3"/>
      <c r="C20" s="4" t="s">
        <v>391</v>
      </c>
      <c r="I20" s="41">
        <v>486426</v>
      </c>
      <c r="J20" s="41">
        <v>1570702</v>
      </c>
      <c r="K20" s="41"/>
      <c r="L20" s="41">
        <f t="shared" si="1"/>
        <v>2057128</v>
      </c>
      <c r="M20" s="41"/>
    </row>
    <row r="21" spans="1:13" ht="19.5" thickBot="1">
      <c r="A21" s="3"/>
      <c r="C21" s="3" t="s">
        <v>331</v>
      </c>
      <c r="I21" s="59">
        <f>SUM(I14:I20)</f>
        <v>350136860</v>
      </c>
      <c r="J21" s="59">
        <f t="shared" ref="J21:L21" si="2">SUM(J14:J20)</f>
        <v>9706474</v>
      </c>
      <c r="K21" s="59">
        <f t="shared" si="2"/>
        <v>-1043792</v>
      </c>
      <c r="L21" s="59">
        <f t="shared" si="2"/>
        <v>358799542</v>
      </c>
      <c r="M21" s="41"/>
    </row>
    <row r="22" spans="1:13">
      <c r="A22" s="3"/>
      <c r="C22" s="3"/>
      <c r="I22" s="44"/>
      <c r="J22" s="44"/>
      <c r="K22" s="44"/>
      <c r="L22" s="44"/>
      <c r="M22" s="41"/>
    </row>
    <row r="23" spans="1:13">
      <c r="A23" s="3" t="s">
        <v>20</v>
      </c>
      <c r="I23" s="41"/>
      <c r="J23" s="41"/>
      <c r="K23" s="41"/>
      <c r="L23" s="41"/>
      <c r="M23" s="41"/>
    </row>
    <row r="24" spans="1:13">
      <c r="B24" s="4" t="s">
        <v>27</v>
      </c>
      <c r="I24" s="41">
        <v>19376338</v>
      </c>
      <c r="J24" s="41">
        <v>1460143</v>
      </c>
      <c r="K24" s="41">
        <v>-4813</v>
      </c>
      <c r="L24" s="41">
        <f t="shared" ref="L24:L30" si="3">SUM(I24:K24)</f>
        <v>20831668</v>
      </c>
      <c r="M24" s="41">
        <f>L14-L24</f>
        <v>37393923</v>
      </c>
    </row>
    <row r="25" spans="1:13">
      <c r="B25" s="4" t="s">
        <v>166</v>
      </c>
      <c r="I25" s="41">
        <v>20756178</v>
      </c>
      <c r="J25" s="41">
        <v>1747394</v>
      </c>
      <c r="K25" s="41">
        <v>-592549</v>
      </c>
      <c r="L25" s="41">
        <f t="shared" si="3"/>
        <v>21911023</v>
      </c>
      <c r="M25" s="41">
        <f t="shared" ref="M25:M30" si="4">L15-L25</f>
        <v>10285677</v>
      </c>
    </row>
    <row r="26" spans="1:13">
      <c r="B26" s="4" t="s">
        <v>219</v>
      </c>
      <c r="I26" s="41">
        <v>3350625</v>
      </c>
      <c r="J26" s="41">
        <v>475514</v>
      </c>
      <c r="K26" s="41">
        <v>-586035</v>
      </c>
      <c r="L26" s="41">
        <f t="shared" si="3"/>
        <v>3240104</v>
      </c>
      <c r="M26" s="41">
        <f t="shared" si="4"/>
        <v>1524273</v>
      </c>
    </row>
    <row r="27" spans="1:13">
      <c r="B27" s="4" t="s">
        <v>65</v>
      </c>
      <c r="I27" s="41"/>
      <c r="J27" s="41"/>
      <c r="K27" s="41"/>
      <c r="L27" s="41"/>
      <c r="M27" s="41"/>
    </row>
    <row r="28" spans="1:13">
      <c r="C28" s="4" t="s">
        <v>51</v>
      </c>
      <c r="I28" s="41">
        <v>141294061</v>
      </c>
      <c r="J28" s="41">
        <v>6342223</v>
      </c>
      <c r="K28" s="41"/>
      <c r="L28" s="41">
        <f t="shared" si="3"/>
        <v>147636284</v>
      </c>
      <c r="M28" s="41">
        <f t="shared" si="4"/>
        <v>107378357</v>
      </c>
    </row>
    <row r="29" spans="1:13">
      <c r="C29" s="4" t="s">
        <v>52</v>
      </c>
      <c r="I29" s="41">
        <v>2528945</v>
      </c>
      <c r="J29" s="41">
        <v>87214</v>
      </c>
      <c r="K29" s="41"/>
      <c r="L29" s="41">
        <f t="shared" si="3"/>
        <v>2616159</v>
      </c>
      <c r="M29" s="41">
        <f t="shared" si="4"/>
        <v>3924946</v>
      </c>
    </row>
    <row r="30" spans="1:13">
      <c r="C30" s="4" t="s">
        <v>391</v>
      </c>
      <c r="I30" s="41">
        <v>176099</v>
      </c>
      <c r="J30" s="41">
        <v>38536</v>
      </c>
      <c r="K30" s="41"/>
      <c r="L30" s="41">
        <f t="shared" si="3"/>
        <v>214635</v>
      </c>
      <c r="M30" s="41">
        <f t="shared" si="4"/>
        <v>1842493</v>
      </c>
    </row>
    <row r="31" spans="1:13">
      <c r="C31" s="3" t="s">
        <v>21</v>
      </c>
      <c r="I31" s="57">
        <f>SUM(I24:I30)</f>
        <v>187482246</v>
      </c>
      <c r="J31" s="57">
        <f t="shared" ref="J31:K31" si="5">SUM(J24:J30)</f>
        <v>10151024</v>
      </c>
      <c r="K31" s="57">
        <f t="shared" si="5"/>
        <v>-1183397</v>
      </c>
      <c r="L31" s="57">
        <f>SUM(L24:L30)</f>
        <v>196449873</v>
      </c>
      <c r="M31" s="44"/>
    </row>
    <row r="32" spans="1:13">
      <c r="B32" s="3" t="s">
        <v>332</v>
      </c>
      <c r="C32" s="3"/>
      <c r="D32" s="3"/>
      <c r="E32" s="3"/>
      <c r="F32" s="3"/>
      <c r="I32" s="57">
        <f>I21-I31</f>
        <v>162654614</v>
      </c>
      <c r="J32" s="57">
        <f t="shared" ref="J32:L32" si="6">J21-J31</f>
        <v>-444550</v>
      </c>
      <c r="K32" s="57">
        <f t="shared" si="6"/>
        <v>139605</v>
      </c>
      <c r="L32" s="57">
        <f t="shared" si="6"/>
        <v>162349669</v>
      </c>
      <c r="M32" s="41"/>
    </row>
    <row r="33" spans="1:13" ht="19.5" thickBot="1">
      <c r="B33" s="3" t="s">
        <v>23</v>
      </c>
      <c r="C33" s="3"/>
      <c r="D33" s="3"/>
      <c r="E33" s="3"/>
      <c r="F33" s="3"/>
      <c r="I33" s="59">
        <f>I32+I11</f>
        <v>181299746</v>
      </c>
      <c r="J33" s="59">
        <f>J11+J32</f>
        <v>3236672</v>
      </c>
      <c r="K33" s="59">
        <f>K11+K32</f>
        <v>-3177063</v>
      </c>
      <c r="L33" s="59">
        <f>L11+L32</f>
        <v>181359355</v>
      </c>
      <c r="M33" s="41">
        <f>SUM(M24:M30,M9:M10)</f>
        <v>181359355</v>
      </c>
    </row>
    <row r="34" spans="1:13" s="3" customFormat="1">
      <c r="A34"/>
      <c r="B34"/>
      <c r="C34"/>
      <c r="D34"/>
      <c r="E34"/>
      <c r="F34"/>
      <c r="G34"/>
      <c r="H34"/>
      <c r="I34" s="71"/>
      <c r="J34" s="71"/>
      <c r="K34" s="71"/>
      <c r="L34" s="71"/>
      <c r="M34" s="71"/>
    </row>
    <row r="35" spans="1:13">
      <c r="A35"/>
      <c r="B35"/>
      <c r="C35"/>
      <c r="D35"/>
      <c r="E35"/>
      <c r="F35"/>
      <c r="G35"/>
      <c r="H35"/>
      <c r="I35" s="80" t="s">
        <v>392</v>
      </c>
      <c r="J35" s="81"/>
      <c r="K35" s="81"/>
      <c r="L35" s="81"/>
      <c r="M35"/>
    </row>
    <row r="36" spans="1:13">
      <c r="C36"/>
      <c r="D36"/>
      <c r="E36"/>
      <c r="F36"/>
      <c r="G36"/>
      <c r="H36"/>
      <c r="I36" s="80" t="s">
        <v>393</v>
      </c>
      <c r="J36"/>
      <c r="K36"/>
      <c r="L36"/>
    </row>
    <row r="37" spans="1:13">
      <c r="B37"/>
      <c r="C37"/>
      <c r="D37"/>
      <c r="E37"/>
      <c r="F37"/>
      <c r="G37"/>
      <c r="H37"/>
      <c r="I37"/>
      <c r="J37"/>
      <c r="K37"/>
      <c r="L37"/>
    </row>
    <row r="38" spans="1:13">
      <c r="B38"/>
      <c r="C38"/>
      <c r="D38"/>
      <c r="E38"/>
      <c r="F38"/>
      <c r="G38"/>
      <c r="H38"/>
      <c r="I38"/>
      <c r="J38"/>
      <c r="K38"/>
      <c r="L38"/>
    </row>
    <row r="39" spans="1:13">
      <c r="B39"/>
      <c r="C39"/>
      <c r="D39"/>
      <c r="E39"/>
      <c r="F39"/>
      <c r="G39"/>
      <c r="H39"/>
      <c r="I39"/>
      <c r="J39"/>
      <c r="K39"/>
      <c r="L39"/>
    </row>
    <row r="40" spans="1:13">
      <c r="C40"/>
      <c r="D40"/>
      <c r="E40"/>
      <c r="F40"/>
      <c r="G40"/>
      <c r="H40"/>
      <c r="I40"/>
      <c r="J40"/>
      <c r="K40"/>
      <c r="L40"/>
    </row>
    <row r="41" spans="1:13">
      <c r="C41"/>
      <c r="D41"/>
      <c r="E41"/>
      <c r="F41"/>
      <c r="G41"/>
      <c r="H41"/>
      <c r="I41"/>
      <c r="J41"/>
      <c r="K41"/>
      <c r="L41"/>
    </row>
  </sheetData>
  <mergeCells count="6">
    <mergeCell ref="M5:M6"/>
    <mergeCell ref="D1:I1"/>
    <mergeCell ref="D2:I2"/>
    <mergeCell ref="D3:I3"/>
    <mergeCell ref="I5:I6"/>
    <mergeCell ref="L5:L6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M53"/>
  <sheetViews>
    <sheetView zoomScale="60" zoomScaleNormal="60" zoomScalePageLayoutView="80" workbookViewId="0">
      <selection activeCell="M53" sqref="M53"/>
    </sheetView>
  </sheetViews>
  <sheetFormatPr defaultColWidth="8.85546875" defaultRowHeight="18.75"/>
  <cols>
    <col min="1" max="1" width="4.42578125" style="29" customWidth="1"/>
    <col min="2" max="3" width="4.7109375" style="29" customWidth="1"/>
    <col min="4" max="6" width="8.85546875" style="29"/>
    <col min="7" max="7" width="14.28515625" style="29" bestFit="1" customWidth="1"/>
    <col min="8" max="8" width="12.7109375" style="29" bestFit="1" customWidth="1"/>
    <col min="9" max="9" width="18.85546875" style="29" customWidth="1"/>
    <col min="10" max="10" width="18.42578125" style="29" customWidth="1"/>
    <col min="11" max="11" width="19.85546875" style="29" bestFit="1" customWidth="1"/>
    <col min="12" max="12" width="18" style="29" customWidth="1"/>
    <col min="13" max="13" width="21" style="29" customWidth="1"/>
    <col min="14" max="16384" width="8.85546875" style="29"/>
  </cols>
  <sheetData>
    <row r="1" spans="1:13">
      <c r="A1" s="4"/>
      <c r="B1" s="4"/>
      <c r="C1" s="4"/>
      <c r="D1" s="109" t="s">
        <v>394</v>
      </c>
      <c r="E1" s="109"/>
      <c r="F1" s="109"/>
      <c r="G1" s="109"/>
      <c r="H1" s="109"/>
      <c r="I1" s="109"/>
      <c r="J1" s="4"/>
      <c r="K1" s="4"/>
      <c r="L1" s="4"/>
      <c r="M1" s="4"/>
    </row>
    <row r="2" spans="1:13">
      <c r="A2" s="4"/>
      <c r="B2" s="4"/>
      <c r="C2" s="4"/>
      <c r="D2" s="109" t="s">
        <v>1</v>
      </c>
      <c r="E2" s="109"/>
      <c r="F2" s="109"/>
      <c r="G2" s="109"/>
      <c r="H2" s="109"/>
      <c r="I2" s="109"/>
      <c r="J2" s="4"/>
      <c r="K2" s="4"/>
      <c r="L2" s="4"/>
      <c r="M2" s="4"/>
    </row>
    <row r="3" spans="1:13">
      <c r="A3" s="4"/>
      <c r="B3" s="4"/>
      <c r="C3" s="4"/>
      <c r="D3" s="109" t="s">
        <v>346</v>
      </c>
      <c r="E3" s="109"/>
      <c r="F3" s="109"/>
      <c r="G3" s="109"/>
      <c r="H3" s="109"/>
      <c r="I3" s="109"/>
      <c r="J3" s="4"/>
      <c r="K3" s="4"/>
      <c r="L3" s="4"/>
      <c r="M3" s="4"/>
    </row>
    <row r="4" spans="1:13" ht="14.25" customHeight="1">
      <c r="A4" s="4"/>
      <c r="B4" s="4"/>
      <c r="C4" s="4"/>
      <c r="D4" s="107"/>
      <c r="E4" s="107"/>
      <c r="F4" s="107"/>
      <c r="G4" s="107"/>
      <c r="H4" s="107"/>
      <c r="I4" s="107"/>
      <c r="J4" s="4"/>
      <c r="K4" s="4"/>
      <c r="L4" s="4"/>
      <c r="M4" s="4"/>
    </row>
    <row r="5" spans="1:13" ht="37.5">
      <c r="A5" s="4"/>
      <c r="B5" s="4"/>
      <c r="C5" s="4"/>
      <c r="D5" s="4"/>
      <c r="E5" s="4"/>
      <c r="F5" s="4"/>
      <c r="G5" s="4"/>
      <c r="H5" s="4"/>
      <c r="I5" s="64" t="s">
        <v>3</v>
      </c>
      <c r="J5" s="64" t="s">
        <v>60</v>
      </c>
      <c r="K5" s="64" t="s">
        <v>395</v>
      </c>
      <c r="L5" s="64" t="s">
        <v>6</v>
      </c>
      <c r="M5" s="4" t="s">
        <v>7</v>
      </c>
    </row>
    <row r="6" spans="1:13">
      <c r="A6" s="3" t="s">
        <v>396</v>
      </c>
      <c r="B6" s="3"/>
      <c r="C6" s="3"/>
      <c r="D6" s="3"/>
      <c r="E6" s="3"/>
      <c r="F6" s="3"/>
      <c r="G6" s="4"/>
      <c r="H6" s="4"/>
      <c r="I6" s="4"/>
      <c r="J6" s="4"/>
      <c r="K6" s="4"/>
      <c r="L6" s="4"/>
      <c r="M6" s="4"/>
    </row>
    <row r="7" spans="1:13">
      <c r="A7" s="3" t="s">
        <v>10</v>
      </c>
      <c r="B7" s="3"/>
      <c r="C7" s="3"/>
      <c r="D7" s="3"/>
      <c r="E7" s="3"/>
      <c r="F7" s="3"/>
      <c r="G7" s="4"/>
      <c r="H7" s="4"/>
      <c r="I7" s="6"/>
      <c r="J7" s="6"/>
      <c r="K7" s="6"/>
      <c r="L7" s="6"/>
      <c r="M7" s="4"/>
    </row>
    <row r="8" spans="1:13">
      <c r="A8" s="4"/>
      <c r="B8" s="4" t="s">
        <v>11</v>
      </c>
      <c r="C8" s="4"/>
      <c r="D8" s="4"/>
      <c r="E8" s="4"/>
      <c r="F8" s="4"/>
      <c r="G8" s="4"/>
      <c r="H8" s="4"/>
      <c r="I8" s="6">
        <v>13474494</v>
      </c>
      <c r="J8" s="6">
        <v>74480</v>
      </c>
      <c r="K8" s="6">
        <v>-37240</v>
      </c>
      <c r="L8" s="6">
        <f>SUM(I8:K8)</f>
        <v>13511734</v>
      </c>
      <c r="M8" s="6">
        <f>L8</f>
        <v>13511734</v>
      </c>
    </row>
    <row r="9" spans="1:13">
      <c r="A9" s="4"/>
      <c r="B9" s="4" t="s">
        <v>397</v>
      </c>
      <c r="C9" s="4"/>
      <c r="D9" s="4"/>
      <c r="E9" s="4"/>
      <c r="F9" s="4"/>
      <c r="G9" s="4"/>
      <c r="H9" s="4"/>
      <c r="I9" s="6">
        <v>77505097</v>
      </c>
      <c r="J9" s="6">
        <v>38297976</v>
      </c>
      <c r="K9" s="6">
        <v>-16269983</v>
      </c>
      <c r="L9" s="6">
        <f>SUM(I9:K9)</f>
        <v>99533090</v>
      </c>
      <c r="M9" s="6">
        <f>L9</f>
        <v>99533090</v>
      </c>
    </row>
    <row r="10" spans="1:13">
      <c r="A10" s="4"/>
      <c r="B10" s="4" t="s">
        <v>398</v>
      </c>
      <c r="C10" s="4"/>
      <c r="D10" s="4"/>
      <c r="E10" s="4"/>
      <c r="F10" s="4"/>
      <c r="G10" s="4"/>
      <c r="H10" s="4"/>
      <c r="I10" s="4">
        <v>94405561</v>
      </c>
      <c r="J10" s="4">
        <v>24009425</v>
      </c>
      <c r="K10" s="4">
        <v>-92080882</v>
      </c>
      <c r="L10" s="6">
        <f>SUM(I10:K10)</f>
        <v>26334104</v>
      </c>
      <c r="M10" s="6">
        <f>L10</f>
        <v>26334104</v>
      </c>
    </row>
    <row r="11" spans="1:13">
      <c r="A11" s="3"/>
      <c r="B11" s="3"/>
      <c r="C11" s="3" t="s">
        <v>399</v>
      </c>
      <c r="D11" s="3"/>
      <c r="E11" s="3"/>
      <c r="F11" s="3"/>
      <c r="G11" s="3"/>
      <c r="H11" s="3"/>
      <c r="I11" s="9">
        <f>SUM(I8:I10)</f>
        <v>185385152</v>
      </c>
      <c r="J11" s="9">
        <f t="shared" ref="J11:L11" si="0">SUM(J8:J10)</f>
        <v>62381881</v>
      </c>
      <c r="K11" s="9">
        <f t="shared" si="0"/>
        <v>-108388105</v>
      </c>
      <c r="L11" s="9">
        <f t="shared" si="0"/>
        <v>139378928</v>
      </c>
      <c r="M11" s="3"/>
    </row>
    <row r="12" spans="1:1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>
      <c r="A13" s="3" t="s">
        <v>400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>
      <c r="A14" s="4"/>
      <c r="B14" s="4" t="s">
        <v>15</v>
      </c>
      <c r="C14" s="4"/>
      <c r="D14" s="4"/>
      <c r="E14" s="4"/>
      <c r="F14" s="4"/>
      <c r="G14" s="4"/>
      <c r="H14" s="4"/>
      <c r="I14" s="4">
        <v>126882545</v>
      </c>
      <c r="J14" s="6">
        <v>45832337</v>
      </c>
      <c r="K14" s="6">
        <v>-12622519</v>
      </c>
      <c r="L14" s="6">
        <f>SUM(I14:K14)</f>
        <v>160092363</v>
      </c>
      <c r="M14" s="4"/>
    </row>
    <row r="15" spans="1:13">
      <c r="A15" s="4"/>
      <c r="B15" s="4" t="s">
        <v>28</v>
      </c>
      <c r="C15" s="4"/>
      <c r="D15" s="4"/>
      <c r="E15" s="4"/>
      <c r="F15" s="4"/>
      <c r="G15" s="4"/>
      <c r="H15" s="4"/>
      <c r="I15" s="4">
        <v>47596529</v>
      </c>
      <c r="J15" s="6">
        <v>27777487</v>
      </c>
      <c r="K15" s="6">
        <v>-106267</v>
      </c>
      <c r="L15" s="6">
        <f>SUM(I15:K15)</f>
        <v>75267749</v>
      </c>
      <c r="M15" s="4"/>
    </row>
    <row r="16" spans="1:13">
      <c r="A16" s="4"/>
      <c r="B16" s="4" t="s">
        <v>330</v>
      </c>
      <c r="C16" s="4"/>
      <c r="D16" s="4"/>
      <c r="E16" s="4"/>
      <c r="F16" s="4"/>
      <c r="G16" s="4"/>
      <c r="H16" s="4"/>
      <c r="I16" s="4">
        <v>39949857</v>
      </c>
      <c r="J16" s="6">
        <v>3543273</v>
      </c>
      <c r="K16" s="6">
        <v>-2822191</v>
      </c>
      <c r="L16" s="6">
        <f>SUM(I16:K16)</f>
        <v>40670939</v>
      </c>
      <c r="M16" s="4"/>
    </row>
    <row r="17" spans="1:13">
      <c r="A17" s="4"/>
      <c r="B17" s="4" t="s">
        <v>18</v>
      </c>
      <c r="C17" s="4"/>
      <c r="D17" s="4"/>
      <c r="E17" s="4"/>
      <c r="F17" s="4"/>
      <c r="G17" s="4"/>
      <c r="H17" s="4"/>
      <c r="I17" s="4">
        <v>198758838</v>
      </c>
      <c r="J17" s="6">
        <v>44443734</v>
      </c>
      <c r="K17" s="6"/>
      <c r="L17" s="6">
        <f>SUM(I17:K17)</f>
        <v>243202572</v>
      </c>
      <c r="M17" s="4"/>
    </row>
    <row r="18" spans="1:13">
      <c r="A18" s="4"/>
      <c r="B18" s="4"/>
      <c r="C18" s="3" t="s">
        <v>19</v>
      </c>
      <c r="D18" s="4"/>
      <c r="E18" s="4"/>
      <c r="F18" s="4"/>
      <c r="G18" s="4"/>
      <c r="H18" s="4"/>
      <c r="I18" s="14">
        <f>SUM(I14:I17)</f>
        <v>413187769</v>
      </c>
      <c r="J18" s="14">
        <f t="shared" ref="J18:L18" si="1">SUM(J14:J17)</f>
        <v>121596831</v>
      </c>
      <c r="K18" s="14">
        <f t="shared" si="1"/>
        <v>-15550977</v>
      </c>
      <c r="L18" s="14">
        <f t="shared" si="1"/>
        <v>519233623</v>
      </c>
      <c r="M18" s="4"/>
    </row>
    <row r="19" spans="1:1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>
      <c r="A20" s="3" t="s">
        <v>401</v>
      </c>
      <c r="B20" s="4"/>
      <c r="C20" s="4"/>
      <c r="D20" s="4"/>
      <c r="E20" s="4"/>
      <c r="F20" s="4"/>
      <c r="G20" s="4"/>
      <c r="H20" s="4"/>
      <c r="I20" s="4"/>
      <c r="J20" s="6"/>
      <c r="K20" s="6"/>
      <c r="L20" s="6"/>
      <c r="M20" s="4"/>
    </row>
    <row r="21" spans="1:13">
      <c r="A21" s="4"/>
      <c r="B21" s="4" t="s">
        <v>402</v>
      </c>
      <c r="C21" s="4"/>
      <c r="D21" s="4"/>
      <c r="E21" s="4"/>
      <c r="F21" s="4"/>
      <c r="G21" s="4"/>
      <c r="H21" s="4"/>
      <c r="I21" s="6">
        <v>-34996107</v>
      </c>
      <c r="J21" s="6">
        <v>-3650874</v>
      </c>
      <c r="K21" s="6">
        <v>8536981</v>
      </c>
      <c r="L21" s="6">
        <f>SUM(I21:K21)</f>
        <v>-30110000</v>
      </c>
      <c r="M21" s="6">
        <f>L14+L21</f>
        <v>129982363</v>
      </c>
    </row>
    <row r="22" spans="1:13">
      <c r="A22" s="4"/>
      <c r="B22" s="4" t="s">
        <v>28</v>
      </c>
      <c r="C22" s="4"/>
      <c r="D22" s="4"/>
      <c r="E22" s="4"/>
      <c r="F22" s="4"/>
      <c r="G22" s="4"/>
      <c r="H22" s="4"/>
      <c r="I22" s="6">
        <v>-5105893</v>
      </c>
      <c r="J22" s="6">
        <v>-1880622</v>
      </c>
      <c r="K22" s="6">
        <v>44952</v>
      </c>
      <c r="L22" s="6">
        <f>SUM(I22:K22)</f>
        <v>-6941563</v>
      </c>
      <c r="M22" s="6">
        <f>L15+L22</f>
        <v>68326186</v>
      </c>
    </row>
    <row r="23" spans="1:13">
      <c r="A23" s="4"/>
      <c r="B23" s="4" t="s">
        <v>330</v>
      </c>
      <c r="C23" s="4"/>
      <c r="D23" s="4"/>
      <c r="E23" s="4"/>
      <c r="F23" s="4"/>
      <c r="G23" s="4"/>
      <c r="H23" s="4"/>
      <c r="I23" s="6">
        <v>-18404573</v>
      </c>
      <c r="J23" s="6">
        <v>-2180166</v>
      </c>
      <c r="K23" s="6">
        <v>1557621</v>
      </c>
      <c r="L23" s="6">
        <f>SUM(I23:K23)</f>
        <v>-19027118</v>
      </c>
      <c r="M23" s="6">
        <f>L16+L23</f>
        <v>21643821</v>
      </c>
    </row>
    <row r="24" spans="1:13">
      <c r="A24" s="4"/>
      <c r="B24" s="4" t="s">
        <v>18</v>
      </c>
      <c r="C24" s="4"/>
      <c r="D24" s="4"/>
      <c r="E24" s="4"/>
      <c r="F24" s="4"/>
      <c r="G24" s="4"/>
      <c r="H24" s="4"/>
      <c r="I24" s="4">
        <v>-159482181</v>
      </c>
      <c r="J24" s="6">
        <v>-5221094</v>
      </c>
      <c r="K24" s="6"/>
      <c r="L24" s="6">
        <f>SUM(I24:K24)</f>
        <v>-164703275</v>
      </c>
      <c r="M24" s="6">
        <f>L17+L24</f>
        <v>78499297</v>
      </c>
    </row>
    <row r="25" spans="1:13">
      <c r="A25" s="3"/>
      <c r="B25" s="4"/>
      <c r="C25" s="3" t="s">
        <v>21</v>
      </c>
      <c r="D25" s="4"/>
      <c r="E25" s="4"/>
      <c r="F25" s="4"/>
      <c r="G25" s="4"/>
      <c r="H25" s="4"/>
      <c r="I25" s="11">
        <f>SUM(I21:I24)</f>
        <v>-217988754</v>
      </c>
      <c r="J25" s="11">
        <f t="shared" ref="J25:L25" si="2">SUM(J21:J24)</f>
        <v>-12932756</v>
      </c>
      <c r="K25" s="11">
        <f t="shared" si="2"/>
        <v>10139554</v>
      </c>
      <c r="L25" s="11">
        <f t="shared" si="2"/>
        <v>-220781956</v>
      </c>
      <c r="M25" s="3"/>
    </row>
    <row r="27" spans="1:13">
      <c r="A27" s="3" t="s">
        <v>403</v>
      </c>
      <c r="B27" s="4"/>
      <c r="C27" s="3"/>
      <c r="D27" s="4"/>
      <c r="E27" s="4"/>
      <c r="F27" s="4"/>
      <c r="G27" s="4"/>
      <c r="H27" s="4"/>
      <c r="I27" s="11">
        <f>I18+I25</f>
        <v>195199015</v>
      </c>
      <c r="J27" s="11">
        <f t="shared" ref="J27:L27" si="3">J18+J25</f>
        <v>108664075</v>
      </c>
      <c r="K27" s="11">
        <f t="shared" si="3"/>
        <v>-5411423</v>
      </c>
      <c r="L27" s="11">
        <f t="shared" si="3"/>
        <v>298451667</v>
      </c>
      <c r="M27" s="4"/>
    </row>
    <row r="28" spans="1:13">
      <c r="A28" s="3" t="s">
        <v>404</v>
      </c>
      <c r="B28" s="4"/>
      <c r="C28" s="3"/>
      <c r="D28" s="4"/>
      <c r="E28" s="4"/>
      <c r="F28" s="4"/>
      <c r="G28" s="4"/>
      <c r="H28" s="4"/>
      <c r="I28" s="11">
        <f>I11+I27</f>
        <v>380584167</v>
      </c>
      <c r="J28" s="11">
        <f t="shared" ref="J28:K28" si="4">J11+J27</f>
        <v>171045956</v>
      </c>
      <c r="K28" s="11">
        <f t="shared" si="4"/>
        <v>-113799528</v>
      </c>
      <c r="L28" s="11">
        <f>L11+L27</f>
        <v>437830595</v>
      </c>
      <c r="M28" s="6">
        <f>SUM(M8:M25)</f>
        <v>437830595</v>
      </c>
    </row>
    <row r="29" spans="1:13">
      <c r="A29" s="4"/>
      <c r="B29" s="4"/>
      <c r="C29" s="3"/>
      <c r="D29" s="4"/>
      <c r="E29" s="4"/>
      <c r="F29" s="4"/>
      <c r="G29" s="4"/>
      <c r="H29" s="4"/>
      <c r="I29" s="27"/>
      <c r="J29" s="27"/>
      <c r="K29" s="27"/>
      <c r="L29" s="27"/>
      <c r="M29" s="4"/>
    </row>
    <row r="30" spans="1:13">
      <c r="A30" s="4"/>
      <c r="B30" s="4"/>
      <c r="C30" s="3"/>
      <c r="D30" s="4"/>
      <c r="E30" s="4"/>
      <c r="F30" s="4"/>
      <c r="G30" s="4"/>
      <c r="H30" s="4"/>
      <c r="I30" s="27"/>
      <c r="J30" s="27"/>
      <c r="K30" s="27"/>
      <c r="L30" s="27"/>
      <c r="M30" s="4"/>
    </row>
    <row r="31" spans="1:13">
      <c r="A31" s="3" t="s">
        <v>34</v>
      </c>
      <c r="B31" s="3"/>
      <c r="C31" s="3"/>
      <c r="D31" s="3"/>
      <c r="E31" s="3"/>
      <c r="F31" s="3"/>
      <c r="G31" s="4"/>
      <c r="H31" s="4"/>
      <c r="I31" s="4"/>
      <c r="J31" s="4"/>
      <c r="K31" s="4"/>
      <c r="L31" s="4"/>
      <c r="M31" s="4"/>
    </row>
    <row r="32" spans="1:13">
      <c r="A32" s="3" t="s">
        <v>10</v>
      </c>
      <c r="B32" s="3"/>
      <c r="C32" s="3"/>
      <c r="D32" s="3"/>
      <c r="E32" s="3"/>
      <c r="F32" s="3"/>
      <c r="G32" s="4"/>
      <c r="H32" s="4"/>
      <c r="I32" s="6"/>
      <c r="J32" s="6"/>
      <c r="K32" s="6"/>
      <c r="L32" s="6"/>
      <c r="M32" s="4"/>
    </row>
    <row r="33" spans="1:13">
      <c r="A33" s="3"/>
      <c r="B33" s="4" t="s">
        <v>11</v>
      </c>
      <c r="C33" s="3"/>
      <c r="D33" s="3"/>
      <c r="E33" s="3"/>
      <c r="F33" s="3"/>
      <c r="G33" s="4"/>
      <c r="H33" s="4"/>
      <c r="I33" s="6">
        <v>52000</v>
      </c>
      <c r="J33" s="6"/>
      <c r="K33" s="6"/>
      <c r="L33" s="6">
        <f>SUM(I33:K33)</f>
        <v>52000</v>
      </c>
      <c r="M33" s="6">
        <f>L33</f>
        <v>52000</v>
      </c>
    </row>
    <row r="34" spans="1:13">
      <c r="A34" s="4"/>
      <c r="B34" s="4" t="s">
        <v>405</v>
      </c>
      <c r="C34" s="4"/>
      <c r="D34" s="4"/>
      <c r="E34" s="4"/>
      <c r="F34" s="4"/>
      <c r="G34" s="4"/>
      <c r="H34" s="4"/>
      <c r="I34" s="6">
        <v>62293781</v>
      </c>
      <c r="J34" s="6">
        <v>17257931</v>
      </c>
      <c r="K34" s="6">
        <v>-48550249</v>
      </c>
      <c r="L34" s="6">
        <f>SUM(I34:K34)</f>
        <v>31001463</v>
      </c>
      <c r="M34" s="6">
        <f>L34</f>
        <v>31001463</v>
      </c>
    </row>
    <row r="35" spans="1:13">
      <c r="A35" s="3" t="s">
        <v>382</v>
      </c>
      <c r="B35" s="3"/>
      <c r="C35" s="3"/>
      <c r="D35" s="3"/>
      <c r="E35" s="3"/>
      <c r="F35" s="3"/>
      <c r="G35" s="3"/>
      <c r="H35" s="3"/>
      <c r="I35" s="10">
        <f>SUM(I33:I34)</f>
        <v>62345781</v>
      </c>
      <c r="J35" s="10">
        <f t="shared" ref="J35:L35" si="5">SUM(J33:J34)</f>
        <v>17257931</v>
      </c>
      <c r="K35" s="10">
        <f t="shared" si="5"/>
        <v>-48550249</v>
      </c>
      <c r="L35" s="10">
        <f t="shared" si="5"/>
        <v>31053463</v>
      </c>
      <c r="M35" s="4"/>
    </row>
    <row r="37" spans="1:13">
      <c r="A37" s="3" t="s">
        <v>353</v>
      </c>
      <c r="B37" s="2"/>
      <c r="C37" s="3"/>
      <c r="D37" s="4"/>
      <c r="E37" s="4"/>
      <c r="F37" s="4"/>
      <c r="G37" s="4"/>
      <c r="H37" s="4"/>
      <c r="I37" s="31"/>
      <c r="J37" s="31"/>
      <c r="K37" s="31"/>
      <c r="L37" s="31"/>
      <c r="M37" s="4"/>
    </row>
    <row r="38" spans="1:13">
      <c r="A38" s="3"/>
      <c r="B38" s="2" t="s">
        <v>406</v>
      </c>
      <c r="C38" s="3"/>
      <c r="D38" s="4"/>
      <c r="E38" s="4"/>
      <c r="F38" s="4"/>
      <c r="G38" s="4"/>
      <c r="H38" s="4"/>
      <c r="I38" s="32">
        <v>23953449</v>
      </c>
      <c r="J38" s="32"/>
      <c r="K38" s="32">
        <v>-1117926</v>
      </c>
      <c r="L38" s="32">
        <f>SUM(I38:K38)</f>
        <v>22835523</v>
      </c>
      <c r="M38" s="4"/>
    </row>
    <row r="39" spans="1:13">
      <c r="A39" s="3"/>
      <c r="B39" s="2" t="s">
        <v>28</v>
      </c>
      <c r="C39" s="3"/>
      <c r="D39" s="4"/>
      <c r="E39" s="4"/>
      <c r="F39" s="4"/>
      <c r="G39" s="4"/>
      <c r="H39" s="4"/>
      <c r="I39" s="32">
        <v>66916238</v>
      </c>
      <c r="J39" s="32">
        <v>17551344</v>
      </c>
      <c r="K39" s="32">
        <v>-27737</v>
      </c>
      <c r="L39" s="32">
        <f>SUM(I39:K39)</f>
        <v>84439845</v>
      </c>
      <c r="M39" s="4"/>
    </row>
    <row r="40" spans="1:13">
      <c r="A40" s="3"/>
      <c r="B40" s="2" t="s">
        <v>330</v>
      </c>
      <c r="C40" s="3"/>
      <c r="D40" s="4"/>
      <c r="E40" s="4"/>
      <c r="F40" s="4"/>
      <c r="G40" s="4"/>
      <c r="H40" s="4"/>
      <c r="I40" s="32">
        <v>3290382</v>
      </c>
      <c r="J40" s="32">
        <v>69397</v>
      </c>
      <c r="K40" s="32">
        <v>-28535</v>
      </c>
      <c r="L40" s="32">
        <f>SUM(I40:K40)</f>
        <v>3331244</v>
      </c>
      <c r="M40" s="4"/>
    </row>
    <row r="41" spans="1:13">
      <c r="A41" s="3"/>
      <c r="B41" s="2" t="s">
        <v>18</v>
      </c>
      <c r="C41" s="3"/>
      <c r="D41" s="4"/>
      <c r="E41" s="4"/>
      <c r="F41" s="4"/>
      <c r="G41" s="4"/>
      <c r="H41" s="4"/>
      <c r="I41" s="32"/>
      <c r="J41" s="32">
        <v>5670859</v>
      </c>
      <c r="K41" s="32"/>
      <c r="L41" s="32">
        <f>SUM(I41:K41)</f>
        <v>5670859</v>
      </c>
      <c r="M41" s="6">
        <f>L41</f>
        <v>5670859</v>
      </c>
    </row>
    <row r="42" spans="1:13">
      <c r="A42" s="4"/>
      <c r="B42" s="4"/>
      <c r="C42" s="1" t="s">
        <v>19</v>
      </c>
      <c r="D42" s="2"/>
      <c r="E42" s="2"/>
      <c r="F42" s="2"/>
      <c r="G42" s="2"/>
      <c r="H42" s="2"/>
      <c r="I42" s="30">
        <f>SUM(I38:I41)</f>
        <v>94160069</v>
      </c>
      <c r="J42" s="30">
        <f t="shared" ref="J42:L42" si="6">SUM(J38:J41)</f>
        <v>23291600</v>
      </c>
      <c r="K42" s="30">
        <f t="shared" si="6"/>
        <v>-1174198</v>
      </c>
      <c r="L42" s="30">
        <f t="shared" si="6"/>
        <v>116277471</v>
      </c>
      <c r="M42" s="4"/>
    </row>
    <row r="43" spans="1:13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4"/>
    </row>
    <row r="44" spans="1:13">
      <c r="A44" s="3" t="s">
        <v>401</v>
      </c>
      <c r="B44" s="1"/>
      <c r="C44" s="2"/>
      <c r="D44" s="2"/>
      <c r="E44" s="2"/>
      <c r="F44" s="2"/>
      <c r="G44" s="2"/>
      <c r="H44" s="2"/>
      <c r="I44" s="31"/>
      <c r="J44" s="31"/>
      <c r="K44" s="31"/>
      <c r="L44" s="31"/>
      <c r="M44" s="4"/>
    </row>
    <row r="45" spans="1:13">
      <c r="A45" s="4"/>
      <c r="B45" s="2" t="s">
        <v>406</v>
      </c>
      <c r="C45" s="2"/>
      <c r="D45" s="2"/>
      <c r="E45" s="2"/>
      <c r="F45" s="2"/>
      <c r="G45" s="2"/>
      <c r="H45" s="2"/>
      <c r="I45" s="2">
        <v>-9942625</v>
      </c>
      <c r="J45" s="2">
        <v>-521939</v>
      </c>
      <c r="K45" s="2">
        <v>796549</v>
      </c>
      <c r="L45" s="2">
        <f>SUM(I45:K45)</f>
        <v>-9668015</v>
      </c>
      <c r="M45" s="6">
        <f>L38+L45</f>
        <v>13167508</v>
      </c>
    </row>
    <row r="46" spans="1:13">
      <c r="A46" s="4"/>
      <c r="B46" s="2" t="s">
        <v>28</v>
      </c>
      <c r="C46" s="2"/>
      <c r="D46" s="2"/>
      <c r="E46" s="2"/>
      <c r="F46" s="2"/>
      <c r="G46" s="2"/>
      <c r="H46" s="2"/>
      <c r="I46" s="2">
        <v>-41918718</v>
      </c>
      <c r="J46" s="2">
        <v>-2631245</v>
      </c>
      <c r="K46" s="2">
        <v>23253</v>
      </c>
      <c r="L46" s="2">
        <f>SUM(I46:K46)</f>
        <v>-44526710</v>
      </c>
      <c r="M46" s="6">
        <f>L39+L46</f>
        <v>39913135</v>
      </c>
    </row>
    <row r="47" spans="1:13">
      <c r="A47" s="3"/>
      <c r="B47" s="4" t="s">
        <v>330</v>
      </c>
      <c r="C47" s="2"/>
      <c r="D47" s="2"/>
      <c r="E47" s="2"/>
      <c r="F47" s="2"/>
      <c r="G47" s="2"/>
      <c r="H47" s="2"/>
      <c r="I47" s="2">
        <v>-2176731</v>
      </c>
      <c r="J47" s="2">
        <v>-147672</v>
      </c>
      <c r="K47" s="2">
        <v>12539</v>
      </c>
      <c r="L47" s="2">
        <f>SUM(I47:K47)</f>
        <v>-2311864</v>
      </c>
      <c r="M47" s="6">
        <f>L40+L47</f>
        <v>1019380</v>
      </c>
    </row>
    <row r="48" spans="1:13">
      <c r="A48" s="3"/>
      <c r="B48" s="3"/>
      <c r="C48" s="1" t="s">
        <v>21</v>
      </c>
      <c r="D48" s="2"/>
      <c r="E48" s="2"/>
      <c r="F48" s="2"/>
      <c r="G48" s="2"/>
      <c r="H48" s="2"/>
      <c r="I48" s="30">
        <f>SUM(I45:I47)</f>
        <v>-54038074</v>
      </c>
      <c r="J48" s="30">
        <f t="shared" ref="J48:K48" si="7">SUM(J45:J47)</f>
        <v>-3300856</v>
      </c>
      <c r="K48" s="30">
        <f t="shared" si="7"/>
        <v>832341</v>
      </c>
      <c r="L48" s="30">
        <f>SUM(L45:L47)</f>
        <v>-56506589</v>
      </c>
      <c r="M48" s="4"/>
    </row>
    <row r="49" spans="1:13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4"/>
    </row>
    <row r="50" spans="1:13">
      <c r="A50" s="3" t="s">
        <v>22</v>
      </c>
      <c r="B50" s="1"/>
      <c r="C50" s="2"/>
      <c r="D50" s="2"/>
      <c r="E50" s="2"/>
      <c r="F50" s="2"/>
      <c r="G50" s="2"/>
      <c r="H50" s="2"/>
      <c r="I50" s="33">
        <f>I42+I48</f>
        <v>40121995</v>
      </c>
      <c r="J50" s="33">
        <f t="shared" ref="J50:L50" si="8">J42+J48</f>
        <v>19990744</v>
      </c>
      <c r="K50" s="33">
        <f t="shared" si="8"/>
        <v>-341857</v>
      </c>
      <c r="L50" s="33">
        <f t="shared" si="8"/>
        <v>59770882</v>
      </c>
      <c r="M50" s="4"/>
    </row>
    <row r="51" spans="1:13">
      <c r="A51" s="4"/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4"/>
    </row>
    <row r="52" spans="1:13" ht="19.5" thickBot="1">
      <c r="A52" s="3" t="s">
        <v>407</v>
      </c>
      <c r="B52" s="3"/>
      <c r="C52" s="2"/>
      <c r="D52" s="2"/>
      <c r="E52" s="2"/>
      <c r="F52" s="2"/>
      <c r="G52" s="2"/>
      <c r="H52" s="2"/>
      <c r="I52" s="34">
        <f>I35+I50</f>
        <v>102467776</v>
      </c>
      <c r="J52" s="34">
        <f t="shared" ref="J52:L52" si="9">J35+J50</f>
        <v>37248675</v>
      </c>
      <c r="K52" s="34">
        <f t="shared" si="9"/>
        <v>-48892106</v>
      </c>
      <c r="L52" s="34">
        <f t="shared" si="9"/>
        <v>90824345</v>
      </c>
      <c r="M52" s="6">
        <f>SUM(M33:M50)</f>
        <v>90824345</v>
      </c>
    </row>
    <row r="53" spans="1:13">
      <c r="A53" s="3"/>
      <c r="B53" s="3"/>
      <c r="C53" s="2"/>
      <c r="D53" s="2"/>
      <c r="E53" s="2"/>
      <c r="F53" s="2"/>
      <c r="G53" s="2"/>
      <c r="H53" s="2"/>
      <c r="I53" s="31"/>
      <c r="J53" s="31"/>
      <c r="K53" s="31"/>
      <c r="L53" s="31"/>
      <c r="M53" s="4"/>
    </row>
  </sheetData>
  <mergeCells count="3">
    <mergeCell ref="D1:I1"/>
    <mergeCell ref="D2:I2"/>
    <mergeCell ref="D3:I3"/>
  </mergeCells>
  <phoneticPr fontId="15" type="noConversion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M53"/>
  <sheetViews>
    <sheetView zoomScale="50" zoomScaleNormal="50" workbookViewId="0">
      <selection sqref="A1:XFD1048576"/>
    </sheetView>
  </sheetViews>
  <sheetFormatPr defaultRowHeight="18.75"/>
  <cols>
    <col min="1" max="1" width="4.42578125" style="29" customWidth="1"/>
    <col min="2" max="3" width="4.7109375" style="29" customWidth="1"/>
    <col min="4" max="6" width="8.85546875" style="29"/>
    <col min="7" max="7" width="14.28515625" style="29" bestFit="1" customWidth="1"/>
    <col min="8" max="8" width="12.7109375" style="29" bestFit="1" customWidth="1"/>
    <col min="9" max="9" width="22" style="29" bestFit="1" customWidth="1"/>
    <col min="10" max="10" width="15.7109375" style="29" bestFit="1" customWidth="1"/>
    <col min="11" max="11" width="19.85546875" style="29" bestFit="1" customWidth="1"/>
    <col min="12" max="12" width="16.5703125" style="29" bestFit="1" customWidth="1"/>
    <col min="13" max="13" width="17.28515625" customWidth="1"/>
  </cols>
  <sheetData>
    <row r="1" spans="1:13">
      <c r="A1" s="4"/>
      <c r="B1" s="4"/>
      <c r="C1" s="4"/>
      <c r="D1" s="109" t="s">
        <v>408</v>
      </c>
      <c r="E1" s="109"/>
      <c r="F1" s="109"/>
      <c r="G1" s="109"/>
      <c r="H1" s="109"/>
      <c r="I1" s="109"/>
      <c r="J1" s="4"/>
      <c r="K1" s="4"/>
      <c r="L1" s="4"/>
    </row>
    <row r="2" spans="1:13">
      <c r="A2" s="4"/>
      <c r="B2" s="4"/>
      <c r="C2" s="4"/>
      <c r="D2" s="109" t="s">
        <v>1</v>
      </c>
      <c r="E2" s="109"/>
      <c r="F2" s="109"/>
      <c r="G2" s="109"/>
      <c r="H2" s="109"/>
      <c r="I2" s="109"/>
      <c r="J2" s="4"/>
      <c r="K2" s="4"/>
      <c r="L2" s="4"/>
    </row>
    <row r="3" spans="1:13">
      <c r="A3" s="4"/>
      <c r="B3" s="4"/>
      <c r="C3" s="4"/>
      <c r="D3" s="109" t="s">
        <v>346</v>
      </c>
      <c r="E3" s="109"/>
      <c r="F3" s="109"/>
      <c r="G3" s="109"/>
      <c r="H3" s="109"/>
      <c r="I3" s="109"/>
      <c r="J3" s="4"/>
      <c r="K3" s="4"/>
      <c r="L3" s="4"/>
    </row>
    <row r="4" spans="1:13">
      <c r="A4" s="4"/>
      <c r="B4" s="4"/>
      <c r="C4" s="4"/>
      <c r="D4" s="107"/>
      <c r="E4" s="107"/>
      <c r="F4" s="107"/>
      <c r="G4" s="107"/>
      <c r="H4" s="107"/>
      <c r="I4" s="107"/>
      <c r="J4" s="4"/>
      <c r="K4" s="4"/>
      <c r="L4" s="4"/>
    </row>
    <row r="5" spans="1:13" ht="37.5">
      <c r="A5" s="4"/>
      <c r="B5" s="4"/>
      <c r="C5" s="4"/>
      <c r="D5" s="4"/>
      <c r="E5" s="4"/>
      <c r="F5" s="4"/>
      <c r="G5" s="4"/>
      <c r="H5" s="4"/>
      <c r="I5" s="64" t="s">
        <v>3</v>
      </c>
      <c r="J5" s="64" t="s">
        <v>60</v>
      </c>
      <c r="K5" s="64" t="s">
        <v>395</v>
      </c>
      <c r="L5" s="64" t="s">
        <v>6</v>
      </c>
      <c r="M5" s="64" t="s">
        <v>7</v>
      </c>
    </row>
    <row r="6" spans="1:13">
      <c r="A6" s="3" t="s">
        <v>396</v>
      </c>
      <c r="B6" s="3"/>
      <c r="C6" s="3"/>
      <c r="D6" s="3"/>
      <c r="E6" s="3"/>
      <c r="F6" s="3"/>
      <c r="G6" s="4"/>
      <c r="H6" s="4"/>
      <c r="I6" s="4"/>
      <c r="J6" s="4"/>
      <c r="K6" s="4"/>
      <c r="L6" s="4"/>
    </row>
    <row r="7" spans="1:13">
      <c r="A7" s="3" t="s">
        <v>10</v>
      </c>
      <c r="B7" s="3"/>
      <c r="C7" s="3"/>
      <c r="D7" s="3"/>
      <c r="E7" s="3"/>
      <c r="F7" s="3"/>
      <c r="G7" s="4"/>
      <c r="H7" s="4"/>
      <c r="I7" s="6"/>
      <c r="J7" s="6"/>
      <c r="K7" s="6"/>
      <c r="L7" s="6"/>
    </row>
    <row r="8" spans="1:13">
      <c r="A8" s="4"/>
      <c r="B8" s="4" t="s">
        <v>11</v>
      </c>
      <c r="C8" s="4"/>
      <c r="D8" s="4"/>
      <c r="E8" s="4"/>
      <c r="F8" s="4"/>
      <c r="G8" s="4"/>
      <c r="H8" s="4"/>
      <c r="I8" s="6">
        <v>814274</v>
      </c>
      <c r="J8" s="6">
        <v>27000</v>
      </c>
      <c r="K8" s="6">
        <v>0</v>
      </c>
      <c r="L8" s="6">
        <f>SUM(I8:K8)</f>
        <v>841274</v>
      </c>
      <c r="M8" s="70">
        <f>L8</f>
        <v>841274</v>
      </c>
    </row>
    <row r="9" spans="1:13">
      <c r="A9" s="4"/>
      <c r="B9" s="4" t="s">
        <v>397</v>
      </c>
      <c r="C9" s="4"/>
      <c r="D9" s="4"/>
      <c r="E9" s="4"/>
      <c r="F9" s="4"/>
      <c r="G9" s="4"/>
      <c r="H9" s="4"/>
      <c r="I9" s="6">
        <v>417905</v>
      </c>
      <c r="J9" s="6">
        <v>2605606</v>
      </c>
      <c r="K9" s="6">
        <v>-310328</v>
      </c>
      <c r="L9" s="6">
        <f>SUM(I9:K9)</f>
        <v>2713183</v>
      </c>
      <c r="M9" s="70">
        <f>L9</f>
        <v>2713183</v>
      </c>
    </row>
    <row r="10" spans="1:13">
      <c r="A10" s="3"/>
      <c r="B10" s="3"/>
      <c r="C10" s="3" t="s">
        <v>399</v>
      </c>
      <c r="D10" s="3"/>
      <c r="E10" s="3"/>
      <c r="F10" s="3"/>
      <c r="G10" s="3"/>
      <c r="H10" s="3"/>
      <c r="I10" s="9">
        <f>SUM(I8:I9)</f>
        <v>1232179</v>
      </c>
      <c r="J10" s="9">
        <f>SUM(J8:J9)</f>
        <v>2632606</v>
      </c>
      <c r="K10" s="9">
        <f>SUM(K8:K9)</f>
        <v>-310328</v>
      </c>
      <c r="L10" s="9">
        <f>SUM(L8:L9)</f>
        <v>3554457</v>
      </c>
    </row>
    <row r="11" spans="1:1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3">
      <c r="A12" s="3" t="s">
        <v>400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3">
      <c r="A13" s="4"/>
      <c r="B13" s="4" t="s">
        <v>15</v>
      </c>
      <c r="C13" s="4"/>
      <c r="D13" s="4"/>
      <c r="E13" s="4"/>
      <c r="F13" s="4"/>
      <c r="G13" s="4"/>
      <c r="H13" s="4"/>
      <c r="I13" s="66">
        <v>7653718</v>
      </c>
      <c r="J13" s="6">
        <v>1263395</v>
      </c>
      <c r="K13" s="6">
        <v>0</v>
      </c>
      <c r="L13" s="6">
        <f>SUM(I13:K13)</f>
        <v>8917113</v>
      </c>
    </row>
    <row r="14" spans="1:13">
      <c r="A14" s="4"/>
      <c r="B14" s="4" t="s">
        <v>409</v>
      </c>
      <c r="C14" s="4"/>
      <c r="D14" s="4"/>
      <c r="E14" s="4"/>
      <c r="F14" s="4"/>
      <c r="G14" s="4"/>
      <c r="H14" s="4"/>
      <c r="I14" s="66">
        <v>2703004</v>
      </c>
      <c r="J14" s="6">
        <v>134836</v>
      </c>
      <c r="K14" s="6">
        <v>-5344</v>
      </c>
      <c r="L14" s="6">
        <f>SUM(I14:K14)</f>
        <v>2832496</v>
      </c>
    </row>
    <row r="15" spans="1:13">
      <c r="A15" s="4"/>
      <c r="B15" s="4" t="s">
        <v>410</v>
      </c>
      <c r="C15" s="4"/>
      <c r="D15" s="4"/>
      <c r="E15" s="4"/>
      <c r="F15" s="4"/>
      <c r="G15" s="4"/>
      <c r="H15" s="4"/>
      <c r="I15" s="66">
        <v>7140870</v>
      </c>
      <c r="J15" s="6">
        <v>106061</v>
      </c>
      <c r="K15" s="6">
        <v>-221948</v>
      </c>
      <c r="L15" s="6">
        <f>SUM(I15:K15)</f>
        <v>7024983</v>
      </c>
    </row>
    <row r="16" spans="1:13">
      <c r="A16" s="4"/>
      <c r="B16" s="4" t="s">
        <v>18</v>
      </c>
      <c r="C16" s="4"/>
      <c r="D16" s="4"/>
      <c r="E16" s="4"/>
      <c r="F16" s="4"/>
      <c r="G16" s="4"/>
      <c r="H16" s="4"/>
      <c r="I16" s="66">
        <v>7737691</v>
      </c>
      <c r="J16" s="6">
        <v>2823091</v>
      </c>
      <c r="K16" s="6"/>
      <c r="L16" s="6">
        <f>SUM(I16:K16)</f>
        <v>10560782</v>
      </c>
    </row>
    <row r="17" spans="1:13">
      <c r="A17" s="4"/>
      <c r="B17" s="4"/>
      <c r="C17" s="3" t="s">
        <v>19</v>
      </c>
      <c r="D17" s="4"/>
      <c r="E17" s="4"/>
      <c r="F17" s="4"/>
      <c r="G17" s="4"/>
      <c r="H17" s="4"/>
      <c r="I17" s="14">
        <f>SUM(I13:I16)</f>
        <v>25235283</v>
      </c>
      <c r="J17" s="14">
        <f t="shared" ref="J17:L17" si="0">SUM(J13:J16)</f>
        <v>4327383</v>
      </c>
      <c r="K17" s="14">
        <f t="shared" si="0"/>
        <v>-227292</v>
      </c>
      <c r="L17" s="14">
        <f t="shared" si="0"/>
        <v>29335374</v>
      </c>
    </row>
    <row r="18" spans="1:1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3">
      <c r="A19" s="3" t="s">
        <v>401</v>
      </c>
      <c r="B19" s="4"/>
      <c r="C19" s="4"/>
      <c r="D19" s="4"/>
      <c r="E19" s="4"/>
      <c r="F19" s="4"/>
      <c r="G19" s="4"/>
      <c r="H19" s="4"/>
      <c r="I19" s="4"/>
      <c r="J19" s="6"/>
      <c r="K19" s="6"/>
      <c r="L19" s="6"/>
    </row>
    <row r="20" spans="1:13">
      <c r="A20" s="4"/>
      <c r="B20" s="4" t="s">
        <v>15</v>
      </c>
      <c r="C20" s="4"/>
      <c r="D20" s="4"/>
      <c r="E20" s="4"/>
      <c r="F20" s="4"/>
      <c r="G20" s="4"/>
      <c r="H20" s="4"/>
      <c r="I20" s="6">
        <v>-3830446</v>
      </c>
      <c r="J20" s="6">
        <v>-179975</v>
      </c>
      <c r="K20" s="6">
        <v>0</v>
      </c>
      <c r="L20" s="6">
        <f>SUM(I20:K20)</f>
        <v>-4010421</v>
      </c>
      <c r="M20" s="70">
        <f>L13+L20</f>
        <v>4906692</v>
      </c>
    </row>
    <row r="21" spans="1:13">
      <c r="A21" s="4"/>
      <c r="B21" s="4" t="s">
        <v>409</v>
      </c>
      <c r="C21" s="4"/>
      <c r="D21" s="4"/>
      <c r="E21" s="4"/>
      <c r="F21" s="4"/>
      <c r="G21" s="4"/>
      <c r="H21" s="4"/>
      <c r="I21" s="6">
        <v>-2195617</v>
      </c>
      <c r="J21" s="6">
        <v>-133348</v>
      </c>
      <c r="K21" s="6">
        <v>5344</v>
      </c>
      <c r="L21" s="6">
        <f>SUM(I21:K21)</f>
        <v>-2323621</v>
      </c>
      <c r="M21" s="70">
        <f>L14+L21</f>
        <v>508875</v>
      </c>
    </row>
    <row r="22" spans="1:13">
      <c r="A22" s="4"/>
      <c r="B22" s="4" t="s">
        <v>410</v>
      </c>
      <c r="C22" s="4"/>
      <c r="D22" s="4"/>
      <c r="E22" s="4"/>
      <c r="F22" s="4"/>
      <c r="G22" s="4"/>
      <c r="H22" s="4"/>
      <c r="I22" s="6">
        <v>-6740859</v>
      </c>
      <c r="J22" s="6">
        <v>-167185</v>
      </c>
      <c r="K22" s="6">
        <v>220740</v>
      </c>
      <c r="L22" s="6">
        <f>SUM(I22:K22)</f>
        <v>-6687304</v>
      </c>
      <c r="M22" s="70">
        <f>L15+L22</f>
        <v>337679</v>
      </c>
    </row>
    <row r="23" spans="1:13">
      <c r="A23" s="4"/>
      <c r="B23" s="4" t="s">
        <v>18</v>
      </c>
      <c r="C23" s="4"/>
      <c r="D23" s="4"/>
      <c r="E23" s="4"/>
      <c r="F23" s="4"/>
      <c r="G23" s="4"/>
      <c r="H23" s="4"/>
      <c r="I23" s="4">
        <v>-2259387</v>
      </c>
      <c r="J23" s="6">
        <v>-454346</v>
      </c>
      <c r="K23" s="6"/>
      <c r="L23" s="6">
        <f>SUM(I23:K23)</f>
        <v>-2713733</v>
      </c>
      <c r="M23" s="70">
        <f>L16+L23</f>
        <v>7847049</v>
      </c>
    </row>
    <row r="24" spans="1:13">
      <c r="A24" s="3"/>
      <c r="B24" s="4"/>
      <c r="C24" s="3" t="s">
        <v>21</v>
      </c>
      <c r="D24" s="4"/>
      <c r="E24" s="4"/>
      <c r="F24" s="4"/>
      <c r="G24" s="4"/>
      <c r="H24" s="4"/>
      <c r="I24" s="11">
        <f>SUM(I20:I23)</f>
        <v>-15026309</v>
      </c>
      <c r="J24" s="11">
        <f t="shared" ref="J24:L24" si="1">SUM(J20:J23)</f>
        <v>-934854</v>
      </c>
      <c r="K24" s="11">
        <f t="shared" si="1"/>
        <v>226084</v>
      </c>
      <c r="L24" s="11">
        <f t="shared" si="1"/>
        <v>-15735079</v>
      </c>
    </row>
    <row r="25" spans="1:1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3">
      <c r="A26" s="3" t="s">
        <v>403</v>
      </c>
      <c r="B26" s="4"/>
      <c r="C26" s="3"/>
      <c r="D26" s="4"/>
      <c r="E26" s="4"/>
      <c r="F26" s="4"/>
      <c r="G26" s="4"/>
      <c r="H26" s="4"/>
      <c r="I26" s="11">
        <f>I17+I24</f>
        <v>10208974</v>
      </c>
      <c r="J26" s="11">
        <f t="shared" ref="J26:L26" si="2">J17+J24</f>
        <v>3392529</v>
      </c>
      <c r="K26" s="11">
        <f t="shared" si="2"/>
        <v>-1208</v>
      </c>
      <c r="L26" s="11">
        <f t="shared" si="2"/>
        <v>13600295</v>
      </c>
    </row>
    <row r="27" spans="1:13">
      <c r="A27" s="3" t="s">
        <v>404</v>
      </c>
      <c r="B27" s="4"/>
      <c r="C27" s="3"/>
      <c r="D27" s="4"/>
      <c r="E27" s="4"/>
      <c r="F27" s="4"/>
      <c r="G27" s="4"/>
      <c r="H27" s="4"/>
      <c r="I27" s="11">
        <f>I10+I26</f>
        <v>11441153</v>
      </c>
      <c r="J27" s="11">
        <f t="shared" ref="J27:K27" si="3">J10+J26</f>
        <v>6025135</v>
      </c>
      <c r="K27" s="11">
        <f t="shared" si="3"/>
        <v>-311536</v>
      </c>
      <c r="L27" s="11">
        <f>L10+L26</f>
        <v>17154752</v>
      </c>
      <c r="M27" s="70">
        <f>SUM(M8:M25)</f>
        <v>17154752</v>
      </c>
    </row>
    <row r="28" spans="1:13">
      <c r="A28" s="4"/>
      <c r="B28" s="4"/>
      <c r="C28" s="3"/>
      <c r="D28" s="4"/>
      <c r="E28" s="4"/>
      <c r="F28" s="4"/>
      <c r="G28" s="4"/>
      <c r="H28" s="4"/>
      <c r="I28" s="27"/>
      <c r="J28" s="27"/>
      <c r="K28" s="27"/>
      <c r="L28" s="27"/>
    </row>
    <row r="29" spans="1:13">
      <c r="A29" s="4"/>
      <c r="B29" s="4"/>
      <c r="C29" s="3"/>
      <c r="D29" s="4"/>
      <c r="E29" s="4"/>
      <c r="F29" s="4"/>
      <c r="G29" s="4"/>
      <c r="H29" s="4"/>
      <c r="I29" s="27"/>
      <c r="J29" s="27"/>
      <c r="K29" s="27"/>
      <c r="L29" s="27"/>
    </row>
    <row r="30" spans="1:13">
      <c r="A30" s="3" t="s">
        <v>34</v>
      </c>
      <c r="B30" s="3"/>
      <c r="C30" s="3"/>
      <c r="D30" s="3"/>
      <c r="E30" s="3"/>
      <c r="F30" s="3"/>
      <c r="G30" s="4"/>
      <c r="H30" s="4"/>
      <c r="I30" s="4"/>
      <c r="J30" s="4"/>
      <c r="K30" s="4"/>
      <c r="L30" s="4"/>
    </row>
    <row r="31" spans="1:13">
      <c r="A31" s="3" t="s">
        <v>10</v>
      </c>
      <c r="B31" s="3"/>
      <c r="C31" s="3"/>
      <c r="D31" s="3"/>
      <c r="E31" s="3"/>
      <c r="F31" s="3"/>
      <c r="G31" s="4"/>
      <c r="H31" s="4"/>
      <c r="I31" s="6"/>
      <c r="J31" s="6"/>
      <c r="K31" s="6"/>
      <c r="L31" s="6"/>
    </row>
    <row r="32" spans="1:13">
      <c r="A32" s="3"/>
      <c r="B32" s="4" t="s">
        <v>11</v>
      </c>
      <c r="C32" s="3"/>
      <c r="D32" s="3"/>
      <c r="E32" s="3"/>
      <c r="F32" s="3"/>
      <c r="G32" s="4"/>
      <c r="H32" s="4"/>
      <c r="I32" s="67">
        <v>45233</v>
      </c>
      <c r="J32" s="67"/>
      <c r="K32" s="67"/>
      <c r="L32" s="67">
        <f>SUM(I32:K32)</f>
        <v>45233</v>
      </c>
      <c r="M32" s="70">
        <f>L32</f>
        <v>45233</v>
      </c>
    </row>
    <row r="33" spans="1:1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3">
      <c r="A34" s="3" t="s">
        <v>353</v>
      </c>
      <c r="B34" s="2"/>
      <c r="C34" s="3"/>
      <c r="D34" s="4"/>
      <c r="E34" s="4"/>
      <c r="F34" s="4"/>
      <c r="G34" s="4"/>
      <c r="H34" s="4"/>
      <c r="I34" s="31"/>
      <c r="J34" s="31"/>
      <c r="K34" s="31"/>
      <c r="L34" s="31"/>
    </row>
    <row r="35" spans="1:13">
      <c r="A35" s="3"/>
      <c r="B35" s="2" t="s">
        <v>411</v>
      </c>
      <c r="C35" s="3"/>
      <c r="D35" s="4"/>
      <c r="E35" s="4"/>
      <c r="F35" s="4"/>
      <c r="G35" s="4"/>
      <c r="H35" s="4"/>
      <c r="I35" s="32">
        <v>7675462</v>
      </c>
      <c r="J35" s="32">
        <v>99645</v>
      </c>
      <c r="K35" s="32">
        <v>-14676</v>
      </c>
      <c r="L35" s="32">
        <f>SUM(I35:K35)</f>
        <v>7760431</v>
      </c>
    </row>
    <row r="36" spans="1:13">
      <c r="A36" s="3"/>
      <c r="B36" s="2" t="s">
        <v>97</v>
      </c>
      <c r="C36" s="2"/>
      <c r="D36" s="2"/>
      <c r="E36" s="2"/>
      <c r="F36" s="2"/>
      <c r="G36" s="2"/>
      <c r="H36" s="2"/>
      <c r="I36" s="35">
        <v>-5449377</v>
      </c>
      <c r="J36" s="35">
        <v>-208192</v>
      </c>
      <c r="K36" s="35">
        <v>14676</v>
      </c>
      <c r="L36" s="35">
        <f>SUM(I36:K36)</f>
        <v>-5642893</v>
      </c>
      <c r="M36" s="70">
        <f>L35+L36</f>
        <v>2117538</v>
      </c>
    </row>
    <row r="37" spans="1:13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3">
      <c r="A38" s="3" t="s">
        <v>22</v>
      </c>
      <c r="B38" s="1"/>
      <c r="C38" s="2"/>
      <c r="D38" s="2"/>
      <c r="E38" s="2"/>
      <c r="F38" s="2"/>
      <c r="G38" s="2"/>
      <c r="H38" s="2"/>
      <c r="I38" s="33">
        <f>SUM(I35:I36)</f>
        <v>2226085</v>
      </c>
      <c r="J38" s="33">
        <f t="shared" ref="J38:L38" si="4">SUM(J35:J36)</f>
        <v>-108547</v>
      </c>
      <c r="K38" s="33">
        <f t="shared" si="4"/>
        <v>0</v>
      </c>
      <c r="L38" s="33">
        <f t="shared" si="4"/>
        <v>2117538</v>
      </c>
    </row>
    <row r="39" spans="1:13">
      <c r="A39" s="4"/>
      <c r="B39" s="1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3">
      <c r="A40" s="3" t="s">
        <v>407</v>
      </c>
      <c r="B40" s="3"/>
      <c r="C40" s="2"/>
      <c r="D40" s="2"/>
      <c r="E40" s="2"/>
      <c r="F40" s="2"/>
      <c r="G40" s="2"/>
      <c r="H40" s="2"/>
      <c r="I40" s="34">
        <f>SUM(I38,I32)</f>
        <v>2271318</v>
      </c>
      <c r="J40" s="34">
        <f t="shared" ref="J40:L40" si="5">SUM(J38,J32)</f>
        <v>-108547</v>
      </c>
      <c r="K40" s="34">
        <f t="shared" si="5"/>
        <v>0</v>
      </c>
      <c r="L40" s="34">
        <f t="shared" si="5"/>
        <v>2162771</v>
      </c>
      <c r="M40" s="70">
        <f>SUM(M32:M38)</f>
        <v>2162771</v>
      </c>
    </row>
    <row r="41" spans="1:13">
      <c r="A41" s="3"/>
      <c r="B41" s="3"/>
      <c r="C41" s="2"/>
      <c r="D41" s="2"/>
      <c r="E41" s="2"/>
      <c r="F41" s="2"/>
      <c r="G41" s="2"/>
      <c r="H41" s="2"/>
      <c r="I41" s="31"/>
      <c r="J41" s="31"/>
      <c r="K41" s="31"/>
      <c r="L41" s="31"/>
    </row>
    <row r="42" spans="1: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</sheetData>
  <mergeCells count="3">
    <mergeCell ref="D1:I1"/>
    <mergeCell ref="D2:I2"/>
    <mergeCell ref="D3:I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B1:K20"/>
  <sheetViews>
    <sheetView workbookViewId="0">
      <selection sqref="A1:XFD1048576"/>
    </sheetView>
  </sheetViews>
  <sheetFormatPr defaultColWidth="8.85546875" defaultRowHeight="18.75"/>
  <cols>
    <col min="1" max="1" width="4.42578125" style="4" customWidth="1"/>
    <col min="2" max="2" width="4.7109375" style="4" customWidth="1"/>
    <col min="3" max="3" width="4.140625" style="4" customWidth="1"/>
    <col min="4" max="4" width="31.5703125" style="4" customWidth="1"/>
    <col min="5" max="5" width="21.140625" style="4" bestFit="1" customWidth="1"/>
    <col min="6" max="6" width="21" style="4" customWidth="1"/>
    <col min="7" max="7" width="20.28515625" style="4" customWidth="1"/>
    <col min="8" max="8" width="18.140625" style="4" customWidth="1"/>
    <col min="9" max="9" width="18.42578125" style="4" bestFit="1" customWidth="1"/>
    <col min="10" max="10" width="19.42578125" style="4" customWidth="1"/>
    <col min="11" max="11" width="17.42578125" style="4" bestFit="1" customWidth="1"/>
    <col min="12" max="16384" width="8.85546875" style="4"/>
  </cols>
  <sheetData>
    <row r="1" spans="2:11">
      <c r="D1" s="109" t="s">
        <v>412</v>
      </c>
      <c r="E1" s="109"/>
      <c r="F1" s="109"/>
      <c r="G1" s="109"/>
      <c r="H1" s="109"/>
    </row>
    <row r="2" spans="2:11">
      <c r="D2" s="109" t="s">
        <v>1</v>
      </c>
      <c r="E2" s="109"/>
      <c r="F2" s="109"/>
      <c r="G2" s="109"/>
      <c r="H2" s="109"/>
    </row>
    <row r="3" spans="2:11">
      <c r="D3" s="109" t="s">
        <v>2</v>
      </c>
      <c r="E3" s="109"/>
      <c r="F3" s="109"/>
      <c r="G3" s="109"/>
      <c r="H3" s="109"/>
    </row>
    <row r="4" spans="2:11">
      <c r="D4" s="107"/>
      <c r="E4" s="107"/>
      <c r="F4" s="107"/>
      <c r="G4" s="107"/>
      <c r="H4" s="107"/>
    </row>
    <row r="5" spans="2:11">
      <c r="C5" s="3" t="s">
        <v>173</v>
      </c>
      <c r="D5" s="107"/>
      <c r="E5" s="107"/>
      <c r="F5" s="107"/>
      <c r="G5" s="107"/>
      <c r="H5" s="107"/>
    </row>
    <row r="6" spans="2:11" ht="42.75" customHeight="1">
      <c r="E6" s="18" t="s">
        <v>11</v>
      </c>
      <c r="F6" s="7" t="s">
        <v>174</v>
      </c>
      <c r="G6" s="7" t="s">
        <v>406</v>
      </c>
      <c r="H6" s="7" t="s">
        <v>176</v>
      </c>
      <c r="I6" s="7" t="s">
        <v>18</v>
      </c>
      <c r="J6" s="7" t="s">
        <v>177</v>
      </c>
    </row>
    <row r="7" spans="2:11">
      <c r="C7" s="4" t="s">
        <v>413</v>
      </c>
      <c r="E7" s="41">
        <v>1694373</v>
      </c>
      <c r="F7" s="41">
        <v>1141822</v>
      </c>
      <c r="G7" s="41">
        <v>24932313</v>
      </c>
      <c r="H7" s="41">
        <v>21621818</v>
      </c>
      <c r="I7" s="41">
        <v>346650575</v>
      </c>
      <c r="J7" s="41">
        <f>SUM(E7:I7)</f>
        <v>396040901</v>
      </c>
      <c r="K7" s="41">
        <f>E10</f>
        <v>1689373</v>
      </c>
    </row>
    <row r="8" spans="2:11">
      <c r="D8" s="4" t="s">
        <v>60</v>
      </c>
      <c r="E8" s="41">
        <v>20000</v>
      </c>
      <c r="F8" s="41">
        <v>233446</v>
      </c>
      <c r="G8" s="41">
        <v>1184584</v>
      </c>
      <c r="H8" s="41">
        <v>912397</v>
      </c>
      <c r="I8" s="41">
        <v>3797316</v>
      </c>
      <c r="J8" s="41">
        <f t="shared" ref="J8:J10" si="0">SUM(E8:I8)</f>
        <v>6147743</v>
      </c>
      <c r="K8" s="41">
        <f>F10</f>
        <v>1375268</v>
      </c>
    </row>
    <row r="9" spans="2:11">
      <c r="D9" s="4" t="s">
        <v>61</v>
      </c>
      <c r="E9" s="45">
        <v>-25000</v>
      </c>
      <c r="F9" s="45">
        <v>0</v>
      </c>
      <c r="G9" s="45">
        <v>0</v>
      </c>
      <c r="H9" s="45">
        <v>-457012</v>
      </c>
      <c r="I9" s="45">
        <v>-3674382</v>
      </c>
      <c r="J9" s="45">
        <f t="shared" si="0"/>
        <v>-4156394</v>
      </c>
    </row>
    <row r="10" spans="2:11">
      <c r="C10" s="4" t="s">
        <v>414</v>
      </c>
      <c r="E10" s="45">
        <f>SUM(E7:E9)</f>
        <v>1689373</v>
      </c>
      <c r="F10" s="45">
        <f t="shared" ref="F10:I10" si="1">SUM(F7:F9)</f>
        <v>1375268</v>
      </c>
      <c r="G10" s="45">
        <f t="shared" si="1"/>
        <v>26116897</v>
      </c>
      <c r="H10" s="45">
        <f t="shared" si="1"/>
        <v>22077203</v>
      </c>
      <c r="I10" s="45">
        <f t="shared" si="1"/>
        <v>346773509</v>
      </c>
      <c r="J10" s="45">
        <f t="shared" si="0"/>
        <v>398032250</v>
      </c>
    </row>
    <row r="11" spans="2:11">
      <c r="E11" s="41"/>
      <c r="F11" s="41"/>
      <c r="G11" s="41"/>
      <c r="H11" s="41"/>
      <c r="I11" s="41"/>
      <c r="J11" s="41" t="s">
        <v>180</v>
      </c>
    </row>
    <row r="12" spans="2:11">
      <c r="B12" s="4" t="s">
        <v>364</v>
      </c>
      <c r="E12" s="41"/>
      <c r="F12" s="41"/>
      <c r="G12" s="41"/>
      <c r="H12" s="41"/>
      <c r="I12" s="41"/>
      <c r="J12" s="41" t="s">
        <v>180</v>
      </c>
    </row>
    <row r="13" spans="2:11">
      <c r="C13" s="4" t="s">
        <v>413</v>
      </c>
      <c r="D13" s="54"/>
      <c r="E13" s="41">
        <v>0</v>
      </c>
      <c r="F13" s="41">
        <v>0</v>
      </c>
      <c r="G13" s="41">
        <v>-14565590</v>
      </c>
      <c r="H13" s="41">
        <v>-14191957</v>
      </c>
      <c r="I13" s="41">
        <v>-314406646</v>
      </c>
      <c r="J13" s="41">
        <f>SUM(E13:I13)</f>
        <v>-343164193</v>
      </c>
      <c r="K13" s="41">
        <f>G10+G16</f>
        <v>10856728</v>
      </c>
    </row>
    <row r="14" spans="2:11">
      <c r="D14" s="4" t="s">
        <v>60</v>
      </c>
      <c r="E14" s="41">
        <v>0</v>
      </c>
      <c r="F14" s="41">
        <v>0</v>
      </c>
      <c r="G14" s="41">
        <v>-694579</v>
      </c>
      <c r="H14" s="41">
        <v>-1252291</v>
      </c>
      <c r="I14" s="41">
        <v>-2027980</v>
      </c>
      <c r="J14" s="41">
        <f>SUM(E14:I14)</f>
        <v>-3974850</v>
      </c>
      <c r="K14" s="41">
        <f>H10+H16</f>
        <v>7063408</v>
      </c>
    </row>
    <row r="15" spans="2:11">
      <c r="D15" s="4" t="s">
        <v>61</v>
      </c>
      <c r="E15" s="45">
        <v>0</v>
      </c>
      <c r="F15" s="45">
        <v>0</v>
      </c>
      <c r="G15" s="45">
        <v>0</v>
      </c>
      <c r="H15" s="45">
        <v>430453</v>
      </c>
      <c r="I15" s="45">
        <v>-219494</v>
      </c>
      <c r="J15" s="45">
        <f>SUM(E15:I15)</f>
        <v>210959</v>
      </c>
      <c r="K15" s="41">
        <f>I10+I16</f>
        <v>30119389</v>
      </c>
    </row>
    <row r="16" spans="2:11">
      <c r="C16" s="4" t="s">
        <v>414</v>
      </c>
      <c r="E16" s="45">
        <f>SUM(E13:E15)</f>
        <v>0</v>
      </c>
      <c r="F16" s="45">
        <f t="shared" ref="F16:I16" si="2">SUM(F13:F15)</f>
        <v>0</v>
      </c>
      <c r="G16" s="45">
        <f t="shared" si="2"/>
        <v>-15260169</v>
      </c>
      <c r="H16" s="45">
        <f t="shared" si="2"/>
        <v>-15013795</v>
      </c>
      <c r="I16" s="45">
        <f t="shared" si="2"/>
        <v>-316654120</v>
      </c>
      <c r="J16" s="45">
        <f>SUM(J13:J15)</f>
        <v>-346928084</v>
      </c>
    </row>
    <row r="17" spans="3:11">
      <c r="E17" s="41"/>
      <c r="F17" s="41"/>
      <c r="G17" s="41"/>
      <c r="H17" s="41"/>
      <c r="I17" s="41"/>
      <c r="J17" s="41" t="s">
        <v>180</v>
      </c>
    </row>
    <row r="18" spans="3:11">
      <c r="C18" s="4" t="s">
        <v>415</v>
      </c>
      <c r="E18" s="45">
        <f>SUM(E16,E10)</f>
        <v>1689373</v>
      </c>
      <c r="F18" s="45">
        <f t="shared" ref="F18:J18" si="3">SUM(F16,F10)</f>
        <v>1375268</v>
      </c>
      <c r="G18" s="45">
        <f t="shared" si="3"/>
        <v>10856728</v>
      </c>
      <c r="H18" s="45">
        <f t="shared" si="3"/>
        <v>7063408</v>
      </c>
      <c r="I18" s="45">
        <f t="shared" si="3"/>
        <v>30119389</v>
      </c>
      <c r="J18" s="45">
        <f t="shared" si="3"/>
        <v>51104166</v>
      </c>
      <c r="K18" s="41">
        <f>SUM(K7:K15)</f>
        <v>51104166</v>
      </c>
    </row>
    <row r="19" spans="3:11" s="55" customFormat="1" ht="21" customHeight="1">
      <c r="C19" s="4"/>
      <c r="E19" s="56"/>
      <c r="F19" s="56"/>
      <c r="G19" s="56"/>
      <c r="H19" s="56"/>
      <c r="I19" s="56"/>
    </row>
    <row r="20" spans="3:11" s="55" customFormat="1" ht="21" customHeight="1">
      <c r="E20" s="56"/>
      <c r="F20" s="56"/>
      <c r="G20" s="56"/>
      <c r="H20" s="56"/>
      <c r="I20" s="56"/>
    </row>
  </sheetData>
  <mergeCells count="3">
    <mergeCell ref="D1:H1"/>
    <mergeCell ref="D2:H2"/>
    <mergeCell ref="D3:H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N44"/>
  <sheetViews>
    <sheetView workbookViewId="0">
      <selection activeCell="L33" sqref="L33"/>
    </sheetView>
  </sheetViews>
  <sheetFormatPr defaultRowHeight="18.75"/>
  <cols>
    <col min="1" max="1" width="4.42578125" style="29" customWidth="1"/>
    <col min="2" max="3" width="4.7109375" style="29" customWidth="1"/>
    <col min="4" max="6" width="9.140625" style="29"/>
    <col min="7" max="7" width="14.28515625" style="29" bestFit="1" customWidth="1"/>
    <col min="8" max="8" width="12.7109375" style="29" bestFit="1" customWidth="1"/>
    <col min="9" max="9" width="22" style="29" bestFit="1" customWidth="1"/>
    <col min="10" max="10" width="15.7109375" style="29" bestFit="1" customWidth="1"/>
    <col min="11" max="11" width="19.85546875" style="29" bestFit="1" customWidth="1"/>
    <col min="12" max="12" width="16.5703125" style="29" bestFit="1" customWidth="1"/>
    <col min="13" max="13" width="17.28515625" customWidth="1"/>
  </cols>
  <sheetData>
    <row r="1" spans="1:13">
      <c r="A1" s="4"/>
      <c r="B1" s="4"/>
      <c r="C1" s="4"/>
      <c r="D1" s="109" t="s">
        <v>416</v>
      </c>
      <c r="E1" s="109"/>
      <c r="F1" s="109"/>
      <c r="G1" s="109"/>
      <c r="H1" s="109"/>
      <c r="I1" s="109"/>
      <c r="J1" s="4"/>
      <c r="K1" s="4"/>
      <c r="L1" s="4"/>
    </row>
    <row r="2" spans="1:13">
      <c r="A2" s="4"/>
      <c r="B2" s="4"/>
      <c r="C2" s="4"/>
      <c r="D2" s="109" t="s">
        <v>1</v>
      </c>
      <c r="E2" s="109"/>
      <c r="F2" s="109"/>
      <c r="G2" s="109"/>
      <c r="H2" s="109"/>
      <c r="I2" s="109"/>
      <c r="J2" s="4"/>
      <c r="K2" s="4"/>
      <c r="L2" s="4"/>
    </row>
    <row r="3" spans="1:13">
      <c r="A3" s="4"/>
      <c r="B3" s="4"/>
      <c r="C3" s="4"/>
      <c r="D3" s="109" t="s">
        <v>346</v>
      </c>
      <c r="E3" s="109"/>
      <c r="F3" s="109"/>
      <c r="G3" s="109"/>
      <c r="H3" s="109"/>
      <c r="I3" s="109"/>
      <c r="J3" s="4"/>
      <c r="K3" s="4"/>
      <c r="L3" s="4"/>
    </row>
    <row r="4" spans="1:13">
      <c r="A4" s="4"/>
      <c r="B4" s="4"/>
      <c r="C4" s="4"/>
      <c r="D4" s="107"/>
      <c r="E4" s="107"/>
      <c r="F4" s="107"/>
      <c r="G4" s="107"/>
      <c r="H4" s="107"/>
      <c r="I4" s="107"/>
      <c r="J4" s="4"/>
      <c r="K4" s="4"/>
      <c r="L4" s="4"/>
    </row>
    <row r="5" spans="1:13" ht="37.5">
      <c r="A5" s="4"/>
      <c r="B5" s="4"/>
      <c r="C5" s="4"/>
      <c r="D5" s="4"/>
      <c r="E5" s="4"/>
      <c r="F5" s="4"/>
      <c r="G5" s="4"/>
      <c r="H5" s="4"/>
      <c r="I5" s="64" t="s">
        <v>3</v>
      </c>
      <c r="J5" s="64" t="s">
        <v>60</v>
      </c>
      <c r="K5" s="64" t="s">
        <v>395</v>
      </c>
      <c r="L5" s="64" t="s">
        <v>6</v>
      </c>
      <c r="M5" s="64" t="s">
        <v>7</v>
      </c>
    </row>
    <row r="6" spans="1:13">
      <c r="A6" s="3" t="s">
        <v>396</v>
      </c>
      <c r="B6" s="3"/>
      <c r="C6" s="3"/>
      <c r="D6" s="3"/>
      <c r="E6" s="3"/>
      <c r="F6" s="3"/>
      <c r="G6" s="4"/>
      <c r="H6" s="4"/>
      <c r="I6" s="4"/>
      <c r="J6" s="4"/>
      <c r="K6" s="4"/>
      <c r="L6" s="4"/>
    </row>
    <row r="7" spans="1:13">
      <c r="A7" s="3" t="s">
        <v>10</v>
      </c>
      <c r="B7" s="3"/>
      <c r="C7" s="3"/>
      <c r="D7" s="3"/>
      <c r="E7" s="3"/>
      <c r="F7" s="3"/>
      <c r="G7" s="4"/>
      <c r="H7" s="4"/>
      <c r="I7" s="6"/>
      <c r="J7" s="6"/>
      <c r="K7" s="6"/>
      <c r="L7" s="6"/>
    </row>
    <row r="8" spans="1:13">
      <c r="A8" s="4"/>
      <c r="B8" s="4" t="s">
        <v>11</v>
      </c>
      <c r="C8" s="4"/>
      <c r="D8" s="4"/>
      <c r="E8" s="4"/>
      <c r="F8" s="4"/>
      <c r="G8" s="4"/>
      <c r="H8" s="4"/>
      <c r="I8" s="6">
        <v>301537</v>
      </c>
      <c r="J8" s="6"/>
      <c r="K8" s="6">
        <v>0</v>
      </c>
      <c r="L8" s="6">
        <f>SUM(I8:K8)</f>
        <v>301537</v>
      </c>
      <c r="M8" s="32">
        <f>L8</f>
        <v>301537</v>
      </c>
    </row>
    <row r="9" spans="1:13">
      <c r="A9" s="4"/>
      <c r="B9" s="4" t="s">
        <v>397</v>
      </c>
      <c r="C9" s="4"/>
      <c r="D9" s="4"/>
      <c r="E9" s="4"/>
      <c r="F9" s="4"/>
      <c r="G9" s="4"/>
      <c r="H9" s="4"/>
      <c r="I9" s="6">
        <v>1668511</v>
      </c>
      <c r="J9" s="6">
        <v>1243828</v>
      </c>
      <c r="K9" s="6">
        <v>-1038293</v>
      </c>
      <c r="L9" s="6">
        <f>SUM(I9:K9)</f>
        <v>1874046</v>
      </c>
      <c r="M9" s="32">
        <f>L9</f>
        <v>1874046</v>
      </c>
    </row>
    <row r="10" spans="1:13">
      <c r="A10" s="3"/>
      <c r="B10" s="3"/>
      <c r="C10" s="3" t="s">
        <v>399</v>
      </c>
      <c r="D10" s="3"/>
      <c r="E10" s="3"/>
      <c r="F10" s="3"/>
      <c r="G10" s="3"/>
      <c r="H10" s="3"/>
      <c r="I10" s="9">
        <f>SUM(I8:I9)</f>
        <v>1970048</v>
      </c>
      <c r="J10" s="9">
        <f>SUM(J8:J9)</f>
        <v>1243828</v>
      </c>
      <c r="K10" s="9">
        <f>SUM(K8:K9)</f>
        <v>-1038293</v>
      </c>
      <c r="L10" s="9">
        <f>SUM(L8:L9)</f>
        <v>2175583</v>
      </c>
      <c r="M10" s="2"/>
    </row>
    <row r="11" spans="1:1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2"/>
    </row>
    <row r="12" spans="1:13">
      <c r="A12" s="3" t="s">
        <v>400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2"/>
    </row>
    <row r="13" spans="1:13">
      <c r="A13" s="4"/>
      <c r="B13" s="4" t="s">
        <v>417</v>
      </c>
      <c r="C13" s="4"/>
      <c r="D13" s="4"/>
      <c r="E13" s="4"/>
      <c r="F13" s="4"/>
      <c r="G13" s="4"/>
      <c r="H13" s="4"/>
      <c r="I13" s="66">
        <v>7023025</v>
      </c>
      <c r="J13" s="6">
        <v>1348056</v>
      </c>
      <c r="K13" s="6">
        <v>0</v>
      </c>
      <c r="L13" s="6">
        <f>SUM(I13:K13)</f>
        <v>8371081</v>
      </c>
      <c r="M13" s="2"/>
    </row>
    <row r="14" spans="1:13">
      <c r="A14" s="4"/>
      <c r="B14" s="4" t="s">
        <v>97</v>
      </c>
      <c r="C14" s="4"/>
      <c r="D14" s="4"/>
      <c r="E14" s="4"/>
      <c r="F14" s="4"/>
      <c r="G14" s="4"/>
      <c r="H14" s="4"/>
      <c r="I14" s="66">
        <v>-5466742</v>
      </c>
      <c r="J14" s="6">
        <v>-276298</v>
      </c>
      <c r="K14" s="6"/>
      <c r="L14" s="6">
        <f>SUM(I14:K14)</f>
        <v>-5743040</v>
      </c>
      <c r="M14" s="32">
        <f>L13+L14</f>
        <v>2628041</v>
      </c>
    </row>
    <row r="15" spans="1:13">
      <c r="A15" s="4"/>
      <c r="B15" s="4"/>
      <c r="C15" s="3" t="s">
        <v>418</v>
      </c>
      <c r="D15" s="4"/>
      <c r="E15" s="4"/>
      <c r="F15" s="4"/>
      <c r="G15" s="4"/>
      <c r="H15" s="4"/>
      <c r="I15" s="14">
        <f>SUM(I13:I14)</f>
        <v>1556283</v>
      </c>
      <c r="J15" s="14">
        <f>SUM(J13:J14)</f>
        <v>1071758</v>
      </c>
      <c r="K15" s="14">
        <f>SUM(K13:K14)</f>
        <v>0</v>
      </c>
      <c r="L15" s="14">
        <f>SUM(L13:L14)</f>
        <v>2628041</v>
      </c>
      <c r="M15" s="2"/>
    </row>
    <row r="16" spans="1:1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2"/>
    </row>
    <row r="17" spans="1:14">
      <c r="A17" s="4"/>
      <c r="B17" s="4" t="s">
        <v>419</v>
      </c>
      <c r="C17" s="4"/>
      <c r="D17" s="4"/>
      <c r="E17" s="4"/>
      <c r="F17" s="4"/>
      <c r="G17" s="4"/>
      <c r="H17" s="4"/>
      <c r="I17" s="6">
        <v>7120627</v>
      </c>
      <c r="J17" s="6">
        <v>2454254</v>
      </c>
      <c r="K17" s="6">
        <v>0</v>
      </c>
      <c r="L17" s="6">
        <f>SUM(I17:K17)</f>
        <v>9574881</v>
      </c>
      <c r="M17" s="32"/>
    </row>
    <row r="18" spans="1:14">
      <c r="A18" s="4"/>
      <c r="B18" s="4" t="s">
        <v>97</v>
      </c>
      <c r="C18" s="4"/>
      <c r="D18" s="4"/>
      <c r="E18" s="4"/>
      <c r="F18" s="4"/>
      <c r="G18" s="4"/>
      <c r="H18" s="4"/>
      <c r="I18" s="67">
        <v>-765410</v>
      </c>
      <c r="J18" s="67">
        <v>-732515</v>
      </c>
      <c r="K18" s="67"/>
      <c r="L18" s="67">
        <f>SUM(I18:K18)</f>
        <v>-1497925</v>
      </c>
      <c r="M18" s="32">
        <f>L17+L18</f>
        <v>8076956</v>
      </c>
    </row>
    <row r="19" spans="1:14">
      <c r="A19" s="4"/>
      <c r="B19" s="4"/>
      <c r="C19" s="3" t="s">
        <v>420</v>
      </c>
      <c r="D19" s="4"/>
      <c r="E19" s="4"/>
      <c r="F19" s="4"/>
      <c r="G19" s="4"/>
      <c r="H19" s="4"/>
      <c r="I19" s="27">
        <f>SUM(I17:I18)</f>
        <v>6355217</v>
      </c>
      <c r="J19" s="27">
        <f t="shared" ref="J19:L19" si="0">SUM(J17:J18)</f>
        <v>1721739</v>
      </c>
      <c r="K19" s="27">
        <f t="shared" si="0"/>
        <v>0</v>
      </c>
      <c r="L19" s="27">
        <f t="shared" si="0"/>
        <v>8076956</v>
      </c>
      <c r="M19" s="32"/>
    </row>
    <row r="20" spans="1:14">
      <c r="A20" s="4"/>
      <c r="B20" s="4"/>
      <c r="C20" s="4"/>
      <c r="D20" s="4"/>
      <c r="E20" s="4"/>
      <c r="F20" s="4"/>
      <c r="G20" s="4"/>
      <c r="H20" s="4"/>
      <c r="I20" s="6"/>
      <c r="J20" s="6"/>
      <c r="K20" s="6"/>
      <c r="L20" s="6"/>
      <c r="M20" s="32"/>
    </row>
    <row r="21" spans="1:14">
      <c r="A21" s="4"/>
      <c r="B21" s="4" t="s">
        <v>421</v>
      </c>
      <c r="C21" s="4"/>
      <c r="D21" s="4"/>
      <c r="E21" s="4"/>
      <c r="F21" s="4"/>
      <c r="G21" s="4"/>
      <c r="H21" s="4"/>
      <c r="I21" s="6">
        <v>3445213</v>
      </c>
      <c r="J21" s="6">
        <v>146562</v>
      </c>
      <c r="K21" s="6"/>
      <c r="L21" s="6">
        <f>SUM(I21:K21)</f>
        <v>3591775</v>
      </c>
      <c r="M21" s="32"/>
    </row>
    <row r="22" spans="1:14">
      <c r="A22" s="4"/>
      <c r="B22" s="4" t="s">
        <v>97</v>
      </c>
      <c r="C22" s="4"/>
      <c r="D22" s="4"/>
      <c r="E22" s="4"/>
      <c r="F22" s="4"/>
      <c r="G22" s="4"/>
      <c r="H22" s="4"/>
      <c r="I22" s="4">
        <v>-1753361</v>
      </c>
      <c r="J22" s="6">
        <v>-556554</v>
      </c>
      <c r="K22" s="6"/>
      <c r="L22" s="6">
        <f>SUM(I22:K22)</f>
        <v>-2309915</v>
      </c>
      <c r="M22" s="32">
        <f>L21+L22</f>
        <v>1281860</v>
      </c>
    </row>
    <row r="23" spans="1:14">
      <c r="A23" s="3"/>
      <c r="B23" s="4"/>
      <c r="C23" s="3" t="s">
        <v>422</v>
      </c>
      <c r="D23" s="4"/>
      <c r="E23" s="4"/>
      <c r="F23" s="4"/>
      <c r="G23" s="4"/>
      <c r="H23" s="4"/>
      <c r="I23" s="11">
        <f>SUM(I21:I22)</f>
        <v>1691852</v>
      </c>
      <c r="J23" s="11">
        <f t="shared" ref="J23:L23" si="1">SUM(J21:J22)</f>
        <v>-409992</v>
      </c>
      <c r="K23" s="11">
        <f t="shared" si="1"/>
        <v>0</v>
      </c>
      <c r="L23" s="11">
        <f t="shared" si="1"/>
        <v>1281860</v>
      </c>
      <c r="M23" s="2"/>
    </row>
    <row r="24" spans="1:1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2"/>
    </row>
    <row r="25" spans="1:14">
      <c r="A25" s="3"/>
      <c r="B25" s="2" t="s">
        <v>423</v>
      </c>
      <c r="C25" s="3"/>
      <c r="D25" s="4"/>
      <c r="E25" s="4"/>
      <c r="F25" s="4"/>
      <c r="G25" s="4"/>
      <c r="H25" s="4"/>
      <c r="I25" s="32">
        <v>189572</v>
      </c>
      <c r="J25" s="32">
        <v>9167</v>
      </c>
      <c r="K25" s="32"/>
      <c r="L25" s="32">
        <f>SUM(I25:K25)</f>
        <v>198739</v>
      </c>
      <c r="M25" s="2"/>
    </row>
    <row r="26" spans="1:14">
      <c r="A26" s="3"/>
      <c r="B26" s="2" t="s">
        <v>97</v>
      </c>
      <c r="C26" s="2"/>
      <c r="D26" s="2"/>
      <c r="E26" s="2"/>
      <c r="F26" s="2"/>
      <c r="G26" s="2"/>
      <c r="H26" s="2"/>
      <c r="I26" s="35">
        <v>-107760</v>
      </c>
      <c r="J26" s="35">
        <v>-17358</v>
      </c>
      <c r="K26" s="35"/>
      <c r="L26" s="35">
        <f>SUM(I26:K26)</f>
        <v>-125118</v>
      </c>
      <c r="M26" s="32">
        <f>L25+L26</f>
        <v>73621</v>
      </c>
    </row>
    <row r="27" spans="1:14">
      <c r="A27" s="3"/>
      <c r="B27" s="2"/>
      <c r="C27" s="1" t="s">
        <v>424</v>
      </c>
      <c r="D27" s="2"/>
      <c r="E27" s="2"/>
      <c r="F27" s="2"/>
      <c r="G27" s="2"/>
      <c r="H27" s="2"/>
      <c r="I27" s="31">
        <f>SUM(I25:I26)</f>
        <v>81812</v>
      </c>
      <c r="J27" s="31">
        <f t="shared" ref="J27:L27" si="2">SUM(J25:J26)</f>
        <v>-8191</v>
      </c>
      <c r="K27" s="31">
        <f t="shared" si="2"/>
        <v>0</v>
      </c>
      <c r="L27" s="31">
        <f t="shared" si="2"/>
        <v>73621</v>
      </c>
      <c r="M27" s="32"/>
    </row>
    <row r="28" spans="1:14">
      <c r="A28" s="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4">
      <c r="A29" s="3" t="s">
        <v>19</v>
      </c>
      <c r="B29" s="1"/>
      <c r="C29" s="2"/>
      <c r="D29" s="2"/>
      <c r="E29" s="2"/>
      <c r="F29" s="2"/>
      <c r="G29" s="2"/>
      <c r="H29" s="2"/>
      <c r="I29" s="33">
        <f>I27+I23+I19+I15</f>
        <v>9685164</v>
      </c>
      <c r="J29" s="33">
        <f t="shared" ref="J29:L29" si="3">J27+J23+J19+J15</f>
        <v>2375314</v>
      </c>
      <c r="K29" s="33">
        <f t="shared" si="3"/>
        <v>0</v>
      </c>
      <c r="L29" s="33">
        <f t="shared" si="3"/>
        <v>12060478</v>
      </c>
      <c r="M29" s="2"/>
      <c r="N29" t="s">
        <v>425</v>
      </c>
    </row>
    <row r="30" spans="1:14">
      <c r="A30" s="4"/>
      <c r="B30" s="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4" ht="19.5" thickBot="1">
      <c r="A31" s="3" t="s">
        <v>426</v>
      </c>
      <c r="B31" s="3"/>
      <c r="C31" s="2"/>
      <c r="D31" s="2"/>
      <c r="E31" s="2"/>
      <c r="F31" s="2"/>
      <c r="G31" s="2"/>
      <c r="H31" s="2"/>
      <c r="I31" s="34">
        <f>I29+I10</f>
        <v>11655212</v>
      </c>
      <c r="J31" s="34">
        <f t="shared" ref="J31:L31" si="4">J29+J10</f>
        <v>3619142</v>
      </c>
      <c r="K31" s="34">
        <f t="shared" si="4"/>
        <v>-1038293</v>
      </c>
      <c r="L31" s="34">
        <f t="shared" si="4"/>
        <v>14236061</v>
      </c>
      <c r="M31" s="32">
        <f>SUM(M8:M29)</f>
        <v>14236061</v>
      </c>
    </row>
    <row r="32" spans="1:14">
      <c r="A32" s="3"/>
      <c r="B32" s="3"/>
      <c r="C32" s="2"/>
      <c r="D32" s="2"/>
      <c r="E32" s="2"/>
      <c r="F32" s="2"/>
      <c r="G32" s="2"/>
      <c r="H32" s="2"/>
      <c r="I32" s="31"/>
      <c r="J32" s="31"/>
      <c r="K32" s="31"/>
      <c r="L32" s="31"/>
    </row>
    <row r="33" spans="1:1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</sheetData>
  <mergeCells count="3">
    <mergeCell ref="D1:I1"/>
    <mergeCell ref="D2:I2"/>
    <mergeCell ref="D3:I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M23"/>
  <sheetViews>
    <sheetView topLeftCell="D1" workbookViewId="0">
      <selection activeCell="N10" sqref="N10"/>
    </sheetView>
  </sheetViews>
  <sheetFormatPr defaultColWidth="8.85546875" defaultRowHeight="15"/>
  <cols>
    <col min="9" max="9" width="15.140625" bestFit="1" customWidth="1"/>
    <col min="10" max="10" width="14.28515625" bestFit="1" customWidth="1"/>
    <col min="11" max="11" width="13.7109375" bestFit="1" customWidth="1"/>
    <col min="12" max="12" width="15.140625" bestFit="1" customWidth="1"/>
    <col min="13" max="13" width="20.42578125" customWidth="1"/>
  </cols>
  <sheetData>
    <row r="1" spans="1:13" ht="18.75">
      <c r="A1" s="4"/>
      <c r="B1" s="4"/>
      <c r="C1" s="4"/>
      <c r="D1" s="109" t="s">
        <v>427</v>
      </c>
      <c r="E1" s="109"/>
      <c r="F1" s="109"/>
      <c r="G1" s="109"/>
      <c r="H1" s="109"/>
      <c r="I1" s="109"/>
      <c r="J1" s="4"/>
      <c r="K1" s="4"/>
      <c r="L1" s="4"/>
    </row>
    <row r="2" spans="1:13" ht="18.75">
      <c r="A2" s="4"/>
      <c r="B2" s="4"/>
      <c r="C2" s="4"/>
      <c r="D2" s="109" t="s">
        <v>1</v>
      </c>
      <c r="E2" s="109"/>
      <c r="F2" s="109"/>
      <c r="G2" s="109"/>
      <c r="H2" s="109"/>
      <c r="I2" s="109"/>
      <c r="J2" s="4"/>
      <c r="K2" s="4"/>
      <c r="L2" s="4"/>
    </row>
    <row r="3" spans="1:13" ht="18.75">
      <c r="A3" s="4"/>
      <c r="B3" s="4"/>
      <c r="C3" s="4"/>
      <c r="D3" s="109" t="s">
        <v>2</v>
      </c>
      <c r="E3" s="109"/>
      <c r="F3" s="109"/>
      <c r="G3" s="109"/>
      <c r="H3" s="109"/>
      <c r="I3" s="109"/>
      <c r="J3" s="4"/>
      <c r="K3" s="4"/>
      <c r="L3" s="4"/>
    </row>
    <row r="4" spans="1:13" ht="18.75">
      <c r="A4" s="4"/>
      <c r="B4" s="4"/>
      <c r="C4" s="4"/>
      <c r="D4" s="107"/>
      <c r="E4" s="107"/>
      <c r="F4" s="107"/>
      <c r="G4" s="107"/>
      <c r="H4" s="107"/>
      <c r="I4" s="107"/>
      <c r="J4" s="4"/>
      <c r="K4" s="4"/>
      <c r="L4" s="4"/>
    </row>
    <row r="5" spans="1:13" ht="37.5">
      <c r="A5" s="4"/>
      <c r="B5" s="4"/>
      <c r="C5" s="4"/>
      <c r="D5" s="4"/>
      <c r="E5" s="4"/>
      <c r="F5" s="4"/>
      <c r="G5" s="4"/>
      <c r="H5" s="4"/>
      <c r="I5" s="64" t="s">
        <v>3</v>
      </c>
      <c r="J5" s="64" t="s">
        <v>4</v>
      </c>
      <c r="K5" s="64" t="s">
        <v>5</v>
      </c>
      <c r="L5" s="64" t="s">
        <v>6</v>
      </c>
      <c r="M5" s="64" t="s">
        <v>7</v>
      </c>
    </row>
    <row r="6" spans="1:13" ht="18.75">
      <c r="A6" s="3" t="s">
        <v>8</v>
      </c>
      <c r="B6" s="4"/>
      <c r="C6" s="4"/>
      <c r="D6" s="4"/>
      <c r="E6" s="4"/>
      <c r="F6" s="4"/>
      <c r="G6" s="4"/>
      <c r="H6" s="4"/>
      <c r="I6" s="5"/>
      <c r="J6" s="5"/>
      <c r="K6" s="5"/>
      <c r="L6" s="5"/>
    </row>
    <row r="7" spans="1:13" ht="18.75">
      <c r="A7" s="3" t="s">
        <v>396</v>
      </c>
      <c r="B7" s="3"/>
      <c r="C7" s="3"/>
      <c r="D7" s="3"/>
      <c r="E7" s="3"/>
      <c r="F7" s="3"/>
      <c r="G7" s="4"/>
      <c r="H7" s="4"/>
      <c r="I7" s="4"/>
      <c r="J7" s="4"/>
      <c r="K7" s="4"/>
      <c r="L7" s="4"/>
    </row>
    <row r="8" spans="1:13" ht="18.75">
      <c r="A8" s="3" t="s">
        <v>10</v>
      </c>
      <c r="B8" s="3"/>
      <c r="C8" s="3"/>
      <c r="D8" s="3"/>
      <c r="E8" s="3"/>
      <c r="F8" s="3"/>
      <c r="G8" s="4"/>
      <c r="H8" s="4"/>
      <c r="I8" s="6"/>
      <c r="J8" s="6"/>
      <c r="K8" s="6"/>
      <c r="L8" s="6"/>
    </row>
    <row r="9" spans="1:13" ht="18.75">
      <c r="A9" s="4"/>
      <c r="B9" s="4" t="s">
        <v>11</v>
      </c>
      <c r="C9" s="4"/>
      <c r="D9" s="4"/>
      <c r="E9" s="4"/>
      <c r="F9" s="4"/>
      <c r="G9" s="4"/>
      <c r="H9" s="4"/>
      <c r="I9" s="6">
        <v>300273</v>
      </c>
      <c r="J9" s="6"/>
      <c r="K9" s="6"/>
      <c r="L9" s="6">
        <f>SUM(I9:K9)</f>
        <v>300273</v>
      </c>
      <c r="M9" s="32">
        <f>L9</f>
        <v>300273</v>
      </c>
    </row>
    <row r="10" spans="1:13" ht="18.75">
      <c r="A10" s="3"/>
      <c r="B10" s="3"/>
      <c r="C10" s="3" t="s">
        <v>13</v>
      </c>
      <c r="D10" s="3"/>
      <c r="E10" s="3"/>
      <c r="F10" s="3"/>
      <c r="G10" s="3"/>
      <c r="H10" s="3"/>
      <c r="I10" s="9">
        <f>SUM(I9:I9)</f>
        <v>300273</v>
      </c>
      <c r="J10" s="9">
        <f>SUM(J9:J9)</f>
        <v>0</v>
      </c>
      <c r="K10" s="9">
        <f>SUM(K9:K9)</f>
        <v>0</v>
      </c>
      <c r="L10" s="9">
        <f>SUM(L9:L9)</f>
        <v>300273</v>
      </c>
      <c r="M10" s="2"/>
    </row>
    <row r="11" spans="1:13" ht="18.7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2"/>
    </row>
    <row r="12" spans="1:13" ht="18.75">
      <c r="A12" s="3" t="s">
        <v>400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2"/>
    </row>
    <row r="13" spans="1:13" ht="18.75">
      <c r="A13" s="4"/>
      <c r="B13" s="4" t="s">
        <v>15</v>
      </c>
      <c r="C13" s="4"/>
      <c r="D13" s="4"/>
      <c r="E13" s="4"/>
      <c r="F13" s="4"/>
      <c r="G13" s="4"/>
      <c r="H13" s="4"/>
      <c r="I13" s="4">
        <v>2854206</v>
      </c>
      <c r="J13" s="6">
        <v>103205</v>
      </c>
      <c r="K13" s="6"/>
      <c r="L13" s="6">
        <f>SUM(I13:K13)</f>
        <v>2957411</v>
      </c>
      <c r="M13" s="2"/>
    </row>
    <row r="14" spans="1:13" ht="18.75">
      <c r="A14" s="4"/>
      <c r="B14" s="4" t="s">
        <v>16</v>
      </c>
      <c r="C14" s="4"/>
      <c r="D14" s="4"/>
      <c r="E14" s="4"/>
      <c r="F14" s="4"/>
      <c r="G14" s="4"/>
      <c r="H14" s="4"/>
      <c r="I14" s="4">
        <v>3807568</v>
      </c>
      <c r="J14" s="6">
        <v>96526</v>
      </c>
      <c r="K14" s="6">
        <v>-42257</v>
      </c>
      <c r="L14" s="6">
        <f>SUM(I14:K14)</f>
        <v>3861837</v>
      </c>
      <c r="M14" s="2"/>
    </row>
    <row r="15" spans="1:13" ht="18.75">
      <c r="A15" s="4"/>
      <c r="B15" s="4"/>
      <c r="C15" s="3" t="s">
        <v>19</v>
      </c>
      <c r="D15" s="4"/>
      <c r="E15" s="4"/>
      <c r="F15" s="4"/>
      <c r="G15" s="4"/>
      <c r="H15" s="4"/>
      <c r="I15" s="14">
        <f>SUM(I13:I14)</f>
        <v>6661774</v>
      </c>
      <c r="J15" s="14">
        <f>SUM(J13:J14)</f>
        <v>199731</v>
      </c>
      <c r="K15" s="14">
        <f>SUM(K13:K14)</f>
        <v>-42257</v>
      </c>
      <c r="L15" s="14">
        <f>SUM(L13:L14)</f>
        <v>6819248</v>
      </c>
      <c r="M15" s="2"/>
    </row>
    <row r="16" spans="1:13" ht="18.7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2"/>
    </row>
    <row r="17" spans="1:13" ht="18.75">
      <c r="A17" s="3" t="s">
        <v>401</v>
      </c>
      <c r="B17" s="4"/>
      <c r="C17" s="4"/>
      <c r="D17" s="4"/>
      <c r="E17" s="4"/>
      <c r="F17" s="4"/>
      <c r="G17" s="4"/>
      <c r="H17" s="4"/>
      <c r="I17" s="4"/>
      <c r="J17" s="6"/>
      <c r="K17" s="6"/>
      <c r="L17" s="6"/>
      <c r="M17" s="2"/>
    </row>
    <row r="18" spans="1:13" ht="18.75">
      <c r="A18" s="4"/>
      <c r="B18" s="4" t="s">
        <v>15</v>
      </c>
      <c r="C18" s="4"/>
      <c r="D18" s="4"/>
      <c r="E18" s="4"/>
      <c r="F18" s="4"/>
      <c r="G18" s="4"/>
      <c r="H18" s="4"/>
      <c r="I18" s="6">
        <v>1327874</v>
      </c>
      <c r="J18" s="6">
        <v>60034</v>
      </c>
      <c r="K18" s="6"/>
      <c r="L18" s="6">
        <f>SUM(I18:K18)</f>
        <v>1387908</v>
      </c>
      <c r="M18" s="32">
        <f>L13-L18</f>
        <v>1569503</v>
      </c>
    </row>
    <row r="19" spans="1:13" ht="18.75">
      <c r="A19" s="4"/>
      <c r="B19" s="4" t="s">
        <v>330</v>
      </c>
      <c r="C19" s="4"/>
      <c r="D19" s="4"/>
      <c r="E19" s="4"/>
      <c r="F19" s="4"/>
      <c r="G19" s="4"/>
      <c r="H19" s="4"/>
      <c r="I19" s="6">
        <v>3113462</v>
      </c>
      <c r="J19" s="6">
        <v>222388</v>
      </c>
      <c r="K19" s="6">
        <v>-42257</v>
      </c>
      <c r="L19" s="6">
        <f>SUM(I19:K19)</f>
        <v>3293593</v>
      </c>
      <c r="M19" s="32">
        <f>L14-L19</f>
        <v>568244</v>
      </c>
    </row>
    <row r="20" spans="1:13" ht="18.75">
      <c r="A20" s="3"/>
      <c r="B20" s="4"/>
      <c r="C20" s="3" t="s">
        <v>21</v>
      </c>
      <c r="D20" s="4"/>
      <c r="E20" s="4"/>
      <c r="F20" s="4"/>
      <c r="G20" s="4"/>
      <c r="H20" s="4"/>
      <c r="I20" s="11">
        <f>SUM(I18:I19)</f>
        <v>4441336</v>
      </c>
      <c r="J20" s="11">
        <f>SUM(J18:J19)</f>
        <v>282422</v>
      </c>
      <c r="K20" s="11">
        <f>SUM(K18:K19)</f>
        <v>-42257</v>
      </c>
      <c r="L20" s="11">
        <f>SUM(L18:L19)</f>
        <v>4681501</v>
      </c>
      <c r="M20" s="2"/>
    </row>
    <row r="21" spans="1:13" ht="18.7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2"/>
    </row>
    <row r="22" spans="1:13" ht="18.75">
      <c r="A22" s="3" t="s">
        <v>403</v>
      </c>
      <c r="B22" s="4"/>
      <c r="C22" s="3"/>
      <c r="D22" s="4"/>
      <c r="E22" s="4"/>
      <c r="F22" s="4"/>
      <c r="G22" s="4"/>
      <c r="H22" s="4"/>
      <c r="I22" s="11">
        <f>I15-I20</f>
        <v>2220438</v>
      </c>
      <c r="J22" s="11">
        <f t="shared" ref="J22:L22" si="0">J15-J20</f>
        <v>-82691</v>
      </c>
      <c r="K22" s="11">
        <f t="shared" si="0"/>
        <v>0</v>
      </c>
      <c r="L22" s="11">
        <f t="shared" si="0"/>
        <v>2137747</v>
      </c>
      <c r="M22" s="2"/>
    </row>
    <row r="23" spans="1:13" ht="18.75">
      <c r="A23" s="3" t="s">
        <v>23</v>
      </c>
      <c r="B23" s="4"/>
      <c r="C23" s="3"/>
      <c r="D23" s="4"/>
      <c r="E23" s="4"/>
      <c r="F23" s="4"/>
      <c r="G23" s="4"/>
      <c r="H23" s="4"/>
      <c r="I23" s="11">
        <f>I10+I22</f>
        <v>2520711</v>
      </c>
      <c r="J23" s="11">
        <f>J10+J22</f>
        <v>-82691</v>
      </c>
      <c r="K23" s="11">
        <f>K10+K22</f>
        <v>0</v>
      </c>
      <c r="L23" s="11">
        <f>L10+L22</f>
        <v>2438020</v>
      </c>
      <c r="M23" s="32">
        <f>SUM(M9:M21)</f>
        <v>2438020</v>
      </c>
    </row>
  </sheetData>
  <mergeCells count="3">
    <mergeCell ref="D1:I1"/>
    <mergeCell ref="D2:I2"/>
    <mergeCell ref="D3:I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M28"/>
  <sheetViews>
    <sheetView topLeftCell="F4" workbookViewId="0">
      <selection activeCell="M25" sqref="M25"/>
    </sheetView>
  </sheetViews>
  <sheetFormatPr defaultColWidth="8.85546875" defaultRowHeight="15"/>
  <cols>
    <col min="9" max="9" width="20" customWidth="1"/>
    <col min="10" max="10" width="14.28515625" bestFit="1" customWidth="1"/>
    <col min="11" max="11" width="13.7109375" bestFit="1" customWidth="1"/>
    <col min="12" max="12" width="17" customWidth="1"/>
    <col min="13" max="13" width="20.42578125" customWidth="1"/>
  </cols>
  <sheetData>
    <row r="1" spans="1:13" ht="18.75">
      <c r="A1" s="4"/>
      <c r="B1" s="4"/>
      <c r="C1" s="4"/>
      <c r="D1" s="109" t="s">
        <v>428</v>
      </c>
      <c r="E1" s="109"/>
      <c r="F1" s="109"/>
      <c r="G1" s="109"/>
      <c r="H1" s="109"/>
      <c r="I1" s="109"/>
      <c r="J1" s="4"/>
      <c r="K1" s="4"/>
      <c r="L1" s="4"/>
    </row>
    <row r="2" spans="1:13" ht="18.75">
      <c r="A2" s="4"/>
      <c r="B2" s="4"/>
      <c r="C2" s="4"/>
      <c r="D2" s="109" t="s">
        <v>1</v>
      </c>
      <c r="E2" s="109"/>
      <c r="F2" s="109"/>
      <c r="G2" s="109"/>
      <c r="H2" s="109"/>
      <c r="I2" s="109"/>
      <c r="J2" s="4"/>
      <c r="K2" s="4"/>
      <c r="L2" s="4"/>
    </row>
    <row r="3" spans="1:13" ht="18.75">
      <c r="A3" s="4"/>
      <c r="B3" s="4"/>
      <c r="C3" s="4"/>
      <c r="D3" s="109" t="s">
        <v>2</v>
      </c>
      <c r="E3" s="109"/>
      <c r="F3" s="109"/>
      <c r="G3" s="109"/>
      <c r="H3" s="109"/>
      <c r="I3" s="109"/>
      <c r="J3" s="4"/>
      <c r="K3" s="4"/>
      <c r="L3" s="4"/>
    </row>
    <row r="4" spans="1:13" ht="18.75">
      <c r="A4" s="4"/>
      <c r="B4" s="4"/>
      <c r="C4" s="4"/>
      <c r="D4" s="107"/>
      <c r="E4" s="107"/>
      <c r="F4" s="107"/>
      <c r="G4" s="107"/>
      <c r="H4" s="107"/>
      <c r="I4" s="107"/>
      <c r="J4" s="4"/>
      <c r="K4" s="4"/>
      <c r="L4" s="4"/>
    </row>
    <row r="5" spans="1:13" ht="37.5">
      <c r="A5" s="4"/>
      <c r="B5" s="4"/>
      <c r="C5" s="4"/>
      <c r="D5" s="4"/>
      <c r="E5" s="4"/>
      <c r="F5" s="4"/>
      <c r="G5" s="4"/>
      <c r="H5" s="4"/>
      <c r="I5" s="64" t="s">
        <v>3</v>
      </c>
      <c r="J5" s="64" t="s">
        <v>4</v>
      </c>
      <c r="K5" s="64" t="s">
        <v>5</v>
      </c>
      <c r="L5" s="64" t="s">
        <v>6</v>
      </c>
      <c r="M5" s="64" t="s">
        <v>7</v>
      </c>
    </row>
    <row r="6" spans="1:13" ht="18.75">
      <c r="A6" s="3" t="s">
        <v>8</v>
      </c>
      <c r="B6" s="4"/>
      <c r="C6" s="4"/>
      <c r="D6" s="4"/>
      <c r="E6" s="4"/>
      <c r="F6" s="4"/>
      <c r="G6" s="4"/>
      <c r="H6" s="4"/>
      <c r="I6" s="5"/>
      <c r="J6" s="5"/>
      <c r="K6" s="5"/>
      <c r="L6" s="5"/>
    </row>
    <row r="7" spans="1:13" ht="18.75">
      <c r="A7" s="3" t="s">
        <v>396</v>
      </c>
      <c r="B7" s="3"/>
      <c r="C7" s="3"/>
      <c r="D7" s="3"/>
      <c r="E7" s="3"/>
      <c r="F7" s="3"/>
      <c r="G7" s="4"/>
      <c r="H7" s="4"/>
      <c r="I7" s="4"/>
      <c r="J7" s="4"/>
      <c r="K7" s="4"/>
      <c r="L7" s="4"/>
    </row>
    <row r="8" spans="1:13" ht="18.75">
      <c r="A8" s="3" t="s">
        <v>10</v>
      </c>
      <c r="B8" s="3"/>
      <c r="C8" s="3"/>
      <c r="D8" s="3"/>
      <c r="E8" s="3"/>
      <c r="F8" s="3"/>
      <c r="G8" s="4"/>
      <c r="H8" s="4"/>
      <c r="I8" s="6"/>
      <c r="J8" s="6"/>
      <c r="K8" s="6"/>
      <c r="L8" s="6"/>
    </row>
    <row r="9" spans="1:13" ht="18.75">
      <c r="A9" s="4"/>
      <c r="B9" s="4" t="s">
        <v>11</v>
      </c>
      <c r="C9" s="4"/>
      <c r="D9" s="4"/>
      <c r="E9" s="4"/>
      <c r="F9" s="4"/>
      <c r="G9" s="4"/>
      <c r="H9" s="4"/>
      <c r="I9" s="6">
        <v>595253</v>
      </c>
      <c r="J9" s="6">
        <v>44323</v>
      </c>
      <c r="K9" s="6"/>
      <c r="L9" s="6">
        <f>SUM(I9:K9)</f>
        <v>639576</v>
      </c>
      <c r="M9" s="32">
        <f>L9</f>
        <v>639576</v>
      </c>
    </row>
    <row r="10" spans="1:13" ht="18.75">
      <c r="A10" s="4"/>
      <c r="B10" s="4" t="s">
        <v>12</v>
      </c>
      <c r="C10" s="4"/>
      <c r="D10" s="4"/>
      <c r="E10" s="4"/>
      <c r="F10" s="4"/>
      <c r="G10" s="4"/>
      <c r="H10" s="4"/>
      <c r="I10" s="4"/>
      <c r="J10" s="4">
        <v>540422</v>
      </c>
      <c r="K10" s="4"/>
      <c r="L10" s="6">
        <f>SUM(I10:K10)</f>
        <v>540422</v>
      </c>
      <c r="M10" s="32">
        <f>L10</f>
        <v>540422</v>
      </c>
    </row>
    <row r="11" spans="1:13" ht="18.75">
      <c r="A11" s="3"/>
      <c r="B11" s="3"/>
      <c r="C11" s="3" t="s">
        <v>13</v>
      </c>
      <c r="D11" s="3"/>
      <c r="E11" s="3"/>
      <c r="F11" s="3"/>
      <c r="G11" s="3"/>
      <c r="H11" s="3"/>
      <c r="I11" s="9">
        <f>SUM(I9:I10)</f>
        <v>595253</v>
      </c>
      <c r="J11" s="9">
        <f>SUM(J9:J10)</f>
        <v>584745</v>
      </c>
      <c r="K11" s="9">
        <f>SUM(K9:K10)</f>
        <v>0</v>
      </c>
      <c r="L11" s="9">
        <f>SUM(L9:L10)</f>
        <v>1179998</v>
      </c>
      <c r="M11" s="2"/>
    </row>
    <row r="12" spans="1:13" ht="18.7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2"/>
    </row>
    <row r="13" spans="1:13" ht="18.75">
      <c r="A13" s="3" t="s">
        <v>400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2"/>
    </row>
    <row r="14" spans="1:13" ht="18.75">
      <c r="A14" s="4"/>
      <c r="B14" s="4" t="s">
        <v>27</v>
      </c>
      <c r="C14" s="4"/>
      <c r="D14" s="4"/>
      <c r="E14" s="4"/>
      <c r="F14" s="4"/>
      <c r="G14" s="4"/>
      <c r="H14" s="4"/>
      <c r="I14" s="4">
        <v>2673696</v>
      </c>
      <c r="J14" s="6">
        <v>119672</v>
      </c>
      <c r="K14" s="6"/>
      <c r="L14" s="6">
        <f>SUM(I14:K14)</f>
        <v>2793368</v>
      </c>
      <c r="M14" s="2"/>
    </row>
    <row r="15" spans="1:13" ht="18.75">
      <c r="A15" s="4"/>
      <c r="B15" s="4" t="s">
        <v>16</v>
      </c>
      <c r="C15" s="4"/>
      <c r="D15" s="4"/>
      <c r="E15" s="4"/>
      <c r="F15" s="4"/>
      <c r="G15" s="4"/>
      <c r="H15" s="4"/>
      <c r="I15" s="4">
        <v>5553828</v>
      </c>
      <c r="J15" s="6">
        <v>521943</v>
      </c>
      <c r="K15" s="6">
        <v>-104821</v>
      </c>
      <c r="L15" s="6">
        <f>SUM(I15:K15)</f>
        <v>5970950</v>
      </c>
      <c r="M15" s="2"/>
    </row>
    <row r="16" spans="1:13" ht="18.75">
      <c r="A16" s="4"/>
      <c r="B16" s="4" t="s">
        <v>29</v>
      </c>
      <c r="C16" s="4"/>
      <c r="D16" s="4"/>
      <c r="E16" s="4"/>
      <c r="F16" s="4"/>
      <c r="G16" s="4"/>
      <c r="H16" s="4"/>
      <c r="I16" s="4">
        <v>91182</v>
      </c>
      <c r="J16" s="6">
        <v>46328</v>
      </c>
      <c r="K16" s="6">
        <v>-45488</v>
      </c>
      <c r="L16" s="6">
        <f>SUM(I16:K16)</f>
        <v>92022</v>
      </c>
      <c r="M16" s="2"/>
    </row>
    <row r="17" spans="1:13" ht="18.75">
      <c r="A17" s="4"/>
      <c r="B17" s="4" t="s">
        <v>429</v>
      </c>
      <c r="C17" s="4"/>
      <c r="D17" s="4"/>
      <c r="E17" s="4"/>
      <c r="F17" s="4"/>
      <c r="G17" s="4"/>
      <c r="H17" s="4"/>
      <c r="I17" s="4">
        <v>65673651</v>
      </c>
      <c r="J17" s="6">
        <v>510195</v>
      </c>
      <c r="K17" s="6">
        <v>-44301</v>
      </c>
      <c r="L17" s="6">
        <f>SUM(I17:K17)</f>
        <v>66139545</v>
      </c>
      <c r="M17" s="2"/>
    </row>
    <row r="18" spans="1:13" ht="18.75">
      <c r="A18" s="4"/>
      <c r="B18" s="4"/>
      <c r="C18" s="3" t="s">
        <v>19</v>
      </c>
      <c r="D18" s="4"/>
      <c r="E18" s="4"/>
      <c r="F18" s="4"/>
      <c r="G18" s="4"/>
      <c r="H18" s="4"/>
      <c r="I18" s="14">
        <f>SUM(I14:I17)</f>
        <v>73992357</v>
      </c>
      <c r="J18" s="14">
        <f>SUM(J14:J17)</f>
        <v>1198138</v>
      </c>
      <c r="K18" s="14">
        <f>SUM(K14:K17)</f>
        <v>-194610</v>
      </c>
      <c r="L18" s="14">
        <f>SUM(L14:L17)</f>
        <v>74995885</v>
      </c>
      <c r="M18" s="2"/>
    </row>
    <row r="19" spans="1:13" ht="18.7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2"/>
    </row>
    <row r="20" spans="1:13" ht="18.75">
      <c r="A20" s="3" t="s">
        <v>401</v>
      </c>
      <c r="B20" s="4"/>
      <c r="C20" s="4"/>
      <c r="D20" s="4"/>
      <c r="E20" s="4"/>
      <c r="F20" s="4"/>
      <c r="G20" s="4"/>
      <c r="H20" s="4"/>
      <c r="I20" s="4"/>
      <c r="J20" s="6"/>
      <c r="K20" s="6"/>
      <c r="L20" s="6"/>
      <c r="M20" s="2"/>
    </row>
    <row r="21" spans="1:13" ht="18.75">
      <c r="A21" s="4"/>
      <c r="B21" s="4" t="s">
        <v>27</v>
      </c>
      <c r="C21" s="4"/>
      <c r="D21" s="4"/>
      <c r="E21" s="4"/>
      <c r="F21" s="4"/>
      <c r="G21" s="4"/>
      <c r="H21" s="4"/>
      <c r="I21" s="6">
        <v>1025976</v>
      </c>
      <c r="J21" s="6">
        <v>47157</v>
      </c>
      <c r="K21" s="6"/>
      <c r="L21" s="6">
        <f>SUM(I21:K21)</f>
        <v>1073133</v>
      </c>
      <c r="M21" s="32">
        <f>L14-L21</f>
        <v>1720235</v>
      </c>
    </row>
    <row r="22" spans="1:13" ht="18.75">
      <c r="A22" s="4"/>
      <c r="B22" s="4" t="s">
        <v>330</v>
      </c>
      <c r="C22" s="4"/>
      <c r="D22" s="4"/>
      <c r="E22" s="4"/>
      <c r="F22" s="4"/>
      <c r="G22" s="4"/>
      <c r="H22" s="4"/>
      <c r="I22" s="6">
        <v>2626838</v>
      </c>
      <c r="J22" s="6">
        <v>326273</v>
      </c>
      <c r="K22" s="6">
        <v>-51637</v>
      </c>
      <c r="L22" s="6">
        <f>SUM(I22:K22)</f>
        <v>2901474</v>
      </c>
      <c r="M22" s="32">
        <f>L15-L22</f>
        <v>3069476</v>
      </c>
    </row>
    <row r="23" spans="1:13" ht="18.75">
      <c r="A23" s="4"/>
      <c r="B23" s="4" t="s">
        <v>29</v>
      </c>
      <c r="C23" s="4"/>
      <c r="D23" s="4"/>
      <c r="E23" s="4"/>
      <c r="F23" s="4"/>
      <c r="G23" s="4"/>
      <c r="H23" s="4"/>
      <c r="I23" s="6">
        <v>71886</v>
      </c>
      <c r="J23" s="6">
        <v>4808</v>
      </c>
      <c r="K23" s="6"/>
      <c r="L23" s="6">
        <f>SUM(I23:K23)</f>
        <v>76694</v>
      </c>
      <c r="M23" s="32">
        <f>L16-L23</f>
        <v>15328</v>
      </c>
    </row>
    <row r="24" spans="1:13" ht="18.75">
      <c r="A24" s="4"/>
      <c r="B24" s="4" t="s">
        <v>18</v>
      </c>
      <c r="C24" s="4"/>
      <c r="D24" s="4"/>
      <c r="E24" s="4"/>
      <c r="F24" s="4"/>
      <c r="G24" s="4"/>
      <c r="H24" s="4"/>
      <c r="I24" s="6">
        <v>58245934</v>
      </c>
      <c r="J24" s="6">
        <v>1327526</v>
      </c>
      <c r="K24" s="6">
        <v>-44301</v>
      </c>
      <c r="L24" s="6">
        <f>SUM(I24:K24)</f>
        <v>59529159</v>
      </c>
      <c r="M24" s="32">
        <f>L17-L24</f>
        <v>6610386</v>
      </c>
    </row>
    <row r="25" spans="1:13" ht="18.75">
      <c r="A25" s="3"/>
      <c r="B25" s="4"/>
      <c r="C25" s="3" t="s">
        <v>21</v>
      </c>
      <c r="D25" s="4"/>
      <c r="E25" s="4"/>
      <c r="F25" s="4"/>
      <c r="G25" s="4"/>
      <c r="H25" s="4"/>
      <c r="I25" s="11">
        <f>SUM(I21:I24)</f>
        <v>61970634</v>
      </c>
      <c r="J25" s="11">
        <f>SUM(J21:J24)</f>
        <v>1705764</v>
      </c>
      <c r="K25" s="11">
        <f>SUM(K21:K24)</f>
        <v>-95938</v>
      </c>
      <c r="L25" s="11">
        <f>SUM(L21:L24)</f>
        <v>63580460</v>
      </c>
      <c r="M25" s="2"/>
    </row>
    <row r="26" spans="1:13" ht="18.7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2"/>
    </row>
    <row r="27" spans="1:13" ht="18.75">
      <c r="A27" s="3" t="s">
        <v>403</v>
      </c>
      <c r="B27" s="4"/>
      <c r="C27" s="3"/>
      <c r="D27" s="4"/>
      <c r="E27" s="4"/>
      <c r="F27" s="4"/>
      <c r="G27" s="4"/>
      <c r="H27" s="4"/>
      <c r="I27" s="11">
        <f>I18-I25</f>
        <v>12021723</v>
      </c>
      <c r="J27" s="11">
        <f t="shared" ref="J27:L27" si="0">J18-J25</f>
        <v>-507626</v>
      </c>
      <c r="K27" s="11">
        <f t="shared" si="0"/>
        <v>-98672</v>
      </c>
      <c r="L27" s="11">
        <f t="shared" si="0"/>
        <v>11415425</v>
      </c>
      <c r="M27" s="2"/>
    </row>
    <row r="28" spans="1:13" ht="18.75">
      <c r="A28" s="3" t="s">
        <v>23</v>
      </c>
      <c r="B28" s="4"/>
      <c r="C28" s="3"/>
      <c r="D28" s="4"/>
      <c r="E28" s="4"/>
      <c r="F28" s="4"/>
      <c r="G28" s="4"/>
      <c r="H28" s="4"/>
      <c r="I28" s="11">
        <f>I11+I27</f>
        <v>12616976</v>
      </c>
      <c r="J28" s="11">
        <f>J11+J27</f>
        <v>77119</v>
      </c>
      <c r="K28" s="11">
        <f>K11+K27</f>
        <v>-98672</v>
      </c>
      <c r="L28" s="11">
        <f>L11+L27</f>
        <v>12595423</v>
      </c>
      <c r="M28" s="32">
        <f>SUM(M9:M26)</f>
        <v>12595423</v>
      </c>
    </row>
  </sheetData>
  <mergeCells count="3">
    <mergeCell ref="D1:I1"/>
    <mergeCell ref="D2:I2"/>
    <mergeCell ref="D3:I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40"/>
  <sheetViews>
    <sheetView topLeftCell="F13" zoomScale="80" zoomScaleNormal="80" zoomScalePageLayoutView="80" workbookViewId="0">
      <selection activeCell="Q42" sqref="Q42"/>
    </sheetView>
  </sheetViews>
  <sheetFormatPr defaultColWidth="8.85546875" defaultRowHeight="18.75"/>
  <cols>
    <col min="1" max="1" width="4.42578125" style="29" customWidth="1"/>
    <col min="2" max="3" width="4.7109375" style="29" customWidth="1"/>
    <col min="4" max="6" width="8.85546875" style="29"/>
    <col min="7" max="7" width="14.28515625" style="29" bestFit="1" customWidth="1"/>
    <col min="8" max="8" width="12.7109375" style="29" bestFit="1" customWidth="1"/>
    <col min="9" max="9" width="16.140625" style="29" customWidth="1"/>
    <col min="10" max="10" width="18" style="29" customWidth="1"/>
    <col min="11" max="12" width="19.85546875" style="29" bestFit="1" customWidth="1"/>
    <col min="13" max="14" width="20.140625" style="29" customWidth="1"/>
    <col min="15" max="15" width="23.5703125" style="29" customWidth="1"/>
    <col min="16" max="16384" width="8.85546875" style="29"/>
  </cols>
  <sheetData>
    <row r="1" spans="1:15">
      <c r="A1" s="4"/>
      <c r="B1" s="4"/>
      <c r="C1" s="4"/>
      <c r="D1" s="109" t="s">
        <v>430</v>
      </c>
      <c r="E1" s="109"/>
      <c r="F1" s="109"/>
      <c r="G1" s="109"/>
      <c r="H1" s="109"/>
      <c r="I1" s="109"/>
      <c r="J1" s="4"/>
      <c r="K1" s="4"/>
      <c r="L1" s="4"/>
      <c r="M1" s="4"/>
      <c r="N1" s="4"/>
      <c r="O1" s="4"/>
    </row>
    <row r="2" spans="1:15">
      <c r="A2" s="4"/>
      <c r="B2" s="4"/>
      <c r="C2" s="4"/>
      <c r="D2" s="109" t="s">
        <v>1</v>
      </c>
      <c r="E2" s="109"/>
      <c r="F2" s="109"/>
      <c r="G2" s="109"/>
      <c r="H2" s="109"/>
      <c r="I2" s="109"/>
      <c r="J2" s="4"/>
      <c r="K2" s="4"/>
      <c r="L2" s="4"/>
      <c r="M2" s="4"/>
      <c r="N2" s="4"/>
      <c r="O2" s="4"/>
    </row>
    <row r="3" spans="1:15">
      <c r="A3" s="4"/>
      <c r="B3" s="4"/>
      <c r="C3" s="4"/>
      <c r="D3" s="109" t="s">
        <v>2</v>
      </c>
      <c r="E3" s="109"/>
      <c r="F3" s="109"/>
      <c r="G3" s="109"/>
      <c r="H3" s="109"/>
      <c r="I3" s="109"/>
      <c r="J3" s="4"/>
      <c r="K3" s="4"/>
      <c r="L3" s="4"/>
      <c r="M3" s="4"/>
      <c r="N3" s="4"/>
      <c r="O3" s="4"/>
    </row>
    <row r="4" spans="1:15" ht="14.25" customHeight="1">
      <c r="A4" s="4"/>
      <c r="B4" s="4"/>
      <c r="C4" s="4"/>
      <c r="D4" s="107"/>
      <c r="E4" s="107"/>
      <c r="F4" s="107"/>
      <c r="G4" s="107"/>
      <c r="H4" s="107"/>
      <c r="I4" s="107"/>
      <c r="J4" s="4"/>
      <c r="K4" s="4"/>
      <c r="L4" s="4"/>
      <c r="M4" s="4"/>
      <c r="N4" s="4"/>
      <c r="O4" s="4"/>
    </row>
    <row r="5" spans="1:15" ht="56.25">
      <c r="A5" s="4"/>
      <c r="B5" s="4"/>
      <c r="C5" s="4"/>
      <c r="D5" s="4"/>
      <c r="E5" s="4"/>
      <c r="F5" s="4"/>
      <c r="G5" s="4"/>
      <c r="H5" s="4"/>
      <c r="I5" s="64" t="s">
        <v>322</v>
      </c>
      <c r="J5" s="64" t="s">
        <v>60</v>
      </c>
      <c r="K5" s="64" t="s">
        <v>431</v>
      </c>
      <c r="L5" s="64" t="s">
        <v>62</v>
      </c>
      <c r="M5" s="64" t="s">
        <v>323</v>
      </c>
      <c r="N5" s="4" t="s">
        <v>7</v>
      </c>
      <c r="O5" s="4"/>
    </row>
    <row r="6" spans="1:15">
      <c r="A6" s="3" t="s">
        <v>396</v>
      </c>
      <c r="B6" s="3"/>
      <c r="C6" s="3"/>
      <c r="D6" s="3"/>
      <c r="E6" s="3"/>
      <c r="F6" s="3"/>
      <c r="G6" s="4"/>
      <c r="H6" s="4"/>
      <c r="I6" s="4"/>
      <c r="J6" s="4"/>
      <c r="K6" s="4"/>
      <c r="L6" s="4"/>
      <c r="M6" s="4"/>
      <c r="N6" s="4"/>
      <c r="O6" s="4"/>
    </row>
    <row r="7" spans="1:15">
      <c r="A7" s="3" t="s">
        <v>432</v>
      </c>
      <c r="B7" s="3"/>
      <c r="C7" s="3"/>
      <c r="D7" s="3"/>
      <c r="E7" s="3"/>
      <c r="F7" s="3"/>
      <c r="G7" s="4"/>
      <c r="H7" s="4"/>
      <c r="I7" s="6"/>
      <c r="J7" s="6"/>
      <c r="K7" s="6"/>
      <c r="L7" s="6"/>
      <c r="M7" s="6"/>
      <c r="N7" s="4"/>
      <c r="O7" s="4"/>
    </row>
    <row r="8" spans="1:15">
      <c r="A8" s="4"/>
      <c r="B8" s="4" t="s">
        <v>11</v>
      </c>
      <c r="C8" s="4"/>
      <c r="D8" s="4"/>
      <c r="E8" s="4"/>
      <c r="F8" s="4"/>
      <c r="G8" s="4"/>
      <c r="H8" s="4"/>
      <c r="I8" s="6">
        <v>19245801</v>
      </c>
      <c r="J8" s="6"/>
      <c r="K8" s="6"/>
      <c r="L8" s="6"/>
      <c r="M8" s="6">
        <f>SUM(I8:L8)</f>
        <v>19245801</v>
      </c>
      <c r="N8" s="6">
        <f>M8</f>
        <v>19245801</v>
      </c>
      <c r="O8" s="4"/>
    </row>
    <row r="9" spans="1:15">
      <c r="A9" s="4"/>
      <c r="B9" s="4" t="s">
        <v>12</v>
      </c>
      <c r="C9" s="4"/>
      <c r="D9" s="4"/>
      <c r="E9" s="4"/>
      <c r="F9" s="4"/>
      <c r="G9" s="4"/>
      <c r="H9" s="4"/>
      <c r="I9" s="4">
        <v>26739396</v>
      </c>
      <c r="J9" s="4">
        <v>18263313</v>
      </c>
      <c r="K9" s="4"/>
      <c r="L9" s="4">
        <v>-21126505</v>
      </c>
      <c r="M9" s="6">
        <f>SUM(I9:L9)</f>
        <v>23876204</v>
      </c>
      <c r="N9" s="6">
        <f>M9</f>
        <v>23876204</v>
      </c>
      <c r="O9" s="4"/>
    </row>
    <row r="10" spans="1:15">
      <c r="A10" s="3"/>
      <c r="B10" s="3"/>
      <c r="C10" s="3" t="s">
        <v>433</v>
      </c>
      <c r="D10" s="3"/>
      <c r="E10" s="3"/>
      <c r="F10" s="3"/>
      <c r="G10" s="3"/>
      <c r="H10" s="3"/>
      <c r="I10" s="9">
        <f>SUM(I8:I9)</f>
        <v>45985197</v>
      </c>
      <c r="J10" s="9">
        <f>SUM(J8:J9)</f>
        <v>18263313</v>
      </c>
      <c r="K10" s="9">
        <f>SUM(K8:K9)</f>
        <v>0</v>
      </c>
      <c r="L10" s="9">
        <f>SUM(L8:L9)</f>
        <v>-21126505</v>
      </c>
      <c r="M10" s="9">
        <f>SUM(M8:M9)</f>
        <v>43122005</v>
      </c>
      <c r="N10" s="3"/>
      <c r="O10" s="4"/>
    </row>
    <row r="1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>
      <c r="A12" s="3" t="s">
        <v>327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 t="s">
        <v>49</v>
      </c>
    </row>
    <row r="13" spans="1:15">
      <c r="A13" s="4"/>
      <c r="B13" s="4" t="s">
        <v>92</v>
      </c>
      <c r="C13" s="4"/>
      <c r="D13" s="4"/>
      <c r="E13" s="4"/>
      <c r="F13" s="4"/>
      <c r="G13" s="4"/>
      <c r="H13" s="4"/>
      <c r="I13" s="4">
        <v>20167</v>
      </c>
      <c r="J13" s="6"/>
      <c r="K13" s="6"/>
      <c r="L13" s="6"/>
      <c r="M13" s="6">
        <f>SUM(I13:L13)</f>
        <v>20167</v>
      </c>
      <c r="N13" s="73">
        <f t="shared" ref="N13:N18" si="0">M13-O13</f>
        <v>17474.676762073879</v>
      </c>
      <c r="O13" s="66">
        <f>(M13/M19)*M20</f>
        <v>2692.3232379261194</v>
      </c>
    </row>
    <row r="14" spans="1:15">
      <c r="A14" s="4"/>
      <c r="B14" s="4" t="s">
        <v>15</v>
      </c>
      <c r="C14" s="4"/>
      <c r="D14" s="4"/>
      <c r="E14" s="4"/>
      <c r="F14" s="4"/>
      <c r="G14" s="4"/>
      <c r="H14" s="4"/>
      <c r="I14" s="4">
        <v>129682131</v>
      </c>
      <c r="J14" s="6">
        <v>220209</v>
      </c>
      <c r="K14" s="6">
        <v>-200000</v>
      </c>
      <c r="L14" s="6"/>
      <c r="M14" s="6">
        <f t="shared" ref="M14:M18" si="1">SUM(I14:L14)</f>
        <v>129702340</v>
      </c>
      <c r="N14" s="73">
        <f t="shared" si="0"/>
        <v>112386892.78447987</v>
      </c>
      <c r="O14" s="66">
        <f>(M14/M19)*M20</f>
        <v>17315447.215520129</v>
      </c>
    </row>
    <row r="15" spans="1:15">
      <c r="A15" s="4"/>
      <c r="B15" s="4" t="s">
        <v>434</v>
      </c>
      <c r="C15" s="4"/>
      <c r="D15" s="4"/>
      <c r="E15" s="4"/>
      <c r="F15" s="4"/>
      <c r="G15" s="4"/>
      <c r="H15" s="4"/>
      <c r="I15" s="4">
        <v>381929</v>
      </c>
      <c r="J15" s="6"/>
      <c r="K15" s="6"/>
      <c r="L15" s="6"/>
      <c r="M15" s="6">
        <f t="shared" si="1"/>
        <v>381929</v>
      </c>
      <c r="N15" s="73">
        <f t="shared" si="0"/>
        <v>330940.93425210071</v>
      </c>
      <c r="O15" s="66">
        <f>(M15/M19)*M20</f>
        <v>50988.065747899287</v>
      </c>
    </row>
    <row r="16" spans="1:15">
      <c r="A16" s="4"/>
      <c r="B16" s="4" t="s">
        <v>16</v>
      </c>
      <c r="C16" s="4"/>
      <c r="D16" s="4"/>
      <c r="E16" s="4"/>
      <c r="F16" s="4"/>
      <c r="G16" s="4"/>
      <c r="H16" s="4"/>
      <c r="I16" s="4">
        <v>17762374</v>
      </c>
      <c r="J16" s="6">
        <v>682386</v>
      </c>
      <c r="K16" s="6">
        <v>-712424</v>
      </c>
      <c r="L16" s="6"/>
      <c r="M16" s="6">
        <f t="shared" ref="M16" si="2">SUM(I16:L16)</f>
        <v>17732336</v>
      </c>
      <c r="N16" s="73">
        <f t="shared" si="0"/>
        <v>15365043.875464179</v>
      </c>
      <c r="O16" s="66">
        <f>(M16/M19)*M20</f>
        <v>2367292.1245358204</v>
      </c>
    </row>
    <row r="17" spans="1:15">
      <c r="A17" s="4"/>
      <c r="B17" s="4" t="s">
        <v>435</v>
      </c>
      <c r="C17" s="4"/>
      <c r="D17" s="4"/>
      <c r="E17" s="4"/>
      <c r="F17" s="4"/>
      <c r="G17" s="4"/>
      <c r="H17" s="4"/>
      <c r="I17" s="4">
        <v>225456815</v>
      </c>
      <c r="J17" s="6">
        <v>83888</v>
      </c>
      <c r="K17" s="6"/>
      <c r="L17" s="6">
        <v>21126505</v>
      </c>
      <c r="M17" s="6">
        <f t="shared" si="1"/>
        <v>246667208</v>
      </c>
      <c r="N17" s="73">
        <f t="shared" si="0"/>
        <v>213736784.23182648</v>
      </c>
      <c r="O17" s="66">
        <f>(M17/M19)*M20</f>
        <v>32930423.768173531</v>
      </c>
    </row>
    <row r="18" spans="1:15">
      <c r="A18" s="4"/>
      <c r="B18" s="4" t="s">
        <v>52</v>
      </c>
      <c r="C18" s="4"/>
      <c r="D18" s="4"/>
      <c r="E18" s="4"/>
      <c r="F18" s="4"/>
      <c r="G18" s="4"/>
      <c r="H18" s="4"/>
      <c r="I18" s="4">
        <v>1363360</v>
      </c>
      <c r="J18" s="6"/>
      <c r="K18" s="6"/>
      <c r="L18" s="6"/>
      <c r="M18" s="6">
        <f t="shared" si="1"/>
        <v>1363360</v>
      </c>
      <c r="N18" s="73">
        <f t="shared" si="0"/>
        <v>1181349.4972153045</v>
      </c>
      <c r="O18" s="66">
        <f>(M18/M19)*M20</f>
        <v>182010.50278469548</v>
      </c>
    </row>
    <row r="19" spans="1:15">
      <c r="A19" s="4"/>
      <c r="B19" s="4"/>
      <c r="C19" s="3" t="s">
        <v>331</v>
      </c>
      <c r="D19" s="4"/>
      <c r="E19" s="4"/>
      <c r="F19" s="4"/>
      <c r="G19" s="4"/>
      <c r="H19" s="4"/>
      <c r="I19" s="14">
        <f>SUM(I13:I18)</f>
        <v>374666776</v>
      </c>
      <c r="J19" s="14">
        <f>SUM(J13:J18)</f>
        <v>986483</v>
      </c>
      <c r="K19" s="14">
        <f>SUM(K13:K18)</f>
        <v>-912424</v>
      </c>
      <c r="L19" s="14">
        <f>SUM(L13:L18)</f>
        <v>21126505</v>
      </c>
      <c r="M19" s="14">
        <f>SUM(M13:M18)</f>
        <v>395867340</v>
      </c>
      <c r="N19" s="4"/>
      <c r="O19" s="4"/>
    </row>
    <row r="20" spans="1:15">
      <c r="A20" s="3"/>
      <c r="B20" s="4"/>
      <c r="C20" s="3" t="s">
        <v>149</v>
      </c>
      <c r="D20" s="4"/>
      <c r="E20" s="4"/>
      <c r="F20" s="4"/>
      <c r="G20" s="4"/>
      <c r="H20" s="4"/>
      <c r="I20" s="11">
        <v>40562437</v>
      </c>
      <c r="J20" s="11">
        <v>13049099</v>
      </c>
      <c r="K20" s="11">
        <v>-762682</v>
      </c>
      <c r="L20" s="11"/>
      <c r="M20" s="11">
        <f>SUM(I20:L20)</f>
        <v>52848854</v>
      </c>
      <c r="N20" s="4"/>
      <c r="O20" s="66">
        <f>SUM(O13:O18)</f>
        <v>52848854</v>
      </c>
    </row>
    <row r="21" spans="1:15">
      <c r="A21" s="3"/>
      <c r="B21" s="4"/>
      <c r="C21" s="3" t="s">
        <v>332</v>
      </c>
      <c r="D21" s="4"/>
      <c r="E21" s="4"/>
      <c r="F21" s="4"/>
      <c r="G21" s="4"/>
      <c r="H21" s="4"/>
      <c r="I21" s="11">
        <v>334104339</v>
      </c>
      <c r="J21" s="11">
        <v>-12062616</v>
      </c>
      <c r="K21" s="11">
        <v>-149742</v>
      </c>
      <c r="L21" s="11">
        <v>21126505</v>
      </c>
      <c r="M21" s="11">
        <f>SUM(I21:L21)</f>
        <v>343018486</v>
      </c>
      <c r="N21" s="4"/>
      <c r="O21" s="4"/>
    </row>
    <row r="22" spans="1:15">
      <c r="A22" s="3"/>
      <c r="B22" s="4"/>
      <c r="C22" s="3" t="s">
        <v>84</v>
      </c>
      <c r="D22" s="4"/>
      <c r="E22" s="4"/>
      <c r="F22" s="4"/>
      <c r="G22" s="4"/>
      <c r="H22" s="4"/>
      <c r="I22" s="11">
        <v>380089536</v>
      </c>
      <c r="J22" s="11">
        <v>6200697</v>
      </c>
      <c r="K22" s="11">
        <v>-149742</v>
      </c>
      <c r="L22" s="11"/>
      <c r="M22" s="11">
        <f>SUM(I22:L22)</f>
        <v>386140491</v>
      </c>
      <c r="N22" s="6">
        <f>SUM(N8:N20)</f>
        <v>386140491.00000006</v>
      </c>
      <c r="O22" s="4"/>
    </row>
    <row r="23" spans="1:15">
      <c r="A23" s="4"/>
      <c r="B23" s="4"/>
      <c r="C23" s="3"/>
      <c r="D23" s="4"/>
      <c r="E23" s="4"/>
      <c r="F23" s="4"/>
      <c r="G23" s="4"/>
      <c r="H23" s="4"/>
      <c r="I23" s="27"/>
      <c r="J23" s="27"/>
      <c r="K23" s="27"/>
      <c r="L23" s="27"/>
      <c r="M23" s="27"/>
      <c r="N23" s="4"/>
      <c r="O23" s="4"/>
    </row>
    <row r="24" spans="1:15">
      <c r="A24" s="4"/>
      <c r="B24" s="4"/>
      <c r="C24" s="3"/>
      <c r="D24" s="4"/>
      <c r="E24" s="4"/>
      <c r="F24" s="4"/>
      <c r="G24" s="4"/>
      <c r="H24" s="4"/>
      <c r="I24" s="27"/>
      <c r="J24" s="27"/>
      <c r="K24" s="27"/>
      <c r="L24" s="27"/>
      <c r="M24" s="27"/>
      <c r="N24" s="4"/>
      <c r="O24" s="4"/>
    </row>
    <row r="25" spans="1:15">
      <c r="A25" s="3" t="s">
        <v>34</v>
      </c>
      <c r="B25" s="3"/>
      <c r="C25" s="3"/>
      <c r="D25" s="3"/>
      <c r="E25" s="3"/>
      <c r="F25" s="3"/>
      <c r="G25" s="4"/>
      <c r="H25" s="4"/>
      <c r="I25" s="4"/>
      <c r="J25" s="4"/>
      <c r="K25" s="4"/>
      <c r="L25" s="4"/>
      <c r="M25" s="4"/>
      <c r="N25" s="4"/>
      <c r="O25" s="4"/>
    </row>
    <row r="26" spans="1:15">
      <c r="A26" s="3" t="s">
        <v>432</v>
      </c>
      <c r="B26" s="3"/>
      <c r="C26" s="3"/>
      <c r="D26" s="3"/>
      <c r="E26" s="3"/>
      <c r="F26" s="3"/>
      <c r="G26" s="4"/>
      <c r="H26" s="4"/>
      <c r="I26" s="6"/>
      <c r="J26" s="6"/>
      <c r="K26" s="6"/>
      <c r="L26" s="6"/>
      <c r="M26" s="6"/>
      <c r="N26" s="4"/>
      <c r="O26" s="4"/>
    </row>
    <row r="27" spans="1:15">
      <c r="A27" s="3"/>
      <c r="B27" s="4" t="s">
        <v>11</v>
      </c>
      <c r="C27" s="3"/>
      <c r="D27" s="3"/>
      <c r="E27" s="3"/>
      <c r="F27" s="3"/>
      <c r="G27" s="4"/>
      <c r="H27" s="4"/>
      <c r="I27" s="6">
        <v>221036</v>
      </c>
      <c r="J27" s="6"/>
      <c r="K27" s="6"/>
      <c r="L27" s="6"/>
      <c r="M27" s="6">
        <f>SUM(I27:L27)</f>
        <v>221036</v>
      </c>
      <c r="N27" s="6">
        <f>M27</f>
        <v>221036</v>
      </c>
      <c r="O27" s="4"/>
    </row>
    <row r="28" spans="1:15">
      <c r="A28" s="3"/>
      <c r="B28" s="4" t="s">
        <v>12</v>
      </c>
      <c r="C28" s="3"/>
      <c r="D28" s="3"/>
      <c r="E28" s="3"/>
      <c r="F28" s="3"/>
      <c r="G28" s="4"/>
      <c r="H28" s="4"/>
      <c r="I28" s="6">
        <v>48920601</v>
      </c>
      <c r="J28" s="6">
        <v>16957516</v>
      </c>
      <c r="K28" s="6"/>
      <c r="L28" s="6">
        <v>-15267055</v>
      </c>
      <c r="M28" s="6">
        <f>SUM(I28:L28)</f>
        <v>50611062</v>
      </c>
      <c r="N28" s="67">
        <f>M28</f>
        <v>50611062</v>
      </c>
      <c r="O28" s="4"/>
    </row>
    <row r="29" spans="1:15">
      <c r="A29" s="3"/>
      <c r="B29" s="3"/>
      <c r="C29" s="3" t="s">
        <v>433</v>
      </c>
      <c r="D29" s="3"/>
      <c r="E29" s="3"/>
      <c r="F29" s="3"/>
      <c r="G29" s="3"/>
      <c r="H29" s="3"/>
      <c r="I29" s="10">
        <f>SUM(I27:I28)</f>
        <v>49141637</v>
      </c>
      <c r="J29" s="10">
        <f>SUM(J28:J28)</f>
        <v>16957516</v>
      </c>
      <c r="K29" s="10">
        <f>SUM(K28:K28)</f>
        <v>0</v>
      </c>
      <c r="L29" s="10">
        <f>SUM(L28:L28)</f>
        <v>-15267055</v>
      </c>
      <c r="M29" s="10">
        <f>SUM(M27:M28)</f>
        <v>50832098</v>
      </c>
      <c r="N29" s="4"/>
      <c r="O29" s="4"/>
    </row>
    <row r="31" spans="1:15">
      <c r="A31" s="3" t="s">
        <v>327</v>
      </c>
      <c r="B31" s="2"/>
      <c r="C31" s="3"/>
      <c r="D31" s="4"/>
      <c r="E31" s="4"/>
      <c r="F31" s="4"/>
      <c r="G31" s="4"/>
      <c r="H31" s="4"/>
      <c r="I31" s="31"/>
      <c r="J31" s="31"/>
      <c r="K31" s="31"/>
      <c r="L31" s="31"/>
      <c r="M31" s="31"/>
      <c r="N31" s="4"/>
      <c r="O31" s="4" t="s">
        <v>49</v>
      </c>
    </row>
    <row r="32" spans="1:15">
      <c r="A32" s="3"/>
      <c r="B32" s="2" t="s">
        <v>27</v>
      </c>
      <c r="C32" s="3"/>
      <c r="D32" s="4"/>
      <c r="E32" s="4"/>
      <c r="F32" s="4"/>
      <c r="G32" s="4"/>
      <c r="H32" s="4"/>
      <c r="I32" s="32">
        <v>74162299</v>
      </c>
      <c r="J32" s="32"/>
      <c r="K32" s="31">
        <v>-190731</v>
      </c>
      <c r="L32" s="31"/>
      <c r="M32" s="32">
        <f>SUM(I32:L32)</f>
        <v>73971568</v>
      </c>
      <c r="N32" s="73">
        <f>M32+O32</f>
        <v>43285819.160179451</v>
      </c>
      <c r="O32" s="66">
        <f>(M32/M36)*M37</f>
        <v>-30685748.839820553</v>
      </c>
    </row>
    <row r="33" spans="1:15">
      <c r="A33" s="3"/>
      <c r="B33" s="2" t="s">
        <v>434</v>
      </c>
      <c r="C33" s="3"/>
      <c r="D33" s="4"/>
      <c r="E33" s="4"/>
      <c r="F33" s="4"/>
      <c r="G33" s="4"/>
      <c r="H33" s="4"/>
      <c r="I33" s="32">
        <v>36492</v>
      </c>
      <c r="J33" s="32"/>
      <c r="K33" s="31"/>
      <c r="L33" s="31"/>
      <c r="M33" s="32">
        <f>SUM(I33:L33)</f>
        <v>36492</v>
      </c>
      <c r="N33" s="73">
        <f>M33+O33</f>
        <v>21353.962819785953</v>
      </c>
      <c r="O33" s="66">
        <f>(M33/M36)*M37</f>
        <v>-15138.037180214047</v>
      </c>
    </row>
    <row r="34" spans="1:15">
      <c r="A34" s="3"/>
      <c r="B34" s="2" t="s">
        <v>16</v>
      </c>
      <c r="C34" s="3"/>
      <c r="D34" s="4"/>
      <c r="E34" s="4"/>
      <c r="F34" s="4"/>
      <c r="G34" s="4"/>
      <c r="H34" s="4"/>
      <c r="I34" s="32">
        <v>1920372</v>
      </c>
      <c r="J34" s="32"/>
      <c r="K34" s="32">
        <v>-306897</v>
      </c>
      <c r="L34" s="32"/>
      <c r="M34" s="32">
        <f>SUM(I34:L34)</f>
        <v>1613475</v>
      </c>
      <c r="N34" s="73">
        <f>M34+O34</f>
        <v>944154.47661553603</v>
      </c>
      <c r="O34" s="66">
        <f>(M34/M36)*M37</f>
        <v>-669320.52338446397</v>
      </c>
    </row>
    <row r="35" spans="1:15">
      <c r="A35" s="3"/>
      <c r="B35" s="2" t="s">
        <v>18</v>
      </c>
      <c r="C35" s="3"/>
      <c r="D35" s="4"/>
      <c r="E35" s="4"/>
      <c r="F35" s="4"/>
      <c r="G35" s="4"/>
      <c r="H35" s="4"/>
      <c r="I35" s="32">
        <v>172171195</v>
      </c>
      <c r="J35" s="32">
        <v>341442</v>
      </c>
      <c r="K35" s="32"/>
      <c r="L35" s="32">
        <v>15267055</v>
      </c>
      <c r="M35" s="32">
        <f>SUM(I35:L35)</f>
        <v>187779692</v>
      </c>
      <c r="N35" s="78">
        <f>M35+O35</f>
        <v>109882729.40038523</v>
      </c>
      <c r="O35" s="66">
        <f>(M35/M36)*M37</f>
        <v>-77896962.599614769</v>
      </c>
    </row>
    <row r="36" spans="1:15">
      <c r="A36" s="4"/>
      <c r="B36" s="4"/>
      <c r="C36" s="1" t="s">
        <v>331</v>
      </c>
      <c r="D36" s="2"/>
      <c r="E36" s="2"/>
      <c r="F36" s="2"/>
      <c r="G36" s="2"/>
      <c r="H36" s="2"/>
      <c r="I36" s="30">
        <f>SUM(I32:I35)</f>
        <v>248290358</v>
      </c>
      <c r="J36" s="30">
        <f>SUM(J32:J35)</f>
        <v>341442</v>
      </c>
      <c r="K36" s="30">
        <f>SUM(K32:K35)</f>
        <v>-497628</v>
      </c>
      <c r="L36" s="30">
        <f>SUM(L32:L35)</f>
        <v>15267055</v>
      </c>
      <c r="M36" s="30">
        <f>SUM(M32:M35)</f>
        <v>263401227</v>
      </c>
      <c r="N36" s="4"/>
      <c r="O36" s="66"/>
    </row>
    <row r="37" spans="1:15">
      <c r="A37" s="3"/>
      <c r="B37" s="3"/>
      <c r="C37" s="1" t="s">
        <v>149</v>
      </c>
      <c r="D37" s="2"/>
      <c r="E37" s="2"/>
      <c r="F37" s="2"/>
      <c r="G37" s="2"/>
      <c r="H37" s="2"/>
      <c r="I37" s="30">
        <v>-104535572</v>
      </c>
      <c r="J37" s="30">
        <v>-5153714</v>
      </c>
      <c r="K37" s="30">
        <v>422116</v>
      </c>
      <c r="L37" s="30"/>
      <c r="M37" s="30">
        <f>SUM(I37:L37)</f>
        <v>-109267170</v>
      </c>
      <c r="N37" s="4"/>
      <c r="O37" s="66">
        <f>SUM(O32:O35)</f>
        <v>-109267170</v>
      </c>
    </row>
    <row r="38" spans="1:15">
      <c r="A38" s="3"/>
      <c r="B38" s="1"/>
      <c r="C38" s="1" t="s">
        <v>332</v>
      </c>
      <c r="D38" s="2"/>
      <c r="E38" s="2"/>
      <c r="F38" s="2"/>
      <c r="G38" s="2"/>
      <c r="H38" s="2"/>
      <c r="I38" s="33">
        <f>I36+I37</f>
        <v>143754786</v>
      </c>
      <c r="J38" s="33">
        <f>J36+J37</f>
        <v>-4812272</v>
      </c>
      <c r="K38" s="33">
        <f>K36+K37</f>
        <v>-75512</v>
      </c>
      <c r="L38" s="33">
        <f>L36+L37</f>
        <v>15267055</v>
      </c>
      <c r="M38" s="33">
        <f>M36+M37</f>
        <v>154134057</v>
      </c>
      <c r="N38" s="4"/>
      <c r="O38" s="4"/>
    </row>
    <row r="39" spans="1:15">
      <c r="A39" s="3"/>
      <c r="B39" s="3"/>
      <c r="C39" s="1" t="s">
        <v>90</v>
      </c>
      <c r="D39" s="2"/>
      <c r="E39" s="2"/>
      <c r="F39" s="2"/>
      <c r="G39" s="2"/>
      <c r="H39" s="2"/>
      <c r="I39" s="34">
        <f>I29+I38</f>
        <v>192896423</v>
      </c>
      <c r="J39" s="34">
        <f>J29+J38</f>
        <v>12145244</v>
      </c>
      <c r="K39" s="34">
        <f>K29+K38</f>
        <v>-75512</v>
      </c>
      <c r="L39" s="34"/>
      <c r="M39" s="34">
        <f>M29+M38</f>
        <v>204966155</v>
      </c>
      <c r="N39" s="67">
        <f>SUM(N27:N37)</f>
        <v>204966155</v>
      </c>
      <c r="O39" s="66"/>
    </row>
    <row r="40" spans="1:15">
      <c r="A40" s="3"/>
      <c r="B40" s="3"/>
      <c r="C40" s="2"/>
      <c r="D40" s="2"/>
      <c r="E40" s="2"/>
      <c r="F40" s="2"/>
      <c r="G40" s="2"/>
      <c r="H40" s="2"/>
      <c r="I40" s="31"/>
      <c r="J40" s="31"/>
      <c r="K40" s="31"/>
      <c r="L40" s="31"/>
      <c r="M40" s="31"/>
      <c r="N40" s="4"/>
      <c r="O40" s="4"/>
    </row>
  </sheetData>
  <mergeCells count="3">
    <mergeCell ref="D1:I1"/>
    <mergeCell ref="D2:I2"/>
    <mergeCell ref="D3:I3"/>
  </mergeCells>
  <phoneticPr fontId="15" type="noConversion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S48"/>
  <sheetViews>
    <sheetView zoomScale="90" zoomScaleNormal="90" zoomScalePageLayoutView="90" workbookViewId="0">
      <selection activeCell="D2" sqref="D2:I2"/>
    </sheetView>
  </sheetViews>
  <sheetFormatPr defaultColWidth="8.85546875" defaultRowHeight="15"/>
  <cols>
    <col min="1" max="1" width="5.42578125" customWidth="1"/>
    <col min="2" max="2" width="4.7109375" customWidth="1"/>
    <col min="3" max="3" width="3.7109375" customWidth="1"/>
    <col min="9" max="9" width="16.7109375" bestFit="1" customWidth="1"/>
    <col min="10" max="10" width="15.28515625" bestFit="1" customWidth="1"/>
    <col min="11" max="12" width="15.140625" bestFit="1" customWidth="1"/>
    <col min="13" max="13" width="16.7109375" bestFit="1" customWidth="1"/>
    <col min="14" max="14" width="21.85546875" customWidth="1"/>
  </cols>
  <sheetData>
    <row r="1" spans="1:14" ht="18.75">
      <c r="A1" s="4"/>
      <c r="B1" s="4"/>
      <c r="C1" s="4"/>
      <c r="D1" s="109" t="s">
        <v>436</v>
      </c>
      <c r="E1" s="109"/>
      <c r="F1" s="109"/>
      <c r="G1" s="109"/>
      <c r="H1" s="109"/>
      <c r="I1" s="109"/>
      <c r="J1" s="4"/>
      <c r="K1" s="4"/>
      <c r="L1" s="4"/>
      <c r="M1" s="4"/>
    </row>
    <row r="2" spans="1:14" ht="18.75">
      <c r="A2" s="4"/>
      <c r="B2" s="4"/>
      <c r="C2" s="4"/>
      <c r="D2" s="109" t="s">
        <v>1</v>
      </c>
      <c r="E2" s="109"/>
      <c r="F2" s="109"/>
      <c r="G2" s="109"/>
      <c r="H2" s="109"/>
      <c r="I2" s="109"/>
      <c r="J2" s="4"/>
      <c r="K2" s="4"/>
      <c r="L2" s="4"/>
      <c r="M2" s="4"/>
    </row>
    <row r="3" spans="1:14" ht="18.75">
      <c r="A3" s="4"/>
      <c r="B3" s="4"/>
      <c r="C3" s="4"/>
      <c r="D3" s="109" t="s">
        <v>2</v>
      </c>
      <c r="E3" s="109"/>
      <c r="F3" s="109"/>
      <c r="G3" s="109"/>
      <c r="H3" s="109"/>
      <c r="I3" s="109"/>
      <c r="J3" s="4"/>
      <c r="K3" s="4"/>
      <c r="L3" s="4"/>
      <c r="M3" s="4"/>
    </row>
    <row r="4" spans="1:14" ht="18.75">
      <c r="A4" s="4"/>
      <c r="B4" s="4"/>
      <c r="C4" s="4"/>
      <c r="D4" s="107"/>
      <c r="E4" s="107"/>
      <c r="F4" s="107"/>
      <c r="G4" s="107"/>
      <c r="H4" s="107"/>
      <c r="I4" s="107"/>
      <c r="J4" s="4"/>
      <c r="K4" s="4"/>
      <c r="L4" s="4"/>
      <c r="M4" s="4"/>
    </row>
    <row r="5" spans="1:14" ht="56.25">
      <c r="A5" s="4"/>
      <c r="B5" s="4"/>
      <c r="C5" s="4"/>
      <c r="D5" s="4"/>
      <c r="E5" s="4"/>
      <c r="F5" s="4"/>
      <c r="G5" s="4"/>
      <c r="H5" s="4"/>
      <c r="I5" s="63" t="s">
        <v>437</v>
      </c>
      <c r="J5" s="64" t="s">
        <v>60</v>
      </c>
      <c r="K5" s="64" t="s">
        <v>61</v>
      </c>
      <c r="L5" s="64" t="s">
        <v>86</v>
      </c>
      <c r="M5" s="63" t="s">
        <v>438</v>
      </c>
      <c r="N5" s="64" t="s">
        <v>7</v>
      </c>
    </row>
    <row r="6" spans="1:14" ht="18.75">
      <c r="A6" s="3" t="s">
        <v>10</v>
      </c>
      <c r="B6" s="3"/>
      <c r="C6" s="3"/>
      <c r="D6" s="3"/>
      <c r="E6" s="3"/>
      <c r="F6" s="3"/>
      <c r="G6" s="4"/>
      <c r="H6" s="4"/>
      <c r="I6" s="6"/>
      <c r="J6" s="6"/>
      <c r="K6" s="6"/>
      <c r="L6" s="6"/>
      <c r="M6" s="6"/>
    </row>
    <row r="7" spans="1:14" ht="18.75">
      <c r="A7" s="4" t="s">
        <v>11</v>
      </c>
      <c r="B7" s="4"/>
      <c r="C7" s="4"/>
      <c r="D7" s="4"/>
      <c r="E7" s="4"/>
      <c r="F7" s="4"/>
      <c r="G7" s="4"/>
      <c r="H7" s="4"/>
      <c r="I7" s="6">
        <v>9863978</v>
      </c>
      <c r="J7" s="6">
        <v>25400</v>
      </c>
      <c r="K7" s="6"/>
      <c r="L7" s="6">
        <v>251728</v>
      </c>
      <c r="M7" s="6">
        <f>SUM(I7:L7)</f>
        <v>10141106</v>
      </c>
      <c r="N7" s="70">
        <f>M7</f>
        <v>10141106</v>
      </c>
    </row>
    <row r="8" spans="1:14" ht="18.75">
      <c r="A8" s="4" t="s">
        <v>18</v>
      </c>
      <c r="B8" s="4"/>
      <c r="C8" s="4"/>
      <c r="D8" s="4"/>
      <c r="E8" s="4"/>
      <c r="F8" s="4"/>
      <c r="G8" s="4"/>
      <c r="H8" s="4"/>
      <c r="I8" s="6">
        <v>14855447</v>
      </c>
      <c r="J8" s="6"/>
      <c r="K8" s="6"/>
      <c r="L8" s="6"/>
      <c r="M8" s="6">
        <f>SUM(I8:L8)</f>
        <v>14855447</v>
      </c>
      <c r="N8" s="70">
        <f>M8</f>
        <v>14855447</v>
      </c>
    </row>
    <row r="9" spans="1:14" ht="18.75">
      <c r="A9" s="4" t="s">
        <v>12</v>
      </c>
      <c r="B9" s="4"/>
      <c r="C9" s="4"/>
      <c r="D9" s="4"/>
      <c r="E9" s="4"/>
      <c r="F9" s="4"/>
      <c r="G9" s="4"/>
      <c r="H9" s="4"/>
      <c r="I9" s="6">
        <v>36124176</v>
      </c>
      <c r="J9" s="6">
        <v>19591586</v>
      </c>
      <c r="K9" s="6">
        <v>-5741016</v>
      </c>
      <c r="L9" s="6">
        <v>82347</v>
      </c>
      <c r="M9" s="6">
        <f>SUM(I9:L9)</f>
        <v>50057093</v>
      </c>
      <c r="N9" s="70">
        <f>M9</f>
        <v>50057093</v>
      </c>
    </row>
    <row r="10" spans="1:14" ht="18.75">
      <c r="A10" s="3"/>
      <c r="B10" s="3" t="s">
        <v>13</v>
      </c>
      <c r="C10" s="3"/>
      <c r="D10" s="3"/>
      <c r="E10" s="3"/>
      <c r="F10" s="3"/>
      <c r="G10" s="3"/>
      <c r="H10" s="3"/>
      <c r="I10" s="10">
        <f>SUM(I7:I9)</f>
        <v>60843601</v>
      </c>
      <c r="J10" s="10">
        <f>SUM(J7:J9)</f>
        <v>19616986</v>
      </c>
      <c r="K10" s="10">
        <f>SUM(K7:K9)</f>
        <v>-5741016</v>
      </c>
      <c r="L10" s="10">
        <f>SUM(L7:L9)</f>
        <v>334075</v>
      </c>
      <c r="M10" s="10">
        <f>SUM(M7:M9)</f>
        <v>75053646</v>
      </c>
    </row>
    <row r="11" spans="1:14" ht="18.75">
      <c r="A11" s="3"/>
      <c r="B11" s="3"/>
      <c r="C11" s="3"/>
      <c r="D11" s="3"/>
      <c r="E11" s="3"/>
      <c r="F11" s="3"/>
      <c r="G11" s="3"/>
      <c r="H11" s="3"/>
      <c r="I11" s="28"/>
      <c r="J11" s="28"/>
      <c r="K11" s="28"/>
      <c r="L11" s="28"/>
      <c r="M11" s="28"/>
    </row>
    <row r="12" spans="1:14" ht="18.75">
      <c r="A12" s="3" t="s">
        <v>400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4" ht="18.75">
      <c r="A13" s="4" t="s">
        <v>328</v>
      </c>
      <c r="B13" s="4"/>
      <c r="C13" s="4"/>
      <c r="D13" s="4"/>
      <c r="E13" s="4"/>
      <c r="F13" s="4"/>
      <c r="G13" s="4"/>
      <c r="H13" s="4"/>
      <c r="I13" s="4">
        <v>30575467</v>
      </c>
      <c r="J13" s="4">
        <v>1763653</v>
      </c>
      <c r="K13" s="4"/>
      <c r="L13" s="4"/>
      <c r="M13" s="4">
        <f>SUM(I13:L13)</f>
        <v>32339120</v>
      </c>
    </row>
    <row r="14" spans="1:14" ht="18.75">
      <c r="A14" s="4" t="s">
        <v>28</v>
      </c>
      <c r="B14" s="4"/>
      <c r="C14" s="4"/>
      <c r="D14" s="4"/>
      <c r="E14" s="4"/>
      <c r="F14" s="4"/>
      <c r="G14" s="4"/>
      <c r="H14" s="4"/>
      <c r="I14" s="4">
        <v>73377088</v>
      </c>
      <c r="J14" s="4">
        <v>3169411</v>
      </c>
      <c r="K14" s="4"/>
      <c r="L14" s="4">
        <v>160735</v>
      </c>
      <c r="M14" s="4">
        <f>SUM(I14:L14)</f>
        <v>76707234</v>
      </c>
    </row>
    <row r="15" spans="1:14" ht="18.75">
      <c r="A15" s="4" t="s">
        <v>16</v>
      </c>
      <c r="B15" s="4"/>
      <c r="C15" s="4"/>
      <c r="D15" s="4"/>
      <c r="E15" s="4"/>
      <c r="F15" s="4"/>
      <c r="G15" s="4"/>
      <c r="H15" s="4"/>
      <c r="I15" s="4">
        <v>33774778</v>
      </c>
      <c r="J15" s="4">
        <v>2749651</v>
      </c>
      <c r="K15" s="4">
        <v>-76215</v>
      </c>
      <c r="L15" s="4">
        <v>305181</v>
      </c>
      <c r="M15" s="4">
        <f>SUM(I15:L15)</f>
        <v>36753395</v>
      </c>
    </row>
    <row r="16" spans="1:14" ht="18.75">
      <c r="A16" s="4" t="s">
        <v>18</v>
      </c>
      <c r="B16" s="4"/>
      <c r="C16" s="4"/>
      <c r="D16" s="4"/>
      <c r="E16" s="4"/>
      <c r="F16" s="4"/>
      <c r="G16" s="4"/>
      <c r="H16" s="4"/>
      <c r="I16" s="4">
        <v>109238530</v>
      </c>
      <c r="J16" s="6"/>
      <c r="K16" s="6">
        <v>-644918</v>
      </c>
      <c r="L16" s="6">
        <v>1887349</v>
      </c>
      <c r="M16" s="4">
        <f>SUM(I16:L16)</f>
        <v>110480961</v>
      </c>
    </row>
    <row r="17" spans="1:19" ht="18.75">
      <c r="A17" s="3"/>
      <c r="B17" s="3"/>
      <c r="C17" s="3" t="s">
        <v>19</v>
      </c>
      <c r="D17" s="3"/>
      <c r="E17" s="3"/>
      <c r="F17" s="4"/>
      <c r="G17" s="4"/>
      <c r="H17" s="4"/>
      <c r="I17" s="11">
        <f>SUM(I13:I16)</f>
        <v>246965863</v>
      </c>
      <c r="J17" s="11">
        <f>SUM(J13:J16)</f>
        <v>7682715</v>
      </c>
      <c r="K17" s="11">
        <f>SUM(K13:K16)</f>
        <v>-721133</v>
      </c>
      <c r="L17" s="11">
        <f>SUM(L13:L16)</f>
        <v>2353265</v>
      </c>
      <c r="M17" s="11">
        <f>SUM(M13:M16)</f>
        <v>256280710</v>
      </c>
    </row>
    <row r="18" spans="1:19" ht="18.75">
      <c r="A18" s="3"/>
      <c r="B18" s="3"/>
      <c r="C18" s="3"/>
      <c r="D18" s="3"/>
      <c r="E18" s="3"/>
      <c r="F18" s="4"/>
      <c r="G18" s="4"/>
      <c r="H18" s="4"/>
      <c r="I18" s="27"/>
      <c r="J18" s="27"/>
      <c r="K18" s="27"/>
      <c r="L18" s="27"/>
      <c r="M18" s="27"/>
    </row>
    <row r="19" spans="1:19" ht="18.75">
      <c r="A19" s="3" t="s">
        <v>20</v>
      </c>
      <c r="B19" s="4"/>
      <c r="C19" s="4"/>
      <c r="D19" s="4"/>
      <c r="E19" s="4"/>
      <c r="F19" s="4"/>
      <c r="G19" s="4"/>
      <c r="H19" s="4"/>
      <c r="I19" s="4"/>
      <c r="J19" s="6"/>
      <c r="K19" s="6"/>
      <c r="L19" s="6"/>
      <c r="M19" s="6"/>
    </row>
    <row r="20" spans="1:19" ht="18.75">
      <c r="A20" s="4" t="s">
        <v>328</v>
      </c>
      <c r="B20" s="4"/>
      <c r="C20" s="4"/>
      <c r="D20" s="4"/>
      <c r="E20" s="4"/>
      <c r="F20" s="4"/>
      <c r="G20" s="4"/>
      <c r="H20" s="4"/>
      <c r="I20" s="6">
        <v>-11237068</v>
      </c>
      <c r="J20" s="6">
        <v>-821308</v>
      </c>
      <c r="K20" s="6"/>
      <c r="L20" s="6"/>
      <c r="M20" s="6">
        <f>SUM(I20:L20)</f>
        <v>-12058376</v>
      </c>
      <c r="N20" s="70">
        <f>M13+M20</f>
        <v>20280744</v>
      </c>
    </row>
    <row r="21" spans="1:19" ht="18.75">
      <c r="A21" s="4" t="s">
        <v>28</v>
      </c>
      <c r="B21" s="4"/>
      <c r="C21" s="4"/>
      <c r="D21" s="4"/>
      <c r="E21" s="4"/>
      <c r="F21" s="4"/>
      <c r="G21" s="4"/>
      <c r="H21" s="4"/>
      <c r="I21" s="6">
        <v>-28679661</v>
      </c>
      <c r="J21" s="6">
        <v>-3886601</v>
      </c>
      <c r="K21" s="6"/>
      <c r="L21" s="6">
        <v>-48</v>
      </c>
      <c r="M21" s="6">
        <f>SUM(I21:L21)</f>
        <v>-32566310</v>
      </c>
      <c r="N21" s="70">
        <f>M14+M21</f>
        <v>44140924</v>
      </c>
    </row>
    <row r="22" spans="1:19" ht="18.75">
      <c r="A22" s="4" t="s">
        <v>16</v>
      </c>
      <c r="B22" s="4"/>
      <c r="C22" s="4"/>
      <c r="D22" s="4"/>
      <c r="E22" s="4"/>
      <c r="F22" s="4"/>
      <c r="G22" s="4"/>
      <c r="H22" s="4"/>
      <c r="I22" s="6">
        <v>-24713082</v>
      </c>
      <c r="J22" s="6">
        <v>-2241672</v>
      </c>
      <c r="K22" s="6"/>
      <c r="L22" s="6">
        <v>96652</v>
      </c>
      <c r="M22" s="6">
        <f>SUM(I22:L22)</f>
        <v>-26858102</v>
      </c>
      <c r="N22" s="70">
        <f>M15+M22</f>
        <v>9895293</v>
      </c>
    </row>
    <row r="23" spans="1:19" ht="18.75">
      <c r="A23" s="4" t="s">
        <v>18</v>
      </c>
      <c r="B23" s="4"/>
      <c r="C23" s="4"/>
      <c r="D23" s="4"/>
      <c r="E23" s="4"/>
      <c r="F23" s="4"/>
      <c r="G23" s="4"/>
      <c r="H23" s="4"/>
      <c r="I23" s="6">
        <v>-62400352</v>
      </c>
      <c r="J23" s="6">
        <v>-3348233</v>
      </c>
      <c r="K23" s="6">
        <v>161186</v>
      </c>
      <c r="L23" s="6"/>
      <c r="M23" s="6">
        <f>SUM(I23:L23)</f>
        <v>-65587399</v>
      </c>
      <c r="N23" s="70">
        <f>M16+M23</f>
        <v>44893562</v>
      </c>
    </row>
    <row r="24" spans="1:19" ht="18.75">
      <c r="A24" s="3"/>
      <c r="B24" s="3"/>
      <c r="C24" s="3" t="s">
        <v>21</v>
      </c>
      <c r="D24" s="3"/>
      <c r="E24" s="4"/>
      <c r="F24" s="4"/>
      <c r="G24" s="4"/>
      <c r="H24" s="4"/>
      <c r="I24" s="11">
        <f>SUM(I20:I23)</f>
        <v>-127030163</v>
      </c>
      <c r="J24" s="11">
        <f>SUM(J20:J23)</f>
        <v>-10297814</v>
      </c>
      <c r="K24" s="11">
        <f>SUM(K20:K23)</f>
        <v>161186</v>
      </c>
      <c r="L24" s="11">
        <f>SUM(L20:L23)</f>
        <v>96604</v>
      </c>
      <c r="M24" s="11">
        <f>SUM(M20:M23)</f>
        <v>-137070187</v>
      </c>
    </row>
    <row r="25" spans="1:19" ht="18.75">
      <c r="A25" s="3"/>
      <c r="B25" s="3"/>
      <c r="C25" s="3"/>
      <c r="D25" s="3"/>
      <c r="E25" s="4"/>
      <c r="F25" s="4"/>
      <c r="G25" s="4"/>
      <c r="H25" s="4"/>
      <c r="I25" s="11"/>
      <c r="J25" s="11"/>
      <c r="K25" s="11"/>
      <c r="L25" s="11"/>
      <c r="M25" s="11"/>
    </row>
    <row r="26" spans="1:19" ht="18.75">
      <c r="A26" s="3" t="s">
        <v>22</v>
      </c>
      <c r="B26" s="3"/>
      <c r="C26" s="3"/>
      <c r="D26" s="3"/>
      <c r="E26" s="4"/>
      <c r="F26" s="4"/>
      <c r="G26" s="4"/>
      <c r="H26" s="4"/>
      <c r="I26" s="11">
        <v>119935700</v>
      </c>
      <c r="J26" s="11">
        <v>-2615099</v>
      </c>
      <c r="K26" s="11">
        <v>-559947</v>
      </c>
      <c r="L26" s="11">
        <v>2449869</v>
      </c>
      <c r="M26" s="11">
        <f>SUM(I26:L26)</f>
        <v>119210523</v>
      </c>
    </row>
    <row r="27" spans="1:19" ht="18.75">
      <c r="A27" s="3"/>
      <c r="B27" s="3"/>
      <c r="C27" s="3"/>
      <c r="D27" s="3"/>
      <c r="E27" s="4"/>
      <c r="F27" s="4"/>
      <c r="G27" s="4"/>
      <c r="H27" s="4"/>
      <c r="I27" s="11"/>
      <c r="J27" s="11"/>
      <c r="K27" s="11"/>
      <c r="L27" s="11"/>
      <c r="M27" s="11"/>
    </row>
    <row r="28" spans="1:19" ht="18.75">
      <c r="A28" s="3" t="s">
        <v>84</v>
      </c>
      <c r="B28" s="39"/>
      <c r="C28" s="3"/>
      <c r="D28" s="4"/>
      <c r="E28" s="4"/>
      <c r="F28" s="4"/>
      <c r="G28" s="4"/>
      <c r="H28" s="4"/>
      <c r="I28" s="11">
        <f>I10+I26</f>
        <v>180779301</v>
      </c>
      <c r="J28" s="11">
        <f>J10+J26</f>
        <v>17001887</v>
      </c>
      <c r="K28" s="11">
        <f>K10+K26</f>
        <v>-6300963</v>
      </c>
      <c r="L28" s="11">
        <f>L10+L26</f>
        <v>2783944</v>
      </c>
      <c r="M28" s="11">
        <f>M10+M26</f>
        <v>194264169</v>
      </c>
      <c r="N28" s="70">
        <f>SUM(N7:N26)</f>
        <v>194264169</v>
      </c>
    </row>
    <row r="29" spans="1:19" ht="18.7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8.7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8.75">
      <c r="A31" s="3" t="s">
        <v>439</v>
      </c>
      <c r="B31" s="3"/>
      <c r="C31" s="3"/>
      <c r="D31" s="3"/>
      <c r="E31" s="3"/>
      <c r="F31" s="3"/>
      <c r="G31" s="4"/>
      <c r="H31" s="4"/>
      <c r="I31" s="6"/>
      <c r="J31" s="6"/>
      <c r="K31" s="6"/>
      <c r="L31" s="6"/>
      <c r="M31" s="6"/>
    </row>
    <row r="32" spans="1:19" ht="18.75">
      <c r="A32" s="4" t="s">
        <v>11</v>
      </c>
      <c r="B32" s="4"/>
      <c r="C32" s="4"/>
      <c r="D32" s="4"/>
      <c r="E32" s="4"/>
      <c r="F32" s="4"/>
      <c r="G32" s="4"/>
      <c r="H32" s="4"/>
      <c r="I32" s="6">
        <v>824777</v>
      </c>
      <c r="J32" s="6"/>
      <c r="K32" s="6"/>
      <c r="L32" s="6"/>
      <c r="M32" s="6">
        <f>SUM(I32:L32)</f>
        <v>824777</v>
      </c>
      <c r="N32" s="70">
        <f>M32</f>
        <v>824777</v>
      </c>
    </row>
    <row r="33" spans="1:14" ht="18.75">
      <c r="A33" s="4" t="s">
        <v>12</v>
      </c>
      <c r="B33" s="4"/>
      <c r="C33" s="4"/>
      <c r="D33" s="4"/>
      <c r="E33" s="4"/>
      <c r="F33" s="4"/>
      <c r="G33" s="4"/>
      <c r="H33" s="4"/>
      <c r="I33" s="6">
        <v>3934164</v>
      </c>
      <c r="J33" s="6">
        <v>3469174</v>
      </c>
      <c r="K33" s="6">
        <v>-1676485</v>
      </c>
      <c r="L33" s="6"/>
      <c r="M33" s="6">
        <f>SUM(I33:L33)</f>
        <v>5726853</v>
      </c>
      <c r="N33" s="70">
        <f>M33</f>
        <v>5726853</v>
      </c>
    </row>
    <row r="34" spans="1:14" ht="18.75">
      <c r="A34" s="3"/>
      <c r="B34" s="3" t="s">
        <v>13</v>
      </c>
      <c r="C34" s="3"/>
      <c r="D34" s="3"/>
      <c r="E34" s="3"/>
      <c r="F34" s="3"/>
      <c r="G34" s="3"/>
      <c r="H34" s="3"/>
      <c r="I34" s="10">
        <f>SUM(I32:I33)</f>
        <v>4758941</v>
      </c>
      <c r="J34" s="10">
        <f>SUM(J32:J33)</f>
        <v>3469174</v>
      </c>
      <c r="K34" s="10">
        <f>SUM(K32:K33)</f>
        <v>-1676485</v>
      </c>
      <c r="L34" s="10">
        <f>SUM(L32:L33)</f>
        <v>0</v>
      </c>
      <c r="M34" s="10">
        <f>SUM(M32:M33)</f>
        <v>6551630</v>
      </c>
    </row>
    <row r="35" spans="1:14" ht="18.75">
      <c r="A35" s="3"/>
      <c r="B35" s="3"/>
      <c r="C35" s="3"/>
      <c r="D35" s="3"/>
      <c r="E35" s="3"/>
      <c r="F35" s="3"/>
      <c r="G35" s="3"/>
      <c r="H35" s="3"/>
      <c r="I35" s="28"/>
      <c r="J35" s="28"/>
      <c r="K35" s="28"/>
      <c r="L35" s="28"/>
      <c r="M35" s="28"/>
    </row>
    <row r="36" spans="1:14" ht="18.75">
      <c r="A36" s="3" t="s">
        <v>400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4" ht="18.75">
      <c r="A37" s="4" t="s">
        <v>440</v>
      </c>
      <c r="B37" s="4"/>
      <c r="C37" s="4"/>
      <c r="D37" s="4"/>
      <c r="E37" s="4"/>
      <c r="F37" s="4"/>
      <c r="G37" s="4"/>
      <c r="H37" s="4"/>
      <c r="I37" s="4">
        <v>205228771</v>
      </c>
      <c r="J37" s="4">
        <v>2189035</v>
      </c>
      <c r="K37" s="4">
        <v>-30485</v>
      </c>
      <c r="L37" s="4">
        <v>570333</v>
      </c>
      <c r="M37" s="4">
        <f>SUM(I37:L37)</f>
        <v>207957654</v>
      </c>
    </row>
    <row r="38" spans="1:14" ht="18.75">
      <c r="A38" s="4" t="s">
        <v>16</v>
      </c>
      <c r="B38" s="4"/>
      <c r="C38" s="4"/>
      <c r="D38" s="4"/>
      <c r="E38" s="4"/>
      <c r="F38" s="4"/>
      <c r="G38" s="4"/>
      <c r="H38" s="4"/>
      <c r="I38" s="4">
        <v>14792682</v>
      </c>
      <c r="J38" s="4">
        <v>536601</v>
      </c>
      <c r="K38" s="4">
        <v>-9936</v>
      </c>
      <c r="L38" s="4">
        <v>13790</v>
      </c>
      <c r="M38" s="4">
        <f>SUM(I38:L38)</f>
        <v>15333137</v>
      </c>
    </row>
    <row r="39" spans="1:14" ht="18.75">
      <c r="A39" s="3"/>
      <c r="B39" s="3"/>
      <c r="C39" s="3" t="s">
        <v>19</v>
      </c>
      <c r="D39" s="3"/>
      <c r="E39" s="3"/>
      <c r="F39" s="4"/>
      <c r="G39" s="4"/>
      <c r="H39" s="4"/>
      <c r="I39" s="11">
        <f>SUM(I37:I38)</f>
        <v>220021453</v>
      </c>
      <c r="J39" s="11">
        <f>SUM(J37:J38)</f>
        <v>2725636</v>
      </c>
      <c r="K39" s="11">
        <f>SUM(K37:K38)</f>
        <v>-40421</v>
      </c>
      <c r="L39" s="11">
        <f>SUM(L37:L38)</f>
        <v>584123</v>
      </c>
      <c r="M39" s="11">
        <f>SUM(M37:M38)</f>
        <v>223290791</v>
      </c>
    </row>
    <row r="40" spans="1:14" ht="18.75">
      <c r="A40" s="3"/>
      <c r="B40" s="3"/>
      <c r="C40" s="3"/>
      <c r="D40" s="3"/>
      <c r="E40" s="3"/>
      <c r="F40" s="4"/>
      <c r="G40" s="4"/>
      <c r="H40" s="4"/>
      <c r="I40" s="27"/>
      <c r="J40" s="27"/>
      <c r="K40" s="27"/>
      <c r="L40" s="27"/>
      <c r="M40" s="27"/>
    </row>
    <row r="41" spans="1:14" ht="18.75">
      <c r="A41" s="3" t="s">
        <v>20</v>
      </c>
      <c r="B41" s="4"/>
      <c r="C41" s="4"/>
      <c r="D41" s="4"/>
      <c r="E41" s="4"/>
      <c r="F41" s="4"/>
      <c r="G41" s="4"/>
      <c r="H41" s="4"/>
      <c r="I41" s="4"/>
      <c r="J41" s="6"/>
      <c r="K41" s="6"/>
      <c r="L41" s="6"/>
      <c r="M41" s="6"/>
    </row>
    <row r="42" spans="1:14" ht="18.75">
      <c r="A42" s="4" t="s">
        <v>440</v>
      </c>
      <c r="B42" s="4"/>
      <c r="C42" s="4"/>
      <c r="D42" s="4"/>
      <c r="E42" s="4"/>
      <c r="F42" s="4"/>
      <c r="G42" s="4"/>
      <c r="H42" s="4"/>
      <c r="I42" s="6">
        <v>-76501514</v>
      </c>
      <c r="J42" s="6">
        <v>-5257794</v>
      </c>
      <c r="K42" s="6">
        <v>11185</v>
      </c>
      <c r="L42" s="6"/>
      <c r="M42" s="6">
        <f>SUM(I42:L42)</f>
        <v>-81748123</v>
      </c>
      <c r="N42" s="70">
        <f>M37+M42</f>
        <v>126209531</v>
      </c>
    </row>
    <row r="43" spans="1:14" ht="18.75">
      <c r="A43" s="4" t="s">
        <v>16</v>
      </c>
      <c r="B43" s="4"/>
      <c r="C43" s="4"/>
      <c r="D43" s="4"/>
      <c r="E43" s="4"/>
      <c r="F43" s="4"/>
      <c r="G43" s="4"/>
      <c r="H43" s="4"/>
      <c r="I43" s="6">
        <v>-12615889</v>
      </c>
      <c r="J43" s="6">
        <v>-683478</v>
      </c>
      <c r="K43" s="6">
        <v>5134</v>
      </c>
      <c r="L43" s="6"/>
      <c r="M43" s="6">
        <f>SUM(I43:L43)</f>
        <v>-13294233</v>
      </c>
      <c r="N43" s="70">
        <f>M38+M43</f>
        <v>2038904</v>
      </c>
    </row>
    <row r="44" spans="1:14" ht="18.75">
      <c r="A44" s="3"/>
      <c r="B44" s="3"/>
      <c r="C44" s="3" t="s">
        <v>21</v>
      </c>
      <c r="D44" s="3"/>
      <c r="E44" s="4"/>
      <c r="F44" s="4"/>
      <c r="G44" s="4"/>
      <c r="H44" s="4"/>
      <c r="I44" s="11">
        <f>SUM(I42:I43)</f>
        <v>-89117403</v>
      </c>
      <c r="J44" s="11">
        <f>SUM(J42:J43)</f>
        <v>-5941272</v>
      </c>
      <c r="K44" s="11">
        <f>SUM(K42:K43)</f>
        <v>16319</v>
      </c>
      <c r="L44" s="11">
        <f>SUM(L42:L43)</f>
        <v>0</v>
      </c>
      <c r="M44" s="11">
        <f>SUM(M42:M43)</f>
        <v>-95042356</v>
      </c>
    </row>
    <row r="45" spans="1:14" ht="18.75">
      <c r="A45" s="3"/>
      <c r="B45" s="3"/>
      <c r="C45" s="3"/>
      <c r="D45" s="3"/>
      <c r="E45" s="4"/>
      <c r="F45" s="4"/>
      <c r="G45" s="4"/>
      <c r="H45" s="4"/>
      <c r="I45" s="11"/>
      <c r="J45" s="11"/>
      <c r="K45" s="11"/>
      <c r="L45" s="11"/>
      <c r="M45" s="11"/>
    </row>
    <row r="46" spans="1:14" ht="18.75">
      <c r="A46" s="3" t="s">
        <v>22</v>
      </c>
      <c r="B46" s="3"/>
      <c r="C46" s="3"/>
      <c r="D46" s="3"/>
      <c r="E46" s="4"/>
      <c r="F46" s="4"/>
      <c r="G46" s="4"/>
      <c r="H46" s="4"/>
      <c r="I46" s="11">
        <v>130904050</v>
      </c>
      <c r="J46" s="11">
        <v>-3215636</v>
      </c>
      <c r="K46" s="11">
        <v>-24102</v>
      </c>
      <c r="L46" s="11">
        <f>L39-L44</f>
        <v>584123</v>
      </c>
      <c r="M46" s="11">
        <f>SUM(I46:L46)</f>
        <v>128248435</v>
      </c>
    </row>
    <row r="47" spans="1:14" ht="18.75">
      <c r="A47" s="3"/>
      <c r="B47" s="3"/>
      <c r="C47" s="3"/>
      <c r="D47" s="3"/>
      <c r="E47" s="4"/>
      <c r="F47" s="4"/>
      <c r="G47" s="4"/>
      <c r="H47" s="4"/>
      <c r="I47" s="11"/>
      <c r="J47" s="11"/>
      <c r="K47" s="11"/>
      <c r="L47" s="11"/>
      <c r="M47" s="11"/>
    </row>
    <row r="48" spans="1:14" ht="18.75">
      <c r="A48" s="3" t="s">
        <v>441</v>
      </c>
      <c r="B48" s="39"/>
      <c r="C48" s="3"/>
      <c r="D48" s="4"/>
      <c r="E48" s="4"/>
      <c r="F48" s="4"/>
      <c r="G48" s="4"/>
      <c r="H48" s="4"/>
      <c r="I48" s="11">
        <f>I34+I46</f>
        <v>135662991</v>
      </c>
      <c r="J48" s="11">
        <f>J34+J46</f>
        <v>253538</v>
      </c>
      <c r="K48" s="11">
        <f>K34+K46</f>
        <v>-1700587</v>
      </c>
      <c r="L48" s="11">
        <f>L34+L46</f>
        <v>584123</v>
      </c>
      <c r="M48" s="11">
        <f>M34+M46</f>
        <v>134800065</v>
      </c>
      <c r="N48" s="70">
        <f>SUM(N32:N46)</f>
        <v>134800065</v>
      </c>
    </row>
  </sheetData>
  <mergeCells count="3">
    <mergeCell ref="D1:I1"/>
    <mergeCell ref="D2:I2"/>
    <mergeCell ref="D3:I3"/>
  </mergeCells>
  <phoneticPr fontId="15" type="noConversion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N26"/>
  <sheetViews>
    <sheetView zoomScale="90" zoomScaleNormal="90" zoomScalePageLayoutView="90" workbookViewId="0">
      <selection activeCell="G35" sqref="G35"/>
    </sheetView>
  </sheetViews>
  <sheetFormatPr defaultColWidth="8.85546875" defaultRowHeight="15"/>
  <cols>
    <col min="9" max="9" width="15.140625" bestFit="1" customWidth="1"/>
    <col min="10" max="10" width="14.28515625" bestFit="1" customWidth="1"/>
    <col min="11" max="12" width="13.7109375" bestFit="1" customWidth="1"/>
    <col min="13" max="13" width="15.140625" bestFit="1" customWidth="1"/>
    <col min="14" max="14" width="20.42578125" customWidth="1"/>
  </cols>
  <sheetData>
    <row r="1" spans="1:14" ht="18.75">
      <c r="A1" s="4"/>
      <c r="B1" s="4"/>
      <c r="C1" s="4"/>
      <c r="D1" s="109" t="s">
        <v>442</v>
      </c>
      <c r="E1" s="109"/>
      <c r="F1" s="109"/>
      <c r="G1" s="109"/>
      <c r="H1" s="109"/>
      <c r="I1" s="109"/>
      <c r="J1" s="4"/>
      <c r="K1" s="4"/>
      <c r="L1" s="4"/>
      <c r="M1" s="4"/>
    </row>
    <row r="2" spans="1:14" ht="18.75">
      <c r="A2" s="4"/>
      <c r="B2" s="4"/>
      <c r="C2" s="4"/>
      <c r="D2" s="109" t="s">
        <v>1</v>
      </c>
      <c r="E2" s="109"/>
      <c r="F2" s="109"/>
      <c r="G2" s="109"/>
      <c r="H2" s="109"/>
      <c r="I2" s="109"/>
      <c r="J2" s="4"/>
      <c r="K2" s="4"/>
      <c r="L2" s="4"/>
      <c r="M2" s="4"/>
    </row>
    <row r="3" spans="1:14" ht="18.75">
      <c r="A3" s="4"/>
      <c r="B3" s="4"/>
      <c r="C3" s="4"/>
      <c r="D3" s="109" t="s">
        <v>2</v>
      </c>
      <c r="E3" s="109"/>
      <c r="F3" s="109"/>
      <c r="G3" s="109"/>
      <c r="H3" s="109"/>
      <c r="I3" s="109"/>
      <c r="J3" s="4"/>
      <c r="K3" s="4"/>
      <c r="L3" s="4"/>
      <c r="M3" s="4"/>
    </row>
    <row r="4" spans="1:14" ht="18.75">
      <c r="A4" s="4"/>
      <c r="B4" s="4"/>
      <c r="C4" s="4"/>
      <c r="D4" s="107"/>
      <c r="E4" s="107"/>
      <c r="F4" s="107"/>
      <c r="G4" s="107"/>
      <c r="H4" s="107"/>
      <c r="I4" s="107"/>
      <c r="J4" s="4"/>
      <c r="K4" s="4"/>
      <c r="L4" s="4"/>
      <c r="M4" s="4"/>
    </row>
    <row r="5" spans="1:14" ht="37.5">
      <c r="A5" s="4"/>
      <c r="B5" s="4"/>
      <c r="C5" s="4"/>
      <c r="D5" s="4"/>
      <c r="E5" s="4"/>
      <c r="F5" s="4"/>
      <c r="G5" s="4"/>
      <c r="H5" s="4"/>
      <c r="I5" s="64" t="s">
        <v>3</v>
      </c>
      <c r="J5" s="64" t="s">
        <v>4</v>
      </c>
      <c r="K5" s="64" t="s">
        <v>5</v>
      </c>
      <c r="L5" s="64" t="s">
        <v>86</v>
      </c>
      <c r="M5" s="64" t="s">
        <v>6</v>
      </c>
      <c r="N5" s="64" t="s">
        <v>7</v>
      </c>
    </row>
    <row r="6" spans="1:14" ht="18.75">
      <c r="A6" s="3" t="s">
        <v>8</v>
      </c>
      <c r="B6" s="4"/>
      <c r="C6" s="4"/>
      <c r="D6" s="4"/>
      <c r="E6" s="4"/>
      <c r="F6" s="4"/>
      <c r="G6" s="4"/>
      <c r="H6" s="4"/>
      <c r="I6" s="5"/>
      <c r="J6" s="5"/>
      <c r="K6" s="5"/>
      <c r="L6" s="5"/>
      <c r="M6" s="5"/>
    </row>
    <row r="7" spans="1:14" ht="18.75">
      <c r="A7" s="3" t="s">
        <v>396</v>
      </c>
      <c r="B7" s="3"/>
      <c r="C7" s="3"/>
      <c r="D7" s="3"/>
      <c r="E7" s="3"/>
      <c r="F7" s="3"/>
      <c r="G7" s="4"/>
      <c r="H7" s="4"/>
      <c r="I7" s="4"/>
      <c r="J7" s="4"/>
      <c r="K7" s="4"/>
      <c r="L7" s="4"/>
      <c r="M7" s="4"/>
    </row>
    <row r="8" spans="1:14" ht="18.75">
      <c r="A8" s="3" t="s">
        <v>10</v>
      </c>
      <c r="B8" s="3"/>
      <c r="C8" s="3"/>
      <c r="D8" s="3"/>
      <c r="E8" s="3"/>
      <c r="F8" s="3"/>
      <c r="G8" s="4"/>
      <c r="H8" s="4"/>
      <c r="I8" s="6"/>
      <c r="J8" s="6"/>
      <c r="K8" s="6"/>
      <c r="L8" s="6"/>
      <c r="M8" s="6"/>
    </row>
    <row r="9" spans="1:14" ht="18.75">
      <c r="A9" s="4"/>
      <c r="B9" s="4" t="s">
        <v>11</v>
      </c>
      <c r="C9" s="4"/>
      <c r="D9" s="4"/>
      <c r="E9" s="4"/>
      <c r="F9" s="4"/>
      <c r="G9" s="4"/>
      <c r="H9" s="4"/>
      <c r="I9" s="6">
        <v>227865</v>
      </c>
      <c r="J9" s="6"/>
      <c r="K9" s="6"/>
      <c r="L9" s="6"/>
      <c r="M9" s="6">
        <f>SUM(I9:L9)</f>
        <v>227865</v>
      </c>
      <c r="N9" s="70">
        <f>M9</f>
        <v>227865</v>
      </c>
    </row>
    <row r="10" spans="1:14" ht="18.75">
      <c r="A10" s="4"/>
      <c r="B10" s="4" t="s">
        <v>12</v>
      </c>
      <c r="C10" s="4"/>
      <c r="D10" s="4"/>
      <c r="E10" s="4"/>
      <c r="F10" s="4"/>
      <c r="G10" s="4"/>
      <c r="H10" s="4"/>
      <c r="I10" s="4">
        <v>590510</v>
      </c>
      <c r="J10" s="4">
        <v>885843</v>
      </c>
      <c r="K10" s="4"/>
      <c r="L10" s="4"/>
      <c r="M10" s="6">
        <f>SUM(I10:L10)</f>
        <v>1476353</v>
      </c>
      <c r="N10" s="70">
        <f>M10</f>
        <v>1476353</v>
      </c>
    </row>
    <row r="11" spans="1:14" ht="18.75">
      <c r="A11" s="3"/>
      <c r="B11" s="3"/>
      <c r="C11" s="3" t="s">
        <v>13</v>
      </c>
      <c r="D11" s="3"/>
      <c r="E11" s="3"/>
      <c r="F11" s="3"/>
      <c r="G11" s="3"/>
      <c r="H11" s="3"/>
      <c r="I11" s="9">
        <f>SUM(I9:I10)</f>
        <v>818375</v>
      </c>
      <c r="J11" s="9">
        <f>SUM(J9:J10)</f>
        <v>885843</v>
      </c>
      <c r="K11" s="9">
        <f>SUM(K9:K10)</f>
        <v>0</v>
      </c>
      <c r="L11" s="9">
        <f>SUM(L9:L10)</f>
        <v>0</v>
      </c>
      <c r="M11" s="9">
        <f>SUM(M9:M10)</f>
        <v>1704218</v>
      </c>
    </row>
    <row r="12" spans="1:14" ht="18.7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4" ht="18.75">
      <c r="A13" s="3" t="s">
        <v>400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4" ht="18.75">
      <c r="A14" s="4"/>
      <c r="B14" s="4" t="s">
        <v>15</v>
      </c>
      <c r="C14" s="4"/>
      <c r="D14" s="4"/>
      <c r="E14" s="4"/>
      <c r="F14" s="4"/>
      <c r="G14" s="4"/>
      <c r="H14" s="4"/>
      <c r="I14" s="4">
        <v>4372053</v>
      </c>
      <c r="J14" s="6">
        <v>39899</v>
      </c>
      <c r="K14" s="6"/>
      <c r="L14" s="6"/>
      <c r="M14" s="6">
        <f>SUM(I14:L14)</f>
        <v>4411952</v>
      </c>
    </row>
    <row r="15" spans="1:14" ht="18.75">
      <c r="A15" s="4"/>
      <c r="B15" s="4" t="s">
        <v>443</v>
      </c>
      <c r="C15" s="4"/>
      <c r="D15" s="4"/>
      <c r="E15" s="4"/>
      <c r="F15" s="4"/>
      <c r="G15" s="4"/>
      <c r="H15" s="4"/>
      <c r="I15" s="4">
        <v>6158834</v>
      </c>
      <c r="J15" s="6">
        <v>371342</v>
      </c>
      <c r="K15" s="6">
        <v>-304294</v>
      </c>
      <c r="L15" s="6"/>
      <c r="M15" s="6">
        <f>SUM(I15:L15)</f>
        <v>6225882</v>
      </c>
    </row>
    <row r="16" spans="1:14" ht="18.75">
      <c r="A16" s="4"/>
      <c r="B16" s="4" t="s">
        <v>429</v>
      </c>
      <c r="C16" s="4"/>
      <c r="D16" s="4"/>
      <c r="E16" s="4"/>
      <c r="F16" s="4"/>
      <c r="G16" s="4"/>
      <c r="H16" s="4"/>
      <c r="I16" s="4">
        <v>6851788</v>
      </c>
      <c r="J16" s="6"/>
      <c r="K16" s="6"/>
      <c r="L16" s="6"/>
      <c r="M16" s="6">
        <f>SUM(I16:L16)</f>
        <v>6851788</v>
      </c>
    </row>
    <row r="17" spans="1:14" ht="18.75">
      <c r="A17" s="4"/>
      <c r="B17" s="4"/>
      <c r="C17" s="3" t="s">
        <v>19</v>
      </c>
      <c r="D17" s="4"/>
      <c r="E17" s="4"/>
      <c r="F17" s="4"/>
      <c r="G17" s="4"/>
      <c r="H17" s="4"/>
      <c r="I17" s="14">
        <f>SUM(I14:I16)</f>
        <v>17382675</v>
      </c>
      <c r="J17" s="14">
        <f>SUM(J14:J16)</f>
        <v>411241</v>
      </c>
      <c r="K17" s="14">
        <f>SUM(K14:K16)</f>
        <v>-304294</v>
      </c>
      <c r="L17" s="14">
        <f>SUM(L14:L16)</f>
        <v>0</v>
      </c>
      <c r="M17" s="14">
        <f>SUM(M14:M16)</f>
        <v>17489622</v>
      </c>
    </row>
    <row r="18" spans="1:14" ht="18.7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4" ht="18.75">
      <c r="A19" s="3" t="s">
        <v>401</v>
      </c>
      <c r="B19" s="4"/>
      <c r="C19" s="4"/>
      <c r="D19" s="4"/>
      <c r="E19" s="4"/>
      <c r="F19" s="4"/>
      <c r="G19" s="4"/>
      <c r="H19" s="4"/>
      <c r="I19" s="4"/>
      <c r="J19" s="6"/>
      <c r="K19" s="6"/>
      <c r="L19" s="6"/>
      <c r="M19" s="6"/>
    </row>
    <row r="20" spans="1:14" ht="18.75">
      <c r="A20" s="4"/>
      <c r="B20" s="4" t="s">
        <v>15</v>
      </c>
      <c r="C20" s="4"/>
      <c r="D20" s="4"/>
      <c r="E20" s="4"/>
      <c r="F20" s="4"/>
      <c r="G20" s="4"/>
      <c r="H20" s="4"/>
      <c r="I20" s="6">
        <v>-1809042</v>
      </c>
      <c r="J20" s="6">
        <v>-108813</v>
      </c>
      <c r="K20" s="6"/>
      <c r="L20" s="6"/>
      <c r="M20" s="6">
        <f>SUM(I20:L20)</f>
        <v>-1917855</v>
      </c>
      <c r="N20" s="70">
        <f>M14+M20</f>
        <v>2494097</v>
      </c>
    </row>
    <row r="21" spans="1:14" ht="18.75">
      <c r="A21" s="4"/>
      <c r="B21" s="4" t="s">
        <v>330</v>
      </c>
      <c r="C21" s="4"/>
      <c r="D21" s="4"/>
      <c r="E21" s="4"/>
      <c r="F21" s="4"/>
      <c r="G21" s="4"/>
      <c r="H21" s="4"/>
      <c r="I21" s="6">
        <v>-3447182</v>
      </c>
      <c r="J21" s="6">
        <v>-510709</v>
      </c>
      <c r="K21" s="6">
        <v>290884</v>
      </c>
      <c r="L21" s="6"/>
      <c r="M21" s="6">
        <f>SUM(I21:L21)</f>
        <v>-3667007</v>
      </c>
      <c r="N21" s="70">
        <f>M15+M21</f>
        <v>2558875</v>
      </c>
    </row>
    <row r="22" spans="1:14" ht="18.75">
      <c r="A22" s="4"/>
      <c r="B22" s="4" t="s">
        <v>18</v>
      </c>
      <c r="C22" s="4"/>
      <c r="D22" s="4"/>
      <c r="E22" s="4"/>
      <c r="F22" s="4"/>
      <c r="G22" s="4"/>
      <c r="H22" s="4"/>
      <c r="I22" s="6">
        <v>-898397</v>
      </c>
      <c r="J22" s="6">
        <v>-171375</v>
      </c>
      <c r="K22" s="6"/>
      <c r="L22" s="6"/>
      <c r="M22" s="6">
        <f>SUM(I22:L22)</f>
        <v>-1069772</v>
      </c>
      <c r="N22" s="70">
        <f>M16+M22</f>
        <v>5782016</v>
      </c>
    </row>
    <row r="23" spans="1:14" ht="18.75">
      <c r="A23" s="3"/>
      <c r="B23" s="4"/>
      <c r="C23" s="3" t="s">
        <v>21</v>
      </c>
      <c r="D23" s="4"/>
      <c r="E23" s="4"/>
      <c r="F23" s="4"/>
      <c r="G23" s="4"/>
      <c r="H23" s="4"/>
      <c r="I23" s="11">
        <f>SUM(I20:I22)</f>
        <v>-6154621</v>
      </c>
      <c r="J23" s="11">
        <f>SUM(J20:J22)</f>
        <v>-790897</v>
      </c>
      <c r="K23" s="11">
        <f>SUM(K20:K22)</f>
        <v>290884</v>
      </c>
      <c r="L23" s="11">
        <f>SUM(L20:L22)</f>
        <v>0</v>
      </c>
      <c r="M23" s="11">
        <f>SUM(M20:M22)</f>
        <v>-6654634</v>
      </c>
    </row>
    <row r="24" spans="1:14" ht="18.7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4" ht="18.75">
      <c r="A25" s="3" t="s">
        <v>403</v>
      </c>
      <c r="B25" s="4"/>
      <c r="C25" s="3"/>
      <c r="D25" s="4"/>
      <c r="E25" s="4"/>
      <c r="F25" s="4"/>
      <c r="G25" s="4"/>
      <c r="H25" s="4"/>
      <c r="I25" s="11">
        <f>I17+I23</f>
        <v>11228054</v>
      </c>
      <c r="J25" s="11">
        <f>J17+J23</f>
        <v>-379656</v>
      </c>
      <c r="K25" s="11">
        <f>K17+K23</f>
        <v>-13410</v>
      </c>
      <c r="L25" s="11">
        <f>L17+L23</f>
        <v>0</v>
      </c>
      <c r="M25" s="11">
        <f>M17+M23</f>
        <v>10834988</v>
      </c>
    </row>
    <row r="26" spans="1:14" ht="18.75">
      <c r="A26" s="3" t="s">
        <v>23</v>
      </c>
      <c r="B26" s="4"/>
      <c r="C26" s="3"/>
      <c r="D26" s="4"/>
      <c r="E26" s="4"/>
      <c r="F26" s="4"/>
      <c r="G26" s="4"/>
      <c r="H26" s="4"/>
      <c r="I26" s="11">
        <f>I11+I25</f>
        <v>12046429</v>
      </c>
      <c r="J26" s="11">
        <f>J11+J25</f>
        <v>506187</v>
      </c>
      <c r="K26" s="11">
        <f>K11+K25</f>
        <v>-13410</v>
      </c>
      <c r="L26" s="11">
        <f>L11+L25</f>
        <v>0</v>
      </c>
      <c r="M26" s="11">
        <f>M11+M25</f>
        <v>12539206</v>
      </c>
      <c r="N26" s="70">
        <f>SUM(N9:N24)</f>
        <v>12539206</v>
      </c>
    </row>
  </sheetData>
  <mergeCells count="3">
    <mergeCell ref="D1:I1"/>
    <mergeCell ref="D2:I2"/>
    <mergeCell ref="D3:I3"/>
  </mergeCells>
  <phoneticPr fontId="15" type="noConversion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M54"/>
  <sheetViews>
    <sheetView topLeftCell="A25" zoomScale="80" zoomScaleNormal="80" zoomScalePageLayoutView="80" workbookViewId="0">
      <selection activeCell="M54" sqref="M54"/>
    </sheetView>
  </sheetViews>
  <sheetFormatPr defaultColWidth="8.85546875" defaultRowHeight="18.75"/>
  <cols>
    <col min="1" max="1" width="4.42578125" style="29" customWidth="1"/>
    <col min="2" max="3" width="4.7109375" style="29" customWidth="1"/>
    <col min="4" max="6" width="8.85546875" style="29"/>
    <col min="7" max="7" width="14.28515625" style="29" bestFit="1" customWidth="1"/>
    <col min="8" max="8" width="12.7109375" style="29" bestFit="1" customWidth="1"/>
    <col min="9" max="9" width="18.85546875" style="29" customWidth="1"/>
    <col min="10" max="10" width="14.28515625" style="29" bestFit="1" customWidth="1"/>
    <col min="11" max="11" width="19.85546875" style="29" bestFit="1" customWidth="1"/>
    <col min="12" max="12" width="15.85546875" style="29" bestFit="1" customWidth="1"/>
    <col min="13" max="13" width="17.7109375" style="29" customWidth="1"/>
    <col min="14" max="16384" width="8.85546875" style="29"/>
  </cols>
  <sheetData>
    <row r="1" spans="1:13">
      <c r="A1" s="4"/>
      <c r="B1" s="4"/>
      <c r="C1" s="4"/>
      <c r="D1" s="109" t="s">
        <v>444</v>
      </c>
      <c r="E1" s="109"/>
      <c r="F1" s="109"/>
      <c r="G1" s="109"/>
      <c r="H1" s="109"/>
      <c r="I1" s="109"/>
      <c r="J1" s="4"/>
      <c r="K1" s="4"/>
      <c r="L1" s="4"/>
      <c r="M1" s="4"/>
    </row>
    <row r="2" spans="1:13">
      <c r="A2" s="4"/>
      <c r="B2" s="4"/>
      <c r="C2" s="4"/>
      <c r="D2" s="109" t="s">
        <v>1</v>
      </c>
      <c r="E2" s="109"/>
      <c r="F2" s="109"/>
      <c r="G2" s="109"/>
      <c r="H2" s="109"/>
      <c r="I2" s="109"/>
      <c r="J2" s="4"/>
      <c r="K2" s="4"/>
      <c r="L2" s="4"/>
      <c r="M2" s="4"/>
    </row>
    <row r="3" spans="1:13">
      <c r="A3" s="4"/>
      <c r="B3" s="4"/>
      <c r="C3" s="4"/>
      <c r="D3" s="109" t="s">
        <v>2</v>
      </c>
      <c r="E3" s="109"/>
      <c r="F3" s="109"/>
      <c r="G3" s="109"/>
      <c r="H3" s="109"/>
      <c r="I3" s="109"/>
      <c r="J3" s="4"/>
      <c r="K3" s="4"/>
      <c r="L3" s="4"/>
      <c r="M3" s="4"/>
    </row>
    <row r="4" spans="1:13" ht="14.25" customHeight="1">
      <c r="A4" s="4"/>
      <c r="B4" s="4"/>
      <c r="C4" s="4"/>
      <c r="D4" s="107"/>
      <c r="E4" s="107"/>
      <c r="F4" s="107"/>
      <c r="G4" s="107"/>
      <c r="H4" s="107"/>
      <c r="I4" s="107"/>
      <c r="J4" s="4"/>
      <c r="K4" s="4"/>
      <c r="L4" s="4"/>
      <c r="M4" s="4"/>
    </row>
    <row r="5" spans="1:13" ht="37.5">
      <c r="A5" s="4"/>
      <c r="B5" s="4"/>
      <c r="C5" s="4"/>
      <c r="D5" s="4"/>
      <c r="E5" s="4"/>
      <c r="F5" s="4"/>
      <c r="G5" s="4"/>
      <c r="H5" s="4"/>
      <c r="I5" s="64" t="s">
        <v>3</v>
      </c>
      <c r="J5" s="64" t="s">
        <v>4</v>
      </c>
      <c r="K5" s="64" t="s">
        <v>5</v>
      </c>
      <c r="L5" s="64" t="s">
        <v>6</v>
      </c>
      <c r="M5" s="4" t="s">
        <v>7</v>
      </c>
    </row>
    <row r="6" spans="1:13">
      <c r="A6" s="3" t="s">
        <v>25</v>
      </c>
      <c r="B6" s="4"/>
      <c r="C6" s="4"/>
      <c r="D6" s="4"/>
      <c r="E6" s="4"/>
      <c r="F6" s="4"/>
      <c r="G6" s="4"/>
      <c r="H6" s="4"/>
      <c r="I6" s="5"/>
      <c r="J6" s="5"/>
      <c r="K6" s="5"/>
      <c r="L6" s="5"/>
      <c r="M6" s="4"/>
    </row>
    <row r="7" spans="1:13">
      <c r="A7" s="3" t="s">
        <v>10</v>
      </c>
      <c r="B7" s="3"/>
      <c r="C7" s="3"/>
      <c r="D7" s="3"/>
      <c r="E7" s="3"/>
      <c r="F7" s="3"/>
      <c r="G7" s="4"/>
      <c r="H7" s="4"/>
      <c r="I7" s="6"/>
      <c r="J7" s="6"/>
      <c r="K7" s="6"/>
      <c r="L7" s="6"/>
      <c r="M7" s="4"/>
    </row>
    <row r="8" spans="1:13">
      <c r="A8" s="4"/>
      <c r="B8" s="4" t="s">
        <v>11</v>
      </c>
      <c r="C8" s="4"/>
      <c r="D8" s="4"/>
      <c r="E8" s="4"/>
      <c r="F8" s="4"/>
      <c r="G8" s="4"/>
      <c r="H8" s="4"/>
      <c r="I8" s="6">
        <v>13658242</v>
      </c>
      <c r="J8" s="6">
        <v>4200000</v>
      </c>
      <c r="K8" s="6"/>
      <c r="L8" s="6">
        <f>SUM(I8:K8)</f>
        <v>17858242</v>
      </c>
      <c r="M8" s="6">
        <f>L8</f>
        <v>17858242</v>
      </c>
    </row>
    <row r="9" spans="1:13">
      <c r="A9" s="4"/>
      <c r="B9" s="4" t="s">
        <v>12</v>
      </c>
      <c r="C9" s="4"/>
      <c r="D9" s="4"/>
      <c r="E9" s="4"/>
      <c r="F9" s="4"/>
      <c r="G9" s="4"/>
      <c r="H9" s="4"/>
      <c r="I9" s="4">
        <v>4132996</v>
      </c>
      <c r="J9" s="4">
        <v>2959935</v>
      </c>
      <c r="K9" s="4">
        <v>-5218322</v>
      </c>
      <c r="L9" s="6">
        <f>SUM(I9:K9)</f>
        <v>1874609</v>
      </c>
      <c r="M9" s="6">
        <f>L9</f>
        <v>1874609</v>
      </c>
    </row>
    <row r="10" spans="1:13">
      <c r="A10" s="3"/>
      <c r="B10" s="3"/>
      <c r="C10" s="3" t="s">
        <v>13</v>
      </c>
      <c r="D10" s="3"/>
      <c r="E10" s="3"/>
      <c r="F10" s="3"/>
      <c r="G10" s="3"/>
      <c r="H10" s="3"/>
      <c r="I10" s="9">
        <f>SUM(I8:I9)</f>
        <v>17791238</v>
      </c>
      <c r="J10" s="9">
        <f>SUM(J8:J9)</f>
        <v>7159935</v>
      </c>
      <c r="K10" s="9">
        <f>SUM(K8:K9)</f>
        <v>-5218322</v>
      </c>
      <c r="L10" s="9">
        <f>SUM(L8:L9)</f>
        <v>19732851</v>
      </c>
      <c r="M10" s="3"/>
    </row>
    <row r="11" spans="1:1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>
      <c r="A12" s="3" t="s">
        <v>445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>
      <c r="A13" s="4" t="s">
        <v>27</v>
      </c>
      <c r="B13" s="4"/>
      <c r="C13" s="4"/>
      <c r="D13" s="4"/>
      <c r="E13" s="4"/>
      <c r="F13" s="4"/>
      <c r="G13" s="4"/>
      <c r="H13" s="4"/>
      <c r="I13" s="4">
        <v>17620900</v>
      </c>
      <c r="J13" s="6">
        <v>3618943</v>
      </c>
      <c r="K13" s="6">
        <v>-67989</v>
      </c>
      <c r="L13" s="6">
        <f>SUM(I13:K13)</f>
        <v>21171854</v>
      </c>
      <c r="M13" s="4"/>
    </row>
    <row r="14" spans="1:13">
      <c r="A14" s="4" t="s">
        <v>28</v>
      </c>
      <c r="B14" s="4"/>
      <c r="C14" s="4"/>
      <c r="D14" s="4"/>
      <c r="E14" s="4"/>
      <c r="F14" s="4"/>
      <c r="G14" s="4"/>
      <c r="H14" s="4"/>
      <c r="I14" s="4">
        <v>4010006</v>
      </c>
      <c r="J14" s="6">
        <v>537366</v>
      </c>
      <c r="K14" s="6"/>
      <c r="L14" s="6">
        <f>SUM(I14:K14)</f>
        <v>4547372</v>
      </c>
      <c r="M14" s="4"/>
    </row>
    <row r="15" spans="1:13">
      <c r="A15" s="4" t="s">
        <v>16</v>
      </c>
      <c r="B15" s="4"/>
      <c r="C15" s="4"/>
      <c r="D15" s="4"/>
      <c r="E15" s="4"/>
      <c r="F15" s="4"/>
      <c r="G15" s="4"/>
      <c r="H15" s="4"/>
      <c r="I15" s="4">
        <v>13718795</v>
      </c>
      <c r="J15" s="6">
        <v>1980858</v>
      </c>
      <c r="K15" s="6">
        <v>-1209497</v>
      </c>
      <c r="L15" s="6">
        <f>SUM(I15:K15)</f>
        <v>14490156</v>
      </c>
      <c r="M15" s="4"/>
    </row>
    <row r="16" spans="1:13">
      <c r="A16" s="4" t="s">
        <v>409</v>
      </c>
      <c r="B16" s="4"/>
      <c r="C16" s="4"/>
      <c r="D16" s="4"/>
      <c r="E16" s="4"/>
      <c r="F16" s="4"/>
      <c r="G16" s="4"/>
      <c r="H16" s="4"/>
      <c r="I16" s="4">
        <v>1838713</v>
      </c>
      <c r="J16" s="6">
        <v>73884</v>
      </c>
      <c r="K16" s="6">
        <v>-45751</v>
      </c>
      <c r="L16" s="6">
        <f>SUM(I16:K16)</f>
        <v>1866846</v>
      </c>
      <c r="M16" s="4"/>
    </row>
    <row r="17" spans="1:13">
      <c r="A17" s="4" t="s">
        <v>18</v>
      </c>
      <c r="B17" s="4"/>
      <c r="C17" s="4"/>
      <c r="D17" s="4"/>
      <c r="E17" s="4"/>
      <c r="F17" s="4"/>
      <c r="G17" s="4"/>
      <c r="H17" s="4"/>
      <c r="I17" s="4">
        <v>57551183</v>
      </c>
      <c r="J17" s="6"/>
      <c r="K17" s="6"/>
      <c r="L17" s="6">
        <f>SUM(I17:K17)</f>
        <v>57551183</v>
      </c>
      <c r="M17" s="4"/>
    </row>
    <row r="18" spans="1:13">
      <c r="A18" s="4"/>
      <c r="B18" s="3" t="s">
        <v>19</v>
      </c>
      <c r="C18" s="3"/>
      <c r="D18" s="4"/>
      <c r="E18" s="4"/>
      <c r="F18" s="4"/>
      <c r="G18" s="4"/>
      <c r="H18" s="4"/>
      <c r="I18" s="14">
        <f>SUM(I13:I17)</f>
        <v>94739597</v>
      </c>
      <c r="J18" s="14">
        <f t="shared" ref="J18:L18" si="0">SUM(J13:J17)</f>
        <v>6211051</v>
      </c>
      <c r="K18" s="14">
        <f t="shared" si="0"/>
        <v>-1323237</v>
      </c>
      <c r="L18" s="14">
        <f t="shared" si="0"/>
        <v>99627411</v>
      </c>
      <c r="M18" s="4"/>
    </row>
    <row r="19" spans="1:1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>
      <c r="A20" s="3" t="s">
        <v>401</v>
      </c>
      <c r="B20" s="4"/>
      <c r="C20" s="4"/>
      <c r="D20" s="4"/>
      <c r="E20" s="4"/>
      <c r="F20" s="4"/>
      <c r="G20" s="4"/>
      <c r="H20" s="4"/>
      <c r="I20" s="4"/>
      <c r="J20" s="6"/>
      <c r="K20" s="6"/>
      <c r="L20" s="6"/>
      <c r="M20" s="4"/>
    </row>
    <row r="21" spans="1:13">
      <c r="A21" s="4" t="s">
        <v>27</v>
      </c>
      <c r="B21" s="4"/>
      <c r="C21" s="4"/>
      <c r="D21" s="4"/>
      <c r="E21" s="4"/>
      <c r="F21" s="4"/>
      <c r="G21" s="4"/>
      <c r="H21" s="4"/>
      <c r="I21" s="6">
        <v>-6292128</v>
      </c>
      <c r="J21" s="6">
        <v>-431339</v>
      </c>
      <c r="K21" s="6">
        <v>31869</v>
      </c>
      <c r="L21" s="6">
        <f>SUM(I21:K21)</f>
        <v>-6691598</v>
      </c>
      <c r="M21" s="6">
        <f>L13+L21</f>
        <v>14480256</v>
      </c>
    </row>
    <row r="22" spans="1:13">
      <c r="A22" s="4" t="s">
        <v>28</v>
      </c>
      <c r="B22" s="4"/>
      <c r="C22" s="4"/>
      <c r="D22" s="4"/>
      <c r="E22" s="4"/>
      <c r="F22" s="4"/>
      <c r="G22" s="4"/>
      <c r="H22" s="4"/>
      <c r="I22" s="6">
        <v>-1134919</v>
      </c>
      <c r="J22" s="6">
        <v>-173648</v>
      </c>
      <c r="K22" s="6"/>
      <c r="L22" s="6">
        <f>SUM(I22:K22)</f>
        <v>-1308567</v>
      </c>
      <c r="M22" s="6">
        <f>L14+L22</f>
        <v>3238805</v>
      </c>
    </row>
    <row r="23" spans="1:13">
      <c r="A23" s="4" t="s">
        <v>16</v>
      </c>
      <c r="B23" s="4"/>
      <c r="C23" s="4"/>
      <c r="D23" s="4"/>
      <c r="E23" s="4"/>
      <c r="F23" s="4"/>
      <c r="G23" s="4"/>
      <c r="H23" s="4"/>
      <c r="I23" s="6">
        <v>-8445413</v>
      </c>
      <c r="J23" s="6">
        <v>-1130799</v>
      </c>
      <c r="K23" s="6">
        <v>1153755</v>
      </c>
      <c r="L23" s="6">
        <f>SUM(I23:K23)</f>
        <v>-8422457</v>
      </c>
      <c r="M23" s="6">
        <f>L15+L23</f>
        <v>6067699</v>
      </c>
    </row>
    <row r="24" spans="1:13">
      <c r="A24" s="4" t="s">
        <v>409</v>
      </c>
      <c r="B24" s="4"/>
      <c r="C24" s="4"/>
      <c r="D24" s="4"/>
      <c r="E24" s="4"/>
      <c r="F24" s="4"/>
      <c r="G24" s="4"/>
      <c r="H24" s="4"/>
      <c r="I24" s="6">
        <v>-1757872</v>
      </c>
      <c r="J24" s="6">
        <v>-80841</v>
      </c>
      <c r="K24" s="6">
        <v>45751</v>
      </c>
      <c r="L24" s="6">
        <f>SUM(I24:K24)</f>
        <v>-1792962</v>
      </c>
      <c r="M24" s="6">
        <f>L16+L24</f>
        <v>73884</v>
      </c>
    </row>
    <row r="25" spans="1:13">
      <c r="A25" s="4" t="s">
        <v>18</v>
      </c>
      <c r="B25" s="4"/>
      <c r="C25" s="4"/>
      <c r="D25" s="4"/>
      <c r="E25" s="4"/>
      <c r="F25" s="4"/>
      <c r="G25" s="4"/>
      <c r="H25" s="4"/>
      <c r="I25" s="4">
        <v>-43395551</v>
      </c>
      <c r="J25" s="6">
        <v>-1469743</v>
      </c>
      <c r="K25" s="6"/>
      <c r="L25" s="6">
        <f>SUM(I25:K25)</f>
        <v>-44865294</v>
      </c>
      <c r="M25" s="6">
        <f>L17+L25</f>
        <v>12685889</v>
      </c>
    </row>
    <row r="26" spans="1:13">
      <c r="A26" s="3" t="s">
        <v>21</v>
      </c>
      <c r="B26" s="3"/>
      <c r="C26" s="3"/>
      <c r="D26" s="4"/>
      <c r="E26" s="4"/>
      <c r="F26" s="4"/>
      <c r="G26" s="4"/>
      <c r="H26" s="4"/>
      <c r="I26" s="11">
        <f>SUM(I21:I25)</f>
        <v>-61025883</v>
      </c>
      <c r="J26" s="11">
        <f t="shared" ref="J26:L26" si="1">SUM(J21:J25)</f>
        <v>-3286370</v>
      </c>
      <c r="K26" s="11">
        <f t="shared" si="1"/>
        <v>1231375</v>
      </c>
      <c r="L26" s="11">
        <f t="shared" si="1"/>
        <v>-63080878</v>
      </c>
      <c r="M26" s="3"/>
    </row>
    <row r="27" spans="1:13">
      <c r="A27" s="3" t="s">
        <v>446</v>
      </c>
      <c r="B27" s="4"/>
      <c r="C27" s="3"/>
      <c r="D27" s="4"/>
      <c r="E27" s="4"/>
      <c r="F27" s="4"/>
      <c r="G27" s="4"/>
      <c r="H27" s="4"/>
      <c r="I27" s="11">
        <f>I18+I26</f>
        <v>33713714</v>
      </c>
      <c r="J27" s="11">
        <f t="shared" ref="J27:L27" si="2">J18+J26</f>
        <v>2924681</v>
      </c>
      <c r="K27" s="11">
        <f t="shared" si="2"/>
        <v>-91862</v>
      </c>
      <c r="L27" s="11">
        <f t="shared" si="2"/>
        <v>36546533</v>
      </c>
      <c r="M27" s="4"/>
    </row>
    <row r="28" spans="1:13">
      <c r="A28" s="3" t="s">
        <v>23</v>
      </c>
      <c r="B28" s="4"/>
      <c r="C28" s="3"/>
      <c r="D28" s="4"/>
      <c r="E28" s="4"/>
      <c r="F28" s="4"/>
      <c r="G28" s="4"/>
      <c r="H28" s="4"/>
      <c r="I28" s="11">
        <f>I10+I27</f>
        <v>51504952</v>
      </c>
      <c r="J28" s="11">
        <f>J10+J27</f>
        <v>10084616</v>
      </c>
      <c r="K28" s="11">
        <f>K10+K27</f>
        <v>-5310184</v>
      </c>
      <c r="L28" s="11">
        <f>L10+L27</f>
        <v>56279384</v>
      </c>
      <c r="M28" s="6">
        <f>SUM(M8:M26)</f>
        <v>56279384</v>
      </c>
    </row>
    <row r="29" spans="1:13">
      <c r="A29" s="4"/>
      <c r="B29" s="4"/>
      <c r="C29" s="3"/>
      <c r="D29" s="4"/>
      <c r="E29" s="4"/>
      <c r="F29" s="4"/>
      <c r="G29" s="4"/>
      <c r="H29" s="4"/>
      <c r="I29" s="27"/>
      <c r="J29" s="27"/>
      <c r="K29" s="27"/>
      <c r="L29" s="27"/>
      <c r="M29" s="4"/>
    </row>
    <row r="30" spans="1:13">
      <c r="A30" s="4"/>
      <c r="B30" s="4"/>
      <c r="C30" s="3"/>
      <c r="D30" s="4"/>
      <c r="E30" s="4"/>
      <c r="F30" s="4"/>
      <c r="G30" s="4"/>
      <c r="H30" s="4"/>
      <c r="I30" s="27"/>
      <c r="J30" s="27"/>
      <c r="K30" s="27"/>
      <c r="L30" s="27"/>
      <c r="M30" s="4"/>
    </row>
    <row r="31" spans="1:13">
      <c r="A31" s="3" t="s">
        <v>34</v>
      </c>
      <c r="B31" s="3"/>
      <c r="C31" s="3"/>
      <c r="D31" s="3"/>
      <c r="E31" s="3"/>
      <c r="F31" s="3"/>
      <c r="G31" s="4"/>
      <c r="H31" s="4"/>
      <c r="I31" s="4"/>
      <c r="J31" s="4"/>
      <c r="K31" s="4"/>
      <c r="L31" s="4"/>
      <c r="M31" s="4"/>
    </row>
    <row r="32" spans="1:13">
      <c r="A32" s="3" t="s">
        <v>10</v>
      </c>
      <c r="B32" s="3"/>
      <c r="C32" s="3"/>
      <c r="D32" s="3"/>
      <c r="E32" s="3"/>
      <c r="F32" s="3"/>
      <c r="G32" s="4"/>
      <c r="H32" s="4"/>
      <c r="I32" s="6"/>
      <c r="J32" s="6"/>
      <c r="K32" s="6"/>
      <c r="L32" s="6"/>
      <c r="M32" s="4"/>
    </row>
    <row r="33" spans="1:13">
      <c r="A33" s="3"/>
      <c r="B33" s="4" t="s">
        <v>11</v>
      </c>
      <c r="C33" s="3"/>
      <c r="D33" s="3"/>
      <c r="E33" s="3"/>
      <c r="F33" s="3"/>
      <c r="G33" s="4"/>
      <c r="H33" s="4"/>
      <c r="I33" s="6">
        <v>50000</v>
      </c>
      <c r="J33" s="6">
        <v>990000</v>
      </c>
      <c r="K33" s="6"/>
      <c r="L33" s="6">
        <f>SUM(I33:K33)</f>
        <v>1040000</v>
      </c>
      <c r="M33" s="6">
        <f>L33</f>
        <v>1040000</v>
      </c>
    </row>
    <row r="34" spans="1:13">
      <c r="A34" s="3"/>
      <c r="B34" s="4" t="s">
        <v>12</v>
      </c>
      <c r="C34" s="3"/>
      <c r="D34" s="3"/>
      <c r="E34" s="3"/>
      <c r="F34" s="3"/>
      <c r="G34" s="4"/>
      <c r="H34" s="4"/>
      <c r="I34" s="6"/>
      <c r="J34" s="6">
        <v>23713</v>
      </c>
      <c r="K34" s="6"/>
      <c r="L34" s="6">
        <f>SUM(I34:K34)</f>
        <v>23713</v>
      </c>
      <c r="M34" s="6">
        <f>L34</f>
        <v>23713</v>
      </c>
    </row>
    <row r="35" spans="1:13">
      <c r="A35" s="3"/>
      <c r="B35" s="3"/>
      <c r="C35" s="3" t="s">
        <v>382</v>
      </c>
      <c r="D35" s="3"/>
      <c r="E35" s="3"/>
      <c r="F35" s="3"/>
      <c r="G35" s="3"/>
      <c r="H35" s="3"/>
      <c r="I35" s="10">
        <f>SUM(I33:I34)</f>
        <v>50000</v>
      </c>
      <c r="J35" s="10">
        <f>SUM(J33:J34)</f>
        <v>1013713</v>
      </c>
      <c r="K35" s="10">
        <f>SUM(K33:K34)</f>
        <v>0</v>
      </c>
      <c r="L35" s="10">
        <f>SUM(L33:L34)</f>
        <v>1063713</v>
      </c>
      <c r="M35" s="4"/>
    </row>
    <row r="37" spans="1:13">
      <c r="A37" s="3" t="s">
        <v>445</v>
      </c>
      <c r="B37" s="2"/>
      <c r="C37" s="3"/>
      <c r="D37" s="4"/>
      <c r="E37" s="4"/>
      <c r="F37" s="4"/>
      <c r="G37" s="4"/>
      <c r="H37" s="4"/>
      <c r="I37" s="31"/>
      <c r="J37" s="31"/>
      <c r="K37" s="31"/>
      <c r="L37" s="31"/>
      <c r="M37" s="4"/>
    </row>
    <row r="38" spans="1:13">
      <c r="A38" s="4" t="s">
        <v>27</v>
      </c>
      <c r="B38" s="2"/>
      <c r="C38" s="3"/>
      <c r="D38" s="4"/>
      <c r="E38" s="4"/>
      <c r="F38" s="4"/>
      <c r="G38" s="4"/>
      <c r="H38" s="4"/>
      <c r="I38" s="32">
        <v>8587968</v>
      </c>
      <c r="J38" s="32"/>
      <c r="K38" s="32">
        <v>-1839861</v>
      </c>
      <c r="L38" s="32">
        <f>SUM(I38:K38)</f>
        <v>6748107</v>
      </c>
      <c r="M38" s="4"/>
    </row>
    <row r="39" spans="1:13">
      <c r="A39" s="4" t="s">
        <v>447</v>
      </c>
      <c r="B39" s="2"/>
      <c r="C39" s="3"/>
      <c r="D39" s="4"/>
      <c r="E39" s="4"/>
      <c r="F39" s="4"/>
      <c r="G39" s="4"/>
      <c r="H39" s="4"/>
      <c r="I39" s="32">
        <v>2098948</v>
      </c>
      <c r="J39" s="32"/>
      <c r="K39" s="32">
        <v>0</v>
      </c>
      <c r="L39" s="32">
        <f>SUM(I39:K39)</f>
        <v>2098948</v>
      </c>
      <c r="M39" s="4"/>
    </row>
    <row r="40" spans="1:13">
      <c r="A40" s="4" t="s">
        <v>448</v>
      </c>
      <c r="B40" s="2"/>
      <c r="C40" s="3"/>
      <c r="D40" s="4"/>
      <c r="E40" s="4"/>
      <c r="F40" s="4"/>
      <c r="G40" s="4"/>
      <c r="H40" s="4"/>
      <c r="I40" s="32">
        <v>21854558</v>
      </c>
      <c r="J40" s="32"/>
      <c r="K40" s="32">
        <v>0</v>
      </c>
      <c r="L40" s="32">
        <f>SUM(I40:K40)</f>
        <v>21854558</v>
      </c>
      <c r="M40" s="4"/>
    </row>
    <row r="41" spans="1:13">
      <c r="A41" s="4" t="s">
        <v>449</v>
      </c>
      <c r="B41" s="2"/>
      <c r="C41" s="3"/>
      <c r="D41" s="4"/>
      <c r="E41" s="4"/>
      <c r="F41" s="4"/>
      <c r="G41" s="4"/>
      <c r="H41" s="4"/>
      <c r="I41" s="32">
        <v>749090</v>
      </c>
      <c r="J41" s="32"/>
      <c r="K41" s="32">
        <v>-5473</v>
      </c>
      <c r="L41" s="32">
        <f>SUM(I41:K41)</f>
        <v>743617</v>
      </c>
      <c r="M41" s="4"/>
    </row>
    <row r="42" spans="1:13">
      <c r="A42" s="4" t="s">
        <v>123</v>
      </c>
      <c r="B42" s="2"/>
      <c r="C42" s="3"/>
      <c r="D42" s="4"/>
      <c r="E42" s="4"/>
      <c r="F42" s="4"/>
      <c r="G42" s="4"/>
      <c r="H42" s="4"/>
      <c r="I42" s="32">
        <v>508250</v>
      </c>
      <c r="J42" s="32">
        <v>42253</v>
      </c>
      <c r="K42" s="32">
        <v>-86835</v>
      </c>
      <c r="L42" s="32">
        <f>SUM(I42:K42)</f>
        <v>463668</v>
      </c>
      <c r="M42" s="4"/>
    </row>
    <row r="43" spans="1:13">
      <c r="A43" s="1" t="s">
        <v>356</v>
      </c>
      <c r="B43" s="4"/>
      <c r="C43" s="1"/>
      <c r="D43" s="2"/>
      <c r="E43" s="2"/>
      <c r="F43" s="2"/>
      <c r="G43" s="2"/>
      <c r="H43" s="2"/>
      <c r="I43" s="30">
        <f>SUM(I38:I42)</f>
        <v>33798814</v>
      </c>
      <c r="J43" s="30">
        <f t="shared" ref="J43:L43" si="3">SUM(J38:J42)</f>
        <v>42253</v>
      </c>
      <c r="K43" s="30">
        <f t="shared" si="3"/>
        <v>-1932169</v>
      </c>
      <c r="L43" s="30">
        <f t="shared" si="3"/>
        <v>31908898</v>
      </c>
      <c r="M43" s="4"/>
    </row>
    <row r="44" spans="1:13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4"/>
    </row>
    <row r="45" spans="1:13">
      <c r="A45" s="3" t="s">
        <v>401</v>
      </c>
      <c r="B45" s="1"/>
      <c r="C45" s="2"/>
      <c r="D45" s="2"/>
      <c r="E45" s="2"/>
      <c r="F45" s="2"/>
      <c r="G45" s="2"/>
      <c r="H45" s="2"/>
      <c r="I45" s="31"/>
      <c r="J45" s="31"/>
      <c r="K45" s="31"/>
      <c r="L45" s="31"/>
      <c r="M45" s="4"/>
    </row>
    <row r="46" spans="1:13">
      <c r="A46" s="4" t="s">
        <v>27</v>
      </c>
      <c r="B46" s="2"/>
      <c r="C46" s="2"/>
      <c r="D46" s="2"/>
      <c r="E46" s="2"/>
      <c r="F46" s="2"/>
      <c r="G46" s="2"/>
      <c r="H46" s="2"/>
      <c r="I46" s="2">
        <v>-5143752</v>
      </c>
      <c r="J46" s="2">
        <v>-188708</v>
      </c>
      <c r="K46" s="2">
        <v>0</v>
      </c>
      <c r="L46" s="2">
        <f>SUM(I46:K46)</f>
        <v>-5332460</v>
      </c>
      <c r="M46" s="6">
        <f>L38+L46</f>
        <v>1415647</v>
      </c>
    </row>
    <row r="47" spans="1:13">
      <c r="A47" s="4" t="s">
        <v>447</v>
      </c>
      <c r="B47" s="4"/>
      <c r="C47" s="2"/>
      <c r="D47" s="2"/>
      <c r="E47" s="2"/>
      <c r="F47" s="2"/>
      <c r="G47" s="2"/>
      <c r="H47" s="2"/>
      <c r="I47" s="2">
        <v>-1547366</v>
      </c>
      <c r="J47" s="2">
        <v>-22122</v>
      </c>
      <c r="K47" s="2">
        <v>0</v>
      </c>
      <c r="L47" s="2">
        <f>SUM(I47:K47)</f>
        <v>-1569488</v>
      </c>
      <c r="M47" s="6">
        <f>L39+L47</f>
        <v>529460</v>
      </c>
    </row>
    <row r="48" spans="1:13">
      <c r="A48" s="4" t="s">
        <v>448</v>
      </c>
      <c r="B48" s="4"/>
      <c r="C48" s="2"/>
      <c r="D48" s="2"/>
      <c r="E48" s="2"/>
      <c r="F48" s="2"/>
      <c r="G48" s="2"/>
      <c r="H48" s="2"/>
      <c r="I48" s="2">
        <v>-9882226</v>
      </c>
      <c r="J48" s="2">
        <v>-613599</v>
      </c>
      <c r="K48" s="2">
        <v>0</v>
      </c>
      <c r="L48" s="2">
        <f>SUM(I48:K48)</f>
        <v>-10495825</v>
      </c>
      <c r="M48" s="6">
        <f>L40+L48</f>
        <v>11358733</v>
      </c>
    </row>
    <row r="49" spans="1:13">
      <c r="A49" s="4" t="s">
        <v>449</v>
      </c>
      <c r="B49" s="4"/>
      <c r="C49" s="2"/>
      <c r="D49" s="2"/>
      <c r="E49" s="2"/>
      <c r="F49" s="2"/>
      <c r="G49" s="2"/>
      <c r="H49" s="2"/>
      <c r="I49" s="2">
        <v>-729423</v>
      </c>
      <c r="J49" s="2">
        <v>-7475</v>
      </c>
      <c r="K49" s="2">
        <v>5473</v>
      </c>
      <c r="L49" s="2">
        <f>SUM(I49:K49)</f>
        <v>-731425</v>
      </c>
      <c r="M49" s="6">
        <f>L41+L49</f>
        <v>12192</v>
      </c>
    </row>
    <row r="50" spans="1:13">
      <c r="A50" s="4" t="s">
        <v>123</v>
      </c>
      <c r="B50" s="3"/>
      <c r="C50" s="1"/>
      <c r="D50" s="2"/>
      <c r="E50" s="2"/>
      <c r="F50" s="2"/>
      <c r="G50" s="2"/>
      <c r="H50" s="2"/>
      <c r="I50" s="35">
        <v>-372011</v>
      </c>
      <c r="J50" s="35">
        <v>-32974</v>
      </c>
      <c r="K50" s="35">
        <v>81836</v>
      </c>
      <c r="L50" s="36">
        <f>SUM(I50:K50)</f>
        <v>-323149</v>
      </c>
      <c r="M50" s="6">
        <f>L42+L50</f>
        <v>140519</v>
      </c>
    </row>
    <row r="51" spans="1:13">
      <c r="A51" s="1" t="s">
        <v>21</v>
      </c>
      <c r="B51" s="1"/>
      <c r="C51" s="2"/>
      <c r="D51" s="2"/>
      <c r="E51" s="2"/>
      <c r="F51" s="2"/>
      <c r="G51" s="2"/>
      <c r="H51" s="2"/>
      <c r="I51" s="37">
        <f>SUM(I46:I50)</f>
        <v>-17674778</v>
      </c>
      <c r="J51" s="37">
        <f t="shared" ref="J51:L51" si="4">SUM(J46:J50)</f>
        <v>-864878</v>
      </c>
      <c r="K51" s="37">
        <f t="shared" si="4"/>
        <v>87309</v>
      </c>
      <c r="L51" s="37">
        <f t="shared" si="4"/>
        <v>-18452347</v>
      </c>
      <c r="M51" s="4"/>
    </row>
    <row r="52" spans="1:13">
      <c r="A52" s="3" t="s">
        <v>446</v>
      </c>
      <c r="B52" s="1"/>
      <c r="C52" s="2"/>
      <c r="D52" s="2"/>
      <c r="E52" s="2"/>
      <c r="F52" s="2"/>
      <c r="G52" s="2"/>
      <c r="H52" s="2"/>
      <c r="I52" s="33">
        <f>I43+I51</f>
        <v>16124036</v>
      </c>
      <c r="J52" s="33">
        <f t="shared" ref="J52:K52" si="5">J43+J51</f>
        <v>-822625</v>
      </c>
      <c r="K52" s="33">
        <f t="shared" si="5"/>
        <v>-1844860</v>
      </c>
      <c r="L52" s="33">
        <f>SUM(I52:K52)</f>
        <v>13456551</v>
      </c>
      <c r="M52" s="4"/>
    </row>
    <row r="53" spans="1:13" ht="19.5" thickBot="1">
      <c r="A53" s="3" t="s">
        <v>41</v>
      </c>
      <c r="B53" s="1"/>
      <c r="C53" s="2"/>
      <c r="D53" s="2"/>
      <c r="E53" s="2"/>
      <c r="F53" s="2"/>
      <c r="G53" s="2"/>
      <c r="H53" s="2"/>
      <c r="I53" s="38">
        <f>I35+I52</f>
        <v>16174036</v>
      </c>
      <c r="J53" s="38">
        <f t="shared" ref="J53" si="6">J35+J52</f>
        <v>191088</v>
      </c>
      <c r="K53" s="38">
        <v>-1844860</v>
      </c>
      <c r="L53" s="38">
        <f>SUM(I53:K53)</f>
        <v>14520264</v>
      </c>
      <c r="M53" s="6">
        <f>SUM(M33:M51)</f>
        <v>14520264</v>
      </c>
    </row>
    <row r="54" spans="1:13">
      <c r="A54" s="3"/>
      <c r="B54" s="3"/>
      <c r="C54" s="2"/>
      <c r="D54" s="2"/>
      <c r="E54" s="2"/>
      <c r="F54" s="2"/>
      <c r="G54" s="2"/>
      <c r="H54" s="2"/>
      <c r="I54" s="31"/>
      <c r="J54" s="31"/>
      <c r="K54" s="31"/>
      <c r="L54" s="31"/>
      <c r="M54" s="4"/>
    </row>
  </sheetData>
  <mergeCells count="3">
    <mergeCell ref="D1:I1"/>
    <mergeCell ref="D2:I2"/>
    <mergeCell ref="D3:I3"/>
  </mergeCells>
  <phoneticPr fontId="15" type="noConversion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M51"/>
  <sheetViews>
    <sheetView zoomScale="80" zoomScaleNormal="80" zoomScalePageLayoutView="80" workbookViewId="0">
      <selection activeCell="L49" sqref="L49"/>
    </sheetView>
  </sheetViews>
  <sheetFormatPr defaultColWidth="8.85546875" defaultRowHeight="18.75"/>
  <cols>
    <col min="1" max="1" width="4.42578125" style="29" customWidth="1"/>
    <col min="2" max="3" width="4.7109375" style="29" customWidth="1"/>
    <col min="4" max="6" width="8.85546875" style="29"/>
    <col min="7" max="7" width="14.28515625" style="29" bestFit="1" customWidth="1"/>
    <col min="8" max="8" width="12.7109375" style="29" bestFit="1" customWidth="1"/>
    <col min="9" max="9" width="18.85546875" style="29" customWidth="1"/>
    <col min="10" max="10" width="14.28515625" style="29" bestFit="1" customWidth="1"/>
    <col min="11" max="11" width="19.85546875" style="29" bestFit="1" customWidth="1"/>
    <col min="12" max="12" width="15.85546875" style="29" bestFit="1" customWidth="1"/>
    <col min="13" max="13" width="20" style="29" customWidth="1"/>
    <col min="14" max="16384" width="8.85546875" style="29"/>
  </cols>
  <sheetData>
    <row r="1" spans="1:13">
      <c r="A1" s="4"/>
      <c r="B1" s="4"/>
      <c r="C1" s="4"/>
      <c r="D1" s="109" t="s">
        <v>450</v>
      </c>
      <c r="E1" s="109"/>
      <c r="F1" s="109"/>
      <c r="G1" s="109"/>
      <c r="H1" s="109"/>
      <c r="I1" s="109"/>
      <c r="J1" s="4"/>
      <c r="K1" s="4"/>
      <c r="L1" s="4"/>
      <c r="M1" s="4"/>
    </row>
    <row r="2" spans="1:13">
      <c r="A2" s="4"/>
      <c r="B2" s="4"/>
      <c r="C2" s="4"/>
      <c r="D2" s="109" t="s">
        <v>1</v>
      </c>
      <c r="E2" s="109"/>
      <c r="F2" s="109"/>
      <c r="G2" s="109"/>
      <c r="H2" s="109"/>
      <c r="I2" s="109"/>
      <c r="J2" s="4"/>
      <c r="K2" s="4"/>
      <c r="L2" s="4"/>
      <c r="M2" s="4"/>
    </row>
    <row r="3" spans="1:13">
      <c r="A3" s="4"/>
      <c r="B3" s="4"/>
      <c r="C3" s="4"/>
      <c r="D3" s="109" t="s">
        <v>2</v>
      </c>
      <c r="E3" s="109"/>
      <c r="F3" s="109"/>
      <c r="G3" s="109"/>
      <c r="H3" s="109"/>
      <c r="I3" s="109"/>
      <c r="J3" s="4"/>
      <c r="K3" s="4"/>
      <c r="L3" s="4"/>
      <c r="M3" s="4"/>
    </row>
    <row r="4" spans="1:13" ht="14.25" customHeight="1">
      <c r="A4" s="4"/>
      <c r="B4" s="4"/>
      <c r="C4" s="4"/>
      <c r="D4" s="107"/>
      <c r="E4" s="107"/>
      <c r="F4" s="107"/>
      <c r="G4" s="107"/>
      <c r="H4" s="107"/>
      <c r="I4" s="107"/>
      <c r="J4" s="4"/>
      <c r="K4" s="4"/>
      <c r="L4" s="4"/>
      <c r="M4" s="4"/>
    </row>
    <row r="5" spans="1:13" ht="37.5">
      <c r="A5" s="4"/>
      <c r="B5" s="4"/>
      <c r="C5" s="4"/>
      <c r="D5" s="4"/>
      <c r="E5" s="4"/>
      <c r="F5" s="4"/>
      <c r="G5" s="4"/>
      <c r="H5" s="4"/>
      <c r="I5" s="63">
        <v>41275</v>
      </c>
      <c r="J5" s="64" t="s">
        <v>60</v>
      </c>
      <c r="K5" s="64" t="s">
        <v>451</v>
      </c>
      <c r="L5" s="64" t="s">
        <v>452</v>
      </c>
      <c r="M5" s="4" t="s">
        <v>7</v>
      </c>
    </row>
    <row r="6" spans="1:13">
      <c r="A6" s="19" t="s">
        <v>396</v>
      </c>
      <c r="B6" s="19"/>
      <c r="C6" s="19"/>
      <c r="D6" s="19"/>
      <c r="E6" s="19"/>
      <c r="F6" s="19"/>
      <c r="G6" s="4"/>
      <c r="H6" s="4"/>
      <c r="I6" s="4"/>
      <c r="J6" s="4"/>
      <c r="K6" s="4"/>
      <c r="L6" s="4"/>
      <c r="M6" s="4"/>
    </row>
    <row r="7" spans="1:13">
      <c r="A7" s="3" t="s">
        <v>10</v>
      </c>
      <c r="B7" s="3"/>
      <c r="C7" s="3"/>
      <c r="D7" s="3"/>
      <c r="E7" s="3"/>
      <c r="F7" s="3"/>
      <c r="G7" s="4"/>
      <c r="H7" s="4"/>
      <c r="I7" s="6"/>
      <c r="J7" s="6"/>
      <c r="K7" s="6"/>
      <c r="L7" s="6"/>
      <c r="M7" s="4"/>
    </row>
    <row r="8" spans="1:13">
      <c r="A8" s="4"/>
      <c r="B8" s="4" t="s">
        <v>11</v>
      </c>
      <c r="C8" s="4"/>
      <c r="D8" s="4"/>
      <c r="E8" s="4"/>
      <c r="F8" s="4"/>
      <c r="G8" s="4"/>
      <c r="H8" s="4"/>
      <c r="I8" s="6">
        <v>3642983</v>
      </c>
      <c r="J8" s="6">
        <v>333271</v>
      </c>
      <c r="K8" s="6"/>
      <c r="L8" s="6">
        <f>SUM(I8:K8)</f>
        <v>3976254</v>
      </c>
      <c r="M8" s="6">
        <f>L8</f>
        <v>3976254</v>
      </c>
    </row>
    <row r="9" spans="1:13">
      <c r="A9" s="4"/>
      <c r="B9" s="4" t="s">
        <v>12</v>
      </c>
      <c r="C9" s="4"/>
      <c r="D9" s="4"/>
      <c r="E9" s="4"/>
      <c r="F9" s="4"/>
      <c r="G9" s="4"/>
      <c r="H9" s="4"/>
      <c r="I9" s="6">
        <v>5859778</v>
      </c>
      <c r="J9" s="6">
        <v>3359658</v>
      </c>
      <c r="K9" s="6">
        <v>-4472375</v>
      </c>
      <c r="L9" s="6">
        <f>SUM(I9:K9)</f>
        <v>4747061</v>
      </c>
      <c r="M9" s="6">
        <f>L9</f>
        <v>4747061</v>
      </c>
    </row>
    <row r="10" spans="1:13">
      <c r="A10" s="3"/>
      <c r="B10" s="39" t="s">
        <v>13</v>
      </c>
      <c r="C10" s="39"/>
      <c r="D10" s="39"/>
      <c r="E10" s="39"/>
      <c r="F10" s="39"/>
      <c r="G10" s="39"/>
      <c r="H10" s="3"/>
      <c r="I10" s="10">
        <f>SUM(I8:I9)</f>
        <v>9502761</v>
      </c>
      <c r="J10" s="10">
        <f>SUM(J8:J9)</f>
        <v>3692929</v>
      </c>
      <c r="K10" s="10">
        <f>SUM(K8:K9)</f>
        <v>-4472375</v>
      </c>
      <c r="L10" s="10">
        <f>SUM(L8:L9)</f>
        <v>8723315</v>
      </c>
      <c r="M10" s="3"/>
    </row>
    <row r="11" spans="1:13">
      <c r="A11" s="3"/>
      <c r="B11" s="39"/>
      <c r="C11" s="39"/>
      <c r="D11" s="39"/>
      <c r="E11" s="39"/>
      <c r="F11" s="39"/>
      <c r="G11" s="39"/>
      <c r="H11" s="3"/>
      <c r="I11" s="28"/>
      <c r="J11" s="28"/>
      <c r="K11" s="28"/>
      <c r="L11" s="28"/>
      <c r="M11" s="3"/>
    </row>
    <row r="12" spans="1:13">
      <c r="A12" s="3" t="s">
        <v>400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>
      <c r="A13" s="3"/>
      <c r="B13" s="4" t="s">
        <v>417</v>
      </c>
      <c r="C13" s="4"/>
      <c r="D13" s="4"/>
      <c r="E13" s="4"/>
      <c r="F13" s="4"/>
      <c r="G13" s="4"/>
      <c r="H13" s="4"/>
      <c r="I13" s="4">
        <v>32751686</v>
      </c>
      <c r="J13" s="4">
        <v>700882</v>
      </c>
      <c r="K13" s="4"/>
      <c r="L13" s="4">
        <f>SUM(I13:K13)</f>
        <v>33452568</v>
      </c>
      <c r="M13" s="4"/>
    </row>
    <row r="14" spans="1:13">
      <c r="A14" s="3"/>
      <c r="B14" s="4" t="s">
        <v>453</v>
      </c>
      <c r="C14" s="4"/>
      <c r="D14" s="4"/>
      <c r="E14" s="4"/>
      <c r="F14" s="4"/>
      <c r="G14" s="4"/>
      <c r="H14" s="4"/>
      <c r="I14" s="4">
        <v>169103456</v>
      </c>
      <c r="J14" s="4">
        <v>1084264</v>
      </c>
      <c r="K14" s="4"/>
      <c r="L14" s="4">
        <f>SUM(I14:K14)</f>
        <v>170187720</v>
      </c>
      <c r="M14" s="4"/>
    </row>
    <row r="15" spans="1:13">
      <c r="A15" s="3"/>
      <c r="B15" s="4" t="s">
        <v>454</v>
      </c>
      <c r="C15" s="4"/>
      <c r="D15" s="4"/>
      <c r="E15" s="4"/>
      <c r="F15" s="4"/>
      <c r="G15" s="4"/>
      <c r="H15" s="4"/>
      <c r="I15" s="4">
        <v>19628005</v>
      </c>
      <c r="J15" s="4">
        <v>1575199</v>
      </c>
      <c r="K15" s="4"/>
      <c r="L15" s="4">
        <f>SUM(I15:K15)</f>
        <v>21203204</v>
      </c>
      <c r="M15" s="4"/>
    </row>
    <row r="16" spans="1:13">
      <c r="A16" s="4"/>
      <c r="B16" s="4" t="s">
        <v>434</v>
      </c>
      <c r="C16" s="4"/>
      <c r="D16" s="4"/>
      <c r="E16" s="4"/>
      <c r="F16" s="4"/>
      <c r="G16" s="4"/>
      <c r="H16" s="4"/>
      <c r="I16" s="4">
        <v>9693985</v>
      </c>
      <c r="J16" s="6">
        <v>156902</v>
      </c>
      <c r="K16" s="6"/>
      <c r="L16" s="4">
        <f>SUM(I16:K16)</f>
        <v>9850887</v>
      </c>
      <c r="M16" s="4"/>
    </row>
    <row r="17" spans="1:13">
      <c r="A17" s="4"/>
      <c r="B17" s="4" t="s">
        <v>30</v>
      </c>
      <c r="C17" s="4"/>
      <c r="D17" s="4"/>
      <c r="E17" s="4"/>
      <c r="F17" s="4"/>
      <c r="G17" s="4"/>
      <c r="H17" s="4"/>
      <c r="I17" s="4">
        <v>8709190</v>
      </c>
      <c r="J17" s="6">
        <v>708389</v>
      </c>
      <c r="K17" s="6">
        <v>-33922</v>
      </c>
      <c r="L17" s="4">
        <f>SUM(I17:K17)</f>
        <v>9383657</v>
      </c>
      <c r="M17" s="4"/>
    </row>
    <row r="18" spans="1:13">
      <c r="A18" s="4"/>
      <c r="B18" s="39" t="s">
        <v>19</v>
      </c>
      <c r="C18" s="3"/>
      <c r="D18" s="4"/>
      <c r="E18" s="4"/>
      <c r="F18" s="4"/>
      <c r="G18" s="4"/>
      <c r="H18" s="4"/>
      <c r="I18" s="11">
        <f>SUM(I13:I17)</f>
        <v>239886322</v>
      </c>
      <c r="J18" s="11">
        <f>SUM(J13:J17)</f>
        <v>4225636</v>
      </c>
      <c r="K18" s="11">
        <f>SUM(K13:K17)</f>
        <v>-33922</v>
      </c>
      <c r="L18" s="11">
        <f>SUM(L13:L17)</f>
        <v>244078036</v>
      </c>
      <c r="M18" s="4"/>
    </row>
    <row r="19" spans="1:13">
      <c r="A19" s="4"/>
      <c r="B19" s="39"/>
      <c r="C19" s="3"/>
      <c r="D19" s="4"/>
      <c r="E19" s="4"/>
      <c r="F19" s="4"/>
      <c r="G19" s="4"/>
      <c r="H19" s="4"/>
      <c r="I19" s="27"/>
      <c r="J19" s="27"/>
      <c r="K19" s="27"/>
      <c r="L19" s="27"/>
      <c r="M19" s="4"/>
    </row>
    <row r="20" spans="1:13">
      <c r="A20" s="3" t="s">
        <v>20</v>
      </c>
      <c r="B20" s="4"/>
      <c r="C20" s="4"/>
      <c r="D20" s="4"/>
      <c r="E20" s="4"/>
      <c r="F20" s="4"/>
      <c r="G20" s="4"/>
      <c r="H20" s="4"/>
      <c r="I20" s="4"/>
      <c r="J20" s="6"/>
      <c r="K20" s="6"/>
      <c r="L20" s="6"/>
      <c r="M20" s="4"/>
    </row>
    <row r="21" spans="1:13">
      <c r="A21" s="4"/>
      <c r="B21" s="4" t="s">
        <v>417</v>
      </c>
      <c r="C21" s="4"/>
      <c r="D21" s="4"/>
      <c r="E21" s="4"/>
      <c r="F21" s="4"/>
      <c r="G21" s="4"/>
      <c r="H21" s="4"/>
      <c r="I21" s="6">
        <v>8071528</v>
      </c>
      <c r="J21" s="6">
        <v>896256</v>
      </c>
      <c r="K21" s="6"/>
      <c r="L21" s="6">
        <f t="shared" ref="L21:L28" si="0">SUM(I21:K21)</f>
        <v>8967784</v>
      </c>
      <c r="M21" s="6">
        <f>L13-L21</f>
        <v>24484784</v>
      </c>
    </row>
    <row r="22" spans="1:13">
      <c r="A22" s="4"/>
      <c r="B22" s="4" t="s">
        <v>453</v>
      </c>
      <c r="C22" s="4"/>
      <c r="D22" s="4"/>
      <c r="E22" s="4"/>
      <c r="F22" s="4"/>
      <c r="G22" s="4"/>
      <c r="H22" s="4"/>
      <c r="I22" s="6">
        <v>143634340</v>
      </c>
      <c r="J22" s="6">
        <v>1882478</v>
      </c>
      <c r="K22" s="6"/>
      <c r="L22" s="6">
        <f t="shared" si="0"/>
        <v>145516818</v>
      </c>
      <c r="M22" s="6">
        <f>L14-L22</f>
        <v>24670902</v>
      </c>
    </row>
    <row r="23" spans="1:13">
      <c r="A23" s="4"/>
      <c r="B23" s="4" t="s">
        <v>454</v>
      </c>
      <c r="C23" s="4"/>
      <c r="D23" s="4"/>
      <c r="E23" s="4"/>
      <c r="F23" s="4"/>
      <c r="G23" s="4"/>
      <c r="H23" s="4"/>
      <c r="I23" s="6">
        <v>5647860</v>
      </c>
      <c r="J23" s="6">
        <v>510861</v>
      </c>
      <c r="K23" s="6"/>
      <c r="L23" s="6">
        <f t="shared" si="0"/>
        <v>6158721</v>
      </c>
      <c r="M23" s="6">
        <f>L15-L23</f>
        <v>15044483</v>
      </c>
    </row>
    <row r="24" spans="1:13">
      <c r="A24" s="4"/>
      <c r="B24" s="4" t="s">
        <v>434</v>
      </c>
      <c r="C24" s="4"/>
      <c r="D24" s="4"/>
      <c r="E24" s="4"/>
      <c r="F24" s="4"/>
      <c r="G24" s="4"/>
      <c r="H24" s="4"/>
      <c r="I24" s="6">
        <v>7173483</v>
      </c>
      <c r="J24" s="6">
        <v>506539</v>
      </c>
      <c r="K24" s="6"/>
      <c r="L24" s="6">
        <f t="shared" si="0"/>
        <v>7680022</v>
      </c>
      <c r="M24" s="6">
        <f>L16-L24</f>
        <v>2170865</v>
      </c>
    </row>
    <row r="25" spans="1:13">
      <c r="A25" s="4"/>
      <c r="B25" s="4" t="s">
        <v>30</v>
      </c>
      <c r="C25" s="4"/>
      <c r="D25" s="4"/>
      <c r="E25" s="4"/>
      <c r="F25" s="4"/>
      <c r="G25" s="4"/>
      <c r="H25" s="4"/>
      <c r="I25" s="6">
        <v>6701206</v>
      </c>
      <c r="J25" s="6">
        <v>423597</v>
      </c>
      <c r="K25" s="6">
        <v>-31020</v>
      </c>
      <c r="L25" s="6">
        <f t="shared" si="0"/>
        <v>7093783</v>
      </c>
      <c r="M25" s="6">
        <f>L17-L25</f>
        <v>2289874</v>
      </c>
    </row>
    <row r="26" spans="1:13">
      <c r="A26" s="3"/>
      <c r="B26" s="3" t="s">
        <v>21</v>
      </c>
      <c r="C26" s="3"/>
      <c r="D26" s="4"/>
      <c r="E26" s="4"/>
      <c r="F26" s="4"/>
      <c r="G26" s="4"/>
      <c r="H26" s="4"/>
      <c r="I26" s="11">
        <v>171228417</v>
      </c>
      <c r="J26" s="11">
        <f>SUM(J21:J25)</f>
        <v>4219731</v>
      </c>
      <c r="K26" s="11">
        <f>SUM(K21:K25)</f>
        <v>-31020</v>
      </c>
      <c r="L26" s="11">
        <f t="shared" si="0"/>
        <v>175417128</v>
      </c>
      <c r="M26" s="3"/>
    </row>
    <row r="27" spans="1:13">
      <c r="A27" s="39" t="s">
        <v>22</v>
      </c>
      <c r="B27" s="39"/>
      <c r="C27" s="3"/>
      <c r="D27" s="4"/>
      <c r="E27" s="4"/>
      <c r="F27" s="4"/>
      <c r="G27" s="4"/>
      <c r="H27" s="4"/>
      <c r="I27" s="11">
        <v>68657905</v>
      </c>
      <c r="J27" s="11">
        <v>5905</v>
      </c>
      <c r="K27" s="11">
        <v>-2902</v>
      </c>
      <c r="L27" s="11">
        <f t="shared" si="0"/>
        <v>68660908</v>
      </c>
      <c r="M27" s="3"/>
    </row>
    <row r="28" spans="1:13">
      <c r="A28" s="39" t="s">
        <v>84</v>
      </c>
      <c r="B28" s="4"/>
      <c r="C28" s="3"/>
      <c r="D28" s="4"/>
      <c r="E28" s="4"/>
      <c r="F28" s="4"/>
      <c r="G28" s="4"/>
      <c r="H28" s="4"/>
      <c r="I28" s="11">
        <v>78160666</v>
      </c>
      <c r="J28" s="11">
        <v>3698834</v>
      </c>
      <c r="K28" s="11">
        <v>-4475277</v>
      </c>
      <c r="L28" s="11">
        <f t="shared" si="0"/>
        <v>77384223</v>
      </c>
      <c r="M28" s="6">
        <f>SUM(M8:M26)</f>
        <v>77384223</v>
      </c>
    </row>
    <row r="29" spans="1:13">
      <c r="A29" s="4"/>
      <c r="B29" s="4"/>
      <c r="C29" s="3"/>
      <c r="D29" s="4"/>
      <c r="E29" s="4"/>
      <c r="F29" s="4"/>
      <c r="G29" s="4"/>
      <c r="H29" s="4"/>
      <c r="I29" s="27"/>
      <c r="J29" s="27"/>
      <c r="K29" s="27"/>
      <c r="L29" s="27"/>
      <c r="M29" s="4"/>
    </row>
    <row r="30" spans="1:13">
      <c r="A30" s="4"/>
      <c r="B30" s="4"/>
      <c r="C30" s="3"/>
      <c r="D30" s="4"/>
      <c r="E30" s="4"/>
      <c r="F30" s="4"/>
      <c r="G30" s="4"/>
      <c r="H30" s="4"/>
      <c r="I30" s="27"/>
      <c r="J30" s="27"/>
      <c r="K30" s="27"/>
      <c r="L30" s="27"/>
      <c r="M30" s="4"/>
    </row>
    <row r="31" spans="1:13">
      <c r="A31" s="3" t="s">
        <v>34</v>
      </c>
      <c r="B31" s="3"/>
      <c r="C31" s="3"/>
      <c r="D31" s="3"/>
      <c r="E31" s="3"/>
      <c r="F31" s="3"/>
      <c r="G31" s="4"/>
      <c r="H31" s="4"/>
      <c r="I31" s="4"/>
      <c r="J31" s="4"/>
      <c r="K31" s="4"/>
      <c r="L31" s="4"/>
      <c r="M31" s="4"/>
    </row>
    <row r="32" spans="1:13">
      <c r="A32" s="3" t="s">
        <v>10</v>
      </c>
      <c r="B32" s="3"/>
      <c r="C32" s="3"/>
      <c r="D32" s="3"/>
      <c r="E32" s="3"/>
      <c r="F32" s="3"/>
      <c r="G32" s="4"/>
      <c r="H32" s="4"/>
      <c r="I32" s="6"/>
      <c r="J32" s="6"/>
      <c r="K32" s="6"/>
      <c r="L32" s="4"/>
      <c r="M32" s="4"/>
    </row>
    <row r="33" spans="1:13">
      <c r="A33" s="3"/>
      <c r="B33" s="4" t="s">
        <v>11</v>
      </c>
      <c r="C33" s="3"/>
      <c r="D33" s="3"/>
      <c r="E33" s="3"/>
      <c r="F33" s="3"/>
      <c r="G33" s="4"/>
      <c r="H33" s="4"/>
      <c r="I33" s="6">
        <v>1678616</v>
      </c>
      <c r="J33" s="6"/>
      <c r="K33" s="6"/>
      <c r="L33" s="6">
        <f>SUM(I33:K33)</f>
        <v>1678616</v>
      </c>
      <c r="M33" s="6">
        <f>L33</f>
        <v>1678616</v>
      </c>
    </row>
    <row r="34" spans="1:13">
      <c r="A34" s="3"/>
      <c r="B34" s="4" t="s">
        <v>12</v>
      </c>
      <c r="C34" s="3"/>
      <c r="D34" s="3"/>
      <c r="E34" s="3"/>
      <c r="F34" s="3"/>
      <c r="G34" s="4"/>
      <c r="H34" s="4"/>
      <c r="I34" s="6"/>
      <c r="J34" s="6">
        <v>352803</v>
      </c>
      <c r="K34" s="6"/>
      <c r="L34" s="6">
        <f>SUM(I34:K34)</f>
        <v>352803</v>
      </c>
      <c r="M34" s="6">
        <f>L34</f>
        <v>352803</v>
      </c>
    </row>
    <row r="35" spans="1:13">
      <c r="A35" s="3"/>
      <c r="B35" s="3"/>
      <c r="C35" s="3" t="s">
        <v>382</v>
      </c>
      <c r="D35" s="3"/>
      <c r="E35" s="3"/>
      <c r="F35" s="3"/>
      <c r="G35" s="3"/>
      <c r="H35" s="3"/>
      <c r="I35" s="10">
        <f>SUM(I33:I34)</f>
        <v>1678616</v>
      </c>
      <c r="J35" s="10">
        <f>SUM(J33:J34)</f>
        <v>352803</v>
      </c>
      <c r="K35" s="10">
        <f>SUM(K33:K34)</f>
        <v>0</v>
      </c>
      <c r="L35" s="10">
        <f>SUM(L33:L34)</f>
        <v>2031419</v>
      </c>
      <c r="M35" s="4"/>
    </row>
    <row r="36" spans="1:1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28"/>
      <c r="M36" s="4"/>
    </row>
    <row r="37" spans="1:13">
      <c r="A37" s="3" t="s">
        <v>445</v>
      </c>
      <c r="B37" s="2"/>
      <c r="C37" s="3"/>
      <c r="D37" s="4"/>
      <c r="E37" s="4"/>
      <c r="F37" s="4"/>
      <c r="G37" s="4"/>
      <c r="H37" s="4"/>
      <c r="I37" s="31"/>
      <c r="J37" s="31"/>
      <c r="K37" s="31"/>
      <c r="L37" s="4"/>
      <c r="M37" s="4"/>
    </row>
    <row r="38" spans="1:13">
      <c r="A38" s="4" t="s">
        <v>417</v>
      </c>
      <c r="B38" s="2"/>
      <c r="C38" s="3"/>
      <c r="D38" s="4"/>
      <c r="E38" s="4"/>
      <c r="F38" s="4"/>
      <c r="G38" s="4"/>
      <c r="H38" s="4"/>
      <c r="I38" s="32">
        <v>14244322</v>
      </c>
      <c r="J38" s="32">
        <v>160544</v>
      </c>
      <c r="K38" s="32"/>
      <c r="L38" s="6">
        <f>SUM(I38:K38)</f>
        <v>14404866</v>
      </c>
      <c r="M38" s="4"/>
    </row>
    <row r="39" spans="1:13">
      <c r="A39" s="4" t="s">
        <v>455</v>
      </c>
      <c r="B39" s="2"/>
      <c r="C39" s="3"/>
      <c r="D39" s="4"/>
      <c r="E39" s="4"/>
      <c r="F39" s="4"/>
      <c r="G39" s="4"/>
      <c r="H39" s="4"/>
      <c r="I39" s="32">
        <v>204656997</v>
      </c>
      <c r="J39" s="32">
        <v>1275578</v>
      </c>
      <c r="K39" s="32"/>
      <c r="L39" s="6">
        <f>SUM(I39:K39)</f>
        <v>205932575</v>
      </c>
      <c r="M39" s="4"/>
    </row>
    <row r="40" spans="1:13">
      <c r="A40" s="4" t="s">
        <v>434</v>
      </c>
      <c r="B40" s="2"/>
      <c r="C40" s="3"/>
      <c r="D40" s="4"/>
      <c r="E40" s="4"/>
      <c r="F40" s="4"/>
      <c r="G40" s="4"/>
      <c r="H40" s="4"/>
      <c r="I40" s="32">
        <v>4399659</v>
      </c>
      <c r="J40" s="32">
        <v>1156061</v>
      </c>
      <c r="K40" s="32">
        <v>-64425</v>
      </c>
      <c r="L40" s="6">
        <f>SUM(I40:K40)</f>
        <v>5491295</v>
      </c>
      <c r="M40" s="4"/>
    </row>
    <row r="41" spans="1:13">
      <c r="A41" s="4" t="s">
        <v>30</v>
      </c>
      <c r="B41" s="2"/>
      <c r="C41" s="3"/>
      <c r="D41" s="4"/>
      <c r="E41" s="4"/>
      <c r="F41" s="4"/>
      <c r="G41" s="4"/>
      <c r="H41" s="4"/>
      <c r="I41" s="32">
        <v>1801281</v>
      </c>
      <c r="J41" s="32">
        <v>165444</v>
      </c>
      <c r="K41" s="32">
        <v>-107398</v>
      </c>
      <c r="L41" s="6">
        <f>SUM(I41:K41)</f>
        <v>1859327</v>
      </c>
      <c r="M41" s="4"/>
    </row>
    <row r="42" spans="1:13">
      <c r="A42" s="1" t="s">
        <v>356</v>
      </c>
      <c r="B42" s="4"/>
      <c r="C42" s="1"/>
      <c r="D42" s="2"/>
      <c r="E42" s="2"/>
      <c r="F42" s="2"/>
      <c r="G42" s="2"/>
      <c r="H42" s="2"/>
      <c r="I42" s="30">
        <f>SUM(I38:I41)</f>
        <v>225102259</v>
      </c>
      <c r="J42" s="30">
        <f>SUM(J38:J41)</f>
        <v>2757627</v>
      </c>
      <c r="K42" s="30">
        <f>SUM(K38:K41)</f>
        <v>-171823</v>
      </c>
      <c r="L42" s="11">
        <f>SUM(I42:K42)</f>
        <v>227688063</v>
      </c>
      <c r="M42" s="4"/>
    </row>
    <row r="43" spans="1:13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7"/>
      <c r="M43" s="4"/>
    </row>
    <row r="44" spans="1:13">
      <c r="A44" s="3" t="s">
        <v>401</v>
      </c>
      <c r="B44" s="1"/>
      <c r="C44" s="2"/>
      <c r="D44" s="2"/>
      <c r="E44" s="2"/>
      <c r="F44" s="2"/>
      <c r="G44" s="2"/>
      <c r="H44" s="2"/>
      <c r="I44" s="31"/>
      <c r="J44" s="31"/>
      <c r="K44" s="31"/>
      <c r="L44" s="6"/>
      <c r="M44" s="4"/>
    </row>
    <row r="45" spans="1:13">
      <c r="A45" s="4" t="s">
        <v>456</v>
      </c>
      <c r="B45" s="2"/>
      <c r="C45" s="2"/>
      <c r="D45" s="2"/>
      <c r="E45" s="2"/>
      <c r="F45" s="2"/>
      <c r="G45" s="2"/>
      <c r="H45" s="2"/>
      <c r="I45" s="2">
        <v>1930422</v>
      </c>
      <c r="J45" s="2">
        <v>385076</v>
      </c>
      <c r="K45" s="2"/>
      <c r="L45" s="6">
        <f t="shared" ref="L45:L51" si="1">SUM(I45:K45)</f>
        <v>2315498</v>
      </c>
      <c r="M45" s="6">
        <f>L38-L45</f>
        <v>12089368</v>
      </c>
    </row>
    <row r="46" spans="1:13">
      <c r="A46" s="4" t="s">
        <v>455</v>
      </c>
      <c r="B46" s="4"/>
      <c r="C46" s="2"/>
      <c r="D46" s="2"/>
      <c r="E46" s="2"/>
      <c r="F46" s="2"/>
      <c r="G46" s="2"/>
      <c r="H46" s="2"/>
      <c r="I46" s="2">
        <v>90070098</v>
      </c>
      <c r="J46" s="2">
        <v>4408658</v>
      </c>
      <c r="K46" s="2"/>
      <c r="L46" s="6">
        <f t="shared" si="1"/>
        <v>94478756</v>
      </c>
      <c r="M46" s="6">
        <f>L39-L46</f>
        <v>111453819</v>
      </c>
    </row>
    <row r="47" spans="1:13">
      <c r="A47" s="4" t="s">
        <v>434</v>
      </c>
      <c r="B47" s="4"/>
      <c r="C47" s="2"/>
      <c r="D47" s="2"/>
      <c r="E47" s="2"/>
      <c r="F47" s="2"/>
      <c r="G47" s="2"/>
      <c r="H47" s="2"/>
      <c r="I47" s="2">
        <v>2305154</v>
      </c>
      <c r="J47" s="2">
        <v>210430</v>
      </c>
      <c r="K47" s="2">
        <v>-64425</v>
      </c>
      <c r="L47" s="6">
        <f t="shared" si="1"/>
        <v>2451159</v>
      </c>
      <c r="M47" s="6">
        <f>L40-L47</f>
        <v>3040136</v>
      </c>
    </row>
    <row r="48" spans="1:13">
      <c r="A48" s="4" t="s">
        <v>30</v>
      </c>
      <c r="B48" s="4"/>
      <c r="C48" s="2"/>
      <c r="D48" s="2"/>
      <c r="E48" s="2"/>
      <c r="F48" s="2"/>
      <c r="G48" s="2"/>
      <c r="H48" s="2"/>
      <c r="I48" s="2">
        <v>1528306</v>
      </c>
      <c r="J48" s="2">
        <v>86402</v>
      </c>
      <c r="K48" s="2">
        <v>-107398</v>
      </c>
      <c r="L48" s="6">
        <f t="shared" si="1"/>
        <v>1507310</v>
      </c>
      <c r="M48" s="6">
        <f>L41-L48</f>
        <v>352017</v>
      </c>
    </row>
    <row r="49" spans="1:13">
      <c r="A49" s="1" t="s">
        <v>21</v>
      </c>
      <c r="B49" s="1"/>
      <c r="C49" s="2"/>
      <c r="D49" s="2"/>
      <c r="E49" s="2"/>
      <c r="F49" s="2"/>
      <c r="G49" s="2"/>
      <c r="H49" s="2"/>
      <c r="I49" s="37">
        <f>SUM(I45:I48)</f>
        <v>95833980</v>
      </c>
      <c r="J49" s="37">
        <f>SUM(J45:J48)</f>
        <v>5090566</v>
      </c>
      <c r="K49" s="37">
        <f>SUM(K45:K48)</f>
        <v>-171823</v>
      </c>
      <c r="L49" s="11">
        <f t="shared" si="1"/>
        <v>100752723</v>
      </c>
      <c r="M49" s="4"/>
    </row>
    <row r="50" spans="1:13">
      <c r="A50" s="3" t="s">
        <v>446</v>
      </c>
      <c r="B50" s="1"/>
      <c r="C50" s="2"/>
      <c r="D50" s="2"/>
      <c r="E50" s="2"/>
      <c r="F50" s="2"/>
      <c r="G50" s="2"/>
      <c r="H50" s="2"/>
      <c r="I50" s="33">
        <v>129268279</v>
      </c>
      <c r="J50" s="33">
        <v>-2332939</v>
      </c>
      <c r="K50" s="33"/>
      <c r="L50" s="11">
        <f t="shared" si="1"/>
        <v>126935340</v>
      </c>
      <c r="M50" s="4"/>
    </row>
    <row r="51" spans="1:13" ht="19.5" thickBot="1">
      <c r="A51" s="3" t="s">
        <v>41</v>
      </c>
      <c r="B51" s="1"/>
      <c r="C51" s="2"/>
      <c r="D51" s="2"/>
      <c r="E51" s="2"/>
      <c r="F51" s="2"/>
      <c r="G51" s="2"/>
      <c r="H51" s="2"/>
      <c r="I51" s="38">
        <f>I35+I50</f>
        <v>130946895</v>
      </c>
      <c r="J51" s="38">
        <f>J35+J50</f>
        <v>-1980136</v>
      </c>
      <c r="K51" s="38"/>
      <c r="L51" s="11">
        <f t="shared" si="1"/>
        <v>128966759</v>
      </c>
      <c r="M51" s="6">
        <f>SUM(M33:M49)</f>
        <v>128966759</v>
      </c>
    </row>
  </sheetData>
  <mergeCells count="3">
    <mergeCell ref="D1:I1"/>
    <mergeCell ref="D2:I2"/>
    <mergeCell ref="D3:I3"/>
  </mergeCells>
  <phoneticPr fontId="15" type="noConversion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M23"/>
  <sheetViews>
    <sheetView zoomScale="80" zoomScaleNormal="80" zoomScalePageLayoutView="80" workbookViewId="0">
      <selection activeCell="M24" sqref="M24"/>
    </sheetView>
  </sheetViews>
  <sheetFormatPr defaultColWidth="8.85546875" defaultRowHeight="15"/>
  <cols>
    <col min="1" max="1" width="4.42578125" customWidth="1"/>
    <col min="2" max="2" width="7" customWidth="1"/>
    <col min="9" max="9" width="15.42578125" customWidth="1"/>
    <col min="10" max="10" width="14.28515625" bestFit="1" customWidth="1"/>
    <col min="11" max="11" width="13.7109375" bestFit="1" customWidth="1"/>
    <col min="12" max="12" width="15.28515625" bestFit="1" customWidth="1"/>
    <col min="13" max="13" width="16.5703125" customWidth="1"/>
  </cols>
  <sheetData>
    <row r="1" spans="1:13" ht="18.75">
      <c r="A1" s="4"/>
      <c r="B1" s="4"/>
      <c r="C1" s="4"/>
      <c r="D1" s="109" t="s">
        <v>457</v>
      </c>
      <c r="E1" s="109"/>
      <c r="F1" s="109"/>
      <c r="G1" s="109"/>
      <c r="H1" s="109"/>
      <c r="I1" s="109"/>
      <c r="J1" s="4"/>
      <c r="K1" s="4"/>
      <c r="L1" s="4"/>
    </row>
    <row r="2" spans="1:13" ht="18.75">
      <c r="A2" s="4"/>
      <c r="B2" s="4"/>
      <c r="C2" s="4"/>
      <c r="D2" s="109" t="s">
        <v>1</v>
      </c>
      <c r="E2" s="109"/>
      <c r="F2" s="109"/>
      <c r="G2" s="109"/>
      <c r="H2" s="109"/>
      <c r="I2" s="109"/>
      <c r="J2" s="4"/>
      <c r="K2" s="4"/>
      <c r="L2" s="4"/>
    </row>
    <row r="3" spans="1:13" ht="18.75">
      <c r="A3" s="4"/>
      <c r="B3" s="4"/>
      <c r="C3" s="4"/>
      <c r="D3" s="109" t="s">
        <v>2</v>
      </c>
      <c r="E3" s="109"/>
      <c r="F3" s="109"/>
      <c r="G3" s="109"/>
      <c r="H3" s="109"/>
      <c r="I3" s="109"/>
      <c r="J3" s="4"/>
      <c r="K3" s="4"/>
      <c r="L3" s="4"/>
    </row>
    <row r="4" spans="1:13" ht="18.75">
      <c r="A4" s="4"/>
      <c r="B4" s="4"/>
      <c r="C4" s="4"/>
      <c r="D4" s="107"/>
      <c r="E4" s="107"/>
      <c r="F4" s="107"/>
      <c r="G4" s="107"/>
      <c r="H4" s="107"/>
      <c r="I4" s="107"/>
      <c r="J4" s="4"/>
      <c r="K4" s="4"/>
      <c r="L4" s="4"/>
    </row>
    <row r="5" spans="1:13" ht="37.5">
      <c r="A5" s="4"/>
      <c r="B5" s="4"/>
      <c r="C5" s="4"/>
      <c r="D5" s="4"/>
      <c r="E5" s="4"/>
      <c r="F5" s="4"/>
      <c r="G5" s="4"/>
      <c r="H5" s="4"/>
      <c r="I5" s="64" t="s">
        <v>458</v>
      </c>
      <c r="J5" s="64" t="s">
        <v>60</v>
      </c>
      <c r="K5" s="64" t="s">
        <v>61</v>
      </c>
      <c r="L5" s="64" t="s">
        <v>203</v>
      </c>
      <c r="M5" s="64" t="s">
        <v>7</v>
      </c>
    </row>
    <row r="6" spans="1:13" ht="18.75">
      <c r="A6" s="3" t="s">
        <v>396</v>
      </c>
      <c r="B6" s="3"/>
      <c r="C6" s="3"/>
      <c r="D6" s="3"/>
      <c r="E6" s="3"/>
      <c r="F6" s="3"/>
      <c r="G6" s="4"/>
      <c r="H6" s="4"/>
      <c r="I6" s="4"/>
      <c r="J6" s="4"/>
      <c r="K6" s="4"/>
      <c r="L6" s="4"/>
    </row>
    <row r="7" spans="1:13" ht="18.75">
      <c r="A7" s="3" t="s">
        <v>10</v>
      </c>
      <c r="B7" s="3"/>
      <c r="C7" s="3"/>
      <c r="D7" s="3"/>
      <c r="E7" s="3"/>
      <c r="F7" s="3"/>
      <c r="G7" s="4"/>
      <c r="H7" s="4"/>
      <c r="I7" s="6"/>
      <c r="J7" s="6"/>
      <c r="K7" s="6"/>
      <c r="L7" s="6"/>
    </row>
    <row r="8" spans="1:13" ht="18.75">
      <c r="A8" s="4"/>
      <c r="B8" s="4" t="s">
        <v>11</v>
      </c>
      <c r="C8" s="4"/>
      <c r="D8" s="4"/>
      <c r="E8" s="4"/>
      <c r="F8" s="4"/>
      <c r="G8" s="4"/>
      <c r="H8" s="4"/>
      <c r="I8" s="6">
        <v>499243</v>
      </c>
      <c r="J8" s="6"/>
      <c r="K8" s="6"/>
      <c r="L8" s="6">
        <f>SUM(I8:K8)</f>
        <v>499243</v>
      </c>
      <c r="M8" s="70">
        <f>L8</f>
        <v>499243</v>
      </c>
    </row>
    <row r="9" spans="1:13" ht="18.7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3" ht="18.75">
      <c r="A10" s="3" t="s">
        <v>400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3" ht="18.75">
      <c r="A11" s="4"/>
      <c r="B11" s="4" t="s">
        <v>15</v>
      </c>
      <c r="C11" s="4"/>
      <c r="D11" s="4"/>
      <c r="E11" s="4"/>
      <c r="F11" s="4"/>
      <c r="G11" s="4"/>
      <c r="H11" s="4"/>
      <c r="I11" s="4">
        <v>14490564</v>
      </c>
      <c r="J11" s="6">
        <v>35038</v>
      </c>
      <c r="K11" s="6"/>
      <c r="L11" s="6">
        <f>SUM(I11:K11)</f>
        <v>14525602</v>
      </c>
    </row>
    <row r="12" spans="1:13" ht="18.75">
      <c r="A12" s="4"/>
      <c r="B12" s="4" t="s">
        <v>30</v>
      </c>
      <c r="C12" s="4"/>
      <c r="D12" s="4"/>
      <c r="E12" s="4"/>
      <c r="F12" s="4"/>
      <c r="G12" s="4"/>
      <c r="H12" s="4"/>
      <c r="I12" s="4">
        <v>221375</v>
      </c>
      <c r="J12" s="6">
        <v>246602</v>
      </c>
      <c r="K12" s="6">
        <v>-34995</v>
      </c>
      <c r="L12" s="6">
        <f t="shared" ref="L12" si="0">SUM(I12:K12)</f>
        <v>432982</v>
      </c>
    </row>
    <row r="13" spans="1:13" ht="18.75">
      <c r="A13" s="4"/>
      <c r="B13" s="4" t="s">
        <v>57</v>
      </c>
      <c r="C13" s="4"/>
      <c r="D13" s="4"/>
      <c r="E13" s="4"/>
      <c r="F13" s="4"/>
      <c r="G13" s="4"/>
      <c r="H13" s="4"/>
      <c r="I13" s="4">
        <v>4065635</v>
      </c>
      <c r="J13" s="6">
        <v>437170</v>
      </c>
      <c r="K13" s="6">
        <v>-34472</v>
      </c>
      <c r="L13" s="6">
        <f t="shared" ref="L13:L14" si="1">SUM(I13:K13)</f>
        <v>4468333</v>
      </c>
    </row>
    <row r="14" spans="1:13" ht="18.75">
      <c r="A14" s="4"/>
      <c r="B14" s="4" t="s">
        <v>28</v>
      </c>
      <c r="C14" s="4"/>
      <c r="D14" s="4"/>
      <c r="E14" s="4"/>
      <c r="F14" s="4"/>
      <c r="G14" s="4"/>
      <c r="H14" s="4"/>
      <c r="I14" s="4">
        <v>6342054</v>
      </c>
      <c r="J14" s="6"/>
      <c r="K14" s="6"/>
      <c r="L14" s="6">
        <f t="shared" si="1"/>
        <v>6342054</v>
      </c>
    </row>
    <row r="15" spans="1:13" ht="18.75">
      <c r="A15" s="4"/>
      <c r="B15" s="4"/>
      <c r="C15" s="4"/>
      <c r="D15" s="4"/>
      <c r="E15" s="4"/>
      <c r="F15" s="4"/>
      <c r="G15" s="4"/>
      <c r="H15" s="4"/>
      <c r="I15" s="68">
        <f>SUM(I11:I14)</f>
        <v>25119628</v>
      </c>
      <c r="J15" s="69">
        <f>SUM(J11:J14)</f>
        <v>718810</v>
      </c>
      <c r="K15" s="69">
        <f>SUM(K11:K14)</f>
        <v>-69467</v>
      </c>
      <c r="L15" s="68">
        <f>SUM(I15:K15)</f>
        <v>25768971</v>
      </c>
    </row>
    <row r="16" spans="1:13" ht="18.75">
      <c r="A16" s="3" t="s">
        <v>401</v>
      </c>
      <c r="B16" s="4"/>
      <c r="C16" s="4"/>
      <c r="D16" s="4"/>
      <c r="E16" s="4"/>
      <c r="F16" s="4"/>
      <c r="G16" s="4"/>
      <c r="H16" s="4"/>
      <c r="I16" s="4"/>
      <c r="J16" s="6"/>
      <c r="K16" s="6"/>
      <c r="L16" s="6"/>
    </row>
    <row r="17" spans="1:13" ht="18.75">
      <c r="A17" s="4"/>
      <c r="B17" s="4" t="s">
        <v>15</v>
      </c>
      <c r="C17" s="4"/>
      <c r="D17" s="4"/>
      <c r="E17" s="4"/>
      <c r="F17" s="4"/>
      <c r="G17" s="4"/>
      <c r="H17" s="4"/>
      <c r="I17" s="6">
        <v>-10356735</v>
      </c>
      <c r="J17" s="6">
        <v>-251237</v>
      </c>
      <c r="K17" s="6"/>
      <c r="L17" s="6">
        <f>SUM(I17:K17)</f>
        <v>-10607972</v>
      </c>
      <c r="M17" s="70">
        <f>L11+L17</f>
        <v>3917630</v>
      </c>
    </row>
    <row r="18" spans="1:13" ht="18.75">
      <c r="A18" s="4"/>
      <c r="B18" s="4" t="s">
        <v>30</v>
      </c>
      <c r="C18" s="4"/>
      <c r="D18" s="4"/>
      <c r="E18" s="4"/>
      <c r="F18" s="4"/>
      <c r="G18" s="4"/>
      <c r="H18" s="4"/>
      <c r="I18" s="6">
        <v>-184983</v>
      </c>
      <c r="J18" s="6">
        <v>-42867</v>
      </c>
      <c r="K18" s="6">
        <v>34463</v>
      </c>
      <c r="L18" s="6">
        <f t="shared" ref="L18" si="2">SUM(I18:K18)</f>
        <v>-193387</v>
      </c>
      <c r="M18" s="70">
        <f>L12+L18</f>
        <v>239595</v>
      </c>
    </row>
    <row r="19" spans="1:13" ht="18.75">
      <c r="A19" s="4"/>
      <c r="B19" s="4" t="s">
        <v>57</v>
      </c>
      <c r="C19" s="4"/>
      <c r="D19" s="4"/>
      <c r="E19" s="4"/>
      <c r="F19" s="4"/>
      <c r="G19" s="4"/>
      <c r="H19" s="4"/>
      <c r="I19" s="6">
        <v>-2777947</v>
      </c>
      <c r="J19" s="6">
        <v>-411222</v>
      </c>
      <c r="K19" s="6">
        <v>26697</v>
      </c>
      <c r="L19" s="6">
        <f t="shared" ref="L19:L20" si="3">SUM(I19:K19)</f>
        <v>-3162472</v>
      </c>
      <c r="M19" s="70">
        <f>L13+L19</f>
        <v>1305861</v>
      </c>
    </row>
    <row r="20" spans="1:13" ht="18.75">
      <c r="A20" s="4"/>
      <c r="B20" s="4" t="s">
        <v>28</v>
      </c>
      <c r="C20" s="4"/>
      <c r="D20" s="4"/>
      <c r="E20" s="4"/>
      <c r="F20" s="4"/>
      <c r="G20" s="4"/>
      <c r="H20" s="4"/>
      <c r="I20" s="6">
        <v>-2530052</v>
      </c>
      <c r="J20" s="6">
        <v>-268016</v>
      </c>
      <c r="K20" s="6"/>
      <c r="L20" s="6">
        <f t="shared" si="3"/>
        <v>-2798068</v>
      </c>
      <c r="M20" s="70">
        <f>L14+L20</f>
        <v>3543986</v>
      </c>
    </row>
    <row r="21" spans="1:13" ht="18.75">
      <c r="A21" s="3"/>
      <c r="B21" s="4"/>
      <c r="C21" s="3"/>
      <c r="D21" s="4"/>
      <c r="E21" s="4"/>
      <c r="F21" s="4"/>
      <c r="G21" s="4"/>
      <c r="H21" s="4"/>
      <c r="I21" s="11">
        <f>SUM(I17:I20)</f>
        <v>-15849717</v>
      </c>
      <c r="J21" s="11">
        <f>SUM(J17:J20)</f>
        <v>-973342</v>
      </c>
      <c r="K21" s="11">
        <f>SUM(K17:K20)</f>
        <v>61160</v>
      </c>
      <c r="L21" s="11">
        <f>SUM(L17:L20)</f>
        <v>-16761899</v>
      </c>
    </row>
    <row r="22" spans="1:13" ht="18.75">
      <c r="A22" s="3" t="s">
        <v>403</v>
      </c>
      <c r="B22" s="4"/>
      <c r="C22" s="3"/>
      <c r="D22" s="4"/>
      <c r="E22" s="4"/>
      <c r="F22" s="4"/>
      <c r="G22" s="4"/>
      <c r="H22" s="4"/>
      <c r="I22" s="11">
        <v>9269911</v>
      </c>
      <c r="J22" s="11">
        <v>-254532</v>
      </c>
      <c r="K22" s="11">
        <v>-8307</v>
      </c>
      <c r="L22" s="11">
        <f>SUM(I22:K22)</f>
        <v>9007072</v>
      </c>
    </row>
    <row r="23" spans="1:13" ht="18.75">
      <c r="A23" s="3" t="s">
        <v>84</v>
      </c>
      <c r="B23" s="4"/>
      <c r="C23" s="3"/>
      <c r="D23" s="4"/>
      <c r="E23" s="4"/>
      <c r="F23" s="4"/>
      <c r="G23" s="4"/>
      <c r="H23" s="4"/>
      <c r="I23" s="11">
        <v>9769154</v>
      </c>
      <c r="J23" s="11">
        <v>-254532</v>
      </c>
      <c r="K23" s="11">
        <v>-8307</v>
      </c>
      <c r="L23" s="11">
        <f>SUM(I23:K23)</f>
        <v>9506315</v>
      </c>
      <c r="M23" s="70">
        <f>SUM(M8:M21)</f>
        <v>9506315</v>
      </c>
    </row>
  </sheetData>
  <mergeCells count="3">
    <mergeCell ref="D1:I1"/>
    <mergeCell ref="D2:I2"/>
    <mergeCell ref="D3:I3"/>
  </mergeCells>
  <phoneticPr fontId="15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M28"/>
  <sheetViews>
    <sheetView workbookViewId="0">
      <selection activeCell="F26" sqref="F26"/>
    </sheetView>
  </sheetViews>
  <sheetFormatPr defaultColWidth="8.85546875" defaultRowHeight="15"/>
  <cols>
    <col min="9" max="9" width="17.5703125" customWidth="1"/>
    <col min="10" max="10" width="14.28515625" bestFit="1" customWidth="1"/>
    <col min="11" max="11" width="13.7109375" bestFit="1" customWidth="1"/>
    <col min="12" max="13" width="20.42578125" customWidth="1"/>
  </cols>
  <sheetData>
    <row r="1" spans="1:13" ht="18.75">
      <c r="A1" s="4"/>
      <c r="B1" s="4"/>
      <c r="C1" s="4"/>
      <c r="D1" s="109" t="s">
        <v>459</v>
      </c>
      <c r="E1" s="109"/>
      <c r="F1" s="109"/>
      <c r="G1" s="109"/>
      <c r="H1" s="109"/>
      <c r="I1" s="109"/>
      <c r="J1" s="4"/>
      <c r="K1" s="4"/>
      <c r="L1" s="4"/>
    </row>
    <row r="2" spans="1:13" ht="18.75">
      <c r="A2" s="4"/>
      <c r="B2" s="4"/>
      <c r="C2" s="4"/>
      <c r="D2" s="109" t="s">
        <v>1</v>
      </c>
      <c r="E2" s="109"/>
      <c r="F2" s="109"/>
      <c r="G2" s="109"/>
      <c r="H2" s="109"/>
      <c r="I2" s="109"/>
      <c r="J2" s="4"/>
      <c r="K2" s="4"/>
      <c r="L2" s="4"/>
    </row>
    <row r="3" spans="1:13" ht="18.75">
      <c r="A3" s="4"/>
      <c r="B3" s="4"/>
      <c r="C3" s="4"/>
      <c r="D3" s="109" t="s">
        <v>2</v>
      </c>
      <c r="E3" s="109"/>
      <c r="F3" s="109"/>
      <c r="G3" s="109"/>
      <c r="H3" s="109"/>
      <c r="I3" s="109"/>
      <c r="J3" s="4"/>
      <c r="K3" s="4"/>
      <c r="L3" s="4"/>
    </row>
    <row r="4" spans="1:13" ht="18.75">
      <c r="A4" s="4"/>
      <c r="B4" s="4"/>
      <c r="C4" s="4"/>
      <c r="D4" s="107"/>
      <c r="E4" s="107"/>
      <c r="F4" s="107"/>
      <c r="G4" s="107"/>
      <c r="H4" s="107"/>
      <c r="I4" s="107"/>
      <c r="J4" s="4"/>
      <c r="K4" s="4"/>
      <c r="L4" s="4"/>
    </row>
    <row r="5" spans="1:13" ht="37.5">
      <c r="A5" s="4"/>
      <c r="B5" s="4"/>
      <c r="C5" s="4"/>
      <c r="D5" s="4"/>
      <c r="E5" s="4"/>
      <c r="F5" s="4"/>
      <c r="G5" s="4"/>
      <c r="H5" s="4"/>
      <c r="I5" s="64" t="s">
        <v>3</v>
      </c>
      <c r="J5" s="64" t="s">
        <v>4</v>
      </c>
      <c r="K5" s="64" t="s">
        <v>5</v>
      </c>
      <c r="L5" s="64" t="s">
        <v>6</v>
      </c>
      <c r="M5" s="64" t="s">
        <v>7</v>
      </c>
    </row>
    <row r="6" spans="1:13" ht="18.75">
      <c r="A6" s="3" t="s">
        <v>8</v>
      </c>
      <c r="B6" s="4"/>
      <c r="C6" s="4"/>
      <c r="D6" s="4"/>
      <c r="E6" s="4"/>
      <c r="F6" s="4"/>
      <c r="G6" s="4"/>
      <c r="H6" s="4"/>
      <c r="I6" s="5"/>
      <c r="J6" s="5"/>
      <c r="K6" s="5"/>
      <c r="L6" s="5"/>
    </row>
    <row r="7" spans="1:13" ht="18.75">
      <c r="A7" s="3" t="s">
        <v>396</v>
      </c>
      <c r="B7" s="3"/>
      <c r="C7" s="3"/>
      <c r="D7" s="3"/>
      <c r="E7" s="3"/>
      <c r="F7" s="3"/>
      <c r="G7" s="4"/>
      <c r="H7" s="4"/>
      <c r="I7" s="4"/>
      <c r="J7" s="4"/>
      <c r="K7" s="4"/>
      <c r="L7" s="4"/>
    </row>
    <row r="8" spans="1:13" ht="18.75">
      <c r="A8" s="3" t="s">
        <v>10</v>
      </c>
      <c r="B8" s="3"/>
      <c r="C8" s="3"/>
      <c r="D8" s="3"/>
      <c r="E8" s="3"/>
      <c r="F8" s="3"/>
      <c r="G8" s="4"/>
      <c r="H8" s="4"/>
      <c r="I8" s="6"/>
      <c r="J8" s="6"/>
      <c r="K8" s="6"/>
      <c r="L8" s="6"/>
    </row>
    <row r="9" spans="1:13" ht="18.75">
      <c r="A9" s="4"/>
      <c r="B9" s="4" t="s">
        <v>11</v>
      </c>
      <c r="C9" s="4"/>
      <c r="D9" s="4"/>
      <c r="E9" s="4"/>
      <c r="F9" s="4"/>
      <c r="G9" s="4"/>
      <c r="H9" s="4"/>
      <c r="I9" s="6">
        <v>1771715</v>
      </c>
      <c r="J9" s="6"/>
      <c r="K9" s="6">
        <v>-256600</v>
      </c>
      <c r="L9" s="6">
        <f>SUM(I9:K9)</f>
        <v>1515115</v>
      </c>
      <c r="M9" s="32">
        <f>L9</f>
        <v>1515115</v>
      </c>
    </row>
    <row r="10" spans="1:13" ht="18.75">
      <c r="A10" s="4"/>
      <c r="B10" s="4" t="s">
        <v>12</v>
      </c>
      <c r="C10" s="4"/>
      <c r="D10" s="4"/>
      <c r="E10" s="4"/>
      <c r="F10" s="4"/>
      <c r="G10" s="4"/>
      <c r="H10" s="4"/>
      <c r="I10" s="4">
        <v>8184650</v>
      </c>
      <c r="J10" s="4">
        <v>6144053</v>
      </c>
      <c r="K10" s="4">
        <v>-4905687</v>
      </c>
      <c r="L10" s="6">
        <f>SUM(I10:K10)</f>
        <v>9423016</v>
      </c>
      <c r="M10" s="32">
        <f>L10</f>
        <v>9423016</v>
      </c>
    </row>
    <row r="11" spans="1:13" ht="18.75">
      <c r="A11" s="3"/>
      <c r="B11" s="3"/>
      <c r="C11" s="3" t="s">
        <v>13</v>
      </c>
      <c r="D11" s="3"/>
      <c r="E11" s="3"/>
      <c r="F11" s="3"/>
      <c r="G11" s="3"/>
      <c r="H11" s="3"/>
      <c r="I11" s="9">
        <f>SUM(I9:I10)</f>
        <v>9956365</v>
      </c>
      <c r="J11" s="9">
        <f>SUM(J9:J10)</f>
        <v>6144053</v>
      </c>
      <c r="K11" s="9">
        <f>SUM(K9:K10)</f>
        <v>-5162287</v>
      </c>
      <c r="L11" s="9">
        <f>SUM(L9:L10)</f>
        <v>10938131</v>
      </c>
      <c r="M11" s="2"/>
    </row>
    <row r="12" spans="1:13" ht="18.7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2"/>
    </row>
    <row r="13" spans="1:13" ht="18.75">
      <c r="A13" s="3" t="s">
        <v>400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2"/>
    </row>
    <row r="14" spans="1:13" ht="18.75">
      <c r="A14" s="4"/>
      <c r="B14" s="4" t="s">
        <v>15</v>
      </c>
      <c r="C14" s="4"/>
      <c r="D14" s="4"/>
      <c r="E14" s="4"/>
      <c r="F14" s="4"/>
      <c r="G14" s="4"/>
      <c r="H14" s="4"/>
      <c r="I14" s="4">
        <v>25960956</v>
      </c>
      <c r="J14" s="6">
        <v>4701508</v>
      </c>
      <c r="K14" s="6"/>
      <c r="L14" s="6">
        <f>SUM(I14:K14)</f>
        <v>30662464</v>
      </c>
      <c r="M14" s="2"/>
    </row>
    <row r="15" spans="1:13" ht="18.75">
      <c r="A15" s="4"/>
      <c r="B15" s="4" t="s">
        <v>16</v>
      </c>
      <c r="C15" s="4"/>
      <c r="D15" s="4"/>
      <c r="E15" s="4"/>
      <c r="F15" s="4"/>
      <c r="G15" s="4"/>
      <c r="H15" s="4"/>
      <c r="I15" s="4">
        <v>14319666</v>
      </c>
      <c r="J15" s="6">
        <v>922788</v>
      </c>
      <c r="K15" s="6">
        <v>-337400</v>
      </c>
      <c r="L15" s="6">
        <f>SUM(I15:K15)</f>
        <v>14905054</v>
      </c>
      <c r="M15" s="2"/>
    </row>
    <row r="16" spans="1:13" ht="18.75">
      <c r="A16" s="4"/>
      <c r="B16" s="4" t="s">
        <v>17</v>
      </c>
      <c r="C16" s="4"/>
      <c r="D16" s="4"/>
      <c r="E16" s="4"/>
      <c r="F16" s="4"/>
      <c r="G16" s="4"/>
      <c r="H16" s="4"/>
      <c r="I16" s="4">
        <v>3051488</v>
      </c>
      <c r="J16" s="6">
        <v>40700</v>
      </c>
      <c r="K16" s="6">
        <v>-1310254</v>
      </c>
      <c r="L16" s="6">
        <f>SUM(I16:K16)</f>
        <v>1781934</v>
      </c>
      <c r="M16" s="2"/>
    </row>
    <row r="17" spans="1:13" ht="18.75">
      <c r="A17" s="4"/>
      <c r="B17" s="4" t="s">
        <v>124</v>
      </c>
      <c r="C17" s="4"/>
      <c r="D17" s="4"/>
      <c r="E17" s="4"/>
      <c r="F17" s="4"/>
      <c r="G17" s="4"/>
      <c r="H17" s="4"/>
      <c r="I17" s="4">
        <v>37470247</v>
      </c>
      <c r="J17" s="6">
        <v>733117</v>
      </c>
      <c r="K17" s="6"/>
      <c r="L17" s="6">
        <f>SUM(I17:K17)</f>
        <v>38203364</v>
      </c>
      <c r="M17" s="2"/>
    </row>
    <row r="18" spans="1:13" ht="18.75">
      <c r="A18" s="4"/>
      <c r="B18" s="4"/>
      <c r="C18" s="3" t="s">
        <v>19</v>
      </c>
      <c r="D18" s="4"/>
      <c r="E18" s="4"/>
      <c r="F18" s="4"/>
      <c r="G18" s="4"/>
      <c r="H18" s="4"/>
      <c r="I18" s="14">
        <f>SUM(I14:I17)</f>
        <v>80802357</v>
      </c>
      <c r="J18" s="14">
        <f>SUM(J14:J17)</f>
        <v>6398113</v>
      </c>
      <c r="K18" s="14">
        <f>SUM(K14:K17)</f>
        <v>-1647654</v>
      </c>
      <c r="L18" s="14">
        <f>SUM(L14:L17)</f>
        <v>85552816</v>
      </c>
      <c r="M18" s="2"/>
    </row>
    <row r="19" spans="1:13" ht="18.7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2"/>
    </row>
    <row r="20" spans="1:13" ht="18.75">
      <c r="A20" s="3" t="s">
        <v>401</v>
      </c>
      <c r="B20" s="4"/>
      <c r="C20" s="4"/>
      <c r="D20" s="4"/>
      <c r="E20" s="4"/>
      <c r="F20" s="4"/>
      <c r="G20" s="4"/>
      <c r="H20" s="4"/>
      <c r="I20" s="4"/>
      <c r="J20" s="6"/>
      <c r="K20" s="6"/>
      <c r="L20" s="6"/>
      <c r="M20" s="2"/>
    </row>
    <row r="21" spans="1:13" ht="18.75">
      <c r="A21" s="4"/>
      <c r="B21" s="4" t="s">
        <v>27</v>
      </c>
      <c r="C21" s="4"/>
      <c r="D21" s="4"/>
      <c r="E21" s="4"/>
      <c r="F21" s="4"/>
      <c r="G21" s="4"/>
      <c r="H21" s="4"/>
      <c r="I21" s="6">
        <v>6647506</v>
      </c>
      <c r="J21" s="6">
        <v>707793</v>
      </c>
      <c r="K21" s="6"/>
      <c r="L21" s="6">
        <f>SUM(I21:K21)</f>
        <v>7355299</v>
      </c>
      <c r="M21" s="32">
        <f>L14-L21</f>
        <v>23307165</v>
      </c>
    </row>
    <row r="22" spans="1:13" ht="18.75">
      <c r="A22" s="4"/>
      <c r="B22" s="4" t="s">
        <v>330</v>
      </c>
      <c r="C22" s="4"/>
      <c r="D22" s="4"/>
      <c r="E22" s="4"/>
      <c r="F22" s="4"/>
      <c r="G22" s="4"/>
      <c r="H22" s="4"/>
      <c r="I22" s="6">
        <v>9081238</v>
      </c>
      <c r="J22" s="6">
        <v>654803</v>
      </c>
      <c r="K22" s="6">
        <v>-337400</v>
      </c>
      <c r="L22" s="6">
        <f>SUM(I22:K22)</f>
        <v>9398641</v>
      </c>
      <c r="M22" s="32">
        <f>L15-L22</f>
        <v>5506413</v>
      </c>
    </row>
    <row r="23" spans="1:13" ht="18.75">
      <c r="A23" s="4"/>
      <c r="B23" s="4" t="s">
        <v>17</v>
      </c>
      <c r="C23" s="4"/>
      <c r="D23" s="4"/>
      <c r="E23" s="4"/>
      <c r="F23" s="4"/>
      <c r="G23" s="4"/>
      <c r="H23" s="4"/>
      <c r="I23" s="6">
        <v>748517</v>
      </c>
      <c r="J23" s="6">
        <v>71277</v>
      </c>
      <c r="K23" s="6">
        <v>-143484</v>
      </c>
      <c r="L23" s="6">
        <f>SUM(I23:K23)</f>
        <v>676310</v>
      </c>
      <c r="M23" s="32">
        <f>L16-L23</f>
        <v>1105624</v>
      </c>
    </row>
    <row r="24" spans="1:13" ht="18.75">
      <c r="A24" s="4"/>
      <c r="B24" s="4" t="s">
        <v>124</v>
      </c>
      <c r="C24" s="4"/>
      <c r="D24" s="4"/>
      <c r="E24" s="4"/>
      <c r="F24" s="4"/>
      <c r="G24" s="4"/>
      <c r="H24" s="4"/>
      <c r="I24" s="6">
        <v>7763106</v>
      </c>
      <c r="J24" s="6">
        <v>936756</v>
      </c>
      <c r="K24" s="6"/>
      <c r="L24" s="6">
        <f>SUM(I24:K24)</f>
        <v>8699862</v>
      </c>
      <c r="M24" s="32">
        <f>L17-L24</f>
        <v>29503502</v>
      </c>
    </row>
    <row r="25" spans="1:13" ht="18.75">
      <c r="A25" s="3"/>
      <c r="B25" s="4"/>
      <c r="C25" s="3" t="s">
        <v>21</v>
      </c>
      <c r="D25" s="4"/>
      <c r="E25" s="4"/>
      <c r="F25" s="4"/>
      <c r="G25" s="4"/>
      <c r="H25" s="4"/>
      <c r="I25" s="11">
        <f>SUM(I21:I24)</f>
        <v>24240367</v>
      </c>
      <c r="J25" s="11">
        <f>SUM(J21:J24)</f>
        <v>2370629</v>
      </c>
      <c r="K25" s="11">
        <f>SUM(K21:K24)</f>
        <v>-480884</v>
      </c>
      <c r="L25" s="11">
        <f>SUM(L21:L24)</f>
        <v>26130112</v>
      </c>
      <c r="M25" s="2"/>
    </row>
    <row r="26" spans="1:13" ht="18.7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2"/>
    </row>
    <row r="27" spans="1:13" ht="18.75">
      <c r="A27" s="3" t="s">
        <v>460</v>
      </c>
      <c r="B27" s="4"/>
      <c r="C27" s="3"/>
      <c r="D27" s="4"/>
      <c r="E27" s="4"/>
      <c r="F27" s="4"/>
      <c r="G27" s="4"/>
      <c r="H27" s="4"/>
      <c r="I27" s="11">
        <f>I18-I25</f>
        <v>56561990</v>
      </c>
      <c r="J27" s="11">
        <f t="shared" ref="J27:L27" si="0">J18-J25</f>
        <v>4027484</v>
      </c>
      <c r="K27" s="11">
        <f t="shared" si="0"/>
        <v>-1166770</v>
      </c>
      <c r="L27" s="11">
        <f t="shared" si="0"/>
        <v>59422704</v>
      </c>
      <c r="M27" s="2"/>
    </row>
    <row r="28" spans="1:13" ht="18.75">
      <c r="A28" s="3" t="s">
        <v>23</v>
      </c>
      <c r="B28" s="4"/>
      <c r="C28" s="3"/>
      <c r="D28" s="4"/>
      <c r="E28" s="4"/>
      <c r="F28" s="4"/>
      <c r="G28" s="4"/>
      <c r="H28" s="4"/>
      <c r="I28" s="11">
        <f>I11+I27</f>
        <v>66518355</v>
      </c>
      <c r="J28" s="11">
        <f>J11+J27</f>
        <v>10171537</v>
      </c>
      <c r="K28" s="11">
        <f>K11+K27</f>
        <v>-6329057</v>
      </c>
      <c r="L28" s="11">
        <f>L11+L27</f>
        <v>70360835</v>
      </c>
      <c r="M28" s="32">
        <f>SUM(M9:M26)</f>
        <v>70360835</v>
      </c>
    </row>
  </sheetData>
  <mergeCells count="3">
    <mergeCell ref="D1:I1"/>
    <mergeCell ref="D2:I2"/>
    <mergeCell ref="D3:I3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M50"/>
  <sheetViews>
    <sheetView zoomScale="80" zoomScaleNormal="80" zoomScalePageLayoutView="80" workbookViewId="0">
      <selection activeCell="M50" sqref="M50"/>
    </sheetView>
  </sheetViews>
  <sheetFormatPr defaultColWidth="8.85546875" defaultRowHeight="18.75"/>
  <cols>
    <col min="1" max="1" width="4.42578125" style="29" customWidth="1"/>
    <col min="2" max="3" width="4.7109375" style="29" customWidth="1"/>
    <col min="4" max="6" width="8.85546875" style="29"/>
    <col min="7" max="7" width="14.28515625" style="29" bestFit="1" customWidth="1"/>
    <col min="8" max="8" width="12.7109375" style="29" bestFit="1" customWidth="1"/>
    <col min="9" max="9" width="18.85546875" style="29" customWidth="1"/>
    <col min="10" max="10" width="14.28515625" style="29" bestFit="1" customWidth="1"/>
    <col min="11" max="11" width="19.85546875" style="29" bestFit="1" customWidth="1"/>
    <col min="12" max="12" width="15.85546875" style="29" bestFit="1" customWidth="1"/>
    <col min="13" max="13" width="24" style="29" customWidth="1"/>
    <col min="14" max="16384" width="8.85546875" style="29"/>
  </cols>
  <sheetData>
    <row r="1" spans="1:13">
      <c r="A1" s="4"/>
      <c r="B1" s="4"/>
      <c r="C1" s="4"/>
      <c r="D1" s="109" t="s">
        <v>461</v>
      </c>
      <c r="E1" s="109"/>
      <c r="F1" s="109"/>
      <c r="G1" s="109"/>
      <c r="H1" s="109"/>
      <c r="I1" s="109"/>
      <c r="J1" s="4"/>
      <c r="K1" s="4"/>
      <c r="L1" s="4"/>
      <c r="M1" s="4"/>
    </row>
    <row r="2" spans="1:13">
      <c r="A2" s="4"/>
      <c r="B2" s="4"/>
      <c r="C2" s="4"/>
      <c r="D2" s="109" t="s">
        <v>1</v>
      </c>
      <c r="E2" s="109"/>
      <c r="F2" s="109"/>
      <c r="G2" s="109"/>
      <c r="H2" s="109"/>
      <c r="I2" s="109"/>
      <c r="J2" s="4"/>
      <c r="K2" s="4"/>
      <c r="L2" s="4"/>
      <c r="M2" s="4"/>
    </row>
    <row r="3" spans="1:13">
      <c r="A3" s="4"/>
      <c r="B3" s="4"/>
      <c r="C3" s="4"/>
      <c r="D3" s="109" t="s">
        <v>2</v>
      </c>
      <c r="E3" s="109"/>
      <c r="F3" s="109"/>
      <c r="G3" s="109"/>
      <c r="H3" s="109"/>
      <c r="I3" s="109"/>
      <c r="J3" s="4"/>
      <c r="K3" s="4"/>
      <c r="L3" s="4"/>
      <c r="M3" s="4"/>
    </row>
    <row r="4" spans="1:13" ht="14.25" customHeight="1">
      <c r="A4" s="4"/>
      <c r="B4" s="4"/>
      <c r="C4" s="4"/>
      <c r="D4" s="107"/>
      <c r="E4" s="107"/>
      <c r="F4" s="107"/>
      <c r="G4" s="107"/>
      <c r="H4" s="107"/>
      <c r="I4" s="107"/>
      <c r="J4" s="4"/>
      <c r="K4" s="4"/>
      <c r="L4" s="4"/>
      <c r="M4" s="4"/>
    </row>
    <row r="5" spans="1:13" ht="37.5">
      <c r="A5" s="4"/>
      <c r="B5" s="4"/>
      <c r="C5" s="4"/>
      <c r="D5" s="4"/>
      <c r="E5" s="4"/>
      <c r="F5" s="4"/>
      <c r="G5" s="4"/>
      <c r="H5" s="4"/>
      <c r="I5" s="64" t="s">
        <v>3</v>
      </c>
      <c r="J5" s="64" t="s">
        <v>4</v>
      </c>
      <c r="K5" s="64" t="s">
        <v>62</v>
      </c>
      <c r="L5" s="64" t="s">
        <v>6</v>
      </c>
      <c r="M5" s="4" t="s">
        <v>7</v>
      </c>
    </row>
    <row r="6" spans="1:13">
      <c r="A6" s="3" t="s">
        <v>8</v>
      </c>
      <c r="B6" s="4"/>
      <c r="C6" s="4"/>
      <c r="D6" s="4"/>
      <c r="E6" s="4"/>
      <c r="F6" s="4"/>
      <c r="G6" s="4"/>
      <c r="H6" s="4"/>
      <c r="I6" s="5"/>
      <c r="J6" s="5"/>
      <c r="K6" s="5"/>
      <c r="L6" s="5"/>
      <c r="M6" s="4"/>
    </row>
    <row r="7" spans="1:13">
      <c r="A7" s="3" t="s">
        <v>396</v>
      </c>
      <c r="B7" s="3"/>
      <c r="C7" s="3"/>
      <c r="D7" s="3"/>
      <c r="E7" s="3"/>
      <c r="F7" s="3"/>
      <c r="G7" s="4"/>
      <c r="H7" s="4"/>
      <c r="I7" s="4"/>
      <c r="J7" s="4"/>
      <c r="K7" s="4"/>
      <c r="L7" s="4"/>
      <c r="M7" s="4"/>
    </row>
    <row r="8" spans="1:13">
      <c r="A8" s="3" t="s">
        <v>10</v>
      </c>
      <c r="B8" s="3"/>
      <c r="C8" s="3"/>
      <c r="D8" s="3"/>
      <c r="E8" s="3"/>
      <c r="F8" s="3"/>
      <c r="G8" s="4"/>
      <c r="H8" s="4"/>
      <c r="I8" s="6"/>
      <c r="J8" s="6"/>
      <c r="K8" s="6"/>
      <c r="L8" s="6"/>
      <c r="M8" s="4"/>
    </row>
    <row r="9" spans="1:13">
      <c r="A9" s="4"/>
      <c r="B9" s="4" t="s">
        <v>11</v>
      </c>
      <c r="C9" s="4"/>
      <c r="D9" s="4"/>
      <c r="E9" s="4"/>
      <c r="F9" s="4"/>
      <c r="G9" s="4"/>
      <c r="H9" s="4"/>
      <c r="I9" s="6">
        <v>1870876</v>
      </c>
      <c r="J9" s="6"/>
      <c r="K9" s="6"/>
      <c r="L9" s="6">
        <f>SUM(I9:K9)</f>
        <v>1870876</v>
      </c>
      <c r="M9" s="6">
        <f>L9</f>
        <v>1870876</v>
      </c>
    </row>
    <row r="10" spans="1:13">
      <c r="A10" s="4"/>
      <c r="B10" s="4" t="s">
        <v>12</v>
      </c>
      <c r="C10" s="4"/>
      <c r="D10" s="4"/>
      <c r="E10" s="4"/>
      <c r="F10" s="4"/>
      <c r="G10" s="4"/>
      <c r="H10" s="4"/>
      <c r="I10" s="4">
        <v>1062781</v>
      </c>
      <c r="J10" s="4">
        <v>1210766</v>
      </c>
      <c r="K10" s="4">
        <v>-386204</v>
      </c>
      <c r="L10" s="6">
        <f>SUM(I10:K10)</f>
        <v>1887343</v>
      </c>
      <c r="M10" s="6">
        <f>L10</f>
        <v>1887343</v>
      </c>
    </row>
    <row r="11" spans="1:13">
      <c r="A11" s="3"/>
      <c r="B11" s="3"/>
      <c r="C11" s="3" t="s">
        <v>13</v>
      </c>
      <c r="D11" s="3"/>
      <c r="E11" s="3"/>
      <c r="F11" s="3"/>
      <c r="G11" s="3"/>
      <c r="H11" s="3"/>
      <c r="I11" s="9">
        <f>SUM(I9:I10)</f>
        <v>2933657</v>
      </c>
      <c r="J11" s="9">
        <f>SUM(J9:J10)</f>
        <v>1210766</v>
      </c>
      <c r="K11" s="9">
        <f>SUM(K9:K10)</f>
        <v>-386204</v>
      </c>
      <c r="L11" s="9">
        <f>SUM(L9:L10)</f>
        <v>3758219</v>
      </c>
      <c r="M11" s="3"/>
    </row>
    <row r="12" spans="1:1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>
      <c r="A13" s="3" t="s">
        <v>462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>
      <c r="A14" s="4"/>
      <c r="B14" s="4" t="s">
        <v>18</v>
      </c>
      <c r="C14" s="4"/>
      <c r="D14" s="4"/>
      <c r="E14" s="4"/>
      <c r="F14" s="4"/>
      <c r="G14" s="4"/>
      <c r="H14" s="4"/>
      <c r="I14" s="4">
        <v>130723671</v>
      </c>
      <c r="J14" s="6">
        <v>65347</v>
      </c>
      <c r="K14" s="6"/>
      <c r="L14" s="6">
        <f>SUM(I14:K14)</f>
        <v>130789018</v>
      </c>
      <c r="M14" s="4"/>
    </row>
    <row r="15" spans="1:13">
      <c r="A15" s="4"/>
      <c r="B15" s="4" t="s">
        <v>27</v>
      </c>
      <c r="C15" s="4"/>
      <c r="D15" s="4"/>
      <c r="E15" s="4"/>
      <c r="F15" s="4"/>
      <c r="G15" s="4"/>
      <c r="H15" s="4"/>
      <c r="I15" s="4">
        <v>17516962</v>
      </c>
      <c r="J15" s="6"/>
      <c r="K15" s="6"/>
      <c r="L15" s="6">
        <f t="shared" ref="L15" si="0">SUM(I15:K15)</f>
        <v>17516962</v>
      </c>
      <c r="M15" s="4"/>
    </row>
    <row r="16" spans="1:13">
      <c r="A16" s="4"/>
      <c r="B16" s="4" t="s">
        <v>96</v>
      </c>
      <c r="C16" s="4"/>
      <c r="D16" s="4"/>
      <c r="E16" s="4"/>
      <c r="F16" s="4"/>
      <c r="G16" s="4"/>
      <c r="H16" s="4"/>
      <c r="I16" s="4">
        <v>11174067</v>
      </c>
      <c r="J16" s="6">
        <v>333385</v>
      </c>
      <c r="K16" s="6"/>
      <c r="L16" s="6">
        <f t="shared" ref="L16:L17" si="1">SUM(I16:K16)</f>
        <v>11507452</v>
      </c>
      <c r="M16" s="4"/>
    </row>
    <row r="17" spans="1:13">
      <c r="A17" s="4"/>
      <c r="B17" s="4" t="s">
        <v>100</v>
      </c>
      <c r="C17" s="4"/>
      <c r="D17" s="4"/>
      <c r="E17" s="4"/>
      <c r="F17" s="4"/>
      <c r="G17" s="4"/>
      <c r="H17" s="4"/>
      <c r="I17" s="4">
        <v>21102895</v>
      </c>
      <c r="J17" s="6">
        <v>212804</v>
      </c>
      <c r="K17" s="6">
        <v>386204</v>
      </c>
      <c r="L17" s="6">
        <f t="shared" si="1"/>
        <v>21701903</v>
      </c>
      <c r="M17" s="4"/>
    </row>
    <row r="18" spans="1:13">
      <c r="A18" s="4"/>
      <c r="B18" s="4"/>
      <c r="C18" s="3" t="s">
        <v>463</v>
      </c>
      <c r="D18" s="4"/>
      <c r="E18" s="4"/>
      <c r="F18" s="4"/>
      <c r="G18" s="4"/>
      <c r="H18" s="4"/>
      <c r="I18" s="14">
        <f>SUM(I14:I17)</f>
        <v>180517595</v>
      </c>
      <c r="J18" s="14">
        <f>SUM(J14:J17)</f>
        <v>611536</v>
      </c>
      <c r="K18" s="14">
        <f>SUM(K14:K17)</f>
        <v>386204</v>
      </c>
      <c r="L18" s="14">
        <f>SUM(L14:L17)</f>
        <v>181515335</v>
      </c>
      <c r="M18" s="4"/>
    </row>
    <row r="19" spans="1:1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>
      <c r="A20" s="3" t="s">
        <v>401</v>
      </c>
      <c r="B20" s="4"/>
      <c r="C20" s="4"/>
      <c r="D20" s="4"/>
      <c r="E20" s="4"/>
      <c r="F20" s="4"/>
      <c r="G20" s="4"/>
      <c r="H20" s="4"/>
      <c r="I20" s="4"/>
      <c r="J20" s="6"/>
      <c r="K20" s="6"/>
      <c r="L20" s="6"/>
      <c r="M20" s="4"/>
    </row>
    <row r="21" spans="1:13">
      <c r="A21" s="4"/>
      <c r="B21" s="4" t="s">
        <v>18</v>
      </c>
      <c r="C21" s="4"/>
      <c r="D21" s="4"/>
      <c r="E21" s="4"/>
      <c r="F21" s="4"/>
      <c r="G21" s="4"/>
      <c r="H21" s="4"/>
      <c r="I21" s="6">
        <v>-49121203</v>
      </c>
      <c r="J21" s="6">
        <v>-3107155</v>
      </c>
      <c r="K21" s="6"/>
      <c r="L21" s="6">
        <f>SUM(I21:K21)</f>
        <v>-52228358</v>
      </c>
      <c r="M21" s="6">
        <f>L14+L21</f>
        <v>78560660</v>
      </c>
    </row>
    <row r="22" spans="1:13">
      <c r="A22" s="4"/>
      <c r="B22" s="4" t="s">
        <v>27</v>
      </c>
      <c r="C22" s="4"/>
      <c r="D22" s="4"/>
      <c r="E22" s="4"/>
      <c r="F22" s="4"/>
      <c r="G22" s="4"/>
      <c r="H22" s="4"/>
      <c r="I22" s="6">
        <v>-6524848</v>
      </c>
      <c r="J22" s="6">
        <v>-471660</v>
      </c>
      <c r="K22" s="6"/>
      <c r="L22" s="6">
        <f t="shared" ref="L22" si="2">SUM(I22:K22)</f>
        <v>-6996508</v>
      </c>
      <c r="M22" s="6">
        <f>L15+L22</f>
        <v>10520454</v>
      </c>
    </row>
    <row r="23" spans="1:13">
      <c r="A23" s="4"/>
      <c r="B23" s="4" t="s">
        <v>96</v>
      </c>
      <c r="C23" s="4"/>
      <c r="D23" s="4"/>
      <c r="E23" s="4"/>
      <c r="F23" s="4"/>
      <c r="G23" s="4"/>
      <c r="H23" s="4"/>
      <c r="I23" s="6">
        <v>-8888470</v>
      </c>
      <c r="J23" s="6">
        <v>-595957</v>
      </c>
      <c r="K23" s="6"/>
      <c r="L23" s="6">
        <f t="shared" ref="L23:L24" si="3">SUM(I23:K23)</f>
        <v>-9484427</v>
      </c>
      <c r="M23" s="6">
        <f>L16+L23</f>
        <v>2023025</v>
      </c>
    </row>
    <row r="24" spans="1:13">
      <c r="A24" s="4"/>
      <c r="B24" s="4" t="s">
        <v>100</v>
      </c>
      <c r="C24" s="4"/>
      <c r="D24" s="4"/>
      <c r="E24" s="4"/>
      <c r="F24" s="4"/>
      <c r="G24" s="4"/>
      <c r="H24" s="4"/>
      <c r="I24" s="6">
        <v>-6990995</v>
      </c>
      <c r="J24" s="6">
        <v>-965924</v>
      </c>
      <c r="K24" s="6"/>
      <c r="L24" s="6">
        <f t="shared" si="3"/>
        <v>-7956919</v>
      </c>
      <c r="M24" s="6">
        <f>L17+L24</f>
        <v>13744984</v>
      </c>
    </row>
    <row r="25" spans="1:13">
      <c r="A25" s="3"/>
      <c r="B25" s="4"/>
      <c r="C25" s="3" t="s">
        <v>21</v>
      </c>
      <c r="D25" s="4"/>
      <c r="E25" s="4"/>
      <c r="F25" s="4"/>
      <c r="G25" s="4"/>
      <c r="H25" s="4"/>
      <c r="I25" s="11">
        <f>SUM(I21:I24)</f>
        <v>-71525516</v>
      </c>
      <c r="J25" s="11">
        <f>SUM(J21:J24)</f>
        <v>-5140696</v>
      </c>
      <c r="K25" s="11"/>
      <c r="L25" s="11">
        <f>SUM(L21:L24)</f>
        <v>-76666212</v>
      </c>
      <c r="M25" s="3"/>
    </row>
    <row r="26" spans="1:13">
      <c r="A26" s="3" t="s">
        <v>464</v>
      </c>
      <c r="B26" s="4"/>
      <c r="C26" s="3"/>
      <c r="D26" s="4"/>
      <c r="E26" s="4"/>
      <c r="F26" s="4"/>
      <c r="G26" s="4"/>
      <c r="H26" s="4"/>
      <c r="I26" s="11">
        <f>I18+I25</f>
        <v>108992079</v>
      </c>
      <c r="J26" s="11">
        <f>J18+J25</f>
        <v>-4529160</v>
      </c>
      <c r="K26" s="11"/>
      <c r="L26" s="11">
        <f>L18+L25</f>
        <v>104849123</v>
      </c>
      <c r="M26" s="4"/>
    </row>
    <row r="27" spans="1:13">
      <c r="A27" s="3" t="s">
        <v>465</v>
      </c>
      <c r="B27" s="4"/>
      <c r="C27" s="3"/>
      <c r="D27" s="4"/>
      <c r="E27" s="4"/>
      <c r="F27" s="4"/>
      <c r="G27" s="4"/>
      <c r="H27" s="4"/>
      <c r="I27" s="11">
        <f>I11+I26</f>
        <v>111925736</v>
      </c>
      <c r="J27" s="11">
        <f>J11+J26</f>
        <v>-3318394</v>
      </c>
      <c r="K27" s="11"/>
      <c r="L27" s="11">
        <f>L11+L26</f>
        <v>108607342</v>
      </c>
      <c r="M27" s="6">
        <f>SUM(M9:M25)</f>
        <v>108607342</v>
      </c>
    </row>
    <row r="28" spans="1:13">
      <c r="A28" s="4"/>
      <c r="B28" s="4"/>
      <c r="C28" s="3"/>
      <c r="D28" s="4"/>
      <c r="E28" s="4"/>
      <c r="F28" s="4"/>
      <c r="G28" s="4"/>
      <c r="H28" s="4"/>
      <c r="I28" s="27"/>
      <c r="J28" s="27"/>
      <c r="K28" s="27"/>
      <c r="L28" s="27"/>
      <c r="M28" s="4"/>
    </row>
    <row r="29" spans="1:13">
      <c r="A29" s="4"/>
      <c r="B29" s="4"/>
      <c r="C29" s="3"/>
      <c r="D29" s="4"/>
      <c r="E29" s="4"/>
      <c r="F29" s="4"/>
      <c r="G29" s="4"/>
      <c r="H29" s="4"/>
      <c r="I29" s="27"/>
      <c r="J29" s="27"/>
      <c r="K29" s="27"/>
      <c r="L29" s="27"/>
      <c r="M29" s="4"/>
    </row>
    <row r="30" spans="1:13">
      <c r="A30" s="3" t="s">
        <v>34</v>
      </c>
      <c r="B30" s="3"/>
      <c r="C30" s="3"/>
      <c r="D30" s="3"/>
      <c r="E30" s="3"/>
      <c r="F30" s="3"/>
      <c r="G30" s="4"/>
      <c r="H30" s="4"/>
      <c r="I30" s="4"/>
      <c r="J30" s="4"/>
      <c r="K30" s="4"/>
      <c r="L30" s="4"/>
      <c r="M30" s="4"/>
    </row>
    <row r="31" spans="1:13">
      <c r="A31" s="3" t="s">
        <v>10</v>
      </c>
      <c r="B31" s="3"/>
      <c r="C31" s="3"/>
      <c r="D31" s="3"/>
      <c r="E31" s="3"/>
      <c r="F31" s="3"/>
      <c r="G31" s="4"/>
      <c r="H31" s="4"/>
      <c r="I31" s="6"/>
      <c r="J31" s="6"/>
      <c r="K31" s="6"/>
      <c r="L31" s="6"/>
      <c r="M31" s="4"/>
    </row>
    <row r="32" spans="1:13">
      <c r="A32" s="3"/>
      <c r="B32" s="4" t="s">
        <v>12</v>
      </c>
      <c r="C32" s="3"/>
      <c r="D32" s="3"/>
      <c r="E32" s="3"/>
      <c r="F32" s="3"/>
      <c r="G32" s="4"/>
      <c r="H32" s="4"/>
      <c r="I32" s="6">
        <v>2430</v>
      </c>
      <c r="J32" s="6">
        <v>392627</v>
      </c>
      <c r="K32" s="6">
        <v>-80488</v>
      </c>
      <c r="L32" s="6">
        <f>SUM(I32:K32)</f>
        <v>314569</v>
      </c>
      <c r="M32" s="6">
        <f>L32</f>
        <v>314569</v>
      </c>
    </row>
    <row r="33" spans="1:13">
      <c r="A33" s="3"/>
      <c r="B33" s="4" t="s">
        <v>11</v>
      </c>
      <c r="C33" s="3"/>
      <c r="D33" s="3"/>
      <c r="E33" s="3"/>
      <c r="F33" s="3"/>
      <c r="G33" s="4"/>
      <c r="H33" s="4"/>
      <c r="I33" s="6">
        <v>2052372</v>
      </c>
      <c r="J33" s="6"/>
      <c r="K33" s="6"/>
      <c r="L33" s="6">
        <f>SUM(I33:K33)</f>
        <v>2052372</v>
      </c>
      <c r="M33" s="6">
        <f>L33</f>
        <v>2052372</v>
      </c>
    </row>
    <row r="34" spans="1:13">
      <c r="A34" s="3"/>
      <c r="B34" s="4" t="s">
        <v>92</v>
      </c>
      <c r="C34" s="3"/>
      <c r="D34" s="3"/>
      <c r="E34" s="3"/>
      <c r="F34" s="3"/>
      <c r="G34" s="4"/>
      <c r="H34" s="4"/>
      <c r="I34" s="6">
        <v>1750227</v>
      </c>
      <c r="J34" s="6"/>
      <c r="K34" s="6"/>
      <c r="L34" s="6">
        <f>SUM(I34:K34)</f>
        <v>1750227</v>
      </c>
      <c r="M34" s="6">
        <f>L34</f>
        <v>1750227</v>
      </c>
    </row>
    <row r="35" spans="1:13">
      <c r="A35" s="3"/>
      <c r="B35" s="3"/>
      <c r="C35" s="3" t="s">
        <v>382</v>
      </c>
      <c r="D35" s="3"/>
      <c r="E35" s="3"/>
      <c r="F35" s="3"/>
      <c r="G35" s="3"/>
      <c r="H35" s="3"/>
      <c r="I35" s="10">
        <f>SUM(I32:I34)</f>
        <v>3805029</v>
      </c>
      <c r="J35" s="10">
        <f t="shared" ref="J35" si="4">SUM(J33:J34)</f>
        <v>0</v>
      </c>
      <c r="K35" s="10">
        <v>0</v>
      </c>
      <c r="L35" s="10">
        <f>SUM(L32:L34)</f>
        <v>4117168</v>
      </c>
      <c r="M35" s="4"/>
    </row>
    <row r="37" spans="1:13">
      <c r="A37" s="3" t="s">
        <v>462</v>
      </c>
      <c r="B37" s="2"/>
      <c r="C37" s="3"/>
      <c r="D37" s="4"/>
      <c r="E37" s="4"/>
      <c r="F37" s="4"/>
      <c r="G37" s="4"/>
      <c r="H37" s="4"/>
      <c r="I37" s="31"/>
      <c r="J37" s="31"/>
      <c r="K37" s="31"/>
      <c r="L37" s="31"/>
      <c r="M37" s="4"/>
    </row>
    <row r="38" spans="1:13">
      <c r="A38" s="3"/>
      <c r="B38" s="2" t="s">
        <v>27</v>
      </c>
      <c r="C38" s="3"/>
      <c r="D38" s="4"/>
      <c r="E38" s="4"/>
      <c r="F38" s="4"/>
      <c r="G38" s="4"/>
      <c r="H38" s="4"/>
      <c r="I38" s="32">
        <v>4455578</v>
      </c>
      <c r="J38" s="32"/>
      <c r="K38" s="32"/>
      <c r="L38" s="32">
        <f>SUM(I38:K38)</f>
        <v>4455578</v>
      </c>
      <c r="M38" s="4"/>
    </row>
    <row r="39" spans="1:13">
      <c r="A39" s="3"/>
      <c r="B39" s="2" t="s">
        <v>32</v>
      </c>
      <c r="C39" s="3"/>
      <c r="D39" s="4"/>
      <c r="E39" s="4"/>
      <c r="F39" s="4"/>
      <c r="G39" s="4"/>
      <c r="H39" s="4"/>
      <c r="I39" s="32">
        <v>7856520</v>
      </c>
      <c r="J39" s="32">
        <v>191907</v>
      </c>
      <c r="K39" s="31"/>
      <c r="L39" s="32">
        <f t="shared" ref="L39:L40" si="5">SUM(I39:K39)</f>
        <v>8048427</v>
      </c>
      <c r="M39" s="4"/>
    </row>
    <row r="40" spans="1:13">
      <c r="A40" s="3"/>
      <c r="B40" s="2" t="s">
        <v>100</v>
      </c>
      <c r="C40" s="3"/>
      <c r="D40" s="4"/>
      <c r="E40" s="4"/>
      <c r="F40" s="4"/>
      <c r="G40" s="4"/>
      <c r="H40" s="4"/>
      <c r="I40" s="32">
        <v>17398899</v>
      </c>
      <c r="J40" s="32"/>
      <c r="K40" s="32">
        <v>80488</v>
      </c>
      <c r="L40" s="32">
        <f t="shared" si="5"/>
        <v>17479387</v>
      </c>
      <c r="M40" s="4"/>
    </row>
    <row r="41" spans="1:13">
      <c r="A41" s="4"/>
      <c r="B41" s="4"/>
      <c r="C41" s="1" t="s">
        <v>463</v>
      </c>
      <c r="D41" s="2"/>
      <c r="E41" s="2"/>
      <c r="F41" s="2"/>
      <c r="G41" s="2"/>
      <c r="H41" s="2"/>
      <c r="I41" s="30">
        <f>SUM(I38:I40)</f>
        <v>29710997</v>
      </c>
      <c r="J41" s="30">
        <f>SUM(J38:J40)</f>
        <v>191907</v>
      </c>
      <c r="K41" s="30">
        <f>SUM(K38:K40)</f>
        <v>80488</v>
      </c>
      <c r="L41" s="30">
        <f>SUM(L38:L40)</f>
        <v>29983392</v>
      </c>
      <c r="M41" s="4"/>
    </row>
    <row r="42" spans="1:13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4"/>
    </row>
    <row r="43" spans="1:13">
      <c r="A43" s="3" t="s">
        <v>401</v>
      </c>
      <c r="B43" s="1"/>
      <c r="C43" s="2"/>
      <c r="D43" s="2"/>
      <c r="E43" s="2"/>
      <c r="F43" s="2"/>
      <c r="G43" s="2"/>
      <c r="H43" s="2"/>
      <c r="I43" s="31"/>
      <c r="J43" s="31"/>
      <c r="K43" s="31"/>
      <c r="L43" s="31"/>
      <c r="M43" s="4"/>
    </row>
    <row r="44" spans="1:13">
      <c r="A44" s="3"/>
      <c r="B44" s="2" t="s">
        <v>27</v>
      </c>
      <c r="C44" s="2"/>
      <c r="D44" s="2"/>
      <c r="E44" s="2"/>
      <c r="F44" s="2"/>
      <c r="G44" s="2"/>
      <c r="H44" s="2"/>
      <c r="I44" s="32">
        <v>-4294580</v>
      </c>
      <c r="J44" s="32">
        <v>-8760</v>
      </c>
      <c r="K44" s="32"/>
      <c r="L44" s="32">
        <f>SUM(I44:K44)</f>
        <v>-4303340</v>
      </c>
      <c r="M44" s="6">
        <f>L38+L44</f>
        <v>152238</v>
      </c>
    </row>
    <row r="45" spans="1:13">
      <c r="A45" s="3"/>
      <c r="B45" s="2" t="s">
        <v>32</v>
      </c>
      <c r="C45" s="2"/>
      <c r="D45" s="2"/>
      <c r="E45" s="2"/>
      <c r="F45" s="2"/>
      <c r="G45" s="2"/>
      <c r="H45" s="2"/>
      <c r="I45" s="32">
        <v>-5593835</v>
      </c>
      <c r="J45" s="32">
        <v>-389552</v>
      </c>
      <c r="K45" s="32"/>
      <c r="L45" s="32">
        <f t="shared" ref="L45:L46" si="6">SUM(I45:K45)</f>
        <v>-5983387</v>
      </c>
      <c r="M45" s="6">
        <f>L39+L45</f>
        <v>2065040</v>
      </c>
    </row>
    <row r="46" spans="1:13">
      <c r="A46" s="3"/>
      <c r="B46" s="2" t="s">
        <v>100</v>
      </c>
      <c r="C46" s="2"/>
      <c r="D46" s="2"/>
      <c r="E46" s="2"/>
      <c r="F46" s="2"/>
      <c r="G46" s="2"/>
      <c r="H46" s="2"/>
      <c r="I46" s="32">
        <v>-2146792</v>
      </c>
      <c r="J46" s="32">
        <v>-583813</v>
      </c>
      <c r="K46" s="32"/>
      <c r="L46" s="32">
        <f t="shared" si="6"/>
        <v>-2730605</v>
      </c>
      <c r="M46" s="6">
        <f>L40+L46</f>
        <v>14748782</v>
      </c>
    </row>
    <row r="47" spans="1:13">
      <c r="A47" s="3"/>
      <c r="B47" s="3"/>
      <c r="C47" s="1" t="s">
        <v>21</v>
      </c>
      <c r="D47" s="2"/>
      <c r="E47" s="2"/>
      <c r="F47" s="2"/>
      <c r="G47" s="2"/>
      <c r="H47" s="2"/>
      <c r="I47" s="30">
        <f>SUM(I44:I46)</f>
        <v>-12035207</v>
      </c>
      <c r="J47" s="30">
        <f>SUM(J44:J46)</f>
        <v>-982125</v>
      </c>
      <c r="K47" s="30"/>
      <c r="L47" s="30">
        <f>SUM(L44:L46)</f>
        <v>-13017332</v>
      </c>
      <c r="M47" s="4"/>
    </row>
    <row r="48" spans="1:13">
      <c r="A48" s="3" t="s">
        <v>464</v>
      </c>
      <c r="B48" s="1"/>
      <c r="C48" s="2"/>
      <c r="D48" s="2"/>
      <c r="E48" s="2"/>
      <c r="F48" s="2"/>
      <c r="G48" s="2"/>
      <c r="H48" s="2"/>
      <c r="I48" s="33">
        <f>I41+I47</f>
        <v>17675790</v>
      </c>
      <c r="J48" s="33">
        <f>J41+J47</f>
        <v>-790218</v>
      </c>
      <c r="K48" s="33"/>
      <c r="L48" s="33">
        <f>SUM(I48:K48)</f>
        <v>16885572</v>
      </c>
      <c r="M48" s="4"/>
    </row>
    <row r="49" spans="1:13" ht="19.5" thickBot="1">
      <c r="A49" s="3" t="s">
        <v>41</v>
      </c>
      <c r="B49" s="3"/>
      <c r="C49" s="2"/>
      <c r="D49" s="2"/>
      <c r="E49" s="2"/>
      <c r="F49" s="2"/>
      <c r="G49" s="2"/>
      <c r="H49" s="2"/>
      <c r="I49" s="34">
        <f>I35+I48</f>
        <v>21480819</v>
      </c>
      <c r="J49" s="34">
        <v>-397591</v>
      </c>
      <c r="K49" s="34"/>
      <c r="L49" s="34">
        <f>SUM(I49:K49)</f>
        <v>21083228</v>
      </c>
      <c r="M49" s="6">
        <f>SUM(M32:M47)</f>
        <v>21083228</v>
      </c>
    </row>
    <row r="50" spans="1:13">
      <c r="A50" s="3"/>
      <c r="B50" s="3"/>
      <c r="C50" s="2"/>
      <c r="D50" s="2"/>
      <c r="E50" s="2"/>
      <c r="F50" s="2"/>
      <c r="G50" s="2"/>
      <c r="H50" s="2"/>
      <c r="I50" s="31"/>
      <c r="J50" s="31"/>
      <c r="K50" s="31"/>
      <c r="L50" s="31"/>
      <c r="M50" s="4"/>
    </row>
  </sheetData>
  <mergeCells count="3">
    <mergeCell ref="D1:I1"/>
    <mergeCell ref="D2:I2"/>
    <mergeCell ref="D3:I3"/>
  </mergeCells>
  <phoneticPr fontId="15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T69"/>
  <sheetViews>
    <sheetView topLeftCell="D40" zoomScale="80" zoomScaleNormal="80" zoomScalePageLayoutView="80" workbookViewId="0">
      <selection activeCell="O19" sqref="O19"/>
    </sheetView>
  </sheetViews>
  <sheetFormatPr defaultColWidth="8.85546875" defaultRowHeight="15"/>
  <cols>
    <col min="2" max="2" width="5.42578125" customWidth="1"/>
    <col min="3" max="3" width="4.7109375" customWidth="1"/>
    <col min="4" max="4" width="3.7109375" customWidth="1"/>
    <col min="10" max="10" width="16.7109375" bestFit="1" customWidth="1"/>
    <col min="11" max="11" width="15.28515625" bestFit="1" customWidth="1"/>
    <col min="12" max="12" width="13.7109375" bestFit="1" customWidth="1"/>
    <col min="13" max="13" width="15.140625" bestFit="1" customWidth="1"/>
    <col min="14" max="14" width="16.7109375" bestFit="1" customWidth="1"/>
    <col min="15" max="15" width="24.28515625" customWidth="1"/>
  </cols>
  <sheetData>
    <row r="1" spans="2:15" ht="18.75">
      <c r="B1" s="4"/>
      <c r="C1" s="4"/>
      <c r="D1" s="4"/>
      <c r="E1" s="109" t="s">
        <v>466</v>
      </c>
      <c r="F1" s="109"/>
      <c r="G1" s="109"/>
      <c r="H1" s="109"/>
      <c r="I1" s="109"/>
      <c r="J1" s="109"/>
      <c r="K1" s="4"/>
      <c r="L1" s="4"/>
      <c r="M1" s="4"/>
      <c r="N1" s="4"/>
    </row>
    <row r="2" spans="2:15" ht="18.75">
      <c r="B2" s="4"/>
      <c r="C2" s="4"/>
      <c r="D2" s="4"/>
      <c r="E2" s="109" t="s">
        <v>1</v>
      </c>
      <c r="F2" s="109"/>
      <c r="G2" s="109"/>
      <c r="H2" s="109"/>
      <c r="I2" s="109"/>
      <c r="J2" s="109"/>
      <c r="K2" s="4"/>
      <c r="L2" s="4"/>
      <c r="M2" s="4"/>
      <c r="N2" s="4"/>
    </row>
    <row r="3" spans="2:15" ht="18.75">
      <c r="B3" s="4"/>
      <c r="C3" s="4"/>
      <c r="D3" s="4"/>
      <c r="E3" s="109" t="s">
        <v>2</v>
      </c>
      <c r="F3" s="109"/>
      <c r="G3" s="109"/>
      <c r="H3" s="109"/>
      <c r="I3" s="109"/>
      <c r="J3" s="109"/>
      <c r="K3" s="4"/>
      <c r="L3" s="4"/>
      <c r="M3" s="4"/>
      <c r="N3" s="4"/>
    </row>
    <row r="4" spans="2:15" ht="18.75">
      <c r="B4" s="4"/>
      <c r="C4" s="4"/>
      <c r="D4" s="4"/>
      <c r="E4" s="107"/>
      <c r="F4" s="107"/>
      <c r="G4" s="107"/>
      <c r="H4" s="107"/>
      <c r="I4" s="107"/>
      <c r="J4" s="107"/>
      <c r="K4" s="4"/>
      <c r="L4" s="4"/>
      <c r="M4" s="4"/>
      <c r="N4" s="4"/>
    </row>
    <row r="5" spans="2:15" ht="37.5">
      <c r="B5" s="4"/>
      <c r="C5" s="4"/>
      <c r="D5" s="4"/>
      <c r="E5" s="4"/>
      <c r="F5" s="4"/>
      <c r="G5" s="4"/>
      <c r="H5" s="4"/>
      <c r="I5" s="4"/>
      <c r="J5" s="64" t="s">
        <v>3</v>
      </c>
      <c r="K5" s="64" t="s">
        <v>4</v>
      </c>
      <c r="L5" s="64" t="s">
        <v>5</v>
      </c>
      <c r="M5" s="64" t="s">
        <v>467</v>
      </c>
      <c r="N5" s="64" t="s">
        <v>6</v>
      </c>
      <c r="O5" s="64" t="s">
        <v>7</v>
      </c>
    </row>
    <row r="6" spans="2:15" ht="18.75">
      <c r="B6" s="3" t="s">
        <v>10</v>
      </c>
      <c r="C6" s="3"/>
      <c r="D6" s="3"/>
      <c r="E6" s="3"/>
      <c r="F6" s="3"/>
      <c r="G6" s="3"/>
      <c r="H6" s="4"/>
      <c r="I6" s="4"/>
      <c r="J6" s="6"/>
      <c r="K6" s="6"/>
      <c r="L6" s="6"/>
      <c r="M6" s="6"/>
      <c r="N6" s="6"/>
    </row>
    <row r="7" spans="2:15" ht="18.75">
      <c r="B7" s="4" t="s">
        <v>11</v>
      </c>
      <c r="C7" s="4"/>
      <c r="D7" s="4"/>
      <c r="E7" s="4"/>
      <c r="F7" s="4"/>
      <c r="G7" s="4"/>
      <c r="H7" s="4"/>
      <c r="I7" s="4"/>
      <c r="J7" s="6">
        <v>46423371</v>
      </c>
      <c r="K7" s="6">
        <v>116816</v>
      </c>
      <c r="L7" s="6"/>
      <c r="M7" s="6"/>
      <c r="N7" s="6">
        <f>SUM(J7:M7)</f>
        <v>46540187</v>
      </c>
      <c r="O7" s="70">
        <f>N7</f>
        <v>46540187</v>
      </c>
    </row>
    <row r="8" spans="2:15" ht="18.75">
      <c r="B8" s="4" t="s">
        <v>468</v>
      </c>
      <c r="C8" s="4"/>
      <c r="D8" s="4"/>
      <c r="E8" s="4"/>
      <c r="F8" s="4"/>
      <c r="G8" s="4"/>
      <c r="H8" s="4"/>
      <c r="I8" s="4"/>
      <c r="J8" s="6">
        <v>1531879</v>
      </c>
      <c r="K8" s="6"/>
      <c r="L8" s="6"/>
      <c r="M8" s="6">
        <v>341644</v>
      </c>
      <c r="N8" s="6">
        <f>SUM(J8:M8)</f>
        <v>1873523</v>
      </c>
      <c r="O8" s="70">
        <f>N8</f>
        <v>1873523</v>
      </c>
    </row>
    <row r="9" spans="2:15" ht="18.75">
      <c r="B9" s="4" t="s">
        <v>12</v>
      </c>
      <c r="C9" s="4"/>
      <c r="D9" s="4"/>
      <c r="E9" s="4"/>
      <c r="F9" s="4"/>
      <c r="G9" s="4"/>
      <c r="H9" s="4"/>
      <c r="I9" s="4"/>
      <c r="J9" s="6">
        <v>14439686</v>
      </c>
      <c r="K9" s="6">
        <v>3429353</v>
      </c>
      <c r="L9" s="6"/>
      <c r="M9" s="6">
        <v>-17650828</v>
      </c>
      <c r="N9" s="6">
        <f>SUM(J9:M9)</f>
        <v>218211</v>
      </c>
      <c r="O9" s="70">
        <f>N9</f>
        <v>218211</v>
      </c>
    </row>
    <row r="10" spans="2:15" ht="18.75">
      <c r="B10" s="4" t="s">
        <v>65</v>
      </c>
      <c r="C10" s="4"/>
      <c r="D10" s="4"/>
      <c r="E10" s="4"/>
      <c r="F10" s="4"/>
      <c r="G10" s="4"/>
      <c r="H10" s="4"/>
      <c r="I10" s="4"/>
      <c r="J10" s="6"/>
      <c r="K10" s="6"/>
      <c r="L10" s="6"/>
      <c r="M10" s="6"/>
      <c r="N10" s="6"/>
    </row>
    <row r="11" spans="2:15" ht="18.75">
      <c r="B11" s="4"/>
      <c r="C11" s="4" t="s">
        <v>11</v>
      </c>
      <c r="D11" s="4"/>
      <c r="E11" s="4"/>
      <c r="F11" s="4"/>
      <c r="G11" s="4"/>
      <c r="H11" s="4"/>
      <c r="I11" s="4"/>
      <c r="J11" s="6">
        <v>19492378</v>
      </c>
      <c r="K11" s="6">
        <v>196211</v>
      </c>
      <c r="L11" s="6"/>
      <c r="M11" s="6"/>
      <c r="N11" s="6">
        <f>SUM(J11:M11)</f>
        <v>19688589</v>
      </c>
      <c r="O11" s="70">
        <f>N11</f>
        <v>19688589</v>
      </c>
    </row>
    <row r="12" spans="2:15" ht="18.75">
      <c r="B12" s="4"/>
      <c r="C12" s="4" t="s">
        <v>469</v>
      </c>
      <c r="D12" s="4"/>
      <c r="E12" s="4"/>
      <c r="F12" s="4"/>
      <c r="G12" s="4"/>
      <c r="H12" s="4"/>
      <c r="I12" s="4"/>
      <c r="J12" s="6">
        <v>12423209</v>
      </c>
      <c r="K12" s="6">
        <v>145485</v>
      </c>
      <c r="L12" s="6"/>
      <c r="M12" s="6">
        <v>3639933</v>
      </c>
      <c r="N12" s="6">
        <f>SUM(J12:M12)</f>
        <v>16208627</v>
      </c>
      <c r="O12" s="70">
        <f>N12</f>
        <v>16208627</v>
      </c>
    </row>
    <row r="13" spans="2:15" ht="18.75">
      <c r="B13" s="4"/>
      <c r="C13" s="4" t="s">
        <v>12</v>
      </c>
      <c r="D13" s="4"/>
      <c r="E13" s="4"/>
      <c r="F13" s="4"/>
      <c r="G13" s="4"/>
      <c r="H13" s="4"/>
      <c r="I13" s="4"/>
      <c r="J13" s="6">
        <v>17812865</v>
      </c>
      <c r="K13" s="6">
        <v>17743171</v>
      </c>
      <c r="L13" s="6"/>
      <c r="M13" s="6">
        <v>-16695593</v>
      </c>
      <c r="N13" s="6">
        <f>SUM(J13:M13)</f>
        <v>18860443</v>
      </c>
      <c r="O13" s="76">
        <f>N13</f>
        <v>18860443</v>
      </c>
    </row>
    <row r="14" spans="2:15" ht="18.75">
      <c r="B14" s="3"/>
      <c r="C14" s="3" t="s">
        <v>382</v>
      </c>
      <c r="D14" s="3"/>
      <c r="E14" s="3"/>
      <c r="F14" s="3"/>
      <c r="G14" s="3"/>
      <c r="H14" s="3"/>
      <c r="I14" s="3"/>
      <c r="J14" s="10">
        <f>SUM(J7:J13)</f>
        <v>112123388</v>
      </c>
      <c r="K14" s="10">
        <f>SUM(K7:K13)</f>
        <v>21631036</v>
      </c>
      <c r="L14" s="10">
        <f>SUM(L12:L13)</f>
        <v>0</v>
      </c>
      <c r="M14" s="10">
        <f>SUM(M7:M13)</f>
        <v>-30364844</v>
      </c>
      <c r="N14" s="10">
        <f>SUM(N7:N13)</f>
        <v>103389580</v>
      </c>
    </row>
    <row r="15" spans="2:15" ht="18.75">
      <c r="B15" s="3" t="s">
        <v>400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2:15" ht="18.75">
      <c r="B16" s="4" t="s">
        <v>470</v>
      </c>
      <c r="C16" s="4"/>
      <c r="D16" s="4"/>
      <c r="E16" s="4"/>
      <c r="F16" s="4"/>
      <c r="G16" s="4"/>
      <c r="H16" s="4"/>
      <c r="I16" s="4"/>
      <c r="J16" s="4">
        <v>4897831</v>
      </c>
      <c r="K16" s="4"/>
      <c r="L16" s="4"/>
      <c r="M16" s="4"/>
      <c r="N16" s="4">
        <f>SUM(J16:M16)</f>
        <v>4897831</v>
      </c>
    </row>
    <row r="17" spans="2:15" ht="18.75">
      <c r="B17" s="4" t="s">
        <v>471</v>
      </c>
      <c r="C17" s="4"/>
      <c r="D17" s="4"/>
      <c r="E17" s="4"/>
      <c r="F17" s="4"/>
      <c r="G17" s="4"/>
      <c r="H17" s="4"/>
      <c r="I17" s="4"/>
      <c r="J17" s="4">
        <v>83080630</v>
      </c>
      <c r="K17" s="4"/>
      <c r="L17" s="4"/>
      <c r="M17" s="4">
        <v>15943640</v>
      </c>
      <c r="N17" s="4">
        <f>SUM(J17:M17)</f>
        <v>99024270</v>
      </c>
    </row>
    <row r="18" spans="2:15" ht="18.75">
      <c r="B18" s="4" t="s">
        <v>472</v>
      </c>
      <c r="C18" s="4"/>
      <c r="D18" s="4"/>
      <c r="E18" s="4"/>
      <c r="F18" s="4"/>
      <c r="G18" s="4"/>
      <c r="H18" s="4"/>
      <c r="I18" s="4"/>
      <c r="J18" s="4">
        <v>4512740</v>
      </c>
      <c r="K18" s="4"/>
      <c r="L18" s="4"/>
      <c r="M18" s="4">
        <v>1365544</v>
      </c>
      <c r="N18" s="4">
        <f>SUM(J18:M18)</f>
        <v>5878284</v>
      </c>
    </row>
    <row r="19" spans="2:15" ht="18.75">
      <c r="B19" s="4" t="s">
        <v>473</v>
      </c>
      <c r="C19" s="4"/>
      <c r="D19" s="4"/>
      <c r="E19" s="4"/>
      <c r="F19" s="4"/>
      <c r="G19" s="4"/>
      <c r="H19" s="4"/>
      <c r="I19" s="4"/>
      <c r="J19" s="4">
        <v>186184</v>
      </c>
      <c r="K19" s="6"/>
      <c r="L19" s="6"/>
      <c r="M19" s="6">
        <v>446133</v>
      </c>
      <c r="N19" s="4">
        <f t="shared" ref="N19:N22" si="0">SUM(J19:M19)</f>
        <v>632317</v>
      </c>
    </row>
    <row r="20" spans="2:15" ht="18.75">
      <c r="B20" s="4" t="s">
        <v>30</v>
      </c>
      <c r="C20" s="4"/>
      <c r="D20" s="4"/>
      <c r="E20" s="4"/>
      <c r="F20" s="4"/>
      <c r="G20" s="4"/>
      <c r="H20" s="4"/>
      <c r="I20" s="4"/>
      <c r="J20" s="4">
        <v>4509755</v>
      </c>
      <c r="K20" s="6">
        <v>15091</v>
      </c>
      <c r="L20" s="6">
        <v>-302034</v>
      </c>
      <c r="M20" s="6"/>
      <c r="N20" s="4">
        <f t="shared" si="0"/>
        <v>4222812</v>
      </c>
    </row>
    <row r="21" spans="2:15" ht="18.75">
      <c r="B21" s="4" t="s">
        <v>16</v>
      </c>
      <c r="C21" s="4"/>
      <c r="D21" s="4"/>
      <c r="E21" s="4"/>
      <c r="F21" s="4"/>
      <c r="G21" s="4"/>
      <c r="H21" s="4"/>
      <c r="I21" s="4"/>
      <c r="J21" s="4">
        <v>22784449</v>
      </c>
      <c r="K21" s="6">
        <v>795745</v>
      </c>
      <c r="L21" s="6">
        <v>-250271</v>
      </c>
      <c r="M21" s="6">
        <v>-8449</v>
      </c>
      <c r="N21" s="4">
        <f t="shared" si="0"/>
        <v>23321474</v>
      </c>
    </row>
    <row r="22" spans="2:15" ht="18.75">
      <c r="B22" s="4" t="s">
        <v>474</v>
      </c>
      <c r="C22" s="4"/>
      <c r="D22" s="4"/>
      <c r="E22" s="4"/>
      <c r="F22" s="4"/>
      <c r="G22" s="4"/>
      <c r="H22" s="4"/>
      <c r="I22" s="4"/>
      <c r="J22" s="4">
        <v>9387383</v>
      </c>
      <c r="K22" s="6">
        <v>460165</v>
      </c>
      <c r="L22" s="6"/>
      <c r="M22" s="6">
        <v>-6354</v>
      </c>
      <c r="N22" s="4">
        <f t="shared" si="0"/>
        <v>9841194</v>
      </c>
    </row>
    <row r="23" spans="2:15" ht="18.75">
      <c r="B23" s="4" t="s">
        <v>65</v>
      </c>
      <c r="C23" s="4"/>
      <c r="D23" s="4"/>
      <c r="E23" s="4"/>
      <c r="F23" s="4"/>
      <c r="G23" s="4"/>
      <c r="H23" s="4"/>
      <c r="I23" s="4"/>
      <c r="J23" s="4"/>
      <c r="K23" s="6"/>
      <c r="L23" s="6"/>
      <c r="M23" s="6"/>
      <c r="N23" s="4"/>
    </row>
    <row r="24" spans="2:15" ht="18.75">
      <c r="B24" s="4"/>
      <c r="C24" s="4" t="s">
        <v>51</v>
      </c>
      <c r="D24" s="4"/>
      <c r="E24" s="4"/>
      <c r="F24" s="4"/>
      <c r="G24" s="4"/>
      <c r="H24" s="4"/>
      <c r="I24" s="4"/>
      <c r="J24" s="4">
        <v>262433837</v>
      </c>
      <c r="K24" s="6">
        <v>919470</v>
      </c>
      <c r="L24" s="6">
        <v>-1000082</v>
      </c>
      <c r="M24" s="6">
        <v>6448223</v>
      </c>
      <c r="N24" s="4">
        <f>SUM(J24:M24)</f>
        <v>268801448</v>
      </c>
    </row>
    <row r="25" spans="2:15" ht="18.75">
      <c r="B25" s="4"/>
      <c r="C25" s="4" t="s">
        <v>475</v>
      </c>
      <c r="D25" s="4"/>
      <c r="E25" s="4"/>
      <c r="F25" s="4"/>
      <c r="G25" s="4"/>
      <c r="H25" s="4"/>
      <c r="I25" s="4"/>
      <c r="J25" s="4">
        <v>24524647</v>
      </c>
      <c r="K25" s="6"/>
      <c r="L25" s="6"/>
      <c r="M25" s="6">
        <v>6161304</v>
      </c>
      <c r="N25" s="4">
        <f>SUM(J25:M25)</f>
        <v>30685951</v>
      </c>
    </row>
    <row r="26" spans="2:15" ht="18.75">
      <c r="B26" s="3"/>
      <c r="C26" s="3"/>
      <c r="D26" s="3" t="s">
        <v>19</v>
      </c>
      <c r="E26" s="3"/>
      <c r="F26" s="3"/>
      <c r="G26" s="4"/>
      <c r="H26" s="4"/>
      <c r="I26" s="4"/>
      <c r="J26" s="11">
        <f>SUM(J16:J25)</f>
        <v>416317456</v>
      </c>
      <c r="K26" s="11">
        <f>SUM(K16:K25)</f>
        <v>2190471</v>
      </c>
      <c r="L26" s="11">
        <f>SUM(L16:L25)</f>
        <v>-1552387</v>
      </c>
      <c r="M26" s="11">
        <f>SUM(M16:M25)</f>
        <v>30350041</v>
      </c>
      <c r="N26" s="11">
        <f>SUM(N16:N25)</f>
        <v>447305581</v>
      </c>
    </row>
    <row r="27" spans="2:15" ht="18.75">
      <c r="B27" s="3" t="s">
        <v>20</v>
      </c>
      <c r="C27" s="4"/>
      <c r="D27" s="4"/>
      <c r="E27" s="4"/>
      <c r="F27" s="4"/>
      <c r="G27" s="4"/>
      <c r="H27" s="4"/>
      <c r="I27" s="4"/>
      <c r="J27" s="4"/>
      <c r="K27" s="6"/>
      <c r="L27" s="6"/>
      <c r="M27" s="6"/>
      <c r="N27" s="6"/>
    </row>
    <row r="28" spans="2:15" ht="18.75">
      <c r="B28" s="4" t="s">
        <v>470</v>
      </c>
      <c r="C28" s="4"/>
      <c r="D28" s="4"/>
      <c r="E28" s="4"/>
      <c r="F28" s="4"/>
      <c r="G28" s="4"/>
      <c r="H28" s="4"/>
      <c r="I28" s="4"/>
      <c r="J28" s="6">
        <v>-1397100</v>
      </c>
      <c r="K28" s="6">
        <v>-323622</v>
      </c>
      <c r="L28" s="6"/>
      <c r="M28" s="6"/>
      <c r="N28" s="6">
        <f t="shared" ref="N28:N34" si="1">SUM(J28:M28)</f>
        <v>-1720722</v>
      </c>
      <c r="O28" s="70">
        <f t="shared" ref="O28:O34" si="2">N16+N28</f>
        <v>3177109</v>
      </c>
    </row>
    <row r="29" spans="2:15" ht="18.75">
      <c r="B29" s="4" t="s">
        <v>471</v>
      </c>
      <c r="C29" s="4"/>
      <c r="D29" s="4"/>
      <c r="E29" s="4"/>
      <c r="F29" s="4"/>
      <c r="G29" s="4"/>
      <c r="H29" s="4"/>
      <c r="I29" s="4"/>
      <c r="J29" s="6">
        <v>-24101864</v>
      </c>
      <c r="K29" s="6">
        <v>-2205604</v>
      </c>
      <c r="L29" s="6"/>
      <c r="M29" s="6"/>
      <c r="N29" s="6">
        <f t="shared" si="1"/>
        <v>-26307468</v>
      </c>
      <c r="O29" s="70">
        <f t="shared" si="2"/>
        <v>72716802</v>
      </c>
    </row>
    <row r="30" spans="2:15" ht="18.75">
      <c r="B30" s="4" t="s">
        <v>472</v>
      </c>
      <c r="C30" s="4"/>
      <c r="D30" s="4"/>
      <c r="E30" s="4"/>
      <c r="F30" s="4"/>
      <c r="G30" s="4"/>
      <c r="H30" s="4"/>
      <c r="I30" s="4"/>
      <c r="J30" s="6">
        <v>-816759</v>
      </c>
      <c r="K30" s="6">
        <v>-254141</v>
      </c>
      <c r="L30" s="6"/>
      <c r="M30" s="6"/>
      <c r="N30" s="6">
        <f t="shared" si="1"/>
        <v>-1070900</v>
      </c>
      <c r="O30" s="70">
        <f t="shared" si="2"/>
        <v>4807384</v>
      </c>
    </row>
    <row r="31" spans="2:15" ht="18.75">
      <c r="B31" s="4" t="s">
        <v>473</v>
      </c>
      <c r="C31" s="4"/>
      <c r="D31" s="4"/>
      <c r="E31" s="4"/>
      <c r="F31" s="4"/>
      <c r="G31" s="4"/>
      <c r="H31" s="4"/>
      <c r="I31" s="4"/>
      <c r="J31" s="6">
        <v>-109794</v>
      </c>
      <c r="K31" s="6">
        <v>-17857</v>
      </c>
      <c r="L31" s="6"/>
      <c r="M31" s="6"/>
      <c r="N31" s="6">
        <f t="shared" si="1"/>
        <v>-127651</v>
      </c>
      <c r="O31" s="70">
        <f t="shared" si="2"/>
        <v>504666</v>
      </c>
    </row>
    <row r="32" spans="2:15" ht="18.75">
      <c r="B32" s="4" t="s">
        <v>30</v>
      </c>
      <c r="C32" s="4"/>
      <c r="D32" s="4"/>
      <c r="E32" s="4"/>
      <c r="F32" s="4"/>
      <c r="G32" s="4"/>
      <c r="H32" s="4"/>
      <c r="I32" s="4"/>
      <c r="J32" s="6">
        <v>-3871058</v>
      </c>
      <c r="K32" s="6">
        <v>-205934</v>
      </c>
      <c r="L32" s="6">
        <v>302034</v>
      </c>
      <c r="M32" s="6"/>
      <c r="N32" s="6">
        <f t="shared" si="1"/>
        <v>-3774958</v>
      </c>
      <c r="O32" s="70">
        <f t="shared" si="2"/>
        <v>447854</v>
      </c>
    </row>
    <row r="33" spans="1:20" ht="18.75">
      <c r="B33" s="4" t="s">
        <v>16</v>
      </c>
      <c r="C33" s="4"/>
      <c r="D33" s="4"/>
      <c r="E33" s="4"/>
      <c r="F33" s="4"/>
      <c r="G33" s="4"/>
      <c r="H33" s="4"/>
      <c r="I33" s="4"/>
      <c r="J33" s="6">
        <v>-17467854</v>
      </c>
      <c r="K33" s="6">
        <v>-1451074</v>
      </c>
      <c r="L33" s="6">
        <v>250270</v>
      </c>
      <c r="M33" s="6"/>
      <c r="N33" s="6">
        <f t="shared" si="1"/>
        <v>-18668658</v>
      </c>
      <c r="O33" s="70">
        <f t="shared" si="2"/>
        <v>4652816</v>
      </c>
    </row>
    <row r="34" spans="1:20" ht="18.75">
      <c r="B34" s="4" t="s">
        <v>474</v>
      </c>
      <c r="C34" s="4"/>
      <c r="D34" s="4"/>
      <c r="E34" s="4"/>
      <c r="F34" s="4"/>
      <c r="G34" s="4"/>
      <c r="H34" s="4"/>
      <c r="I34" s="4"/>
      <c r="J34" s="6">
        <v>-6171476</v>
      </c>
      <c r="K34" s="6">
        <v>-930746</v>
      </c>
      <c r="L34" s="6"/>
      <c r="M34" s="6"/>
      <c r="N34" s="6">
        <f t="shared" si="1"/>
        <v>-7102222</v>
      </c>
      <c r="O34" s="70">
        <f t="shared" si="2"/>
        <v>2738972</v>
      </c>
    </row>
    <row r="35" spans="1:20" ht="18.75">
      <c r="B35" s="4" t="s">
        <v>65</v>
      </c>
      <c r="C35" s="4"/>
      <c r="D35" s="4"/>
      <c r="E35" s="4"/>
      <c r="F35" s="4"/>
      <c r="G35" s="4"/>
      <c r="H35" s="4"/>
      <c r="I35" s="4"/>
      <c r="J35" s="6"/>
      <c r="K35" s="6"/>
      <c r="L35" s="6"/>
      <c r="M35" s="6"/>
      <c r="N35" s="6"/>
    </row>
    <row r="36" spans="1:20" ht="18.75">
      <c r="B36" s="4"/>
      <c r="C36" s="4" t="s">
        <v>476</v>
      </c>
      <c r="D36" s="4"/>
      <c r="E36" s="4"/>
      <c r="F36" s="4"/>
      <c r="G36" s="4"/>
      <c r="H36" s="4"/>
      <c r="I36" s="4"/>
      <c r="J36" s="6">
        <v>-87358845</v>
      </c>
      <c r="K36" s="6">
        <v>-9288445</v>
      </c>
      <c r="L36" s="6">
        <v>336849</v>
      </c>
      <c r="M36" s="6"/>
      <c r="N36" s="6">
        <f>SUM(J36:M36)</f>
        <v>-96310441</v>
      </c>
      <c r="O36" s="70">
        <f>N24+N36</f>
        <v>172491007</v>
      </c>
    </row>
    <row r="37" spans="1:20" ht="18.75">
      <c r="B37" s="4"/>
      <c r="C37" s="4" t="s">
        <v>475</v>
      </c>
      <c r="D37" s="4"/>
      <c r="E37" s="4"/>
      <c r="F37" s="4"/>
      <c r="G37" s="4"/>
      <c r="H37" s="4"/>
      <c r="I37" s="4"/>
      <c r="J37" s="6">
        <v>-3949228</v>
      </c>
      <c r="K37" s="6">
        <v>-994280</v>
      </c>
      <c r="L37" s="6"/>
      <c r="M37" s="6"/>
      <c r="N37" s="6">
        <f>SUM(J37:M37)</f>
        <v>-4943508</v>
      </c>
      <c r="O37" s="76">
        <f>N25+N37</f>
        <v>25742443</v>
      </c>
    </row>
    <row r="38" spans="1:20" ht="18.75">
      <c r="B38" s="3"/>
      <c r="C38" s="3"/>
      <c r="D38" s="3" t="s">
        <v>21</v>
      </c>
      <c r="E38" s="3"/>
      <c r="F38" s="4"/>
      <c r="G38" s="4"/>
      <c r="H38" s="4"/>
      <c r="I38" s="4"/>
      <c r="J38" s="11">
        <f>SUM(J28:J37)</f>
        <v>-145243978</v>
      </c>
      <c r="K38" s="11">
        <f>SUM(K28:K37)</f>
        <v>-15671703</v>
      </c>
      <c r="L38" s="11">
        <f>SUM(L28:L37)</f>
        <v>889153</v>
      </c>
      <c r="M38" s="11">
        <f>SUM(M28:M37)</f>
        <v>0</v>
      </c>
      <c r="N38" s="11">
        <f>SUM(N28:N37)</f>
        <v>-160026528</v>
      </c>
    </row>
    <row r="39" spans="1:20" ht="18.75">
      <c r="B39" s="3" t="s">
        <v>22</v>
      </c>
      <c r="C39" s="3"/>
      <c r="D39" s="3"/>
      <c r="E39" s="3"/>
      <c r="F39" s="4"/>
      <c r="G39" s="4"/>
      <c r="H39" s="4"/>
      <c r="I39" s="4"/>
      <c r="J39" s="11">
        <v>271073478</v>
      </c>
      <c r="K39" s="11">
        <v>-13481232</v>
      </c>
      <c r="L39" s="11">
        <v>-663234</v>
      </c>
      <c r="M39" s="11">
        <f>M26-M38</f>
        <v>30350041</v>
      </c>
      <c r="N39" s="11">
        <f>SUM(J39:M39)</f>
        <v>287279053</v>
      </c>
    </row>
    <row r="40" spans="1:20" ht="18.75">
      <c r="B40" s="3"/>
      <c r="C40" s="3" t="s">
        <v>477</v>
      </c>
      <c r="D40" s="3"/>
      <c r="E40" s="3"/>
      <c r="F40" s="4"/>
      <c r="G40" s="4"/>
      <c r="H40" s="4"/>
      <c r="I40" s="4"/>
      <c r="J40" s="11">
        <f>J39+J14</f>
        <v>383196866</v>
      </c>
      <c r="K40" s="11">
        <f t="shared" ref="K40:N40" si="3">K39+K14</f>
        <v>8149804</v>
      </c>
      <c r="L40" s="11">
        <f t="shared" si="3"/>
        <v>-663234</v>
      </c>
      <c r="M40" s="11">
        <f t="shared" si="3"/>
        <v>-14803</v>
      </c>
      <c r="N40" s="11">
        <f t="shared" si="3"/>
        <v>390668633</v>
      </c>
      <c r="O40" s="76">
        <f>SUM(O7:O37)</f>
        <v>390668633</v>
      </c>
    </row>
    <row r="41" spans="1:20" ht="18.75">
      <c r="B41" s="3"/>
      <c r="C41" s="3"/>
      <c r="D41" s="3"/>
      <c r="E41" s="3"/>
      <c r="F41" s="4"/>
      <c r="G41" s="4"/>
      <c r="H41" s="4"/>
      <c r="I41" s="4"/>
      <c r="J41" s="27"/>
      <c r="K41" s="27"/>
      <c r="L41" s="27"/>
      <c r="M41" s="27"/>
      <c r="N41" s="27"/>
    </row>
    <row r="42" spans="1:20" ht="18.75">
      <c r="A42" s="1" t="s">
        <v>439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18.75">
      <c r="B43" s="3" t="s">
        <v>10</v>
      </c>
      <c r="C43" s="3"/>
      <c r="D43" s="3"/>
      <c r="E43" s="3"/>
      <c r="F43" s="3"/>
      <c r="G43" s="3"/>
      <c r="H43" s="4"/>
      <c r="I43" s="4"/>
      <c r="J43" s="6"/>
      <c r="K43" s="6"/>
      <c r="L43" s="6"/>
      <c r="M43" s="6"/>
      <c r="N43" s="6"/>
    </row>
    <row r="44" spans="1:20" ht="18.75">
      <c r="B44" s="4" t="s">
        <v>11</v>
      </c>
      <c r="C44" s="4"/>
      <c r="D44" s="4"/>
      <c r="E44" s="4"/>
      <c r="F44" s="4"/>
      <c r="G44" s="4"/>
      <c r="H44" s="4"/>
      <c r="I44" s="4"/>
      <c r="J44" s="6">
        <v>575567</v>
      </c>
      <c r="K44" s="6"/>
      <c r="L44" s="6"/>
      <c r="M44" s="6"/>
      <c r="N44" s="6">
        <f>SUM(J44:M44)</f>
        <v>575567</v>
      </c>
      <c r="O44" s="70">
        <f>N44</f>
        <v>575567</v>
      </c>
    </row>
    <row r="45" spans="1:20" ht="18.75">
      <c r="B45" s="4" t="s">
        <v>12</v>
      </c>
      <c r="C45" s="4"/>
      <c r="D45" s="4"/>
      <c r="E45" s="4"/>
      <c r="F45" s="4"/>
      <c r="G45" s="4"/>
      <c r="H45" s="4"/>
      <c r="I45" s="4"/>
      <c r="J45" s="6">
        <v>460200</v>
      </c>
      <c r="K45" s="6">
        <v>328101</v>
      </c>
      <c r="L45" s="6"/>
      <c r="M45" s="6">
        <v>-196850</v>
      </c>
      <c r="N45" s="6">
        <f>SUM(J45:M45)</f>
        <v>591451</v>
      </c>
      <c r="O45" s="76">
        <f>N45</f>
        <v>591451</v>
      </c>
    </row>
    <row r="46" spans="1:20" ht="18.75">
      <c r="B46" s="3"/>
      <c r="C46" s="3" t="s">
        <v>382</v>
      </c>
      <c r="D46" s="3"/>
      <c r="E46" s="3"/>
      <c r="F46" s="3"/>
      <c r="G46" s="3"/>
      <c r="H46" s="3"/>
      <c r="I46" s="3"/>
      <c r="J46" s="10">
        <f>SUM(J44:J45)</f>
        <v>1035767</v>
      </c>
      <c r="K46" s="10">
        <f>SUM(K44:K45)</f>
        <v>328101</v>
      </c>
      <c r="L46" s="10">
        <v>0</v>
      </c>
      <c r="M46" s="10">
        <f>SUM(M44:M45)</f>
        <v>-196850</v>
      </c>
      <c r="N46" s="10">
        <f>SUM(J46:M46)</f>
        <v>1167018</v>
      </c>
    </row>
    <row r="47" spans="1:20" ht="18.75">
      <c r="B47" s="3" t="s">
        <v>400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20" ht="18.75">
      <c r="B48" s="4" t="s">
        <v>470</v>
      </c>
      <c r="C48" s="4"/>
      <c r="D48" s="4"/>
      <c r="E48" s="4"/>
      <c r="F48" s="4"/>
      <c r="G48" s="4"/>
      <c r="H48" s="4"/>
      <c r="I48" s="4"/>
      <c r="J48" s="4">
        <v>50707</v>
      </c>
      <c r="K48" s="4"/>
      <c r="L48" s="4"/>
      <c r="M48" s="4"/>
      <c r="N48" s="4">
        <f>SUM(J48:M48)</f>
        <v>50707</v>
      </c>
    </row>
    <row r="49" spans="2:15" ht="18.75">
      <c r="B49" s="4" t="s">
        <v>471</v>
      </c>
      <c r="C49" s="4"/>
      <c r="D49" s="4"/>
      <c r="E49" s="4"/>
      <c r="F49" s="4"/>
      <c r="G49" s="4"/>
      <c r="H49" s="4"/>
      <c r="I49" s="4"/>
      <c r="J49" s="4">
        <v>13376</v>
      </c>
      <c r="K49" s="4"/>
      <c r="L49" s="4"/>
      <c r="M49" s="4"/>
      <c r="N49" s="4">
        <f>SUM(J49:M49)</f>
        <v>13376</v>
      </c>
    </row>
    <row r="50" spans="2:15" ht="18.75">
      <c r="B50" s="4" t="s">
        <v>30</v>
      </c>
      <c r="C50" s="4"/>
      <c r="D50" s="4"/>
      <c r="E50" s="4"/>
      <c r="F50" s="4"/>
      <c r="G50" s="4"/>
      <c r="H50" s="4"/>
      <c r="I50" s="4"/>
      <c r="J50" s="4">
        <v>304379</v>
      </c>
      <c r="K50" s="4">
        <v>186683</v>
      </c>
      <c r="L50" s="4">
        <v>-8856</v>
      </c>
      <c r="M50" s="4"/>
      <c r="N50" s="4">
        <f>SUM(J50:M50)</f>
        <v>482206</v>
      </c>
    </row>
    <row r="51" spans="2:15" ht="18.75">
      <c r="B51" s="4" t="s">
        <v>16</v>
      </c>
      <c r="C51" s="4"/>
      <c r="D51" s="4"/>
      <c r="E51" s="4"/>
      <c r="F51" s="4"/>
      <c r="G51" s="4"/>
      <c r="H51" s="4"/>
      <c r="I51" s="4"/>
      <c r="J51" s="4">
        <v>518320</v>
      </c>
      <c r="K51" s="6"/>
      <c r="L51" s="6"/>
      <c r="M51" s="6">
        <v>8449</v>
      </c>
      <c r="N51" s="4">
        <f>SUM(J51:M51)</f>
        <v>526769</v>
      </c>
    </row>
    <row r="52" spans="2:15" ht="18.75">
      <c r="B52" s="4" t="s">
        <v>474</v>
      </c>
      <c r="C52" s="4"/>
      <c r="D52" s="4"/>
      <c r="E52" s="4"/>
      <c r="F52" s="4"/>
      <c r="G52" s="4"/>
      <c r="H52" s="4"/>
      <c r="I52" s="4"/>
      <c r="J52" s="4"/>
      <c r="K52" s="6"/>
      <c r="L52" s="6"/>
      <c r="M52" s="6">
        <v>6354</v>
      </c>
      <c r="N52" s="4">
        <f>SUM(J52:M52)</f>
        <v>6354</v>
      </c>
    </row>
    <row r="53" spans="2:15" ht="18.75">
      <c r="B53" s="4" t="s">
        <v>65</v>
      </c>
      <c r="C53" s="4"/>
      <c r="D53" s="4"/>
      <c r="E53" s="4"/>
      <c r="F53" s="4"/>
      <c r="G53" s="4"/>
      <c r="H53" s="4"/>
      <c r="I53" s="4"/>
      <c r="J53" s="4"/>
      <c r="K53" s="6"/>
      <c r="L53" s="6"/>
      <c r="M53" s="6"/>
      <c r="N53" s="4"/>
    </row>
    <row r="54" spans="2:15" ht="18.75">
      <c r="B54" s="4"/>
      <c r="C54" s="4" t="s">
        <v>478</v>
      </c>
      <c r="D54" s="4"/>
      <c r="E54" s="4"/>
      <c r="F54" s="4"/>
      <c r="G54" s="4"/>
      <c r="H54" s="4"/>
      <c r="I54" s="4"/>
      <c r="J54" s="4">
        <v>34741325</v>
      </c>
      <c r="K54" s="6">
        <v>79547</v>
      </c>
      <c r="L54" s="6"/>
      <c r="M54" s="6">
        <v>196850</v>
      </c>
      <c r="N54" s="4">
        <f t="shared" ref="N54:N55" si="4">SUM(J54:M54)</f>
        <v>35017722</v>
      </c>
    </row>
    <row r="55" spans="2:15" ht="18.75">
      <c r="B55" s="4"/>
      <c r="C55" s="4" t="s">
        <v>479</v>
      </c>
      <c r="D55" s="4"/>
      <c r="E55" s="4"/>
      <c r="F55" s="4"/>
      <c r="G55" s="4"/>
      <c r="H55" s="4"/>
      <c r="I55" s="4"/>
      <c r="J55" s="4">
        <v>17293207</v>
      </c>
      <c r="K55" s="6">
        <v>52850</v>
      </c>
      <c r="L55" s="6"/>
      <c r="M55" s="6"/>
      <c r="N55" s="4">
        <f t="shared" si="4"/>
        <v>17346057</v>
      </c>
    </row>
    <row r="56" spans="2:15" ht="18.75">
      <c r="B56" s="3"/>
      <c r="C56" s="3"/>
      <c r="D56" s="3" t="s">
        <v>19</v>
      </c>
      <c r="E56" s="3"/>
      <c r="F56" s="3"/>
      <c r="G56" s="4"/>
      <c r="H56" s="4"/>
      <c r="I56" s="4"/>
      <c r="J56" s="11">
        <f>SUM(J48:J55)</f>
        <v>52921314</v>
      </c>
      <c r="K56" s="11">
        <f>SUM(K48:K55)</f>
        <v>319080</v>
      </c>
      <c r="L56" s="11">
        <f>SUM(L48:L55)</f>
        <v>-8856</v>
      </c>
      <c r="M56" s="11">
        <f>SUM(M48:M55)</f>
        <v>211653</v>
      </c>
      <c r="N56" s="11">
        <f>SUM(N48:N55)</f>
        <v>53443191</v>
      </c>
    </row>
    <row r="57" spans="2:15" ht="18.75">
      <c r="B57" s="3" t="s">
        <v>20</v>
      </c>
      <c r="C57" s="4"/>
      <c r="D57" s="4"/>
      <c r="E57" s="4"/>
      <c r="F57" s="4"/>
      <c r="G57" s="4"/>
      <c r="H57" s="4"/>
      <c r="I57" s="4"/>
      <c r="J57" s="4"/>
      <c r="K57" s="6"/>
      <c r="L57" s="6"/>
      <c r="M57" s="6"/>
      <c r="N57" s="6"/>
    </row>
    <row r="58" spans="2:15" ht="18.75">
      <c r="B58" s="4" t="s">
        <v>470</v>
      </c>
      <c r="C58" s="4"/>
      <c r="D58" s="4"/>
      <c r="E58" s="4"/>
      <c r="F58" s="4"/>
      <c r="G58" s="4"/>
      <c r="H58" s="4"/>
      <c r="I58" s="4"/>
      <c r="J58" s="6">
        <v>-6479</v>
      </c>
      <c r="K58" s="6">
        <v>-2535</v>
      </c>
      <c r="L58" s="6"/>
      <c r="M58" s="6"/>
      <c r="N58" s="6">
        <f>SUM(J58:M58)</f>
        <v>-9014</v>
      </c>
      <c r="O58" s="70">
        <f>N48+N58</f>
        <v>41693</v>
      </c>
    </row>
    <row r="59" spans="2:15" ht="18.75">
      <c r="B59" s="4" t="s">
        <v>471</v>
      </c>
      <c r="C59" s="4"/>
      <c r="D59" s="4"/>
      <c r="E59" s="4"/>
      <c r="F59" s="4"/>
      <c r="G59" s="4"/>
      <c r="H59" s="4"/>
      <c r="I59" s="4"/>
      <c r="J59" s="6">
        <v>-1650</v>
      </c>
      <c r="K59" s="6">
        <v>-535</v>
      </c>
      <c r="L59" s="6"/>
      <c r="M59" s="6"/>
      <c r="N59" s="6">
        <f>SUM(J59:M59)</f>
        <v>-2185</v>
      </c>
      <c r="O59" s="70">
        <f>N49+N59</f>
        <v>11191</v>
      </c>
    </row>
    <row r="60" spans="2:15" ht="18.75">
      <c r="B60" s="4" t="s">
        <v>30</v>
      </c>
      <c r="C60" s="4"/>
      <c r="D60" s="4"/>
      <c r="E60" s="4"/>
      <c r="F60" s="4"/>
      <c r="G60" s="4"/>
      <c r="H60" s="4"/>
      <c r="I60" s="4"/>
      <c r="J60" s="6">
        <v>-191552</v>
      </c>
      <c r="K60" s="6">
        <v>-39412</v>
      </c>
      <c r="L60" s="6">
        <v>8856</v>
      </c>
      <c r="M60" s="6"/>
      <c r="N60" s="6">
        <f>SUM(J60:M60)</f>
        <v>-222108</v>
      </c>
      <c r="O60" s="70">
        <f>N50+N60</f>
        <v>260098</v>
      </c>
    </row>
    <row r="61" spans="2:15" ht="18.75">
      <c r="B61" s="4" t="s">
        <v>16</v>
      </c>
      <c r="C61" s="4"/>
      <c r="D61" s="4"/>
      <c r="E61" s="4"/>
      <c r="F61" s="4"/>
      <c r="G61" s="4"/>
      <c r="H61" s="4"/>
      <c r="I61" s="4"/>
      <c r="J61" s="6">
        <v>-250750</v>
      </c>
      <c r="K61" s="6">
        <v>-49877</v>
      </c>
      <c r="L61" s="6"/>
      <c r="M61" s="6"/>
      <c r="N61" s="6">
        <f>SUM(J61:M61)</f>
        <v>-300627</v>
      </c>
      <c r="O61" s="70">
        <f>N51+N61</f>
        <v>226142</v>
      </c>
    </row>
    <row r="62" spans="2:15" ht="18.75">
      <c r="B62" s="4" t="s">
        <v>474</v>
      </c>
      <c r="C62" s="4"/>
      <c r="D62" s="4"/>
      <c r="E62" s="4"/>
      <c r="F62" s="4"/>
      <c r="G62" s="4"/>
      <c r="H62" s="4"/>
      <c r="I62" s="4"/>
      <c r="J62" s="6"/>
      <c r="K62" s="6">
        <v>-756</v>
      </c>
      <c r="L62" s="6"/>
      <c r="M62" s="6"/>
      <c r="N62" s="6">
        <f>SUM(J62:M62)</f>
        <v>-756</v>
      </c>
      <c r="O62" s="70">
        <f>N52+N62</f>
        <v>5598</v>
      </c>
    </row>
    <row r="63" spans="2:15" ht="18.75">
      <c r="B63" s="4" t="s">
        <v>65</v>
      </c>
      <c r="C63" s="4"/>
      <c r="D63" s="4"/>
      <c r="E63" s="4"/>
      <c r="F63" s="4"/>
      <c r="G63" s="4"/>
      <c r="H63" s="4"/>
      <c r="I63" s="4"/>
      <c r="J63" s="6"/>
      <c r="K63" s="6"/>
      <c r="L63" s="6"/>
      <c r="M63" s="6"/>
      <c r="N63" s="6"/>
    </row>
    <row r="64" spans="2:15" ht="18.75">
      <c r="B64" s="4"/>
      <c r="C64" s="4" t="s">
        <v>478</v>
      </c>
      <c r="D64" s="4"/>
      <c r="E64" s="4"/>
      <c r="F64" s="4"/>
      <c r="G64" s="4"/>
      <c r="H64" s="4"/>
      <c r="I64" s="4"/>
      <c r="J64" s="6">
        <v>-8456719</v>
      </c>
      <c r="K64" s="6">
        <v>-1865640</v>
      </c>
      <c r="L64" s="6"/>
      <c r="M64" s="6">
        <v>-3460</v>
      </c>
      <c r="N64" s="6">
        <f t="shared" ref="N64" si="5">SUM(J64:M64)</f>
        <v>-10325819</v>
      </c>
      <c r="O64" s="70">
        <f>N54+N64</f>
        <v>24691903</v>
      </c>
    </row>
    <row r="65" spans="2:15" ht="18.75">
      <c r="B65" s="4"/>
      <c r="C65" s="4" t="s">
        <v>479</v>
      </c>
      <c r="D65" s="4"/>
      <c r="E65" s="4"/>
      <c r="F65" s="4"/>
      <c r="G65" s="4"/>
      <c r="H65" s="4"/>
      <c r="I65" s="4"/>
      <c r="J65" s="6">
        <v>-2438387</v>
      </c>
      <c r="K65" s="6">
        <v>-661238</v>
      </c>
      <c r="L65" s="6"/>
      <c r="M65" s="6">
        <v>3460</v>
      </c>
      <c r="N65" s="6">
        <f>SUM(J65:M65)</f>
        <v>-3096165</v>
      </c>
      <c r="O65" s="76">
        <f>N55+N65</f>
        <v>14249892</v>
      </c>
    </row>
    <row r="66" spans="2:15" ht="18.75">
      <c r="B66" s="3"/>
      <c r="C66" s="3"/>
      <c r="D66" s="3" t="s">
        <v>21</v>
      </c>
      <c r="E66" s="3"/>
      <c r="F66" s="4"/>
      <c r="G66" s="4"/>
      <c r="H66" s="4"/>
      <c r="I66" s="4"/>
      <c r="J66" s="11">
        <f>SUM(J58:J65)</f>
        <v>-11345537</v>
      </c>
      <c r="K66" s="11">
        <f>SUM(K58:K65)</f>
        <v>-2619993</v>
      </c>
      <c r="L66" s="11">
        <f>SUM(L58:L65)</f>
        <v>8856</v>
      </c>
      <c r="M66" s="11">
        <v>0</v>
      </c>
      <c r="N66" s="11">
        <f>SUM(J66:M66)</f>
        <v>-13956674</v>
      </c>
    </row>
    <row r="67" spans="2:15" ht="18.75">
      <c r="B67" s="3" t="s">
        <v>22</v>
      </c>
      <c r="C67" s="3"/>
      <c r="D67" s="3"/>
      <c r="E67" s="3"/>
      <c r="F67" s="4"/>
      <c r="G67" s="4"/>
      <c r="H67" s="4"/>
      <c r="I67" s="4"/>
      <c r="J67" s="11">
        <v>41575777</v>
      </c>
      <c r="K67" s="11">
        <v>-2300913</v>
      </c>
      <c r="L67" s="11"/>
      <c r="M67" s="11">
        <f>M56-M66</f>
        <v>211653</v>
      </c>
      <c r="N67" s="11">
        <f>SUM(J67:M67)</f>
        <v>39486517</v>
      </c>
    </row>
    <row r="68" spans="2:15" ht="18.75">
      <c r="B68" s="3" t="s">
        <v>480</v>
      </c>
      <c r="C68" s="3"/>
      <c r="D68" s="3"/>
      <c r="E68" s="3"/>
      <c r="F68" s="4"/>
      <c r="G68" s="4"/>
      <c r="H68" s="4"/>
      <c r="I68" s="4"/>
      <c r="J68" s="11">
        <v>42611544</v>
      </c>
      <c r="K68" s="11">
        <v>-1972812</v>
      </c>
      <c r="L68" s="11"/>
      <c r="M68" s="11">
        <v>14803</v>
      </c>
      <c r="N68" s="11">
        <f>SUM(J68:M68)</f>
        <v>40653535</v>
      </c>
      <c r="O68" s="76">
        <f>SUM(O44:O67)</f>
        <v>40653535</v>
      </c>
    </row>
    <row r="69" spans="2:15" ht="18.75">
      <c r="B69" s="3" t="s">
        <v>481</v>
      </c>
      <c r="C69" s="3"/>
      <c r="D69" s="3"/>
      <c r="E69" s="3"/>
      <c r="F69" s="4"/>
      <c r="G69" s="4"/>
      <c r="H69" s="4"/>
      <c r="I69" s="4"/>
      <c r="J69" s="11">
        <v>449551957</v>
      </c>
      <c r="K69" s="11">
        <v>5291356</v>
      </c>
      <c r="L69" s="11">
        <v>-663234</v>
      </c>
      <c r="M69" s="11">
        <v>0</v>
      </c>
      <c r="N69" s="11">
        <f>SUM(J69:M69)</f>
        <v>454180079</v>
      </c>
    </row>
  </sheetData>
  <mergeCells count="3">
    <mergeCell ref="E1:J1"/>
    <mergeCell ref="E2:J2"/>
    <mergeCell ref="E3:J3"/>
  </mergeCells>
  <phoneticPr fontId="15" type="noConversion"/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M27"/>
  <sheetViews>
    <sheetView zoomScale="80" zoomScaleNormal="80" zoomScalePageLayoutView="80" workbookViewId="0">
      <selection activeCell="D37" sqref="D37"/>
    </sheetView>
  </sheetViews>
  <sheetFormatPr defaultColWidth="8.85546875" defaultRowHeight="15"/>
  <cols>
    <col min="1" max="2" width="4.42578125" customWidth="1"/>
    <col min="3" max="3" width="3.42578125" customWidth="1"/>
    <col min="8" max="8" width="12.140625" customWidth="1"/>
    <col min="9" max="9" width="15.42578125" customWidth="1"/>
    <col min="10" max="10" width="14.28515625" bestFit="1" customWidth="1"/>
    <col min="11" max="11" width="15.28515625" bestFit="1" customWidth="1"/>
    <col min="12" max="12" width="16.42578125" bestFit="1" customWidth="1"/>
    <col min="13" max="13" width="21.85546875" customWidth="1"/>
  </cols>
  <sheetData>
    <row r="1" spans="1:13" ht="18.75">
      <c r="A1" s="4"/>
      <c r="B1" s="4"/>
      <c r="C1" s="4"/>
      <c r="D1" s="109" t="s">
        <v>482</v>
      </c>
      <c r="E1" s="109"/>
      <c r="F1" s="109"/>
      <c r="G1" s="109"/>
      <c r="H1" s="109"/>
      <c r="I1" s="109"/>
      <c r="J1" s="4"/>
      <c r="K1" s="4"/>
      <c r="L1" s="4"/>
    </row>
    <row r="2" spans="1:13" ht="18.75">
      <c r="A2" s="4"/>
      <c r="B2" s="4"/>
      <c r="C2" s="4"/>
      <c r="D2" s="109" t="s">
        <v>1</v>
      </c>
      <c r="E2" s="109"/>
      <c r="F2" s="109"/>
      <c r="G2" s="109"/>
      <c r="H2" s="109"/>
      <c r="I2" s="109"/>
      <c r="J2" s="4"/>
      <c r="K2" s="4"/>
      <c r="L2" s="4"/>
    </row>
    <row r="3" spans="1:13" ht="18.75">
      <c r="A3" s="4"/>
      <c r="B3" s="4"/>
      <c r="C3" s="4"/>
      <c r="D3" s="109" t="s">
        <v>2</v>
      </c>
      <c r="E3" s="109"/>
      <c r="F3" s="109"/>
      <c r="G3" s="109"/>
      <c r="H3" s="109"/>
      <c r="I3" s="109"/>
      <c r="J3" s="4"/>
      <c r="K3" s="4"/>
      <c r="L3" s="4"/>
    </row>
    <row r="4" spans="1:13" ht="18.75">
      <c r="A4" s="4"/>
      <c r="B4" s="4"/>
      <c r="C4" s="4"/>
      <c r="D4" s="107"/>
      <c r="E4" s="107"/>
      <c r="F4" s="107"/>
      <c r="G4" s="107"/>
      <c r="H4" s="107"/>
      <c r="I4" s="107"/>
      <c r="J4" s="4"/>
      <c r="K4" s="4"/>
      <c r="L4" s="4"/>
    </row>
    <row r="5" spans="1:13" ht="37.5">
      <c r="A5" s="4"/>
      <c r="B5" s="4"/>
      <c r="C5" s="4"/>
      <c r="D5" s="4"/>
      <c r="E5" s="4"/>
      <c r="F5" s="4"/>
      <c r="G5" s="4"/>
      <c r="H5" s="4"/>
      <c r="I5" s="64" t="s">
        <v>201</v>
      </c>
      <c r="J5" s="64" t="s">
        <v>483</v>
      </c>
      <c r="K5" s="64" t="s">
        <v>5</v>
      </c>
      <c r="L5" s="64" t="s">
        <v>203</v>
      </c>
      <c r="M5" s="64" t="s">
        <v>7</v>
      </c>
    </row>
    <row r="6" spans="1:13" ht="18.75">
      <c r="A6" s="3" t="s">
        <v>396</v>
      </c>
      <c r="B6" s="3"/>
      <c r="C6" s="3"/>
      <c r="D6" s="3"/>
      <c r="E6" s="3"/>
      <c r="F6" s="3"/>
      <c r="G6" s="4"/>
      <c r="H6" s="4"/>
      <c r="I6" s="4"/>
      <c r="J6" s="4"/>
      <c r="K6" s="4"/>
      <c r="L6" s="4"/>
    </row>
    <row r="7" spans="1:13" ht="18.75">
      <c r="A7" s="3" t="s">
        <v>10</v>
      </c>
      <c r="B7" s="3"/>
      <c r="C7" s="3"/>
      <c r="D7" s="3"/>
      <c r="E7" s="3"/>
      <c r="F7" s="3"/>
      <c r="G7" s="4"/>
      <c r="H7" s="4"/>
      <c r="I7" s="6"/>
      <c r="J7" s="6"/>
      <c r="K7" s="6"/>
      <c r="L7" s="6"/>
    </row>
    <row r="8" spans="1:13" ht="18.75">
      <c r="A8" s="3"/>
      <c r="B8" s="4" t="s">
        <v>158</v>
      </c>
      <c r="C8" s="3"/>
      <c r="D8" s="3"/>
      <c r="E8" s="3"/>
      <c r="F8" s="3"/>
      <c r="G8" s="4"/>
      <c r="H8" s="4"/>
      <c r="I8" s="6"/>
      <c r="J8" s="6"/>
      <c r="K8" s="6"/>
      <c r="L8" s="6"/>
    </row>
    <row r="9" spans="1:13" ht="18.75">
      <c r="A9" s="4"/>
      <c r="B9" s="4"/>
      <c r="C9" s="4" t="s">
        <v>11</v>
      </c>
      <c r="D9" s="4"/>
      <c r="E9" s="4"/>
      <c r="F9" s="4"/>
      <c r="G9" s="4"/>
      <c r="H9" s="4"/>
      <c r="I9" s="6">
        <v>2939462</v>
      </c>
      <c r="J9" s="6"/>
      <c r="K9" s="6">
        <v>-1000</v>
      </c>
      <c r="L9" s="6">
        <f>SUM(I9:K9)</f>
        <v>2938462</v>
      </c>
      <c r="M9" s="70">
        <f>L9</f>
        <v>2938462</v>
      </c>
    </row>
    <row r="10" spans="1:13" ht="18.75">
      <c r="A10" s="4"/>
      <c r="B10" s="4"/>
      <c r="C10" s="4" t="s">
        <v>484</v>
      </c>
      <c r="D10" s="4"/>
      <c r="E10" s="4"/>
      <c r="F10" s="4"/>
      <c r="G10" s="4"/>
      <c r="H10" s="4"/>
      <c r="I10" s="4">
        <v>69856285</v>
      </c>
      <c r="J10" s="4">
        <v>1013000</v>
      </c>
      <c r="K10" s="4"/>
      <c r="L10" s="6">
        <f t="shared" ref="L10" si="0">SUM(I10:K10)</f>
        <v>70869285</v>
      </c>
      <c r="M10" s="70">
        <f>L10</f>
        <v>70869285</v>
      </c>
    </row>
    <row r="11" spans="1:13" ht="18.75">
      <c r="A11" s="4"/>
      <c r="B11" s="4"/>
      <c r="C11" s="4" t="s">
        <v>12</v>
      </c>
      <c r="D11" s="4"/>
      <c r="E11" s="4"/>
      <c r="F11" s="4"/>
      <c r="G11" s="4"/>
      <c r="H11" s="4"/>
      <c r="I11" s="4">
        <v>4109482</v>
      </c>
      <c r="J11" s="4">
        <v>16557952</v>
      </c>
      <c r="K11" s="4">
        <v>-10681685</v>
      </c>
      <c r="L11" s="6">
        <f t="shared" ref="L11" si="1">SUM(I11:K11)</f>
        <v>9985749</v>
      </c>
      <c r="M11" s="70">
        <f>L11</f>
        <v>9985749</v>
      </c>
    </row>
    <row r="12" spans="1:13" ht="18.75">
      <c r="A12" s="3"/>
      <c r="B12" s="3"/>
      <c r="C12" s="3"/>
      <c r="D12" s="3" t="s">
        <v>13</v>
      </c>
      <c r="E12" s="3"/>
      <c r="F12" s="3"/>
      <c r="G12" s="3"/>
      <c r="H12" s="3"/>
      <c r="I12" s="9">
        <f>SUM(I9:I11)</f>
        <v>76905229</v>
      </c>
      <c r="J12" s="9">
        <f>SUM(J9:J11)</f>
        <v>17570952</v>
      </c>
      <c r="K12" s="9">
        <f>SUM(K9:K11)</f>
        <v>-10682685</v>
      </c>
      <c r="L12" s="9">
        <f>SUM(L9:L11)</f>
        <v>83793496</v>
      </c>
    </row>
    <row r="13" spans="1:13" ht="18.7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3" ht="18.75">
      <c r="A14" s="3" t="s">
        <v>400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3" ht="18.75">
      <c r="A15" s="4"/>
      <c r="B15" s="4" t="s">
        <v>27</v>
      </c>
      <c r="C15" s="4"/>
      <c r="D15" s="4"/>
      <c r="E15" s="4"/>
      <c r="F15" s="4"/>
      <c r="G15" s="4"/>
      <c r="H15" s="4"/>
      <c r="I15" s="4">
        <v>33434355</v>
      </c>
      <c r="J15" s="6">
        <v>6723211</v>
      </c>
      <c r="K15" s="6"/>
      <c r="L15" s="6">
        <f>SUM(I15:K15)</f>
        <v>40157566</v>
      </c>
    </row>
    <row r="16" spans="1:13" ht="18.75">
      <c r="A16" s="4"/>
      <c r="B16" s="4" t="s">
        <v>18</v>
      </c>
      <c r="C16" s="4"/>
      <c r="D16" s="4"/>
      <c r="E16" s="4"/>
      <c r="F16" s="4"/>
      <c r="G16" s="4"/>
      <c r="H16" s="4"/>
      <c r="I16" s="4">
        <v>111076702</v>
      </c>
      <c r="J16" s="6">
        <v>4794752</v>
      </c>
      <c r="K16" s="6">
        <v>-1783338</v>
      </c>
      <c r="L16" s="6">
        <f t="shared" ref="L16:L17" si="2">SUM(I16:K16)</f>
        <v>114088116</v>
      </c>
    </row>
    <row r="17" spans="1:13" ht="18.75">
      <c r="A17" s="4"/>
      <c r="B17" s="4" t="s">
        <v>32</v>
      </c>
      <c r="C17" s="4"/>
      <c r="D17" s="4"/>
      <c r="E17" s="4"/>
      <c r="F17" s="4"/>
      <c r="G17" s="4"/>
      <c r="H17" s="4"/>
      <c r="I17" s="4">
        <v>15693711</v>
      </c>
      <c r="J17" s="6">
        <v>1287325</v>
      </c>
      <c r="K17" s="6">
        <v>-1208322</v>
      </c>
      <c r="L17" s="6">
        <f t="shared" si="2"/>
        <v>15772714</v>
      </c>
    </row>
    <row r="18" spans="1:13" ht="18.75">
      <c r="A18" s="3"/>
      <c r="B18" s="4"/>
      <c r="C18" s="3"/>
      <c r="D18" s="3" t="s">
        <v>19</v>
      </c>
      <c r="E18" s="4"/>
      <c r="F18" s="4"/>
      <c r="G18" s="4"/>
      <c r="H18" s="4"/>
      <c r="I18" s="14">
        <f>SUM(I15:I17)</f>
        <v>160204768</v>
      </c>
      <c r="J18" s="14">
        <f>SUM(J15:J17)</f>
        <v>12805288</v>
      </c>
      <c r="K18" s="14">
        <f>SUM(K15:K17)</f>
        <v>-2991660</v>
      </c>
      <c r="L18" s="14">
        <f>SUM(I18:K18)</f>
        <v>170018396</v>
      </c>
    </row>
    <row r="19" spans="1:13" ht="18.7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3" ht="18.75">
      <c r="A20" s="3" t="s">
        <v>401</v>
      </c>
      <c r="B20" s="4"/>
      <c r="C20" s="4"/>
      <c r="D20" s="4"/>
      <c r="E20" s="4"/>
      <c r="F20" s="4"/>
      <c r="G20" s="4"/>
      <c r="H20" s="4"/>
      <c r="I20" s="4"/>
      <c r="J20" s="6"/>
      <c r="K20" s="6"/>
      <c r="L20" s="6"/>
    </row>
    <row r="21" spans="1:13" ht="18.75">
      <c r="A21" s="4"/>
      <c r="B21" s="4" t="s">
        <v>27</v>
      </c>
      <c r="C21" s="4"/>
      <c r="D21" s="4"/>
      <c r="E21" s="4"/>
      <c r="F21" s="4"/>
      <c r="G21" s="4"/>
      <c r="H21" s="4"/>
      <c r="I21" s="6">
        <v>11100103</v>
      </c>
      <c r="J21" s="6">
        <v>879660</v>
      </c>
      <c r="K21" s="6"/>
      <c r="L21" s="6">
        <f>SUM(I21:K21)</f>
        <v>11979763</v>
      </c>
      <c r="M21" s="70">
        <f>L15-L21</f>
        <v>28177803</v>
      </c>
    </row>
    <row r="22" spans="1:13" ht="18.75">
      <c r="A22" s="4"/>
      <c r="B22" s="4" t="s">
        <v>18</v>
      </c>
      <c r="C22" s="4"/>
      <c r="D22" s="4"/>
      <c r="E22" s="4"/>
      <c r="F22" s="4"/>
      <c r="G22" s="4"/>
      <c r="H22" s="4"/>
      <c r="I22" s="6">
        <v>50808777</v>
      </c>
      <c r="J22" s="6">
        <v>4008999</v>
      </c>
      <c r="K22" s="6">
        <v>-607572</v>
      </c>
      <c r="L22" s="6">
        <f t="shared" ref="L22:L23" si="3">SUM(I22:K22)</f>
        <v>54210204</v>
      </c>
      <c r="M22" s="70">
        <f>L16-L22</f>
        <v>59877912</v>
      </c>
    </row>
    <row r="23" spans="1:13" ht="18.75">
      <c r="A23" s="4"/>
      <c r="B23" s="4" t="s">
        <v>32</v>
      </c>
      <c r="C23" s="4"/>
      <c r="D23" s="4"/>
      <c r="E23" s="4"/>
      <c r="F23" s="4"/>
      <c r="G23" s="4"/>
      <c r="H23" s="4"/>
      <c r="I23" s="6">
        <v>8626893</v>
      </c>
      <c r="J23" s="6">
        <v>1623459</v>
      </c>
      <c r="K23" s="6">
        <v>-868858</v>
      </c>
      <c r="L23" s="6">
        <f t="shared" si="3"/>
        <v>9381494</v>
      </c>
      <c r="M23" s="70">
        <f>L17-L23</f>
        <v>6391220</v>
      </c>
    </row>
    <row r="24" spans="1:13" ht="18.75">
      <c r="A24" s="3"/>
      <c r="B24" s="4"/>
      <c r="C24" s="3"/>
      <c r="D24" s="3" t="s">
        <v>21</v>
      </c>
      <c r="E24" s="4"/>
      <c r="F24" s="4"/>
      <c r="G24" s="4"/>
      <c r="H24" s="4"/>
      <c r="I24" s="11">
        <f>SUM(I21:I23)</f>
        <v>70535773</v>
      </c>
      <c r="J24" s="11">
        <f>SUM(J21:J23)</f>
        <v>6512118</v>
      </c>
      <c r="K24" s="11">
        <f>SUM(K21:K23)</f>
        <v>-1476430</v>
      </c>
      <c r="L24" s="11">
        <f>SUM(I24:K24)</f>
        <v>75571461</v>
      </c>
    </row>
    <row r="25" spans="1:13" ht="18.7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3" ht="18.75">
      <c r="A26" s="3" t="s">
        <v>460</v>
      </c>
      <c r="B26" s="4"/>
      <c r="C26" s="3"/>
      <c r="D26" s="4"/>
      <c r="E26" s="4"/>
      <c r="F26" s="4"/>
      <c r="G26" s="4"/>
      <c r="H26" s="4"/>
      <c r="I26" s="11">
        <f>I18-I24</f>
        <v>89668995</v>
      </c>
      <c r="J26" s="11">
        <f>J18-J24</f>
        <v>6293170</v>
      </c>
      <c r="K26" s="11">
        <f>K18-K24</f>
        <v>-1515230</v>
      </c>
      <c r="L26" s="11">
        <f>L18-L24</f>
        <v>94446935</v>
      </c>
    </row>
    <row r="27" spans="1:13" ht="18.75">
      <c r="A27" s="3" t="s">
        <v>485</v>
      </c>
      <c r="B27" s="4"/>
      <c r="C27" s="3"/>
      <c r="D27" s="4"/>
      <c r="E27" s="4"/>
      <c r="F27" s="4"/>
      <c r="G27" s="4"/>
      <c r="H27" s="4"/>
      <c r="I27" s="11">
        <f>I12+I26</f>
        <v>166574224</v>
      </c>
      <c r="J27" s="11">
        <f>J12+J26</f>
        <v>23864122</v>
      </c>
      <c r="K27" s="11">
        <f>K12+K26</f>
        <v>-12197915</v>
      </c>
      <c r="L27" s="11">
        <f>L12+L26</f>
        <v>178240431</v>
      </c>
      <c r="M27" s="70">
        <f>SUM(M9:M25)</f>
        <v>178240431</v>
      </c>
    </row>
  </sheetData>
  <mergeCells count="3">
    <mergeCell ref="D1:I1"/>
    <mergeCell ref="D2:I2"/>
    <mergeCell ref="D3:I3"/>
  </mergeCells>
  <phoneticPr fontId="15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M22"/>
  <sheetViews>
    <sheetView topLeftCell="D1" workbookViewId="0">
      <selection activeCell="M19" sqref="M19"/>
    </sheetView>
  </sheetViews>
  <sheetFormatPr defaultColWidth="8.85546875" defaultRowHeight="15"/>
  <cols>
    <col min="1" max="2" width="4.42578125" customWidth="1"/>
    <col min="3" max="3" width="3.42578125" customWidth="1"/>
    <col min="8" max="8" width="12.140625" customWidth="1"/>
    <col min="9" max="9" width="15.42578125" customWidth="1"/>
    <col min="10" max="10" width="14.28515625" bestFit="1" customWidth="1"/>
    <col min="11" max="11" width="15.28515625" bestFit="1" customWidth="1"/>
    <col min="12" max="12" width="16.42578125" bestFit="1" customWidth="1"/>
    <col min="13" max="13" width="21.85546875" customWidth="1"/>
  </cols>
  <sheetData>
    <row r="1" spans="1:13" ht="18.75">
      <c r="A1" s="4"/>
      <c r="B1" s="4"/>
      <c r="C1" s="4"/>
      <c r="D1" s="109" t="s">
        <v>486</v>
      </c>
      <c r="E1" s="109"/>
      <c r="F1" s="109"/>
      <c r="G1" s="109"/>
      <c r="H1" s="109"/>
      <c r="I1" s="109"/>
      <c r="J1" s="4"/>
      <c r="K1" s="4"/>
      <c r="L1" s="4"/>
    </row>
    <row r="2" spans="1:13" ht="18.75">
      <c r="A2" s="4"/>
      <c r="B2" s="4"/>
      <c r="C2" s="4"/>
      <c r="D2" s="109" t="s">
        <v>1</v>
      </c>
      <c r="E2" s="109"/>
      <c r="F2" s="109"/>
      <c r="G2" s="109"/>
      <c r="H2" s="109"/>
      <c r="I2" s="109"/>
      <c r="J2" s="4"/>
      <c r="K2" s="4"/>
      <c r="L2" s="4"/>
    </row>
    <row r="3" spans="1:13" ht="18.75">
      <c r="A3" s="4"/>
      <c r="B3" s="4"/>
      <c r="C3" s="4"/>
      <c r="D3" s="109" t="s">
        <v>2</v>
      </c>
      <c r="E3" s="109"/>
      <c r="F3" s="109"/>
      <c r="G3" s="109"/>
      <c r="H3" s="109"/>
      <c r="I3" s="109"/>
      <c r="J3" s="4"/>
      <c r="K3" s="4"/>
      <c r="L3" s="4"/>
    </row>
    <row r="4" spans="1:13" ht="18.75">
      <c r="A4" s="4"/>
      <c r="B4" s="4"/>
      <c r="C4" s="4"/>
      <c r="D4" s="107"/>
      <c r="E4" s="107"/>
      <c r="F4" s="107"/>
      <c r="G4" s="107"/>
      <c r="H4" s="107"/>
      <c r="I4" s="107"/>
      <c r="J4" s="4"/>
      <c r="K4" s="4"/>
      <c r="L4" s="4"/>
    </row>
    <row r="5" spans="1:13" ht="37.5">
      <c r="A5" s="4"/>
      <c r="B5" s="4"/>
      <c r="C5" s="4"/>
      <c r="D5" s="4"/>
      <c r="E5" s="4"/>
      <c r="F5" s="4"/>
      <c r="G5" s="4"/>
      <c r="H5" s="4"/>
      <c r="I5" s="64" t="s">
        <v>201</v>
      </c>
      <c r="J5" s="64" t="s">
        <v>483</v>
      </c>
      <c r="K5" s="64" t="s">
        <v>5</v>
      </c>
      <c r="L5" s="64" t="s">
        <v>203</v>
      </c>
      <c r="M5" s="64" t="s">
        <v>7</v>
      </c>
    </row>
    <row r="6" spans="1:13" ht="18.75">
      <c r="A6" s="3" t="s">
        <v>396</v>
      </c>
      <c r="B6" s="3"/>
      <c r="C6" s="3"/>
      <c r="D6" s="3"/>
      <c r="E6" s="3"/>
      <c r="F6" s="3"/>
      <c r="G6" s="4"/>
      <c r="H6" s="4"/>
      <c r="I6" s="4"/>
      <c r="J6" s="4"/>
      <c r="K6" s="4"/>
      <c r="L6" s="4"/>
    </row>
    <row r="7" spans="1:13" ht="18.75">
      <c r="A7" s="3" t="s">
        <v>10</v>
      </c>
      <c r="B7" s="3"/>
      <c r="C7" s="3"/>
      <c r="D7" s="3"/>
      <c r="E7" s="3"/>
      <c r="F7" s="3"/>
      <c r="G7" s="4"/>
      <c r="H7" s="4"/>
      <c r="I7" s="6"/>
      <c r="J7" s="6"/>
      <c r="K7" s="6"/>
      <c r="L7" s="6"/>
    </row>
    <row r="8" spans="1:13" ht="18.75">
      <c r="A8" s="4"/>
      <c r="B8" s="4"/>
      <c r="C8" s="4" t="s">
        <v>11</v>
      </c>
      <c r="D8" s="4"/>
      <c r="E8" s="4"/>
      <c r="F8" s="4"/>
      <c r="G8" s="4"/>
      <c r="H8" s="4"/>
      <c r="I8" s="6">
        <v>743698</v>
      </c>
      <c r="J8" s="6"/>
      <c r="K8" s="6"/>
      <c r="L8" s="6">
        <f>SUM(I8:K8)</f>
        <v>743698</v>
      </c>
      <c r="M8" s="32">
        <f>L8</f>
        <v>743698</v>
      </c>
    </row>
    <row r="9" spans="1:13" ht="18.75">
      <c r="A9" s="3"/>
      <c r="B9" s="3"/>
      <c r="C9" s="3"/>
      <c r="D9" s="3" t="s">
        <v>13</v>
      </c>
      <c r="E9" s="3"/>
      <c r="F9" s="3"/>
      <c r="G9" s="3"/>
      <c r="H9" s="3"/>
      <c r="I9" s="9">
        <f>SUM(I8:I8)</f>
        <v>743698</v>
      </c>
      <c r="J9" s="9">
        <f>SUM(J8:J8)</f>
        <v>0</v>
      </c>
      <c r="K9" s="9">
        <f>SUM(K8:K8)</f>
        <v>0</v>
      </c>
      <c r="L9" s="9">
        <f>SUM(L8:L8)</f>
        <v>743698</v>
      </c>
      <c r="M9" s="2"/>
    </row>
    <row r="10" spans="1:13" ht="18.7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2"/>
    </row>
    <row r="11" spans="1:13" ht="18.75">
      <c r="A11" s="3" t="s">
        <v>400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2"/>
    </row>
    <row r="12" spans="1:13" ht="18.75">
      <c r="A12" s="4"/>
      <c r="B12" s="4" t="s">
        <v>27</v>
      </c>
      <c r="C12" s="4"/>
      <c r="D12" s="4"/>
      <c r="E12" s="4"/>
      <c r="F12" s="4"/>
      <c r="G12" s="4"/>
      <c r="H12" s="4"/>
      <c r="I12" s="4">
        <v>7646405</v>
      </c>
      <c r="J12" s="6">
        <v>683139</v>
      </c>
      <c r="K12" s="6"/>
      <c r="L12" s="6">
        <f>SUM(I12:K12)</f>
        <v>8329544</v>
      </c>
      <c r="M12" s="2"/>
    </row>
    <row r="13" spans="1:13" ht="18.75">
      <c r="A13" s="4"/>
      <c r="B13" s="4" t="s">
        <v>434</v>
      </c>
      <c r="C13" s="4"/>
      <c r="D13" s="4"/>
      <c r="E13" s="4"/>
      <c r="F13" s="4"/>
      <c r="G13" s="4"/>
      <c r="H13" s="4"/>
      <c r="I13" s="4">
        <v>4164858</v>
      </c>
      <c r="J13" s="6">
        <v>220545</v>
      </c>
      <c r="K13" s="6"/>
      <c r="L13" s="6">
        <f t="shared" ref="L13" si="0">SUM(I13:K13)</f>
        <v>4385403</v>
      </c>
      <c r="M13" s="2"/>
    </row>
    <row r="14" spans="1:13" ht="18.75">
      <c r="A14" s="3"/>
      <c r="B14" s="4"/>
      <c r="C14" s="3"/>
      <c r="D14" s="3" t="s">
        <v>19</v>
      </c>
      <c r="E14" s="4"/>
      <c r="F14" s="4"/>
      <c r="G14" s="4"/>
      <c r="H14" s="4"/>
      <c r="I14" s="14">
        <f>SUM(I12:I13)</f>
        <v>11811263</v>
      </c>
      <c r="J14" s="14">
        <f>SUM(J12:J13)</f>
        <v>903684</v>
      </c>
      <c r="K14" s="14">
        <f>SUM(K12:K13)</f>
        <v>0</v>
      </c>
      <c r="L14" s="14">
        <f>SUM(I14:K14)</f>
        <v>12714947</v>
      </c>
      <c r="M14" s="2"/>
    </row>
    <row r="15" spans="1:13" ht="18.7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2"/>
    </row>
    <row r="16" spans="1:13" ht="18.75">
      <c r="A16" s="3" t="s">
        <v>401</v>
      </c>
      <c r="B16" s="4"/>
      <c r="C16" s="4"/>
      <c r="D16" s="4"/>
      <c r="E16" s="4"/>
      <c r="F16" s="4"/>
      <c r="G16" s="4"/>
      <c r="H16" s="4"/>
      <c r="I16" s="4"/>
      <c r="J16" s="6"/>
      <c r="K16" s="6"/>
      <c r="L16" s="6"/>
      <c r="M16" s="2"/>
    </row>
    <row r="17" spans="1:13" ht="18.75">
      <c r="A17" s="4"/>
      <c r="B17" s="4" t="s">
        <v>27</v>
      </c>
      <c r="C17" s="4"/>
      <c r="D17" s="4"/>
      <c r="E17" s="4"/>
      <c r="F17" s="4"/>
      <c r="G17" s="4"/>
      <c r="H17" s="4"/>
      <c r="I17" s="6">
        <v>-1201660</v>
      </c>
      <c r="J17" s="6">
        <v>-182186</v>
      </c>
      <c r="K17" s="6"/>
      <c r="L17" s="6">
        <f>SUM(I17:K17)</f>
        <v>-1383846</v>
      </c>
      <c r="M17" s="32">
        <f>L12+L17</f>
        <v>6945698</v>
      </c>
    </row>
    <row r="18" spans="1:13" ht="18.75">
      <c r="A18" s="4"/>
      <c r="B18" s="4" t="s">
        <v>434</v>
      </c>
      <c r="C18" s="4"/>
      <c r="D18" s="4"/>
      <c r="E18" s="4"/>
      <c r="F18" s="4"/>
      <c r="G18" s="4"/>
      <c r="H18" s="4"/>
      <c r="I18" s="6">
        <v>-3234113</v>
      </c>
      <c r="J18" s="6">
        <v>-272775</v>
      </c>
      <c r="K18" s="6"/>
      <c r="L18" s="6">
        <f t="shared" ref="L18" si="1">SUM(I18:K18)</f>
        <v>-3506888</v>
      </c>
      <c r="M18" s="32">
        <f>L13+L18</f>
        <v>878515</v>
      </c>
    </row>
    <row r="19" spans="1:13" ht="18.75">
      <c r="A19" s="3"/>
      <c r="B19" s="4"/>
      <c r="C19" s="3"/>
      <c r="D19" s="3" t="s">
        <v>21</v>
      </c>
      <c r="E19" s="4"/>
      <c r="F19" s="4"/>
      <c r="G19" s="4"/>
      <c r="H19" s="4"/>
      <c r="I19" s="11">
        <f>SUM(I17:I18)</f>
        <v>-4435773</v>
      </c>
      <c r="J19" s="11">
        <f>SUM(J17:J18)</f>
        <v>-454961</v>
      </c>
      <c r="K19" s="11">
        <f>SUM(K17:K18)</f>
        <v>0</v>
      </c>
      <c r="L19" s="11">
        <f>SUM(I19:K19)</f>
        <v>-4890734</v>
      </c>
      <c r="M19" s="2"/>
    </row>
    <row r="20" spans="1:13" ht="18.7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2"/>
    </row>
    <row r="21" spans="1:13" ht="18.75">
      <c r="A21" s="3" t="s">
        <v>460</v>
      </c>
      <c r="B21" s="4"/>
      <c r="C21" s="3"/>
      <c r="D21" s="4"/>
      <c r="E21" s="4"/>
      <c r="F21" s="4"/>
      <c r="G21" s="4"/>
      <c r="H21" s="4"/>
      <c r="I21" s="11">
        <f>I14+I19</f>
        <v>7375490</v>
      </c>
      <c r="J21" s="11">
        <f t="shared" ref="J21:L21" si="2">J14+J19</f>
        <v>448723</v>
      </c>
      <c r="K21" s="11">
        <f t="shared" si="2"/>
        <v>0</v>
      </c>
      <c r="L21" s="11">
        <f t="shared" si="2"/>
        <v>7824213</v>
      </c>
      <c r="M21" s="2"/>
    </row>
    <row r="22" spans="1:13" ht="18.75">
      <c r="A22" s="3" t="s">
        <v>485</v>
      </c>
      <c r="B22" s="4"/>
      <c r="C22" s="3"/>
      <c r="D22" s="4"/>
      <c r="E22" s="4"/>
      <c r="F22" s="4"/>
      <c r="G22" s="4"/>
      <c r="H22" s="4"/>
      <c r="I22" s="11">
        <f>I9+I21</f>
        <v>8119188</v>
      </c>
      <c r="J22" s="11">
        <f>J9+J21</f>
        <v>448723</v>
      </c>
      <c r="K22" s="11">
        <f>K9+K21</f>
        <v>0</v>
      </c>
      <c r="L22" s="11">
        <f>L9+L21</f>
        <v>8567911</v>
      </c>
      <c r="M22" s="32">
        <f>SUM(M8:M20)</f>
        <v>8567911</v>
      </c>
    </row>
  </sheetData>
  <mergeCells count="3">
    <mergeCell ref="D1:I1"/>
    <mergeCell ref="D2:I2"/>
    <mergeCell ref="D3:I3"/>
  </mergeCells>
  <pageMargins left="0.7" right="0.7" top="0.75" bottom="0.75" header="0.3" footer="0.3"/>
  <pageSetup orientation="portrait" horizontalDpi="1200" verticalDpi="12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S46"/>
  <sheetViews>
    <sheetView zoomScale="80" zoomScaleNormal="80" zoomScalePageLayoutView="80" workbookViewId="0">
      <selection sqref="A1:XFD1048576"/>
    </sheetView>
  </sheetViews>
  <sheetFormatPr defaultColWidth="8.85546875" defaultRowHeight="15"/>
  <cols>
    <col min="2" max="2" width="5.42578125" customWidth="1"/>
    <col min="3" max="3" width="10.28515625" customWidth="1"/>
    <col min="4" max="4" width="8.5703125" customWidth="1"/>
    <col min="10" max="10" width="16.7109375" bestFit="1" customWidth="1"/>
    <col min="11" max="11" width="15.28515625" bestFit="1" customWidth="1"/>
    <col min="12" max="12" width="17.85546875" customWidth="1"/>
    <col min="13" max="13" width="16.7109375" bestFit="1" customWidth="1"/>
    <col min="14" max="14" width="24.28515625" customWidth="1"/>
  </cols>
  <sheetData>
    <row r="1" spans="2:14" ht="18.75">
      <c r="B1" s="4"/>
      <c r="C1" s="4"/>
      <c r="D1" s="4"/>
      <c r="E1" s="109" t="s">
        <v>487</v>
      </c>
      <c r="F1" s="109"/>
      <c r="G1" s="109"/>
      <c r="H1" s="109"/>
      <c r="I1" s="109"/>
      <c r="J1" s="109"/>
      <c r="K1" s="4"/>
      <c r="L1" s="4"/>
      <c r="M1" s="4"/>
    </row>
    <row r="2" spans="2:14" ht="18.75">
      <c r="B2" s="4"/>
      <c r="C2" s="4"/>
      <c r="D2" s="4"/>
      <c r="E2" s="109" t="s">
        <v>1</v>
      </c>
      <c r="F2" s="109"/>
      <c r="G2" s="109"/>
      <c r="H2" s="109"/>
      <c r="I2" s="109"/>
      <c r="J2" s="109"/>
      <c r="K2" s="4"/>
      <c r="L2" s="4"/>
      <c r="M2" s="4"/>
    </row>
    <row r="3" spans="2:14" ht="18.75">
      <c r="B3" s="4"/>
      <c r="C3" s="4"/>
      <c r="D3" s="4"/>
      <c r="E3" s="109" t="s">
        <v>2</v>
      </c>
      <c r="F3" s="109"/>
      <c r="G3" s="109"/>
      <c r="H3" s="109"/>
      <c r="I3" s="109"/>
      <c r="J3" s="109"/>
      <c r="K3" s="4"/>
      <c r="L3" s="4"/>
      <c r="M3" s="4"/>
    </row>
    <row r="4" spans="2:14" ht="18.75">
      <c r="B4" s="4"/>
      <c r="C4" s="4"/>
      <c r="D4" s="4"/>
      <c r="E4" s="107"/>
      <c r="F4" s="107"/>
      <c r="G4" s="107"/>
      <c r="H4" s="107"/>
      <c r="I4" s="107"/>
      <c r="J4" s="107"/>
      <c r="K4" s="4"/>
      <c r="L4" s="4"/>
      <c r="M4" s="4"/>
    </row>
    <row r="5" spans="2:14" ht="37.5">
      <c r="B5" s="4"/>
      <c r="C5" s="4"/>
      <c r="D5" s="4"/>
      <c r="E5" s="4"/>
      <c r="F5" s="4"/>
      <c r="G5" s="4"/>
      <c r="H5" s="4"/>
      <c r="I5" s="4"/>
      <c r="J5" s="64" t="s">
        <v>458</v>
      </c>
      <c r="K5" s="64" t="s">
        <v>60</v>
      </c>
      <c r="L5" s="64" t="s">
        <v>488</v>
      </c>
      <c r="M5" s="64" t="s">
        <v>203</v>
      </c>
      <c r="N5" s="64" t="s">
        <v>7</v>
      </c>
    </row>
    <row r="6" spans="2:14" ht="18.75">
      <c r="B6" s="3" t="s">
        <v>10</v>
      </c>
      <c r="C6" s="3"/>
      <c r="D6" s="3"/>
      <c r="E6" s="3"/>
      <c r="F6" s="3"/>
      <c r="G6" s="3"/>
      <c r="H6" s="4"/>
      <c r="I6" s="4"/>
      <c r="J6" s="6"/>
      <c r="K6" s="6"/>
      <c r="L6" s="6"/>
      <c r="M6" s="6"/>
    </row>
    <row r="7" spans="2:14" ht="18.75">
      <c r="B7" s="4" t="s">
        <v>11</v>
      </c>
      <c r="C7" s="4"/>
      <c r="D7" s="4"/>
      <c r="E7" s="4"/>
      <c r="F7" s="4"/>
      <c r="G7" s="4"/>
      <c r="H7" s="4"/>
      <c r="I7" s="4"/>
      <c r="J7" s="6">
        <v>4988188</v>
      </c>
      <c r="K7" s="6"/>
      <c r="L7" s="6"/>
      <c r="M7" s="6">
        <f>SUM(J7:L7)</f>
        <v>4988188</v>
      </c>
      <c r="N7" s="70">
        <f>M7</f>
        <v>4988188</v>
      </c>
    </row>
    <row r="8" spans="2:14" ht="18.75">
      <c r="B8" s="4" t="s">
        <v>12</v>
      </c>
      <c r="C8" s="4"/>
      <c r="D8" s="4"/>
      <c r="E8" s="4"/>
      <c r="F8" s="4"/>
      <c r="G8" s="4"/>
      <c r="H8" s="4"/>
      <c r="I8" s="4"/>
      <c r="J8" s="6">
        <v>40408163</v>
      </c>
      <c r="K8" s="6">
        <v>24462003</v>
      </c>
      <c r="L8" s="6">
        <v>-20764544</v>
      </c>
      <c r="M8" s="6">
        <f>SUM(J8:L8)</f>
        <v>44105622</v>
      </c>
      <c r="N8" s="70">
        <f>M8</f>
        <v>44105622</v>
      </c>
    </row>
    <row r="9" spans="2:14" ht="18.75">
      <c r="B9" s="3"/>
      <c r="C9" s="3" t="s">
        <v>382</v>
      </c>
      <c r="D9" s="3"/>
      <c r="E9" s="3"/>
      <c r="F9" s="3"/>
      <c r="G9" s="3"/>
      <c r="H9" s="3"/>
      <c r="I9" s="3"/>
      <c r="J9" s="10">
        <f>SUM(J7:J8)</f>
        <v>45396351</v>
      </c>
      <c r="K9" s="10">
        <f>SUM(K7:K8)</f>
        <v>24462003</v>
      </c>
      <c r="L9" s="10">
        <f>SUM(L7:L8)</f>
        <v>-20764544</v>
      </c>
      <c r="M9" s="10">
        <f>SUM(M7:M8)</f>
        <v>49093810</v>
      </c>
    </row>
    <row r="10" spans="2:14" ht="18.75">
      <c r="B10" s="3" t="s">
        <v>400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2:14" ht="18.75">
      <c r="B11" s="4" t="s">
        <v>471</v>
      </c>
      <c r="C11" s="4"/>
      <c r="D11" s="4"/>
      <c r="E11" s="4"/>
      <c r="F11" s="4"/>
      <c r="G11" s="4"/>
      <c r="H11" s="4"/>
      <c r="I11" s="4"/>
      <c r="J11" s="4">
        <v>48507199</v>
      </c>
      <c r="K11" s="4">
        <v>1274399</v>
      </c>
      <c r="L11" s="4">
        <v>-50000</v>
      </c>
      <c r="M11" s="4">
        <f>SUM(J11:L11)</f>
        <v>49731598</v>
      </c>
    </row>
    <row r="12" spans="2:14" ht="18.75">
      <c r="B12" s="4" t="s">
        <v>32</v>
      </c>
      <c r="C12" s="4"/>
      <c r="D12" s="4"/>
      <c r="E12" s="4"/>
      <c r="F12" s="4"/>
      <c r="G12" s="4"/>
      <c r="H12" s="4"/>
      <c r="I12" s="4"/>
      <c r="J12" s="4">
        <v>60645774</v>
      </c>
      <c r="K12" s="4">
        <v>2833084</v>
      </c>
      <c r="L12" s="4">
        <v>-1351757</v>
      </c>
      <c r="M12" s="4">
        <f>SUM(J12:L12)</f>
        <v>62127101</v>
      </c>
    </row>
    <row r="13" spans="2:14" ht="18.75">
      <c r="B13" s="4" t="s">
        <v>65</v>
      </c>
      <c r="C13" s="4"/>
      <c r="D13" s="4"/>
      <c r="E13" s="4"/>
      <c r="F13" s="4"/>
      <c r="G13" s="4"/>
      <c r="H13" s="4"/>
      <c r="I13" s="4"/>
      <c r="J13" s="4">
        <v>245174194</v>
      </c>
      <c r="K13" s="4">
        <v>20897304</v>
      </c>
      <c r="L13" s="4"/>
      <c r="M13" s="4">
        <f>SUM(J13:L13)</f>
        <v>266071498</v>
      </c>
    </row>
    <row r="14" spans="2:14" ht="18.75">
      <c r="B14" s="3"/>
      <c r="C14" s="3"/>
      <c r="D14" s="3" t="s">
        <v>19</v>
      </c>
      <c r="E14" s="3"/>
      <c r="F14" s="3"/>
      <c r="G14" s="4"/>
      <c r="H14" s="4"/>
      <c r="I14" s="4"/>
      <c r="J14" s="11">
        <f>SUM(J11:J13)</f>
        <v>354327167</v>
      </c>
      <c r="K14" s="11">
        <f>SUM(K11:K13)</f>
        <v>25004787</v>
      </c>
      <c r="L14" s="11">
        <f>SUM(L11:L13)</f>
        <v>-1401757</v>
      </c>
      <c r="M14" s="11">
        <f>SUM(M11:M13)</f>
        <v>377930197</v>
      </c>
    </row>
    <row r="15" spans="2:14" ht="18.75">
      <c r="B15" s="3" t="s">
        <v>20</v>
      </c>
      <c r="C15" s="4"/>
      <c r="D15" s="4"/>
      <c r="E15" s="4"/>
      <c r="F15" s="4"/>
      <c r="G15" s="4"/>
      <c r="H15" s="4"/>
      <c r="I15" s="4"/>
      <c r="J15" s="4"/>
      <c r="K15" s="6"/>
      <c r="L15" s="6"/>
      <c r="M15" s="6"/>
    </row>
    <row r="16" spans="2:14" ht="18.75">
      <c r="B16" s="4" t="s">
        <v>471</v>
      </c>
      <c r="C16" s="4"/>
      <c r="D16" s="4"/>
      <c r="E16" s="4"/>
      <c r="F16" s="4"/>
      <c r="G16" s="4"/>
      <c r="H16" s="4"/>
      <c r="I16" s="4"/>
      <c r="J16" s="6">
        <v>-20186583</v>
      </c>
      <c r="K16" s="6">
        <v>-1165959</v>
      </c>
      <c r="L16" s="6">
        <v>50000</v>
      </c>
      <c r="M16" s="6">
        <f>SUM(J16:L16)</f>
        <v>-21302542</v>
      </c>
      <c r="N16" s="70">
        <f>M11+M16</f>
        <v>28429056</v>
      </c>
    </row>
    <row r="17" spans="1:19" ht="18.75">
      <c r="B17" s="4" t="s">
        <v>32</v>
      </c>
      <c r="C17" s="4"/>
      <c r="D17" s="4"/>
      <c r="E17" s="4"/>
      <c r="F17" s="4"/>
      <c r="G17" s="4"/>
      <c r="H17" s="4"/>
      <c r="I17" s="4"/>
      <c r="J17" s="6">
        <v>-39678311</v>
      </c>
      <c r="K17" s="6">
        <v>-3093448</v>
      </c>
      <c r="L17" s="6">
        <v>1339037</v>
      </c>
      <c r="M17" s="6">
        <f>SUM(J17:L17)</f>
        <v>-41432722</v>
      </c>
      <c r="N17" s="70">
        <f>M12+M17</f>
        <v>20694379</v>
      </c>
    </row>
    <row r="18" spans="1:19" ht="18.75">
      <c r="B18" s="4" t="s">
        <v>65</v>
      </c>
      <c r="C18" s="4"/>
      <c r="D18" s="4"/>
      <c r="E18" s="4"/>
      <c r="F18" s="4"/>
      <c r="G18" s="4"/>
      <c r="H18" s="4"/>
      <c r="I18" s="4"/>
      <c r="J18" s="6">
        <v>-59252038</v>
      </c>
      <c r="K18" s="6">
        <v>-7310938</v>
      </c>
      <c r="L18" s="6"/>
      <c r="M18" s="6">
        <f>SUM(J18:L18)</f>
        <v>-66562976</v>
      </c>
      <c r="N18" s="70">
        <f>M13+M18</f>
        <v>199508522</v>
      </c>
    </row>
    <row r="19" spans="1:19" ht="18.75">
      <c r="B19" s="3"/>
      <c r="C19" s="3"/>
      <c r="D19" s="3" t="s">
        <v>21</v>
      </c>
      <c r="E19" s="3"/>
      <c r="F19" s="4"/>
      <c r="G19" s="4"/>
      <c r="H19" s="4"/>
      <c r="I19" s="4"/>
      <c r="J19" s="11">
        <f>SUM(J16:J18)</f>
        <v>-119116932</v>
      </c>
      <c r="K19" s="11">
        <f>SUM(K16:K18)</f>
        <v>-11570345</v>
      </c>
      <c r="L19" s="11">
        <f>SUM(L16:L18)</f>
        <v>1389037</v>
      </c>
      <c r="M19" s="11">
        <f>SUM(M16:M18)</f>
        <v>-129298240</v>
      </c>
    </row>
    <row r="20" spans="1:19" ht="18.75">
      <c r="B20" s="3" t="s">
        <v>22</v>
      </c>
      <c r="C20" s="3"/>
      <c r="D20" s="3"/>
      <c r="E20" s="3"/>
      <c r="F20" s="4"/>
      <c r="G20" s="4"/>
      <c r="H20" s="4"/>
      <c r="I20" s="4"/>
      <c r="J20" s="11">
        <v>235210235</v>
      </c>
      <c r="K20" s="11">
        <v>13434442</v>
      </c>
      <c r="L20" s="11">
        <v>-12720</v>
      </c>
      <c r="M20" s="11">
        <f>SUM(J20:L20)</f>
        <v>248631957</v>
      </c>
    </row>
    <row r="21" spans="1:19" ht="18.75">
      <c r="B21" s="3" t="s">
        <v>489</v>
      </c>
      <c r="C21" s="3"/>
      <c r="D21" s="3"/>
      <c r="E21" s="3"/>
      <c r="F21" s="4"/>
      <c r="G21" s="4"/>
      <c r="H21" s="4"/>
      <c r="I21" s="4"/>
      <c r="J21" s="11">
        <v>280606586</v>
      </c>
      <c r="K21" s="11">
        <v>37896445</v>
      </c>
      <c r="L21" s="11">
        <v>-20777264</v>
      </c>
      <c r="M21" s="11">
        <f>SUM(J21:L21)</f>
        <v>297725767</v>
      </c>
      <c r="N21" s="70">
        <f>SUM(N7:N19)</f>
        <v>297725767</v>
      </c>
    </row>
    <row r="22" spans="1:19" ht="18.75">
      <c r="B22" s="3"/>
      <c r="C22" s="3"/>
      <c r="D22" s="3"/>
      <c r="E22" s="3"/>
      <c r="F22" s="4"/>
      <c r="G22" s="4"/>
      <c r="H22" s="4"/>
      <c r="I22" s="4"/>
      <c r="J22" s="27"/>
      <c r="K22" s="27"/>
      <c r="L22" s="27"/>
      <c r="M22" s="27"/>
    </row>
    <row r="23" spans="1:19" ht="18.75">
      <c r="B23" s="3"/>
      <c r="C23" s="3"/>
      <c r="D23" s="3"/>
      <c r="E23" s="3"/>
      <c r="F23" s="4"/>
      <c r="G23" s="4"/>
      <c r="H23" s="4"/>
      <c r="I23" s="4"/>
      <c r="J23" s="27"/>
      <c r="K23" s="27"/>
      <c r="L23" s="27"/>
      <c r="M23" s="27"/>
    </row>
    <row r="24" spans="1:19" ht="18.75">
      <c r="A24" s="1" t="s">
        <v>439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8.75">
      <c r="B25" s="3" t="s">
        <v>10</v>
      </c>
      <c r="C25" s="3"/>
      <c r="D25" s="3"/>
      <c r="E25" s="3"/>
      <c r="F25" s="3"/>
      <c r="G25" s="3"/>
      <c r="H25" s="4"/>
      <c r="I25" s="4"/>
      <c r="J25" s="6"/>
      <c r="K25" s="6"/>
      <c r="L25" s="6"/>
      <c r="M25" s="6"/>
    </row>
    <row r="26" spans="1:19" ht="18.75">
      <c r="B26" s="4" t="s">
        <v>11</v>
      </c>
      <c r="C26" s="4"/>
      <c r="D26" s="4"/>
      <c r="E26" s="4"/>
      <c r="F26" s="4"/>
      <c r="G26" s="4"/>
      <c r="H26" s="4"/>
      <c r="I26" s="4"/>
      <c r="J26" s="6">
        <v>3567923</v>
      </c>
      <c r="K26" s="6"/>
      <c r="L26" s="6">
        <v>200000</v>
      </c>
      <c r="M26" s="6">
        <f>SUM(J26:L26)</f>
        <v>3767923</v>
      </c>
      <c r="N26" s="70">
        <f>M26</f>
        <v>3767923</v>
      </c>
    </row>
    <row r="27" spans="1:19" ht="18.75">
      <c r="B27" s="4" t="s">
        <v>12</v>
      </c>
      <c r="C27" s="4"/>
      <c r="D27" s="4"/>
      <c r="E27" s="4"/>
      <c r="F27" s="4"/>
      <c r="G27" s="4"/>
      <c r="H27" s="4"/>
      <c r="I27" s="4"/>
      <c r="J27" s="6">
        <v>15352445</v>
      </c>
      <c r="K27" s="6">
        <v>9950592</v>
      </c>
      <c r="L27" s="6">
        <v>-13402567</v>
      </c>
      <c r="M27" s="6">
        <f>SUM(J27:L27)</f>
        <v>11900470</v>
      </c>
      <c r="N27" s="70">
        <f>M27</f>
        <v>11900470</v>
      </c>
    </row>
    <row r="28" spans="1:19" ht="18.75">
      <c r="B28" s="3"/>
      <c r="C28" s="3" t="s">
        <v>382</v>
      </c>
      <c r="D28" s="3"/>
      <c r="E28" s="3"/>
      <c r="F28" s="3"/>
      <c r="G28" s="3"/>
      <c r="H28" s="3"/>
      <c r="I28" s="3"/>
      <c r="J28" s="10">
        <f>SUM(J26:J27)</f>
        <v>18920368</v>
      </c>
      <c r="K28" s="10">
        <f>SUM(K26:K27)</f>
        <v>9950592</v>
      </c>
      <c r="L28" s="10">
        <f>SUM(L26:L27)</f>
        <v>-13202567</v>
      </c>
      <c r="M28" s="10">
        <f>SUM(J28:L28)</f>
        <v>15668393</v>
      </c>
    </row>
    <row r="29" spans="1:19" ht="18.75">
      <c r="B29" s="3" t="s">
        <v>400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9" ht="18.75">
      <c r="B30" s="4" t="s">
        <v>490</v>
      </c>
      <c r="C30" s="4"/>
      <c r="D30" s="4"/>
      <c r="E30" s="4"/>
      <c r="F30" s="4"/>
      <c r="G30" s="4"/>
      <c r="H30" s="4"/>
      <c r="I30" s="4"/>
      <c r="J30" s="4">
        <v>96025274</v>
      </c>
      <c r="K30" s="4">
        <v>2821269</v>
      </c>
      <c r="L30" s="4"/>
      <c r="M30" s="4">
        <f t="shared" ref="M30:M35" si="0">SUM(J30:L30)</f>
        <v>98846543</v>
      </c>
    </row>
    <row r="31" spans="1:19" ht="18.75">
      <c r="B31" s="4" t="s">
        <v>491</v>
      </c>
      <c r="C31" s="4"/>
      <c r="D31" s="4"/>
      <c r="E31" s="4"/>
      <c r="F31" s="4"/>
      <c r="G31" s="4"/>
      <c r="H31" s="4"/>
      <c r="I31" s="4"/>
      <c r="J31" s="4">
        <v>28913717</v>
      </c>
      <c r="K31" s="4">
        <v>1653056</v>
      </c>
      <c r="L31" s="4">
        <v>-83005</v>
      </c>
      <c r="M31" s="4">
        <f t="shared" si="0"/>
        <v>30483768</v>
      </c>
    </row>
    <row r="32" spans="1:19" ht="18.75">
      <c r="B32" s="4" t="s">
        <v>492</v>
      </c>
      <c r="C32" s="4"/>
      <c r="D32" s="4"/>
      <c r="E32" s="4"/>
      <c r="F32" s="4"/>
      <c r="G32" s="4"/>
      <c r="H32" s="4"/>
      <c r="I32" s="4"/>
      <c r="J32" s="4">
        <v>109609407</v>
      </c>
      <c r="K32" s="4">
        <v>12648998</v>
      </c>
      <c r="L32" s="4">
        <v>-220369</v>
      </c>
      <c r="M32" s="4">
        <f t="shared" si="0"/>
        <v>122038036</v>
      </c>
    </row>
    <row r="33" spans="2:14" ht="18.75">
      <c r="B33" s="4" t="s">
        <v>493</v>
      </c>
      <c r="C33" s="4"/>
      <c r="D33" s="4"/>
      <c r="E33" s="4"/>
      <c r="F33" s="4"/>
      <c r="G33" s="4"/>
      <c r="H33" s="4"/>
      <c r="I33" s="4"/>
      <c r="J33" s="4">
        <v>7251504</v>
      </c>
      <c r="K33" s="6">
        <v>1339861</v>
      </c>
      <c r="L33" s="6"/>
      <c r="M33" s="4">
        <f t="shared" si="0"/>
        <v>8591365</v>
      </c>
    </row>
    <row r="34" spans="2:14" ht="18.75">
      <c r="B34" s="4" t="s">
        <v>494</v>
      </c>
      <c r="C34" s="4"/>
      <c r="D34" s="4"/>
      <c r="E34" s="4"/>
      <c r="F34" s="4"/>
      <c r="G34" s="4"/>
      <c r="H34" s="4"/>
      <c r="I34" s="4"/>
      <c r="J34" s="4">
        <v>19274132</v>
      </c>
      <c r="K34" s="6">
        <v>45797</v>
      </c>
      <c r="L34" s="6">
        <v>-35003</v>
      </c>
      <c r="M34" s="4">
        <f t="shared" si="0"/>
        <v>19284926</v>
      </c>
    </row>
    <row r="35" spans="2:14" ht="18.75">
      <c r="B35" s="4" t="s">
        <v>16</v>
      </c>
      <c r="C35" s="4"/>
      <c r="D35" s="4"/>
      <c r="E35" s="4"/>
      <c r="F35" s="4"/>
      <c r="G35" s="4"/>
      <c r="H35" s="4"/>
      <c r="I35" s="4"/>
      <c r="J35" s="4">
        <v>7781902</v>
      </c>
      <c r="K35" s="6">
        <v>918589</v>
      </c>
      <c r="L35" s="6">
        <v>-334654</v>
      </c>
      <c r="M35" s="4">
        <f t="shared" si="0"/>
        <v>8365837</v>
      </c>
    </row>
    <row r="36" spans="2:14" ht="18.75">
      <c r="B36" s="3"/>
      <c r="C36" s="3"/>
      <c r="D36" s="3" t="s">
        <v>19</v>
      </c>
      <c r="E36" s="3"/>
      <c r="F36" s="3"/>
      <c r="G36" s="4"/>
      <c r="H36" s="4"/>
      <c r="I36" s="4"/>
      <c r="J36" s="11">
        <f>SUM(J30:J35)</f>
        <v>268855936</v>
      </c>
      <c r="K36" s="11">
        <f>SUM(K30:K35)</f>
        <v>19427570</v>
      </c>
      <c r="L36" s="11">
        <f>SUM(L30:L35)</f>
        <v>-673031</v>
      </c>
      <c r="M36" s="11">
        <f>SUM(M30:M35)</f>
        <v>287610475</v>
      </c>
    </row>
    <row r="37" spans="2:14" ht="18.75">
      <c r="B37" s="3" t="s">
        <v>20</v>
      </c>
      <c r="C37" s="4"/>
      <c r="D37" s="4"/>
      <c r="E37" s="4"/>
      <c r="F37" s="4"/>
      <c r="G37" s="4"/>
      <c r="H37" s="4"/>
      <c r="I37" s="4"/>
      <c r="J37" s="4"/>
      <c r="K37" s="6"/>
      <c r="L37" s="6"/>
      <c r="M37" s="6"/>
    </row>
    <row r="38" spans="2:14" ht="18.75">
      <c r="B38" s="4" t="s">
        <v>490</v>
      </c>
      <c r="C38" s="4"/>
      <c r="D38" s="4"/>
      <c r="E38" s="4"/>
      <c r="F38" s="4"/>
      <c r="G38" s="4"/>
      <c r="H38" s="4"/>
      <c r="I38" s="4"/>
      <c r="J38" s="6">
        <v>-66351669</v>
      </c>
      <c r="K38" s="6">
        <v>-2181679</v>
      </c>
      <c r="L38" s="6"/>
      <c r="M38" s="6">
        <f t="shared" ref="M38:M46" si="1">SUM(J38:L38)</f>
        <v>-68533348</v>
      </c>
      <c r="N38" s="70">
        <f t="shared" ref="N38:N43" si="2">M30+M38</f>
        <v>30313195</v>
      </c>
    </row>
    <row r="39" spans="2:14" ht="18.75">
      <c r="B39" s="4" t="s">
        <v>491</v>
      </c>
      <c r="C39" s="4"/>
      <c r="D39" s="4"/>
      <c r="E39" s="4"/>
      <c r="F39" s="4"/>
      <c r="G39" s="4"/>
      <c r="H39" s="4"/>
      <c r="I39" s="4"/>
      <c r="J39" s="6">
        <v>-13479246</v>
      </c>
      <c r="K39" s="6">
        <v>-1043846</v>
      </c>
      <c r="L39" s="6">
        <v>83005</v>
      </c>
      <c r="M39" s="6">
        <f t="shared" si="1"/>
        <v>-14440087</v>
      </c>
      <c r="N39" s="70">
        <f t="shared" si="2"/>
        <v>16043681</v>
      </c>
    </row>
    <row r="40" spans="2:14" ht="18.75">
      <c r="B40" s="4" t="s">
        <v>492</v>
      </c>
      <c r="C40" s="4"/>
      <c r="D40" s="4"/>
      <c r="E40" s="4"/>
      <c r="F40" s="4"/>
      <c r="G40" s="4"/>
      <c r="H40" s="4"/>
      <c r="I40" s="4"/>
      <c r="J40" s="6">
        <v>-52363037</v>
      </c>
      <c r="K40" s="6">
        <v>-2738782</v>
      </c>
      <c r="L40" s="6">
        <v>218375</v>
      </c>
      <c r="M40" s="6">
        <f t="shared" si="1"/>
        <v>-54883444</v>
      </c>
      <c r="N40" s="70">
        <f t="shared" si="2"/>
        <v>67154592</v>
      </c>
    </row>
    <row r="41" spans="2:14" ht="18.75">
      <c r="B41" s="4" t="s">
        <v>495</v>
      </c>
      <c r="C41" s="4"/>
      <c r="D41" s="4"/>
      <c r="E41" s="4"/>
      <c r="F41" s="4"/>
      <c r="G41" s="4"/>
      <c r="H41" s="4"/>
      <c r="I41" s="4"/>
      <c r="J41" s="6">
        <v>-956878</v>
      </c>
      <c r="K41" s="6">
        <v>-199417</v>
      </c>
      <c r="L41" s="6"/>
      <c r="M41" s="6">
        <f t="shared" si="1"/>
        <v>-1156295</v>
      </c>
      <c r="N41" s="70">
        <f t="shared" si="2"/>
        <v>7435070</v>
      </c>
    </row>
    <row r="42" spans="2:14" ht="18.75">
      <c r="B42" s="4" t="s">
        <v>494</v>
      </c>
      <c r="C42" s="4"/>
      <c r="D42" s="4"/>
      <c r="E42" s="4"/>
      <c r="F42" s="4"/>
      <c r="G42" s="4"/>
      <c r="H42" s="4"/>
      <c r="I42" s="4"/>
      <c r="J42" s="6">
        <v>-7411627</v>
      </c>
      <c r="K42" s="6">
        <v>-512558</v>
      </c>
      <c r="L42" s="6">
        <v>35003</v>
      </c>
      <c r="M42" s="6">
        <f t="shared" si="1"/>
        <v>-7889182</v>
      </c>
      <c r="N42" s="70">
        <f t="shared" si="2"/>
        <v>11395744</v>
      </c>
    </row>
    <row r="43" spans="2:14" ht="18.75">
      <c r="B43" s="4" t="s">
        <v>16</v>
      </c>
      <c r="C43" s="4"/>
      <c r="D43" s="4"/>
      <c r="E43" s="4"/>
      <c r="F43" s="4"/>
      <c r="G43" s="4"/>
      <c r="H43" s="4"/>
      <c r="I43" s="4"/>
      <c r="J43" s="6">
        <v>-5339355</v>
      </c>
      <c r="K43" s="6">
        <v>-268690</v>
      </c>
      <c r="L43" s="6">
        <v>334654</v>
      </c>
      <c r="M43" s="6">
        <f t="shared" si="1"/>
        <v>-5273391</v>
      </c>
      <c r="N43" s="70">
        <f t="shared" si="2"/>
        <v>3092446</v>
      </c>
    </row>
    <row r="44" spans="2:14" ht="18.75">
      <c r="B44" s="3"/>
      <c r="C44" s="3"/>
      <c r="D44" s="3" t="s">
        <v>21</v>
      </c>
      <c r="E44" s="3"/>
      <c r="F44" s="4"/>
      <c r="G44" s="4"/>
      <c r="H44" s="4"/>
      <c r="I44" s="4"/>
      <c r="J44" s="11">
        <f>SUM(J38:J43)</f>
        <v>-145901812</v>
      </c>
      <c r="K44" s="11">
        <f>SUM(K38:K43)</f>
        <v>-6944972</v>
      </c>
      <c r="L44" s="11">
        <f>SUM(L38:L43)</f>
        <v>671037</v>
      </c>
      <c r="M44" s="11">
        <f t="shared" si="1"/>
        <v>-152175747</v>
      </c>
    </row>
    <row r="45" spans="2:14" ht="18.75">
      <c r="B45" s="3" t="s">
        <v>496</v>
      </c>
      <c r="C45" s="3"/>
      <c r="D45" s="3"/>
      <c r="E45" s="3"/>
      <c r="F45" s="4"/>
      <c r="G45" s="4"/>
      <c r="H45" s="4"/>
      <c r="I45" s="4"/>
      <c r="J45" s="11">
        <v>122954124</v>
      </c>
      <c r="K45" s="11">
        <v>12482598</v>
      </c>
      <c r="L45" s="11">
        <v>-1994</v>
      </c>
      <c r="M45" s="11">
        <f t="shared" si="1"/>
        <v>135434728</v>
      </c>
    </row>
    <row r="46" spans="2:14" ht="18.75">
      <c r="B46" s="3" t="s">
        <v>90</v>
      </c>
      <c r="C46" s="3"/>
      <c r="D46" s="3"/>
      <c r="E46" s="3"/>
      <c r="F46" s="4"/>
      <c r="G46" s="4"/>
      <c r="H46" s="4"/>
      <c r="I46" s="4"/>
      <c r="J46" s="11">
        <v>141874492</v>
      </c>
      <c r="K46" s="11">
        <v>22433190</v>
      </c>
      <c r="L46" s="11">
        <v>-13204561</v>
      </c>
      <c r="M46" s="11">
        <f t="shared" si="1"/>
        <v>151103121</v>
      </c>
      <c r="N46" s="70">
        <f>SUM(N26:N44)</f>
        <v>151103121</v>
      </c>
    </row>
  </sheetData>
  <mergeCells count="3">
    <mergeCell ref="E1:J1"/>
    <mergeCell ref="E2:J2"/>
    <mergeCell ref="E3:J3"/>
  </mergeCells>
  <phoneticPr fontId="15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M44"/>
  <sheetViews>
    <sheetView workbookViewId="0">
      <selection sqref="A1:XFD1048576"/>
    </sheetView>
  </sheetViews>
  <sheetFormatPr defaultColWidth="8.85546875" defaultRowHeight="15"/>
  <cols>
    <col min="2" max="2" width="5.7109375" customWidth="1"/>
    <col min="9" max="9" width="17.5703125" customWidth="1"/>
    <col min="10" max="10" width="14.28515625" bestFit="1" customWidth="1"/>
    <col min="11" max="11" width="13.7109375" bestFit="1" customWidth="1"/>
    <col min="12" max="13" width="20.42578125" customWidth="1"/>
  </cols>
  <sheetData>
    <row r="1" spans="1:13" ht="18.75">
      <c r="A1" s="4"/>
      <c r="B1" s="4"/>
      <c r="C1" s="4"/>
      <c r="D1" s="109" t="s">
        <v>497</v>
      </c>
      <c r="E1" s="109"/>
      <c r="F1" s="109"/>
      <c r="G1" s="109"/>
      <c r="H1" s="109"/>
      <c r="I1" s="109"/>
      <c r="J1" s="4"/>
      <c r="K1" s="4"/>
      <c r="L1" s="4"/>
    </row>
    <row r="2" spans="1:13" ht="18.75">
      <c r="A2" s="4"/>
      <c r="B2" s="4"/>
      <c r="C2" s="4"/>
      <c r="D2" s="109" t="s">
        <v>1</v>
      </c>
      <c r="E2" s="109"/>
      <c r="F2" s="109"/>
      <c r="G2" s="109"/>
      <c r="H2" s="109"/>
      <c r="I2" s="109"/>
      <c r="J2" s="4"/>
      <c r="K2" s="4"/>
      <c r="L2" s="4"/>
    </row>
    <row r="3" spans="1:13" ht="18.75">
      <c r="A3" s="4"/>
      <c r="B3" s="4"/>
      <c r="C3" s="4"/>
      <c r="D3" s="109" t="s">
        <v>2</v>
      </c>
      <c r="E3" s="109"/>
      <c r="F3" s="109"/>
      <c r="G3" s="109"/>
      <c r="H3" s="109"/>
      <c r="I3" s="109"/>
      <c r="J3" s="4"/>
      <c r="K3" s="4"/>
      <c r="L3" s="4"/>
    </row>
    <row r="4" spans="1:13" ht="18.75">
      <c r="A4" s="4"/>
      <c r="B4" s="4"/>
      <c r="C4" s="4"/>
      <c r="D4" s="107"/>
      <c r="E4" s="107"/>
      <c r="F4" s="107"/>
      <c r="G4" s="107"/>
      <c r="H4" s="107"/>
      <c r="I4" s="107"/>
      <c r="J4" s="4"/>
      <c r="K4" s="4"/>
      <c r="L4" s="4"/>
    </row>
    <row r="5" spans="1:13" ht="37.5">
      <c r="A5" s="4"/>
      <c r="B5" s="4"/>
      <c r="C5" s="4"/>
      <c r="D5" s="4"/>
      <c r="E5" s="4"/>
      <c r="F5" s="4"/>
      <c r="G5" s="4"/>
      <c r="H5" s="4"/>
      <c r="I5" s="64" t="s">
        <v>3</v>
      </c>
      <c r="J5" s="64" t="s">
        <v>4</v>
      </c>
      <c r="K5" s="64" t="s">
        <v>5</v>
      </c>
      <c r="L5" s="64" t="s">
        <v>6</v>
      </c>
      <c r="M5" s="64" t="s">
        <v>7</v>
      </c>
    </row>
    <row r="6" spans="1:13" ht="18.75">
      <c r="A6" s="3" t="s">
        <v>8</v>
      </c>
      <c r="B6" s="4"/>
      <c r="C6" s="4"/>
      <c r="D6" s="4"/>
      <c r="E6" s="4"/>
      <c r="F6" s="4"/>
      <c r="G6" s="4"/>
      <c r="H6" s="4"/>
      <c r="I6" s="5"/>
      <c r="J6" s="5"/>
      <c r="K6" s="5"/>
      <c r="L6" s="5"/>
    </row>
    <row r="7" spans="1:13" ht="18.75">
      <c r="A7" s="3" t="s">
        <v>396</v>
      </c>
      <c r="B7" s="3"/>
      <c r="C7" s="3"/>
      <c r="D7" s="3"/>
      <c r="E7" s="3"/>
      <c r="F7" s="3"/>
      <c r="G7" s="4"/>
      <c r="H7" s="4"/>
      <c r="I7" s="4"/>
      <c r="J7" s="4"/>
      <c r="K7" s="4"/>
      <c r="L7" s="4"/>
    </row>
    <row r="8" spans="1:13" ht="18.75">
      <c r="A8" s="3" t="s">
        <v>10</v>
      </c>
      <c r="B8" s="3"/>
      <c r="C8" s="3"/>
      <c r="D8" s="3"/>
      <c r="E8" s="3"/>
      <c r="F8" s="3"/>
      <c r="G8" s="4"/>
      <c r="H8" s="4"/>
      <c r="I8" s="6"/>
      <c r="J8" s="6"/>
      <c r="K8" s="6"/>
      <c r="L8" s="6"/>
    </row>
    <row r="9" spans="1:13" ht="18.75">
      <c r="A9" s="4"/>
      <c r="B9" s="4" t="s">
        <v>11</v>
      </c>
      <c r="C9" s="4"/>
      <c r="D9" s="4"/>
      <c r="E9" s="4"/>
      <c r="F9" s="4"/>
      <c r="G9" s="4"/>
      <c r="H9" s="4"/>
      <c r="I9" s="6">
        <v>760833</v>
      </c>
      <c r="J9" s="6"/>
      <c r="K9" s="6"/>
      <c r="L9" s="6">
        <f>SUM(I9:K9)</f>
        <v>760833</v>
      </c>
      <c r="M9" s="32">
        <f>L9</f>
        <v>760833</v>
      </c>
    </row>
    <row r="10" spans="1:13" ht="18.75">
      <c r="A10" s="4"/>
      <c r="B10" s="4" t="s">
        <v>12</v>
      </c>
      <c r="C10" s="4"/>
      <c r="D10" s="4"/>
      <c r="E10" s="4"/>
      <c r="F10" s="4"/>
      <c r="G10" s="4"/>
      <c r="H10" s="4"/>
      <c r="I10" s="4">
        <v>625213</v>
      </c>
      <c r="J10" s="4">
        <v>1117597</v>
      </c>
      <c r="K10" s="4">
        <v>-623758</v>
      </c>
      <c r="L10" s="6">
        <f>SUM(I10:K10)</f>
        <v>1119052</v>
      </c>
      <c r="M10" s="32">
        <f>L10</f>
        <v>1119052</v>
      </c>
    </row>
    <row r="11" spans="1:13" ht="18.75">
      <c r="A11" s="3"/>
      <c r="B11" s="3"/>
      <c r="C11" s="3" t="s">
        <v>13</v>
      </c>
      <c r="D11" s="3"/>
      <c r="E11" s="3"/>
      <c r="F11" s="3"/>
      <c r="G11" s="3"/>
      <c r="H11" s="3"/>
      <c r="I11" s="9">
        <f>SUM(I9:I10)</f>
        <v>1386046</v>
      </c>
      <c r="J11" s="9">
        <f>SUM(J9:J10)</f>
        <v>1117597</v>
      </c>
      <c r="K11" s="9">
        <f>SUM(K9:K10)</f>
        <v>-623758</v>
      </c>
      <c r="L11" s="9">
        <f>SUM(L9:L10)</f>
        <v>1879885</v>
      </c>
      <c r="M11" s="2"/>
    </row>
    <row r="12" spans="1:13" ht="18.7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2"/>
    </row>
    <row r="13" spans="1:13" ht="18.75">
      <c r="A13" s="3" t="s">
        <v>400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2"/>
    </row>
    <row r="14" spans="1:13" ht="18.75">
      <c r="A14" s="4"/>
      <c r="B14" s="4" t="s">
        <v>92</v>
      </c>
      <c r="C14" s="4"/>
      <c r="D14" s="4"/>
      <c r="E14" s="4"/>
      <c r="F14" s="4"/>
      <c r="G14" s="4"/>
      <c r="H14" s="4"/>
      <c r="I14" s="4">
        <v>1793309</v>
      </c>
      <c r="J14" s="6"/>
      <c r="K14" s="6"/>
      <c r="L14" s="6">
        <f>SUM(I14:K14)</f>
        <v>1793309</v>
      </c>
      <c r="M14" s="2"/>
    </row>
    <row r="15" spans="1:13" ht="18.75">
      <c r="A15" s="4"/>
      <c r="B15" s="4" t="s">
        <v>15</v>
      </c>
      <c r="C15" s="4"/>
      <c r="D15" s="4"/>
      <c r="E15" s="4"/>
      <c r="F15" s="4"/>
      <c r="G15" s="4"/>
      <c r="H15" s="4"/>
      <c r="I15" s="4">
        <v>9278634</v>
      </c>
      <c r="J15" s="6"/>
      <c r="K15" s="6"/>
      <c r="L15" s="6">
        <f t="shared" ref="L15:L24" si="0">SUM(I15:K15)</f>
        <v>9278634</v>
      </c>
      <c r="M15" s="2"/>
    </row>
    <row r="16" spans="1:13" ht="18.75">
      <c r="A16" s="4"/>
      <c r="B16" s="4" t="s">
        <v>498</v>
      </c>
      <c r="C16" s="4"/>
      <c r="D16" s="4"/>
      <c r="E16" s="4"/>
      <c r="F16" s="4"/>
      <c r="G16" s="4"/>
      <c r="H16" s="4"/>
      <c r="I16" s="4">
        <v>54922</v>
      </c>
      <c r="J16" s="6">
        <v>623758</v>
      </c>
      <c r="K16" s="6"/>
      <c r="L16" s="6">
        <f t="shared" si="0"/>
        <v>678680</v>
      </c>
      <c r="M16" s="2"/>
    </row>
    <row r="17" spans="1:13" ht="18.75">
      <c r="A17" s="4"/>
      <c r="B17" s="4" t="s">
        <v>499</v>
      </c>
      <c r="C17" s="4"/>
      <c r="D17" s="4"/>
      <c r="E17" s="4"/>
      <c r="F17" s="4"/>
      <c r="G17" s="4"/>
      <c r="H17" s="4"/>
      <c r="I17" s="4">
        <v>1885608</v>
      </c>
      <c r="J17" s="6"/>
      <c r="K17" s="6"/>
      <c r="L17" s="6">
        <f t="shared" si="0"/>
        <v>1885608</v>
      </c>
      <c r="M17" s="2"/>
    </row>
    <row r="18" spans="1:13" ht="18.75">
      <c r="A18" s="4"/>
      <c r="B18" s="4" t="s">
        <v>93</v>
      </c>
      <c r="C18" s="4"/>
      <c r="D18" s="4"/>
      <c r="E18" s="4"/>
      <c r="F18" s="4"/>
      <c r="G18" s="4"/>
      <c r="H18" s="4"/>
      <c r="I18" s="4">
        <v>6098520</v>
      </c>
      <c r="J18" s="6">
        <v>398602</v>
      </c>
      <c r="K18" s="6"/>
      <c r="L18" s="6">
        <f t="shared" si="0"/>
        <v>6497122</v>
      </c>
      <c r="M18" s="2"/>
    </row>
    <row r="19" spans="1:13" ht="18.75">
      <c r="A19" s="4"/>
      <c r="B19" s="4" t="s">
        <v>30</v>
      </c>
      <c r="C19" s="4"/>
      <c r="D19" s="4"/>
      <c r="E19" s="4"/>
      <c r="F19" s="4"/>
      <c r="G19" s="4"/>
      <c r="H19" s="4"/>
      <c r="I19" s="4">
        <v>2203029</v>
      </c>
      <c r="J19" s="6">
        <v>75974</v>
      </c>
      <c r="K19" s="6"/>
      <c r="L19" s="6">
        <f t="shared" si="0"/>
        <v>2279003</v>
      </c>
      <c r="M19" s="2"/>
    </row>
    <row r="20" spans="1:13" ht="18.75">
      <c r="A20" s="4"/>
      <c r="B20" s="4" t="s">
        <v>66</v>
      </c>
      <c r="C20" s="4"/>
      <c r="D20" s="4"/>
      <c r="E20" s="4"/>
      <c r="F20" s="4"/>
      <c r="G20" s="4"/>
      <c r="H20" s="4"/>
      <c r="I20" s="4">
        <v>699030</v>
      </c>
      <c r="J20" s="6"/>
      <c r="K20" s="6"/>
      <c r="L20" s="6">
        <f t="shared" si="0"/>
        <v>699030</v>
      </c>
      <c r="M20" s="2"/>
    </row>
    <row r="21" spans="1:13" ht="18.75">
      <c r="A21" s="4"/>
      <c r="B21" s="4" t="s">
        <v>112</v>
      </c>
      <c r="C21" s="4"/>
      <c r="D21" s="4"/>
      <c r="E21" s="4"/>
      <c r="F21" s="4"/>
      <c r="G21" s="4"/>
      <c r="H21" s="4"/>
      <c r="I21" s="4"/>
      <c r="J21" s="6"/>
      <c r="K21" s="6"/>
      <c r="L21" s="6"/>
      <c r="M21" s="2"/>
    </row>
    <row r="22" spans="1:13" ht="18.75">
      <c r="A22" s="4"/>
      <c r="B22" s="4"/>
      <c r="C22" s="4" t="s">
        <v>89</v>
      </c>
      <c r="D22" s="4"/>
      <c r="E22" s="4"/>
      <c r="F22" s="4"/>
      <c r="G22" s="4"/>
      <c r="H22" s="4"/>
      <c r="I22" s="4">
        <v>227302</v>
      </c>
      <c r="J22" s="6"/>
      <c r="K22" s="6"/>
      <c r="L22" s="6">
        <f t="shared" si="0"/>
        <v>227302</v>
      </c>
      <c r="M22" s="2"/>
    </row>
    <row r="23" spans="1:13" ht="18.75">
      <c r="A23" s="4"/>
      <c r="B23" s="4"/>
      <c r="C23" s="4" t="s">
        <v>113</v>
      </c>
      <c r="D23" s="4"/>
      <c r="E23" s="4"/>
      <c r="F23" s="4"/>
      <c r="G23" s="4"/>
      <c r="H23" s="4"/>
      <c r="I23" s="4">
        <v>192815</v>
      </c>
      <c r="J23" s="6"/>
      <c r="K23" s="6"/>
      <c r="L23" s="6">
        <f t="shared" si="0"/>
        <v>192815</v>
      </c>
      <c r="M23" s="2"/>
    </row>
    <row r="24" spans="1:13" ht="18.75">
      <c r="A24" s="4"/>
      <c r="B24" s="4"/>
      <c r="C24" s="4" t="s">
        <v>66</v>
      </c>
      <c r="D24" s="4"/>
      <c r="E24" s="4"/>
      <c r="F24" s="4"/>
      <c r="G24" s="4"/>
      <c r="H24" s="4"/>
      <c r="I24" s="4">
        <v>128378</v>
      </c>
      <c r="J24" s="6"/>
      <c r="K24" s="6"/>
      <c r="L24" s="6">
        <f t="shared" si="0"/>
        <v>128378</v>
      </c>
      <c r="M24" s="2"/>
    </row>
    <row r="25" spans="1:13" ht="18.75">
      <c r="A25" s="4"/>
      <c r="B25" s="4"/>
      <c r="C25" s="4" t="s">
        <v>95</v>
      </c>
      <c r="D25" s="4"/>
      <c r="E25" s="4"/>
      <c r="F25" s="4"/>
      <c r="G25" s="4"/>
      <c r="H25" s="4"/>
      <c r="I25" s="4">
        <v>685036</v>
      </c>
      <c r="J25" s="6">
        <v>59393</v>
      </c>
      <c r="K25" s="6">
        <v>-39258</v>
      </c>
      <c r="L25" s="6">
        <f>SUM(I25:K25)</f>
        <v>705171</v>
      </c>
      <c r="M25" s="2"/>
    </row>
    <row r="26" spans="1:13" ht="18.75">
      <c r="A26" s="4"/>
      <c r="B26" s="4"/>
      <c r="C26" s="3" t="s">
        <v>19</v>
      </c>
      <c r="D26" s="4"/>
      <c r="E26" s="4"/>
      <c r="F26" s="4"/>
      <c r="G26" s="4"/>
      <c r="H26" s="4"/>
      <c r="I26" s="14">
        <f>SUM(I14:I25)</f>
        <v>23246583</v>
      </c>
      <c r="J26" s="14">
        <f>SUM(J14:J25)</f>
        <v>1157727</v>
      </c>
      <c r="K26" s="14">
        <f>SUM(K14:K25)</f>
        <v>-39258</v>
      </c>
      <c r="L26" s="14">
        <f>SUM(L14:L25)</f>
        <v>24365052</v>
      </c>
      <c r="M26" s="2"/>
    </row>
    <row r="27" spans="1:13" ht="18.7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2"/>
    </row>
    <row r="28" spans="1:13" ht="18.75">
      <c r="A28" s="3" t="s">
        <v>401</v>
      </c>
      <c r="B28" s="4"/>
      <c r="C28" s="4"/>
      <c r="D28" s="4"/>
      <c r="E28" s="4"/>
      <c r="F28" s="4"/>
      <c r="G28" s="4"/>
      <c r="H28" s="4"/>
      <c r="I28" s="4"/>
      <c r="J28" s="6"/>
      <c r="K28" s="6"/>
      <c r="L28" s="6"/>
      <c r="M28" s="2"/>
    </row>
    <row r="29" spans="1:13" ht="18.75">
      <c r="A29" s="4"/>
      <c r="B29" s="4" t="s">
        <v>92</v>
      </c>
      <c r="C29" s="4"/>
      <c r="D29" s="4"/>
      <c r="E29" s="4"/>
      <c r="F29" s="4"/>
      <c r="G29" s="4"/>
      <c r="H29" s="4"/>
      <c r="I29" s="6">
        <v>537856</v>
      </c>
      <c r="J29" s="6">
        <v>57495</v>
      </c>
      <c r="K29" s="6"/>
      <c r="L29" s="6">
        <f>SUM(I29:K29)</f>
        <v>595351</v>
      </c>
      <c r="M29" s="32">
        <f>L14-L29</f>
        <v>1197958</v>
      </c>
    </row>
    <row r="30" spans="1:13" ht="18.75">
      <c r="A30" s="4"/>
      <c r="B30" s="4" t="s">
        <v>15</v>
      </c>
      <c r="C30" s="4"/>
      <c r="D30" s="4"/>
      <c r="E30" s="4"/>
      <c r="F30" s="4"/>
      <c r="G30" s="4"/>
      <c r="H30" s="4"/>
      <c r="I30" s="6">
        <v>3793599</v>
      </c>
      <c r="J30" s="6">
        <v>238517</v>
      </c>
      <c r="K30" s="6"/>
      <c r="L30" s="6">
        <f t="shared" ref="L30:L39" si="1">SUM(I30:K30)</f>
        <v>4032116</v>
      </c>
      <c r="M30" s="32">
        <f t="shared" ref="M30:M39" si="2">L15-L30</f>
        <v>5246518</v>
      </c>
    </row>
    <row r="31" spans="1:13" ht="18.75">
      <c r="A31" s="4"/>
      <c r="B31" s="4" t="s">
        <v>498</v>
      </c>
      <c r="C31" s="4"/>
      <c r="D31" s="4"/>
      <c r="E31" s="4"/>
      <c r="F31" s="4"/>
      <c r="G31" s="4"/>
      <c r="H31" s="4"/>
      <c r="I31" s="6">
        <v>4245</v>
      </c>
      <c r="J31" s="6">
        <v>2747</v>
      </c>
      <c r="K31" s="6"/>
      <c r="L31" s="6">
        <f t="shared" si="1"/>
        <v>6992</v>
      </c>
      <c r="M31" s="32">
        <f t="shared" si="2"/>
        <v>671688</v>
      </c>
    </row>
    <row r="32" spans="1:13" ht="18.75">
      <c r="A32" s="4"/>
      <c r="B32" s="4" t="s">
        <v>499</v>
      </c>
      <c r="C32" s="4"/>
      <c r="D32" s="4"/>
      <c r="E32" s="4"/>
      <c r="F32" s="4"/>
      <c r="G32" s="4"/>
      <c r="H32" s="4"/>
      <c r="I32" s="6">
        <v>1016529</v>
      </c>
      <c r="J32" s="6">
        <v>102917</v>
      </c>
      <c r="K32" s="6"/>
      <c r="L32" s="6">
        <f t="shared" si="1"/>
        <v>1119446</v>
      </c>
      <c r="M32" s="32">
        <f t="shared" si="2"/>
        <v>766162</v>
      </c>
    </row>
    <row r="33" spans="1:13" ht="18.75">
      <c r="A33" s="4"/>
      <c r="B33" s="4" t="s">
        <v>93</v>
      </c>
      <c r="C33" s="4"/>
      <c r="D33" s="4"/>
      <c r="E33" s="4"/>
      <c r="F33" s="4"/>
      <c r="G33" s="4"/>
      <c r="H33" s="4"/>
      <c r="I33" s="6">
        <v>4255866</v>
      </c>
      <c r="J33" s="6">
        <v>284163</v>
      </c>
      <c r="K33" s="6"/>
      <c r="L33" s="6">
        <f t="shared" si="1"/>
        <v>4540029</v>
      </c>
      <c r="M33" s="32">
        <f t="shared" si="2"/>
        <v>1957093</v>
      </c>
    </row>
    <row r="34" spans="1:13" ht="18.75">
      <c r="A34" s="4"/>
      <c r="B34" s="4" t="s">
        <v>30</v>
      </c>
      <c r="C34" s="4"/>
      <c r="D34" s="4"/>
      <c r="E34" s="4"/>
      <c r="F34" s="4"/>
      <c r="G34" s="4"/>
      <c r="H34" s="4"/>
      <c r="I34" s="6">
        <v>1966101</v>
      </c>
      <c r="J34" s="6">
        <v>88231</v>
      </c>
      <c r="K34" s="6"/>
      <c r="L34" s="6">
        <f t="shared" si="1"/>
        <v>2054332</v>
      </c>
      <c r="M34" s="32">
        <f t="shared" si="2"/>
        <v>224671</v>
      </c>
    </row>
    <row r="35" spans="1:13" ht="18.75">
      <c r="A35" s="4"/>
      <c r="B35" s="4" t="s">
        <v>66</v>
      </c>
      <c r="C35" s="4"/>
      <c r="D35" s="4"/>
      <c r="E35" s="4"/>
      <c r="F35" s="4"/>
      <c r="G35" s="4"/>
      <c r="H35" s="4"/>
      <c r="I35" s="6">
        <v>633035</v>
      </c>
      <c r="J35" s="6">
        <v>25619</v>
      </c>
      <c r="K35" s="6"/>
      <c r="L35" s="6">
        <f t="shared" si="1"/>
        <v>658654</v>
      </c>
      <c r="M35" s="32">
        <f t="shared" si="2"/>
        <v>40376</v>
      </c>
    </row>
    <row r="36" spans="1:13" ht="18.75">
      <c r="A36" s="4"/>
      <c r="B36" s="4" t="s">
        <v>112</v>
      </c>
      <c r="C36" s="4"/>
      <c r="D36" s="4"/>
      <c r="E36" s="4"/>
      <c r="F36" s="4"/>
      <c r="G36" s="4"/>
      <c r="H36" s="4"/>
      <c r="I36" s="6"/>
      <c r="J36" s="6"/>
      <c r="K36" s="6"/>
      <c r="L36" s="6"/>
      <c r="M36" s="32"/>
    </row>
    <row r="37" spans="1:13" ht="18.75">
      <c r="A37" s="4"/>
      <c r="B37" s="4"/>
      <c r="C37" s="4" t="s">
        <v>89</v>
      </c>
      <c r="D37" s="4"/>
      <c r="E37" s="4"/>
      <c r="F37" s="4"/>
      <c r="G37" s="4"/>
      <c r="H37" s="4"/>
      <c r="I37" s="6">
        <v>181981</v>
      </c>
      <c r="J37" s="6">
        <v>4551</v>
      </c>
      <c r="K37" s="6"/>
      <c r="L37" s="6">
        <f t="shared" si="1"/>
        <v>186532</v>
      </c>
      <c r="M37" s="32">
        <f t="shared" si="2"/>
        <v>40770</v>
      </c>
    </row>
    <row r="38" spans="1:13" ht="18.75">
      <c r="A38" s="4"/>
      <c r="B38" s="4"/>
      <c r="C38" s="4" t="s">
        <v>113</v>
      </c>
      <c r="D38" s="4"/>
      <c r="E38" s="4"/>
      <c r="F38" s="4"/>
      <c r="G38" s="4"/>
      <c r="H38" s="4"/>
      <c r="I38" s="6">
        <v>122462</v>
      </c>
      <c r="J38" s="6">
        <v>17588</v>
      </c>
      <c r="K38" s="6"/>
      <c r="L38" s="6">
        <f t="shared" si="1"/>
        <v>140050</v>
      </c>
      <c r="M38" s="32">
        <f t="shared" si="2"/>
        <v>52765</v>
      </c>
    </row>
    <row r="39" spans="1:13" ht="18.75">
      <c r="A39" s="4"/>
      <c r="B39" s="4"/>
      <c r="C39" s="4" t="s">
        <v>66</v>
      </c>
      <c r="D39" s="4"/>
      <c r="E39" s="4"/>
      <c r="F39" s="4"/>
      <c r="G39" s="4"/>
      <c r="H39" s="4"/>
      <c r="I39" s="6">
        <v>125868</v>
      </c>
      <c r="J39" s="6">
        <v>1255</v>
      </c>
      <c r="K39" s="6"/>
      <c r="L39" s="6">
        <f t="shared" si="1"/>
        <v>127123</v>
      </c>
      <c r="M39" s="32">
        <f t="shared" si="2"/>
        <v>1255</v>
      </c>
    </row>
    <row r="40" spans="1:13" ht="18.75">
      <c r="A40" s="4"/>
      <c r="B40" s="4"/>
      <c r="C40" s="4" t="s">
        <v>95</v>
      </c>
      <c r="D40" s="4"/>
      <c r="E40" s="4"/>
      <c r="F40" s="4"/>
      <c r="G40" s="4"/>
      <c r="H40" s="4"/>
      <c r="I40" s="6">
        <v>573223</v>
      </c>
      <c r="J40" s="6">
        <v>42500</v>
      </c>
      <c r="K40" s="6">
        <v>-39258</v>
      </c>
      <c r="L40" s="6">
        <f>SUM(I40:K40)</f>
        <v>576465</v>
      </c>
      <c r="M40" s="32">
        <f>L25-L40</f>
        <v>128706</v>
      </c>
    </row>
    <row r="41" spans="1:13" ht="18.75">
      <c r="A41" s="3"/>
      <c r="B41" s="4"/>
      <c r="C41" s="3" t="s">
        <v>21</v>
      </c>
      <c r="D41" s="4"/>
      <c r="E41" s="4"/>
      <c r="F41" s="4"/>
      <c r="G41" s="4"/>
      <c r="H41" s="4"/>
      <c r="I41" s="11">
        <f>SUM(I29:I40)</f>
        <v>13210765</v>
      </c>
      <c r="J41" s="11">
        <f>SUM(J29:J40)</f>
        <v>865583</v>
      </c>
      <c r="K41" s="11">
        <f>SUM(K29:K40)</f>
        <v>-39258</v>
      </c>
      <c r="L41" s="11">
        <f>SUM(L29:L40)</f>
        <v>14037090</v>
      </c>
      <c r="M41" s="2"/>
    </row>
    <row r="42" spans="1:13" ht="18.7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2"/>
    </row>
    <row r="43" spans="1:13" ht="18.75">
      <c r="A43" s="3" t="s">
        <v>460</v>
      </c>
      <c r="B43" s="4"/>
      <c r="C43" s="3"/>
      <c r="D43" s="4"/>
      <c r="E43" s="4"/>
      <c r="F43" s="4"/>
      <c r="G43" s="4"/>
      <c r="H43" s="4"/>
      <c r="I43" s="11">
        <f>I26-I41</f>
        <v>10035818</v>
      </c>
      <c r="J43" s="11">
        <f t="shared" ref="J43:L43" si="3">J26-J41</f>
        <v>292144</v>
      </c>
      <c r="K43" s="11">
        <f t="shared" si="3"/>
        <v>0</v>
      </c>
      <c r="L43" s="11">
        <f t="shared" si="3"/>
        <v>10327962</v>
      </c>
      <c r="M43" s="2"/>
    </row>
    <row r="44" spans="1:13" ht="18.75">
      <c r="A44" s="3" t="s">
        <v>23</v>
      </c>
      <c r="B44" s="4"/>
      <c r="C44" s="3"/>
      <c r="D44" s="4"/>
      <c r="E44" s="4"/>
      <c r="F44" s="4"/>
      <c r="G44" s="4"/>
      <c r="H44" s="4"/>
      <c r="I44" s="11">
        <f>I11+I43</f>
        <v>11421864</v>
      </c>
      <c r="J44" s="11">
        <f>J11+J43</f>
        <v>1409741</v>
      </c>
      <c r="K44" s="11">
        <f>K11+K43</f>
        <v>-623758</v>
      </c>
      <c r="L44" s="11">
        <f>L11+L43</f>
        <v>12207847</v>
      </c>
      <c r="M44" s="32">
        <f>SUM(M9:M42)</f>
        <v>12207847</v>
      </c>
    </row>
  </sheetData>
  <mergeCells count="3">
    <mergeCell ref="D1:I1"/>
    <mergeCell ref="D2:I2"/>
    <mergeCell ref="D3:I3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M32"/>
  <sheetViews>
    <sheetView topLeftCell="C1" zoomScale="90" zoomScaleNormal="90" workbookViewId="0">
      <selection activeCell="G22" sqref="G22"/>
    </sheetView>
  </sheetViews>
  <sheetFormatPr defaultColWidth="8.85546875" defaultRowHeight="15"/>
  <cols>
    <col min="9" max="9" width="17.5703125" customWidth="1"/>
    <col min="10" max="10" width="14.28515625" bestFit="1" customWidth="1"/>
    <col min="11" max="11" width="13.7109375" bestFit="1" customWidth="1"/>
    <col min="12" max="13" width="20.42578125" customWidth="1"/>
  </cols>
  <sheetData>
    <row r="1" spans="1:13" ht="18.75">
      <c r="A1" s="4"/>
      <c r="B1" s="4"/>
      <c r="C1" s="4"/>
      <c r="D1" s="109" t="s">
        <v>500</v>
      </c>
      <c r="E1" s="109"/>
      <c r="F1" s="109"/>
      <c r="G1" s="109"/>
      <c r="H1" s="109"/>
      <c r="I1" s="109"/>
      <c r="J1" s="4"/>
      <c r="K1" s="4"/>
      <c r="L1" s="4"/>
    </row>
    <row r="2" spans="1:13" ht="18.75">
      <c r="A2" s="4"/>
      <c r="B2" s="4"/>
      <c r="C2" s="4"/>
      <c r="D2" s="109" t="s">
        <v>1</v>
      </c>
      <c r="E2" s="109"/>
      <c r="F2" s="109"/>
      <c r="G2" s="109"/>
      <c r="H2" s="109"/>
      <c r="I2" s="109"/>
      <c r="J2" s="4"/>
      <c r="K2" s="4"/>
      <c r="L2" s="4"/>
    </row>
    <row r="3" spans="1:13" ht="18.75">
      <c r="A3" s="4"/>
      <c r="B3" s="4"/>
      <c r="C3" s="4"/>
      <c r="D3" s="109" t="s">
        <v>2</v>
      </c>
      <c r="E3" s="109"/>
      <c r="F3" s="109"/>
      <c r="G3" s="109"/>
      <c r="H3" s="109"/>
      <c r="I3" s="109"/>
      <c r="J3" s="4"/>
      <c r="K3" s="4"/>
      <c r="L3" s="4"/>
    </row>
    <row r="4" spans="1:13" ht="18.75">
      <c r="A4" s="4"/>
      <c r="B4" s="4"/>
      <c r="C4" s="4"/>
      <c r="D4" s="107"/>
      <c r="E4" s="107"/>
      <c r="F4" s="107"/>
      <c r="G4" s="107"/>
      <c r="H4" s="107"/>
      <c r="I4" s="107"/>
      <c r="J4" s="4"/>
      <c r="K4" s="4"/>
      <c r="L4" s="4"/>
    </row>
    <row r="5" spans="1:13" ht="37.5">
      <c r="A5" s="4"/>
      <c r="B5" s="4"/>
      <c r="C5" s="4"/>
      <c r="D5" s="4"/>
      <c r="E5" s="4"/>
      <c r="F5" s="4"/>
      <c r="G5" s="4"/>
      <c r="H5" s="4"/>
      <c r="I5" s="64" t="s">
        <v>3</v>
      </c>
      <c r="J5" s="64" t="s">
        <v>4</v>
      </c>
      <c r="K5" s="64" t="s">
        <v>5</v>
      </c>
      <c r="L5" s="64" t="s">
        <v>6</v>
      </c>
      <c r="M5" s="64" t="s">
        <v>7</v>
      </c>
    </row>
    <row r="6" spans="1:13" ht="18.75">
      <c r="A6" s="3" t="s">
        <v>8</v>
      </c>
      <c r="B6" s="4"/>
      <c r="C6" s="4"/>
      <c r="D6" s="4"/>
      <c r="E6" s="4"/>
      <c r="F6" s="4"/>
      <c r="G6" s="4"/>
      <c r="H6" s="4"/>
      <c r="I6" s="5"/>
      <c r="J6" s="5"/>
      <c r="K6" s="5"/>
      <c r="L6" s="5"/>
    </row>
    <row r="7" spans="1:13" ht="18.75">
      <c r="A7" s="3" t="s">
        <v>396</v>
      </c>
      <c r="B7" s="3"/>
      <c r="C7" s="3"/>
      <c r="D7" s="3"/>
      <c r="E7" s="3"/>
      <c r="F7" s="3"/>
      <c r="G7" s="4"/>
      <c r="H7" s="4"/>
      <c r="I7" s="4"/>
      <c r="J7" s="4"/>
      <c r="K7" s="4"/>
      <c r="L7" s="4"/>
    </row>
    <row r="8" spans="1:13" ht="18.75">
      <c r="A8" s="3" t="s">
        <v>10</v>
      </c>
      <c r="B8" s="3"/>
      <c r="C8" s="3"/>
      <c r="D8" s="3"/>
      <c r="E8" s="3"/>
      <c r="F8" s="3"/>
      <c r="G8" s="4"/>
      <c r="H8" s="4"/>
      <c r="I8" s="6"/>
      <c r="J8" s="6"/>
      <c r="K8" s="6"/>
      <c r="L8" s="6"/>
    </row>
    <row r="9" spans="1:13" ht="18.75">
      <c r="A9" s="4"/>
      <c r="B9" s="4" t="s">
        <v>11</v>
      </c>
      <c r="C9" s="4"/>
      <c r="D9" s="4"/>
      <c r="E9" s="4"/>
      <c r="F9" s="4"/>
      <c r="G9" s="4"/>
      <c r="H9" s="4"/>
      <c r="I9" s="6">
        <v>1893204</v>
      </c>
      <c r="J9" s="6"/>
      <c r="K9" s="6"/>
      <c r="L9" s="6">
        <f>SUM(I9:K9)</f>
        <v>1893204</v>
      </c>
      <c r="M9" s="32">
        <f>L9</f>
        <v>1893204</v>
      </c>
    </row>
    <row r="10" spans="1:13" ht="18.75">
      <c r="A10" s="4"/>
      <c r="B10" s="4" t="s">
        <v>12</v>
      </c>
      <c r="C10" s="4"/>
      <c r="D10" s="4"/>
      <c r="E10" s="4"/>
      <c r="F10" s="4"/>
      <c r="G10" s="4"/>
      <c r="H10" s="4"/>
      <c r="I10" s="4">
        <v>1097961</v>
      </c>
      <c r="J10" s="4">
        <v>3170613</v>
      </c>
      <c r="K10" s="4">
        <v>-520830</v>
      </c>
      <c r="L10" s="6">
        <f>SUM(I10:K10)</f>
        <v>3747744</v>
      </c>
      <c r="M10" s="32">
        <f>L10</f>
        <v>3747744</v>
      </c>
    </row>
    <row r="11" spans="1:13" ht="18.75">
      <c r="A11" s="3"/>
      <c r="B11" s="3"/>
      <c r="C11" s="3" t="s">
        <v>13</v>
      </c>
      <c r="D11" s="3"/>
      <c r="E11" s="3"/>
      <c r="F11" s="3"/>
      <c r="G11" s="3"/>
      <c r="H11" s="3"/>
      <c r="I11" s="9">
        <f>SUM(I9:I10)</f>
        <v>2991165</v>
      </c>
      <c r="J11" s="9">
        <f>SUM(J9:J10)</f>
        <v>3170613</v>
      </c>
      <c r="K11" s="9">
        <f>SUM(K9:K10)</f>
        <v>-520830</v>
      </c>
      <c r="L11" s="9">
        <f>SUM(L9:L10)</f>
        <v>5640948</v>
      </c>
      <c r="M11" s="2"/>
    </row>
    <row r="12" spans="1:13" ht="18.7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2"/>
    </row>
    <row r="13" spans="1:13" ht="18.75">
      <c r="A13" s="3" t="s">
        <v>400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2"/>
    </row>
    <row r="14" spans="1:13" ht="18.75">
      <c r="A14" s="3"/>
      <c r="B14" s="4" t="s">
        <v>158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2"/>
    </row>
    <row r="15" spans="1:13" ht="18.75">
      <c r="A15" s="4"/>
      <c r="B15" s="4"/>
      <c r="C15" s="4" t="s">
        <v>15</v>
      </c>
      <c r="D15" s="4"/>
      <c r="E15" s="4"/>
      <c r="F15" s="4"/>
      <c r="G15" s="4"/>
      <c r="H15" s="4"/>
      <c r="I15" s="4">
        <v>19335844</v>
      </c>
      <c r="J15" s="6">
        <v>353239</v>
      </c>
      <c r="K15" s="6"/>
      <c r="L15" s="6">
        <f>SUM(I15:K15)</f>
        <v>19689083</v>
      </c>
      <c r="M15" s="2"/>
    </row>
    <row r="16" spans="1:13" ht="18.75">
      <c r="A16" s="4"/>
      <c r="B16" s="4"/>
      <c r="C16" s="4" t="s">
        <v>63</v>
      </c>
      <c r="D16" s="4"/>
      <c r="E16" s="4"/>
      <c r="F16" s="4"/>
      <c r="G16" s="4"/>
      <c r="H16" s="4"/>
      <c r="I16" s="4">
        <v>22976067</v>
      </c>
      <c r="J16" s="6">
        <v>900986</v>
      </c>
      <c r="K16" s="6">
        <v>-127943</v>
      </c>
      <c r="L16" s="6">
        <f>SUM(I16:K16)</f>
        <v>23749110</v>
      </c>
      <c r="M16" s="2"/>
    </row>
    <row r="17" spans="1:13" ht="18.75">
      <c r="A17" s="4"/>
      <c r="B17" s="4" t="s">
        <v>65</v>
      </c>
      <c r="C17" s="4"/>
      <c r="D17" s="4"/>
      <c r="E17" s="4"/>
      <c r="F17" s="4"/>
      <c r="G17" s="4"/>
      <c r="H17" s="4"/>
      <c r="I17" s="4"/>
      <c r="J17" s="6"/>
      <c r="K17" s="6"/>
      <c r="L17" s="6"/>
      <c r="M17" s="2"/>
    </row>
    <row r="18" spans="1:13" ht="18.75">
      <c r="A18" s="4"/>
      <c r="B18" s="4"/>
      <c r="C18" s="4" t="s">
        <v>501</v>
      </c>
      <c r="D18" s="4"/>
      <c r="E18" s="4"/>
      <c r="F18" s="4"/>
      <c r="G18" s="4"/>
      <c r="H18" s="4"/>
      <c r="I18" s="4">
        <v>134347023</v>
      </c>
      <c r="J18" s="6"/>
      <c r="K18" s="6"/>
      <c r="L18" s="6">
        <f>SUM(I18:K18)</f>
        <v>134347023</v>
      </c>
      <c r="M18" s="2"/>
    </row>
    <row r="19" spans="1:13" ht="18.75">
      <c r="A19" s="4"/>
      <c r="B19" s="4"/>
      <c r="C19" s="4" t="s">
        <v>502</v>
      </c>
      <c r="D19" s="4"/>
      <c r="E19" s="4"/>
      <c r="F19" s="4"/>
      <c r="G19" s="4"/>
      <c r="H19" s="4"/>
      <c r="I19" s="4">
        <v>12929700</v>
      </c>
      <c r="J19" s="6">
        <v>1579978</v>
      </c>
      <c r="K19" s="6"/>
      <c r="L19" s="6">
        <f>SUM(I19:K19)</f>
        <v>14509678</v>
      </c>
      <c r="M19" s="2"/>
    </row>
    <row r="20" spans="1:13" ht="18.75">
      <c r="A20" s="4"/>
      <c r="B20" s="4"/>
      <c r="C20" s="3" t="s">
        <v>19</v>
      </c>
      <c r="D20" s="4"/>
      <c r="E20" s="4"/>
      <c r="F20" s="4"/>
      <c r="G20" s="4"/>
      <c r="H20" s="4"/>
      <c r="I20" s="14">
        <f>SUM(I15:I19)</f>
        <v>189588634</v>
      </c>
      <c r="J20" s="14">
        <f>SUM(J15:J19)</f>
        <v>2834203</v>
      </c>
      <c r="K20" s="14">
        <f>SUM(K15:K19)</f>
        <v>-127943</v>
      </c>
      <c r="L20" s="14">
        <f>SUM(L15:L19)</f>
        <v>192294894</v>
      </c>
      <c r="M20" s="2"/>
    </row>
    <row r="21" spans="1:13" ht="18.7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2"/>
    </row>
    <row r="22" spans="1:13" ht="18.75">
      <c r="A22" s="3" t="s">
        <v>401</v>
      </c>
      <c r="B22" s="4"/>
      <c r="C22" s="4"/>
      <c r="D22" s="4"/>
      <c r="E22" s="4"/>
      <c r="F22" s="4"/>
      <c r="G22" s="4"/>
      <c r="H22" s="4"/>
      <c r="I22" s="4"/>
      <c r="J22" s="6"/>
      <c r="K22" s="6"/>
      <c r="L22" s="6"/>
      <c r="M22" s="2"/>
    </row>
    <row r="23" spans="1:13" ht="18.75">
      <c r="A23" s="3"/>
      <c r="B23" s="4" t="s">
        <v>158</v>
      </c>
      <c r="C23" s="4"/>
      <c r="D23" s="4"/>
      <c r="E23" s="4"/>
      <c r="F23" s="4"/>
      <c r="G23" s="4"/>
      <c r="H23" s="4"/>
      <c r="I23" s="4"/>
      <c r="J23" s="6"/>
      <c r="K23" s="6"/>
      <c r="L23" s="6"/>
      <c r="M23" s="2"/>
    </row>
    <row r="24" spans="1:13" ht="18.75">
      <c r="A24" s="4"/>
      <c r="B24" s="4"/>
      <c r="C24" s="4" t="s">
        <v>472</v>
      </c>
      <c r="D24" s="4"/>
      <c r="E24" s="4"/>
      <c r="F24" s="4"/>
      <c r="G24" s="4"/>
      <c r="H24" s="4"/>
      <c r="I24" s="6">
        <v>9813934</v>
      </c>
      <c r="J24" s="6">
        <v>443786</v>
      </c>
      <c r="K24" s="6"/>
      <c r="L24" s="6">
        <f>SUM(I24:K24)</f>
        <v>10257720</v>
      </c>
      <c r="M24" s="32">
        <f>L15-L24</f>
        <v>9431363</v>
      </c>
    </row>
    <row r="25" spans="1:13" ht="18.75">
      <c r="A25" s="4"/>
      <c r="B25" s="4"/>
      <c r="C25" s="4" t="s">
        <v>63</v>
      </c>
      <c r="D25" s="4"/>
      <c r="E25" s="4"/>
      <c r="F25" s="4"/>
      <c r="G25" s="4"/>
      <c r="H25" s="4"/>
      <c r="I25" s="6">
        <v>17295423</v>
      </c>
      <c r="J25" s="6">
        <v>1013835</v>
      </c>
      <c r="K25" s="6">
        <v>-127943</v>
      </c>
      <c r="L25" s="6">
        <f>SUM(I25:K25)</f>
        <v>18181315</v>
      </c>
      <c r="M25" s="32">
        <f>L16-L25</f>
        <v>5567795</v>
      </c>
    </row>
    <row r="26" spans="1:13" ht="18.75">
      <c r="A26" s="4"/>
      <c r="B26" s="4" t="s">
        <v>65</v>
      </c>
      <c r="C26" s="4"/>
      <c r="D26" s="4"/>
      <c r="E26" s="4"/>
      <c r="F26" s="4"/>
      <c r="G26" s="4"/>
      <c r="H26" s="4"/>
      <c r="I26" s="6"/>
      <c r="J26" s="6"/>
      <c r="K26" s="6"/>
      <c r="L26" s="6"/>
      <c r="M26" s="32"/>
    </row>
    <row r="27" spans="1:13" ht="18.75">
      <c r="A27" s="4"/>
      <c r="B27" s="4"/>
      <c r="C27" s="4" t="s">
        <v>501</v>
      </c>
      <c r="D27" s="4"/>
      <c r="E27" s="4"/>
      <c r="F27" s="4"/>
      <c r="G27" s="4"/>
      <c r="H27" s="4"/>
      <c r="I27" s="6">
        <v>79997974</v>
      </c>
      <c r="J27" s="6">
        <v>2751193</v>
      </c>
      <c r="K27" s="6"/>
      <c r="L27" s="6">
        <f>SUM(I27:K27)</f>
        <v>82749167</v>
      </c>
      <c r="M27" s="32">
        <f>L18-L27</f>
        <v>51597856</v>
      </c>
    </row>
    <row r="28" spans="1:13" ht="18.75">
      <c r="A28" s="4"/>
      <c r="B28" s="4"/>
      <c r="C28" s="4" t="s">
        <v>502</v>
      </c>
      <c r="D28" s="4"/>
      <c r="E28" s="4"/>
      <c r="F28" s="4"/>
      <c r="G28" s="4"/>
      <c r="H28" s="4"/>
      <c r="I28" s="6">
        <v>3948292</v>
      </c>
      <c r="J28" s="6">
        <v>299094</v>
      </c>
      <c r="K28" s="6"/>
      <c r="L28" s="6">
        <f>SUM(I28:K28)</f>
        <v>4247386</v>
      </c>
      <c r="M28" s="32">
        <f>L19-L28</f>
        <v>10262292</v>
      </c>
    </row>
    <row r="29" spans="1:13" ht="18.75">
      <c r="A29" s="3"/>
      <c r="B29" s="4"/>
      <c r="C29" s="3" t="s">
        <v>21</v>
      </c>
      <c r="D29" s="4"/>
      <c r="E29" s="4"/>
      <c r="F29" s="4"/>
      <c r="G29" s="4"/>
      <c r="H29" s="4"/>
      <c r="I29" s="11">
        <f>SUM(I24:I28)</f>
        <v>111055623</v>
      </c>
      <c r="J29" s="11">
        <f>SUM(J24:J28)</f>
        <v>4507908</v>
      </c>
      <c r="K29" s="11">
        <f>SUM(K24:K28)</f>
        <v>-127943</v>
      </c>
      <c r="L29" s="11">
        <f>SUM(L24:L28)</f>
        <v>115435588</v>
      </c>
      <c r="M29" s="2"/>
    </row>
    <row r="30" spans="1:13" ht="18.7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2"/>
    </row>
    <row r="31" spans="1:13" ht="18.75">
      <c r="A31" s="3" t="s">
        <v>460</v>
      </c>
      <c r="B31" s="4"/>
      <c r="C31" s="3"/>
      <c r="D31" s="4"/>
      <c r="E31" s="4"/>
      <c r="F31" s="4"/>
      <c r="G31" s="4"/>
      <c r="H31" s="4"/>
      <c r="I31" s="11">
        <f>I20-I29</f>
        <v>78533011</v>
      </c>
      <c r="J31" s="11">
        <f t="shared" ref="J31:L31" si="0">J20-J29</f>
        <v>-1673705</v>
      </c>
      <c r="K31" s="11">
        <f t="shared" si="0"/>
        <v>0</v>
      </c>
      <c r="L31" s="11">
        <f t="shared" si="0"/>
        <v>76859306</v>
      </c>
      <c r="M31" s="2"/>
    </row>
    <row r="32" spans="1:13" ht="18.75">
      <c r="A32" s="3" t="s">
        <v>23</v>
      </c>
      <c r="B32" s="4"/>
      <c r="C32" s="3"/>
      <c r="D32" s="4"/>
      <c r="E32" s="4"/>
      <c r="F32" s="4"/>
      <c r="G32" s="4"/>
      <c r="H32" s="4"/>
      <c r="I32" s="11">
        <f>I11+I31</f>
        <v>81524176</v>
      </c>
      <c r="J32" s="11">
        <f>J11+J31</f>
        <v>1496908</v>
      </c>
      <c r="K32" s="11">
        <f>K11+K31</f>
        <v>-520830</v>
      </c>
      <c r="L32" s="11">
        <f>L11+L31</f>
        <v>82500254</v>
      </c>
      <c r="M32" s="32">
        <f>SUM(M9:M30)</f>
        <v>82500254</v>
      </c>
    </row>
  </sheetData>
  <mergeCells count="3">
    <mergeCell ref="D1:I1"/>
    <mergeCell ref="D2:I2"/>
    <mergeCell ref="D3:I3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C1:K16"/>
  <sheetViews>
    <sheetView topLeftCell="F1" workbookViewId="0">
      <selection activeCell="K15" sqref="K15"/>
    </sheetView>
  </sheetViews>
  <sheetFormatPr defaultColWidth="8.85546875" defaultRowHeight="18.75"/>
  <cols>
    <col min="1" max="1" width="4.42578125" style="4" customWidth="1"/>
    <col min="2" max="2" width="4.7109375" style="4" customWidth="1"/>
    <col min="3" max="3" width="4.140625" style="4" customWidth="1"/>
    <col min="4" max="4" width="31.5703125" style="4" customWidth="1"/>
    <col min="5" max="5" width="21.140625" style="4" bestFit="1" customWidth="1"/>
    <col min="6" max="6" width="21" style="4" customWidth="1"/>
    <col min="7" max="7" width="20.28515625" style="4" customWidth="1"/>
    <col min="8" max="8" width="18.140625" style="4" customWidth="1"/>
    <col min="9" max="9" width="18.42578125" style="4" bestFit="1" customWidth="1"/>
    <col min="10" max="10" width="19.42578125" style="4" customWidth="1"/>
    <col min="11" max="11" width="17.42578125" style="4" bestFit="1" customWidth="1"/>
    <col min="12" max="16384" width="8.85546875" style="4"/>
  </cols>
  <sheetData>
    <row r="1" spans="3:11">
      <c r="D1" s="109" t="s">
        <v>503</v>
      </c>
      <c r="E1" s="109"/>
      <c r="F1" s="109"/>
      <c r="G1" s="109"/>
      <c r="H1" s="109"/>
    </row>
    <row r="2" spans="3:11">
      <c r="D2" s="109" t="s">
        <v>1</v>
      </c>
      <c r="E2" s="109"/>
      <c r="F2" s="109"/>
      <c r="G2" s="109"/>
      <c r="H2" s="109"/>
    </row>
    <row r="3" spans="3:11">
      <c r="D3" s="109" t="s">
        <v>2</v>
      </c>
      <c r="E3" s="109"/>
      <c r="F3" s="109"/>
      <c r="G3" s="109"/>
      <c r="H3" s="109"/>
    </row>
    <row r="4" spans="3:11">
      <c r="D4" s="107"/>
      <c r="E4" s="107"/>
      <c r="F4" s="107"/>
      <c r="G4" s="107"/>
      <c r="H4" s="107"/>
    </row>
    <row r="5" spans="3:11">
      <c r="C5" s="3" t="s">
        <v>173</v>
      </c>
      <c r="D5" s="107"/>
      <c r="E5" s="107"/>
      <c r="F5" s="107"/>
      <c r="G5" s="107"/>
      <c r="H5" s="107"/>
    </row>
    <row r="6" spans="3:11" ht="42.75" customHeight="1">
      <c r="E6" s="18" t="s">
        <v>11</v>
      </c>
      <c r="F6" s="7" t="s">
        <v>15</v>
      </c>
      <c r="G6" s="7" t="s">
        <v>330</v>
      </c>
      <c r="H6" s="7" t="s">
        <v>18</v>
      </c>
      <c r="I6" s="7" t="s">
        <v>504</v>
      </c>
      <c r="J6" s="7" t="s">
        <v>177</v>
      </c>
    </row>
    <row r="7" spans="3:11">
      <c r="C7" s="4" t="s">
        <v>413</v>
      </c>
      <c r="E7" s="41">
        <v>1675227</v>
      </c>
      <c r="F7" s="41">
        <v>12069597</v>
      </c>
      <c r="G7" s="41">
        <v>20039877</v>
      </c>
      <c r="H7" s="41">
        <v>47587680</v>
      </c>
      <c r="I7" s="41">
        <v>1714080</v>
      </c>
      <c r="J7" s="41">
        <f>SUM(E7:I7)</f>
        <v>83086461</v>
      </c>
      <c r="K7" s="41">
        <f>E10</f>
        <v>1695977</v>
      </c>
    </row>
    <row r="8" spans="3:11">
      <c r="D8" s="4" t="s">
        <v>60</v>
      </c>
      <c r="E8" s="41">
        <v>20750</v>
      </c>
      <c r="F8" s="41">
        <v>108196</v>
      </c>
      <c r="G8" s="41">
        <v>1481885</v>
      </c>
      <c r="H8" s="41">
        <v>2579710</v>
      </c>
      <c r="I8" s="41">
        <v>201377</v>
      </c>
      <c r="J8" s="41">
        <f t="shared" ref="J8:J10" si="0">SUM(E8:I8)</f>
        <v>4391918</v>
      </c>
      <c r="K8" s="41"/>
    </row>
    <row r="9" spans="3:11">
      <c r="D9" s="4" t="s">
        <v>61</v>
      </c>
      <c r="E9" s="45"/>
      <c r="F9" s="45">
        <v>0</v>
      </c>
      <c r="G9" s="45">
        <v>-268063</v>
      </c>
      <c r="H9" s="45"/>
      <c r="I9" s="45"/>
      <c r="J9" s="45">
        <f t="shared" si="0"/>
        <v>-268063</v>
      </c>
    </row>
    <row r="10" spans="3:11">
      <c r="C10" s="4" t="s">
        <v>414</v>
      </c>
      <c r="E10" s="45">
        <f>SUM(E7:E9)</f>
        <v>1695977</v>
      </c>
      <c r="F10" s="45">
        <f t="shared" ref="F10:I10" si="1">SUM(F7:F9)</f>
        <v>12177793</v>
      </c>
      <c r="G10" s="45">
        <f t="shared" si="1"/>
        <v>21253699</v>
      </c>
      <c r="H10" s="45">
        <f t="shared" si="1"/>
        <v>50167390</v>
      </c>
      <c r="I10" s="45">
        <f t="shared" si="1"/>
        <v>1915457</v>
      </c>
      <c r="J10" s="45">
        <f t="shared" si="0"/>
        <v>87210316</v>
      </c>
      <c r="K10" s="41">
        <f>F10+F12</f>
        <v>6348922</v>
      </c>
    </row>
    <row r="11" spans="3:11">
      <c r="E11" s="41"/>
      <c r="F11" s="41"/>
      <c r="G11" s="41"/>
      <c r="H11" s="41"/>
      <c r="I11" s="41"/>
      <c r="J11" s="41" t="s">
        <v>180</v>
      </c>
      <c r="K11" s="41">
        <f>G10+G12</f>
        <v>8930284</v>
      </c>
    </row>
    <row r="12" spans="3:11">
      <c r="C12" s="4" t="s">
        <v>97</v>
      </c>
      <c r="E12" s="45">
        <v>0</v>
      </c>
      <c r="F12" s="45">
        <v>-5828871</v>
      </c>
      <c r="G12" s="45">
        <v>-12323415</v>
      </c>
      <c r="H12" s="45">
        <v>-22365353</v>
      </c>
      <c r="I12" s="45">
        <v>-1370623</v>
      </c>
      <c r="J12" s="45">
        <f>SUM(E12:I12)</f>
        <v>-41888262</v>
      </c>
      <c r="K12" s="41">
        <f>H10+H12</f>
        <v>27802037</v>
      </c>
    </row>
    <row r="13" spans="3:11">
      <c r="E13" s="41"/>
      <c r="F13" s="41"/>
      <c r="G13" s="41"/>
      <c r="H13" s="41"/>
      <c r="I13" s="41"/>
      <c r="J13" s="41" t="s">
        <v>180</v>
      </c>
      <c r="K13" s="41">
        <f>I10+I12</f>
        <v>544834</v>
      </c>
    </row>
    <row r="14" spans="3:11">
      <c r="C14" s="4" t="s">
        <v>156</v>
      </c>
      <c r="E14" s="45">
        <f t="shared" ref="E14:J14" si="2">SUM(E12,E10)</f>
        <v>1695977</v>
      </c>
      <c r="F14" s="45">
        <f t="shared" si="2"/>
        <v>6348922</v>
      </c>
      <c r="G14" s="45">
        <f t="shared" si="2"/>
        <v>8930284</v>
      </c>
      <c r="H14" s="45">
        <f t="shared" si="2"/>
        <v>27802037</v>
      </c>
      <c r="I14" s="45">
        <f t="shared" si="2"/>
        <v>544834</v>
      </c>
      <c r="J14" s="45">
        <f t="shared" si="2"/>
        <v>45322054</v>
      </c>
      <c r="K14" s="41">
        <f>SUM(K7:K13)</f>
        <v>45322054</v>
      </c>
    </row>
    <row r="15" spans="3:11" s="55" customFormat="1" ht="21" customHeight="1">
      <c r="C15" s="4"/>
      <c r="E15" s="56"/>
      <c r="F15" s="56"/>
      <c r="G15" s="56"/>
      <c r="H15" s="56"/>
      <c r="I15" s="56"/>
    </row>
    <row r="16" spans="3:11" s="55" customFormat="1" ht="21" customHeight="1">
      <c r="E16" s="56"/>
      <c r="F16" s="56"/>
      <c r="G16" s="56"/>
      <c r="H16" s="56"/>
      <c r="I16" s="56"/>
    </row>
  </sheetData>
  <mergeCells count="3">
    <mergeCell ref="D1:H1"/>
    <mergeCell ref="D2:H2"/>
    <mergeCell ref="D3:H3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M29"/>
  <sheetViews>
    <sheetView zoomScale="80" zoomScaleNormal="80" zoomScalePageLayoutView="80" workbookViewId="0">
      <selection activeCell="M30" sqref="M30"/>
    </sheetView>
  </sheetViews>
  <sheetFormatPr defaultColWidth="8.85546875" defaultRowHeight="15"/>
  <cols>
    <col min="1" max="2" width="4.42578125" customWidth="1"/>
    <col min="3" max="3" width="3.42578125" customWidth="1"/>
    <col min="8" max="8" width="12.140625" customWidth="1"/>
    <col min="9" max="9" width="15.42578125" customWidth="1"/>
    <col min="10" max="10" width="14.28515625" bestFit="1" customWidth="1"/>
    <col min="11" max="11" width="15.28515625" bestFit="1" customWidth="1"/>
    <col min="12" max="12" width="16.42578125" bestFit="1" customWidth="1"/>
    <col min="13" max="13" width="25.42578125" customWidth="1"/>
  </cols>
  <sheetData>
    <row r="1" spans="1:13" ht="18.75">
      <c r="A1" s="4"/>
      <c r="B1" s="4"/>
      <c r="C1" s="4"/>
      <c r="D1" s="109" t="s">
        <v>505</v>
      </c>
      <c r="E1" s="109"/>
      <c r="F1" s="109"/>
      <c r="G1" s="109"/>
      <c r="H1" s="109"/>
      <c r="I1" s="109"/>
      <c r="J1" s="4"/>
      <c r="K1" s="4"/>
      <c r="L1" s="4"/>
    </row>
    <row r="2" spans="1:13" ht="18.75">
      <c r="A2" s="4"/>
      <c r="B2" s="4"/>
      <c r="C2" s="4"/>
      <c r="D2" s="109" t="s">
        <v>1</v>
      </c>
      <c r="E2" s="109"/>
      <c r="F2" s="109"/>
      <c r="G2" s="109"/>
      <c r="H2" s="109"/>
      <c r="I2" s="109"/>
      <c r="J2" s="4"/>
      <c r="K2" s="4"/>
      <c r="L2" s="4"/>
    </row>
    <row r="3" spans="1:13" ht="18.75">
      <c r="A3" s="4"/>
      <c r="B3" s="4"/>
      <c r="C3" s="4"/>
      <c r="D3" s="109" t="s">
        <v>2</v>
      </c>
      <c r="E3" s="109"/>
      <c r="F3" s="109"/>
      <c r="G3" s="109"/>
      <c r="H3" s="109"/>
      <c r="I3" s="109"/>
      <c r="J3" s="4"/>
      <c r="K3" s="4"/>
      <c r="L3" s="4"/>
    </row>
    <row r="4" spans="1:13" ht="18.75">
      <c r="A4" s="4"/>
      <c r="B4" s="4"/>
      <c r="C4" s="4"/>
      <c r="D4" s="107"/>
      <c r="E4" s="107"/>
      <c r="F4" s="107"/>
      <c r="G4" s="107"/>
      <c r="H4" s="107"/>
      <c r="I4" s="107"/>
      <c r="J4" s="4"/>
      <c r="K4" s="4"/>
      <c r="L4" s="4"/>
    </row>
    <row r="5" spans="1:13" ht="37.5">
      <c r="A5" s="4"/>
      <c r="B5" s="4"/>
      <c r="C5" s="4"/>
      <c r="D5" s="4"/>
      <c r="E5" s="4"/>
      <c r="F5" s="4"/>
      <c r="G5" s="4"/>
      <c r="H5" s="4"/>
      <c r="I5" s="64" t="s">
        <v>201</v>
      </c>
      <c r="J5" s="64" t="s">
        <v>4</v>
      </c>
      <c r="K5" s="64" t="s">
        <v>5</v>
      </c>
      <c r="L5" s="64" t="s">
        <v>203</v>
      </c>
      <c r="M5" s="64" t="s">
        <v>7</v>
      </c>
    </row>
    <row r="6" spans="1:13" ht="18.75">
      <c r="A6" s="3" t="s">
        <v>396</v>
      </c>
      <c r="B6" s="3"/>
      <c r="C6" s="3"/>
      <c r="D6" s="3"/>
      <c r="E6" s="3"/>
      <c r="F6" s="3"/>
      <c r="G6" s="4"/>
      <c r="H6" s="4"/>
      <c r="I6" s="4"/>
      <c r="J6" s="4"/>
      <c r="K6" s="4"/>
      <c r="L6" s="4"/>
    </row>
    <row r="7" spans="1:13" ht="18.75">
      <c r="A7" s="3" t="s">
        <v>10</v>
      </c>
      <c r="B7" s="3"/>
      <c r="C7" s="3"/>
      <c r="D7" s="3"/>
      <c r="E7" s="3"/>
      <c r="F7" s="3"/>
      <c r="G7" s="4"/>
      <c r="H7" s="4"/>
      <c r="I7" s="6"/>
      <c r="J7" s="6"/>
      <c r="K7" s="6"/>
      <c r="L7" s="6"/>
    </row>
    <row r="8" spans="1:13" ht="18.75">
      <c r="A8" s="4"/>
      <c r="B8" s="4" t="s">
        <v>11</v>
      </c>
      <c r="C8" s="4"/>
      <c r="D8" s="4"/>
      <c r="E8" s="4"/>
      <c r="F8" s="4"/>
      <c r="G8" s="4"/>
      <c r="H8" s="4"/>
      <c r="I8" s="6">
        <v>2564278</v>
      </c>
      <c r="J8" s="6">
        <v>2115</v>
      </c>
      <c r="K8" s="6">
        <v>-6218</v>
      </c>
      <c r="L8" s="6">
        <v>2560211</v>
      </c>
      <c r="M8" s="70">
        <f>L8</f>
        <v>2560211</v>
      </c>
    </row>
    <row r="9" spans="1:13" ht="18.75">
      <c r="A9" s="4"/>
      <c r="B9" s="4" t="s">
        <v>12</v>
      </c>
      <c r="C9" s="4"/>
      <c r="D9" s="4"/>
      <c r="E9" s="4"/>
      <c r="F9" s="4"/>
      <c r="G9" s="4"/>
      <c r="H9" s="4"/>
      <c r="I9" s="4">
        <v>1713828</v>
      </c>
      <c r="J9" s="4">
        <v>1487132</v>
      </c>
      <c r="K9" s="4">
        <v>-2983575</v>
      </c>
      <c r="L9" s="6">
        <f t="shared" ref="L9" si="0">SUM(I9:K9)</f>
        <v>217385</v>
      </c>
      <c r="M9" s="70">
        <f>L9</f>
        <v>217385</v>
      </c>
    </row>
    <row r="10" spans="1:13" ht="18.75">
      <c r="A10" s="3"/>
      <c r="B10" s="3"/>
      <c r="C10" s="3" t="s">
        <v>382</v>
      </c>
      <c r="D10" s="3"/>
      <c r="E10" s="3"/>
      <c r="F10" s="3"/>
      <c r="G10" s="3"/>
      <c r="H10" s="3"/>
      <c r="I10" s="9">
        <f>SUM(I8:I9)</f>
        <v>4278106</v>
      </c>
      <c r="J10" s="9">
        <v>1489283</v>
      </c>
      <c r="K10" s="9">
        <f>SUM(K8:K9)</f>
        <v>-2989793</v>
      </c>
      <c r="L10" s="9">
        <f>SUM(I10:K10)</f>
        <v>2777596</v>
      </c>
    </row>
    <row r="11" spans="1:13" ht="18.7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3" ht="18.75">
      <c r="A12" s="3" t="s">
        <v>303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3" ht="18.75">
      <c r="A13" s="4"/>
      <c r="B13" s="4" t="s">
        <v>328</v>
      </c>
      <c r="C13" s="3"/>
      <c r="D13" s="4"/>
      <c r="E13" s="4"/>
      <c r="F13" s="4"/>
      <c r="G13" s="4"/>
      <c r="H13" s="4"/>
      <c r="I13" s="4">
        <v>8277578</v>
      </c>
      <c r="J13" s="6">
        <v>2478722</v>
      </c>
      <c r="K13" s="6"/>
      <c r="L13" s="6">
        <f>SUM(I13:K13)</f>
        <v>10756300</v>
      </c>
    </row>
    <row r="14" spans="1:13" ht="18.75">
      <c r="A14" s="4"/>
      <c r="B14" s="4" t="s">
        <v>32</v>
      </c>
      <c r="C14" s="4"/>
      <c r="D14" s="4"/>
      <c r="E14" s="4"/>
      <c r="F14" s="4"/>
      <c r="G14" s="4"/>
      <c r="H14" s="4"/>
      <c r="I14" s="4">
        <v>6379332</v>
      </c>
      <c r="J14" s="6">
        <v>330083</v>
      </c>
      <c r="K14" s="6">
        <v>-93404</v>
      </c>
      <c r="L14" s="6">
        <f t="shared" ref="L14" si="1">SUM(I14:K14)</f>
        <v>6616011</v>
      </c>
    </row>
    <row r="15" spans="1:13" ht="18.75">
      <c r="A15" s="4"/>
      <c r="B15" s="4" t="s">
        <v>219</v>
      </c>
      <c r="C15" s="4"/>
      <c r="D15" s="4"/>
      <c r="E15" s="4"/>
      <c r="F15" s="4"/>
      <c r="G15" s="4"/>
      <c r="H15" s="4"/>
      <c r="I15" s="4">
        <v>1391013</v>
      </c>
      <c r="J15" s="6"/>
      <c r="K15" s="6"/>
      <c r="L15" s="6">
        <f t="shared" ref="L15" si="2">SUM(I15:K15)</f>
        <v>1391013</v>
      </c>
    </row>
    <row r="16" spans="1:13" ht="18.75">
      <c r="A16" s="4"/>
      <c r="B16" s="4" t="s">
        <v>506</v>
      </c>
      <c r="C16" s="4"/>
      <c r="D16" s="4"/>
      <c r="E16" s="4"/>
      <c r="F16" s="4"/>
      <c r="G16" s="4"/>
      <c r="H16" s="4"/>
      <c r="I16" s="4">
        <v>20474168</v>
      </c>
      <c r="J16" s="6">
        <v>514891</v>
      </c>
      <c r="K16" s="6"/>
      <c r="L16" s="6">
        <f t="shared" ref="L16:L18" si="3">SUM(I16:K16)</f>
        <v>20989059</v>
      </c>
    </row>
    <row r="17" spans="1:13" ht="18.75">
      <c r="A17" s="4"/>
      <c r="B17" s="4" t="s">
        <v>507</v>
      </c>
      <c r="C17" s="4"/>
      <c r="D17" s="4"/>
      <c r="E17" s="4"/>
      <c r="F17" s="4"/>
      <c r="G17" s="4"/>
      <c r="H17" s="4"/>
      <c r="I17" s="4">
        <v>6082261</v>
      </c>
      <c r="J17" s="6">
        <v>557801</v>
      </c>
      <c r="K17" s="6">
        <v>-265288</v>
      </c>
      <c r="L17" s="6">
        <f t="shared" si="3"/>
        <v>6374774</v>
      </c>
    </row>
    <row r="18" spans="1:13" ht="18.75">
      <c r="A18" s="4"/>
      <c r="B18" s="4" t="s">
        <v>508</v>
      </c>
      <c r="C18" s="4"/>
      <c r="D18" s="4"/>
      <c r="E18" s="4"/>
      <c r="F18" s="4"/>
      <c r="G18" s="4"/>
      <c r="H18" s="4"/>
      <c r="I18" s="4">
        <v>20520354</v>
      </c>
      <c r="J18" s="6">
        <v>1193074</v>
      </c>
      <c r="K18" s="6">
        <v>-81963</v>
      </c>
      <c r="L18" s="6">
        <f t="shared" si="3"/>
        <v>21631465</v>
      </c>
    </row>
    <row r="19" spans="1:13" ht="18.75">
      <c r="A19" s="3"/>
      <c r="B19" s="4"/>
      <c r="C19" s="3"/>
      <c r="D19" s="3"/>
      <c r="E19" s="4"/>
      <c r="F19" s="4"/>
      <c r="G19" s="4"/>
      <c r="H19" s="4"/>
      <c r="I19" s="14">
        <f>SUM(I13:I18)</f>
        <v>63124706</v>
      </c>
      <c r="J19" s="14">
        <f>SUM(J13:J18)</f>
        <v>5074571</v>
      </c>
      <c r="K19" s="14">
        <f>SUM(K13:K18)</f>
        <v>-440655</v>
      </c>
      <c r="L19" s="14">
        <f>SUM(L13:L18)</f>
        <v>67758622</v>
      </c>
    </row>
    <row r="20" spans="1:13" ht="18.75">
      <c r="A20" s="3" t="s">
        <v>20</v>
      </c>
      <c r="B20" s="4"/>
      <c r="C20" s="4"/>
      <c r="D20" s="4"/>
      <c r="E20" s="4"/>
      <c r="F20" s="4"/>
      <c r="G20" s="4"/>
      <c r="H20" s="4"/>
      <c r="I20" s="4"/>
      <c r="J20" s="6"/>
      <c r="K20" s="6"/>
      <c r="L20" s="6"/>
    </row>
    <row r="21" spans="1:13" ht="18.75">
      <c r="A21" s="4"/>
      <c r="B21" s="4" t="s">
        <v>328</v>
      </c>
      <c r="C21" s="3"/>
      <c r="D21" s="4"/>
      <c r="E21" s="4"/>
      <c r="F21" s="4"/>
      <c r="G21" s="4"/>
      <c r="H21" s="4"/>
      <c r="I21" s="6">
        <v>-4157323</v>
      </c>
      <c r="J21" s="6">
        <v>-249335</v>
      </c>
      <c r="K21" s="6"/>
      <c r="L21" s="6">
        <f>SUM(I21:K21)</f>
        <v>-4406658</v>
      </c>
      <c r="M21" s="70">
        <f t="shared" ref="M21:M26" si="4">L13+L21</f>
        <v>6349642</v>
      </c>
    </row>
    <row r="22" spans="1:13" ht="18.75">
      <c r="A22" s="4"/>
      <c r="B22" s="4" t="s">
        <v>32</v>
      </c>
      <c r="C22" s="4"/>
      <c r="D22" s="4"/>
      <c r="E22" s="4"/>
      <c r="F22" s="4"/>
      <c r="G22" s="4"/>
      <c r="H22" s="4"/>
      <c r="I22" s="6">
        <v>-4766990</v>
      </c>
      <c r="J22" s="6">
        <v>-547189</v>
      </c>
      <c r="K22" s="6">
        <v>93404</v>
      </c>
      <c r="L22" s="6">
        <f t="shared" ref="L22" si="5">SUM(I22:K22)</f>
        <v>-5220775</v>
      </c>
      <c r="M22" s="70">
        <f t="shared" si="4"/>
        <v>1395236</v>
      </c>
    </row>
    <row r="23" spans="1:13" ht="18.75">
      <c r="A23" s="4"/>
      <c r="B23" s="4" t="s">
        <v>219</v>
      </c>
      <c r="C23" s="4"/>
      <c r="D23" s="4"/>
      <c r="E23" s="4"/>
      <c r="F23" s="4"/>
      <c r="G23" s="4"/>
      <c r="H23" s="4"/>
      <c r="I23" s="6">
        <v>-1384660</v>
      </c>
      <c r="J23" s="6">
        <v>-4378</v>
      </c>
      <c r="K23" s="6"/>
      <c r="L23" s="6">
        <f t="shared" ref="L23" si="6">SUM(I23:K23)</f>
        <v>-1389038</v>
      </c>
      <c r="M23" s="70">
        <f t="shared" si="4"/>
        <v>1975</v>
      </c>
    </row>
    <row r="24" spans="1:13" ht="18.75">
      <c r="A24" s="4"/>
      <c r="B24" s="4" t="s">
        <v>506</v>
      </c>
      <c r="C24" s="4"/>
      <c r="D24" s="4"/>
      <c r="E24" s="4"/>
      <c r="F24" s="4"/>
      <c r="G24" s="4"/>
      <c r="H24" s="4"/>
      <c r="I24" s="6">
        <v>-11054195</v>
      </c>
      <c r="J24" s="6">
        <v>-1399271</v>
      </c>
      <c r="K24" s="6"/>
      <c r="L24" s="6">
        <f t="shared" ref="L24:L26" si="7">SUM(I24:K24)</f>
        <v>-12453466</v>
      </c>
      <c r="M24" s="70">
        <f t="shared" si="4"/>
        <v>8535593</v>
      </c>
    </row>
    <row r="25" spans="1:13" ht="18.75">
      <c r="A25" s="4"/>
      <c r="B25" s="4" t="s">
        <v>507</v>
      </c>
      <c r="C25" s="4"/>
      <c r="D25" s="4"/>
      <c r="E25" s="4"/>
      <c r="F25" s="4"/>
      <c r="G25" s="4"/>
      <c r="H25" s="4"/>
      <c r="I25" s="6">
        <v>-2585338</v>
      </c>
      <c r="J25" s="6">
        <v>-62443</v>
      </c>
      <c r="K25" s="6">
        <v>265288</v>
      </c>
      <c r="L25" s="6">
        <f t="shared" si="7"/>
        <v>-2382493</v>
      </c>
      <c r="M25" s="70">
        <f t="shared" si="4"/>
        <v>3992281</v>
      </c>
    </row>
    <row r="26" spans="1:13" ht="18.75">
      <c r="A26" s="4"/>
      <c r="B26" s="4" t="s">
        <v>509</v>
      </c>
      <c r="C26" s="4"/>
      <c r="D26" s="4"/>
      <c r="E26" s="4"/>
      <c r="F26" s="4"/>
      <c r="G26" s="4"/>
      <c r="H26" s="4"/>
      <c r="I26" s="6">
        <v>-5211064</v>
      </c>
      <c r="J26" s="6">
        <v>-385742</v>
      </c>
      <c r="K26" s="6">
        <v>63943</v>
      </c>
      <c r="L26" s="6">
        <f t="shared" si="7"/>
        <v>-5532863</v>
      </c>
      <c r="M26" s="70">
        <f t="shared" si="4"/>
        <v>16098602</v>
      </c>
    </row>
    <row r="27" spans="1:13" ht="18.75">
      <c r="A27" s="3"/>
      <c r="B27" s="4"/>
      <c r="C27" s="3" t="s">
        <v>21</v>
      </c>
      <c r="D27" s="3"/>
      <c r="E27" s="4"/>
      <c r="F27" s="4"/>
      <c r="G27" s="4"/>
      <c r="H27" s="4"/>
      <c r="I27" s="11">
        <f>SUM(I21:I26)</f>
        <v>-29159570</v>
      </c>
      <c r="J27" s="11">
        <f>SUM(J21:J26)</f>
        <v>-2648358</v>
      </c>
      <c r="K27" s="11">
        <f>SUM(K21:K26)</f>
        <v>422635</v>
      </c>
      <c r="L27" s="11">
        <f>SUM(L21:L26)</f>
        <v>-31385293</v>
      </c>
    </row>
    <row r="28" spans="1:13" ht="18.75">
      <c r="A28" s="3"/>
      <c r="B28" s="4"/>
      <c r="C28" s="3" t="s">
        <v>464</v>
      </c>
      <c r="D28" s="4"/>
      <c r="E28" s="4"/>
      <c r="F28" s="4"/>
      <c r="G28" s="4"/>
      <c r="H28" s="4"/>
      <c r="I28" s="11">
        <v>33965136</v>
      </c>
      <c r="J28" s="11">
        <v>2426213</v>
      </c>
      <c r="K28" s="11">
        <v>-18020</v>
      </c>
      <c r="L28" s="11">
        <f>SUM(I28:K28)</f>
        <v>36373329</v>
      </c>
    </row>
    <row r="29" spans="1:13" ht="18.75">
      <c r="A29" s="3"/>
      <c r="B29" s="3" t="s">
        <v>305</v>
      </c>
      <c r="C29" s="3"/>
      <c r="D29" s="4"/>
      <c r="E29" s="4"/>
      <c r="F29" s="4"/>
      <c r="G29" s="4"/>
      <c r="H29" s="4"/>
      <c r="I29" s="11">
        <f>I28+I10</f>
        <v>38243242</v>
      </c>
      <c r="J29" s="11">
        <f>J28+J10</f>
        <v>3915496</v>
      </c>
      <c r="K29" s="11">
        <f>K28+K10</f>
        <v>-3007813</v>
      </c>
      <c r="L29" s="11">
        <f>L28+L10</f>
        <v>39150925</v>
      </c>
      <c r="M29" s="70">
        <f>SUM(M8:M27)</f>
        <v>39150925</v>
      </c>
    </row>
  </sheetData>
  <mergeCells count="3">
    <mergeCell ref="D1:I1"/>
    <mergeCell ref="D2:I2"/>
    <mergeCell ref="D3:I3"/>
  </mergeCells>
  <phoneticPr fontId="15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M28"/>
  <sheetViews>
    <sheetView topLeftCell="E1" workbookViewId="0">
      <selection activeCell="E27" sqref="E27"/>
    </sheetView>
  </sheetViews>
  <sheetFormatPr defaultColWidth="8.85546875" defaultRowHeight="15"/>
  <cols>
    <col min="9" max="9" width="17.5703125" customWidth="1"/>
    <col min="10" max="10" width="14.28515625" bestFit="1" customWidth="1"/>
    <col min="11" max="11" width="13.7109375" bestFit="1" customWidth="1"/>
    <col min="12" max="13" width="20.42578125" customWidth="1"/>
  </cols>
  <sheetData>
    <row r="1" spans="1:13" ht="18.75">
      <c r="A1" s="4"/>
      <c r="B1" s="4"/>
      <c r="C1" s="4"/>
      <c r="D1" s="109" t="s">
        <v>510</v>
      </c>
      <c r="E1" s="109"/>
      <c r="F1" s="109"/>
      <c r="G1" s="109"/>
      <c r="H1" s="109"/>
      <c r="I1" s="109"/>
      <c r="J1" s="4"/>
      <c r="K1" s="4"/>
      <c r="L1" s="4"/>
    </row>
    <row r="2" spans="1:13" ht="18.75">
      <c r="A2" s="4"/>
      <c r="B2" s="4"/>
      <c r="C2" s="4"/>
      <c r="D2" s="109" t="s">
        <v>1</v>
      </c>
      <c r="E2" s="109"/>
      <c r="F2" s="109"/>
      <c r="G2" s="109"/>
      <c r="H2" s="109"/>
      <c r="I2" s="109"/>
      <c r="J2" s="4"/>
      <c r="K2" s="4"/>
      <c r="L2" s="4"/>
    </row>
    <row r="3" spans="1:13" ht="18.75">
      <c r="A3" s="4"/>
      <c r="B3" s="4"/>
      <c r="C3" s="4"/>
      <c r="D3" s="109" t="s">
        <v>2</v>
      </c>
      <c r="E3" s="109"/>
      <c r="F3" s="109"/>
      <c r="G3" s="109"/>
      <c r="H3" s="109"/>
      <c r="I3" s="109"/>
      <c r="J3" s="4"/>
      <c r="K3" s="4"/>
      <c r="L3" s="4"/>
    </row>
    <row r="4" spans="1:13" ht="18.75">
      <c r="A4" s="4"/>
      <c r="B4" s="4"/>
      <c r="C4" s="4"/>
      <c r="D4" s="107"/>
      <c r="E4" s="107"/>
      <c r="F4" s="107"/>
      <c r="G4" s="107"/>
      <c r="H4" s="107"/>
      <c r="I4" s="107"/>
      <c r="J4" s="4"/>
      <c r="K4" s="4"/>
      <c r="L4" s="4"/>
    </row>
    <row r="5" spans="1:13" ht="37.5">
      <c r="A5" s="4"/>
      <c r="B5" s="4"/>
      <c r="C5" s="4"/>
      <c r="D5" s="4"/>
      <c r="E5" s="4"/>
      <c r="F5" s="4"/>
      <c r="G5" s="4"/>
      <c r="H5" s="4"/>
      <c r="I5" s="64" t="s">
        <v>3</v>
      </c>
      <c r="J5" s="64" t="s">
        <v>4</v>
      </c>
      <c r="K5" s="64" t="s">
        <v>5</v>
      </c>
      <c r="L5" s="64" t="s">
        <v>6</v>
      </c>
      <c r="M5" s="64" t="s">
        <v>7</v>
      </c>
    </row>
    <row r="6" spans="1:13" ht="18.75">
      <c r="A6" s="3" t="s">
        <v>8</v>
      </c>
      <c r="B6" s="4"/>
      <c r="C6" s="4"/>
      <c r="D6" s="4"/>
      <c r="E6" s="4"/>
      <c r="F6" s="4"/>
      <c r="G6" s="4"/>
      <c r="H6" s="4"/>
      <c r="I6" s="5"/>
      <c r="J6" s="5"/>
      <c r="K6" s="5"/>
      <c r="L6" s="5"/>
    </row>
    <row r="7" spans="1:13" ht="18.75">
      <c r="A7" s="3" t="s">
        <v>396</v>
      </c>
      <c r="B7" s="3"/>
      <c r="C7" s="3"/>
      <c r="D7" s="3"/>
      <c r="E7" s="3"/>
      <c r="F7" s="3"/>
      <c r="G7" s="4"/>
      <c r="H7" s="4"/>
      <c r="I7" s="4"/>
      <c r="J7" s="4"/>
      <c r="K7" s="4"/>
      <c r="L7" s="4"/>
    </row>
    <row r="8" spans="1:13" ht="18.75">
      <c r="A8" s="3" t="s">
        <v>10</v>
      </c>
      <c r="B8" s="3"/>
      <c r="C8" s="3"/>
      <c r="D8" s="3"/>
      <c r="E8" s="3"/>
      <c r="F8" s="3"/>
      <c r="G8" s="4"/>
      <c r="H8" s="4"/>
      <c r="I8" s="6"/>
      <c r="J8" s="6"/>
      <c r="K8" s="6"/>
      <c r="L8" s="6"/>
    </row>
    <row r="9" spans="1:13" ht="18.75">
      <c r="A9" s="4"/>
      <c r="B9" s="4" t="s">
        <v>11</v>
      </c>
      <c r="C9" s="4"/>
      <c r="D9" s="4"/>
      <c r="E9" s="4"/>
      <c r="F9" s="4"/>
      <c r="G9" s="4"/>
      <c r="H9" s="4"/>
      <c r="I9" s="6">
        <v>1212782</v>
      </c>
      <c r="J9" s="6"/>
      <c r="K9" s="6"/>
      <c r="L9" s="6">
        <f>SUM(I9:K9)</f>
        <v>1212782</v>
      </c>
      <c r="M9" s="32">
        <f>L9</f>
        <v>1212782</v>
      </c>
    </row>
    <row r="10" spans="1:13" ht="18.75">
      <c r="A10" s="4"/>
      <c r="B10" s="4" t="s">
        <v>12</v>
      </c>
      <c r="C10" s="4"/>
      <c r="D10" s="4"/>
      <c r="E10" s="4"/>
      <c r="F10" s="4"/>
      <c r="G10" s="4"/>
      <c r="H10" s="4"/>
      <c r="I10" s="4">
        <v>289626</v>
      </c>
      <c r="J10" s="4">
        <v>150946</v>
      </c>
      <c r="K10" s="4">
        <v>-440572</v>
      </c>
      <c r="L10" s="6">
        <f>SUM(I10:K10)</f>
        <v>0</v>
      </c>
      <c r="M10" s="32">
        <f>L10</f>
        <v>0</v>
      </c>
    </row>
    <row r="11" spans="1:13" ht="18.75">
      <c r="A11" s="3"/>
      <c r="B11" s="3"/>
      <c r="C11" s="3" t="s">
        <v>13</v>
      </c>
      <c r="D11" s="3"/>
      <c r="E11" s="3"/>
      <c r="F11" s="3"/>
      <c r="G11" s="3"/>
      <c r="H11" s="3"/>
      <c r="I11" s="9">
        <f>SUM(I9:I10)</f>
        <v>1502408</v>
      </c>
      <c r="J11" s="9">
        <f>SUM(J9:J10)</f>
        <v>150946</v>
      </c>
      <c r="K11" s="9">
        <f>SUM(K9:K10)</f>
        <v>-440572</v>
      </c>
      <c r="L11" s="9">
        <f>SUM(L9:L10)</f>
        <v>1212782</v>
      </c>
      <c r="M11" s="2"/>
    </row>
    <row r="12" spans="1:13" ht="18.7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2"/>
    </row>
    <row r="13" spans="1:13" ht="18.75">
      <c r="A13" s="3" t="s">
        <v>400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2"/>
    </row>
    <row r="14" spans="1:13" ht="18.75">
      <c r="A14" s="4"/>
      <c r="B14" s="4" t="s">
        <v>15</v>
      </c>
      <c r="C14" s="4"/>
      <c r="D14" s="4"/>
      <c r="E14" s="4"/>
      <c r="F14" s="4"/>
      <c r="G14" s="4"/>
      <c r="H14" s="4"/>
      <c r="I14" s="4">
        <v>12611558</v>
      </c>
      <c r="J14" s="6">
        <v>248372</v>
      </c>
      <c r="K14" s="6"/>
      <c r="L14" s="6">
        <f>SUM(I14:K14)</f>
        <v>12859930</v>
      </c>
      <c r="M14" s="2"/>
    </row>
    <row r="15" spans="1:13" ht="18.75">
      <c r="A15" s="4"/>
      <c r="B15" s="4" t="s">
        <v>18</v>
      </c>
      <c r="C15" s="4"/>
      <c r="D15" s="4"/>
      <c r="E15" s="4"/>
      <c r="F15" s="4"/>
      <c r="G15" s="4"/>
      <c r="H15" s="4"/>
      <c r="I15" s="4">
        <v>1584244</v>
      </c>
      <c r="J15" s="6">
        <v>395216</v>
      </c>
      <c r="K15" s="6"/>
      <c r="L15" s="6">
        <f>SUM(I15:K15)</f>
        <v>1979460</v>
      </c>
      <c r="M15" s="2"/>
    </row>
    <row r="16" spans="1:13" ht="18.75">
      <c r="A16" s="4"/>
      <c r="B16" s="4" t="s">
        <v>69</v>
      </c>
      <c r="C16" s="4"/>
      <c r="D16" s="4"/>
      <c r="E16" s="4"/>
      <c r="F16" s="4"/>
      <c r="G16" s="4"/>
      <c r="H16" s="4"/>
      <c r="I16" s="4">
        <v>5565228</v>
      </c>
      <c r="J16" s="6">
        <v>341291</v>
      </c>
      <c r="K16" s="6">
        <v>-52530</v>
      </c>
      <c r="L16" s="6">
        <f>SUM(I16:K16)</f>
        <v>5853989</v>
      </c>
      <c r="M16" s="2"/>
    </row>
    <row r="17" spans="1:13" ht="18.75">
      <c r="A17" s="4"/>
      <c r="B17" s="4" t="s">
        <v>423</v>
      </c>
      <c r="C17" s="4"/>
      <c r="D17" s="4"/>
      <c r="E17" s="4"/>
      <c r="F17" s="4"/>
      <c r="G17" s="4"/>
      <c r="H17" s="4"/>
      <c r="I17" s="4">
        <v>1337120</v>
      </c>
      <c r="J17" s="6">
        <v>295116</v>
      </c>
      <c r="K17" s="6">
        <v>-203418</v>
      </c>
      <c r="L17" s="6">
        <f>SUM(I17:K17)</f>
        <v>1428818</v>
      </c>
      <c r="M17" s="2"/>
    </row>
    <row r="18" spans="1:13" ht="18.75">
      <c r="A18" s="4"/>
      <c r="B18" s="4"/>
      <c r="C18" s="3" t="s">
        <v>19</v>
      </c>
      <c r="D18" s="4"/>
      <c r="E18" s="4"/>
      <c r="F18" s="4"/>
      <c r="G18" s="4"/>
      <c r="H18" s="4"/>
      <c r="I18" s="14">
        <f>SUM(I14:I17)</f>
        <v>21098150</v>
      </c>
      <c r="J18" s="14">
        <f>SUM(J14:J17)</f>
        <v>1279995</v>
      </c>
      <c r="K18" s="14">
        <f>SUM(K14:K17)</f>
        <v>-255948</v>
      </c>
      <c r="L18" s="14">
        <f>SUM(L14:L17)</f>
        <v>22122197</v>
      </c>
      <c r="M18" s="2"/>
    </row>
    <row r="19" spans="1:13" ht="18.7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2"/>
    </row>
    <row r="20" spans="1:13" ht="18.75">
      <c r="A20" s="3" t="s">
        <v>401</v>
      </c>
      <c r="B20" s="4"/>
      <c r="C20" s="4"/>
      <c r="D20" s="4"/>
      <c r="E20" s="4"/>
      <c r="F20" s="4"/>
      <c r="G20" s="4"/>
      <c r="H20" s="4"/>
      <c r="I20" s="4"/>
      <c r="J20" s="6"/>
      <c r="K20" s="6"/>
      <c r="L20" s="6"/>
      <c r="M20" s="2"/>
    </row>
    <row r="21" spans="1:13" ht="18.75">
      <c r="A21" s="4"/>
      <c r="B21" s="4" t="s">
        <v>15</v>
      </c>
      <c r="C21" s="4"/>
      <c r="D21" s="4"/>
      <c r="E21" s="4"/>
      <c r="F21" s="4"/>
      <c r="G21" s="4"/>
      <c r="H21" s="4"/>
      <c r="I21" s="6">
        <v>5629646</v>
      </c>
      <c r="J21" s="6">
        <v>337570</v>
      </c>
      <c r="K21" s="6"/>
      <c r="L21" s="6">
        <f>SUM(I21:K21)</f>
        <v>5967216</v>
      </c>
      <c r="M21" s="32">
        <f>L14-L21</f>
        <v>6892714</v>
      </c>
    </row>
    <row r="22" spans="1:13" ht="18.75">
      <c r="A22" s="4"/>
      <c r="B22" s="4" t="s">
        <v>18</v>
      </c>
      <c r="C22" s="4"/>
      <c r="D22" s="4"/>
      <c r="E22" s="4"/>
      <c r="F22" s="4"/>
      <c r="G22" s="4"/>
      <c r="H22" s="4"/>
      <c r="I22" s="6">
        <v>173982</v>
      </c>
      <c r="J22" s="6">
        <v>43426</v>
      </c>
      <c r="K22" s="6"/>
      <c r="L22" s="6">
        <f>SUM(I22:K22)</f>
        <v>217408</v>
      </c>
      <c r="M22" s="32">
        <f>L15-L22</f>
        <v>1762052</v>
      </c>
    </row>
    <row r="23" spans="1:13" ht="18.75">
      <c r="A23" s="4"/>
      <c r="B23" s="4" t="s">
        <v>69</v>
      </c>
      <c r="C23" s="4"/>
      <c r="D23" s="4"/>
      <c r="E23" s="4"/>
      <c r="F23" s="4"/>
      <c r="G23" s="4"/>
      <c r="H23" s="4"/>
      <c r="I23" s="6">
        <v>4752941</v>
      </c>
      <c r="J23" s="6">
        <v>228922</v>
      </c>
      <c r="K23" s="6">
        <v>-51099</v>
      </c>
      <c r="L23" s="6">
        <f>SUM(I23:K23)</f>
        <v>4930764</v>
      </c>
      <c r="M23" s="32">
        <f>L16-L23</f>
        <v>923225</v>
      </c>
    </row>
    <row r="24" spans="1:13" ht="18.75">
      <c r="A24" s="4"/>
      <c r="B24" s="4" t="s">
        <v>423</v>
      </c>
      <c r="C24" s="4"/>
      <c r="D24" s="4"/>
      <c r="E24" s="4"/>
      <c r="F24" s="4"/>
      <c r="G24" s="4"/>
      <c r="H24" s="4"/>
      <c r="I24" s="6">
        <v>638890</v>
      </c>
      <c r="J24" s="6">
        <v>251021</v>
      </c>
      <c r="K24" s="6">
        <v>-201798</v>
      </c>
      <c r="L24" s="6">
        <f>SUM(I24:K24)</f>
        <v>688113</v>
      </c>
      <c r="M24" s="32">
        <f>L17-L24</f>
        <v>740705</v>
      </c>
    </row>
    <row r="25" spans="1:13" ht="18.75">
      <c r="A25" s="3"/>
      <c r="B25" s="4"/>
      <c r="C25" s="3" t="s">
        <v>21</v>
      </c>
      <c r="D25" s="4"/>
      <c r="E25" s="4"/>
      <c r="F25" s="4"/>
      <c r="G25" s="4"/>
      <c r="H25" s="4"/>
      <c r="I25" s="11">
        <f>SUM(I21:I24)</f>
        <v>11195459</v>
      </c>
      <c r="J25" s="11">
        <f>SUM(J21:J24)</f>
        <v>860939</v>
      </c>
      <c r="K25" s="11">
        <f>SUM(K21:K24)</f>
        <v>-252897</v>
      </c>
      <c r="L25" s="11">
        <f>SUM(L21:L24)</f>
        <v>11803501</v>
      </c>
      <c r="M25" s="2"/>
    </row>
    <row r="26" spans="1:13" ht="18.7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2"/>
    </row>
    <row r="27" spans="1:13" ht="18.75">
      <c r="A27" s="3" t="s">
        <v>460</v>
      </c>
      <c r="B27" s="4"/>
      <c r="C27" s="3"/>
      <c r="D27" s="4"/>
      <c r="E27" s="4"/>
      <c r="F27" s="4"/>
      <c r="G27" s="4"/>
      <c r="H27" s="4"/>
      <c r="I27" s="11">
        <f>I18-I25</f>
        <v>9902691</v>
      </c>
      <c r="J27" s="11">
        <f>J18-J25</f>
        <v>419056</v>
      </c>
      <c r="K27" s="11">
        <f>K18-K25</f>
        <v>-3051</v>
      </c>
      <c r="L27" s="11">
        <f>L18-L25</f>
        <v>10318696</v>
      </c>
      <c r="M27" s="2"/>
    </row>
    <row r="28" spans="1:13" ht="18.75">
      <c r="A28" s="3" t="s">
        <v>23</v>
      </c>
      <c r="B28" s="4"/>
      <c r="C28" s="3"/>
      <c r="D28" s="4"/>
      <c r="E28" s="4"/>
      <c r="F28" s="4"/>
      <c r="G28" s="4"/>
      <c r="H28" s="4"/>
      <c r="I28" s="11">
        <f>I11+I27</f>
        <v>11405099</v>
      </c>
      <c r="J28" s="11">
        <f>J11+J27</f>
        <v>570002</v>
      </c>
      <c r="K28" s="11">
        <f>K11+K27</f>
        <v>-443623</v>
      </c>
      <c r="L28" s="11">
        <f>L11+L27</f>
        <v>11531478</v>
      </c>
      <c r="M28" s="32">
        <f>SUM(M9:M26)</f>
        <v>11531478</v>
      </c>
    </row>
  </sheetData>
  <mergeCells count="3">
    <mergeCell ref="D1:I1"/>
    <mergeCell ref="D2:I2"/>
    <mergeCell ref="D3:I3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M26"/>
  <sheetViews>
    <sheetView topLeftCell="F4" workbookViewId="0">
      <selection activeCell="M23" sqref="M23"/>
    </sheetView>
  </sheetViews>
  <sheetFormatPr defaultColWidth="8.85546875" defaultRowHeight="15"/>
  <cols>
    <col min="9" max="9" width="17.5703125" customWidth="1"/>
    <col min="10" max="10" width="14.28515625" bestFit="1" customWidth="1"/>
    <col min="11" max="11" width="13.7109375" bestFit="1" customWidth="1"/>
    <col min="12" max="13" width="20.42578125" customWidth="1"/>
  </cols>
  <sheetData>
    <row r="1" spans="1:13" ht="18.75">
      <c r="A1" s="4"/>
      <c r="B1" s="4"/>
      <c r="C1" s="4"/>
      <c r="D1" s="109" t="s">
        <v>511</v>
      </c>
      <c r="E1" s="109"/>
      <c r="F1" s="109"/>
      <c r="G1" s="109"/>
      <c r="H1" s="109"/>
      <c r="I1" s="109"/>
      <c r="J1" s="4"/>
      <c r="K1" s="4"/>
      <c r="L1" s="4"/>
    </row>
    <row r="2" spans="1:13" ht="18.75">
      <c r="A2" s="4"/>
      <c r="B2" s="4"/>
      <c r="C2" s="4"/>
      <c r="D2" s="109" t="s">
        <v>1</v>
      </c>
      <c r="E2" s="109"/>
      <c r="F2" s="109"/>
      <c r="G2" s="109"/>
      <c r="H2" s="109"/>
      <c r="I2" s="109"/>
      <c r="J2" s="4"/>
      <c r="K2" s="4"/>
      <c r="L2" s="4"/>
    </row>
    <row r="3" spans="1:13" ht="18.75">
      <c r="A3" s="4"/>
      <c r="B3" s="4"/>
      <c r="C3" s="4"/>
      <c r="D3" s="109" t="s">
        <v>2</v>
      </c>
      <c r="E3" s="109"/>
      <c r="F3" s="109"/>
      <c r="G3" s="109"/>
      <c r="H3" s="109"/>
      <c r="I3" s="109"/>
      <c r="J3" s="4"/>
      <c r="K3" s="4"/>
      <c r="L3" s="4"/>
    </row>
    <row r="4" spans="1:13" ht="18.75">
      <c r="A4" s="4"/>
      <c r="B4" s="4"/>
      <c r="C4" s="4"/>
      <c r="D4" s="107"/>
      <c r="E4" s="107"/>
      <c r="F4" s="107"/>
      <c r="G4" s="107"/>
      <c r="H4" s="107"/>
      <c r="I4" s="107"/>
      <c r="J4" s="4"/>
      <c r="K4" s="4"/>
      <c r="L4" s="4"/>
    </row>
    <row r="5" spans="1:13" ht="37.5">
      <c r="A5" s="4"/>
      <c r="B5" s="4"/>
      <c r="C5" s="4"/>
      <c r="D5" s="4"/>
      <c r="E5" s="4"/>
      <c r="F5" s="4"/>
      <c r="G5" s="4"/>
      <c r="H5" s="4"/>
      <c r="I5" s="64" t="s">
        <v>3</v>
      </c>
      <c r="J5" s="64" t="s">
        <v>4</v>
      </c>
      <c r="K5" s="64" t="s">
        <v>5</v>
      </c>
      <c r="L5" s="64" t="s">
        <v>6</v>
      </c>
      <c r="M5" s="64" t="s">
        <v>7</v>
      </c>
    </row>
    <row r="6" spans="1:13" ht="18.75">
      <c r="A6" s="3" t="s">
        <v>8</v>
      </c>
      <c r="B6" s="4"/>
      <c r="C6" s="4"/>
      <c r="D6" s="4"/>
      <c r="E6" s="4"/>
      <c r="F6" s="4"/>
      <c r="G6" s="4"/>
      <c r="H6" s="4"/>
      <c r="I6" s="5"/>
      <c r="J6" s="5"/>
      <c r="K6" s="5"/>
      <c r="L6" s="5"/>
    </row>
    <row r="7" spans="1:13" ht="18.75">
      <c r="A7" s="3" t="s">
        <v>396</v>
      </c>
      <c r="B7" s="3"/>
      <c r="C7" s="3"/>
      <c r="D7" s="3"/>
      <c r="E7" s="3"/>
      <c r="F7" s="3"/>
      <c r="G7" s="4"/>
      <c r="H7" s="4"/>
      <c r="I7" s="4"/>
      <c r="J7" s="4"/>
      <c r="K7" s="4"/>
      <c r="L7" s="4"/>
    </row>
    <row r="8" spans="1:13" ht="18.75">
      <c r="A8" s="3" t="s">
        <v>10</v>
      </c>
      <c r="B8" s="3"/>
      <c r="C8" s="3"/>
      <c r="D8" s="3"/>
      <c r="E8" s="3"/>
      <c r="F8" s="3"/>
      <c r="G8" s="4"/>
      <c r="H8" s="4"/>
      <c r="I8" s="6"/>
      <c r="J8" s="6"/>
      <c r="K8" s="6"/>
      <c r="L8" s="6"/>
    </row>
    <row r="9" spans="1:13" ht="18.75">
      <c r="A9" s="4"/>
      <c r="B9" s="4" t="s">
        <v>11</v>
      </c>
      <c r="C9" s="4"/>
      <c r="D9" s="4"/>
      <c r="E9" s="4"/>
      <c r="F9" s="4"/>
      <c r="G9" s="4"/>
      <c r="H9" s="4"/>
      <c r="I9" s="6">
        <v>1760826</v>
      </c>
      <c r="J9" s="6"/>
      <c r="K9" s="6"/>
      <c r="L9" s="6">
        <f>SUM(I9:K9)</f>
        <v>1760826</v>
      </c>
      <c r="M9" s="32">
        <f>L9</f>
        <v>1760826</v>
      </c>
    </row>
    <row r="10" spans="1:13" ht="18.75">
      <c r="A10" s="4"/>
      <c r="B10" s="4" t="s">
        <v>12</v>
      </c>
      <c r="C10" s="4"/>
      <c r="D10" s="4"/>
      <c r="E10" s="4"/>
      <c r="F10" s="4"/>
      <c r="G10" s="4"/>
      <c r="H10" s="4"/>
      <c r="I10" s="4">
        <v>1959050</v>
      </c>
      <c r="J10" s="4">
        <v>1994280</v>
      </c>
      <c r="K10" s="4">
        <v>-2693327</v>
      </c>
      <c r="L10" s="6">
        <f>SUM(I10:K10)</f>
        <v>1260003</v>
      </c>
      <c r="M10" s="32">
        <f>L10</f>
        <v>1260003</v>
      </c>
    </row>
    <row r="11" spans="1:13" ht="18.75">
      <c r="A11" s="3"/>
      <c r="B11" s="3"/>
      <c r="C11" s="3" t="s">
        <v>13</v>
      </c>
      <c r="D11" s="3"/>
      <c r="E11" s="3"/>
      <c r="F11" s="3"/>
      <c r="G11" s="3"/>
      <c r="H11" s="3"/>
      <c r="I11" s="9">
        <f>SUM(I9:I10)</f>
        <v>3719876</v>
      </c>
      <c r="J11" s="9">
        <f>SUM(J9:J10)</f>
        <v>1994280</v>
      </c>
      <c r="K11" s="9">
        <f>SUM(K9:K10)</f>
        <v>-2693327</v>
      </c>
      <c r="L11" s="9">
        <f>SUM(L9:L10)</f>
        <v>3020829</v>
      </c>
      <c r="M11" s="2"/>
    </row>
    <row r="12" spans="1:13" ht="18.7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2"/>
    </row>
    <row r="13" spans="1:13" ht="18.75">
      <c r="A13" s="3" t="s">
        <v>400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2"/>
    </row>
    <row r="14" spans="1:13" ht="18.75">
      <c r="A14" s="4"/>
      <c r="B14" s="4" t="s">
        <v>27</v>
      </c>
      <c r="C14" s="4"/>
      <c r="D14" s="4"/>
      <c r="E14" s="4"/>
      <c r="F14" s="4"/>
      <c r="G14" s="4"/>
      <c r="H14" s="4"/>
      <c r="I14" s="4">
        <v>37244357</v>
      </c>
      <c r="J14" s="6">
        <v>1047396</v>
      </c>
      <c r="K14" s="6"/>
      <c r="L14" s="6">
        <f>SUM(I14:K14)</f>
        <v>38291753</v>
      </c>
      <c r="M14" s="2"/>
    </row>
    <row r="15" spans="1:13" ht="18.75">
      <c r="A15" s="4"/>
      <c r="B15" s="4" t="s">
        <v>32</v>
      </c>
      <c r="C15" s="4"/>
      <c r="D15" s="4"/>
      <c r="E15" s="4"/>
      <c r="F15" s="4"/>
      <c r="G15" s="4"/>
      <c r="H15" s="4"/>
      <c r="I15" s="4">
        <v>11925734</v>
      </c>
      <c r="J15" s="6">
        <v>1078188</v>
      </c>
      <c r="K15" s="6">
        <v>-294821</v>
      </c>
      <c r="L15" s="6">
        <f>SUM(I15:K15)</f>
        <v>12709101</v>
      </c>
      <c r="M15" s="2"/>
    </row>
    <row r="16" spans="1:13" ht="18.75">
      <c r="A16" s="4"/>
      <c r="B16" s="4" t="s">
        <v>18</v>
      </c>
      <c r="C16" s="4"/>
      <c r="D16" s="4"/>
      <c r="E16" s="4"/>
      <c r="F16" s="4"/>
      <c r="G16" s="4"/>
      <c r="H16" s="4"/>
      <c r="I16" s="4">
        <v>36226354</v>
      </c>
      <c r="J16" s="6">
        <v>2480682</v>
      </c>
      <c r="K16" s="6"/>
      <c r="L16" s="6">
        <f>SUM(I16:K16)</f>
        <v>38707036</v>
      </c>
      <c r="M16" s="2"/>
    </row>
    <row r="17" spans="1:13" ht="18.75">
      <c r="A17" s="4"/>
      <c r="B17" s="4"/>
      <c r="C17" s="3" t="s">
        <v>19</v>
      </c>
      <c r="D17" s="4"/>
      <c r="E17" s="4"/>
      <c r="F17" s="4"/>
      <c r="G17" s="4"/>
      <c r="H17" s="4"/>
      <c r="I17" s="14">
        <f>SUM(I14:I16)</f>
        <v>85396445</v>
      </c>
      <c r="J17" s="14">
        <f>SUM(J14:J16)</f>
        <v>4606266</v>
      </c>
      <c r="K17" s="14">
        <f>SUM(K14:K16)</f>
        <v>-294821</v>
      </c>
      <c r="L17" s="14">
        <f>SUM(L14:L16)</f>
        <v>89707890</v>
      </c>
      <c r="M17" s="2"/>
    </row>
    <row r="18" spans="1:13" ht="18.7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2"/>
    </row>
    <row r="19" spans="1:13" ht="18.75">
      <c r="A19" s="3" t="s">
        <v>401</v>
      </c>
      <c r="B19" s="4"/>
      <c r="C19" s="4"/>
      <c r="D19" s="4"/>
      <c r="E19" s="4"/>
      <c r="F19" s="4"/>
      <c r="G19" s="4"/>
      <c r="H19" s="4"/>
      <c r="I19" s="4"/>
      <c r="J19" s="6"/>
      <c r="K19" s="6"/>
      <c r="L19" s="6"/>
      <c r="M19" s="2"/>
    </row>
    <row r="20" spans="1:13" ht="18.75">
      <c r="A20" s="4"/>
      <c r="B20" s="4" t="s">
        <v>27</v>
      </c>
      <c r="C20" s="4"/>
      <c r="D20" s="4"/>
      <c r="E20" s="4"/>
      <c r="F20" s="4"/>
      <c r="G20" s="4"/>
      <c r="H20" s="4"/>
      <c r="I20" s="6">
        <v>-12065166</v>
      </c>
      <c r="J20" s="6">
        <v>-888612</v>
      </c>
      <c r="K20" s="6"/>
      <c r="L20" s="6">
        <f>SUM(I20:K20)</f>
        <v>-12953778</v>
      </c>
      <c r="M20" s="32">
        <f>L14+L20</f>
        <v>25337975</v>
      </c>
    </row>
    <row r="21" spans="1:13" ht="18.75">
      <c r="A21" s="4"/>
      <c r="B21" s="4" t="s">
        <v>32</v>
      </c>
      <c r="C21" s="4"/>
      <c r="D21" s="4"/>
      <c r="E21" s="4"/>
      <c r="F21" s="4"/>
      <c r="G21" s="4"/>
      <c r="H21" s="4"/>
      <c r="I21" s="6">
        <v>-8335926</v>
      </c>
      <c r="J21" s="6">
        <v>-1273131</v>
      </c>
      <c r="K21" s="6">
        <v>262964</v>
      </c>
      <c r="L21" s="6">
        <f>SUM(I21:K21)</f>
        <v>-9346093</v>
      </c>
      <c r="M21" s="32">
        <f>L15+L21</f>
        <v>3363008</v>
      </c>
    </row>
    <row r="22" spans="1:13" ht="18.75">
      <c r="A22" s="4"/>
      <c r="B22" s="4" t="s">
        <v>18</v>
      </c>
      <c r="C22" s="4"/>
      <c r="D22" s="4"/>
      <c r="E22" s="4"/>
      <c r="F22" s="4"/>
      <c r="G22" s="4"/>
      <c r="H22" s="4"/>
      <c r="I22" s="6">
        <v>-8316189</v>
      </c>
      <c r="J22" s="6">
        <v>-947596</v>
      </c>
      <c r="K22" s="6"/>
      <c r="L22" s="6">
        <f>SUM(I22:K22)</f>
        <v>-9263785</v>
      </c>
      <c r="M22" s="32">
        <f>L16+L22</f>
        <v>29443251</v>
      </c>
    </row>
    <row r="23" spans="1:13" ht="18.75">
      <c r="A23" s="3"/>
      <c r="B23" s="4"/>
      <c r="C23" s="3" t="s">
        <v>21</v>
      </c>
      <c r="D23" s="4"/>
      <c r="E23" s="4"/>
      <c r="F23" s="4"/>
      <c r="G23" s="4"/>
      <c r="H23" s="4"/>
      <c r="I23" s="11">
        <f>SUM(I20:I22)</f>
        <v>-28717281</v>
      </c>
      <c r="J23" s="11">
        <f>SUM(J20:J22)</f>
        <v>-3109339</v>
      </c>
      <c r="K23" s="11">
        <f>SUM(K20:K22)</f>
        <v>262964</v>
      </c>
      <c r="L23" s="11">
        <f>SUM(L20:L22)</f>
        <v>-31563656</v>
      </c>
      <c r="M23" s="2"/>
    </row>
    <row r="24" spans="1:13" ht="18.7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2"/>
    </row>
    <row r="25" spans="1:13" ht="18.75">
      <c r="A25" s="3" t="s">
        <v>460</v>
      </c>
      <c r="B25" s="4"/>
      <c r="C25" s="3"/>
      <c r="D25" s="4"/>
      <c r="E25" s="4"/>
      <c r="F25" s="4"/>
      <c r="G25" s="4"/>
      <c r="H25" s="4"/>
      <c r="I25" s="11">
        <f>I17+I23</f>
        <v>56679164</v>
      </c>
      <c r="J25" s="11">
        <f t="shared" ref="J25:L25" si="0">J17+J23</f>
        <v>1496927</v>
      </c>
      <c r="K25" s="11">
        <f t="shared" si="0"/>
        <v>-31857</v>
      </c>
      <c r="L25" s="11">
        <f t="shared" si="0"/>
        <v>58144234</v>
      </c>
      <c r="M25" s="2"/>
    </row>
    <row r="26" spans="1:13" ht="18.75">
      <c r="A26" s="3" t="s">
        <v>23</v>
      </c>
      <c r="B26" s="4"/>
      <c r="C26" s="3"/>
      <c r="D26" s="4"/>
      <c r="E26" s="4"/>
      <c r="F26" s="4"/>
      <c r="G26" s="4"/>
      <c r="H26" s="4"/>
      <c r="I26" s="11">
        <f>I11+I25</f>
        <v>60399040</v>
      </c>
      <c r="J26" s="11">
        <f>J11+J25</f>
        <v>3491207</v>
      </c>
      <c r="K26" s="11">
        <f>K11+K25</f>
        <v>-2725184</v>
      </c>
      <c r="L26" s="11">
        <f>L11+L25</f>
        <v>61165063</v>
      </c>
      <c r="M26" s="32">
        <f>SUM(M9:M24)</f>
        <v>61165063</v>
      </c>
    </row>
  </sheetData>
  <mergeCells count="3">
    <mergeCell ref="D1:I1"/>
    <mergeCell ref="D2:I2"/>
    <mergeCell ref="D3:I3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M39"/>
  <sheetViews>
    <sheetView workbookViewId="0">
      <selection activeCell="G18" sqref="G18"/>
    </sheetView>
  </sheetViews>
  <sheetFormatPr defaultColWidth="8.85546875" defaultRowHeight="15"/>
  <cols>
    <col min="2" max="2" width="5.7109375" customWidth="1"/>
    <col min="9" max="9" width="17.5703125" customWidth="1"/>
    <col min="10" max="10" width="14.28515625" bestFit="1" customWidth="1"/>
    <col min="11" max="11" width="13.7109375" bestFit="1" customWidth="1"/>
    <col min="12" max="13" width="20.42578125" customWidth="1"/>
  </cols>
  <sheetData>
    <row r="1" spans="1:13" ht="18.75">
      <c r="A1" s="4"/>
      <c r="B1" s="4"/>
      <c r="C1" s="4"/>
      <c r="D1" s="109" t="s">
        <v>512</v>
      </c>
      <c r="E1" s="109"/>
      <c r="F1" s="109"/>
      <c r="G1" s="109"/>
      <c r="H1" s="109"/>
      <c r="I1" s="109"/>
      <c r="J1" s="4"/>
      <c r="K1" s="4"/>
      <c r="L1" s="4"/>
    </row>
    <row r="2" spans="1:13" ht="18.75">
      <c r="A2" s="4"/>
      <c r="B2" s="4"/>
      <c r="C2" s="4"/>
      <c r="D2" s="109" t="s">
        <v>1</v>
      </c>
      <c r="E2" s="109"/>
      <c r="F2" s="109"/>
      <c r="G2" s="109"/>
      <c r="H2" s="109"/>
      <c r="I2" s="109"/>
      <c r="J2" s="4"/>
      <c r="K2" s="4"/>
      <c r="L2" s="4"/>
    </row>
    <row r="3" spans="1:13" ht="18.75">
      <c r="A3" s="4"/>
      <c r="B3" s="4"/>
      <c r="C3" s="4"/>
      <c r="D3" s="109" t="s">
        <v>2</v>
      </c>
      <c r="E3" s="109"/>
      <c r="F3" s="109"/>
      <c r="G3" s="109"/>
      <c r="H3" s="109"/>
      <c r="I3" s="109"/>
      <c r="J3" s="4"/>
      <c r="K3" s="4"/>
      <c r="L3" s="4"/>
    </row>
    <row r="4" spans="1:13" ht="18.75">
      <c r="A4" s="4"/>
      <c r="B4" s="4"/>
      <c r="C4" s="4"/>
      <c r="D4" s="107"/>
      <c r="E4" s="107"/>
      <c r="F4" s="107"/>
      <c r="G4" s="107"/>
      <c r="H4" s="107"/>
      <c r="I4" s="107"/>
      <c r="J4" s="4"/>
      <c r="K4" s="4"/>
      <c r="L4" s="4"/>
    </row>
    <row r="5" spans="1:13" ht="37.5">
      <c r="A5" s="4"/>
      <c r="B5" s="4"/>
      <c r="C5" s="4"/>
      <c r="D5" s="4"/>
      <c r="E5" s="4"/>
      <c r="F5" s="4"/>
      <c r="G5" s="4"/>
      <c r="H5" s="4"/>
      <c r="I5" s="64" t="s">
        <v>3</v>
      </c>
      <c r="J5" s="64" t="s">
        <v>4</v>
      </c>
      <c r="K5" s="64" t="s">
        <v>5</v>
      </c>
      <c r="L5" s="64" t="s">
        <v>6</v>
      </c>
      <c r="M5" s="64" t="s">
        <v>7</v>
      </c>
    </row>
    <row r="6" spans="1:13" ht="18.75">
      <c r="A6" s="3" t="s">
        <v>8</v>
      </c>
      <c r="B6" s="4"/>
      <c r="C6" s="4"/>
      <c r="D6" s="4"/>
      <c r="E6" s="4"/>
      <c r="F6" s="4"/>
      <c r="G6" s="4"/>
      <c r="H6" s="4"/>
      <c r="I6" s="5"/>
      <c r="J6" s="5"/>
      <c r="K6" s="5"/>
      <c r="L6" s="5"/>
    </row>
    <row r="7" spans="1:13" ht="18.75">
      <c r="A7" s="3" t="s">
        <v>396</v>
      </c>
      <c r="B7" s="3"/>
      <c r="C7" s="3"/>
      <c r="D7" s="3"/>
      <c r="E7" s="3"/>
      <c r="F7" s="3"/>
      <c r="G7" s="4"/>
      <c r="H7" s="4"/>
      <c r="I7" s="4"/>
      <c r="J7" s="4"/>
      <c r="K7" s="4"/>
      <c r="L7" s="4"/>
    </row>
    <row r="8" spans="1:13" ht="18.75">
      <c r="A8" s="3" t="s">
        <v>10</v>
      </c>
      <c r="B8" s="3"/>
      <c r="C8" s="3"/>
      <c r="D8" s="3"/>
      <c r="E8" s="3"/>
      <c r="F8" s="3"/>
      <c r="G8" s="4"/>
      <c r="H8" s="4"/>
      <c r="I8" s="6"/>
      <c r="J8" s="6"/>
      <c r="K8" s="6"/>
      <c r="L8" s="6"/>
    </row>
    <row r="9" spans="1:13" ht="18.75">
      <c r="A9" s="4"/>
      <c r="B9" s="4" t="s">
        <v>11</v>
      </c>
      <c r="C9" s="4"/>
      <c r="D9" s="4"/>
      <c r="E9" s="4"/>
      <c r="F9" s="4"/>
      <c r="G9" s="4"/>
      <c r="H9" s="4"/>
      <c r="I9" s="6">
        <v>924489</v>
      </c>
      <c r="J9" s="6">
        <v>12438</v>
      </c>
      <c r="K9" s="6"/>
      <c r="L9" s="6">
        <f>SUM(I9:K9)</f>
        <v>936927</v>
      </c>
      <c r="M9" s="32">
        <f>L9</f>
        <v>936927</v>
      </c>
    </row>
    <row r="10" spans="1:13" ht="18.75">
      <c r="A10" s="4"/>
      <c r="B10" s="4" t="s">
        <v>159</v>
      </c>
      <c r="C10" s="4"/>
      <c r="D10" s="4"/>
      <c r="E10" s="4"/>
      <c r="F10" s="4"/>
      <c r="G10" s="4"/>
      <c r="H10" s="4"/>
      <c r="I10" s="6">
        <v>89589</v>
      </c>
      <c r="J10" s="6"/>
      <c r="K10" s="6"/>
      <c r="L10" s="6">
        <f>SUM(I10:K10)</f>
        <v>89589</v>
      </c>
      <c r="M10" s="32">
        <f>L10</f>
        <v>89589</v>
      </c>
    </row>
    <row r="11" spans="1:13" ht="18.75">
      <c r="A11" s="4"/>
      <c r="B11" s="4" t="s">
        <v>12</v>
      </c>
      <c r="C11" s="4"/>
      <c r="D11" s="4"/>
      <c r="E11" s="4"/>
      <c r="F11" s="4"/>
      <c r="G11" s="4"/>
      <c r="H11" s="4"/>
      <c r="I11" s="4">
        <v>206221</v>
      </c>
      <c r="J11" s="4">
        <v>24000</v>
      </c>
      <c r="K11" s="4">
        <v>-206221</v>
      </c>
      <c r="L11" s="6">
        <f>SUM(I11:K11)</f>
        <v>24000</v>
      </c>
      <c r="M11" s="32">
        <f>L11</f>
        <v>24000</v>
      </c>
    </row>
    <row r="12" spans="1:13" ht="18.75">
      <c r="A12" s="3"/>
      <c r="B12" s="3"/>
      <c r="C12" s="3" t="s">
        <v>13</v>
      </c>
      <c r="D12" s="3"/>
      <c r="E12" s="3"/>
      <c r="F12" s="3"/>
      <c r="G12" s="3"/>
      <c r="H12" s="3"/>
      <c r="I12" s="9">
        <f>SUM(I9:I11)</f>
        <v>1220299</v>
      </c>
      <c r="J12" s="9">
        <f>SUM(J9:J11)</f>
        <v>36438</v>
      </c>
      <c r="K12" s="9">
        <f>SUM(K9:K11)</f>
        <v>-206221</v>
      </c>
      <c r="L12" s="9">
        <f>SUM(L9:L11)</f>
        <v>1050516</v>
      </c>
      <c r="M12" s="2"/>
    </row>
    <row r="13" spans="1:13" ht="18.7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2"/>
    </row>
    <row r="14" spans="1:13" ht="18.75">
      <c r="A14" s="3" t="s">
        <v>400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2"/>
    </row>
    <row r="15" spans="1:13" ht="18.75">
      <c r="A15" s="4"/>
      <c r="B15" s="4" t="s">
        <v>65</v>
      </c>
      <c r="C15" s="4"/>
      <c r="D15" s="4"/>
      <c r="E15" s="4"/>
      <c r="F15" s="4"/>
      <c r="G15" s="4"/>
      <c r="H15" s="4"/>
      <c r="I15" s="4"/>
      <c r="J15" s="6"/>
      <c r="K15" s="6"/>
      <c r="L15" s="6"/>
      <c r="M15" s="2"/>
    </row>
    <row r="16" spans="1:13" ht="18.75">
      <c r="A16" s="4"/>
      <c r="B16" s="4"/>
      <c r="C16" s="4" t="s">
        <v>51</v>
      </c>
      <c r="D16" s="4"/>
      <c r="E16" s="4"/>
      <c r="F16" s="4"/>
      <c r="G16" s="4"/>
      <c r="H16" s="4"/>
      <c r="I16" s="4">
        <v>36314728</v>
      </c>
      <c r="J16" s="6">
        <v>73310</v>
      </c>
      <c r="K16" s="6"/>
      <c r="L16" s="6">
        <f t="shared" ref="L16:L22" si="0">SUM(I16:K16)</f>
        <v>36388038</v>
      </c>
      <c r="M16" s="2"/>
    </row>
    <row r="17" spans="1:13" ht="18.75">
      <c r="A17" s="4"/>
      <c r="B17" s="4"/>
      <c r="C17" s="4" t="s">
        <v>52</v>
      </c>
      <c r="D17" s="4"/>
      <c r="E17" s="4"/>
      <c r="F17" s="4"/>
      <c r="G17" s="4"/>
      <c r="H17" s="4"/>
      <c r="I17" s="4">
        <v>1644448</v>
      </c>
      <c r="J17" s="6"/>
      <c r="K17" s="6"/>
      <c r="L17" s="6">
        <f t="shared" si="0"/>
        <v>1644448</v>
      </c>
      <c r="M17" s="2"/>
    </row>
    <row r="18" spans="1:13" ht="18.75">
      <c r="A18" s="4"/>
      <c r="B18" s="4" t="s">
        <v>15</v>
      </c>
      <c r="C18" s="4"/>
      <c r="D18" s="4"/>
      <c r="E18" s="4"/>
      <c r="F18" s="4"/>
      <c r="G18" s="4"/>
      <c r="H18" s="4"/>
      <c r="I18" s="4">
        <v>5931205</v>
      </c>
      <c r="J18" s="6">
        <v>462043</v>
      </c>
      <c r="K18" s="6">
        <v>-32562</v>
      </c>
      <c r="L18" s="6">
        <f t="shared" si="0"/>
        <v>6360686</v>
      </c>
      <c r="M18" s="2"/>
    </row>
    <row r="19" spans="1:13" ht="18.75">
      <c r="A19" s="4"/>
      <c r="B19" s="4" t="s">
        <v>28</v>
      </c>
      <c r="C19" s="4"/>
      <c r="D19" s="4"/>
      <c r="E19" s="4"/>
      <c r="F19" s="4"/>
      <c r="G19" s="4"/>
      <c r="H19" s="4"/>
      <c r="I19" s="4">
        <v>2852261</v>
      </c>
      <c r="J19" s="6"/>
      <c r="K19" s="6"/>
      <c r="L19" s="6">
        <f t="shared" si="0"/>
        <v>2852261</v>
      </c>
      <c r="M19" s="2"/>
    </row>
    <row r="20" spans="1:13" ht="18.75">
      <c r="A20" s="4"/>
      <c r="B20" s="4" t="s">
        <v>66</v>
      </c>
      <c r="C20" s="4"/>
      <c r="D20" s="4"/>
      <c r="E20" s="4"/>
      <c r="F20" s="4"/>
      <c r="G20" s="4"/>
      <c r="H20" s="4"/>
      <c r="I20" s="4">
        <v>91401</v>
      </c>
      <c r="J20" s="6">
        <v>9101</v>
      </c>
      <c r="K20" s="6"/>
      <c r="L20" s="6">
        <f t="shared" si="0"/>
        <v>100502</v>
      </c>
      <c r="M20" s="2"/>
    </row>
    <row r="21" spans="1:13" ht="18.75">
      <c r="A21" s="4"/>
      <c r="B21" s="4" t="s">
        <v>58</v>
      </c>
      <c r="C21" s="4"/>
      <c r="D21" s="4"/>
      <c r="E21" s="4"/>
      <c r="F21" s="4"/>
      <c r="G21" s="4"/>
      <c r="H21" s="4"/>
      <c r="I21" s="4">
        <v>2156102</v>
      </c>
      <c r="J21" s="6">
        <v>23997</v>
      </c>
      <c r="K21" s="6"/>
      <c r="L21" s="6">
        <f t="shared" si="0"/>
        <v>2180099</v>
      </c>
      <c r="M21" s="2"/>
    </row>
    <row r="22" spans="1:13" ht="18.75">
      <c r="A22" s="4"/>
      <c r="B22" s="4" t="s">
        <v>162</v>
      </c>
      <c r="C22" s="4"/>
      <c r="D22" s="4"/>
      <c r="E22" s="4"/>
      <c r="F22" s="4"/>
      <c r="G22" s="4"/>
      <c r="H22" s="4"/>
      <c r="I22" s="4">
        <v>907830</v>
      </c>
      <c r="J22" s="6">
        <v>9500</v>
      </c>
      <c r="K22" s="6"/>
      <c r="L22" s="6">
        <f t="shared" si="0"/>
        <v>917330</v>
      </c>
      <c r="M22" s="2"/>
    </row>
    <row r="23" spans="1:13" ht="18.75">
      <c r="A23" s="4"/>
      <c r="B23" s="4" t="s">
        <v>30</v>
      </c>
      <c r="C23" s="4"/>
      <c r="D23" s="4"/>
      <c r="E23" s="4"/>
      <c r="F23" s="4"/>
      <c r="G23" s="4"/>
      <c r="H23" s="4"/>
      <c r="I23" s="4">
        <v>2088293</v>
      </c>
      <c r="J23" s="6"/>
      <c r="K23" s="6">
        <v>-2250</v>
      </c>
      <c r="L23" s="6">
        <f>SUM(I23:K23)</f>
        <v>2086043</v>
      </c>
      <c r="M23" s="2"/>
    </row>
    <row r="24" spans="1:13" ht="18.75">
      <c r="A24" s="4"/>
      <c r="B24" s="4"/>
      <c r="C24" s="3" t="s">
        <v>19</v>
      </c>
      <c r="D24" s="4"/>
      <c r="E24" s="4"/>
      <c r="F24" s="4"/>
      <c r="G24" s="4"/>
      <c r="H24" s="4"/>
      <c r="I24" s="14">
        <f>SUM(I15:I23)</f>
        <v>51986268</v>
      </c>
      <c r="J24" s="14">
        <f>SUM(J15:J23)</f>
        <v>577951</v>
      </c>
      <c r="K24" s="14">
        <f>SUM(K15:K23)</f>
        <v>-34812</v>
      </c>
      <c r="L24" s="14">
        <f>SUM(L15:L23)</f>
        <v>52529407</v>
      </c>
      <c r="M24" s="2"/>
    </row>
    <row r="25" spans="1:13" ht="18.7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2"/>
    </row>
    <row r="26" spans="1:13" ht="18.75">
      <c r="A26" s="3" t="s">
        <v>401</v>
      </c>
      <c r="B26" s="4"/>
      <c r="C26" s="4"/>
      <c r="D26" s="4"/>
      <c r="E26" s="4"/>
      <c r="F26" s="4"/>
      <c r="G26" s="4"/>
      <c r="H26" s="4"/>
      <c r="I26" s="4"/>
      <c r="J26" s="6"/>
      <c r="K26" s="6"/>
      <c r="L26" s="6"/>
      <c r="M26" s="2"/>
    </row>
    <row r="27" spans="1:13" ht="18.75">
      <c r="A27" s="4"/>
      <c r="B27" s="4" t="s">
        <v>65</v>
      </c>
      <c r="C27" s="4"/>
      <c r="D27" s="4"/>
      <c r="E27" s="4"/>
      <c r="F27" s="4"/>
      <c r="G27" s="4"/>
      <c r="H27" s="4"/>
      <c r="I27" s="6"/>
      <c r="J27" s="6"/>
      <c r="K27" s="6"/>
      <c r="L27" s="6"/>
      <c r="M27" s="32"/>
    </row>
    <row r="28" spans="1:13" ht="18.75">
      <c r="A28" s="4"/>
      <c r="B28" s="4"/>
      <c r="C28" s="4" t="s">
        <v>51</v>
      </c>
      <c r="D28" s="4"/>
      <c r="E28" s="4"/>
      <c r="F28" s="4"/>
      <c r="G28" s="4"/>
      <c r="H28" s="4"/>
      <c r="I28" s="6">
        <v>-29868659</v>
      </c>
      <c r="J28" s="6">
        <v>-374522</v>
      </c>
      <c r="K28" s="6"/>
      <c r="L28" s="6">
        <f t="shared" ref="L28:L34" si="1">SUM(I28:K28)</f>
        <v>-30243181</v>
      </c>
      <c r="M28" s="32">
        <f>L16+L28</f>
        <v>6144857</v>
      </c>
    </row>
    <row r="29" spans="1:13" ht="18.75">
      <c r="A29" s="4"/>
      <c r="B29" s="4"/>
      <c r="C29" s="4" t="s">
        <v>52</v>
      </c>
      <c r="D29" s="4"/>
      <c r="E29" s="4"/>
      <c r="F29" s="4"/>
      <c r="G29" s="4"/>
      <c r="H29" s="4"/>
      <c r="I29" s="6">
        <v>-877663</v>
      </c>
      <c r="J29" s="6">
        <v>-14837</v>
      </c>
      <c r="K29" s="6"/>
      <c r="L29" s="6">
        <f t="shared" si="1"/>
        <v>-892500</v>
      </c>
      <c r="M29" s="32">
        <f t="shared" ref="M29:M35" si="2">L17+L29</f>
        <v>751948</v>
      </c>
    </row>
    <row r="30" spans="1:13" ht="18.75">
      <c r="A30" s="4"/>
      <c r="B30" s="4" t="s">
        <v>15</v>
      </c>
      <c r="C30" s="4"/>
      <c r="D30" s="4"/>
      <c r="E30" s="4"/>
      <c r="F30" s="4"/>
      <c r="G30" s="4"/>
      <c r="H30" s="4"/>
      <c r="I30" s="6">
        <v>-2965240</v>
      </c>
      <c r="J30" s="6">
        <v>-130494</v>
      </c>
      <c r="K30" s="6"/>
      <c r="L30" s="6">
        <f t="shared" si="1"/>
        <v>-3095734</v>
      </c>
      <c r="M30" s="32">
        <f t="shared" si="2"/>
        <v>3264952</v>
      </c>
    </row>
    <row r="31" spans="1:13" ht="18.75">
      <c r="A31" s="4"/>
      <c r="B31" s="4" t="s">
        <v>28</v>
      </c>
      <c r="C31" s="4"/>
      <c r="D31" s="4"/>
      <c r="E31" s="4"/>
      <c r="F31" s="4"/>
      <c r="G31" s="4"/>
      <c r="H31" s="4"/>
      <c r="I31" s="6">
        <v>-802062</v>
      </c>
      <c r="J31" s="6">
        <v>-71306</v>
      </c>
      <c r="K31" s="6"/>
      <c r="L31" s="6">
        <f t="shared" si="1"/>
        <v>-873368</v>
      </c>
      <c r="M31" s="32">
        <f t="shared" si="2"/>
        <v>1978893</v>
      </c>
    </row>
    <row r="32" spans="1:13" ht="18.75">
      <c r="A32" s="4"/>
      <c r="B32" s="4" t="s">
        <v>66</v>
      </c>
      <c r="C32" s="4"/>
      <c r="D32" s="4"/>
      <c r="E32" s="4"/>
      <c r="F32" s="4"/>
      <c r="G32" s="4"/>
      <c r="H32" s="4"/>
      <c r="I32" s="6">
        <v>-84897</v>
      </c>
      <c r="J32" s="6">
        <v>-2266</v>
      </c>
      <c r="K32" s="6"/>
      <c r="L32" s="6">
        <f t="shared" si="1"/>
        <v>-87163</v>
      </c>
      <c r="M32" s="32">
        <f t="shared" si="2"/>
        <v>13339</v>
      </c>
    </row>
    <row r="33" spans="1:13" ht="18.75">
      <c r="A33" s="4"/>
      <c r="B33" s="4" t="s">
        <v>58</v>
      </c>
      <c r="C33" s="4"/>
      <c r="D33" s="4"/>
      <c r="E33" s="4"/>
      <c r="F33" s="4"/>
      <c r="G33" s="4"/>
      <c r="H33" s="4"/>
      <c r="I33" s="6">
        <v>-1669365</v>
      </c>
      <c r="J33" s="6">
        <v>-92272</v>
      </c>
      <c r="K33" s="6"/>
      <c r="L33" s="6">
        <f t="shared" si="1"/>
        <v>-1761637</v>
      </c>
      <c r="M33" s="32">
        <f t="shared" si="2"/>
        <v>418462</v>
      </c>
    </row>
    <row r="34" spans="1:13" ht="18.75">
      <c r="A34" s="4"/>
      <c r="B34" s="4" t="s">
        <v>162</v>
      </c>
      <c r="C34" s="4"/>
      <c r="D34" s="4"/>
      <c r="E34" s="4"/>
      <c r="F34" s="4"/>
      <c r="G34" s="4"/>
      <c r="H34" s="4"/>
      <c r="I34" s="6">
        <v>-643316</v>
      </c>
      <c r="J34" s="6">
        <v>-35279</v>
      </c>
      <c r="K34" s="6"/>
      <c r="L34" s="6">
        <f t="shared" si="1"/>
        <v>-678595</v>
      </c>
      <c r="M34" s="32">
        <f t="shared" si="2"/>
        <v>238735</v>
      </c>
    </row>
    <row r="35" spans="1:13" ht="18.75">
      <c r="A35" s="4"/>
      <c r="B35" s="4" t="s">
        <v>30</v>
      </c>
      <c r="C35" s="4"/>
      <c r="D35" s="4"/>
      <c r="E35" s="4"/>
      <c r="F35" s="4"/>
      <c r="G35" s="4"/>
      <c r="H35" s="4"/>
      <c r="I35" s="6">
        <v>-1830040</v>
      </c>
      <c r="J35" s="6">
        <v>-102685</v>
      </c>
      <c r="K35" s="6">
        <v>2250</v>
      </c>
      <c r="L35" s="6">
        <f>SUM(I35:K35)</f>
        <v>-1930475</v>
      </c>
      <c r="M35" s="32">
        <f t="shared" si="2"/>
        <v>155568</v>
      </c>
    </row>
    <row r="36" spans="1:13" ht="18.75">
      <c r="A36" s="3"/>
      <c r="B36" s="4"/>
      <c r="C36" s="3" t="s">
        <v>21</v>
      </c>
      <c r="D36" s="4"/>
      <c r="E36" s="4"/>
      <c r="F36" s="4"/>
      <c r="G36" s="4"/>
      <c r="H36" s="4"/>
      <c r="I36" s="11">
        <f>SUM(I27:I35)</f>
        <v>-38741242</v>
      </c>
      <c r="J36" s="11">
        <f>SUM(J27:J35)</f>
        <v>-823661</v>
      </c>
      <c r="K36" s="11">
        <f>SUM(K27:K35)</f>
        <v>2250</v>
      </c>
      <c r="L36" s="11">
        <f>SUM(L27:L35)</f>
        <v>-39562653</v>
      </c>
      <c r="M36" s="2"/>
    </row>
    <row r="37" spans="1:13" ht="18.7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2"/>
    </row>
    <row r="38" spans="1:13" ht="18.75">
      <c r="A38" s="3" t="s">
        <v>460</v>
      </c>
      <c r="B38" s="4"/>
      <c r="C38" s="3"/>
      <c r="D38" s="4"/>
      <c r="E38" s="4"/>
      <c r="F38" s="4"/>
      <c r="G38" s="4"/>
      <c r="H38" s="4"/>
      <c r="I38" s="11">
        <f>I24+I36</f>
        <v>13245026</v>
      </c>
      <c r="J38" s="11">
        <f t="shared" ref="J38:L38" si="3">J24+J36</f>
        <v>-245710</v>
      </c>
      <c r="K38" s="11">
        <f t="shared" si="3"/>
        <v>-32562</v>
      </c>
      <c r="L38" s="11">
        <f t="shared" si="3"/>
        <v>12966754</v>
      </c>
      <c r="M38" s="2"/>
    </row>
    <row r="39" spans="1:13" ht="18.75">
      <c r="A39" s="3" t="s">
        <v>23</v>
      </c>
      <c r="B39" s="4"/>
      <c r="C39" s="3"/>
      <c r="D39" s="4"/>
      <c r="E39" s="4"/>
      <c r="F39" s="4"/>
      <c r="G39" s="4"/>
      <c r="H39" s="4"/>
      <c r="I39" s="11">
        <f>I12+I38</f>
        <v>14465325</v>
      </c>
      <c r="J39" s="11">
        <f>J12+J38</f>
        <v>-209272</v>
      </c>
      <c r="K39" s="11">
        <f>K12+K38</f>
        <v>-238783</v>
      </c>
      <c r="L39" s="11">
        <f>L12+L38</f>
        <v>14017270</v>
      </c>
      <c r="M39" s="32">
        <f>SUM(M9:M37)</f>
        <v>14017270</v>
      </c>
    </row>
  </sheetData>
  <mergeCells count="3">
    <mergeCell ref="D1:I1"/>
    <mergeCell ref="D2:I2"/>
    <mergeCell ref="D3:I3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S46"/>
  <sheetViews>
    <sheetView topLeftCell="G22" workbookViewId="0">
      <selection activeCell="N49" sqref="N49"/>
    </sheetView>
  </sheetViews>
  <sheetFormatPr defaultColWidth="8.85546875" defaultRowHeight="15"/>
  <cols>
    <col min="2" max="2" width="5.42578125" customWidth="1"/>
    <col min="3" max="3" width="10.28515625" customWidth="1"/>
    <col min="4" max="4" width="8.5703125" customWidth="1"/>
    <col min="10" max="10" width="16.7109375" bestFit="1" customWidth="1"/>
    <col min="11" max="11" width="15.28515625" bestFit="1" customWidth="1"/>
    <col min="12" max="12" width="17.85546875" customWidth="1"/>
    <col min="13" max="13" width="16.7109375" bestFit="1" customWidth="1"/>
    <col min="14" max="14" width="17.7109375" customWidth="1"/>
  </cols>
  <sheetData>
    <row r="1" spans="1:14" ht="18.75">
      <c r="B1" s="4"/>
      <c r="C1" s="4"/>
      <c r="D1" s="4"/>
      <c r="E1" s="109" t="s">
        <v>513</v>
      </c>
      <c r="F1" s="109"/>
      <c r="G1" s="109"/>
      <c r="H1" s="109"/>
      <c r="I1" s="109"/>
      <c r="J1" s="109"/>
      <c r="K1" s="4"/>
      <c r="L1" s="4"/>
      <c r="M1" s="4"/>
    </row>
    <row r="2" spans="1:14" ht="18.75">
      <c r="B2" s="4"/>
      <c r="C2" s="4"/>
      <c r="D2" s="4"/>
      <c r="E2" s="109" t="s">
        <v>1</v>
      </c>
      <c r="F2" s="109"/>
      <c r="G2" s="109"/>
      <c r="H2" s="109"/>
      <c r="I2" s="109"/>
      <c r="J2" s="109"/>
      <c r="K2" s="4"/>
      <c r="L2" s="4"/>
      <c r="M2" s="4"/>
    </row>
    <row r="3" spans="1:14" ht="18.75">
      <c r="B3" s="4"/>
      <c r="C3" s="4"/>
      <c r="D3" s="4"/>
      <c r="E3" s="109" t="s">
        <v>2</v>
      </c>
      <c r="F3" s="109"/>
      <c r="G3" s="109"/>
      <c r="H3" s="109"/>
      <c r="I3" s="109"/>
      <c r="J3" s="109"/>
      <c r="K3" s="4"/>
      <c r="L3" s="4"/>
      <c r="M3" s="4"/>
    </row>
    <row r="4" spans="1:14" ht="18.75">
      <c r="B4" s="4"/>
      <c r="C4" s="4"/>
      <c r="D4" s="4"/>
      <c r="E4" s="107"/>
      <c r="F4" s="107"/>
      <c r="G4" s="107"/>
      <c r="H4" s="107"/>
      <c r="I4" s="107"/>
      <c r="J4" s="107"/>
      <c r="K4" s="4"/>
      <c r="L4" s="4"/>
      <c r="M4" s="4"/>
    </row>
    <row r="5" spans="1:14" ht="37.5">
      <c r="A5" s="1" t="s">
        <v>25</v>
      </c>
      <c r="B5" s="4"/>
      <c r="C5" s="4"/>
      <c r="D5" s="4"/>
      <c r="E5" s="4"/>
      <c r="F5" s="4"/>
      <c r="G5" s="4"/>
      <c r="H5" s="4"/>
      <c r="I5" s="4"/>
      <c r="J5" s="64" t="s">
        <v>43</v>
      </c>
      <c r="K5" s="64" t="s">
        <v>60</v>
      </c>
      <c r="L5" s="64" t="s">
        <v>61</v>
      </c>
      <c r="M5" s="64" t="s">
        <v>203</v>
      </c>
      <c r="N5" s="64" t="s">
        <v>7</v>
      </c>
    </row>
    <row r="6" spans="1:14" ht="18.75">
      <c r="B6" s="3" t="s">
        <v>10</v>
      </c>
      <c r="C6" s="3"/>
      <c r="D6" s="3"/>
      <c r="E6" s="3"/>
      <c r="F6" s="3"/>
      <c r="G6" s="3"/>
      <c r="H6" s="4"/>
      <c r="I6" s="4"/>
      <c r="J6" s="6"/>
      <c r="K6" s="6"/>
      <c r="L6" s="6"/>
      <c r="M6" s="6"/>
    </row>
    <row r="7" spans="1:14" ht="18.75">
      <c r="B7" s="4" t="s">
        <v>11</v>
      </c>
      <c r="C7" s="4"/>
      <c r="D7" s="4"/>
      <c r="E7" s="4"/>
      <c r="F7" s="4"/>
      <c r="G7" s="4"/>
      <c r="H7" s="4"/>
      <c r="I7" s="4"/>
      <c r="J7" s="6">
        <v>1428267</v>
      </c>
      <c r="K7" s="6"/>
      <c r="L7" s="6">
        <v>-40000</v>
      </c>
      <c r="M7" s="6">
        <f>SUM(J7:L7)</f>
        <v>1388267</v>
      </c>
      <c r="N7" s="70">
        <f>M7</f>
        <v>1388267</v>
      </c>
    </row>
    <row r="8" spans="1:14" ht="18.75">
      <c r="B8" s="4" t="s">
        <v>12</v>
      </c>
      <c r="C8" s="4"/>
      <c r="D8" s="4"/>
      <c r="E8" s="4"/>
      <c r="F8" s="4"/>
      <c r="G8" s="4"/>
      <c r="H8" s="4"/>
      <c r="I8" s="4"/>
      <c r="J8" s="6">
        <v>357343</v>
      </c>
      <c r="K8" s="6">
        <v>838092</v>
      </c>
      <c r="L8" s="6"/>
      <c r="M8" s="6">
        <f>SUM(J8:L8)</f>
        <v>1195435</v>
      </c>
      <c r="N8" s="76">
        <f>M8</f>
        <v>1195435</v>
      </c>
    </row>
    <row r="9" spans="1:14" ht="18.75">
      <c r="B9" s="3"/>
      <c r="C9" s="3" t="s">
        <v>382</v>
      </c>
      <c r="D9" s="3"/>
      <c r="E9" s="3"/>
      <c r="F9" s="3"/>
      <c r="G9" s="3"/>
      <c r="H9" s="3"/>
      <c r="I9" s="3"/>
      <c r="J9" s="10">
        <f>SUM(J7:J8)</f>
        <v>1785610</v>
      </c>
      <c r="K9" s="10">
        <f>SUM(K7:K8)</f>
        <v>838092</v>
      </c>
      <c r="L9" s="10">
        <f>SUM(L7:L8)</f>
        <v>-40000</v>
      </c>
      <c r="M9" s="10">
        <f>SUM(M7:M8)</f>
        <v>2583702</v>
      </c>
    </row>
    <row r="10" spans="1:14" ht="18.75">
      <c r="B10" s="3" t="s">
        <v>400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4" ht="18.75">
      <c r="B11" s="4" t="s">
        <v>471</v>
      </c>
      <c r="C11" s="4"/>
      <c r="D11" s="4"/>
      <c r="E11" s="4"/>
      <c r="F11" s="4"/>
      <c r="G11" s="4"/>
      <c r="H11" s="4"/>
      <c r="I11" s="4"/>
      <c r="J11" s="4">
        <v>12427398</v>
      </c>
      <c r="K11" s="4">
        <v>158957</v>
      </c>
      <c r="L11" s="4"/>
      <c r="M11" s="4">
        <f>SUM(J11:L11)</f>
        <v>12586355</v>
      </c>
    </row>
    <row r="12" spans="1:14" ht="18.75">
      <c r="B12" s="4" t="s">
        <v>32</v>
      </c>
      <c r="C12" s="4"/>
      <c r="D12" s="4"/>
      <c r="E12" s="4"/>
      <c r="F12" s="4"/>
      <c r="G12" s="4"/>
      <c r="H12" s="4"/>
      <c r="I12" s="4"/>
      <c r="J12" s="4">
        <v>1917118</v>
      </c>
      <c r="K12" s="4">
        <v>106032</v>
      </c>
      <c r="L12" s="4"/>
      <c r="M12" s="4">
        <f t="shared" ref="M12:M15" si="0">SUM(J12:L12)</f>
        <v>2023150</v>
      </c>
    </row>
    <row r="13" spans="1:14" ht="18.75">
      <c r="B13" s="4" t="s">
        <v>29</v>
      </c>
      <c r="C13" s="4"/>
      <c r="D13" s="4"/>
      <c r="E13" s="4"/>
      <c r="F13" s="4"/>
      <c r="G13" s="4"/>
      <c r="H13" s="4"/>
      <c r="I13" s="4"/>
      <c r="J13" s="4">
        <v>77689</v>
      </c>
      <c r="K13" s="4"/>
      <c r="L13" s="4"/>
      <c r="M13" s="4">
        <f t="shared" si="0"/>
        <v>77689</v>
      </c>
    </row>
    <row r="14" spans="1:14" ht="18.75">
      <c r="B14" s="4" t="s">
        <v>409</v>
      </c>
      <c r="C14" s="4"/>
      <c r="D14" s="4"/>
      <c r="E14" s="4"/>
      <c r="F14" s="4"/>
      <c r="G14" s="4"/>
      <c r="H14" s="4"/>
      <c r="I14" s="4"/>
      <c r="J14" s="4">
        <v>250009</v>
      </c>
      <c r="K14" s="4">
        <v>49934</v>
      </c>
      <c r="L14" s="4">
        <v>-51577</v>
      </c>
      <c r="M14" s="4">
        <f t="shared" si="0"/>
        <v>248366</v>
      </c>
    </row>
    <row r="15" spans="1:14" ht="18.75">
      <c r="B15" s="4" t="s">
        <v>18</v>
      </c>
      <c r="C15" s="4"/>
      <c r="D15" s="4"/>
      <c r="E15" s="4"/>
      <c r="F15" s="4"/>
      <c r="G15" s="4"/>
      <c r="H15" s="4"/>
      <c r="I15" s="4"/>
      <c r="J15" s="4">
        <v>5152664</v>
      </c>
      <c r="K15" s="4">
        <v>83484</v>
      </c>
      <c r="L15" s="4"/>
      <c r="M15" s="4">
        <f t="shared" si="0"/>
        <v>5236148</v>
      </c>
    </row>
    <row r="16" spans="1:14" ht="18.75">
      <c r="B16" s="4" t="s">
        <v>30</v>
      </c>
      <c r="C16" s="4"/>
      <c r="D16" s="4"/>
      <c r="E16" s="4"/>
      <c r="F16" s="4"/>
      <c r="G16" s="4"/>
      <c r="H16" s="4"/>
      <c r="I16" s="4"/>
      <c r="J16" s="4">
        <v>583192</v>
      </c>
      <c r="K16" s="4">
        <v>10900</v>
      </c>
      <c r="L16" s="4"/>
      <c r="M16" s="4">
        <f>SUM(J16:L16)</f>
        <v>594092</v>
      </c>
    </row>
    <row r="17" spans="1:19" ht="18.75">
      <c r="B17" s="3"/>
      <c r="C17" s="3"/>
      <c r="D17" s="3" t="s">
        <v>19</v>
      </c>
      <c r="E17" s="3"/>
      <c r="F17" s="3"/>
      <c r="G17" s="4"/>
      <c r="H17" s="4"/>
      <c r="I17" s="4"/>
      <c r="J17" s="11">
        <f>SUM(J11:J16)</f>
        <v>20408070</v>
      </c>
      <c r="K17" s="11">
        <f>SUM(K11:K16)</f>
        <v>409307</v>
      </c>
      <c r="L17" s="11">
        <f>SUM(L11:L16)</f>
        <v>-51577</v>
      </c>
      <c r="M17" s="11">
        <f>SUM(M11:M16)</f>
        <v>20765800</v>
      </c>
    </row>
    <row r="18" spans="1:19" ht="18.75">
      <c r="B18" s="3" t="s">
        <v>20</v>
      </c>
      <c r="C18" s="4"/>
      <c r="D18" s="4"/>
      <c r="E18" s="4"/>
      <c r="F18" s="4"/>
      <c r="G18" s="4"/>
      <c r="H18" s="4"/>
      <c r="I18" s="4"/>
      <c r="J18" s="4"/>
      <c r="K18" s="6"/>
      <c r="L18" s="6"/>
      <c r="M18" s="6"/>
    </row>
    <row r="19" spans="1:19" ht="18.75">
      <c r="B19" s="4" t="s">
        <v>471</v>
      </c>
      <c r="C19" s="4"/>
      <c r="D19" s="4"/>
      <c r="E19" s="4"/>
      <c r="F19" s="4"/>
      <c r="G19" s="4"/>
      <c r="H19" s="4"/>
      <c r="I19" s="4"/>
      <c r="J19" s="6">
        <v>-2015290</v>
      </c>
      <c r="K19" s="6">
        <v>-338766</v>
      </c>
      <c r="L19" s="6"/>
      <c r="M19" s="6">
        <f>SUM(J19:L19)</f>
        <v>-2354056</v>
      </c>
      <c r="N19" s="70">
        <f t="shared" ref="N19:N24" si="1">M11+M19</f>
        <v>10232299</v>
      </c>
    </row>
    <row r="20" spans="1:19" ht="18.75">
      <c r="B20" s="4" t="s">
        <v>32</v>
      </c>
      <c r="C20" s="4"/>
      <c r="D20" s="4"/>
      <c r="E20" s="4"/>
      <c r="F20" s="4"/>
      <c r="G20" s="4"/>
      <c r="H20" s="4"/>
      <c r="I20" s="4"/>
      <c r="J20" s="6">
        <v>-1461100</v>
      </c>
      <c r="K20" s="6">
        <v>-115721</v>
      </c>
      <c r="L20" s="6"/>
      <c r="M20" s="6">
        <f t="shared" ref="M20:M22" si="2">SUM(J20:L20)</f>
        <v>-1576821</v>
      </c>
      <c r="N20" s="70">
        <f t="shared" si="1"/>
        <v>446329</v>
      </c>
    </row>
    <row r="21" spans="1:19" ht="18.75">
      <c r="B21" s="4" t="s">
        <v>29</v>
      </c>
      <c r="C21" s="4"/>
      <c r="D21" s="4"/>
      <c r="E21" s="4"/>
      <c r="F21" s="4"/>
      <c r="G21" s="4"/>
      <c r="H21" s="4"/>
      <c r="I21" s="4"/>
      <c r="J21" s="6">
        <v>-62022</v>
      </c>
      <c r="K21" s="6">
        <v>-6268</v>
      </c>
      <c r="L21" s="6"/>
      <c r="M21" s="6">
        <f t="shared" si="2"/>
        <v>-68290</v>
      </c>
      <c r="N21" s="70">
        <f t="shared" si="1"/>
        <v>9399</v>
      </c>
    </row>
    <row r="22" spans="1:19" ht="18.75">
      <c r="B22" s="4" t="s">
        <v>409</v>
      </c>
      <c r="C22" s="4"/>
      <c r="D22" s="4"/>
      <c r="E22" s="4"/>
      <c r="F22" s="4"/>
      <c r="G22" s="4"/>
      <c r="H22" s="4"/>
      <c r="I22" s="4"/>
      <c r="J22" s="6">
        <v>-200819</v>
      </c>
      <c r="K22" s="6">
        <v>-27043</v>
      </c>
      <c r="L22" s="6">
        <v>51577</v>
      </c>
      <c r="M22" s="6">
        <f t="shared" si="2"/>
        <v>-176285</v>
      </c>
      <c r="N22" s="70">
        <f t="shared" si="1"/>
        <v>72081</v>
      </c>
    </row>
    <row r="23" spans="1:19" ht="18.75">
      <c r="B23" s="4" t="s">
        <v>18</v>
      </c>
      <c r="C23" s="4"/>
      <c r="D23" s="4"/>
      <c r="E23" s="4"/>
      <c r="F23" s="4"/>
      <c r="G23" s="4"/>
      <c r="H23" s="4"/>
      <c r="I23" s="4"/>
      <c r="J23" s="6">
        <v>-1911511</v>
      </c>
      <c r="K23" s="6">
        <v>-162178</v>
      </c>
      <c r="L23" s="6"/>
      <c r="M23" s="6">
        <f>SUM(J23:L23)</f>
        <v>-2073689</v>
      </c>
      <c r="N23" s="70">
        <f t="shared" si="1"/>
        <v>3162459</v>
      </c>
    </row>
    <row r="24" spans="1:19" ht="18.75">
      <c r="B24" s="4" t="s">
        <v>30</v>
      </c>
      <c r="C24" s="4"/>
      <c r="D24" s="4"/>
      <c r="E24" s="4"/>
      <c r="F24" s="4"/>
      <c r="G24" s="4"/>
      <c r="H24" s="4"/>
      <c r="I24" s="4"/>
      <c r="J24" s="6">
        <v>-418942</v>
      </c>
      <c r="K24" s="6">
        <v>-50796</v>
      </c>
      <c r="L24" s="6"/>
      <c r="M24" s="6">
        <f>SUM(J24:L24)</f>
        <v>-469738</v>
      </c>
      <c r="N24" s="76">
        <f t="shared" si="1"/>
        <v>124354</v>
      </c>
    </row>
    <row r="25" spans="1:19" ht="18.75">
      <c r="B25" s="3"/>
      <c r="C25" s="3"/>
      <c r="D25" s="3" t="s">
        <v>21</v>
      </c>
      <c r="E25" s="3"/>
      <c r="F25" s="4"/>
      <c r="G25" s="4"/>
      <c r="H25" s="4"/>
      <c r="I25" s="4"/>
      <c r="J25" s="11">
        <f>SUM(J19:J24)</f>
        <v>-6069684</v>
      </c>
      <c r="K25" s="11">
        <f>SUM(K19:K24)</f>
        <v>-700772</v>
      </c>
      <c r="L25" s="11">
        <f>SUM(L19:L24)</f>
        <v>51577</v>
      </c>
      <c r="M25" s="11">
        <f>SUM(M19:M24)</f>
        <v>-6718879</v>
      </c>
    </row>
    <row r="26" spans="1:19" ht="18.75">
      <c r="B26" s="3" t="s">
        <v>22</v>
      </c>
      <c r="C26" s="3"/>
      <c r="D26" s="3"/>
      <c r="E26" s="3"/>
      <c r="F26" s="4"/>
      <c r="G26" s="4"/>
      <c r="H26" s="4"/>
      <c r="I26" s="4"/>
      <c r="J26" s="11">
        <f>J17+J25</f>
        <v>14338386</v>
      </c>
      <c r="K26" s="11">
        <f t="shared" ref="K26:M26" si="3">K17+K25</f>
        <v>-291465</v>
      </c>
      <c r="L26" s="11">
        <f t="shared" si="3"/>
        <v>0</v>
      </c>
      <c r="M26" s="11">
        <f t="shared" si="3"/>
        <v>14046921</v>
      </c>
    </row>
    <row r="27" spans="1:19" ht="18.75">
      <c r="B27" s="3" t="s">
        <v>489</v>
      </c>
      <c r="C27" s="3"/>
      <c r="D27" s="3"/>
      <c r="E27" s="3"/>
      <c r="F27" s="4"/>
      <c r="G27" s="4"/>
      <c r="H27" s="4"/>
      <c r="I27" s="4"/>
      <c r="J27" s="11">
        <f>J26+J9</f>
        <v>16123996</v>
      </c>
      <c r="K27" s="11">
        <f t="shared" ref="K27:M27" si="4">K26+K9</f>
        <v>546627</v>
      </c>
      <c r="L27" s="11">
        <f t="shared" si="4"/>
        <v>-40000</v>
      </c>
      <c r="M27" s="11">
        <f t="shared" si="4"/>
        <v>16630623</v>
      </c>
      <c r="N27" s="76">
        <f>SUM(N7:N25)</f>
        <v>16630623</v>
      </c>
    </row>
    <row r="28" spans="1:19" ht="18.75">
      <c r="B28" s="3"/>
      <c r="C28" s="3"/>
      <c r="D28" s="3"/>
      <c r="E28" s="3"/>
      <c r="F28" s="4"/>
      <c r="G28" s="4"/>
      <c r="H28" s="4"/>
      <c r="I28" s="4"/>
      <c r="J28" s="27"/>
      <c r="K28" s="27"/>
      <c r="L28" s="27"/>
      <c r="M28" s="27"/>
    </row>
    <row r="29" spans="1:19" ht="18.75">
      <c r="B29" s="3"/>
      <c r="C29" s="3"/>
      <c r="D29" s="3"/>
      <c r="E29" s="3"/>
      <c r="F29" s="4"/>
      <c r="G29" s="4"/>
      <c r="H29" s="4"/>
      <c r="I29" s="4"/>
      <c r="J29" s="27"/>
      <c r="K29" s="27"/>
      <c r="L29" s="27"/>
      <c r="M29" s="27"/>
    </row>
    <row r="30" spans="1:19" ht="18.75">
      <c r="A30" s="1" t="s">
        <v>439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8.75">
      <c r="B31" s="3" t="s">
        <v>10</v>
      </c>
      <c r="C31" s="3"/>
      <c r="D31" s="3"/>
      <c r="E31" s="3"/>
      <c r="F31" s="3"/>
      <c r="G31" s="3"/>
      <c r="H31" s="4"/>
      <c r="I31" s="4"/>
      <c r="J31" s="6"/>
      <c r="K31" s="6"/>
      <c r="L31" s="6"/>
      <c r="M31" s="6"/>
    </row>
    <row r="32" spans="1:19" ht="18.75">
      <c r="B32" s="4" t="s">
        <v>12</v>
      </c>
      <c r="C32" s="4"/>
      <c r="D32" s="4"/>
      <c r="E32" s="4"/>
      <c r="F32" s="4"/>
      <c r="G32" s="4"/>
      <c r="H32" s="4"/>
      <c r="I32" s="4"/>
      <c r="J32" s="6">
        <v>1836763</v>
      </c>
      <c r="K32" s="6"/>
      <c r="L32" s="6">
        <v>-1836763</v>
      </c>
      <c r="M32" s="6">
        <f>SUM(J32:L32)</f>
        <v>0</v>
      </c>
      <c r="N32" s="76">
        <f>M32</f>
        <v>0</v>
      </c>
    </row>
    <row r="33" spans="2:14" ht="18.75">
      <c r="B33" s="3"/>
      <c r="C33" s="3" t="s">
        <v>382</v>
      </c>
      <c r="D33" s="3"/>
      <c r="E33" s="3"/>
      <c r="F33" s="3"/>
      <c r="G33" s="3"/>
      <c r="H33" s="3"/>
      <c r="I33" s="3"/>
      <c r="J33" s="10">
        <f>SUM(J32:J32)</f>
        <v>1836763</v>
      </c>
      <c r="K33" s="10">
        <f>SUM(K32:K32)</f>
        <v>0</v>
      </c>
      <c r="L33" s="10">
        <f>SUM(L32:L32)</f>
        <v>-1836763</v>
      </c>
      <c r="M33" s="10">
        <f>SUM(J33:L33)</f>
        <v>0</v>
      </c>
    </row>
    <row r="34" spans="2:14" ht="18.75">
      <c r="B34" s="3"/>
      <c r="C34" s="3"/>
      <c r="D34" s="3"/>
      <c r="E34" s="3"/>
      <c r="F34" s="3"/>
      <c r="G34" s="3"/>
      <c r="H34" s="3"/>
      <c r="I34" s="3"/>
      <c r="J34" s="28"/>
      <c r="K34" s="28"/>
      <c r="L34" s="28"/>
      <c r="M34" s="28"/>
    </row>
    <row r="35" spans="2:14" ht="18.75">
      <c r="B35" s="3" t="s">
        <v>400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2:14" ht="18.75">
      <c r="B36" s="4" t="s">
        <v>514</v>
      </c>
      <c r="C36" s="4"/>
      <c r="D36" s="4"/>
      <c r="E36" s="4"/>
      <c r="F36" s="4"/>
      <c r="G36" s="4"/>
      <c r="H36" s="4"/>
      <c r="I36" s="4"/>
      <c r="J36" s="4">
        <v>11684547</v>
      </c>
      <c r="K36" s="4">
        <v>3795917</v>
      </c>
      <c r="L36" s="4"/>
      <c r="M36" s="4">
        <f t="shared" ref="M36:M38" si="5">SUM(J36:L36)</f>
        <v>15480464</v>
      </c>
    </row>
    <row r="37" spans="2:14" ht="18.75">
      <c r="B37" s="4" t="s">
        <v>32</v>
      </c>
      <c r="C37" s="4"/>
      <c r="D37" s="4"/>
      <c r="E37" s="4"/>
      <c r="F37" s="4"/>
      <c r="G37" s="4"/>
      <c r="H37" s="4"/>
      <c r="I37" s="4"/>
      <c r="J37" s="4">
        <v>191296</v>
      </c>
      <c r="K37" s="4">
        <v>25840</v>
      </c>
      <c r="L37" s="4"/>
      <c r="M37" s="4">
        <f t="shared" si="5"/>
        <v>217136</v>
      </c>
    </row>
    <row r="38" spans="2:14" ht="18.75">
      <c r="B38" s="4" t="s">
        <v>30</v>
      </c>
      <c r="C38" s="4"/>
      <c r="D38" s="4"/>
      <c r="E38" s="4"/>
      <c r="F38" s="4"/>
      <c r="G38" s="4"/>
      <c r="H38" s="4"/>
      <c r="I38" s="4"/>
      <c r="J38" s="4">
        <v>74100</v>
      </c>
      <c r="K38" s="4">
        <v>12900</v>
      </c>
      <c r="L38" s="4"/>
      <c r="M38" s="4">
        <f t="shared" si="5"/>
        <v>87000</v>
      </c>
    </row>
    <row r="39" spans="2:14" ht="18.75">
      <c r="B39" s="3"/>
      <c r="C39" s="3"/>
      <c r="D39" s="3" t="s">
        <v>19</v>
      </c>
      <c r="E39" s="3"/>
      <c r="F39" s="3"/>
      <c r="G39" s="4"/>
      <c r="H39" s="4"/>
      <c r="I39" s="4"/>
      <c r="J39" s="11">
        <f>SUM(J36:J38)</f>
        <v>11949943</v>
      </c>
      <c r="K39" s="11">
        <f>SUM(K36:K38)</f>
        <v>3834657</v>
      </c>
      <c r="L39" s="11">
        <f>SUM(L36:L38)</f>
        <v>0</v>
      </c>
      <c r="M39" s="11">
        <f>SUM(M36:M38)</f>
        <v>15784600</v>
      </c>
    </row>
    <row r="40" spans="2:14" ht="18.75">
      <c r="B40" s="3" t="s">
        <v>20</v>
      </c>
      <c r="C40" s="4"/>
      <c r="D40" s="4"/>
      <c r="E40" s="4"/>
      <c r="F40" s="4"/>
      <c r="G40" s="4"/>
      <c r="H40" s="4"/>
      <c r="I40" s="4"/>
      <c r="J40" s="4"/>
      <c r="K40" s="6"/>
      <c r="L40" s="6"/>
      <c r="M40" s="6"/>
    </row>
    <row r="41" spans="2:14" ht="18.75">
      <c r="B41" s="4" t="s">
        <v>514</v>
      </c>
      <c r="C41" s="4"/>
      <c r="D41" s="4"/>
      <c r="E41" s="4"/>
      <c r="F41" s="4"/>
      <c r="G41" s="4"/>
      <c r="H41" s="4"/>
      <c r="I41" s="4"/>
      <c r="J41" s="6">
        <v>-5319279</v>
      </c>
      <c r="K41" s="6">
        <v>-320544</v>
      </c>
      <c r="L41" s="6"/>
      <c r="M41" s="6">
        <f t="shared" ref="M41:M44" si="6">SUM(J41:L41)</f>
        <v>-5639823</v>
      </c>
      <c r="N41" s="70">
        <f>M36+M41</f>
        <v>9840641</v>
      </c>
    </row>
    <row r="42" spans="2:14" ht="18.75">
      <c r="B42" s="4" t="s">
        <v>32</v>
      </c>
      <c r="C42" s="4"/>
      <c r="D42" s="4"/>
      <c r="E42" s="4"/>
      <c r="F42" s="4"/>
      <c r="G42" s="4"/>
      <c r="H42" s="4"/>
      <c r="I42" s="4"/>
      <c r="J42" s="6">
        <v>-70695</v>
      </c>
      <c r="K42" s="6">
        <v>-25592</v>
      </c>
      <c r="L42" s="6"/>
      <c r="M42" s="6">
        <f t="shared" si="6"/>
        <v>-96287</v>
      </c>
      <c r="N42" s="70">
        <f>M37+M42</f>
        <v>120849</v>
      </c>
    </row>
    <row r="43" spans="2:14" ht="18.75">
      <c r="B43" s="4" t="s">
        <v>30</v>
      </c>
      <c r="C43" s="4"/>
      <c r="D43" s="4"/>
      <c r="E43" s="4"/>
      <c r="F43" s="4"/>
      <c r="G43" s="4"/>
      <c r="H43" s="4"/>
      <c r="I43" s="4"/>
      <c r="J43" s="6">
        <v>-64166</v>
      </c>
      <c r="K43" s="6">
        <v>-6151</v>
      </c>
      <c r="L43" s="6"/>
      <c r="M43" s="6">
        <f t="shared" si="6"/>
        <v>-70317</v>
      </c>
      <c r="N43" s="76">
        <f>M38+M43</f>
        <v>16683</v>
      </c>
    </row>
    <row r="44" spans="2:14" ht="18.75">
      <c r="B44" s="3"/>
      <c r="C44" s="3"/>
      <c r="D44" s="3" t="s">
        <v>21</v>
      </c>
      <c r="E44" s="3"/>
      <c r="F44" s="4"/>
      <c r="G44" s="4"/>
      <c r="H44" s="4"/>
      <c r="I44" s="4"/>
      <c r="J44" s="11">
        <f>SUM(J41:J43)</f>
        <v>-5454140</v>
      </c>
      <c r="K44" s="11">
        <f>SUM(K41:K43)</f>
        <v>-352287</v>
      </c>
      <c r="L44" s="11">
        <f>SUM(L41:L43)</f>
        <v>0</v>
      </c>
      <c r="M44" s="11">
        <f t="shared" si="6"/>
        <v>-5806427</v>
      </c>
    </row>
    <row r="45" spans="2:14" ht="18.75">
      <c r="B45" s="3" t="s">
        <v>496</v>
      </c>
      <c r="C45" s="3"/>
      <c r="D45" s="3"/>
      <c r="E45" s="3"/>
      <c r="F45" s="4"/>
      <c r="G45" s="4"/>
      <c r="H45" s="4"/>
      <c r="I45" s="4"/>
      <c r="J45" s="11">
        <f>J39+J44</f>
        <v>6495803</v>
      </c>
      <c r="K45" s="11">
        <f t="shared" ref="K45:M45" si="7">K39+K44</f>
        <v>3482370</v>
      </c>
      <c r="L45" s="11">
        <f t="shared" si="7"/>
        <v>0</v>
      </c>
      <c r="M45" s="11">
        <f t="shared" si="7"/>
        <v>9978173</v>
      </c>
    </row>
    <row r="46" spans="2:14" ht="18.75">
      <c r="B46" s="3" t="s">
        <v>90</v>
      </c>
      <c r="C46" s="3"/>
      <c r="D46" s="3"/>
      <c r="E46" s="3"/>
      <c r="F46" s="4"/>
      <c r="G46" s="4"/>
      <c r="H46" s="4"/>
      <c r="I46" s="4"/>
      <c r="J46" s="11">
        <f>J45+J33</f>
        <v>8332566</v>
      </c>
      <c r="K46" s="11">
        <f t="shared" ref="K46:M46" si="8">K45+K33</f>
        <v>3482370</v>
      </c>
      <c r="L46" s="11">
        <f t="shared" si="8"/>
        <v>-1836763</v>
      </c>
      <c r="M46" s="11">
        <f t="shared" si="8"/>
        <v>9978173</v>
      </c>
      <c r="N46" s="76">
        <f>SUM(N32:N44)</f>
        <v>9978173</v>
      </c>
    </row>
  </sheetData>
  <mergeCells count="3">
    <mergeCell ref="E1:J1"/>
    <mergeCell ref="E2:J2"/>
    <mergeCell ref="E3:J3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M30"/>
  <sheetViews>
    <sheetView zoomScale="80" zoomScaleNormal="80" workbookViewId="0">
      <selection activeCell="M15" sqref="M15"/>
    </sheetView>
  </sheetViews>
  <sheetFormatPr defaultColWidth="8.85546875" defaultRowHeight="15"/>
  <cols>
    <col min="2" max="2" width="5.7109375" customWidth="1"/>
    <col min="9" max="9" width="17.5703125" customWidth="1"/>
    <col min="10" max="10" width="14.28515625" bestFit="1" customWidth="1"/>
    <col min="11" max="11" width="13.7109375" bestFit="1" customWidth="1"/>
    <col min="12" max="13" width="20.42578125" customWidth="1"/>
  </cols>
  <sheetData>
    <row r="1" spans="1:13" ht="18.75">
      <c r="A1" s="4"/>
      <c r="B1" s="4"/>
      <c r="C1" s="4"/>
      <c r="D1" s="109" t="s">
        <v>515</v>
      </c>
      <c r="E1" s="109"/>
      <c r="F1" s="109"/>
      <c r="G1" s="109"/>
      <c r="H1" s="109"/>
      <c r="I1" s="109"/>
      <c r="J1" s="4"/>
      <c r="K1" s="4"/>
      <c r="L1" s="4"/>
    </row>
    <row r="2" spans="1:13" ht="18.75">
      <c r="A2" s="4"/>
      <c r="B2" s="4"/>
      <c r="C2" s="4"/>
      <c r="D2" s="109" t="s">
        <v>1</v>
      </c>
      <c r="E2" s="109"/>
      <c r="F2" s="109"/>
      <c r="G2" s="109"/>
      <c r="H2" s="109"/>
      <c r="I2" s="109"/>
      <c r="J2" s="4"/>
      <c r="K2" s="4"/>
      <c r="L2" s="4"/>
    </row>
    <row r="3" spans="1:13" ht="18.75">
      <c r="A3" s="4"/>
      <c r="B3" s="4"/>
      <c r="C3" s="4"/>
      <c r="D3" s="109" t="s">
        <v>2</v>
      </c>
      <c r="E3" s="109"/>
      <c r="F3" s="109"/>
      <c r="G3" s="109"/>
      <c r="H3" s="109"/>
      <c r="I3" s="109"/>
      <c r="J3" s="4"/>
      <c r="K3" s="4"/>
      <c r="L3" s="4"/>
    </row>
    <row r="4" spans="1:13" ht="18.75">
      <c r="A4" s="4"/>
      <c r="B4" s="4"/>
      <c r="C4" s="4"/>
      <c r="D4" s="107"/>
      <c r="E4" s="107"/>
      <c r="F4" s="107"/>
      <c r="G4" s="107"/>
      <c r="H4" s="107"/>
      <c r="I4" s="107"/>
      <c r="J4" s="4"/>
      <c r="K4" s="4"/>
      <c r="L4" s="4"/>
    </row>
    <row r="5" spans="1:13" ht="37.5">
      <c r="A5" s="4"/>
      <c r="B5" s="4"/>
      <c r="C5" s="4"/>
      <c r="D5" s="4"/>
      <c r="E5" s="4"/>
      <c r="F5" s="4"/>
      <c r="G5" s="4"/>
      <c r="H5" s="4"/>
      <c r="I5" s="64" t="s">
        <v>3</v>
      </c>
      <c r="J5" s="64" t="s">
        <v>4</v>
      </c>
      <c r="K5" s="64" t="s">
        <v>5</v>
      </c>
      <c r="L5" s="64" t="s">
        <v>6</v>
      </c>
      <c r="M5" s="64" t="s">
        <v>7</v>
      </c>
    </row>
    <row r="6" spans="1:13" ht="18.75">
      <c r="A6" s="3" t="s">
        <v>8</v>
      </c>
      <c r="B6" s="4"/>
      <c r="C6" s="4"/>
      <c r="D6" s="4"/>
      <c r="E6" s="4"/>
      <c r="F6" s="4"/>
      <c r="G6" s="4"/>
      <c r="H6" s="4"/>
      <c r="I6" s="5"/>
      <c r="J6" s="5"/>
      <c r="K6" s="5"/>
      <c r="L6" s="5"/>
    </row>
    <row r="7" spans="1:13" ht="18.75">
      <c r="A7" s="3" t="s">
        <v>396</v>
      </c>
      <c r="B7" s="3"/>
      <c r="C7" s="3"/>
      <c r="D7" s="3"/>
      <c r="E7" s="3"/>
      <c r="F7" s="3"/>
      <c r="G7" s="4"/>
      <c r="H7" s="4"/>
      <c r="I7" s="4"/>
      <c r="J7" s="4"/>
      <c r="K7" s="4"/>
      <c r="L7" s="4"/>
    </row>
    <row r="8" spans="1:13" ht="18.75">
      <c r="A8" s="4"/>
      <c r="B8" s="4" t="s">
        <v>11</v>
      </c>
      <c r="C8" s="4"/>
      <c r="D8" s="4"/>
      <c r="E8" s="4"/>
      <c r="F8" s="4"/>
      <c r="G8" s="4"/>
      <c r="H8" s="4"/>
      <c r="I8" s="6">
        <v>223675</v>
      </c>
      <c r="J8" s="6"/>
      <c r="K8" s="6"/>
      <c r="L8" s="6">
        <f>SUM(I8:K8)</f>
        <v>223675</v>
      </c>
      <c r="M8" s="32">
        <f>L8</f>
        <v>223675</v>
      </c>
    </row>
    <row r="9" spans="1:13" ht="18.75">
      <c r="A9" s="4"/>
      <c r="B9" s="4" t="s">
        <v>15</v>
      </c>
      <c r="C9" s="4"/>
      <c r="D9" s="4"/>
      <c r="E9" s="4"/>
      <c r="F9" s="4"/>
      <c r="G9" s="4"/>
      <c r="H9" s="4"/>
      <c r="I9" s="4">
        <v>1932890</v>
      </c>
      <c r="J9" s="6"/>
      <c r="K9" s="6"/>
      <c r="L9" s="6">
        <f>SUM(I9:K9)</f>
        <v>1932890</v>
      </c>
      <c r="M9" s="2"/>
    </row>
    <row r="10" spans="1:13" ht="18.75">
      <c r="A10" s="4"/>
      <c r="B10" s="4" t="s">
        <v>32</v>
      </c>
      <c r="C10" s="4"/>
      <c r="D10" s="4"/>
      <c r="E10" s="4"/>
      <c r="F10" s="4"/>
      <c r="G10" s="4"/>
      <c r="H10" s="4"/>
      <c r="I10" s="4">
        <v>1236855</v>
      </c>
      <c r="J10" s="6"/>
      <c r="K10" s="6"/>
      <c r="L10" s="6">
        <f t="shared" ref="L10:L13" si="0">SUM(I10:K10)</f>
        <v>1236855</v>
      </c>
      <c r="M10" s="2"/>
    </row>
    <row r="11" spans="1:13" ht="18.75">
      <c r="A11" s="4"/>
      <c r="B11" s="4" t="s">
        <v>516</v>
      </c>
      <c r="C11" s="4"/>
      <c r="D11" s="4"/>
      <c r="E11" s="4"/>
      <c r="F11" s="4"/>
      <c r="G11" s="4"/>
      <c r="H11" s="4"/>
      <c r="I11" s="4">
        <v>415006</v>
      </c>
      <c r="J11" s="6">
        <v>18532</v>
      </c>
      <c r="K11" s="6"/>
      <c r="L11" s="6">
        <f t="shared" si="0"/>
        <v>433538</v>
      </c>
      <c r="M11" s="2"/>
    </row>
    <row r="12" spans="1:13" ht="18.75">
      <c r="A12" s="4"/>
      <c r="B12" s="4" t="s">
        <v>517</v>
      </c>
      <c r="C12" s="4"/>
      <c r="D12" s="4"/>
      <c r="E12" s="4"/>
      <c r="F12" s="4"/>
      <c r="G12" s="4"/>
      <c r="H12" s="4"/>
      <c r="I12" s="4">
        <v>29980</v>
      </c>
      <c r="J12" s="6"/>
      <c r="K12" s="6"/>
      <c r="L12" s="6">
        <f t="shared" si="0"/>
        <v>29980</v>
      </c>
      <c r="M12" s="2"/>
    </row>
    <row r="13" spans="1:13" ht="18.75">
      <c r="A13" s="4"/>
      <c r="B13" s="4" t="s">
        <v>518</v>
      </c>
      <c r="C13" s="4"/>
      <c r="D13" s="4"/>
      <c r="E13" s="4"/>
      <c r="F13" s="4"/>
      <c r="G13" s="4"/>
      <c r="H13" s="4"/>
      <c r="I13" s="4">
        <v>1193372</v>
      </c>
      <c r="J13" s="6">
        <v>59038</v>
      </c>
      <c r="K13" s="6">
        <v>-198200</v>
      </c>
      <c r="L13" s="6">
        <f t="shared" si="0"/>
        <v>1054210</v>
      </c>
      <c r="M13" s="2"/>
    </row>
    <row r="14" spans="1:13" ht="18.75">
      <c r="A14" s="4"/>
      <c r="B14" s="4" t="s">
        <v>12</v>
      </c>
      <c r="C14" s="4"/>
      <c r="D14" s="4"/>
      <c r="E14" s="4"/>
      <c r="F14" s="4"/>
      <c r="G14" s="4"/>
      <c r="H14" s="4"/>
      <c r="I14" s="4"/>
      <c r="J14" s="6">
        <v>1298815</v>
      </c>
      <c r="K14" s="6"/>
      <c r="L14" s="6">
        <f>SUM(I14:K14)</f>
        <v>1298815</v>
      </c>
      <c r="M14" s="32">
        <f>L14</f>
        <v>1298815</v>
      </c>
    </row>
    <row r="15" spans="1:13" ht="18.75">
      <c r="A15" s="4"/>
      <c r="B15" s="4"/>
      <c r="C15" s="3" t="s">
        <v>125</v>
      </c>
      <c r="D15" s="4"/>
      <c r="E15" s="4"/>
      <c r="F15" s="4"/>
      <c r="G15" s="4"/>
      <c r="H15" s="4"/>
      <c r="I15" s="14">
        <f>SUM(I8:I14)</f>
        <v>5031778</v>
      </c>
      <c r="J15" s="14">
        <f t="shared" ref="J15:L15" si="1">SUM(J8:J14)</f>
        <v>1376385</v>
      </c>
      <c r="K15" s="14">
        <f t="shared" si="1"/>
        <v>-198200</v>
      </c>
      <c r="L15" s="14">
        <f t="shared" si="1"/>
        <v>6209963</v>
      </c>
      <c r="M15" s="2"/>
    </row>
    <row r="16" spans="1:13" ht="18.75">
      <c r="A16" s="4"/>
      <c r="B16" s="4" t="s">
        <v>519</v>
      </c>
      <c r="C16" s="4"/>
      <c r="D16" s="4"/>
      <c r="E16" s="4"/>
      <c r="F16" s="4"/>
      <c r="G16" s="4"/>
      <c r="H16" s="4"/>
      <c r="I16" s="4">
        <v>819190</v>
      </c>
      <c r="J16" s="4"/>
      <c r="K16" s="4"/>
      <c r="L16" s="4">
        <f>SUM(I16:K16)</f>
        <v>819190</v>
      </c>
      <c r="M16" s="2"/>
    </row>
    <row r="17" spans="1:13" ht="18.75">
      <c r="A17" s="4"/>
      <c r="B17" s="4"/>
      <c r="C17" s="4"/>
      <c r="D17" s="4"/>
      <c r="E17" s="4"/>
      <c r="F17" s="4"/>
      <c r="G17" s="4"/>
      <c r="H17" s="4"/>
      <c r="I17" s="72"/>
      <c r="J17" s="72"/>
      <c r="K17" s="72"/>
      <c r="L17" s="72"/>
      <c r="M17" s="2"/>
    </row>
    <row r="18" spans="1:13" ht="18.75">
      <c r="A18" s="4"/>
      <c r="B18" s="4"/>
      <c r="C18" s="3" t="s">
        <v>520</v>
      </c>
      <c r="D18" s="4"/>
      <c r="E18" s="4"/>
      <c r="F18" s="4"/>
      <c r="G18" s="4"/>
      <c r="H18" s="4"/>
      <c r="I18" s="24">
        <f>SUM(I15:I16)</f>
        <v>5850968</v>
      </c>
      <c r="J18" s="24">
        <f t="shared" ref="J18:L18" si="2">SUM(J15:J16)</f>
        <v>1376385</v>
      </c>
      <c r="K18" s="24">
        <f t="shared" si="2"/>
        <v>-198200</v>
      </c>
      <c r="L18" s="24">
        <f t="shared" si="2"/>
        <v>7029153</v>
      </c>
      <c r="M18" s="2"/>
    </row>
    <row r="19" spans="1:13" ht="18.7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2"/>
    </row>
    <row r="20" spans="1:13" ht="18.75">
      <c r="A20" s="3" t="s">
        <v>147</v>
      </c>
      <c r="B20" s="4"/>
      <c r="C20" s="4"/>
      <c r="D20" s="4"/>
      <c r="E20" s="4"/>
      <c r="F20" s="4"/>
      <c r="G20" s="4"/>
      <c r="H20" s="4"/>
      <c r="I20" s="4"/>
      <c r="J20" s="6"/>
      <c r="K20" s="6"/>
      <c r="L20" s="6"/>
      <c r="M20" s="2"/>
    </row>
    <row r="21" spans="1:13" ht="18.75">
      <c r="A21" s="4"/>
      <c r="B21" s="4" t="s">
        <v>15</v>
      </c>
      <c r="C21" s="4"/>
      <c r="D21" s="4"/>
      <c r="E21" s="4"/>
      <c r="F21" s="4"/>
      <c r="G21" s="4"/>
      <c r="H21" s="4"/>
      <c r="I21" s="6">
        <v>-1208150</v>
      </c>
      <c r="J21" s="6">
        <v>-25768</v>
      </c>
      <c r="K21" s="6"/>
      <c r="L21" s="6">
        <f t="shared" ref="L21:L24" si="3">SUM(I21:K21)</f>
        <v>-1233918</v>
      </c>
      <c r="M21" s="32">
        <f>L9+L21</f>
        <v>698972</v>
      </c>
    </row>
    <row r="22" spans="1:13" ht="18.75">
      <c r="A22" s="4"/>
      <c r="B22" s="4" t="s">
        <v>32</v>
      </c>
      <c r="C22" s="4"/>
      <c r="D22" s="4"/>
      <c r="E22" s="4"/>
      <c r="F22" s="4"/>
      <c r="G22" s="4"/>
      <c r="H22" s="4"/>
      <c r="I22" s="6">
        <v>-696135</v>
      </c>
      <c r="J22" s="6">
        <v>-118977</v>
      </c>
      <c r="K22" s="6"/>
      <c r="L22" s="6">
        <f t="shared" si="3"/>
        <v>-815112</v>
      </c>
      <c r="M22" s="32">
        <f>L10+L22</f>
        <v>421743</v>
      </c>
    </row>
    <row r="23" spans="1:13" ht="18.75">
      <c r="A23" s="4"/>
      <c r="B23" s="4" t="s">
        <v>516</v>
      </c>
      <c r="C23" s="4"/>
      <c r="D23" s="4"/>
      <c r="E23" s="4"/>
      <c r="F23" s="4"/>
      <c r="G23" s="4"/>
      <c r="H23" s="4"/>
      <c r="I23" s="6">
        <v>-324290</v>
      </c>
      <c r="J23" s="6">
        <v>-45186</v>
      </c>
      <c r="K23" s="6"/>
      <c r="L23" s="6">
        <f t="shared" si="3"/>
        <v>-369476</v>
      </c>
      <c r="M23" s="32">
        <f>L11+L23</f>
        <v>64062</v>
      </c>
    </row>
    <row r="24" spans="1:13" ht="18.75">
      <c r="A24" s="4"/>
      <c r="B24" s="4" t="s">
        <v>517</v>
      </c>
      <c r="C24" s="4"/>
      <c r="D24" s="4"/>
      <c r="E24" s="4"/>
      <c r="F24" s="4"/>
      <c r="G24" s="4"/>
      <c r="H24" s="4"/>
      <c r="I24" s="6">
        <v>-27122</v>
      </c>
      <c r="J24" s="6">
        <v>-523</v>
      </c>
      <c r="K24" s="6"/>
      <c r="L24" s="6">
        <f t="shared" si="3"/>
        <v>-27645</v>
      </c>
      <c r="M24" s="32">
        <f>L12+L24</f>
        <v>2335</v>
      </c>
    </row>
    <row r="25" spans="1:13" ht="18.75">
      <c r="A25" s="4"/>
      <c r="B25" s="4" t="s">
        <v>518</v>
      </c>
      <c r="C25" s="4"/>
      <c r="D25" s="4"/>
      <c r="E25" s="4"/>
      <c r="F25" s="4"/>
      <c r="G25" s="4"/>
      <c r="H25" s="4"/>
      <c r="I25" s="6">
        <v>-1026613</v>
      </c>
      <c r="J25" s="6">
        <v>-74382</v>
      </c>
      <c r="K25" s="6">
        <v>198200</v>
      </c>
      <c r="L25" s="6">
        <f>SUM(I25:K25)</f>
        <v>-902795</v>
      </c>
      <c r="M25" s="32">
        <f>L13+L25</f>
        <v>151415</v>
      </c>
    </row>
    <row r="26" spans="1:13" ht="18.75">
      <c r="A26" s="3"/>
      <c r="B26" s="4"/>
      <c r="C26" s="3" t="s">
        <v>125</v>
      </c>
      <c r="D26" s="4"/>
      <c r="E26" s="4"/>
      <c r="F26" s="4"/>
      <c r="G26" s="4"/>
      <c r="H26" s="4"/>
      <c r="I26" s="11">
        <f>SUM(I21:I25)</f>
        <v>-3282310</v>
      </c>
      <c r="J26" s="11">
        <f>SUM(J21:J25)</f>
        <v>-264836</v>
      </c>
      <c r="K26" s="11">
        <f>SUM(K21:K25)</f>
        <v>198200</v>
      </c>
      <c r="L26" s="11">
        <f>SUM(L21:L25)</f>
        <v>-3348946</v>
      </c>
      <c r="M26" s="2"/>
    </row>
    <row r="27" spans="1:13" ht="18.75">
      <c r="A27" s="3"/>
      <c r="B27" s="4" t="s">
        <v>519</v>
      </c>
      <c r="C27" s="3"/>
      <c r="D27" s="4"/>
      <c r="E27" s="4"/>
      <c r="F27" s="4"/>
      <c r="G27" s="4"/>
      <c r="H27" s="4"/>
      <c r="I27" s="27">
        <v>-61439</v>
      </c>
      <c r="J27" s="27">
        <v>-20480</v>
      </c>
      <c r="K27" s="27"/>
      <c r="L27" s="27">
        <f>SUM(I27:K27)</f>
        <v>-81919</v>
      </c>
      <c r="M27" s="32">
        <f>L16+L27</f>
        <v>737271</v>
      </c>
    </row>
    <row r="28" spans="1:13" ht="18.7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2"/>
    </row>
    <row r="29" spans="1:13" ht="18.75">
      <c r="A29" s="3" t="s">
        <v>521</v>
      </c>
      <c r="B29" s="4"/>
      <c r="C29" s="3"/>
      <c r="D29" s="4"/>
      <c r="E29" s="4"/>
      <c r="F29" s="4"/>
      <c r="G29" s="4"/>
      <c r="H29" s="4"/>
      <c r="I29" s="11">
        <f>SUM(I26:I27)</f>
        <v>-3343749</v>
      </c>
      <c r="J29" s="11">
        <f t="shared" ref="J29:L29" si="4">SUM(J26:J27)</f>
        <v>-285316</v>
      </c>
      <c r="K29" s="11">
        <f t="shared" si="4"/>
        <v>198200</v>
      </c>
      <c r="L29" s="11">
        <f t="shared" si="4"/>
        <v>-3430865</v>
      </c>
      <c r="M29" s="2"/>
    </row>
    <row r="30" spans="1:13" ht="18.75">
      <c r="A30" s="3" t="s">
        <v>210</v>
      </c>
      <c r="B30" s="4"/>
      <c r="C30" s="3"/>
      <c r="D30" s="4"/>
      <c r="E30" s="4"/>
      <c r="F30" s="4"/>
      <c r="G30" s="4"/>
      <c r="H30" s="4"/>
      <c r="I30" s="11">
        <f>I29+I18</f>
        <v>2507219</v>
      </c>
      <c r="J30" s="11">
        <f t="shared" ref="J30:L30" si="5">J29+J18</f>
        <v>1091069</v>
      </c>
      <c r="K30" s="11">
        <f t="shared" si="5"/>
        <v>0</v>
      </c>
      <c r="L30" s="11">
        <f t="shared" si="5"/>
        <v>3598288</v>
      </c>
      <c r="M30" s="32">
        <f>SUM(M8:M28)</f>
        <v>3598288</v>
      </c>
    </row>
  </sheetData>
  <mergeCells count="3">
    <mergeCell ref="D1:I1"/>
    <mergeCell ref="D2:I2"/>
    <mergeCell ref="D3:I3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46E7C3A01C2A47A437981BA5A3419C" ma:contentTypeVersion="11" ma:contentTypeDescription="Create a new document." ma:contentTypeScope="" ma:versionID="d554655ad64208c1d6e2effa97f27dc4">
  <xsd:schema xmlns:xsd="http://www.w3.org/2001/XMLSchema" xmlns:xs="http://www.w3.org/2001/XMLSchema" xmlns:p="http://schemas.microsoft.com/office/2006/metadata/properties" xmlns:ns2="a04dc2bb-3752-482a-bef8-a3d7520562f3" xmlns:ns3="07258940-cd77-4b7c-bf02-282e7e1fade8" xmlns:ns4="a09b295e-4c54-4020-9012-76e6da7e7cd2" targetNamespace="http://schemas.microsoft.com/office/2006/metadata/properties" ma:root="true" ma:fieldsID="df42f594409b0399f47f761bc5024e7c" ns2:_="" ns3:_="" ns4:_="">
    <xsd:import namespace="a04dc2bb-3752-482a-bef8-a3d7520562f3"/>
    <xsd:import namespace="07258940-cd77-4b7c-bf02-282e7e1fade8"/>
    <xsd:import namespace="a09b295e-4c54-4020-9012-76e6da7e7cd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EventHashCode" minOccurs="0"/>
                <xsd:element ref="ns4:MediaServiceGenerationTime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dc2bb-3752-482a-bef8-a3d7520562f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58940-cd77-4b7c-bf02-282e7e1fade8" elementFormDefault="qualified">
    <xsd:import namespace="http://schemas.microsoft.com/office/2006/documentManagement/types"/>
    <xsd:import namespace="http://schemas.microsoft.com/office/infopath/2007/PartnerControls"/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9b295e-4c54-4020-9012-76e6da7e7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04dc2bb-3752-482a-bef8-a3d7520562f3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B4E17FB-BFA3-477C-A491-55DFFF5D0726}"/>
</file>

<file path=customXml/itemProps2.xml><?xml version="1.0" encoding="utf-8"?>
<ds:datastoreItem xmlns:ds="http://schemas.openxmlformats.org/officeDocument/2006/customXml" ds:itemID="{E9B9CA72-AE96-4842-93AB-10BCB0B26B5B}"/>
</file>

<file path=customXml/itemProps3.xml><?xml version="1.0" encoding="utf-8"?>
<ds:datastoreItem xmlns:ds="http://schemas.openxmlformats.org/officeDocument/2006/customXml" ds:itemID="{711A811D-78F8-4A87-874C-4E3A1E5035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asteib2</dc:creator>
  <cp:keywords/>
  <dc:description/>
  <cp:lastModifiedBy>Luftig, Valerio</cp:lastModifiedBy>
  <cp:revision/>
  <dcterms:created xsi:type="dcterms:W3CDTF">2013-06-13T17:51:59Z</dcterms:created>
  <dcterms:modified xsi:type="dcterms:W3CDTF">2025-06-17T20:22:16Z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0x0101009346E7C3A01C2A47A437981BA5A3419C</vt:lpwstr>
  </property>
</Properties>
</file>