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defaultThemeVersion="124226"/>
  <xr:revisionPtr revIDLastSave="2" documentId="11_8EE9609CF21392AFB03ACB533C64CB6C8C1F1F6B" xr6:coauthVersionLast="47" xr6:coauthVersionMax="47" xr10:uidLastSave="{52814F66-1C03-491E-B20A-2368BB1E4073}"/>
  <bookViews>
    <workbookView xWindow="0" yWindow="0" windowWidth="10410" windowHeight="7635" tabRatio="933" firstSheet="64" activeTab="64" xr2:uid="{00000000-000D-0000-FFFF-FFFF00000000}"/>
  </bookViews>
  <sheets>
    <sheet name="Acadia" sheetId="109" r:id="rId1"/>
    <sheet name="Allen" sheetId="110" r:id="rId2"/>
    <sheet name="Ascension" sheetId="55" r:id="rId3"/>
    <sheet name="Assumption" sheetId="56" r:id="rId4"/>
    <sheet name="Avoyelles" sheetId="111" r:id="rId5"/>
    <sheet name="Beauregard" sheetId="145" r:id="rId6"/>
    <sheet name="Bienville" sheetId="112" r:id="rId7"/>
    <sheet name="Bossier" sheetId="113" r:id="rId8"/>
    <sheet name="Caddo" sheetId="114" r:id="rId9"/>
    <sheet name="Calcasieu" sheetId="115" r:id="rId10"/>
    <sheet name="Caldwell" sheetId="116" r:id="rId11"/>
    <sheet name="Cameron" sheetId="117" r:id="rId12"/>
    <sheet name="Catahoula" sheetId="118" r:id="rId13"/>
    <sheet name="Claiborne" sheetId="119" r:id="rId14"/>
    <sheet name="Concordia" sheetId="147" r:id="rId15"/>
    <sheet name="DeSoto" sheetId="120" r:id="rId16"/>
    <sheet name="East Baton Rouge" sheetId="103" r:id="rId17"/>
    <sheet name="East Carroll" sheetId="121" r:id="rId18"/>
    <sheet name="East Feliciana" sheetId="148" r:id="rId19"/>
    <sheet name="Evangeline" sheetId="122" r:id="rId20"/>
    <sheet name="Franklin" sheetId="123" r:id="rId21"/>
    <sheet name="Grant" sheetId="124" r:id="rId22"/>
    <sheet name="Iberia" sheetId="125" r:id="rId23"/>
    <sheet name="Iberville" sheetId="70" r:id="rId24"/>
    <sheet name="Jackson" sheetId="126" r:id="rId25"/>
    <sheet name="Jefferson Davis" sheetId="127" r:id="rId26"/>
    <sheet name="Jefferson" sheetId="72" r:id="rId27"/>
    <sheet name="LaSalle" sheetId="128" r:id="rId28"/>
    <sheet name="Lafayette" sheetId="73" r:id="rId29"/>
    <sheet name="Lafourche" sheetId="104" r:id="rId30"/>
    <sheet name="Lincoln" sheetId="129" r:id="rId31"/>
    <sheet name="Livingston" sheetId="100" r:id="rId32"/>
    <sheet name="Madison" sheetId="130" r:id="rId33"/>
    <sheet name="Morehouse" sheetId="105" r:id="rId34"/>
    <sheet name="Natchitoches" sheetId="131" r:id="rId35"/>
    <sheet name="Orleans" sheetId="77" r:id="rId36"/>
    <sheet name="Ouachita" sheetId="146" r:id="rId37"/>
    <sheet name="Plaquemines" sheetId="79" r:id="rId38"/>
    <sheet name="Pointe Coupee" sheetId="108" r:id="rId39"/>
    <sheet name="Rapides" sheetId="132" r:id="rId40"/>
    <sheet name="Red River" sheetId="133" r:id="rId41"/>
    <sheet name="Richland" sheetId="134" r:id="rId42"/>
    <sheet name="Sabine" sheetId="135" r:id="rId43"/>
    <sheet name="St. Bernard" sheetId="106" r:id="rId44"/>
    <sheet name="St. Charles" sheetId="83" r:id="rId45"/>
    <sheet name="St. Helena" sheetId="107" r:id="rId46"/>
    <sheet name="St. James" sheetId="84" r:id="rId47"/>
    <sheet name="St. John the Baptist" sheetId="102" r:id="rId48"/>
    <sheet name="St. Landry" sheetId="85" r:id="rId49"/>
    <sheet name="St. Martin" sheetId="136" r:id="rId50"/>
    <sheet name="St. Mary" sheetId="86" r:id="rId51"/>
    <sheet name="St. Tammany" sheetId="87" r:id="rId52"/>
    <sheet name="Tangipahoa" sheetId="88" r:id="rId53"/>
    <sheet name="Terrebonne" sheetId="89" r:id="rId54"/>
    <sheet name="Tensas" sheetId="137" r:id="rId55"/>
    <sheet name="Union" sheetId="138" r:id="rId56"/>
    <sheet name="Vermillion" sheetId="139" r:id="rId57"/>
    <sheet name="Vernon" sheetId="140" r:id="rId58"/>
    <sheet name="Washington" sheetId="93" r:id="rId59"/>
    <sheet name="Webster" sheetId="141" r:id="rId60"/>
    <sheet name="West Baton Rouge" sheetId="142" r:id="rId61"/>
    <sheet name="West Carroll" sheetId="143" r:id="rId62"/>
    <sheet name="West Feliciana" sheetId="149" r:id="rId63"/>
    <sheet name="Winn" sheetId="144" r:id="rId64"/>
    <sheet name="Cross Sectional" sheetId="3" r:id="rId6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72" i="3"/>
  <c r="K50" i="109"/>
  <c r="K26" i="109"/>
  <c r="K52" i="109"/>
  <c r="AA7" i="3"/>
  <c r="K46" i="110"/>
  <c r="K21" i="110"/>
  <c r="K48" i="110"/>
  <c r="AA8" i="3"/>
  <c r="K63" i="55"/>
  <c r="K34" i="55"/>
  <c r="K40" i="55"/>
  <c r="K65" i="55"/>
  <c r="AA9" i="3"/>
  <c r="K28" i="56"/>
  <c r="K21" i="56"/>
  <c r="K30" i="56"/>
  <c r="AA10" i="3"/>
  <c r="K31" i="111"/>
  <c r="K22" i="111"/>
  <c r="K33" i="111"/>
  <c r="AA11" i="3"/>
  <c r="K38" i="145"/>
  <c r="K19" i="145"/>
  <c r="K40" i="145"/>
  <c r="AA12" i="3"/>
  <c r="K30" i="112"/>
  <c r="K18" i="112"/>
  <c r="K32" i="112"/>
  <c r="AA13" i="3"/>
  <c r="K35" i="113"/>
  <c r="K20" i="113"/>
  <c r="K27" i="113"/>
  <c r="K37" i="113"/>
  <c r="AA14" i="3"/>
  <c r="K60" i="114"/>
  <c r="K36" i="114"/>
  <c r="K30" i="114"/>
  <c r="K62" i="114"/>
  <c r="AA15" i="3"/>
  <c r="K64" i="115"/>
  <c r="K35" i="115"/>
  <c r="K40" i="115"/>
  <c r="K66" i="115"/>
  <c r="AA16" i="3"/>
  <c r="K26" i="116"/>
  <c r="K20" i="116"/>
  <c r="K28" i="116"/>
  <c r="AA17" i="3"/>
  <c r="K54" i="117"/>
  <c r="K23" i="117"/>
  <c r="K56" i="117"/>
  <c r="AA18" i="3"/>
  <c r="K35" i="118"/>
  <c r="K28" i="118"/>
  <c r="K22" i="118"/>
  <c r="K37" i="118"/>
  <c r="AA19" i="3"/>
  <c r="K31" i="119"/>
  <c r="K25" i="119"/>
  <c r="K20" i="119"/>
  <c r="K33" i="119"/>
  <c r="AA20" i="3"/>
  <c r="K28" i="147"/>
  <c r="K18" i="147"/>
  <c r="K30" i="147"/>
  <c r="AA21" i="3"/>
  <c r="K47" i="120"/>
  <c r="K30" i="120"/>
  <c r="K25" i="120"/>
  <c r="K49" i="120"/>
  <c r="AA22" i="3"/>
  <c r="K46" i="103"/>
  <c r="K30" i="103"/>
  <c r="K37" i="103"/>
  <c r="K48" i="103"/>
  <c r="AA23" i="3"/>
  <c r="K24" i="121"/>
  <c r="K18" i="121"/>
  <c r="K26" i="121"/>
  <c r="AA24" i="3"/>
  <c r="K35" i="148"/>
  <c r="K21" i="148"/>
  <c r="K37" i="148"/>
  <c r="AA25" i="3"/>
  <c r="K42" i="122"/>
  <c r="K26" i="122"/>
  <c r="K44" i="122"/>
  <c r="AA26" i="3"/>
  <c r="K35" i="123"/>
  <c r="K20" i="123"/>
  <c r="K37" i="123"/>
  <c r="AA27" i="3"/>
  <c r="K32" i="124"/>
  <c r="K18" i="124"/>
  <c r="K34" i="124"/>
  <c r="AA28" i="3"/>
  <c r="K35" i="125"/>
  <c r="K26" i="125"/>
  <c r="K37" i="125"/>
  <c r="AA29" i="3"/>
  <c r="K31" i="70"/>
  <c r="K22" i="70"/>
  <c r="K33" i="70"/>
  <c r="AA30" i="3"/>
  <c r="K31" i="126"/>
  <c r="K19" i="126"/>
  <c r="K23" i="126"/>
  <c r="K33" i="126"/>
  <c r="AA31" i="3"/>
  <c r="K39" i="127"/>
  <c r="K22" i="127"/>
  <c r="K41" i="127"/>
  <c r="AA33" i="3"/>
  <c r="K42" i="72"/>
  <c r="K29" i="72"/>
  <c r="K33" i="72"/>
  <c r="K44" i="72"/>
  <c r="AA32" i="3"/>
  <c r="K30" i="128"/>
  <c r="K18" i="128"/>
  <c r="K32" i="128"/>
  <c r="AA36" i="3"/>
  <c r="K51" i="73"/>
  <c r="K35" i="73"/>
  <c r="K53" i="73"/>
  <c r="AA34" i="3"/>
  <c r="K42" i="104"/>
  <c r="K26" i="104"/>
  <c r="K44" i="104"/>
  <c r="AA35" i="3"/>
  <c r="K31" i="129"/>
  <c r="K22" i="129"/>
  <c r="K33" i="129"/>
  <c r="AA37" i="3"/>
  <c r="K58" i="100"/>
  <c r="K32" i="100"/>
  <c r="K60" i="100"/>
  <c r="AA38" i="3"/>
  <c r="K25" i="130"/>
  <c r="K19" i="130"/>
  <c r="K27" i="130"/>
  <c r="AA39" i="3"/>
  <c r="K31" i="105"/>
  <c r="K21" i="105"/>
  <c r="K33" i="105"/>
  <c r="AA40" i="3"/>
  <c r="K27" i="131"/>
  <c r="K21" i="131"/>
  <c r="K29" i="131"/>
  <c r="AA41" i="3"/>
  <c r="K49" i="77"/>
  <c r="K35" i="77"/>
  <c r="K40" i="77"/>
  <c r="K51" i="77"/>
  <c r="AA42" i="3"/>
  <c r="K39" i="146"/>
  <c r="K28" i="146"/>
  <c r="K41" i="146"/>
  <c r="AA43" i="3"/>
  <c r="K37" i="79"/>
  <c r="K25" i="79"/>
  <c r="K39" i="79"/>
  <c r="AA44" i="3"/>
  <c r="K33" i="108"/>
  <c r="K23" i="108"/>
  <c r="K35" i="108"/>
  <c r="AA45" i="3"/>
  <c r="K34" i="132"/>
  <c r="K20" i="132"/>
  <c r="K36" i="132"/>
  <c r="AA46" i="3"/>
  <c r="K40" i="133"/>
  <c r="K19" i="133"/>
  <c r="K42" i="133"/>
  <c r="AA47" i="3"/>
  <c r="K28" i="134"/>
  <c r="K19" i="134"/>
  <c r="K30" i="134"/>
  <c r="AA48" i="3"/>
  <c r="K24" i="135"/>
  <c r="K18" i="135"/>
  <c r="K26" i="135"/>
  <c r="AA49" i="3"/>
  <c r="K54" i="106"/>
  <c r="K29" i="106"/>
  <c r="K56" i="106"/>
  <c r="AA50" i="3"/>
  <c r="K45" i="83"/>
  <c r="K31" i="83"/>
  <c r="K36" i="83"/>
  <c r="K47" i="83"/>
  <c r="AA51" i="3"/>
  <c r="K26" i="107"/>
  <c r="K20" i="107"/>
  <c r="K28" i="107"/>
  <c r="AA52" i="3"/>
  <c r="K45" i="84"/>
  <c r="K22" i="84"/>
  <c r="K47" i="84"/>
  <c r="AA53" i="3"/>
  <c r="K38" i="102"/>
  <c r="K25" i="102"/>
  <c r="K30" i="102"/>
  <c r="K40" i="102"/>
  <c r="AA54" i="3"/>
  <c r="K50" i="85"/>
  <c r="K25" i="85"/>
  <c r="K52" i="85"/>
  <c r="AA55" i="3"/>
  <c r="K48" i="136"/>
  <c r="K22" i="136"/>
  <c r="K50" i="136"/>
  <c r="AA56" i="3"/>
  <c r="K45" i="86"/>
  <c r="K25" i="86"/>
  <c r="K47" i="86"/>
  <c r="AA57" i="3"/>
  <c r="K35" i="87"/>
  <c r="K27" i="87"/>
  <c r="K37" i="87"/>
  <c r="AA58" i="3"/>
  <c r="K35" i="88"/>
  <c r="K22" i="88"/>
  <c r="K37" i="88"/>
  <c r="AA59" i="3"/>
  <c r="K34" i="137"/>
  <c r="K23" i="137"/>
  <c r="K36" i="137"/>
  <c r="AA60" i="3"/>
  <c r="K68" i="89"/>
  <c r="K37" i="89"/>
  <c r="K70" i="89"/>
  <c r="AA61" i="3"/>
  <c r="K28" i="138"/>
  <c r="K19" i="138"/>
  <c r="K30" i="138"/>
  <c r="AA62" i="3"/>
  <c r="K40" i="139"/>
  <c r="K29" i="139"/>
  <c r="K42" i="139"/>
  <c r="AA63" i="3"/>
  <c r="K37" i="140"/>
  <c r="K21" i="140"/>
  <c r="K39" i="140"/>
  <c r="AA64" i="3"/>
  <c r="K34" i="93"/>
  <c r="K24" i="93"/>
  <c r="K28" i="93"/>
  <c r="K36" i="93"/>
  <c r="AA65" i="3"/>
  <c r="K32" i="141"/>
  <c r="K21" i="141"/>
  <c r="K34" i="141"/>
  <c r="AA66" i="3"/>
  <c r="K36" i="142"/>
  <c r="K27" i="142"/>
  <c r="K21" i="142"/>
  <c r="K38" i="142"/>
  <c r="AA67" i="3"/>
  <c r="K31" i="143"/>
  <c r="K20" i="143"/>
  <c r="K24" i="143"/>
  <c r="K33" i="143"/>
  <c r="AA68" i="3"/>
  <c r="K35" i="149"/>
  <c r="K27" i="149"/>
  <c r="K37" i="149"/>
  <c r="AA69" i="3"/>
  <c r="K33" i="144"/>
  <c r="K18" i="144"/>
  <c r="K35" i="144"/>
  <c r="AA70" i="3"/>
  <c r="AA72" i="3"/>
  <c r="T7" i="3"/>
  <c r="T8" i="3"/>
  <c r="T9" i="3"/>
  <c r="T11" i="3"/>
  <c r="T12" i="3"/>
  <c r="T13" i="3"/>
  <c r="T14" i="3"/>
  <c r="T15" i="3"/>
  <c r="T16" i="3"/>
  <c r="T17" i="3"/>
  <c r="T18" i="3"/>
  <c r="T19" i="3"/>
  <c r="T20" i="3"/>
  <c r="T22" i="3"/>
  <c r="T23" i="3"/>
  <c r="T31" i="3"/>
  <c r="T33" i="3"/>
  <c r="T32" i="3"/>
  <c r="T37" i="3"/>
  <c r="T40" i="3"/>
  <c r="T42" i="3"/>
  <c r="T43" i="3"/>
  <c r="T44" i="3"/>
  <c r="T45" i="3"/>
  <c r="T46" i="3"/>
  <c r="T47" i="3"/>
  <c r="T48" i="3"/>
  <c r="T49" i="3"/>
  <c r="T50" i="3"/>
  <c r="T51" i="3"/>
  <c r="T54" i="3"/>
  <c r="T56" i="3"/>
  <c r="T63" i="3"/>
  <c r="T65" i="3"/>
  <c r="T66" i="3"/>
  <c r="T67" i="3"/>
  <c r="T68" i="3"/>
  <c r="T72" i="3"/>
  <c r="U7" i="3"/>
  <c r="U8" i="3"/>
  <c r="U9" i="3"/>
  <c r="U11" i="3"/>
  <c r="U12" i="3"/>
  <c r="U13" i="3"/>
  <c r="U15" i="3"/>
  <c r="U16" i="3"/>
  <c r="U18" i="3"/>
  <c r="U19" i="3"/>
  <c r="U20" i="3"/>
  <c r="U23" i="3"/>
  <c r="U24" i="3"/>
  <c r="U25" i="3"/>
  <c r="U29" i="3"/>
  <c r="U30" i="3"/>
  <c r="U31" i="3"/>
  <c r="U33" i="3"/>
  <c r="U32" i="3"/>
  <c r="U36" i="3"/>
  <c r="U34" i="3"/>
  <c r="U35" i="3"/>
  <c r="U37" i="3"/>
  <c r="U38" i="3"/>
  <c r="U42" i="3"/>
  <c r="U43" i="3"/>
  <c r="U44" i="3"/>
  <c r="U45" i="3"/>
  <c r="U46" i="3"/>
  <c r="U47" i="3"/>
  <c r="U49" i="3"/>
  <c r="U50" i="3"/>
  <c r="U51" i="3"/>
  <c r="U53" i="3"/>
  <c r="U54" i="3"/>
  <c r="U55" i="3"/>
  <c r="U57" i="3"/>
  <c r="U58" i="3"/>
  <c r="U59" i="3"/>
  <c r="U60" i="3"/>
  <c r="U61" i="3"/>
  <c r="U63" i="3"/>
  <c r="U64" i="3"/>
  <c r="U66" i="3"/>
  <c r="U67" i="3"/>
  <c r="U69" i="3"/>
  <c r="U70" i="3"/>
  <c r="U72" i="3"/>
  <c r="V9" i="3"/>
  <c r="V10" i="3"/>
  <c r="V12" i="3"/>
  <c r="V14" i="3"/>
  <c r="V15" i="3"/>
  <c r="V16" i="3"/>
  <c r="V23" i="3"/>
  <c r="V24" i="3"/>
  <c r="V29" i="3"/>
  <c r="V33" i="3"/>
  <c r="V34" i="3"/>
  <c r="V37" i="3"/>
  <c r="V38" i="3"/>
  <c r="V42" i="3"/>
  <c r="V44" i="3"/>
  <c r="V47" i="3"/>
  <c r="V49" i="3"/>
  <c r="V51" i="3"/>
  <c r="V55" i="3"/>
  <c r="V59" i="3"/>
  <c r="V61" i="3"/>
  <c r="V63" i="3"/>
  <c r="V66" i="3"/>
  <c r="V68" i="3"/>
  <c r="V70" i="3"/>
  <c r="V72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3" i="3"/>
  <c r="W32" i="3"/>
  <c r="W36" i="3"/>
  <c r="W34" i="3"/>
  <c r="W35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2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3" i="3"/>
  <c r="X32" i="3"/>
  <c r="X36" i="3"/>
  <c r="X34" i="3"/>
  <c r="X35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2" i="3"/>
  <c r="M7" i="3"/>
  <c r="P7" i="3"/>
  <c r="Q7" i="3"/>
  <c r="Y7" i="3"/>
  <c r="M8" i="3"/>
  <c r="O8" i="3"/>
  <c r="Q8" i="3"/>
  <c r="Y8" i="3"/>
  <c r="M9" i="3"/>
  <c r="O9" i="3"/>
  <c r="P9" i="3"/>
  <c r="Q9" i="3"/>
  <c r="Y9" i="3"/>
  <c r="M10" i="3"/>
  <c r="O10" i="3"/>
  <c r="P10" i="3"/>
  <c r="Q10" i="3"/>
  <c r="Y10" i="3"/>
  <c r="M11" i="3"/>
  <c r="Q11" i="3"/>
  <c r="Y11" i="3"/>
  <c r="M12" i="3"/>
  <c r="O12" i="3"/>
  <c r="P12" i="3"/>
  <c r="Q12" i="3"/>
  <c r="Y12" i="3"/>
  <c r="M13" i="3"/>
  <c r="N13" i="3"/>
  <c r="Q13" i="3"/>
  <c r="Y13" i="3"/>
  <c r="M14" i="3"/>
  <c r="O14" i="3"/>
  <c r="Q14" i="3"/>
  <c r="Y14" i="3"/>
  <c r="M15" i="3"/>
  <c r="N15" i="3"/>
  <c r="O15" i="3"/>
  <c r="Q15" i="3"/>
  <c r="Y15" i="3"/>
  <c r="M16" i="3"/>
  <c r="O16" i="3"/>
  <c r="P16" i="3"/>
  <c r="Q16" i="3"/>
  <c r="Y16" i="3"/>
  <c r="M17" i="3"/>
  <c r="N17" i="3"/>
  <c r="Q17" i="3"/>
  <c r="Y17" i="3"/>
  <c r="M18" i="3"/>
  <c r="N18" i="3"/>
  <c r="O18" i="3"/>
  <c r="Q18" i="3"/>
  <c r="Y18" i="3"/>
  <c r="M19" i="3"/>
  <c r="O19" i="3"/>
  <c r="Q19" i="3"/>
  <c r="Y19" i="3"/>
  <c r="M20" i="3"/>
  <c r="O20" i="3"/>
  <c r="Q20" i="3"/>
  <c r="Y20" i="3"/>
  <c r="M21" i="3"/>
  <c r="Q21" i="3"/>
  <c r="Y21" i="3"/>
  <c r="M22" i="3"/>
  <c r="O22" i="3"/>
  <c r="P22" i="3"/>
  <c r="Q22" i="3"/>
  <c r="Y22" i="3"/>
  <c r="M23" i="3"/>
  <c r="N23" i="3"/>
  <c r="O23" i="3"/>
  <c r="P23" i="3"/>
  <c r="Q23" i="3"/>
  <c r="Y23" i="3"/>
  <c r="M24" i="3"/>
  <c r="Q24" i="3"/>
  <c r="Y24" i="3"/>
  <c r="M25" i="3"/>
  <c r="Q25" i="3"/>
  <c r="Y25" i="3"/>
  <c r="M26" i="3"/>
  <c r="O26" i="3"/>
  <c r="Q26" i="3"/>
  <c r="Y26" i="3"/>
  <c r="M27" i="3"/>
  <c r="N27" i="3"/>
  <c r="O27" i="3"/>
  <c r="Q27" i="3"/>
  <c r="Y27" i="3"/>
  <c r="M28" i="3"/>
  <c r="N28" i="3"/>
  <c r="Q28" i="3"/>
  <c r="Y28" i="3"/>
  <c r="M29" i="3"/>
  <c r="O29" i="3"/>
  <c r="Q29" i="3"/>
  <c r="Y29" i="3"/>
  <c r="M30" i="3"/>
  <c r="Q30" i="3"/>
  <c r="Y30" i="3"/>
  <c r="M31" i="3"/>
  <c r="N31" i="3"/>
  <c r="P31" i="3"/>
  <c r="Q31" i="3"/>
  <c r="Y31" i="3"/>
  <c r="M33" i="3"/>
  <c r="O33" i="3"/>
  <c r="Q33" i="3"/>
  <c r="Y33" i="3"/>
  <c r="M32" i="3"/>
  <c r="P32" i="3"/>
  <c r="Q32" i="3"/>
  <c r="Y32" i="3"/>
  <c r="M36" i="3"/>
  <c r="O36" i="3"/>
  <c r="Q36" i="3"/>
  <c r="Y36" i="3"/>
  <c r="M34" i="3"/>
  <c r="N34" i="3"/>
  <c r="O34" i="3"/>
  <c r="Q34" i="3"/>
  <c r="Y34" i="3"/>
  <c r="M35" i="3"/>
  <c r="O35" i="3"/>
  <c r="P35" i="3"/>
  <c r="Q35" i="3"/>
  <c r="Y35" i="3"/>
  <c r="M37" i="3"/>
  <c r="O37" i="3"/>
  <c r="Q37" i="3"/>
  <c r="Y37" i="3"/>
  <c r="M38" i="3"/>
  <c r="N38" i="3"/>
  <c r="O38" i="3"/>
  <c r="Q38" i="3"/>
  <c r="Y38" i="3"/>
  <c r="M39" i="3"/>
  <c r="N39" i="3"/>
  <c r="Q39" i="3"/>
  <c r="Y39" i="3"/>
  <c r="M40" i="3"/>
  <c r="N40" i="3"/>
  <c r="O40" i="3"/>
  <c r="P40" i="3"/>
  <c r="Q40" i="3"/>
  <c r="Y40" i="3"/>
  <c r="M41" i="3"/>
  <c r="O41" i="3"/>
  <c r="Q41" i="3"/>
  <c r="Y41" i="3"/>
  <c r="M42" i="3"/>
  <c r="N42" i="3"/>
  <c r="O42" i="3"/>
  <c r="Q42" i="3"/>
  <c r="Y42" i="3"/>
  <c r="M43" i="3"/>
  <c r="N43" i="3"/>
  <c r="O43" i="3"/>
  <c r="P43" i="3"/>
  <c r="Q43" i="3"/>
  <c r="Y43" i="3"/>
  <c r="M44" i="3"/>
  <c r="N44" i="3"/>
  <c r="O44" i="3"/>
  <c r="P44" i="3"/>
  <c r="Q44" i="3"/>
  <c r="Y44" i="3"/>
  <c r="M45" i="3"/>
  <c r="O45" i="3"/>
  <c r="Q45" i="3"/>
  <c r="Y45" i="3"/>
  <c r="M46" i="3"/>
  <c r="N46" i="3"/>
  <c r="O46" i="3"/>
  <c r="Q46" i="3"/>
  <c r="Y46" i="3"/>
  <c r="M47" i="3"/>
  <c r="N47" i="3"/>
  <c r="Q47" i="3"/>
  <c r="Y47" i="3"/>
  <c r="M48" i="3"/>
  <c r="O48" i="3"/>
  <c r="P48" i="3"/>
  <c r="Q48" i="3"/>
  <c r="Y48" i="3"/>
  <c r="M49" i="3"/>
  <c r="N49" i="3"/>
  <c r="Q49" i="3"/>
  <c r="Y49" i="3"/>
  <c r="M50" i="3"/>
  <c r="O50" i="3"/>
  <c r="P50" i="3"/>
  <c r="Q50" i="3"/>
  <c r="Y50" i="3"/>
  <c r="M51" i="3"/>
  <c r="O51" i="3"/>
  <c r="P51" i="3"/>
  <c r="Q51" i="3"/>
  <c r="Y51" i="3"/>
  <c r="M52" i="3"/>
  <c r="P52" i="3"/>
  <c r="Q52" i="3"/>
  <c r="Y52" i="3"/>
  <c r="M53" i="3"/>
  <c r="O53" i="3"/>
  <c r="Q53" i="3"/>
  <c r="Y53" i="3"/>
  <c r="M54" i="3"/>
  <c r="O54" i="3"/>
  <c r="P54" i="3"/>
  <c r="Q54" i="3"/>
  <c r="Y54" i="3"/>
  <c r="M55" i="3"/>
  <c r="O55" i="3"/>
  <c r="Q55" i="3"/>
  <c r="Y55" i="3"/>
  <c r="M56" i="3"/>
  <c r="O56" i="3"/>
  <c r="P56" i="3"/>
  <c r="Q56" i="3"/>
  <c r="Y56" i="3"/>
  <c r="M57" i="3"/>
  <c r="P57" i="3"/>
  <c r="Q57" i="3"/>
  <c r="Y57" i="3"/>
  <c r="M58" i="3"/>
  <c r="N58" i="3"/>
  <c r="P58" i="3"/>
  <c r="Q58" i="3"/>
  <c r="Y58" i="3"/>
  <c r="M59" i="3"/>
  <c r="O59" i="3"/>
  <c r="Q59" i="3"/>
  <c r="Y59" i="3"/>
  <c r="M60" i="3"/>
  <c r="O60" i="3"/>
  <c r="P60" i="3"/>
  <c r="Q60" i="3"/>
  <c r="Y60" i="3"/>
  <c r="M61" i="3"/>
  <c r="O61" i="3"/>
  <c r="P61" i="3"/>
  <c r="Q61" i="3"/>
  <c r="Y61" i="3"/>
  <c r="M62" i="3"/>
  <c r="Q62" i="3"/>
  <c r="Y62" i="3"/>
  <c r="M63" i="3"/>
  <c r="O63" i="3"/>
  <c r="P63" i="3"/>
  <c r="Q63" i="3"/>
  <c r="Y63" i="3"/>
  <c r="M64" i="3"/>
  <c r="O64" i="3"/>
  <c r="Q64" i="3"/>
  <c r="Y64" i="3"/>
  <c r="M65" i="3"/>
  <c r="O65" i="3"/>
  <c r="P65" i="3"/>
  <c r="Q65" i="3"/>
  <c r="Y65" i="3"/>
  <c r="M66" i="3"/>
  <c r="N66" i="3"/>
  <c r="O66" i="3"/>
  <c r="P66" i="3"/>
  <c r="Q66" i="3"/>
  <c r="Y66" i="3"/>
  <c r="M67" i="3"/>
  <c r="Q67" i="3"/>
  <c r="Y67" i="3"/>
  <c r="M68" i="3"/>
  <c r="O68" i="3"/>
  <c r="P68" i="3"/>
  <c r="Q68" i="3"/>
  <c r="Y68" i="3"/>
  <c r="M69" i="3"/>
  <c r="O69" i="3"/>
  <c r="Q69" i="3"/>
  <c r="Y69" i="3"/>
  <c r="M70" i="3"/>
  <c r="N70" i="3"/>
  <c r="P70" i="3"/>
  <c r="Q70" i="3"/>
  <c r="Y70" i="3"/>
  <c r="Y72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3" i="3"/>
  <c r="S32" i="3"/>
  <c r="S36" i="3"/>
  <c r="S34" i="3"/>
  <c r="S35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2" i="3"/>
  <c r="M72" i="3"/>
  <c r="N72" i="3"/>
  <c r="O72" i="3"/>
  <c r="P72" i="3"/>
  <c r="Q72" i="3"/>
  <c r="K16" i="109"/>
  <c r="K7" i="3"/>
  <c r="K13" i="110"/>
  <c r="K8" i="3"/>
  <c r="K21" i="55"/>
  <c r="K9" i="3"/>
  <c r="K12" i="56"/>
  <c r="K10" i="3"/>
  <c r="K12" i="111"/>
  <c r="K11" i="3"/>
  <c r="K11" i="145"/>
  <c r="K12" i="3"/>
  <c r="K10" i="112"/>
  <c r="K13" i="3"/>
  <c r="K13" i="113"/>
  <c r="K14" i="3"/>
  <c r="K18" i="114"/>
  <c r="K15" i="3"/>
  <c r="K21" i="115"/>
  <c r="K16" i="3"/>
  <c r="K11" i="116"/>
  <c r="K17" i="3"/>
  <c r="K12" i="117"/>
  <c r="K18" i="3"/>
  <c r="K15" i="118"/>
  <c r="K19" i="3"/>
  <c r="K12" i="119"/>
  <c r="K20" i="3"/>
  <c r="K12" i="147"/>
  <c r="K21" i="3"/>
  <c r="K14" i="120"/>
  <c r="K22" i="3"/>
  <c r="K19" i="103"/>
  <c r="K23" i="3"/>
  <c r="K11" i="121"/>
  <c r="K24" i="3"/>
  <c r="K13" i="148"/>
  <c r="K25" i="3"/>
  <c r="K14" i="122"/>
  <c r="K26" i="3"/>
  <c r="K11" i="123"/>
  <c r="K27" i="3"/>
  <c r="K10" i="124"/>
  <c r="K28" i="3"/>
  <c r="K13" i="125"/>
  <c r="K29" i="3"/>
  <c r="K14" i="70"/>
  <c r="K30" i="3"/>
  <c r="K11" i="126"/>
  <c r="K31" i="3"/>
  <c r="K12" i="127"/>
  <c r="K33" i="3"/>
  <c r="K19" i="72"/>
  <c r="K32" i="3"/>
  <c r="K10" i="128"/>
  <c r="K36" i="3"/>
  <c r="K19" i="73"/>
  <c r="K34" i="3"/>
  <c r="K15" i="104"/>
  <c r="K35" i="3"/>
  <c r="K14" i="129"/>
  <c r="K37" i="3"/>
  <c r="K19" i="100"/>
  <c r="K38" i="3"/>
  <c r="K12" i="130"/>
  <c r="K39" i="3"/>
  <c r="K12" i="105"/>
  <c r="K40" i="3"/>
  <c r="K11" i="131"/>
  <c r="K41" i="3"/>
  <c r="K22" i="77"/>
  <c r="K42" i="3"/>
  <c r="K19" i="146"/>
  <c r="K43" i="3"/>
  <c r="K14" i="79"/>
  <c r="K44" i="3"/>
  <c r="K15" i="108"/>
  <c r="K45" i="3"/>
  <c r="K12" i="132"/>
  <c r="K46" i="3"/>
  <c r="K12" i="133"/>
  <c r="K47" i="3"/>
  <c r="K11" i="134"/>
  <c r="K48" i="3"/>
  <c r="K11" i="135"/>
  <c r="K49" i="3"/>
  <c r="K19" i="106"/>
  <c r="K50" i="3"/>
  <c r="K20" i="83"/>
  <c r="K51" i="3"/>
  <c r="K12" i="107"/>
  <c r="K52" i="3"/>
  <c r="K13" i="84"/>
  <c r="K53" i="3"/>
  <c r="K16" i="102"/>
  <c r="K54" i="3"/>
  <c r="K14" i="85"/>
  <c r="K55" i="3"/>
  <c r="K12" i="136"/>
  <c r="K56" i="3"/>
  <c r="K15" i="86"/>
  <c r="K57" i="3"/>
  <c r="K17" i="87"/>
  <c r="K58" i="3"/>
  <c r="K13" i="88"/>
  <c r="K59" i="3"/>
  <c r="K14" i="137"/>
  <c r="K60" i="3"/>
  <c r="K23" i="89"/>
  <c r="K61" i="3"/>
  <c r="K10" i="138"/>
  <c r="K62" i="3"/>
  <c r="K17" i="139"/>
  <c r="K63" i="3"/>
  <c r="K13" i="140"/>
  <c r="K64" i="3"/>
  <c r="K14" i="93"/>
  <c r="K65" i="3"/>
  <c r="K11" i="141"/>
  <c r="K66" i="3"/>
  <c r="K15" i="142"/>
  <c r="K67" i="3"/>
  <c r="K11" i="143"/>
  <c r="K68" i="3"/>
  <c r="K18" i="149"/>
  <c r="K69" i="3"/>
  <c r="K11" i="144"/>
  <c r="K70" i="3"/>
  <c r="K72" i="3"/>
  <c r="C7" i="3"/>
  <c r="C9" i="3"/>
  <c r="C10" i="3"/>
  <c r="C15" i="3"/>
  <c r="C16" i="3"/>
  <c r="C19" i="3"/>
  <c r="C20" i="3"/>
  <c r="C22" i="3"/>
  <c r="C23" i="3"/>
  <c r="C24" i="3"/>
  <c r="C26" i="3"/>
  <c r="C27" i="3"/>
  <c r="C33" i="3"/>
  <c r="C34" i="3"/>
  <c r="C35" i="3"/>
  <c r="C37" i="3"/>
  <c r="C38" i="3"/>
  <c r="C39" i="3"/>
  <c r="C40" i="3"/>
  <c r="C41" i="3"/>
  <c r="C42" i="3"/>
  <c r="C43" i="3"/>
  <c r="C44" i="3"/>
  <c r="C50" i="3"/>
  <c r="C51" i="3"/>
  <c r="C53" i="3"/>
  <c r="C58" i="3"/>
  <c r="C61" i="3"/>
  <c r="C62" i="3"/>
  <c r="C66" i="3"/>
  <c r="C67" i="3"/>
  <c r="C69" i="3"/>
  <c r="C70" i="3"/>
  <c r="C72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3" i="3"/>
  <c r="D32" i="3"/>
  <c r="D36" i="3"/>
  <c r="D34" i="3"/>
  <c r="D35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2" i="3"/>
  <c r="E12" i="3"/>
  <c r="E18" i="3"/>
  <c r="E23" i="3"/>
  <c r="E38" i="3"/>
  <c r="E43" i="3"/>
  <c r="E53" i="3"/>
  <c r="E56" i="3"/>
  <c r="E72" i="3"/>
  <c r="F9" i="3"/>
  <c r="F11" i="3"/>
  <c r="F18" i="3"/>
  <c r="F19" i="3"/>
  <c r="F20" i="3"/>
  <c r="F21" i="3"/>
  <c r="F26" i="3"/>
  <c r="F27" i="3"/>
  <c r="F29" i="3"/>
  <c r="F33" i="3"/>
  <c r="F32" i="3"/>
  <c r="F36" i="3"/>
  <c r="F38" i="3"/>
  <c r="F42" i="3"/>
  <c r="F44" i="3"/>
  <c r="F45" i="3"/>
  <c r="F46" i="3"/>
  <c r="F47" i="3"/>
  <c r="F48" i="3"/>
  <c r="F50" i="3"/>
  <c r="F51" i="3"/>
  <c r="F52" i="3"/>
  <c r="F57" i="3"/>
  <c r="F61" i="3"/>
  <c r="F64" i="3"/>
  <c r="F67" i="3"/>
  <c r="F72" i="3"/>
  <c r="G7" i="3"/>
  <c r="G8" i="3"/>
  <c r="G9" i="3"/>
  <c r="G10" i="3"/>
  <c r="G11" i="3"/>
  <c r="G12" i="3"/>
  <c r="G14" i="3"/>
  <c r="G15" i="3"/>
  <c r="G16" i="3"/>
  <c r="G17" i="3"/>
  <c r="G20" i="3"/>
  <c r="G22" i="3"/>
  <c r="G23" i="3"/>
  <c r="G25" i="3"/>
  <c r="G26" i="3"/>
  <c r="G27" i="3"/>
  <c r="G29" i="3"/>
  <c r="G30" i="3"/>
  <c r="G33" i="3"/>
  <c r="G36" i="3"/>
  <c r="G34" i="3"/>
  <c r="G35" i="3"/>
  <c r="G37" i="3"/>
  <c r="G38" i="3"/>
  <c r="G40" i="3"/>
  <c r="G42" i="3"/>
  <c r="G43" i="3"/>
  <c r="G44" i="3"/>
  <c r="G45" i="3"/>
  <c r="G47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3" i="3"/>
  <c r="G65" i="3"/>
  <c r="G66" i="3"/>
  <c r="G67" i="3"/>
  <c r="G68" i="3"/>
  <c r="G69" i="3"/>
  <c r="G72" i="3"/>
  <c r="H7" i="3"/>
  <c r="H8" i="3"/>
  <c r="H16" i="3"/>
  <c r="H30" i="3"/>
  <c r="H31" i="3"/>
  <c r="H34" i="3"/>
  <c r="H35" i="3"/>
  <c r="H37" i="3"/>
  <c r="H40" i="3"/>
  <c r="H43" i="3"/>
  <c r="H44" i="3"/>
  <c r="H45" i="3"/>
  <c r="H47" i="3"/>
  <c r="H50" i="3"/>
  <c r="H51" i="3"/>
  <c r="H54" i="3"/>
  <c r="H55" i="3"/>
  <c r="H58" i="3"/>
  <c r="H66" i="3"/>
  <c r="H69" i="3"/>
  <c r="H70" i="3"/>
  <c r="H72" i="3"/>
  <c r="B7" i="3"/>
  <c r="I7" i="3"/>
  <c r="B8" i="3"/>
  <c r="I8" i="3"/>
  <c r="B9" i="3"/>
  <c r="I9" i="3"/>
  <c r="B10" i="3"/>
  <c r="I10" i="3"/>
  <c r="B11" i="3"/>
  <c r="I11" i="3"/>
  <c r="B12" i="3"/>
  <c r="I12" i="3"/>
  <c r="B13" i="3"/>
  <c r="I13" i="3"/>
  <c r="B14" i="3"/>
  <c r="I14" i="3"/>
  <c r="B15" i="3"/>
  <c r="I15" i="3"/>
  <c r="B16" i="3"/>
  <c r="I16" i="3"/>
  <c r="B17" i="3"/>
  <c r="I17" i="3"/>
  <c r="B18" i="3"/>
  <c r="I18" i="3"/>
  <c r="B19" i="3"/>
  <c r="I19" i="3"/>
  <c r="B20" i="3"/>
  <c r="I20" i="3"/>
  <c r="B21" i="3"/>
  <c r="I21" i="3"/>
  <c r="B22" i="3"/>
  <c r="I22" i="3"/>
  <c r="B23" i="3"/>
  <c r="I23" i="3"/>
  <c r="B24" i="3"/>
  <c r="I24" i="3"/>
  <c r="B25" i="3"/>
  <c r="I25" i="3"/>
  <c r="B26" i="3"/>
  <c r="I26" i="3"/>
  <c r="B27" i="3"/>
  <c r="I27" i="3"/>
  <c r="B28" i="3"/>
  <c r="I28" i="3"/>
  <c r="B29" i="3"/>
  <c r="I29" i="3"/>
  <c r="B30" i="3"/>
  <c r="I30" i="3"/>
  <c r="B31" i="3"/>
  <c r="I31" i="3"/>
  <c r="B33" i="3"/>
  <c r="I33" i="3"/>
  <c r="B32" i="3"/>
  <c r="I32" i="3"/>
  <c r="B36" i="3"/>
  <c r="I36" i="3"/>
  <c r="B34" i="3"/>
  <c r="I34" i="3"/>
  <c r="B35" i="3"/>
  <c r="I35" i="3"/>
  <c r="B37" i="3"/>
  <c r="I37" i="3"/>
  <c r="B38" i="3"/>
  <c r="I38" i="3"/>
  <c r="B39" i="3"/>
  <c r="I39" i="3"/>
  <c r="I40" i="3"/>
  <c r="B41" i="3"/>
  <c r="I41" i="3"/>
  <c r="B42" i="3"/>
  <c r="I42" i="3"/>
  <c r="B43" i="3"/>
  <c r="I43" i="3"/>
  <c r="B44" i="3"/>
  <c r="I44" i="3"/>
  <c r="B45" i="3"/>
  <c r="I45" i="3"/>
  <c r="B46" i="3"/>
  <c r="I46" i="3"/>
  <c r="B47" i="3"/>
  <c r="I47" i="3"/>
  <c r="B48" i="3"/>
  <c r="I48" i="3"/>
  <c r="B49" i="3"/>
  <c r="I49" i="3"/>
  <c r="B50" i="3"/>
  <c r="I50" i="3"/>
  <c r="B51" i="3"/>
  <c r="I51" i="3"/>
  <c r="B52" i="3"/>
  <c r="I52" i="3"/>
  <c r="B53" i="3"/>
  <c r="I53" i="3"/>
  <c r="B54" i="3"/>
  <c r="I54" i="3"/>
  <c r="B55" i="3"/>
  <c r="I55" i="3"/>
  <c r="B56" i="3"/>
  <c r="I56" i="3"/>
  <c r="B57" i="3"/>
  <c r="I57" i="3"/>
  <c r="B58" i="3"/>
  <c r="I58" i="3"/>
  <c r="B59" i="3"/>
  <c r="I59" i="3"/>
  <c r="B60" i="3"/>
  <c r="I60" i="3"/>
  <c r="B61" i="3"/>
  <c r="I61" i="3"/>
  <c r="B62" i="3"/>
  <c r="I62" i="3"/>
  <c r="B63" i="3"/>
  <c r="I63" i="3"/>
  <c r="B64" i="3"/>
  <c r="I64" i="3"/>
  <c r="B65" i="3"/>
  <c r="I65" i="3"/>
  <c r="B66" i="3"/>
  <c r="I66" i="3"/>
  <c r="B67" i="3"/>
  <c r="I67" i="3"/>
  <c r="B68" i="3"/>
  <c r="I68" i="3"/>
  <c r="B69" i="3"/>
  <c r="I69" i="3"/>
  <c r="B70" i="3"/>
  <c r="I70" i="3"/>
  <c r="I72" i="3"/>
  <c r="B72" i="3"/>
  <c r="Z69" i="3"/>
  <c r="R69" i="3"/>
  <c r="J69" i="3"/>
  <c r="L35" i="149"/>
  <c r="L27" i="149"/>
  <c r="L37" i="149"/>
  <c r="M35" i="149"/>
  <c r="M27" i="149"/>
  <c r="M37" i="149"/>
  <c r="N35" i="149"/>
  <c r="N27" i="149"/>
  <c r="N37" i="149"/>
  <c r="O35" i="149"/>
  <c r="O27" i="149"/>
  <c r="O37" i="149"/>
  <c r="P35" i="149"/>
  <c r="P27" i="149"/>
  <c r="P37" i="149"/>
  <c r="Q35" i="149"/>
  <c r="Q27" i="149"/>
  <c r="Q37" i="149"/>
  <c r="R30" i="149"/>
  <c r="R31" i="149"/>
  <c r="R32" i="149"/>
  <c r="R33" i="149"/>
  <c r="R35" i="149"/>
  <c r="R22" i="149"/>
  <c r="R23" i="149"/>
  <c r="R24" i="149"/>
  <c r="R25" i="149"/>
  <c r="R27" i="149"/>
  <c r="R37" i="149"/>
  <c r="R15" i="149"/>
  <c r="R6" i="149"/>
  <c r="R7" i="149"/>
  <c r="R8" i="149"/>
  <c r="R10" i="149"/>
  <c r="R11" i="149"/>
  <c r="R12" i="149"/>
  <c r="R13" i="149"/>
  <c r="R16" i="149"/>
  <c r="R18" i="149"/>
  <c r="Q18" i="149"/>
  <c r="P18" i="149"/>
  <c r="O18" i="149"/>
  <c r="N18" i="149"/>
  <c r="M18" i="149"/>
  <c r="L18" i="149"/>
  <c r="Z25" i="3"/>
  <c r="R25" i="3"/>
  <c r="J25" i="3"/>
  <c r="L35" i="148"/>
  <c r="M35" i="148"/>
  <c r="N35" i="148"/>
  <c r="O25" i="148"/>
  <c r="O26" i="148"/>
  <c r="O27" i="148"/>
  <c r="O29" i="148"/>
  <c r="O30" i="148"/>
  <c r="O31" i="148"/>
  <c r="O32" i="148"/>
  <c r="O33" i="148"/>
  <c r="O35" i="148"/>
  <c r="O24" i="148"/>
  <c r="O17" i="148"/>
  <c r="O18" i="148"/>
  <c r="O19" i="148"/>
  <c r="O21" i="148"/>
  <c r="O37" i="148"/>
  <c r="N21" i="148"/>
  <c r="N37" i="148"/>
  <c r="M21" i="148"/>
  <c r="M37" i="148"/>
  <c r="L21" i="148"/>
  <c r="L37" i="148"/>
  <c r="O6" i="148"/>
  <c r="O8" i="148"/>
  <c r="O9" i="148"/>
  <c r="O10" i="148"/>
  <c r="O11" i="148"/>
  <c r="O13" i="148"/>
  <c r="N13" i="148"/>
  <c r="M13" i="148"/>
  <c r="L13" i="148"/>
  <c r="Z21" i="3"/>
  <c r="R21" i="3"/>
  <c r="J21" i="3"/>
  <c r="L28" i="147"/>
  <c r="M28" i="147"/>
  <c r="O28" i="147"/>
  <c r="P28" i="147"/>
  <c r="Q28" i="147"/>
  <c r="R22" i="147"/>
  <c r="R24" i="147"/>
  <c r="R25" i="147"/>
  <c r="R26" i="147"/>
  <c r="R28" i="147"/>
  <c r="N28" i="147"/>
  <c r="N18" i="147"/>
  <c r="N30" i="147"/>
  <c r="R8" i="147"/>
  <c r="R9" i="147"/>
  <c r="R10" i="147"/>
  <c r="R7" i="147"/>
  <c r="R12" i="147"/>
  <c r="R16" i="147"/>
  <c r="R18" i="147"/>
  <c r="R30" i="147"/>
  <c r="Q18" i="147"/>
  <c r="Q30" i="147"/>
  <c r="P18" i="147"/>
  <c r="P30" i="147"/>
  <c r="O18" i="147"/>
  <c r="O30" i="147"/>
  <c r="M18" i="147"/>
  <c r="M30" i="147"/>
  <c r="L18" i="147"/>
  <c r="L30" i="147"/>
  <c r="Q12" i="147"/>
  <c r="P12" i="147"/>
  <c r="O12" i="147"/>
  <c r="N12" i="147"/>
  <c r="M12" i="147"/>
  <c r="L12" i="147"/>
  <c r="N39" i="146"/>
  <c r="M39" i="146"/>
  <c r="R17" i="146"/>
  <c r="L39" i="146"/>
  <c r="Q39" i="146"/>
  <c r="P39" i="146"/>
  <c r="O39" i="146"/>
  <c r="R37" i="146"/>
  <c r="R36" i="146"/>
  <c r="R35" i="146"/>
  <c r="R33" i="146"/>
  <c r="R32" i="146"/>
  <c r="Q28" i="146"/>
  <c r="P28" i="146"/>
  <c r="O28" i="146"/>
  <c r="N28" i="146"/>
  <c r="N41" i="146"/>
  <c r="M28" i="146"/>
  <c r="L28" i="146"/>
  <c r="R26" i="146"/>
  <c r="R25" i="146"/>
  <c r="R24" i="146"/>
  <c r="R23" i="146"/>
  <c r="Q19" i="146"/>
  <c r="P19" i="146"/>
  <c r="O19" i="146"/>
  <c r="N19" i="146"/>
  <c r="M19" i="146"/>
  <c r="L19" i="146"/>
  <c r="R16" i="146"/>
  <c r="R15" i="146"/>
  <c r="R14" i="146"/>
  <c r="R13" i="146"/>
  <c r="R12" i="146"/>
  <c r="R11" i="146"/>
  <c r="R10" i="146"/>
  <c r="R8" i="146"/>
  <c r="R7" i="146"/>
  <c r="N38" i="145"/>
  <c r="N19" i="145"/>
  <c r="N40" i="145"/>
  <c r="O38" i="145"/>
  <c r="T22" i="145"/>
  <c r="N11" i="145"/>
  <c r="S38" i="145"/>
  <c r="R38" i="145"/>
  <c r="Q38" i="145"/>
  <c r="P38" i="145"/>
  <c r="M38" i="145"/>
  <c r="L38" i="145"/>
  <c r="T36" i="145"/>
  <c r="T35" i="145"/>
  <c r="T34" i="145"/>
  <c r="T33" i="145"/>
  <c r="T32" i="145"/>
  <c r="T31" i="145"/>
  <c r="T30" i="145"/>
  <c r="T29" i="145"/>
  <c r="T28" i="145"/>
  <c r="T27" i="145"/>
  <c r="T25" i="145"/>
  <c r="S19" i="145"/>
  <c r="R19" i="145"/>
  <c r="Q19" i="145"/>
  <c r="P19" i="145"/>
  <c r="O19" i="145"/>
  <c r="M19" i="145"/>
  <c r="L19" i="145"/>
  <c r="T17" i="145"/>
  <c r="T16" i="145"/>
  <c r="T15" i="145"/>
  <c r="S11" i="145"/>
  <c r="R11" i="145"/>
  <c r="Q11" i="145"/>
  <c r="P11" i="145"/>
  <c r="O11" i="145"/>
  <c r="M11" i="145"/>
  <c r="L11" i="145"/>
  <c r="T9" i="145"/>
  <c r="T8" i="145"/>
  <c r="T7" i="145"/>
  <c r="T6" i="145"/>
  <c r="Z43" i="3"/>
  <c r="J43" i="3"/>
  <c r="Q41" i="146"/>
  <c r="O41" i="146"/>
  <c r="R28" i="146"/>
  <c r="P41" i="146"/>
  <c r="M41" i="146"/>
  <c r="L41" i="146"/>
  <c r="R39" i="146"/>
  <c r="R19" i="146"/>
  <c r="J12" i="3"/>
  <c r="Z12" i="3"/>
  <c r="R12" i="3"/>
  <c r="M40" i="145"/>
  <c r="T38" i="145"/>
  <c r="T19" i="145"/>
  <c r="T11" i="145"/>
  <c r="R40" i="145"/>
  <c r="S40" i="145"/>
  <c r="L40" i="145"/>
  <c r="O40" i="145"/>
  <c r="P40" i="145"/>
  <c r="Q40" i="145"/>
  <c r="J70" i="3"/>
  <c r="L33" i="144"/>
  <c r="L18" i="144"/>
  <c r="L35" i="144"/>
  <c r="M33" i="144"/>
  <c r="M18" i="144"/>
  <c r="M35" i="144"/>
  <c r="N33" i="144"/>
  <c r="N18" i="144"/>
  <c r="N35" i="144"/>
  <c r="O33" i="144"/>
  <c r="O18" i="144"/>
  <c r="O35" i="144"/>
  <c r="P33" i="144"/>
  <c r="P18" i="144"/>
  <c r="P35" i="144"/>
  <c r="Q24" i="144"/>
  <c r="Q25" i="144"/>
  <c r="Q26" i="144"/>
  <c r="Q27" i="144"/>
  <c r="Q28" i="144"/>
  <c r="Q29" i="144"/>
  <c r="Q30" i="144"/>
  <c r="Q31" i="144"/>
  <c r="Q33" i="144"/>
  <c r="Q15" i="144"/>
  <c r="Q16" i="144"/>
  <c r="Q18" i="144"/>
  <c r="Q20" i="144"/>
  <c r="Q35" i="144"/>
  <c r="R33" i="144"/>
  <c r="R18" i="144"/>
  <c r="R35" i="144"/>
  <c r="Q9" i="144"/>
  <c r="R11" i="144"/>
  <c r="P11" i="144"/>
  <c r="O11" i="144"/>
  <c r="N11" i="144"/>
  <c r="M11" i="144"/>
  <c r="L11" i="144"/>
  <c r="Q8" i="144"/>
  <c r="Q7" i="144"/>
  <c r="R27" i="143"/>
  <c r="L31" i="143"/>
  <c r="M31" i="143"/>
  <c r="N31" i="143"/>
  <c r="O31" i="143"/>
  <c r="P31" i="143"/>
  <c r="Q31" i="143"/>
  <c r="L24" i="143"/>
  <c r="M24" i="143"/>
  <c r="N24" i="143"/>
  <c r="O24" i="143"/>
  <c r="P24" i="143"/>
  <c r="Q24" i="143"/>
  <c r="R29" i="143"/>
  <c r="R28" i="143"/>
  <c r="R23" i="143"/>
  <c r="R24" i="143"/>
  <c r="Q20" i="143"/>
  <c r="P20" i="143"/>
  <c r="O20" i="143"/>
  <c r="N20" i="143"/>
  <c r="M20" i="143"/>
  <c r="L20" i="143"/>
  <c r="R18" i="143"/>
  <c r="R17" i="143"/>
  <c r="R16" i="143"/>
  <c r="R15" i="143"/>
  <c r="Q11" i="143"/>
  <c r="P11" i="143"/>
  <c r="O11" i="143"/>
  <c r="N11" i="143"/>
  <c r="M11" i="143"/>
  <c r="L11" i="143"/>
  <c r="R9" i="143"/>
  <c r="R8" i="143"/>
  <c r="R7" i="143"/>
  <c r="R6" i="143"/>
  <c r="L36" i="142"/>
  <c r="L27" i="142"/>
  <c r="L21" i="142"/>
  <c r="L38" i="142"/>
  <c r="M36" i="142"/>
  <c r="M27" i="142"/>
  <c r="M21" i="142"/>
  <c r="M38" i="142"/>
  <c r="N36" i="142"/>
  <c r="N27" i="142"/>
  <c r="N21" i="142"/>
  <c r="N38" i="142"/>
  <c r="O36" i="142"/>
  <c r="O27" i="142"/>
  <c r="O21" i="142"/>
  <c r="O38" i="142"/>
  <c r="P36" i="142"/>
  <c r="P27" i="142"/>
  <c r="P21" i="142"/>
  <c r="P38" i="142"/>
  <c r="Q36" i="142"/>
  <c r="Q27" i="142"/>
  <c r="Q21" i="142"/>
  <c r="Q38" i="142"/>
  <c r="R36" i="142"/>
  <c r="R27" i="142"/>
  <c r="R21" i="142"/>
  <c r="R38" i="142"/>
  <c r="S36" i="142"/>
  <c r="S27" i="142"/>
  <c r="S21" i="142"/>
  <c r="S38" i="142"/>
  <c r="T30" i="142"/>
  <c r="T31" i="142"/>
  <c r="T32" i="142"/>
  <c r="T33" i="142"/>
  <c r="T34" i="142"/>
  <c r="T36" i="142"/>
  <c r="T24" i="142"/>
  <c r="T25" i="142"/>
  <c r="T27" i="142"/>
  <c r="T19" i="142"/>
  <c r="T21" i="142"/>
  <c r="T38" i="142"/>
  <c r="R15" i="142"/>
  <c r="S15" i="142"/>
  <c r="Q15" i="142"/>
  <c r="P15" i="142"/>
  <c r="O15" i="142"/>
  <c r="N15" i="142"/>
  <c r="M15" i="142"/>
  <c r="L15" i="142"/>
  <c r="T13" i="142"/>
  <c r="T12" i="142"/>
  <c r="T11" i="142"/>
  <c r="T10" i="142"/>
  <c r="T9" i="142"/>
  <c r="T8" i="142"/>
  <c r="T7" i="142"/>
  <c r="N32" i="141"/>
  <c r="N21" i="141"/>
  <c r="N34" i="141"/>
  <c r="O32" i="141"/>
  <c r="P27" i="141"/>
  <c r="P28" i="141"/>
  <c r="P29" i="141"/>
  <c r="P30" i="141"/>
  <c r="P32" i="141"/>
  <c r="P18" i="141"/>
  <c r="P6" i="141"/>
  <c r="P7" i="141"/>
  <c r="P8" i="141"/>
  <c r="P9" i="141"/>
  <c r="P11" i="141"/>
  <c r="L32" i="141"/>
  <c r="M32" i="141"/>
  <c r="L11" i="141"/>
  <c r="M11" i="141"/>
  <c r="P24" i="141"/>
  <c r="O21" i="141"/>
  <c r="M21" i="141"/>
  <c r="L21" i="141"/>
  <c r="P19" i="141"/>
  <c r="P17" i="141"/>
  <c r="P16" i="141"/>
  <c r="P15" i="141"/>
  <c r="O11" i="141"/>
  <c r="N11" i="141"/>
  <c r="V37" i="140"/>
  <c r="U26" i="140"/>
  <c r="U27" i="140"/>
  <c r="U28" i="140"/>
  <c r="U29" i="140"/>
  <c r="U30" i="140"/>
  <c r="U31" i="140"/>
  <c r="U32" i="140"/>
  <c r="U33" i="140"/>
  <c r="U34" i="140"/>
  <c r="U35" i="140"/>
  <c r="U18" i="140"/>
  <c r="U19" i="140"/>
  <c r="U17" i="140"/>
  <c r="U8" i="140"/>
  <c r="U9" i="140"/>
  <c r="U10" i="140"/>
  <c r="U11" i="140"/>
  <c r="U7" i="140"/>
  <c r="R43" i="3"/>
  <c r="R41" i="146"/>
  <c r="T40" i="145"/>
  <c r="Z70" i="3"/>
  <c r="R70" i="3"/>
  <c r="Q11" i="144"/>
  <c r="J68" i="3"/>
  <c r="Z68" i="3"/>
  <c r="R68" i="3"/>
  <c r="R64" i="3"/>
  <c r="R31" i="143"/>
  <c r="O33" i="143"/>
  <c r="R20" i="143"/>
  <c r="N33" i="143"/>
  <c r="L33" i="143"/>
  <c r="R11" i="143"/>
  <c r="P33" i="143"/>
  <c r="M33" i="143"/>
  <c r="Q33" i="143"/>
  <c r="Z67" i="3"/>
  <c r="J67" i="3"/>
  <c r="R67" i="3"/>
  <c r="J64" i="3"/>
  <c r="T15" i="142"/>
  <c r="R66" i="3"/>
  <c r="J66" i="3"/>
  <c r="O34" i="141"/>
  <c r="L34" i="141"/>
  <c r="P21" i="141"/>
  <c r="M34" i="141"/>
  <c r="U25" i="140"/>
  <c r="U37" i="140"/>
  <c r="M37" i="140"/>
  <c r="M21" i="140"/>
  <c r="M39" i="140"/>
  <c r="U21" i="140"/>
  <c r="U13" i="140"/>
  <c r="T37" i="140"/>
  <c r="S37" i="140"/>
  <c r="R37" i="140"/>
  <c r="R21" i="140"/>
  <c r="R39" i="140"/>
  <c r="Q37" i="140"/>
  <c r="P37" i="140"/>
  <c r="P21" i="140"/>
  <c r="P39" i="140"/>
  <c r="O37" i="140"/>
  <c r="O21" i="140"/>
  <c r="O39" i="140"/>
  <c r="N37" i="140"/>
  <c r="N21" i="140"/>
  <c r="N39" i="140"/>
  <c r="L37" i="140"/>
  <c r="L21" i="140"/>
  <c r="L39" i="140"/>
  <c r="T21" i="140"/>
  <c r="S21" i="140"/>
  <c r="Q21" i="140"/>
  <c r="T13" i="140"/>
  <c r="S13" i="140"/>
  <c r="R13" i="140"/>
  <c r="Q13" i="140"/>
  <c r="P13" i="140"/>
  <c r="O13" i="140"/>
  <c r="N13" i="140"/>
  <c r="M13" i="140"/>
  <c r="L13" i="140"/>
  <c r="S35" i="139"/>
  <c r="S23" i="139"/>
  <c r="S24" i="139"/>
  <c r="S25" i="139"/>
  <c r="S26" i="139"/>
  <c r="S10" i="139"/>
  <c r="S11" i="139"/>
  <c r="S12" i="139"/>
  <c r="S13" i="139"/>
  <c r="S14" i="139"/>
  <c r="S9" i="139"/>
  <c r="L40" i="139"/>
  <c r="M40" i="139"/>
  <c r="N40" i="139"/>
  <c r="O40" i="139"/>
  <c r="P40" i="139"/>
  <c r="Q40" i="139"/>
  <c r="R40" i="139"/>
  <c r="P29" i="139"/>
  <c r="P42" i="139"/>
  <c r="S38" i="139"/>
  <c r="S37" i="139"/>
  <c r="S36" i="139"/>
  <c r="S32" i="139"/>
  <c r="R29" i="139"/>
  <c r="Q29" i="139"/>
  <c r="O29" i="139"/>
  <c r="N29" i="139"/>
  <c r="M29" i="139"/>
  <c r="L29" i="139"/>
  <c r="S27" i="139"/>
  <c r="S22" i="139"/>
  <c r="S21" i="139"/>
  <c r="R17" i="139"/>
  <c r="Q17" i="139"/>
  <c r="P17" i="139"/>
  <c r="O17" i="139"/>
  <c r="N17" i="139"/>
  <c r="M17" i="139"/>
  <c r="L17" i="139"/>
  <c r="S15" i="139"/>
  <c r="S8" i="139"/>
  <c r="S7" i="139"/>
  <c r="L28" i="138"/>
  <c r="L19" i="138"/>
  <c r="L30" i="138"/>
  <c r="M28" i="138"/>
  <c r="M19" i="138"/>
  <c r="M30" i="138"/>
  <c r="N28" i="138"/>
  <c r="N19" i="138"/>
  <c r="N30" i="138"/>
  <c r="O28" i="138"/>
  <c r="O19" i="138"/>
  <c r="O30" i="138"/>
  <c r="P28" i="138"/>
  <c r="P19" i="138"/>
  <c r="P30" i="138"/>
  <c r="Q25" i="138"/>
  <c r="Q26" i="138"/>
  <c r="Q28" i="138"/>
  <c r="Q22" i="138"/>
  <c r="Q14" i="138"/>
  <c r="Q15" i="138"/>
  <c r="Q16" i="138"/>
  <c r="Q17" i="138"/>
  <c r="Q19" i="138"/>
  <c r="Q30" i="138"/>
  <c r="P10" i="138"/>
  <c r="O10" i="138"/>
  <c r="N10" i="138"/>
  <c r="M10" i="138"/>
  <c r="L10" i="138"/>
  <c r="Q8" i="138"/>
  <c r="Q7" i="138"/>
  <c r="Q6" i="138"/>
  <c r="Q34" i="137"/>
  <c r="Q23" i="137"/>
  <c r="Q36" i="137"/>
  <c r="Q14" i="137"/>
  <c r="R34" i="137"/>
  <c r="P34" i="137"/>
  <c r="O34" i="137"/>
  <c r="N34" i="137"/>
  <c r="M34" i="137"/>
  <c r="L34" i="137"/>
  <c r="S32" i="137"/>
  <c r="S30" i="137"/>
  <c r="S28" i="137"/>
  <c r="S27" i="137"/>
  <c r="R23" i="137"/>
  <c r="P23" i="137"/>
  <c r="O23" i="137"/>
  <c r="N23" i="137"/>
  <c r="M23" i="137"/>
  <c r="L23" i="137"/>
  <c r="S21" i="137"/>
  <c r="S20" i="137"/>
  <c r="S19" i="137"/>
  <c r="S18" i="137"/>
  <c r="R14" i="137"/>
  <c r="P14" i="137"/>
  <c r="O14" i="137"/>
  <c r="N14" i="137"/>
  <c r="M14" i="137"/>
  <c r="L14" i="137"/>
  <c r="S12" i="137"/>
  <c r="S11" i="137"/>
  <c r="S10" i="137"/>
  <c r="S8" i="137"/>
  <c r="S7" i="137"/>
  <c r="W30" i="136"/>
  <c r="W31" i="136"/>
  <c r="W32" i="136"/>
  <c r="W33" i="136"/>
  <c r="W34" i="136"/>
  <c r="W35" i="136"/>
  <c r="W36" i="136"/>
  <c r="W37" i="136"/>
  <c r="W38" i="136"/>
  <c r="W39" i="136"/>
  <c r="W40" i="136"/>
  <c r="W41" i="136"/>
  <c r="W42" i="136"/>
  <c r="W43" i="136"/>
  <c r="W44" i="136"/>
  <c r="W45" i="136"/>
  <c r="W46" i="136"/>
  <c r="W29" i="136"/>
  <c r="W25" i="136"/>
  <c r="Q48" i="136"/>
  <c r="R48" i="136"/>
  <c r="S48" i="136"/>
  <c r="S22" i="136"/>
  <c r="S50" i="136"/>
  <c r="T48" i="136"/>
  <c r="T22" i="136"/>
  <c r="T50" i="136"/>
  <c r="U48" i="136"/>
  <c r="M48" i="136"/>
  <c r="M22" i="136"/>
  <c r="M50" i="136"/>
  <c r="O48" i="136"/>
  <c r="O22" i="136"/>
  <c r="O50" i="136"/>
  <c r="P48" i="136"/>
  <c r="P22" i="136"/>
  <c r="P50" i="136"/>
  <c r="Q22" i="136"/>
  <c r="Q50" i="136"/>
  <c r="R22" i="136"/>
  <c r="R50" i="136"/>
  <c r="U22" i="136"/>
  <c r="P12" i="136"/>
  <c r="Q12" i="136"/>
  <c r="R12" i="136"/>
  <c r="S12" i="136"/>
  <c r="T12" i="136"/>
  <c r="V48" i="136"/>
  <c r="N48" i="136"/>
  <c r="L48" i="136"/>
  <c r="V22" i="136"/>
  <c r="N22" i="136"/>
  <c r="N50" i="136"/>
  <c r="L22" i="136"/>
  <c r="L50" i="136"/>
  <c r="W20" i="136"/>
  <c r="W19" i="136"/>
  <c r="W18" i="136"/>
  <c r="W17" i="136"/>
  <c r="W16" i="136"/>
  <c r="W22" i="136"/>
  <c r="V12" i="136"/>
  <c r="U12" i="136"/>
  <c r="O12" i="136"/>
  <c r="N12" i="136"/>
  <c r="M12" i="136"/>
  <c r="L12" i="136"/>
  <c r="W10" i="136"/>
  <c r="W9" i="136"/>
  <c r="W8" i="136"/>
  <c r="W7" i="136"/>
  <c r="N18" i="135"/>
  <c r="N24" i="135"/>
  <c r="N26" i="135"/>
  <c r="O18" i="135"/>
  <c r="O24" i="135"/>
  <c r="O26" i="135"/>
  <c r="P18" i="135"/>
  <c r="P24" i="135"/>
  <c r="P26" i="135"/>
  <c r="Q18" i="135"/>
  <c r="Q24" i="135"/>
  <c r="Q26" i="135"/>
  <c r="M24" i="135"/>
  <c r="L18" i="135"/>
  <c r="N11" i="135"/>
  <c r="O11" i="135"/>
  <c r="P11" i="135"/>
  <c r="M11" i="135"/>
  <c r="S24" i="135"/>
  <c r="L24" i="135"/>
  <c r="L26" i="135"/>
  <c r="R22" i="135"/>
  <c r="R21" i="135"/>
  <c r="S18" i="135"/>
  <c r="S26" i="135"/>
  <c r="M18" i="135"/>
  <c r="R16" i="135"/>
  <c r="R15" i="135"/>
  <c r="S11" i="135"/>
  <c r="Q11" i="135"/>
  <c r="L11" i="135"/>
  <c r="R9" i="135"/>
  <c r="R8" i="135"/>
  <c r="R7" i="135"/>
  <c r="Z66" i="3"/>
  <c r="Z64" i="3"/>
  <c r="R33" i="143"/>
  <c r="R63" i="3"/>
  <c r="J63" i="3"/>
  <c r="P34" i="141"/>
  <c r="J62" i="3"/>
  <c r="S39" i="140"/>
  <c r="U39" i="140"/>
  <c r="T39" i="140"/>
  <c r="Q39" i="140"/>
  <c r="V13" i="140"/>
  <c r="V21" i="140"/>
  <c r="J60" i="3"/>
  <c r="S40" i="139"/>
  <c r="R42" i="139"/>
  <c r="Q42" i="139"/>
  <c r="O42" i="139"/>
  <c r="N42" i="139"/>
  <c r="M42" i="139"/>
  <c r="L42" i="139"/>
  <c r="S29" i="139"/>
  <c r="S17" i="139"/>
  <c r="R62" i="3"/>
  <c r="Z62" i="3"/>
  <c r="Z56" i="3"/>
  <c r="Q10" i="138"/>
  <c r="O36" i="137"/>
  <c r="P36" i="137"/>
  <c r="N36" i="137"/>
  <c r="S14" i="137"/>
  <c r="S23" i="137"/>
  <c r="S34" i="137"/>
  <c r="M36" i="137"/>
  <c r="R36" i="137"/>
  <c r="L36" i="137"/>
  <c r="J56" i="3"/>
  <c r="U50" i="136"/>
  <c r="V50" i="136"/>
  <c r="W12" i="136"/>
  <c r="W48" i="136"/>
  <c r="W50" i="136"/>
  <c r="J49" i="3"/>
  <c r="J48" i="3"/>
  <c r="R11" i="135"/>
  <c r="R24" i="135"/>
  <c r="R18" i="135"/>
  <c r="M26" i="135"/>
  <c r="R48" i="3"/>
  <c r="P28" i="134"/>
  <c r="O28" i="134"/>
  <c r="N28" i="134"/>
  <c r="M28" i="134"/>
  <c r="L28" i="134"/>
  <c r="Q26" i="134"/>
  <c r="Q25" i="134"/>
  <c r="Q22" i="134"/>
  <c r="P19" i="134"/>
  <c r="O19" i="134"/>
  <c r="N19" i="134"/>
  <c r="M19" i="134"/>
  <c r="L19" i="134"/>
  <c r="Q17" i="134"/>
  <c r="Q16" i="134"/>
  <c r="Q15" i="134"/>
  <c r="P11" i="134"/>
  <c r="O11" i="134"/>
  <c r="N11" i="134"/>
  <c r="M11" i="134"/>
  <c r="L11" i="134"/>
  <c r="Q9" i="134"/>
  <c r="Q8" i="134"/>
  <c r="Q7" i="134"/>
  <c r="L40" i="133"/>
  <c r="L19" i="133"/>
  <c r="L42" i="133"/>
  <c r="M40" i="133"/>
  <c r="M19" i="133"/>
  <c r="M42" i="133"/>
  <c r="N40" i="133"/>
  <c r="N19" i="133"/>
  <c r="N42" i="133"/>
  <c r="O40" i="133"/>
  <c r="O19" i="133"/>
  <c r="O42" i="133"/>
  <c r="P40" i="133"/>
  <c r="P19" i="133"/>
  <c r="P42" i="133"/>
  <c r="Q25" i="133"/>
  <c r="Q28" i="133"/>
  <c r="Q29" i="133"/>
  <c r="Q30" i="133"/>
  <c r="Q31" i="133"/>
  <c r="Q33" i="133"/>
  <c r="Q34" i="133"/>
  <c r="Q35" i="133"/>
  <c r="Q36" i="133"/>
  <c r="Q37" i="133"/>
  <c r="Q38" i="133"/>
  <c r="Q40" i="133"/>
  <c r="Q21" i="133"/>
  <c r="Q16" i="133"/>
  <c r="Q17" i="133"/>
  <c r="Q19" i="133"/>
  <c r="Q42" i="133"/>
  <c r="P12" i="133"/>
  <c r="O12" i="133"/>
  <c r="N12" i="133"/>
  <c r="M12" i="133"/>
  <c r="L12" i="133"/>
  <c r="Q10" i="133"/>
  <c r="Q9" i="133"/>
  <c r="Q8" i="133"/>
  <c r="Q7" i="133"/>
  <c r="Q6" i="133"/>
  <c r="O25" i="132"/>
  <c r="O26" i="132"/>
  <c r="O27" i="132"/>
  <c r="O28" i="132"/>
  <c r="O29" i="132"/>
  <c r="O30" i="132"/>
  <c r="O31" i="132"/>
  <c r="O32" i="132"/>
  <c r="O24" i="132"/>
  <c r="O17" i="132"/>
  <c r="O18" i="132"/>
  <c r="O16" i="132"/>
  <c r="N12" i="132"/>
  <c r="O9" i="132"/>
  <c r="O7" i="132"/>
  <c r="O8" i="132"/>
  <c r="O12" i="132"/>
  <c r="O10" i="132"/>
  <c r="N34" i="132"/>
  <c r="M34" i="132"/>
  <c r="L34" i="132"/>
  <c r="N20" i="132"/>
  <c r="M20" i="132"/>
  <c r="L20" i="132"/>
  <c r="M12" i="132"/>
  <c r="L12" i="132"/>
  <c r="S24" i="131"/>
  <c r="S25" i="131"/>
  <c r="S27" i="131"/>
  <c r="S15" i="131"/>
  <c r="S16" i="131"/>
  <c r="S17" i="131"/>
  <c r="S18" i="131"/>
  <c r="S19" i="131"/>
  <c r="S21" i="131"/>
  <c r="S29" i="131"/>
  <c r="L27" i="131"/>
  <c r="L21" i="131"/>
  <c r="L29" i="131"/>
  <c r="M27" i="131"/>
  <c r="M21" i="131"/>
  <c r="M29" i="131"/>
  <c r="N27" i="131"/>
  <c r="N21" i="131"/>
  <c r="N29" i="131"/>
  <c r="O27" i="131"/>
  <c r="O21" i="131"/>
  <c r="O29" i="131"/>
  <c r="P27" i="131"/>
  <c r="P21" i="131"/>
  <c r="P29" i="131"/>
  <c r="Q27" i="131"/>
  <c r="Q21" i="131"/>
  <c r="Q29" i="131"/>
  <c r="R27" i="131"/>
  <c r="R21" i="131"/>
  <c r="R29" i="131"/>
  <c r="R11" i="131"/>
  <c r="Q11" i="131"/>
  <c r="P11" i="131"/>
  <c r="O11" i="131"/>
  <c r="N11" i="131"/>
  <c r="M11" i="131"/>
  <c r="L11" i="131"/>
  <c r="S9" i="131"/>
  <c r="S8" i="131"/>
  <c r="S7" i="131"/>
  <c r="L25" i="130"/>
  <c r="L19" i="130"/>
  <c r="L27" i="130"/>
  <c r="M25" i="130"/>
  <c r="M19" i="130"/>
  <c r="M27" i="130"/>
  <c r="N25" i="130"/>
  <c r="N19" i="130"/>
  <c r="N27" i="130"/>
  <c r="O25" i="130"/>
  <c r="O19" i="130"/>
  <c r="O27" i="130"/>
  <c r="P25" i="130"/>
  <c r="P19" i="130"/>
  <c r="P27" i="130"/>
  <c r="Q25" i="130"/>
  <c r="Q19" i="130"/>
  <c r="Q27" i="130"/>
  <c r="R22" i="130"/>
  <c r="R23" i="130"/>
  <c r="R25" i="130"/>
  <c r="R16" i="130"/>
  <c r="R17" i="130"/>
  <c r="R19" i="130"/>
  <c r="R27" i="130"/>
  <c r="Q12" i="130"/>
  <c r="P12" i="130"/>
  <c r="O12" i="130"/>
  <c r="N12" i="130"/>
  <c r="M12" i="130"/>
  <c r="L12" i="130"/>
  <c r="R10" i="130"/>
  <c r="R9" i="130"/>
  <c r="R8" i="130"/>
  <c r="R7" i="130"/>
  <c r="Q31" i="129"/>
  <c r="Q22" i="129"/>
  <c r="Q33" i="129"/>
  <c r="R31" i="129"/>
  <c r="R22" i="129"/>
  <c r="R33" i="129"/>
  <c r="S25" i="129"/>
  <c r="S26" i="129"/>
  <c r="S27" i="129"/>
  <c r="S28" i="129"/>
  <c r="S29" i="129"/>
  <c r="S31" i="129"/>
  <c r="S18" i="129"/>
  <c r="S19" i="129"/>
  <c r="S20" i="129"/>
  <c r="S22" i="129"/>
  <c r="S33" i="129"/>
  <c r="P22" i="129"/>
  <c r="Q14" i="129"/>
  <c r="Z63" i="3"/>
  <c r="Z49" i="3"/>
  <c r="R49" i="3"/>
  <c r="Z60" i="3"/>
  <c r="R60" i="3"/>
  <c r="R41" i="3"/>
  <c r="V39" i="140"/>
  <c r="S42" i="139"/>
  <c r="R56" i="3"/>
  <c r="S36" i="137"/>
  <c r="R26" i="135"/>
  <c r="Z48" i="3"/>
  <c r="N30" i="134"/>
  <c r="P30" i="134"/>
  <c r="Q11" i="134"/>
  <c r="O30" i="134"/>
  <c r="Q28" i="134"/>
  <c r="M30" i="134"/>
  <c r="Q19" i="134"/>
  <c r="L30" i="134"/>
  <c r="J47" i="3"/>
  <c r="R47" i="3"/>
  <c r="J46" i="3"/>
  <c r="R46" i="3"/>
  <c r="Q12" i="133"/>
  <c r="R39" i="3"/>
  <c r="O34" i="132"/>
  <c r="O20" i="132"/>
  <c r="L36" i="132"/>
  <c r="M36" i="132"/>
  <c r="P12" i="132"/>
  <c r="N36" i="132"/>
  <c r="P20" i="132"/>
  <c r="P34" i="132"/>
  <c r="J41" i="3"/>
  <c r="R37" i="3"/>
  <c r="S11" i="131"/>
  <c r="J39" i="3"/>
  <c r="R12" i="130"/>
  <c r="J37" i="3"/>
  <c r="M31" i="129"/>
  <c r="N31" i="129"/>
  <c r="N22" i="129"/>
  <c r="N33" i="129"/>
  <c r="O31" i="129"/>
  <c r="O22" i="129"/>
  <c r="O33" i="129"/>
  <c r="P31" i="129"/>
  <c r="P33" i="129"/>
  <c r="L31" i="129"/>
  <c r="L22" i="129"/>
  <c r="L33" i="129"/>
  <c r="M22" i="129"/>
  <c r="M33" i="129"/>
  <c r="R14" i="129"/>
  <c r="P14" i="129"/>
  <c r="O14" i="129"/>
  <c r="N14" i="129"/>
  <c r="M14" i="129"/>
  <c r="L14" i="129"/>
  <c r="S12" i="129"/>
  <c r="S11" i="129"/>
  <c r="S10" i="129"/>
  <c r="S9" i="129"/>
  <c r="S8" i="129"/>
  <c r="S7" i="129"/>
  <c r="S6" i="129"/>
  <c r="Q30" i="128"/>
  <c r="P30" i="128"/>
  <c r="O30" i="128"/>
  <c r="N30" i="128"/>
  <c r="M30" i="128"/>
  <c r="L30" i="128"/>
  <c r="R28" i="128"/>
  <c r="R27" i="128"/>
  <c r="R26" i="128"/>
  <c r="R25" i="128"/>
  <c r="R24" i="128"/>
  <c r="R23" i="128"/>
  <c r="R21" i="128"/>
  <c r="Q18" i="128"/>
  <c r="P18" i="128"/>
  <c r="O18" i="128"/>
  <c r="N18" i="128"/>
  <c r="M18" i="128"/>
  <c r="L18" i="128"/>
  <c r="R16" i="128"/>
  <c r="R15" i="128"/>
  <c r="R14" i="128"/>
  <c r="Q10" i="128"/>
  <c r="P10" i="128"/>
  <c r="O10" i="128"/>
  <c r="N10" i="128"/>
  <c r="M10" i="128"/>
  <c r="L10" i="128"/>
  <c r="R8" i="128"/>
  <c r="R7" i="128"/>
  <c r="R6" i="128"/>
  <c r="O39" i="127"/>
  <c r="O22" i="127"/>
  <c r="O41" i="127"/>
  <c r="P39" i="127"/>
  <c r="P22" i="127"/>
  <c r="P41" i="127"/>
  <c r="M39" i="127"/>
  <c r="M22" i="127"/>
  <c r="M41" i="127"/>
  <c r="Q25" i="127"/>
  <c r="Q17" i="127"/>
  <c r="Q18" i="127"/>
  <c r="Q7" i="127"/>
  <c r="Q8" i="127"/>
  <c r="Q9" i="127"/>
  <c r="Q10" i="127"/>
  <c r="Q6" i="127"/>
  <c r="L39" i="127"/>
  <c r="L22" i="127"/>
  <c r="L41" i="127"/>
  <c r="N39" i="127"/>
  <c r="N22" i="127"/>
  <c r="N41" i="127"/>
  <c r="Q37" i="127"/>
  <c r="Q36" i="127"/>
  <c r="Q34" i="127"/>
  <c r="Q33" i="127"/>
  <c r="Q32" i="127"/>
  <c r="Q31" i="127"/>
  <c r="Q30" i="127"/>
  <c r="Q29" i="127"/>
  <c r="Q20" i="127"/>
  <c r="Q19" i="127"/>
  <c r="Q16" i="127"/>
  <c r="P12" i="127"/>
  <c r="O12" i="127"/>
  <c r="N12" i="127"/>
  <c r="M12" i="127"/>
  <c r="L12" i="127"/>
  <c r="Q12" i="127"/>
  <c r="R31" i="126"/>
  <c r="R19" i="126"/>
  <c r="R23" i="126"/>
  <c r="R33" i="126"/>
  <c r="P31" i="126"/>
  <c r="P23" i="126"/>
  <c r="P19" i="126"/>
  <c r="P33" i="126"/>
  <c r="Q31" i="126"/>
  <c r="S27" i="126"/>
  <c r="S28" i="126"/>
  <c r="S29" i="126"/>
  <c r="S26" i="126"/>
  <c r="Q23" i="126"/>
  <c r="R11" i="126"/>
  <c r="S7" i="126"/>
  <c r="S6" i="126"/>
  <c r="L31" i="126"/>
  <c r="M31" i="126"/>
  <c r="N31" i="126"/>
  <c r="O31" i="126"/>
  <c r="L23" i="126"/>
  <c r="M23" i="126"/>
  <c r="N23" i="126"/>
  <c r="O23" i="126"/>
  <c r="S22" i="126"/>
  <c r="S23" i="126"/>
  <c r="Q19" i="126"/>
  <c r="O19" i="126"/>
  <c r="N19" i="126"/>
  <c r="M19" i="126"/>
  <c r="L19" i="126"/>
  <c r="S17" i="126"/>
  <c r="S16" i="126"/>
  <c r="S15" i="126"/>
  <c r="Q11" i="126"/>
  <c r="P11" i="126"/>
  <c r="O11" i="126"/>
  <c r="N11" i="126"/>
  <c r="M11" i="126"/>
  <c r="L11" i="126"/>
  <c r="S9" i="126"/>
  <c r="S8" i="126"/>
  <c r="L35" i="125"/>
  <c r="L26" i="125"/>
  <c r="L37" i="125"/>
  <c r="M35" i="125"/>
  <c r="M26" i="125"/>
  <c r="M37" i="125"/>
  <c r="N35" i="125"/>
  <c r="N26" i="125"/>
  <c r="N37" i="125"/>
  <c r="O35" i="125"/>
  <c r="O26" i="125"/>
  <c r="O37" i="125"/>
  <c r="P35" i="125"/>
  <c r="P26" i="125"/>
  <c r="P37" i="125"/>
  <c r="Q35" i="125"/>
  <c r="Q26" i="125"/>
  <c r="Q37" i="125"/>
  <c r="R35" i="125"/>
  <c r="R26" i="125"/>
  <c r="R37" i="125"/>
  <c r="S29" i="125"/>
  <c r="S30" i="125"/>
  <c r="S31" i="125"/>
  <c r="S32" i="125"/>
  <c r="S33" i="125"/>
  <c r="S35" i="125"/>
  <c r="S17" i="125"/>
  <c r="S18" i="125"/>
  <c r="S19" i="125"/>
  <c r="S20" i="125"/>
  <c r="S21" i="125"/>
  <c r="S22" i="125"/>
  <c r="S23" i="125"/>
  <c r="S24" i="125"/>
  <c r="S26" i="125"/>
  <c r="S37" i="125"/>
  <c r="R13" i="125"/>
  <c r="Q13" i="125"/>
  <c r="P13" i="125"/>
  <c r="O13" i="125"/>
  <c r="N13" i="125"/>
  <c r="M13" i="125"/>
  <c r="L13" i="125"/>
  <c r="S11" i="125"/>
  <c r="S10" i="125"/>
  <c r="S9" i="125"/>
  <c r="S8" i="125"/>
  <c r="S7" i="125"/>
  <c r="S6" i="125"/>
  <c r="L32" i="124"/>
  <c r="L18" i="124"/>
  <c r="L34" i="124"/>
  <c r="M32" i="124"/>
  <c r="M18" i="124"/>
  <c r="M34" i="124"/>
  <c r="N32" i="124"/>
  <c r="N18" i="124"/>
  <c r="N34" i="124"/>
  <c r="O32" i="124"/>
  <c r="O18" i="124"/>
  <c r="O34" i="124"/>
  <c r="P32" i="124"/>
  <c r="P18" i="124"/>
  <c r="P34" i="124"/>
  <c r="Q22" i="124"/>
  <c r="Q23" i="124"/>
  <c r="Q24" i="124"/>
  <c r="Q26" i="124"/>
  <c r="Q27" i="124"/>
  <c r="Q28" i="124"/>
  <c r="Q29" i="124"/>
  <c r="Q30" i="124"/>
  <c r="Q32" i="124"/>
  <c r="Q14" i="124"/>
  <c r="Q15" i="124"/>
  <c r="Q16" i="124"/>
  <c r="Q18" i="124"/>
  <c r="Q34" i="124"/>
  <c r="P10" i="124"/>
  <c r="O10" i="124"/>
  <c r="N10" i="124"/>
  <c r="M10" i="124"/>
  <c r="L10" i="124"/>
  <c r="Q8" i="124"/>
  <c r="Q7" i="124"/>
  <c r="Q6" i="124"/>
  <c r="L35" i="123"/>
  <c r="L20" i="123"/>
  <c r="L37" i="123"/>
  <c r="M35" i="123"/>
  <c r="M20" i="123"/>
  <c r="M37" i="123"/>
  <c r="N35" i="123"/>
  <c r="N20" i="123"/>
  <c r="N37" i="123"/>
  <c r="O35" i="123"/>
  <c r="O20" i="123"/>
  <c r="O37" i="123"/>
  <c r="P35" i="123"/>
  <c r="P20" i="123"/>
  <c r="P37" i="123"/>
  <c r="Q35" i="123"/>
  <c r="Q20" i="123"/>
  <c r="Q37" i="123"/>
  <c r="R33" i="123"/>
  <c r="R32" i="123"/>
  <c r="R31" i="123"/>
  <c r="R30" i="123"/>
  <c r="R29" i="123"/>
  <c r="R28" i="123"/>
  <c r="R27" i="123"/>
  <c r="R26" i="123"/>
  <c r="R25" i="123"/>
  <c r="R23" i="123"/>
  <c r="R18" i="123"/>
  <c r="R17" i="123"/>
  <c r="R16" i="123"/>
  <c r="R15" i="123"/>
  <c r="Q11" i="123"/>
  <c r="P11" i="123"/>
  <c r="O11" i="123"/>
  <c r="N11" i="123"/>
  <c r="M11" i="123"/>
  <c r="L11" i="123"/>
  <c r="R9" i="123"/>
  <c r="R8" i="123"/>
  <c r="R7" i="123"/>
  <c r="R6" i="123"/>
  <c r="P42" i="122"/>
  <c r="M42" i="122"/>
  <c r="Q35" i="122"/>
  <c r="Q36" i="122"/>
  <c r="Q37" i="122"/>
  <c r="Q38" i="122"/>
  <c r="Q39" i="122"/>
  <c r="Q40" i="122"/>
  <c r="Q34" i="122"/>
  <c r="Q33" i="122"/>
  <c r="L26" i="122"/>
  <c r="M26" i="122"/>
  <c r="N26" i="122"/>
  <c r="O26" i="122"/>
  <c r="P26" i="122"/>
  <c r="Q18" i="122"/>
  <c r="Q19" i="122"/>
  <c r="Q20" i="122"/>
  <c r="Q21" i="122"/>
  <c r="Q22" i="122"/>
  <c r="Q23" i="122"/>
  <c r="Q24" i="122"/>
  <c r="Q26" i="122"/>
  <c r="Q12" i="122"/>
  <c r="L42" i="122"/>
  <c r="L44" i="122"/>
  <c r="M44" i="122"/>
  <c r="O42" i="122"/>
  <c r="N42" i="122"/>
  <c r="N44" i="122"/>
  <c r="Q29" i="122"/>
  <c r="P44" i="122"/>
  <c r="P14" i="122"/>
  <c r="O14" i="122"/>
  <c r="N14" i="122"/>
  <c r="M14" i="122"/>
  <c r="L14" i="122"/>
  <c r="Q10" i="122"/>
  <c r="Q9" i="122"/>
  <c r="Q8" i="122"/>
  <c r="Q7" i="122"/>
  <c r="Q6" i="122"/>
  <c r="L24" i="121"/>
  <c r="L18" i="121"/>
  <c r="L26" i="121"/>
  <c r="M24" i="121"/>
  <c r="M18" i="121"/>
  <c r="M26" i="121"/>
  <c r="N24" i="121"/>
  <c r="N18" i="121"/>
  <c r="N26" i="121"/>
  <c r="Q24" i="121"/>
  <c r="P24" i="121"/>
  <c r="O24" i="121"/>
  <c r="R22" i="121"/>
  <c r="R21" i="121"/>
  <c r="Q18" i="121"/>
  <c r="Q26" i="121"/>
  <c r="P18" i="121"/>
  <c r="P26" i="121"/>
  <c r="O18" i="121"/>
  <c r="O26" i="121"/>
  <c r="R16" i="121"/>
  <c r="R15" i="121"/>
  <c r="Q11" i="121"/>
  <c r="P11" i="121"/>
  <c r="O11" i="121"/>
  <c r="N11" i="121"/>
  <c r="M11" i="121"/>
  <c r="L11" i="121"/>
  <c r="R9" i="121"/>
  <c r="R8" i="121"/>
  <c r="R7" i="121"/>
  <c r="R6" i="121"/>
  <c r="R47" i="120"/>
  <c r="Q47" i="120"/>
  <c r="P47" i="120"/>
  <c r="O47" i="120"/>
  <c r="N47" i="120"/>
  <c r="M47" i="120"/>
  <c r="L47" i="120"/>
  <c r="S45" i="120"/>
  <c r="S44" i="120"/>
  <c r="S42" i="120"/>
  <c r="S41" i="120"/>
  <c r="S40" i="120"/>
  <c r="S39" i="120"/>
  <c r="S38" i="120"/>
  <c r="S37" i="120"/>
  <c r="S36" i="120"/>
  <c r="S34" i="120"/>
  <c r="R30" i="120"/>
  <c r="Q30" i="120"/>
  <c r="P30" i="120"/>
  <c r="O30" i="120"/>
  <c r="N30" i="120"/>
  <c r="M30" i="120"/>
  <c r="L30" i="120"/>
  <c r="S28" i="120"/>
  <c r="S30" i="120"/>
  <c r="R25" i="120"/>
  <c r="Q25" i="120"/>
  <c r="P25" i="120"/>
  <c r="O25" i="120"/>
  <c r="N25" i="120"/>
  <c r="M25" i="120"/>
  <c r="L25" i="120"/>
  <c r="S23" i="120"/>
  <c r="S22" i="120"/>
  <c r="S21" i="120"/>
  <c r="S20" i="120"/>
  <c r="S19" i="120"/>
  <c r="S18" i="120"/>
  <c r="R14" i="120"/>
  <c r="Q14" i="120"/>
  <c r="P14" i="120"/>
  <c r="O14" i="120"/>
  <c r="N14" i="120"/>
  <c r="M14" i="120"/>
  <c r="L14" i="120"/>
  <c r="S12" i="120"/>
  <c r="S11" i="120"/>
  <c r="S10" i="120"/>
  <c r="S9" i="120"/>
  <c r="S8" i="120"/>
  <c r="S7" i="120"/>
  <c r="S6" i="120"/>
  <c r="R28" i="119"/>
  <c r="R29" i="119"/>
  <c r="R31" i="119"/>
  <c r="R23" i="119"/>
  <c r="R25" i="119"/>
  <c r="R16" i="119"/>
  <c r="R17" i="119"/>
  <c r="R18" i="119"/>
  <c r="R20" i="119"/>
  <c r="R33" i="119"/>
  <c r="Q31" i="119"/>
  <c r="P31" i="119"/>
  <c r="O31" i="119"/>
  <c r="N31" i="119"/>
  <c r="N25" i="119"/>
  <c r="N20" i="119"/>
  <c r="N33" i="119"/>
  <c r="M31" i="119"/>
  <c r="L31" i="119"/>
  <c r="Q25" i="119"/>
  <c r="P25" i="119"/>
  <c r="O25" i="119"/>
  <c r="M25" i="119"/>
  <c r="L25" i="119"/>
  <c r="Q20" i="119"/>
  <c r="P20" i="119"/>
  <c r="O20" i="119"/>
  <c r="M20" i="119"/>
  <c r="L20" i="119"/>
  <c r="Q12" i="119"/>
  <c r="P12" i="119"/>
  <c r="O12" i="119"/>
  <c r="N12" i="119"/>
  <c r="M12" i="119"/>
  <c r="L12" i="119"/>
  <c r="R10" i="119"/>
  <c r="R9" i="119"/>
  <c r="R8" i="119"/>
  <c r="R7" i="119"/>
  <c r="R6" i="119"/>
  <c r="Z41" i="3"/>
  <c r="Z47" i="3"/>
  <c r="Z46" i="3"/>
  <c r="Q30" i="134"/>
  <c r="Z39" i="3"/>
  <c r="Z37" i="3"/>
  <c r="O36" i="132"/>
  <c r="P36" i="132"/>
  <c r="Z26" i="3"/>
  <c r="J36" i="3"/>
  <c r="R36" i="3"/>
  <c r="J33" i="3"/>
  <c r="J28" i="3"/>
  <c r="S14" i="129"/>
  <c r="N32" i="128"/>
  <c r="R10" i="128"/>
  <c r="O32" i="128"/>
  <c r="R18" i="128"/>
  <c r="L32" i="128"/>
  <c r="P32" i="128"/>
  <c r="R30" i="128"/>
  <c r="M32" i="128"/>
  <c r="Q32" i="128"/>
  <c r="J29" i="3"/>
  <c r="R29" i="3"/>
  <c r="J31" i="3"/>
  <c r="Q39" i="127"/>
  <c r="Q22" i="127"/>
  <c r="Q41" i="127"/>
  <c r="R28" i="3"/>
  <c r="S19" i="126"/>
  <c r="N33" i="126"/>
  <c r="L33" i="126"/>
  <c r="S31" i="126"/>
  <c r="S11" i="126"/>
  <c r="M33" i="126"/>
  <c r="O33" i="126"/>
  <c r="Q33" i="126"/>
  <c r="Z27" i="3"/>
  <c r="S13" i="125"/>
  <c r="Q10" i="124"/>
  <c r="J27" i="3"/>
  <c r="Z24" i="3"/>
  <c r="R20" i="123"/>
  <c r="R11" i="123"/>
  <c r="R35" i="123"/>
  <c r="R37" i="123"/>
  <c r="J26" i="3"/>
  <c r="R20" i="3"/>
  <c r="J22" i="3"/>
  <c r="Z22" i="3"/>
  <c r="J24" i="3"/>
  <c r="O44" i="122"/>
  <c r="Q42" i="122"/>
  <c r="Q44" i="122"/>
  <c r="Q14" i="122"/>
  <c r="R24" i="3"/>
  <c r="J20" i="3"/>
  <c r="R11" i="121"/>
  <c r="R18" i="121"/>
  <c r="R24" i="121"/>
  <c r="O49" i="120"/>
  <c r="L49" i="120"/>
  <c r="P49" i="120"/>
  <c r="R49" i="120"/>
  <c r="M49" i="120"/>
  <c r="Q49" i="120"/>
  <c r="S47" i="120"/>
  <c r="N49" i="120"/>
  <c r="S14" i="120"/>
  <c r="S25" i="120"/>
  <c r="O33" i="119"/>
  <c r="R12" i="119"/>
  <c r="L33" i="119"/>
  <c r="P33" i="119"/>
  <c r="M33" i="119"/>
  <c r="Q33" i="119"/>
  <c r="L35" i="118"/>
  <c r="L28" i="118"/>
  <c r="L22" i="118"/>
  <c r="L37" i="118"/>
  <c r="M35" i="118"/>
  <c r="M28" i="118"/>
  <c r="M22" i="118"/>
  <c r="M37" i="118"/>
  <c r="N35" i="118"/>
  <c r="N28" i="118"/>
  <c r="N22" i="118"/>
  <c r="N37" i="118"/>
  <c r="O35" i="118"/>
  <c r="O28" i="118"/>
  <c r="O22" i="118"/>
  <c r="O37" i="118"/>
  <c r="P35" i="118"/>
  <c r="P28" i="118"/>
  <c r="P22" i="118"/>
  <c r="P37" i="118"/>
  <c r="Q35" i="118"/>
  <c r="Q28" i="118"/>
  <c r="Q22" i="118"/>
  <c r="Q37" i="118"/>
  <c r="R31" i="118"/>
  <c r="R32" i="118"/>
  <c r="R33" i="118"/>
  <c r="R35" i="118"/>
  <c r="R25" i="118"/>
  <c r="R26" i="118"/>
  <c r="R28" i="118"/>
  <c r="R19" i="118"/>
  <c r="R20" i="118"/>
  <c r="R22" i="118"/>
  <c r="R37" i="118"/>
  <c r="Q15" i="118"/>
  <c r="P15" i="118"/>
  <c r="O15" i="118"/>
  <c r="N15" i="118"/>
  <c r="M15" i="118"/>
  <c r="L15" i="118"/>
  <c r="R13" i="118"/>
  <c r="R10" i="118"/>
  <c r="R9" i="118"/>
  <c r="R8" i="118"/>
  <c r="R6" i="118"/>
  <c r="N54" i="117"/>
  <c r="N23" i="117"/>
  <c r="N56" i="117"/>
  <c r="O30" i="117"/>
  <c r="O31" i="117"/>
  <c r="O32" i="117"/>
  <c r="O33" i="117"/>
  <c r="O34" i="117"/>
  <c r="O35" i="117"/>
  <c r="O36" i="117"/>
  <c r="O37" i="117"/>
  <c r="O38" i="117"/>
  <c r="O39" i="117"/>
  <c r="O40" i="117"/>
  <c r="O41" i="117"/>
  <c r="O42" i="117"/>
  <c r="O43" i="117"/>
  <c r="O44" i="117"/>
  <c r="O45" i="117"/>
  <c r="O46" i="117"/>
  <c r="O47" i="117"/>
  <c r="O48" i="117"/>
  <c r="O49" i="117"/>
  <c r="O50" i="117"/>
  <c r="O51" i="117"/>
  <c r="O52" i="117"/>
  <c r="L54" i="117"/>
  <c r="L23" i="117"/>
  <c r="L56" i="117"/>
  <c r="M54" i="117"/>
  <c r="M23" i="117"/>
  <c r="M56" i="117"/>
  <c r="O29" i="117"/>
  <c r="O21" i="117"/>
  <c r="O20" i="117"/>
  <c r="O19" i="117"/>
  <c r="O18" i="117"/>
  <c r="N12" i="117"/>
  <c r="M12" i="117"/>
  <c r="L12" i="117"/>
  <c r="O10" i="117"/>
  <c r="O9" i="117"/>
  <c r="O8" i="117"/>
  <c r="O7" i="117"/>
  <c r="O6" i="117"/>
  <c r="Q26" i="116"/>
  <c r="Q20" i="116"/>
  <c r="Q28" i="116"/>
  <c r="S17" i="116"/>
  <c r="P11" i="116"/>
  <c r="Q11" i="116"/>
  <c r="S8" i="116"/>
  <c r="R26" i="116"/>
  <c r="R20" i="116"/>
  <c r="R28" i="116"/>
  <c r="P26" i="116"/>
  <c r="O26" i="116"/>
  <c r="N26" i="116"/>
  <c r="M26" i="116"/>
  <c r="M20" i="116"/>
  <c r="M28" i="116"/>
  <c r="L26" i="116"/>
  <c r="S24" i="116"/>
  <c r="S23" i="116"/>
  <c r="P20" i="116"/>
  <c r="O20" i="116"/>
  <c r="N20" i="116"/>
  <c r="L20" i="116"/>
  <c r="S18" i="116"/>
  <c r="S16" i="116"/>
  <c r="S15" i="116"/>
  <c r="R11" i="116"/>
  <c r="O11" i="116"/>
  <c r="N11" i="116"/>
  <c r="M11" i="116"/>
  <c r="L11" i="116"/>
  <c r="S9" i="116"/>
  <c r="S7" i="116"/>
  <c r="S11" i="116"/>
  <c r="P44" i="115"/>
  <c r="P45" i="115"/>
  <c r="P46" i="115"/>
  <c r="P47" i="115"/>
  <c r="P49" i="115"/>
  <c r="P50" i="115"/>
  <c r="P51" i="115"/>
  <c r="P52" i="115"/>
  <c r="P53" i="115"/>
  <c r="P55" i="115"/>
  <c r="P56" i="115"/>
  <c r="P57" i="115"/>
  <c r="P58" i="115"/>
  <c r="P59" i="115"/>
  <c r="P60" i="115"/>
  <c r="P61" i="115"/>
  <c r="P62" i="115"/>
  <c r="P64" i="115"/>
  <c r="P28" i="115"/>
  <c r="P29" i="115"/>
  <c r="P30" i="115"/>
  <c r="P31" i="115"/>
  <c r="O21" i="115"/>
  <c r="P11" i="115"/>
  <c r="P12" i="115"/>
  <c r="L64" i="115"/>
  <c r="M64" i="115"/>
  <c r="N64" i="115"/>
  <c r="O64" i="115"/>
  <c r="O35" i="115"/>
  <c r="N35" i="115"/>
  <c r="O40" i="115"/>
  <c r="N40" i="115"/>
  <c r="M40" i="115"/>
  <c r="L40" i="115"/>
  <c r="P38" i="115"/>
  <c r="P40" i="115"/>
  <c r="M35" i="115"/>
  <c r="L35" i="115"/>
  <c r="P33" i="115"/>
  <c r="P32" i="115"/>
  <c r="P27" i="115"/>
  <c r="P26" i="115"/>
  <c r="P25" i="115"/>
  <c r="N21" i="115"/>
  <c r="M21" i="115"/>
  <c r="L21" i="115"/>
  <c r="P19" i="115"/>
  <c r="P18" i="115"/>
  <c r="P17" i="115"/>
  <c r="P16" i="115"/>
  <c r="P15" i="115"/>
  <c r="P14" i="115"/>
  <c r="P13" i="115"/>
  <c r="P10" i="115"/>
  <c r="P9" i="115"/>
  <c r="P7" i="115"/>
  <c r="P6" i="115"/>
  <c r="L60" i="114"/>
  <c r="L36" i="114"/>
  <c r="L30" i="114"/>
  <c r="L62" i="114"/>
  <c r="M60" i="114"/>
  <c r="M36" i="114"/>
  <c r="M30" i="114"/>
  <c r="M62" i="114"/>
  <c r="N60" i="114"/>
  <c r="N36" i="114"/>
  <c r="N30" i="114"/>
  <c r="N62" i="114"/>
  <c r="O60" i="114"/>
  <c r="O36" i="114"/>
  <c r="O30" i="114"/>
  <c r="O62" i="114"/>
  <c r="P60" i="114"/>
  <c r="P36" i="114"/>
  <c r="P30" i="114"/>
  <c r="P62" i="114"/>
  <c r="Q60" i="114"/>
  <c r="Q36" i="114"/>
  <c r="Q30" i="114"/>
  <c r="Q62" i="114"/>
  <c r="R60" i="114"/>
  <c r="R36" i="114"/>
  <c r="R30" i="114"/>
  <c r="R62" i="114"/>
  <c r="S60" i="114"/>
  <c r="S36" i="114"/>
  <c r="S30" i="114"/>
  <c r="S62" i="114"/>
  <c r="T60" i="114"/>
  <c r="T36" i="114"/>
  <c r="T30" i="114"/>
  <c r="T62" i="114"/>
  <c r="U40" i="114"/>
  <c r="U42" i="114"/>
  <c r="U43" i="114"/>
  <c r="U44" i="114"/>
  <c r="U45" i="114"/>
  <c r="U46" i="114"/>
  <c r="U47" i="114"/>
  <c r="U48" i="114"/>
  <c r="U49" i="114"/>
  <c r="U50" i="114"/>
  <c r="U52" i="114"/>
  <c r="U53" i="114"/>
  <c r="U54" i="114"/>
  <c r="U56" i="114"/>
  <c r="U57" i="114"/>
  <c r="U58" i="114"/>
  <c r="U60" i="114"/>
  <c r="U33" i="114"/>
  <c r="U34" i="114"/>
  <c r="U36" i="114"/>
  <c r="U22" i="114"/>
  <c r="U23" i="114"/>
  <c r="U24" i="114"/>
  <c r="U25" i="114"/>
  <c r="U26" i="114"/>
  <c r="U27" i="114"/>
  <c r="U28" i="114"/>
  <c r="U30" i="114"/>
  <c r="U62" i="114"/>
  <c r="Z31" i="3"/>
  <c r="R26" i="3"/>
  <c r="R27" i="3"/>
  <c r="Z36" i="3"/>
  <c r="R31" i="3"/>
  <c r="Z33" i="3"/>
  <c r="R33" i="3"/>
  <c r="Z29" i="3"/>
  <c r="R32" i="128"/>
  <c r="Z28" i="3"/>
  <c r="S33" i="126"/>
  <c r="R22" i="3"/>
  <c r="Z20" i="3"/>
  <c r="R26" i="121"/>
  <c r="J19" i="3"/>
  <c r="S49" i="120"/>
  <c r="R16" i="3"/>
  <c r="R17" i="3"/>
  <c r="J16" i="3"/>
  <c r="R18" i="3"/>
  <c r="R15" i="118"/>
  <c r="J18" i="3"/>
  <c r="O12" i="117"/>
  <c r="O23" i="117"/>
  <c r="O54" i="117"/>
  <c r="O56" i="117"/>
  <c r="J17" i="3"/>
  <c r="J15" i="3"/>
  <c r="S26" i="116"/>
  <c r="P28" i="116"/>
  <c r="S20" i="116"/>
  <c r="L28" i="116"/>
  <c r="N28" i="116"/>
  <c r="O28" i="116"/>
  <c r="R15" i="3"/>
  <c r="N66" i="115"/>
  <c r="M66" i="115"/>
  <c r="O66" i="115"/>
  <c r="L66" i="115"/>
  <c r="P35" i="115"/>
  <c r="P21" i="115"/>
  <c r="U7" i="114"/>
  <c r="U9" i="114"/>
  <c r="U10" i="114"/>
  <c r="U11" i="114"/>
  <c r="U12" i="114"/>
  <c r="U13" i="114"/>
  <c r="U14" i="114"/>
  <c r="U15" i="114"/>
  <c r="R18" i="114"/>
  <c r="S18" i="114"/>
  <c r="Q18" i="114"/>
  <c r="T18" i="114"/>
  <c r="P18" i="114"/>
  <c r="O18" i="114"/>
  <c r="N18" i="114"/>
  <c r="M18" i="114"/>
  <c r="L18" i="114"/>
  <c r="U16" i="114"/>
  <c r="U6" i="114"/>
  <c r="L35" i="113"/>
  <c r="L20" i="113"/>
  <c r="L27" i="113"/>
  <c r="L37" i="113"/>
  <c r="M35" i="113"/>
  <c r="M20" i="113"/>
  <c r="M27" i="113"/>
  <c r="M37" i="113"/>
  <c r="N35" i="113"/>
  <c r="N20" i="113"/>
  <c r="N27" i="113"/>
  <c r="N37" i="113"/>
  <c r="O35" i="113"/>
  <c r="O20" i="113"/>
  <c r="O27" i="113"/>
  <c r="O37" i="113"/>
  <c r="P35" i="113"/>
  <c r="P20" i="113"/>
  <c r="P27" i="113"/>
  <c r="P37" i="113"/>
  <c r="Q30" i="113"/>
  <c r="Q31" i="113"/>
  <c r="Q32" i="113"/>
  <c r="Q33" i="113"/>
  <c r="Q35" i="113"/>
  <c r="Q17" i="113"/>
  <c r="Q18" i="113"/>
  <c r="Q20" i="113"/>
  <c r="Q24" i="113"/>
  <c r="Q25" i="113"/>
  <c r="Q27" i="113"/>
  <c r="Q37" i="113"/>
  <c r="P13" i="113"/>
  <c r="O13" i="113"/>
  <c r="N13" i="113"/>
  <c r="M13" i="113"/>
  <c r="L13" i="113"/>
  <c r="Q11" i="113"/>
  <c r="Q10" i="113"/>
  <c r="Q9" i="113"/>
  <c r="Q8" i="113"/>
  <c r="Q7" i="113"/>
  <c r="L30" i="112"/>
  <c r="M30" i="112"/>
  <c r="N30" i="112"/>
  <c r="O30" i="112"/>
  <c r="P30" i="112"/>
  <c r="Q30" i="112"/>
  <c r="R25" i="112"/>
  <c r="R26" i="112"/>
  <c r="N18" i="112"/>
  <c r="O18" i="112"/>
  <c r="R28" i="112"/>
  <c r="R27" i="112"/>
  <c r="R24" i="112"/>
  <c r="R23" i="112"/>
  <c r="R21" i="112"/>
  <c r="R30" i="112"/>
  <c r="Q18" i="112"/>
  <c r="P18" i="112"/>
  <c r="N32" i="112"/>
  <c r="M18" i="112"/>
  <c r="L18" i="112"/>
  <c r="R16" i="112"/>
  <c r="R15" i="112"/>
  <c r="R14" i="112"/>
  <c r="Q10" i="112"/>
  <c r="P10" i="112"/>
  <c r="O10" i="112"/>
  <c r="N10" i="112"/>
  <c r="M10" i="112"/>
  <c r="L10" i="112"/>
  <c r="R8" i="112"/>
  <c r="R7" i="112"/>
  <c r="S31" i="111"/>
  <c r="T27" i="111"/>
  <c r="T28" i="111"/>
  <c r="T29" i="111"/>
  <c r="T31" i="111"/>
  <c r="R31" i="111"/>
  <c r="R22" i="111"/>
  <c r="R33" i="111"/>
  <c r="S22" i="111"/>
  <c r="S33" i="111"/>
  <c r="T18" i="111"/>
  <c r="T19" i="111"/>
  <c r="T20" i="111"/>
  <c r="T22" i="111"/>
  <c r="T33" i="111"/>
  <c r="Q31" i="111"/>
  <c r="Q22" i="111"/>
  <c r="R12" i="111"/>
  <c r="N12" i="111"/>
  <c r="P31" i="111"/>
  <c r="O31" i="111"/>
  <c r="N31" i="111"/>
  <c r="M31" i="111"/>
  <c r="L31" i="111"/>
  <c r="P22" i="111"/>
  <c r="O22" i="111"/>
  <c r="N22" i="111"/>
  <c r="M22" i="111"/>
  <c r="L22" i="111"/>
  <c r="S12" i="111"/>
  <c r="Q12" i="111"/>
  <c r="P12" i="111"/>
  <c r="O12" i="111"/>
  <c r="M12" i="111"/>
  <c r="L12" i="111"/>
  <c r="T10" i="111"/>
  <c r="T9" i="111"/>
  <c r="T8" i="111"/>
  <c r="T7" i="111"/>
  <c r="S35" i="110"/>
  <c r="S27" i="110"/>
  <c r="S28" i="110"/>
  <c r="S29" i="110"/>
  <c r="S30" i="110"/>
  <c r="S31" i="110"/>
  <c r="O21" i="110"/>
  <c r="S17" i="110"/>
  <c r="O13" i="110"/>
  <c r="N13" i="110"/>
  <c r="L46" i="110"/>
  <c r="L21" i="110"/>
  <c r="L48" i="110"/>
  <c r="M46" i="110"/>
  <c r="M21" i="110"/>
  <c r="M48" i="110"/>
  <c r="N46" i="110"/>
  <c r="N21" i="110"/>
  <c r="N48" i="110"/>
  <c r="O46" i="110"/>
  <c r="P46" i="110"/>
  <c r="Q46" i="110"/>
  <c r="R46" i="110"/>
  <c r="S44" i="110"/>
  <c r="S43" i="110"/>
  <c r="S42" i="110"/>
  <c r="S41" i="110"/>
  <c r="S39" i="110"/>
  <c r="S37" i="110"/>
  <c r="S36" i="110"/>
  <c r="S34" i="110"/>
  <c r="S33" i="110"/>
  <c r="S32" i="110"/>
  <c r="S24" i="110"/>
  <c r="R21" i="110"/>
  <c r="Q21" i="110"/>
  <c r="P21" i="110"/>
  <c r="S19" i="110"/>
  <c r="S18" i="110"/>
  <c r="R13" i="110"/>
  <c r="Q13" i="110"/>
  <c r="P13" i="110"/>
  <c r="M13" i="110"/>
  <c r="L13" i="110"/>
  <c r="S11" i="110"/>
  <c r="S10" i="110"/>
  <c r="S9" i="110"/>
  <c r="S8" i="110"/>
  <c r="S7" i="110"/>
  <c r="S6" i="110"/>
  <c r="R33" i="109"/>
  <c r="R34" i="109"/>
  <c r="R35" i="109"/>
  <c r="R36" i="109"/>
  <c r="R37" i="109"/>
  <c r="R39" i="109"/>
  <c r="R40" i="109"/>
  <c r="R41" i="109"/>
  <c r="R43" i="109"/>
  <c r="R44" i="109"/>
  <c r="R45" i="109"/>
  <c r="R46" i="109"/>
  <c r="R47" i="109"/>
  <c r="R48" i="109"/>
  <c r="R50" i="109"/>
  <c r="R29" i="109"/>
  <c r="R20" i="109"/>
  <c r="R21" i="109"/>
  <c r="R22" i="109"/>
  <c r="R23" i="109"/>
  <c r="R24" i="109"/>
  <c r="R26" i="109"/>
  <c r="R52" i="109"/>
  <c r="Q50" i="109"/>
  <c r="Q26" i="109"/>
  <c r="Q52" i="109"/>
  <c r="R9" i="109"/>
  <c r="R10" i="109"/>
  <c r="R12" i="109"/>
  <c r="R13" i="109"/>
  <c r="L50" i="109"/>
  <c r="M50" i="109"/>
  <c r="N50" i="109"/>
  <c r="N26" i="109"/>
  <c r="N52" i="109"/>
  <c r="O50" i="109"/>
  <c r="P50" i="109"/>
  <c r="P26" i="109"/>
  <c r="P52" i="109"/>
  <c r="O26" i="109"/>
  <c r="M26" i="109"/>
  <c r="L26" i="109"/>
  <c r="L52" i="109"/>
  <c r="Q16" i="109"/>
  <c r="P16" i="109"/>
  <c r="O16" i="109"/>
  <c r="N16" i="109"/>
  <c r="M16" i="109"/>
  <c r="L16" i="109"/>
  <c r="R14" i="109"/>
  <c r="R8" i="109"/>
  <c r="R7" i="109"/>
  <c r="R6" i="109"/>
  <c r="Z19" i="3"/>
  <c r="Z18" i="3"/>
  <c r="Z16" i="3"/>
  <c r="R19" i="3"/>
  <c r="Z17" i="3"/>
  <c r="Z11" i="3"/>
  <c r="Z15" i="3"/>
  <c r="S28" i="116"/>
  <c r="R14" i="3"/>
  <c r="P66" i="115"/>
  <c r="U18" i="114"/>
  <c r="J14" i="3"/>
  <c r="J11" i="3"/>
  <c r="R8" i="3"/>
  <c r="Q13" i="113"/>
  <c r="J13" i="3"/>
  <c r="M32" i="112"/>
  <c r="O32" i="112"/>
  <c r="R10" i="112"/>
  <c r="Q32" i="112"/>
  <c r="L32" i="112"/>
  <c r="P32" i="112"/>
  <c r="R18" i="112"/>
  <c r="R32" i="112"/>
  <c r="R11" i="3"/>
  <c r="R7" i="3"/>
  <c r="O33" i="111"/>
  <c r="N33" i="111"/>
  <c r="L33" i="111"/>
  <c r="P33" i="111"/>
  <c r="M33" i="111"/>
  <c r="Q33" i="111"/>
  <c r="T12" i="111"/>
  <c r="J8" i="3"/>
  <c r="P48" i="110"/>
  <c r="S46" i="110"/>
  <c r="Q48" i="110"/>
  <c r="O48" i="110"/>
  <c r="R48" i="110"/>
  <c r="S13" i="110"/>
  <c r="S21" i="110"/>
  <c r="J7" i="3"/>
  <c r="O52" i="109"/>
  <c r="M52" i="109"/>
  <c r="R16" i="109"/>
  <c r="S30" i="108"/>
  <c r="S10" i="108"/>
  <c r="S13" i="108"/>
  <c r="S12" i="108"/>
  <c r="R33" i="108"/>
  <c r="Q33" i="108"/>
  <c r="P33" i="108"/>
  <c r="O33" i="108"/>
  <c r="N33" i="108"/>
  <c r="M33" i="108"/>
  <c r="L33" i="108"/>
  <c r="L23" i="108"/>
  <c r="L35" i="108"/>
  <c r="S31" i="108"/>
  <c r="S29" i="108"/>
  <c r="S26" i="108"/>
  <c r="R23" i="108"/>
  <c r="Q23" i="108"/>
  <c r="P23" i="108"/>
  <c r="O23" i="108"/>
  <c r="N23" i="108"/>
  <c r="M23" i="108"/>
  <c r="S21" i="108"/>
  <c r="S20" i="108"/>
  <c r="S19" i="108"/>
  <c r="R15" i="108"/>
  <c r="Q15" i="108"/>
  <c r="P15" i="108"/>
  <c r="O15" i="108"/>
  <c r="N15" i="108"/>
  <c r="M15" i="108"/>
  <c r="L15" i="108"/>
  <c r="S11" i="108"/>
  <c r="S9" i="108"/>
  <c r="S8" i="108"/>
  <c r="S7" i="108"/>
  <c r="Z13" i="3"/>
  <c r="Z8" i="3"/>
  <c r="Z14" i="3"/>
  <c r="R13" i="3"/>
  <c r="Z7" i="3"/>
  <c r="S48" i="110"/>
  <c r="J45" i="3"/>
  <c r="Q35" i="108"/>
  <c r="S23" i="108"/>
  <c r="N35" i="108"/>
  <c r="P35" i="108"/>
  <c r="M35" i="108"/>
  <c r="O35" i="108"/>
  <c r="R35" i="108"/>
  <c r="S33" i="108"/>
  <c r="S15" i="108"/>
  <c r="L34" i="93"/>
  <c r="L24" i="93"/>
  <c r="L36" i="93"/>
  <c r="M34" i="93"/>
  <c r="M24" i="93"/>
  <c r="M36" i="93"/>
  <c r="N34" i="93"/>
  <c r="N24" i="93"/>
  <c r="N36" i="93"/>
  <c r="O34" i="93"/>
  <c r="O24" i="93"/>
  <c r="O36" i="93"/>
  <c r="P34" i="93"/>
  <c r="P24" i="93"/>
  <c r="P36" i="93"/>
  <c r="Q34" i="93"/>
  <c r="Q24" i="93"/>
  <c r="Q36" i="93"/>
  <c r="R34" i="93"/>
  <c r="R24" i="93"/>
  <c r="R28" i="93"/>
  <c r="R36" i="93"/>
  <c r="S31" i="93"/>
  <c r="S32" i="93"/>
  <c r="S34" i="93"/>
  <c r="S18" i="93"/>
  <c r="S19" i="93"/>
  <c r="S20" i="93"/>
  <c r="S21" i="93"/>
  <c r="S22" i="93"/>
  <c r="S24" i="93"/>
  <c r="S27" i="93"/>
  <c r="S28" i="93"/>
  <c r="S36" i="93"/>
  <c r="S47" i="89"/>
  <c r="S48" i="89"/>
  <c r="S56" i="89"/>
  <c r="S57" i="89"/>
  <c r="S58" i="89"/>
  <c r="S59" i="89"/>
  <c r="S60" i="89"/>
  <c r="S61" i="89"/>
  <c r="S62" i="89"/>
  <c r="S63" i="89"/>
  <c r="S64" i="89"/>
  <c r="S65" i="89"/>
  <c r="S66" i="89"/>
  <c r="S55" i="89"/>
  <c r="S28" i="89"/>
  <c r="S29" i="89"/>
  <c r="S30" i="89"/>
  <c r="S31" i="89"/>
  <c r="S32" i="89"/>
  <c r="S33" i="89"/>
  <c r="S35" i="89"/>
  <c r="S27" i="89"/>
  <c r="R23" i="89"/>
  <c r="S17" i="89"/>
  <c r="S18" i="89"/>
  <c r="S19" i="89"/>
  <c r="S20" i="89"/>
  <c r="S21" i="89"/>
  <c r="S16" i="89"/>
  <c r="L68" i="89"/>
  <c r="L37" i="89"/>
  <c r="L70" i="89"/>
  <c r="M68" i="89"/>
  <c r="M37" i="89"/>
  <c r="M70" i="89"/>
  <c r="Z45" i="3"/>
  <c r="R45" i="3"/>
  <c r="S35" i="108"/>
  <c r="L35" i="88"/>
  <c r="L22" i="88"/>
  <c r="L37" i="88"/>
  <c r="M35" i="88"/>
  <c r="M22" i="88"/>
  <c r="M37" i="88"/>
  <c r="N35" i="88"/>
  <c r="N22" i="88"/>
  <c r="N37" i="88"/>
  <c r="O22" i="88"/>
  <c r="O37" i="88"/>
  <c r="P35" i="88"/>
  <c r="P22" i="88"/>
  <c r="P27" i="88"/>
  <c r="P37" i="88"/>
  <c r="Q30" i="88"/>
  <c r="Q31" i="88"/>
  <c r="Q32" i="88"/>
  <c r="Q33" i="88"/>
  <c r="Q35" i="88"/>
  <c r="Q17" i="88"/>
  <c r="Q18" i="88"/>
  <c r="Q19" i="88"/>
  <c r="Q20" i="88"/>
  <c r="Q22" i="88"/>
  <c r="Q25" i="88"/>
  <c r="Q27" i="88"/>
  <c r="Q37" i="88"/>
  <c r="M27" i="87"/>
  <c r="L27" i="87"/>
  <c r="R12" i="86"/>
  <c r="R13" i="86"/>
  <c r="N45" i="86"/>
  <c r="O45" i="86"/>
  <c r="P45" i="86"/>
  <c r="L45" i="86"/>
  <c r="M45" i="86"/>
  <c r="O25" i="86"/>
  <c r="Q50" i="85"/>
  <c r="N50" i="85"/>
  <c r="O50" i="85"/>
  <c r="P50" i="85"/>
  <c r="L50" i="85"/>
  <c r="M50" i="85"/>
  <c r="L38" i="102"/>
  <c r="L25" i="102"/>
  <c r="L30" i="102"/>
  <c r="L40" i="102"/>
  <c r="M38" i="102"/>
  <c r="M25" i="102"/>
  <c r="M30" i="102"/>
  <c r="M40" i="102"/>
  <c r="N38" i="102"/>
  <c r="N25" i="102"/>
  <c r="N30" i="102"/>
  <c r="N40" i="102"/>
  <c r="O38" i="102"/>
  <c r="O25" i="102"/>
  <c r="O30" i="102"/>
  <c r="O40" i="102"/>
  <c r="P38" i="102"/>
  <c r="P25" i="102"/>
  <c r="P30" i="102"/>
  <c r="P40" i="102"/>
  <c r="Q33" i="102"/>
  <c r="Q34" i="102"/>
  <c r="Q35" i="102"/>
  <c r="Q36" i="102"/>
  <c r="Q38" i="102"/>
  <c r="Q20" i="102"/>
  <c r="Q21" i="102"/>
  <c r="Q22" i="102"/>
  <c r="Q23" i="102"/>
  <c r="Q25" i="102"/>
  <c r="Q28" i="102"/>
  <c r="Q30" i="102"/>
  <c r="Q40" i="102"/>
  <c r="O22" i="84"/>
  <c r="O45" i="84"/>
  <c r="O47" i="84"/>
  <c r="O13" i="84"/>
  <c r="J55" i="3"/>
  <c r="Q26" i="107"/>
  <c r="P26" i="107"/>
  <c r="O26" i="107"/>
  <c r="N26" i="107"/>
  <c r="M26" i="107"/>
  <c r="L26" i="107"/>
  <c r="R24" i="107"/>
  <c r="R23" i="107"/>
  <c r="Q20" i="107"/>
  <c r="P20" i="107"/>
  <c r="O20" i="107"/>
  <c r="N20" i="107"/>
  <c r="M20" i="107"/>
  <c r="M28" i="107"/>
  <c r="L20" i="107"/>
  <c r="R18" i="107"/>
  <c r="R17" i="107"/>
  <c r="R16" i="107"/>
  <c r="Q12" i="107"/>
  <c r="P12" i="107"/>
  <c r="O12" i="107"/>
  <c r="N12" i="107"/>
  <c r="M12" i="107"/>
  <c r="L12" i="107"/>
  <c r="R10" i="107"/>
  <c r="R9" i="107"/>
  <c r="R8" i="107"/>
  <c r="R7" i="107"/>
  <c r="R6" i="107"/>
  <c r="P34" i="83"/>
  <c r="L45" i="83"/>
  <c r="L31" i="83"/>
  <c r="L36" i="83"/>
  <c r="L47" i="83"/>
  <c r="M45" i="83"/>
  <c r="M31" i="83"/>
  <c r="M36" i="83"/>
  <c r="M47" i="83"/>
  <c r="N36" i="83"/>
  <c r="O36" i="83"/>
  <c r="P36" i="83"/>
  <c r="N31" i="83"/>
  <c r="L54" i="106"/>
  <c r="L29" i="106"/>
  <c r="L56" i="106"/>
  <c r="M54" i="106"/>
  <c r="M29" i="106"/>
  <c r="M56" i="106"/>
  <c r="N54" i="106"/>
  <c r="N29" i="106"/>
  <c r="N56" i="106"/>
  <c r="O35" i="106"/>
  <c r="O37" i="106"/>
  <c r="O38" i="106"/>
  <c r="O39" i="106"/>
  <c r="O40" i="106"/>
  <c r="O41" i="106"/>
  <c r="O42" i="106"/>
  <c r="O43" i="106"/>
  <c r="O44" i="106"/>
  <c r="O45" i="106"/>
  <c r="O47" i="106"/>
  <c r="O49" i="106"/>
  <c r="O50" i="106"/>
  <c r="O51" i="106"/>
  <c r="O52" i="106"/>
  <c r="O54" i="106"/>
  <c r="O23" i="106"/>
  <c r="O24" i="106"/>
  <c r="O25" i="106"/>
  <c r="O26" i="106"/>
  <c r="O27" i="106"/>
  <c r="O29" i="106"/>
  <c r="O31" i="106"/>
  <c r="O56" i="106"/>
  <c r="O9" i="106"/>
  <c r="O10" i="106"/>
  <c r="O11" i="106"/>
  <c r="O12" i="106"/>
  <c r="O13" i="106"/>
  <c r="O14" i="106"/>
  <c r="O15" i="106"/>
  <c r="O16" i="106"/>
  <c r="O17" i="106"/>
  <c r="O8" i="106"/>
  <c r="O7" i="106"/>
  <c r="N19" i="106"/>
  <c r="M19" i="106"/>
  <c r="L19" i="106"/>
  <c r="T28" i="79"/>
  <c r="L37" i="79"/>
  <c r="L25" i="79"/>
  <c r="L39" i="79"/>
  <c r="M37" i="79"/>
  <c r="M25" i="79"/>
  <c r="M39" i="79"/>
  <c r="N37" i="79"/>
  <c r="N25" i="79"/>
  <c r="N39" i="79"/>
  <c r="O37" i="79"/>
  <c r="O25" i="79"/>
  <c r="O39" i="79"/>
  <c r="P37" i="79"/>
  <c r="P25" i="79"/>
  <c r="P39" i="79"/>
  <c r="Q37" i="79"/>
  <c r="Q25" i="79"/>
  <c r="Q39" i="79"/>
  <c r="O40" i="77"/>
  <c r="P40" i="77"/>
  <c r="Q40" i="77"/>
  <c r="R40" i="77"/>
  <c r="S38" i="77"/>
  <c r="S40" i="77"/>
  <c r="Q22" i="77"/>
  <c r="L40" i="77"/>
  <c r="M40" i="77"/>
  <c r="N40" i="77"/>
  <c r="T27" i="105"/>
  <c r="T24" i="105"/>
  <c r="L31" i="105"/>
  <c r="L21" i="105"/>
  <c r="L33" i="105"/>
  <c r="M31" i="105"/>
  <c r="M21" i="105"/>
  <c r="M33" i="105"/>
  <c r="N31" i="105"/>
  <c r="N21" i="105"/>
  <c r="N33" i="105"/>
  <c r="O21" i="105"/>
  <c r="O31" i="105"/>
  <c r="O33" i="105"/>
  <c r="S31" i="105"/>
  <c r="R31" i="105"/>
  <c r="Q31" i="105"/>
  <c r="P31" i="105"/>
  <c r="T29" i="105"/>
  <c r="T28" i="105"/>
  <c r="S21" i="105"/>
  <c r="R21" i="105"/>
  <c r="R33" i="105"/>
  <c r="Q21" i="105"/>
  <c r="P21" i="105"/>
  <c r="T19" i="105"/>
  <c r="T18" i="105"/>
  <c r="T17" i="105"/>
  <c r="T16" i="105"/>
  <c r="S12" i="105"/>
  <c r="R12" i="105"/>
  <c r="Q12" i="105"/>
  <c r="P12" i="105"/>
  <c r="O12" i="105"/>
  <c r="N12" i="105"/>
  <c r="M12" i="105"/>
  <c r="L12" i="105"/>
  <c r="T10" i="105"/>
  <c r="T9" i="105"/>
  <c r="T8" i="105"/>
  <c r="T7" i="105"/>
  <c r="R37" i="104"/>
  <c r="R38" i="104"/>
  <c r="R39" i="104"/>
  <c r="R12" i="104"/>
  <c r="R13" i="104"/>
  <c r="R11" i="104"/>
  <c r="Q42" i="104"/>
  <c r="P42" i="104"/>
  <c r="O42" i="104"/>
  <c r="N42" i="104"/>
  <c r="M42" i="104"/>
  <c r="L42" i="104"/>
  <c r="R40" i="104"/>
  <c r="R36" i="104"/>
  <c r="R34" i="104"/>
  <c r="R33" i="104"/>
  <c r="R32" i="104"/>
  <c r="R31" i="104"/>
  <c r="R29" i="104"/>
  <c r="Q26" i="104"/>
  <c r="P26" i="104"/>
  <c r="O26" i="104"/>
  <c r="N26" i="104"/>
  <c r="M26" i="104"/>
  <c r="L26" i="104"/>
  <c r="R24" i="104"/>
  <c r="R23" i="104"/>
  <c r="R22" i="104"/>
  <c r="R21" i="104"/>
  <c r="R20" i="104"/>
  <c r="R19" i="104"/>
  <c r="Q15" i="104"/>
  <c r="P15" i="104"/>
  <c r="O15" i="104"/>
  <c r="N15" i="104"/>
  <c r="M15" i="104"/>
  <c r="L15" i="104"/>
  <c r="R10" i="104"/>
  <c r="R9" i="104"/>
  <c r="R8" i="104"/>
  <c r="R7" i="104"/>
  <c r="O32" i="100"/>
  <c r="O58" i="100"/>
  <c r="O60" i="100"/>
  <c r="P32" i="100"/>
  <c r="P58" i="100"/>
  <c r="P60" i="100"/>
  <c r="Q32" i="100"/>
  <c r="Q58" i="100"/>
  <c r="Q60" i="100"/>
  <c r="R56" i="100"/>
  <c r="R55" i="100"/>
  <c r="R37" i="100"/>
  <c r="R39" i="100"/>
  <c r="R40" i="100"/>
  <c r="R41" i="100"/>
  <c r="R42" i="100"/>
  <c r="R43" i="100"/>
  <c r="R45" i="100"/>
  <c r="R46" i="100"/>
  <c r="R47" i="100"/>
  <c r="R48" i="100"/>
  <c r="R50" i="100"/>
  <c r="R51" i="100"/>
  <c r="R52" i="100"/>
  <c r="R53" i="100"/>
  <c r="R54" i="100"/>
  <c r="R36" i="100"/>
  <c r="N32" i="100"/>
  <c r="R24" i="100"/>
  <c r="R25" i="100"/>
  <c r="R26" i="100"/>
  <c r="R27" i="100"/>
  <c r="R28" i="100"/>
  <c r="R29" i="100"/>
  <c r="R30" i="100"/>
  <c r="R23" i="100"/>
  <c r="O19" i="100"/>
  <c r="P19" i="100"/>
  <c r="Q19" i="100"/>
  <c r="N19" i="100"/>
  <c r="R8" i="100"/>
  <c r="R9" i="100"/>
  <c r="R10" i="100"/>
  <c r="R11" i="100"/>
  <c r="R12" i="100"/>
  <c r="R13" i="100"/>
  <c r="R14" i="100"/>
  <c r="R15" i="100"/>
  <c r="R16" i="100"/>
  <c r="R7" i="100"/>
  <c r="Z55" i="3"/>
  <c r="R55" i="3"/>
  <c r="J52" i="3"/>
  <c r="R52" i="3"/>
  <c r="N28" i="107"/>
  <c r="Q28" i="107"/>
  <c r="R20" i="107"/>
  <c r="R26" i="107"/>
  <c r="P28" i="107"/>
  <c r="L28" i="107"/>
  <c r="O28" i="107"/>
  <c r="R12" i="107"/>
  <c r="O19" i="106"/>
  <c r="R40" i="3"/>
  <c r="J40" i="3"/>
  <c r="R35" i="3"/>
  <c r="S33" i="105"/>
  <c r="Q33" i="105"/>
  <c r="P33" i="105"/>
  <c r="T31" i="105"/>
  <c r="T21" i="105"/>
  <c r="T12" i="105"/>
  <c r="J35" i="3"/>
  <c r="M44" i="104"/>
  <c r="L44" i="104"/>
  <c r="N44" i="104"/>
  <c r="R15" i="104"/>
  <c r="O44" i="104"/>
  <c r="P44" i="104"/>
  <c r="R26" i="104"/>
  <c r="R42" i="104"/>
  <c r="Q44" i="104"/>
  <c r="P31" i="70"/>
  <c r="P22" i="70"/>
  <c r="P33" i="70"/>
  <c r="S25" i="70"/>
  <c r="Q22" i="70"/>
  <c r="L14" i="70"/>
  <c r="M14" i="70"/>
  <c r="N14" i="70"/>
  <c r="O14" i="70"/>
  <c r="P14" i="70"/>
  <c r="Q14" i="70"/>
  <c r="R14" i="70"/>
  <c r="L46" i="103"/>
  <c r="L30" i="103"/>
  <c r="L37" i="103"/>
  <c r="L48" i="103"/>
  <c r="M46" i="103"/>
  <c r="M30" i="103"/>
  <c r="M37" i="103"/>
  <c r="M48" i="103"/>
  <c r="N46" i="103"/>
  <c r="N30" i="103"/>
  <c r="N37" i="103"/>
  <c r="N48" i="103"/>
  <c r="O46" i="103"/>
  <c r="O30" i="103"/>
  <c r="O37" i="103"/>
  <c r="O48" i="103"/>
  <c r="P40" i="103"/>
  <c r="P41" i="103"/>
  <c r="P42" i="103"/>
  <c r="P43" i="103"/>
  <c r="P44" i="103"/>
  <c r="P46" i="103"/>
  <c r="P23" i="103"/>
  <c r="P24" i="103"/>
  <c r="P25" i="103"/>
  <c r="P26" i="103"/>
  <c r="P27" i="103"/>
  <c r="P28" i="103"/>
  <c r="P30" i="103"/>
  <c r="P33" i="103"/>
  <c r="P34" i="103"/>
  <c r="P35" i="103"/>
  <c r="P37" i="103"/>
  <c r="P48" i="103"/>
  <c r="P16" i="103"/>
  <c r="L19" i="103"/>
  <c r="M19" i="103"/>
  <c r="N19" i="103"/>
  <c r="O19" i="103"/>
  <c r="P17" i="103"/>
  <c r="P15" i="103"/>
  <c r="P14" i="103"/>
  <c r="P13" i="103"/>
  <c r="P12" i="103"/>
  <c r="P11" i="103"/>
  <c r="P10" i="103"/>
  <c r="P9" i="103"/>
  <c r="P8" i="103"/>
  <c r="P7" i="103"/>
  <c r="P6" i="103"/>
  <c r="L28" i="56"/>
  <c r="L21" i="56"/>
  <c r="L30" i="56"/>
  <c r="M28" i="56"/>
  <c r="M21" i="56"/>
  <c r="M30" i="56"/>
  <c r="N28" i="56"/>
  <c r="N21" i="56"/>
  <c r="N30" i="56"/>
  <c r="O28" i="56"/>
  <c r="P28" i="56"/>
  <c r="Q28" i="56"/>
  <c r="Q21" i="56"/>
  <c r="O21" i="56"/>
  <c r="O30" i="56"/>
  <c r="P21" i="56"/>
  <c r="L12" i="56"/>
  <c r="M12" i="56"/>
  <c r="N12" i="56"/>
  <c r="O12" i="56"/>
  <c r="L63" i="55"/>
  <c r="L34" i="55"/>
  <c r="L40" i="55"/>
  <c r="L65" i="55"/>
  <c r="M63" i="55"/>
  <c r="M34" i="55"/>
  <c r="M40" i="55"/>
  <c r="M65" i="55"/>
  <c r="N63" i="55"/>
  <c r="N34" i="55"/>
  <c r="N40" i="55"/>
  <c r="N65" i="55"/>
  <c r="O63" i="55"/>
  <c r="O34" i="55"/>
  <c r="O40" i="55"/>
  <c r="O65" i="55"/>
  <c r="P43" i="55"/>
  <c r="P45" i="55"/>
  <c r="P46" i="55"/>
  <c r="P47" i="55"/>
  <c r="P48" i="55"/>
  <c r="P49" i="55"/>
  <c r="P50" i="55"/>
  <c r="P51" i="55"/>
  <c r="P52" i="55"/>
  <c r="P54" i="55"/>
  <c r="P55" i="55"/>
  <c r="P56" i="55"/>
  <c r="P57" i="55"/>
  <c r="P58" i="55"/>
  <c r="P59" i="55"/>
  <c r="P60" i="55"/>
  <c r="P61" i="55"/>
  <c r="P63" i="55"/>
  <c r="P25" i="55"/>
  <c r="P26" i="55"/>
  <c r="P27" i="55"/>
  <c r="P29" i="55"/>
  <c r="P30" i="55"/>
  <c r="P31" i="55"/>
  <c r="P32" i="55"/>
  <c r="P34" i="55"/>
  <c r="P37" i="55"/>
  <c r="P38" i="55"/>
  <c r="P40" i="55"/>
  <c r="P65" i="55"/>
  <c r="P18" i="55"/>
  <c r="Z35" i="3"/>
  <c r="Z52" i="3"/>
  <c r="R28" i="107"/>
  <c r="Z40" i="3"/>
  <c r="T33" i="105"/>
  <c r="R44" i="104"/>
  <c r="P19" i="103"/>
  <c r="Q7" i="102"/>
  <c r="Q12" i="102"/>
  <c r="Q11" i="102"/>
  <c r="Q10" i="102"/>
  <c r="Q9" i="102"/>
  <c r="Q8" i="102"/>
  <c r="P16" i="102"/>
  <c r="O16" i="102"/>
  <c r="N16" i="102"/>
  <c r="M16" i="102"/>
  <c r="L16" i="102"/>
  <c r="Q14" i="102"/>
  <c r="Q13" i="102"/>
  <c r="Q6" i="102"/>
  <c r="Q16" i="102"/>
  <c r="N58" i="100"/>
  <c r="M58" i="100"/>
  <c r="L58" i="100"/>
  <c r="M32" i="100"/>
  <c r="M60" i="100"/>
  <c r="L32" i="100"/>
  <c r="L60" i="100"/>
  <c r="M19" i="100"/>
  <c r="L19" i="100"/>
  <c r="R17" i="100"/>
  <c r="N60" i="100"/>
  <c r="J38" i="3"/>
  <c r="R19" i="100"/>
  <c r="R32" i="100"/>
  <c r="R58" i="100"/>
  <c r="R38" i="3"/>
  <c r="Z38" i="3"/>
  <c r="R23" i="3"/>
  <c r="J23" i="3"/>
  <c r="R60" i="100"/>
  <c r="Z23" i="3"/>
  <c r="S11" i="93"/>
  <c r="S10" i="93"/>
  <c r="S8" i="93"/>
  <c r="R14" i="93"/>
  <c r="Q14" i="93"/>
  <c r="P14" i="93"/>
  <c r="O14" i="93"/>
  <c r="N14" i="93"/>
  <c r="M14" i="93"/>
  <c r="L14" i="93"/>
  <c r="S12" i="93"/>
  <c r="S9" i="93"/>
  <c r="S7" i="93"/>
  <c r="S6" i="93"/>
  <c r="O68" i="89"/>
  <c r="R68" i="89"/>
  <c r="S51" i="89"/>
  <c r="S50" i="89"/>
  <c r="S53" i="89"/>
  <c r="S49" i="89"/>
  <c r="S46" i="89"/>
  <c r="S41" i="89"/>
  <c r="R37" i="89"/>
  <c r="N37" i="89"/>
  <c r="O37" i="89"/>
  <c r="S14" i="89"/>
  <c r="S13" i="89"/>
  <c r="S12" i="89"/>
  <c r="S11" i="89"/>
  <c r="S15" i="89"/>
  <c r="S8" i="89"/>
  <c r="S7" i="89"/>
  <c r="O70" i="89"/>
  <c r="R70" i="89"/>
  <c r="S37" i="89"/>
  <c r="S14" i="93"/>
  <c r="Q68" i="89"/>
  <c r="P68" i="89"/>
  <c r="N68" i="89"/>
  <c r="N70" i="89"/>
  <c r="S45" i="89"/>
  <c r="S44" i="89"/>
  <c r="S43" i="89"/>
  <c r="Q37" i="89"/>
  <c r="P37" i="89"/>
  <c r="Q23" i="89"/>
  <c r="P23" i="89"/>
  <c r="O23" i="89"/>
  <c r="N23" i="89"/>
  <c r="M23" i="89"/>
  <c r="L23" i="89"/>
  <c r="S9" i="89"/>
  <c r="Q11" i="88"/>
  <c r="Q10" i="88"/>
  <c r="Q9" i="88"/>
  <c r="Q8" i="88"/>
  <c r="Q7" i="88"/>
  <c r="P13" i="88"/>
  <c r="O13" i="88"/>
  <c r="N13" i="88"/>
  <c r="M13" i="88"/>
  <c r="L13" i="88"/>
  <c r="N35" i="87"/>
  <c r="N27" i="87"/>
  <c r="N17" i="87"/>
  <c r="O35" i="87"/>
  <c r="M35" i="87"/>
  <c r="L35" i="87"/>
  <c r="P33" i="87"/>
  <c r="P32" i="87"/>
  <c r="P31" i="87"/>
  <c r="P30" i="87"/>
  <c r="O27" i="87"/>
  <c r="P25" i="87"/>
  <c r="P24" i="87"/>
  <c r="P23" i="87"/>
  <c r="P22" i="87"/>
  <c r="P21" i="87"/>
  <c r="O17" i="87"/>
  <c r="M17" i="87"/>
  <c r="L17" i="87"/>
  <c r="P15" i="87"/>
  <c r="P14" i="87"/>
  <c r="P13" i="87"/>
  <c r="P12" i="87"/>
  <c r="P11" i="87"/>
  <c r="P10" i="87"/>
  <c r="P8" i="87"/>
  <c r="P7" i="87"/>
  <c r="O47" i="86"/>
  <c r="R43" i="86"/>
  <c r="R42" i="86"/>
  <c r="R41" i="86"/>
  <c r="R40" i="86"/>
  <c r="R39" i="86"/>
  <c r="R38" i="86"/>
  <c r="R37" i="86"/>
  <c r="R36" i="86"/>
  <c r="R35" i="86"/>
  <c r="R34" i="86"/>
  <c r="R32" i="86"/>
  <c r="R31" i="86"/>
  <c r="R30" i="86"/>
  <c r="R28" i="86"/>
  <c r="P15" i="86"/>
  <c r="O15" i="86"/>
  <c r="N15" i="86"/>
  <c r="M15" i="86"/>
  <c r="L15" i="86"/>
  <c r="L25" i="86"/>
  <c r="M25" i="86"/>
  <c r="N25" i="86"/>
  <c r="P25" i="86"/>
  <c r="Q25" i="86"/>
  <c r="R21" i="86"/>
  <c r="R23" i="86"/>
  <c r="R22" i="86"/>
  <c r="R20" i="86"/>
  <c r="R19" i="86"/>
  <c r="R11" i="86"/>
  <c r="R10" i="86"/>
  <c r="R9" i="86"/>
  <c r="R8" i="86"/>
  <c r="R7" i="86"/>
  <c r="O25" i="85"/>
  <c r="O14" i="85"/>
  <c r="R40" i="85"/>
  <c r="R29" i="85"/>
  <c r="R8" i="85"/>
  <c r="R48" i="85"/>
  <c r="R47" i="85"/>
  <c r="R46" i="85"/>
  <c r="R45" i="85"/>
  <c r="R44" i="85"/>
  <c r="R43" i="85"/>
  <c r="R42" i="85"/>
  <c r="R41" i="85"/>
  <c r="R39" i="85"/>
  <c r="R38" i="85"/>
  <c r="R37" i="85"/>
  <c r="R36" i="85"/>
  <c r="R35" i="85"/>
  <c r="R34" i="85"/>
  <c r="R33" i="85"/>
  <c r="R32" i="85"/>
  <c r="R31" i="85"/>
  <c r="Q25" i="85"/>
  <c r="P25" i="85"/>
  <c r="N25" i="85"/>
  <c r="M25" i="85"/>
  <c r="L25" i="85"/>
  <c r="R23" i="85"/>
  <c r="R22" i="85"/>
  <c r="R21" i="85"/>
  <c r="R20" i="85"/>
  <c r="R19" i="85"/>
  <c r="R18" i="85"/>
  <c r="Q14" i="85"/>
  <c r="P14" i="85"/>
  <c r="N14" i="85"/>
  <c r="M14" i="85"/>
  <c r="L14" i="85"/>
  <c r="R12" i="85"/>
  <c r="R11" i="85"/>
  <c r="R10" i="85"/>
  <c r="R9" i="85"/>
  <c r="R7" i="85"/>
  <c r="R6" i="85"/>
  <c r="P22" i="84"/>
  <c r="N22" i="84"/>
  <c r="M22" i="84"/>
  <c r="L22" i="84"/>
  <c r="Q43" i="84"/>
  <c r="Q42" i="84"/>
  <c r="Q41" i="84"/>
  <c r="Q40" i="84"/>
  <c r="Q38" i="84"/>
  <c r="Q37" i="84"/>
  <c r="Q36" i="84"/>
  <c r="Q34" i="84"/>
  <c r="Q33" i="84"/>
  <c r="Q32" i="84"/>
  <c r="Q31" i="84"/>
  <c r="Q30" i="84"/>
  <c r="Q29" i="84"/>
  <c r="Q28" i="84"/>
  <c r="Q27" i="84"/>
  <c r="Q25" i="84"/>
  <c r="Q20" i="84"/>
  <c r="Q19" i="84"/>
  <c r="Q18" i="84"/>
  <c r="Q17" i="84"/>
  <c r="Q11" i="84"/>
  <c r="Q10" i="84"/>
  <c r="Q9" i="84"/>
  <c r="Q8" i="84"/>
  <c r="Q7" i="84"/>
  <c r="P45" i="84"/>
  <c r="N45" i="84"/>
  <c r="M45" i="84"/>
  <c r="L45" i="84"/>
  <c r="P13" i="84"/>
  <c r="N13" i="84"/>
  <c r="M13" i="84"/>
  <c r="L13" i="84"/>
  <c r="O45" i="83"/>
  <c r="P43" i="83"/>
  <c r="P42" i="83"/>
  <c r="P41" i="83"/>
  <c r="P40" i="83"/>
  <c r="P39" i="83"/>
  <c r="O31" i="83"/>
  <c r="P29" i="83"/>
  <c r="P28" i="83"/>
  <c r="P27" i="83"/>
  <c r="P26" i="83"/>
  <c r="P25" i="83"/>
  <c r="P24" i="83"/>
  <c r="P18" i="83"/>
  <c r="P17" i="83"/>
  <c r="P16" i="83"/>
  <c r="P15" i="83"/>
  <c r="P14" i="83"/>
  <c r="P13" i="83"/>
  <c r="P12" i="83"/>
  <c r="P11" i="83"/>
  <c r="P10" i="83"/>
  <c r="P8" i="83"/>
  <c r="P7" i="83"/>
  <c r="N45" i="83"/>
  <c r="N47" i="83"/>
  <c r="O20" i="83"/>
  <c r="N20" i="83"/>
  <c r="M20" i="83"/>
  <c r="L20" i="83"/>
  <c r="Q70" i="89"/>
  <c r="P70" i="89"/>
  <c r="N37" i="87"/>
  <c r="L47" i="86"/>
  <c r="R25" i="86"/>
  <c r="N47" i="86"/>
  <c r="R15" i="86"/>
  <c r="R25" i="85"/>
  <c r="R50" i="85"/>
  <c r="O52" i="85"/>
  <c r="Q22" i="84"/>
  <c r="Q13" i="84"/>
  <c r="Q45" i="84"/>
  <c r="O47" i="83"/>
  <c r="P20" i="83"/>
  <c r="L47" i="84"/>
  <c r="R45" i="86"/>
  <c r="P45" i="83"/>
  <c r="M47" i="86"/>
  <c r="S23" i="89"/>
  <c r="S68" i="89"/>
  <c r="S70" i="89"/>
  <c r="Q13" i="88"/>
  <c r="P27" i="87"/>
  <c r="L37" i="87"/>
  <c r="P17" i="87"/>
  <c r="M37" i="87"/>
  <c r="P35" i="87"/>
  <c r="O37" i="87"/>
  <c r="Q15" i="86"/>
  <c r="Q45" i="86"/>
  <c r="Q47" i="86"/>
  <c r="P47" i="86"/>
  <c r="Q52" i="85"/>
  <c r="L52" i="85"/>
  <c r="M52" i="85"/>
  <c r="P52" i="85"/>
  <c r="N52" i="85"/>
  <c r="R14" i="85"/>
  <c r="M47" i="84"/>
  <c r="P47" i="84"/>
  <c r="N47" i="84"/>
  <c r="P31" i="83"/>
  <c r="R47" i="86"/>
  <c r="Q47" i="84"/>
  <c r="P47" i="83"/>
  <c r="R52" i="85"/>
  <c r="R25" i="79"/>
  <c r="R37" i="79"/>
  <c r="R39" i="79"/>
  <c r="S25" i="79"/>
  <c r="S37" i="79"/>
  <c r="S39" i="79"/>
  <c r="T32" i="79"/>
  <c r="T34" i="79"/>
  <c r="T35" i="79"/>
  <c r="T23" i="79"/>
  <c r="T20" i="79"/>
  <c r="T19" i="79"/>
  <c r="S14" i="79"/>
  <c r="T8" i="79"/>
  <c r="T10" i="79"/>
  <c r="T9" i="79"/>
  <c r="T7" i="79"/>
  <c r="T33" i="79"/>
  <c r="T31" i="79"/>
  <c r="T22" i="79"/>
  <c r="T21" i="79"/>
  <c r="T18" i="79"/>
  <c r="R14" i="79"/>
  <c r="Q14" i="79"/>
  <c r="P14" i="79"/>
  <c r="O14" i="79"/>
  <c r="N14" i="79"/>
  <c r="M14" i="79"/>
  <c r="L14" i="79"/>
  <c r="T12" i="79"/>
  <c r="T11" i="79"/>
  <c r="R35" i="77"/>
  <c r="Q49" i="77"/>
  <c r="Q35" i="77"/>
  <c r="Q51" i="77"/>
  <c r="S47" i="77"/>
  <c r="S32" i="77"/>
  <c r="S33" i="77"/>
  <c r="P35" i="77"/>
  <c r="P49" i="77"/>
  <c r="P51" i="77"/>
  <c r="O35" i="77"/>
  <c r="N35" i="77"/>
  <c r="L35" i="77"/>
  <c r="S18" i="77"/>
  <c r="S10" i="77"/>
  <c r="S11" i="77"/>
  <c r="S15" i="77"/>
  <c r="S16" i="77"/>
  <c r="S17" i="77"/>
  <c r="S20" i="77"/>
  <c r="R49" i="77"/>
  <c r="O49" i="77"/>
  <c r="N49" i="77"/>
  <c r="M49" i="77"/>
  <c r="L49" i="77"/>
  <c r="S46" i="77"/>
  <c r="S45" i="77"/>
  <c r="S44" i="77"/>
  <c r="S43" i="77"/>
  <c r="M35" i="77"/>
  <c r="S31" i="77"/>
  <c r="S30" i="77"/>
  <c r="S29" i="77"/>
  <c r="S28" i="77"/>
  <c r="S27" i="77"/>
  <c r="S26" i="77"/>
  <c r="R22" i="77"/>
  <c r="P22" i="77"/>
  <c r="O22" i="77"/>
  <c r="N22" i="77"/>
  <c r="M22" i="77"/>
  <c r="L22" i="77"/>
  <c r="S19" i="77"/>
  <c r="S14" i="77"/>
  <c r="S13" i="77"/>
  <c r="S12" i="77"/>
  <c r="S9" i="77"/>
  <c r="S8" i="77"/>
  <c r="S7" i="77"/>
  <c r="M35" i="73"/>
  <c r="N26" i="73"/>
  <c r="N32" i="73"/>
  <c r="N31" i="73"/>
  <c r="N8" i="73"/>
  <c r="M51" i="73"/>
  <c r="L51" i="73"/>
  <c r="N49" i="73"/>
  <c r="N48" i="73"/>
  <c r="N47" i="73"/>
  <c r="N46" i="73"/>
  <c r="N44" i="73"/>
  <c r="N42" i="73"/>
  <c r="N40" i="73"/>
  <c r="N39" i="73"/>
  <c r="L35" i="73"/>
  <c r="N33" i="73"/>
  <c r="N30" i="73"/>
  <c r="N29" i="73"/>
  <c r="N28" i="73"/>
  <c r="N27" i="73"/>
  <c r="N25" i="73"/>
  <c r="N24" i="73"/>
  <c r="N23" i="73"/>
  <c r="M19" i="73"/>
  <c r="L19" i="73"/>
  <c r="N17" i="73"/>
  <c r="N16" i="73"/>
  <c r="N15" i="73"/>
  <c r="N14" i="73"/>
  <c r="N13" i="73"/>
  <c r="N12" i="73"/>
  <c r="N11" i="73"/>
  <c r="N10" i="73"/>
  <c r="N9" i="73"/>
  <c r="N7" i="73"/>
  <c r="N6" i="73"/>
  <c r="P42" i="72"/>
  <c r="R38" i="72"/>
  <c r="R37" i="72"/>
  <c r="R36" i="72"/>
  <c r="M33" i="72"/>
  <c r="N33" i="72"/>
  <c r="O33" i="72"/>
  <c r="Q33" i="72"/>
  <c r="Q29" i="72"/>
  <c r="P29" i="72"/>
  <c r="N29" i="72"/>
  <c r="M29" i="72"/>
  <c r="L29" i="72"/>
  <c r="O51" i="77"/>
  <c r="N51" i="77"/>
  <c r="M51" i="77"/>
  <c r="L51" i="77"/>
  <c r="T25" i="79"/>
  <c r="T37" i="79"/>
  <c r="T39" i="79"/>
  <c r="R51" i="77"/>
  <c r="S35" i="77"/>
  <c r="P44" i="72"/>
  <c r="S22" i="77"/>
  <c r="T14" i="79"/>
  <c r="S49" i="77"/>
  <c r="L53" i="73"/>
  <c r="M53" i="73"/>
  <c r="N51" i="73"/>
  <c r="N35" i="73"/>
  <c r="N19" i="73"/>
  <c r="O19" i="72"/>
  <c r="P19" i="72"/>
  <c r="Q19" i="72"/>
  <c r="R16" i="72"/>
  <c r="R15" i="72"/>
  <c r="R14" i="72"/>
  <c r="R13" i="72"/>
  <c r="R12" i="72"/>
  <c r="R9" i="72"/>
  <c r="Q42" i="72"/>
  <c r="Q44" i="72"/>
  <c r="O42" i="72"/>
  <c r="N42" i="72"/>
  <c r="N44" i="72"/>
  <c r="M42" i="72"/>
  <c r="M44" i="72"/>
  <c r="L42" i="72"/>
  <c r="R40" i="72"/>
  <c r="R39" i="72"/>
  <c r="R42" i="72"/>
  <c r="R32" i="72"/>
  <c r="R33" i="72"/>
  <c r="O29" i="72"/>
  <c r="R27" i="72"/>
  <c r="R26" i="72"/>
  <c r="R25" i="72"/>
  <c r="R24" i="72"/>
  <c r="R23" i="72"/>
  <c r="N19" i="72"/>
  <c r="M19" i="72"/>
  <c r="L19" i="72"/>
  <c r="R17" i="72"/>
  <c r="R10" i="72"/>
  <c r="R8" i="72"/>
  <c r="R7" i="72"/>
  <c r="S9" i="70"/>
  <c r="R31" i="70"/>
  <c r="Q31" i="70"/>
  <c r="Q33" i="70"/>
  <c r="O31" i="70"/>
  <c r="N31" i="70"/>
  <c r="M31" i="70"/>
  <c r="L31" i="70"/>
  <c r="S29" i="70"/>
  <c r="S28" i="70"/>
  <c r="S27" i="70"/>
  <c r="S26" i="70"/>
  <c r="R22" i="70"/>
  <c r="O22" i="70"/>
  <c r="N22" i="70"/>
  <c r="M22" i="70"/>
  <c r="L22" i="70"/>
  <c r="S20" i="70"/>
  <c r="S19" i="70"/>
  <c r="S18" i="70"/>
  <c r="S12" i="70"/>
  <c r="S11" i="70"/>
  <c r="S10" i="70"/>
  <c r="S8" i="70"/>
  <c r="S7" i="70"/>
  <c r="S51" i="77"/>
  <c r="Z42" i="3"/>
  <c r="Z44" i="3"/>
  <c r="O44" i="72"/>
  <c r="R30" i="3"/>
  <c r="J30" i="3"/>
  <c r="N53" i="73"/>
  <c r="R29" i="72"/>
  <c r="R44" i="72"/>
  <c r="R19" i="72"/>
  <c r="L44" i="72"/>
  <c r="M33" i="70"/>
  <c r="S22" i="70"/>
  <c r="L33" i="70"/>
  <c r="R33" i="70"/>
  <c r="N33" i="70"/>
  <c r="S14" i="70"/>
  <c r="O33" i="70"/>
  <c r="S31" i="70"/>
  <c r="R26" i="56"/>
  <c r="R24" i="56"/>
  <c r="R7" i="56"/>
  <c r="Q12" i="56"/>
  <c r="R8" i="56"/>
  <c r="P16" i="55"/>
  <c r="P15" i="55"/>
  <c r="P14" i="55"/>
  <c r="P13" i="55"/>
  <c r="P11" i="55"/>
  <c r="P7" i="55"/>
  <c r="Z65" i="3"/>
  <c r="Z61" i="3"/>
  <c r="Z59" i="3"/>
  <c r="Z58" i="3"/>
  <c r="Z57" i="3"/>
  <c r="Z54" i="3"/>
  <c r="Z53" i="3"/>
  <c r="Z51" i="3"/>
  <c r="Z50" i="3"/>
  <c r="Z34" i="3"/>
  <c r="Z32" i="3"/>
  <c r="R65" i="3"/>
  <c r="R61" i="3"/>
  <c r="R59" i="3"/>
  <c r="R58" i="3"/>
  <c r="R57" i="3"/>
  <c r="R54" i="3"/>
  <c r="R53" i="3"/>
  <c r="R51" i="3"/>
  <c r="R50" i="3"/>
  <c r="R44" i="3"/>
  <c r="R42" i="3"/>
  <c r="R34" i="3"/>
  <c r="R32" i="3"/>
  <c r="J65" i="3"/>
  <c r="J61" i="3"/>
  <c r="J59" i="3"/>
  <c r="J58" i="3"/>
  <c r="J57" i="3"/>
  <c r="J54" i="3"/>
  <c r="J53" i="3"/>
  <c r="J51" i="3"/>
  <c r="J50" i="3"/>
  <c r="J44" i="3"/>
  <c r="J42" i="3"/>
  <c r="J34" i="3"/>
  <c r="J32" i="3"/>
  <c r="Z30" i="3"/>
  <c r="R25" i="56"/>
  <c r="R10" i="3"/>
  <c r="R19" i="56"/>
  <c r="R18" i="56"/>
  <c r="R17" i="56"/>
  <c r="R16" i="56"/>
  <c r="P12" i="56"/>
  <c r="J10" i="3"/>
  <c r="R10" i="56"/>
  <c r="R9" i="56"/>
  <c r="R6" i="56"/>
  <c r="R9" i="3"/>
  <c r="O21" i="55"/>
  <c r="N21" i="55"/>
  <c r="M21" i="55"/>
  <c r="L21" i="55"/>
  <c r="P19" i="55"/>
  <c r="P17" i="55"/>
  <c r="P10" i="55"/>
  <c r="P9" i="55"/>
  <c r="P6" i="55"/>
  <c r="Z9" i="3"/>
  <c r="R12" i="56"/>
  <c r="P30" i="56"/>
  <c r="Z10" i="3"/>
  <c r="Q30" i="56"/>
  <c r="R21" i="56"/>
  <c r="R28" i="56"/>
  <c r="P21" i="55"/>
  <c r="R30" i="56"/>
  <c r="J72" i="3"/>
  <c r="R72" i="3"/>
  <c r="Z72" i="3"/>
  <c r="J9" i="3"/>
</calcChain>
</file>

<file path=xl/sharedStrings.xml><?xml version="1.0" encoding="utf-8"?>
<sst xmlns="http://schemas.openxmlformats.org/spreadsheetml/2006/main" count="2626" uniqueCount="856">
  <si>
    <t>Acadia Combined Balance Sheet</t>
  </si>
  <si>
    <t xml:space="preserve">                      Issued: December 31, 2013</t>
  </si>
  <si>
    <t xml:space="preserve">General </t>
  </si>
  <si>
    <t>Parish Road Fund</t>
  </si>
  <si>
    <t>Sales Tax Fund</t>
  </si>
  <si>
    <t>1% Sales Tax District No. 2 Fund</t>
  </si>
  <si>
    <t>Sales Tax Road Bond Construction Fund</t>
  </si>
  <si>
    <t>LCDBG Ike-Gustav Disaster Recovery Grant Fund</t>
  </si>
  <si>
    <t>Other Governmental Funds</t>
  </si>
  <si>
    <t>Total Governmental Funds</t>
  </si>
  <si>
    <t>Assets:</t>
  </si>
  <si>
    <t>Cash</t>
  </si>
  <si>
    <t>Investments</t>
  </si>
  <si>
    <t>Taxes receivable</t>
  </si>
  <si>
    <t>Special assessments receivable</t>
  </si>
  <si>
    <t>Other receivables</t>
  </si>
  <si>
    <t>Due from other governmental entities, net of</t>
  </si>
  <si>
    <t>allowance for doubtful accounts</t>
  </si>
  <si>
    <t>Due from other funds</t>
  </si>
  <si>
    <t>Due from component units</t>
  </si>
  <si>
    <t>Total assets:</t>
  </si>
  <si>
    <t>LIABILITIES AND FUND BALANCES</t>
  </si>
  <si>
    <t>Liabilities:</t>
  </si>
  <si>
    <t>Accounts payable</t>
  </si>
  <si>
    <t>Retainage payable</t>
  </si>
  <si>
    <t>Accrued liabilities and other payables</t>
  </si>
  <si>
    <t>Unearned revenue</t>
  </si>
  <si>
    <t>Due to other funds</t>
  </si>
  <si>
    <t>Total liabilities:</t>
  </si>
  <si>
    <t>DEFERRED INFLOWS OF RESOURCES</t>
  </si>
  <si>
    <t>Unavailable revenue - special assessments</t>
  </si>
  <si>
    <t>Fund Balances:</t>
  </si>
  <si>
    <t>Restricted for:</t>
  </si>
  <si>
    <t>Property tax dedication</t>
  </si>
  <si>
    <t>Sales tax dedication</t>
  </si>
  <si>
    <t>Debt retirement</t>
  </si>
  <si>
    <t>Mosquito control</t>
  </si>
  <si>
    <t>Cooperative extension operation and maintenance</t>
  </si>
  <si>
    <t>Committed to:</t>
  </si>
  <si>
    <t>Road maintenance and construction</t>
  </si>
  <si>
    <t>Health unit operation and maintenance</t>
  </si>
  <si>
    <t>Rice arena operation and maintenance</t>
  </si>
  <si>
    <t>Assigned to:</t>
  </si>
  <si>
    <t>Debt service</t>
  </si>
  <si>
    <t>Capital projects</t>
  </si>
  <si>
    <t>Economic development</t>
  </si>
  <si>
    <t>Airport</t>
  </si>
  <si>
    <t>Other</t>
  </si>
  <si>
    <t>Unassigned</t>
  </si>
  <si>
    <t>Total fund balance:</t>
  </si>
  <si>
    <t>Total liabilities and fund balances:</t>
  </si>
  <si>
    <t>Allen Combined Balance Sheet</t>
  </si>
  <si>
    <t>General Fund</t>
  </si>
  <si>
    <t>Solid Waste Fund</t>
  </si>
  <si>
    <t>Hospital Retrofit Fund</t>
  </si>
  <si>
    <t>Compact Fund</t>
  </si>
  <si>
    <t>Road District #2 MTC. Fund</t>
  </si>
  <si>
    <t>Road District #3 MTC. Fund</t>
  </si>
  <si>
    <t>Nonmajor Governmental Funds</t>
  </si>
  <si>
    <t>Receivables</t>
  </si>
  <si>
    <t>Due from other governments</t>
  </si>
  <si>
    <t>Inventory</t>
  </si>
  <si>
    <t>Prepaid assets</t>
  </si>
  <si>
    <t>Unavailable revenue</t>
  </si>
  <si>
    <t>Nonspendable - prepaids</t>
  </si>
  <si>
    <t>Nonspendable - inventory</t>
  </si>
  <si>
    <t>Restricted:</t>
  </si>
  <si>
    <t>Judicial</t>
  </si>
  <si>
    <t>Other general government</t>
  </si>
  <si>
    <t>Public safety</t>
  </si>
  <si>
    <t>Public works</t>
  </si>
  <si>
    <t>Sanitation</t>
  </si>
  <si>
    <t>Committed:</t>
  </si>
  <si>
    <t>Assigned:</t>
  </si>
  <si>
    <t>Negative unassigned</t>
  </si>
  <si>
    <t>Ascension Combined Balance Sheet</t>
  </si>
  <si>
    <t>East Ascension Frainage</t>
  </si>
  <si>
    <t>Road Project</t>
  </si>
  <si>
    <t>East Ascension Drainage Project</t>
  </si>
  <si>
    <t>Cash and Cash Equivalents</t>
  </si>
  <si>
    <t>Accounts receivable, net:</t>
  </si>
  <si>
    <t>Ad valorem taxes</t>
  </si>
  <si>
    <t>Sales and use taxes</t>
  </si>
  <si>
    <t>Due from other governments:</t>
  </si>
  <si>
    <t>LA - State revenue sharing</t>
  </si>
  <si>
    <t>LA - Severance</t>
  </si>
  <si>
    <t>LA - Beer and Parish Transportation</t>
  </si>
  <si>
    <t>Grants</t>
  </si>
  <si>
    <t>Other assets</t>
  </si>
  <si>
    <t>Accounts payable and accrued liabilities</t>
  </si>
  <si>
    <t>Contracts payable</t>
  </si>
  <si>
    <t>Accrued payroll</t>
  </si>
  <si>
    <t>Deductions from ad valorem taxes:</t>
  </si>
  <si>
    <t>Contribution to retirement system</t>
  </si>
  <si>
    <t>Due to Other Funds</t>
  </si>
  <si>
    <t>Due to other governments</t>
  </si>
  <si>
    <t>Sales tax rebate reserve</t>
  </si>
  <si>
    <t>Grant advances</t>
  </si>
  <si>
    <t>Unavailable revenues</t>
  </si>
  <si>
    <t>Total deferred inflows of resources</t>
  </si>
  <si>
    <t>Fund Balances</t>
  </si>
  <si>
    <t>Nonspendable</t>
  </si>
  <si>
    <t>Construction of capital assets</t>
  </si>
  <si>
    <t>Fire protection</t>
  </si>
  <si>
    <t>Drainage maintenance</t>
  </si>
  <si>
    <t>Health and mental health services</t>
  </si>
  <si>
    <t>Law enforcement</t>
  </si>
  <si>
    <t>Road lighting</t>
  </si>
  <si>
    <t>Other purposes</t>
  </si>
  <si>
    <t>Culture and recreation</t>
  </si>
  <si>
    <t>Assumption Combined Balance Sheet</t>
  </si>
  <si>
    <t>Sales and Use Tax</t>
  </si>
  <si>
    <t>Solid Waste</t>
  </si>
  <si>
    <t>Section Eight Housing</t>
  </si>
  <si>
    <t>LCDBG Disaster Recovery</t>
  </si>
  <si>
    <t>Office of Emergency Preparedness</t>
  </si>
  <si>
    <t>Salaries payable</t>
  </si>
  <si>
    <t>Other liabilities</t>
  </si>
  <si>
    <t>Restricted</t>
  </si>
  <si>
    <t>Assigned</t>
  </si>
  <si>
    <t>Avoyelles Combined Balance Sheet</t>
  </si>
  <si>
    <t>Road &amp; Bridge</t>
  </si>
  <si>
    <t>Drainage</t>
  </si>
  <si>
    <t>Health Unit</t>
  </si>
  <si>
    <t>Library</t>
  </si>
  <si>
    <t>Section 8</t>
  </si>
  <si>
    <t>Brudd Construction LCDBG</t>
  </si>
  <si>
    <t>Cash and interest-bearing deposits</t>
  </si>
  <si>
    <t>Due from other governmental units</t>
  </si>
  <si>
    <t>Total Assets:</t>
  </si>
  <si>
    <t>DEFERRED OUTFLOWS OF RESOURCES</t>
  </si>
  <si>
    <t>Accounts, salaries, and other payables</t>
  </si>
  <si>
    <t>Deferred revenue</t>
  </si>
  <si>
    <t>Due to other governmental units</t>
  </si>
  <si>
    <t>Beauregard Combined Balance Sheet</t>
  </si>
  <si>
    <t>Parishwide Road Special Revenue</t>
  </si>
  <si>
    <t>Road District No. 6 Special Revenue</t>
  </si>
  <si>
    <t>Sales Tax District No. 1 Special Revenue</t>
  </si>
  <si>
    <t>Health Unit Special Revenue</t>
  </si>
  <si>
    <t>Criminal Court Special Revenue</t>
  </si>
  <si>
    <t>South Beau. Rec. Dist. No. 2 Special Revenue</t>
  </si>
  <si>
    <t>South Beau. Rec. Dist. No. 2 Capital Projects</t>
  </si>
  <si>
    <t>Equity in pooled cash</t>
  </si>
  <si>
    <t>Interfund receivable</t>
  </si>
  <si>
    <t>Payroll liabilities</t>
  </si>
  <si>
    <t>Interfund payable</t>
  </si>
  <si>
    <t>Purchases of equipment</t>
  </si>
  <si>
    <t>Health and welfare</t>
  </si>
  <si>
    <t>Bienville Combined Balance Sheet</t>
  </si>
  <si>
    <t>Road Maintenance</t>
  </si>
  <si>
    <t>Construction Fund</t>
  </si>
  <si>
    <t>Debt Service Fund</t>
  </si>
  <si>
    <t>CDBG Fund</t>
  </si>
  <si>
    <t>Cash and equivalents</t>
  </si>
  <si>
    <t>Salaries and related payable</t>
  </si>
  <si>
    <t>Deferred revenues</t>
  </si>
  <si>
    <t>Non Spendable</t>
  </si>
  <si>
    <t>Health &amp; welfare</t>
  </si>
  <si>
    <t>Bossier Combined Balance Sheet</t>
  </si>
  <si>
    <t>General</t>
  </si>
  <si>
    <t>Highway</t>
  </si>
  <si>
    <t>Capital Improvements</t>
  </si>
  <si>
    <t>LCDA Sewer Construction</t>
  </si>
  <si>
    <t>Cash and cash equivalents</t>
  </si>
  <si>
    <t>Restricted cash</t>
  </si>
  <si>
    <t>Due from other fund</t>
  </si>
  <si>
    <t>Advance to Waterworks/Sewer District</t>
  </si>
  <si>
    <t>DEFERRED INFLOWS OF RESROUCES</t>
  </si>
  <si>
    <t>Unavailable revenue:</t>
  </si>
  <si>
    <t>Property taxes</t>
  </si>
  <si>
    <t>Total deferred inflows of resources:</t>
  </si>
  <si>
    <t>Caddo Combined Balance Sheet</t>
  </si>
  <si>
    <t>Shreve Memorial Library Fund</t>
  </si>
  <si>
    <t>Detention Facilities Fund</t>
  </si>
  <si>
    <t>Solid Waste Disposal Fund</t>
  </si>
  <si>
    <t>Public Works Fund</t>
  </si>
  <si>
    <t>Head Start Fund</t>
  </si>
  <si>
    <t>Biomedical Fund</t>
  </si>
  <si>
    <t>Capital Outlay Fund</t>
  </si>
  <si>
    <t>Criminal Justice Fund</t>
  </si>
  <si>
    <t>Receivables, net:</t>
  </si>
  <si>
    <t>Paving assessments</t>
  </si>
  <si>
    <t>Accrued interest</t>
  </si>
  <si>
    <t>Inventories</t>
  </si>
  <si>
    <t>Accrued liabilities</t>
  </si>
  <si>
    <t>Due to component units</t>
  </si>
  <si>
    <t>Unavailable revenue - property taxes</t>
  </si>
  <si>
    <t>Total deferred inflows:</t>
  </si>
  <si>
    <t>Nonspendable:</t>
  </si>
  <si>
    <t>Prepaid expenses</t>
  </si>
  <si>
    <t>Criminal justice</t>
  </si>
  <si>
    <t>Highways, streets and drainage</t>
  </si>
  <si>
    <t>Building facilities</t>
  </si>
  <si>
    <t>Contingencies</t>
  </si>
  <si>
    <t>Subsequent year's expenditures</t>
  </si>
  <si>
    <t>Special services</t>
  </si>
  <si>
    <t>Future claims</t>
  </si>
  <si>
    <t>Calcasieu Combined Balance Sheet</t>
  </si>
  <si>
    <t>Public Works Operating Fund</t>
  </si>
  <si>
    <t>Calcasieu Parish Library Fund</t>
  </si>
  <si>
    <t>Road Capital Improvement Fund</t>
  </si>
  <si>
    <t>Receivable (net of allowance for uncollectibles):</t>
  </si>
  <si>
    <t>Sales taxes</t>
  </si>
  <si>
    <t>Franchise taxes</t>
  </si>
  <si>
    <t>Interest receivable</t>
  </si>
  <si>
    <t>Intergovernmental receivable</t>
  </si>
  <si>
    <t>Loans receivable</t>
  </si>
  <si>
    <t>Prepaid items</t>
  </si>
  <si>
    <t>Intergovernmental payable</t>
  </si>
  <si>
    <t>Enterprise zone rebate liability</t>
  </si>
  <si>
    <t>Component unit - long term receivable</t>
  </si>
  <si>
    <t>Agriculture and community services</t>
  </si>
  <si>
    <t>Public works operations</t>
  </si>
  <si>
    <t>Library purposes</t>
  </si>
  <si>
    <t>Roads and infrastructure</t>
  </si>
  <si>
    <t>Other restrictions</t>
  </si>
  <si>
    <t>Animal services</t>
  </si>
  <si>
    <t>Parks operations</t>
  </si>
  <si>
    <t>Training center operations</t>
  </si>
  <si>
    <t>Future capital needs</t>
  </si>
  <si>
    <t>Matching funds for capital grants</t>
  </si>
  <si>
    <t>Major infrastructure</t>
  </si>
  <si>
    <t>Cooperative endeavor agreements</t>
  </si>
  <si>
    <t>Total fund balances:</t>
  </si>
  <si>
    <t>Caldwell Combined Balance Sheet</t>
  </si>
  <si>
    <t>Recreation</t>
  </si>
  <si>
    <t>Blacktop Road</t>
  </si>
  <si>
    <t>Bayou Dechene Reservoir</t>
  </si>
  <si>
    <t>LCDBG</t>
  </si>
  <si>
    <t>Due to other agencies</t>
  </si>
  <si>
    <t>Cameron Combined Balance Sheet</t>
  </si>
  <si>
    <t>Road and Bridge Maintenance</t>
  </si>
  <si>
    <t>Long-Term Community Recovery</t>
  </si>
  <si>
    <t>Receivables, net</t>
  </si>
  <si>
    <t>Inventory, at cost</t>
  </si>
  <si>
    <t>Interfund receivables</t>
  </si>
  <si>
    <t>Unearned revenues</t>
  </si>
  <si>
    <t>Interfund payables</t>
  </si>
  <si>
    <t>Tourism development</t>
  </si>
  <si>
    <t>Infrastructure maintenance</t>
  </si>
  <si>
    <t>Law enforcement building construction</t>
  </si>
  <si>
    <t>Library construction</t>
  </si>
  <si>
    <t>Administrative building construction</t>
  </si>
  <si>
    <t>Other capital projects</t>
  </si>
  <si>
    <t>Catahoula Combined Balance Sheet</t>
  </si>
  <si>
    <t>Road and Bridge</t>
  </si>
  <si>
    <t>Hard Surfacing</t>
  </si>
  <si>
    <t>Cash restricted for debt service</t>
  </si>
  <si>
    <t>Due from inmates</t>
  </si>
  <si>
    <t>Capital assets, net of accumulated depreciation</t>
  </si>
  <si>
    <t>Salaries and related payables</t>
  </si>
  <si>
    <t>Deferred inflows:</t>
  </si>
  <si>
    <t>Ad valorem taxes - unavailable</t>
  </si>
  <si>
    <t>Grant revenue - pending</t>
  </si>
  <si>
    <t>Claiborne Combined Balance Sheet</t>
  </si>
  <si>
    <t>Parish Road</t>
  </si>
  <si>
    <t>Library Maintenance</t>
  </si>
  <si>
    <t>Sales Tax</t>
  </si>
  <si>
    <t>Criminal Court</t>
  </si>
  <si>
    <t>Deferred charges</t>
  </si>
  <si>
    <t>Accounts, salaries and other payables</t>
  </si>
  <si>
    <t>Unavailable ad valorem tax revenue</t>
  </si>
  <si>
    <t>Restricted fund balances</t>
  </si>
  <si>
    <t>Unassigned fund balances</t>
  </si>
  <si>
    <t>Concordia Combined Balance Sheet</t>
  </si>
  <si>
    <t xml:space="preserve">    Issued: December 31, 2013</t>
  </si>
  <si>
    <t>Drainage Fund</t>
  </si>
  <si>
    <t>Road Debt Service Fund</t>
  </si>
  <si>
    <t>Public Health Fund</t>
  </si>
  <si>
    <t>Cash - restricted for debt service</t>
  </si>
  <si>
    <t>Account, salaries, and payable</t>
  </si>
  <si>
    <t>Debt Service</t>
  </si>
  <si>
    <t>Committed for:</t>
  </si>
  <si>
    <t>Special revenue projects</t>
  </si>
  <si>
    <t>Unassigned, reported in:</t>
  </si>
  <si>
    <t>DeSoto Combined Balance Sheet</t>
  </si>
  <si>
    <t>Road Fund</t>
  </si>
  <si>
    <t>Airport Fund</t>
  </si>
  <si>
    <t>Jail Fund</t>
  </si>
  <si>
    <t>Criminal Court Fund</t>
  </si>
  <si>
    <t>Receivables (net of allowance for uncollectibles)</t>
  </si>
  <si>
    <t>Noncurrent receivable</t>
  </si>
  <si>
    <t>Master bank overdrafts</t>
  </si>
  <si>
    <t>Advance from grantors</t>
  </si>
  <si>
    <t>Deposits</t>
  </si>
  <si>
    <t>Unavailable property taxes</t>
  </si>
  <si>
    <t>Roads</t>
  </si>
  <si>
    <t>Witness and juror fees</t>
  </si>
  <si>
    <t>Animal control</t>
  </si>
  <si>
    <t>East Baton Rouge Combined Balance Sheet</t>
  </si>
  <si>
    <t xml:space="preserve">                      Issued: October 31, 2013</t>
  </si>
  <si>
    <t>Library Board of Control</t>
  </si>
  <si>
    <t>Capital Projects Fund</t>
  </si>
  <si>
    <t>Property taxes receivable - net</t>
  </si>
  <si>
    <t>Gross receipts business taxes receivable</t>
  </si>
  <si>
    <t>Sales taxes receivable</t>
  </si>
  <si>
    <t>Interest and penalties receivable on taxes</t>
  </si>
  <si>
    <t>Accounts receivable - net</t>
  </si>
  <si>
    <t>Accrued interest receivable</t>
  </si>
  <si>
    <t>Accounts and contracts payable</t>
  </si>
  <si>
    <t>Accrued payables</t>
  </si>
  <si>
    <t>Deposits and escrow accounts</t>
  </si>
  <si>
    <t>Unavailable revenue - revenue sharing</t>
  </si>
  <si>
    <t>Resources received before time requirements</t>
  </si>
  <si>
    <t>Committed</t>
  </si>
  <si>
    <t>Unrestricted</t>
  </si>
  <si>
    <t>East Carroll Combined Balance Sheet</t>
  </si>
  <si>
    <t>Road Maintenance and Construction</t>
  </si>
  <si>
    <t>Garbage District No. 1</t>
  </si>
  <si>
    <t>Drainage Maintenance</t>
  </si>
  <si>
    <t>Nonmajor Governmental</t>
  </si>
  <si>
    <t>East Feliciana Combined Balance Sheet</t>
  </si>
  <si>
    <t>Roads and Bridges</t>
  </si>
  <si>
    <t>Accounts</t>
  </si>
  <si>
    <t>Taxes</t>
  </si>
  <si>
    <t>Due from other govt agencies</t>
  </si>
  <si>
    <t>Due to other govt agencies</t>
  </si>
  <si>
    <t>Fund Balances (Deficit):</t>
  </si>
  <si>
    <t>Health unit oper/maintenance</t>
  </si>
  <si>
    <t>Homeland security</t>
  </si>
  <si>
    <t>Solid waste management</t>
  </si>
  <si>
    <t>Road improvements</t>
  </si>
  <si>
    <t>Coroner/court operations</t>
  </si>
  <si>
    <t>Claims and judgements</t>
  </si>
  <si>
    <t>Evangeline Combined Balance Sheet</t>
  </si>
  <si>
    <t>Special Grant</t>
  </si>
  <si>
    <t>Road District Maintenance</t>
  </si>
  <si>
    <t>Industrial District No. 1</t>
  </si>
  <si>
    <t>2% Sales Tax District #1 Capital Projects</t>
  </si>
  <si>
    <t>Restricted assets:</t>
  </si>
  <si>
    <t>Cash overdraft</t>
  </si>
  <si>
    <t>Performance bonds payable</t>
  </si>
  <si>
    <t>Compensated absences payable</t>
  </si>
  <si>
    <t>Sewer deposits payable</t>
  </si>
  <si>
    <t>Unearned rent</t>
  </si>
  <si>
    <t>Drainage improvements</t>
  </si>
  <si>
    <t>Unassigned (deficit)</t>
  </si>
  <si>
    <t>Franklin Combined Balance Sheet</t>
  </si>
  <si>
    <t>Parish Equipment</t>
  </si>
  <si>
    <t>Acquisition Elevation</t>
  </si>
  <si>
    <t>Payroll withholdings payable</t>
  </si>
  <si>
    <t>Due to others (damage deposits)</t>
  </si>
  <si>
    <t>Grant Combined Balance Sheet</t>
  </si>
  <si>
    <t>Parish Road Maintenance</t>
  </si>
  <si>
    <t>Sanitary Landfill Maintenance</t>
  </si>
  <si>
    <t>Head Start</t>
  </si>
  <si>
    <t>CDBG Herman Park Sewer</t>
  </si>
  <si>
    <t>Receivables (net)</t>
  </si>
  <si>
    <t>Maintenance</t>
  </si>
  <si>
    <t>Construction</t>
  </si>
  <si>
    <t>Litter abatement</t>
  </si>
  <si>
    <t>General purposes</t>
  </si>
  <si>
    <t>Iberia Combined Balance Sheet</t>
  </si>
  <si>
    <t>Public Library</t>
  </si>
  <si>
    <t>Criminal Justice Facility</t>
  </si>
  <si>
    <t>Parish Wide Drainage Maintenance</t>
  </si>
  <si>
    <t>Royalty</t>
  </si>
  <si>
    <t>Texaco Royalty</t>
  </si>
  <si>
    <t>Advance to component units</t>
  </si>
  <si>
    <t>Due from other governmental agencies</t>
  </si>
  <si>
    <t>Accrued expenses</t>
  </si>
  <si>
    <t>Due to other governmental agencies</t>
  </si>
  <si>
    <t>Advances from grantors and assessments</t>
  </si>
  <si>
    <t>Iberville Combined Balance Sheet</t>
  </si>
  <si>
    <t>Public Building Maintenance</t>
  </si>
  <si>
    <t>Sales Tax Roads</t>
  </si>
  <si>
    <t>Capital Improvement</t>
  </si>
  <si>
    <t>Iberville Parish Medical Facility CSBG</t>
  </si>
  <si>
    <t>Receivables (net of allowance for uncollectible)</t>
  </si>
  <si>
    <t>Cash - restricted</t>
  </si>
  <si>
    <t>Other payables</t>
  </si>
  <si>
    <t>Amounts reported for governmental activities in the statement of net position are different because:</t>
  </si>
  <si>
    <t>Capital assets used in governmental activities are not financial resources and,</t>
  </si>
  <si>
    <t>therefore, are not reported in the funds.</t>
  </si>
  <si>
    <t>Long-term liabilities, including bonds payable, are not due and payable in the current period</t>
  </si>
  <si>
    <t>other post employment benefits and therefore are not reported in the funds.</t>
  </si>
  <si>
    <t>Net position of governmental activities</t>
  </si>
  <si>
    <t>Jackson Combined Balance Sheet</t>
  </si>
  <si>
    <t>Asphalt Fund</t>
  </si>
  <si>
    <t>Security deposits</t>
  </si>
  <si>
    <t>Unavailable revenue-property taxes</t>
  </si>
  <si>
    <t>Total Deferred Inflows of Resources</t>
  </si>
  <si>
    <t>Nonspendable - prepaid items</t>
  </si>
  <si>
    <t xml:space="preserve">Restricted </t>
  </si>
  <si>
    <t>Jefferson Davis Combined Balance Sheet</t>
  </si>
  <si>
    <t>Road Sales Tax No. 1 Sales Tax Fund</t>
  </si>
  <si>
    <t>Section 8 Housing Fund</t>
  </si>
  <si>
    <t>Road Sales Tax No. 1 Sinking Fund</t>
  </si>
  <si>
    <t>Restricted cash and cash equivalents</t>
  </si>
  <si>
    <t>Deposits to others</t>
  </si>
  <si>
    <t>Assigned for:</t>
  </si>
  <si>
    <t>Jail capital project</t>
  </si>
  <si>
    <t>Jefferson Combined Balance Sheet</t>
  </si>
  <si>
    <t>(amounts in thousands)</t>
  </si>
  <si>
    <t>Federal and State Grants</t>
  </si>
  <si>
    <t>East Bank Consolidated Fire District</t>
  </si>
  <si>
    <t>Drainage and Pump Station Capital</t>
  </si>
  <si>
    <t>Road &amp; Street Capital Improvements</t>
  </si>
  <si>
    <t>Accounts receivable, net</t>
  </si>
  <si>
    <t>Interest</t>
  </si>
  <si>
    <t>Ad valorem tax</t>
  </si>
  <si>
    <t>Intergovernmental</t>
  </si>
  <si>
    <t>Deposits and other assets</t>
  </si>
  <si>
    <t>Other payables and accruals</t>
  </si>
  <si>
    <t>LaSalle Combined Balance Sheet</t>
  </si>
  <si>
    <t>Courthouse Maintenance</t>
  </si>
  <si>
    <t>Garbage District</t>
  </si>
  <si>
    <t>Prepaid lease payments</t>
  </si>
  <si>
    <t>Lafayette Combined Balance Sheet</t>
  </si>
  <si>
    <t>Sales Tax Capital Improvements</t>
  </si>
  <si>
    <t xml:space="preserve">Cash </t>
  </si>
  <si>
    <t>Allowance for uncollectible loans</t>
  </si>
  <si>
    <t>Assessments receivable</t>
  </si>
  <si>
    <t>Inventories, at cost</t>
  </si>
  <si>
    <t>Accrued salaries and benefits</t>
  </si>
  <si>
    <t>Nonspendable -</t>
  </si>
  <si>
    <t>Restricted -</t>
  </si>
  <si>
    <t>Committed -</t>
  </si>
  <si>
    <t>Incomplete projects</t>
  </si>
  <si>
    <t xml:space="preserve">Assigned - </t>
  </si>
  <si>
    <t>Capital expenditures</t>
  </si>
  <si>
    <t>Housing</t>
  </si>
  <si>
    <t>Lafourche Combined Balance Sheet</t>
  </si>
  <si>
    <t>Major Funds</t>
  </si>
  <si>
    <t>Library Commission</t>
  </si>
  <si>
    <t>2005 Road Construction</t>
  </si>
  <si>
    <t>Non-Major Funds</t>
  </si>
  <si>
    <t>Total</t>
  </si>
  <si>
    <t>Other current assets</t>
  </si>
  <si>
    <t>Accounts payable and accrued expenses</t>
  </si>
  <si>
    <t>Contracts and retainages payable</t>
  </si>
  <si>
    <t>Salaries and benefits payable</t>
  </si>
  <si>
    <t>Other current liabilities</t>
  </si>
  <si>
    <t>Non-spendable for prepaid assets</t>
  </si>
  <si>
    <t>Judicial programs</t>
  </si>
  <si>
    <t>Federal and state grant programs</t>
  </si>
  <si>
    <t>Commited:</t>
  </si>
  <si>
    <t>Health and community services</t>
  </si>
  <si>
    <t>Lincoln Combined Balance Sheet</t>
  </si>
  <si>
    <t>Road Construction Fund</t>
  </si>
  <si>
    <t>Road Maintenance Fund</t>
  </si>
  <si>
    <t>Library Fund</t>
  </si>
  <si>
    <t>Solid Waste Disposal Equipment Reserve Fund</t>
  </si>
  <si>
    <t>Hospital Proceeds Fund</t>
  </si>
  <si>
    <t>Due from other entities</t>
  </si>
  <si>
    <t>Due to other entities</t>
  </si>
  <si>
    <t>Livingston Combined Balance Sheet</t>
  </si>
  <si>
    <t>Health Unit Fund</t>
  </si>
  <si>
    <t>Jail Sales Tax Fund</t>
  </si>
  <si>
    <t>Courthouse Capital Outlay Fund</t>
  </si>
  <si>
    <t>Road 06 Sinking Fund</t>
  </si>
  <si>
    <t>Other Governemntal Funds</t>
  </si>
  <si>
    <t>Receivables, net of allowance</t>
  </si>
  <si>
    <t xml:space="preserve">Inventory </t>
  </si>
  <si>
    <t>Advance to jail sales tax fund</t>
  </si>
  <si>
    <t>Accounts payables</t>
  </si>
  <si>
    <t>Overdraft payable</t>
  </si>
  <si>
    <t>Accrued expenses payable</t>
  </si>
  <si>
    <t>Advances from other funds</t>
  </si>
  <si>
    <t>Non-spendable:</t>
  </si>
  <si>
    <t>Advances</t>
  </si>
  <si>
    <t>Criminal court</t>
  </si>
  <si>
    <t>Criminal court witness</t>
  </si>
  <si>
    <t>Grant expenditures</t>
  </si>
  <si>
    <t>Commited to:</t>
  </si>
  <si>
    <t>State grant programs</t>
  </si>
  <si>
    <t>Federal grant programs</t>
  </si>
  <si>
    <t>Bingo</t>
  </si>
  <si>
    <t>Court fees</t>
  </si>
  <si>
    <t>Health unit</t>
  </si>
  <si>
    <t>Road</t>
  </si>
  <si>
    <t>Madison Combined Balance Sheet</t>
  </si>
  <si>
    <t>Garbage Maintenance</t>
  </si>
  <si>
    <t>Public Works</t>
  </si>
  <si>
    <t>Courthouse and Jail</t>
  </si>
  <si>
    <t>Morehouse Combined Balance Sheet</t>
  </si>
  <si>
    <t>Capital Projects</t>
  </si>
  <si>
    <t>Building Maintenance</t>
  </si>
  <si>
    <t>Due from other Funds</t>
  </si>
  <si>
    <t>Bank overdraft</t>
  </si>
  <si>
    <t>Payroll accruals and withholdings</t>
  </si>
  <si>
    <t>Restricted for special revenue</t>
  </si>
  <si>
    <t>Unassigned for special revenue</t>
  </si>
  <si>
    <t>Natchitoches Combined Balance Sheet</t>
  </si>
  <si>
    <t>Parish Library Fund</t>
  </si>
  <si>
    <t>Government Building Fund</t>
  </si>
  <si>
    <t>Nonmajor Funds</t>
  </si>
  <si>
    <t>Revenue receivables</t>
  </si>
  <si>
    <t>Orleans Combined Balance Sheet</t>
  </si>
  <si>
    <t xml:space="preserve">                      Issued: December 31, 2012</t>
  </si>
  <si>
    <t>HUD</t>
  </si>
  <si>
    <t>Federal UDAG</t>
  </si>
  <si>
    <t>FEMA</t>
  </si>
  <si>
    <t>Louisiana Office of Community Development</t>
  </si>
  <si>
    <t>Receivables (net of allowance for uncollectibles):</t>
  </si>
  <si>
    <t>Grantee loans</t>
  </si>
  <si>
    <t>Advances to other funds</t>
  </si>
  <si>
    <t>Retainages payable</t>
  </si>
  <si>
    <t xml:space="preserve">Advances from other funds </t>
  </si>
  <si>
    <t>Ouachita Combined Balance Sheet</t>
  </si>
  <si>
    <t>Fire Protection District No. 1 Fund</t>
  </si>
  <si>
    <t>Public Library Fund</t>
  </si>
  <si>
    <t>Green Oaks Detention Center Fund</t>
  </si>
  <si>
    <t>Correctional Center Fund</t>
  </si>
  <si>
    <t>Receivables:</t>
  </si>
  <si>
    <t>Special assessments</t>
  </si>
  <si>
    <t>Prepaid expenses and other assets</t>
  </si>
  <si>
    <t>Deposits held</t>
  </si>
  <si>
    <t>Spendable:</t>
  </si>
  <si>
    <t>Plaquemines Combined Balance Sheet</t>
  </si>
  <si>
    <t>Public Health</t>
  </si>
  <si>
    <t>Fire Fighting</t>
  </si>
  <si>
    <t>FEMA Management</t>
  </si>
  <si>
    <t>Series 2012A Coastal Restorations</t>
  </si>
  <si>
    <t>Receivables (net of allowances for uncollectibles)</t>
  </si>
  <si>
    <t>Interfund loan</t>
  </si>
  <si>
    <t>Deposits due others</t>
  </si>
  <si>
    <t>Unassigned (Deficit)</t>
  </si>
  <si>
    <t>Pointe Coupee Combined Balance Sheet</t>
  </si>
  <si>
    <t>Pointe Coupee Library</t>
  </si>
  <si>
    <t>Detention Center</t>
  </si>
  <si>
    <t>Road Construction</t>
  </si>
  <si>
    <t>Debt Service Road Improvement</t>
  </si>
  <si>
    <t>Grants received in advance</t>
  </si>
  <si>
    <t>Rapides Combined Balance Sheet</t>
  </si>
  <si>
    <t>Road and Bridge Fund</t>
  </si>
  <si>
    <t>Fire Protection District No. 2 Fund</t>
  </si>
  <si>
    <t>2013 Total Governmental Funds</t>
  </si>
  <si>
    <t>2012 Total Governmental Funds</t>
  </si>
  <si>
    <t>Reserved for:</t>
  </si>
  <si>
    <t>Employee benefits</t>
  </si>
  <si>
    <t>Red River Combined Balance Sheet</t>
  </si>
  <si>
    <t>Ambulance Service Fund</t>
  </si>
  <si>
    <t>Unit 1 Road Fund</t>
  </si>
  <si>
    <t>Other non-major Governmental Funds</t>
  </si>
  <si>
    <t>Dedicated property taxes</t>
  </si>
  <si>
    <t>Dedicated sales taxes</t>
  </si>
  <si>
    <t>Court fees for juror compensation</t>
  </si>
  <si>
    <t>Criminal court costs</t>
  </si>
  <si>
    <t>Ambulance services</t>
  </si>
  <si>
    <t>Road maintenance and improvements</t>
  </si>
  <si>
    <t>Public facilities maintenance</t>
  </si>
  <si>
    <t>Buildings and infrastructure</t>
  </si>
  <si>
    <t>Richland Combined Balance Sheet</t>
  </si>
  <si>
    <t>Sabine Combined Balance Sheet</t>
  </si>
  <si>
    <t>Transportation Fund</t>
  </si>
  <si>
    <t>Road District Fund No. 20</t>
  </si>
  <si>
    <t>Restricted for maintenance and operation</t>
  </si>
  <si>
    <t>St. Bernard Combined Balance Sheet</t>
  </si>
  <si>
    <t>CDBG Disaster Fund</t>
  </si>
  <si>
    <t>Disaster Recovery Fund</t>
  </si>
  <si>
    <t>Non-Major Governmental Funds</t>
  </si>
  <si>
    <t>Investments - land held for sale</t>
  </si>
  <si>
    <t>Cable franchise fees</t>
  </si>
  <si>
    <t>Prepaids</t>
  </si>
  <si>
    <t>Salaries and payroll deductions payable</t>
  </si>
  <si>
    <t>Short-term certificates of indebtedness</t>
  </si>
  <si>
    <t>Deferred Inflows</t>
  </si>
  <si>
    <t>Nonspendable amounts:</t>
  </si>
  <si>
    <t>Mortgage refunding</t>
  </si>
  <si>
    <t>Federal programs</t>
  </si>
  <si>
    <t>Council on aging</t>
  </si>
  <si>
    <t>Health</t>
  </si>
  <si>
    <t>Communication</t>
  </si>
  <si>
    <t>Capital outlay</t>
  </si>
  <si>
    <t>Court operations</t>
  </si>
  <si>
    <t>Recovery</t>
  </si>
  <si>
    <t>St. Charles Combined Balance Sheet</t>
  </si>
  <si>
    <t>Road &amp; Drainage Maintenance &amp; Operation</t>
  </si>
  <si>
    <t>Recreation Maintenance &amp; Operation</t>
  </si>
  <si>
    <t>Sewer General Obligation Sinking</t>
  </si>
  <si>
    <t>Cash and Cash equivalents</t>
  </si>
  <si>
    <t>Prepaid fees</t>
  </si>
  <si>
    <t xml:space="preserve">Nonspendable </t>
  </si>
  <si>
    <t>Commited</t>
  </si>
  <si>
    <t>St. Helena Combined Balance Sheet</t>
  </si>
  <si>
    <t>Road Building &amp; Maintenance Fund</t>
  </si>
  <si>
    <t>CDBG Housing Fund</t>
  </si>
  <si>
    <t>LRA CDBG Fund</t>
  </si>
  <si>
    <t>Hospital Hazard Mitigation</t>
  </si>
  <si>
    <t>Other accrued liabilities</t>
  </si>
  <si>
    <t>St. James Combined Balance Sheet</t>
  </si>
  <si>
    <t>Wetlands Mitigation</t>
  </si>
  <si>
    <t>Courthouse, Jail, and Public Buildings Maintenance</t>
  </si>
  <si>
    <t>CDBG Diaster Recovery Projects</t>
  </si>
  <si>
    <t>Parishwide Road Improvement</t>
  </si>
  <si>
    <t>Totale Governmental Funds</t>
  </si>
  <si>
    <t>Payroll deductions and withholdings payable</t>
  </si>
  <si>
    <t>Nonspendable -Inventory</t>
  </si>
  <si>
    <t>Restricted for</t>
  </si>
  <si>
    <t>Highways and streets</t>
  </si>
  <si>
    <t>Commited for</t>
  </si>
  <si>
    <t>Public transportation</t>
  </si>
  <si>
    <t>Assigned for</t>
  </si>
  <si>
    <t>St. John the Baptist Combined Balance Sheet</t>
  </si>
  <si>
    <t>Sales Tax District</t>
  </si>
  <si>
    <t>1992 General Obligation Sinking</t>
  </si>
  <si>
    <t>2010 Sewer Construction Bond</t>
  </si>
  <si>
    <t>Receivables (net of allowances for uncollectible)</t>
  </si>
  <si>
    <t>St. Landry Combined Balance Sheet</t>
  </si>
  <si>
    <t>Road and Bridge Maintenance Fund</t>
  </si>
  <si>
    <t>Health Unit Maintenance Fund</t>
  </si>
  <si>
    <t>Airport Maintenance Fund</t>
  </si>
  <si>
    <t>LCDBG Disaster Recovery Fund</t>
  </si>
  <si>
    <t>Jail Tax Construction Fund</t>
  </si>
  <si>
    <t xml:space="preserve">Receivables </t>
  </si>
  <si>
    <t>Due from agency funds</t>
  </si>
  <si>
    <t>Accrued expenditures</t>
  </si>
  <si>
    <t>Defered revenue</t>
  </si>
  <si>
    <t>Due to agency funds</t>
  </si>
  <si>
    <t>Prisoner expense and jury witness</t>
  </si>
  <si>
    <t>Judicial expenses</t>
  </si>
  <si>
    <t>General contigencies</t>
  </si>
  <si>
    <t xml:space="preserve">Assigned to </t>
  </si>
  <si>
    <t>Road and drainage</t>
  </si>
  <si>
    <t>Special events</t>
  </si>
  <si>
    <t>Finance and administration</t>
  </si>
  <si>
    <t>St. Martin Combined Balance Sheet</t>
  </si>
  <si>
    <t>District #1 Sales Tax Revenue Fund</t>
  </si>
  <si>
    <t>District #2 Sales Tax Revenue Fund</t>
  </si>
  <si>
    <t>Video Poker Fund</t>
  </si>
  <si>
    <t>Fire Protection Maintenance Fund</t>
  </si>
  <si>
    <t>Parishwide Bond Sinking Fund</t>
  </si>
  <si>
    <t>Due from other governmental entities</t>
  </si>
  <si>
    <t>Due to other governmental entities</t>
  </si>
  <si>
    <t>DEFERRED INFLOWS OF RESOURCES:</t>
  </si>
  <si>
    <t>Sales tax dedications</t>
  </si>
  <si>
    <t>St. Mary Combined Balance Sheet</t>
  </si>
  <si>
    <t>Road Construction &amp; Maintenance Fund</t>
  </si>
  <si>
    <t>Sanitation Fund</t>
  </si>
  <si>
    <t>Capital Improvement Fund</t>
  </si>
  <si>
    <t>CDBG Recovery Fund</t>
  </si>
  <si>
    <t>Combined Sewer Construction Fund</t>
  </si>
  <si>
    <t>Advance to other funds</t>
  </si>
  <si>
    <t>Advance from other funds</t>
  </si>
  <si>
    <t>Fund Balances (deficit)</t>
  </si>
  <si>
    <t>Nonspendable - non-current receivables</t>
  </si>
  <si>
    <t>Use in specific geographic areas</t>
  </si>
  <si>
    <t>Commited  - public safety</t>
  </si>
  <si>
    <t>General Government</t>
  </si>
  <si>
    <t>Culture &amp; recreation</t>
  </si>
  <si>
    <t>Urban redevelopment &amp; housing</t>
  </si>
  <si>
    <t>St.Tammany Combined Balance Sheet</t>
  </si>
  <si>
    <t xml:space="preserve">     Issued: December 31, 2013</t>
  </si>
  <si>
    <t>010, 012 General Fund</t>
  </si>
  <si>
    <t>013 St. Tammany Parish Library</t>
  </si>
  <si>
    <t>015 Public Works</t>
  </si>
  <si>
    <t>Capital Improvements - General</t>
  </si>
  <si>
    <t>Total Non-Major Governmental Funds</t>
  </si>
  <si>
    <t>Receivables, net of allowances for uncollectibles:</t>
  </si>
  <si>
    <t>Ad valorem/parcel fees</t>
  </si>
  <si>
    <t>Sales and use tax</t>
  </si>
  <si>
    <t>Restricted assets</t>
  </si>
  <si>
    <t>Nonspendable, prepaid items</t>
  </si>
  <si>
    <t>Tangipahoa Combined Balance Sheet</t>
  </si>
  <si>
    <t xml:space="preserve"> General Fund</t>
  </si>
  <si>
    <t>Road and Bridge Funds</t>
  </si>
  <si>
    <t>Long Term Recovery Fund</t>
  </si>
  <si>
    <t xml:space="preserve">Receivables, net </t>
  </si>
  <si>
    <t>Restricted assets - cash</t>
  </si>
  <si>
    <t>Deferred Inflow of Resources</t>
  </si>
  <si>
    <t>Hazard Mitigation Funds</t>
  </si>
  <si>
    <t>Total Deferred inflow of Resources</t>
  </si>
  <si>
    <t xml:space="preserve">Total liabilities, Deferred inflow of Resources, </t>
  </si>
  <si>
    <t>and fund balances:</t>
  </si>
  <si>
    <t>Terrebonne Combined Balance Sheet</t>
  </si>
  <si>
    <t>Public Safety Fund</t>
  </si>
  <si>
    <t>Grant Fund</t>
  </si>
  <si>
    <t>Drainage Maintenance Fund</t>
  </si>
  <si>
    <t>Terrebonne Levee &amp; Conservation District Fund</t>
  </si>
  <si>
    <t>Receivables (net, where applicable of</t>
  </si>
  <si>
    <t xml:space="preserve"> allowances for uncollectibles)</t>
  </si>
  <si>
    <t>Economic loans</t>
  </si>
  <si>
    <t>Accounts payable and accrued expenditures</t>
  </si>
  <si>
    <t>Liability for work completed on contracts</t>
  </si>
  <si>
    <t>Grant Advancement</t>
  </si>
  <si>
    <t>Payable from restricted assets:</t>
  </si>
  <si>
    <t>Tenents' escrow accounts</t>
  </si>
  <si>
    <t>Long-term receivables</t>
  </si>
  <si>
    <t>Dedicated emergency</t>
  </si>
  <si>
    <t>Broadmoor trees</t>
  </si>
  <si>
    <t>Road and bridge</t>
  </si>
  <si>
    <t>Levee and conservation</t>
  </si>
  <si>
    <t>Other special purposes</t>
  </si>
  <si>
    <t>Commited for:</t>
  </si>
  <si>
    <t>Non-district recreation</t>
  </si>
  <si>
    <t>Parish prisoners</t>
  </si>
  <si>
    <t>City marshall</t>
  </si>
  <si>
    <t>Coastal restoration</t>
  </si>
  <si>
    <t>Tensas Combined Balance Sheet</t>
  </si>
  <si>
    <t>Ambulance Fund</t>
  </si>
  <si>
    <t>Ambulance Rededication Fund</t>
  </si>
  <si>
    <t>Landfill Site Fund</t>
  </si>
  <si>
    <t>Fire Protection Fund</t>
  </si>
  <si>
    <t>Amounts held by trustee for landfill closure and</t>
  </si>
  <si>
    <t>post-closure care costs</t>
  </si>
  <si>
    <t>Intergovernmental payables</t>
  </si>
  <si>
    <t>Landfill closure</t>
  </si>
  <si>
    <t>Union Combined Balance Sheet</t>
  </si>
  <si>
    <t xml:space="preserve">  Issued: December 31, 2013</t>
  </si>
  <si>
    <t>Sales Tax Landfill</t>
  </si>
  <si>
    <t>Deferred Inflows:</t>
  </si>
  <si>
    <t>Grant revenues pending</t>
  </si>
  <si>
    <t>Vermillion Combined Balance Sheet</t>
  </si>
  <si>
    <t>1976 Sales Tax Fund</t>
  </si>
  <si>
    <t>1978 Sales Tax Fund</t>
  </si>
  <si>
    <t>1994 Sales Tax Fund</t>
  </si>
  <si>
    <t>Royalty Road Fund</t>
  </si>
  <si>
    <t>Parishwide Public Improvement Maintenance Fund</t>
  </si>
  <si>
    <t>Project Account Fund</t>
  </si>
  <si>
    <t>Total (Memorandum Only)</t>
  </si>
  <si>
    <t>Accounts receivable</t>
  </si>
  <si>
    <t>Ad valorem tax receivable, net</t>
  </si>
  <si>
    <t>Due from component unit</t>
  </si>
  <si>
    <t>Vernon Combined Balance Sheet</t>
  </si>
  <si>
    <t>Parishwide Maintenance Fund</t>
  </si>
  <si>
    <t>Sanitary Landfill Fund</t>
  </si>
  <si>
    <t>Courthouse and Jail Maintenance Fund</t>
  </si>
  <si>
    <t>Parishwide Overlay Fund</t>
  </si>
  <si>
    <t>Library Maintenance Fund</t>
  </si>
  <si>
    <t>Workforce Investment Act Fund</t>
  </si>
  <si>
    <t>Investments, at fair value</t>
  </si>
  <si>
    <t>Legislative</t>
  </si>
  <si>
    <t>Washington Combined Balance Sheet</t>
  </si>
  <si>
    <t>Sales Tax Split 1%</t>
  </si>
  <si>
    <t>Parish Transportation Fund</t>
  </si>
  <si>
    <t>Sales Tax Split .67%</t>
  </si>
  <si>
    <t>Debt Service PTF Revenue Bonds</t>
  </si>
  <si>
    <t>FEMA Receivable</t>
  </si>
  <si>
    <t>Net investment in joint venture</t>
  </si>
  <si>
    <t>Compensated absences</t>
  </si>
  <si>
    <t>Deferred Inflows of Resources</t>
  </si>
  <si>
    <t xml:space="preserve">Unavailable revenue </t>
  </si>
  <si>
    <t>Webster Combined Balance Sheet</t>
  </si>
  <si>
    <t>Special 2.5 Mill Tax</t>
  </si>
  <si>
    <t>Accounts payable vendors</t>
  </si>
  <si>
    <t>Accrued payroll liabilities</t>
  </si>
  <si>
    <t>Taxes paid under protest</t>
  </si>
  <si>
    <t>Deferred Inflows of Resources:</t>
  </si>
  <si>
    <t>West Baton Rouge Combined Balance Sheet</t>
  </si>
  <si>
    <t>Road Trust Fund</t>
  </si>
  <si>
    <t>Community Centers</t>
  </si>
  <si>
    <t>Central Communications</t>
  </si>
  <si>
    <t>Correctional Facility</t>
  </si>
  <si>
    <t>Investments - restricted</t>
  </si>
  <si>
    <t>Nonspendable fund balance</t>
  </si>
  <si>
    <t>Restricted fund balance</t>
  </si>
  <si>
    <t>Committed fund balance</t>
  </si>
  <si>
    <t>Assigned fund balance</t>
  </si>
  <si>
    <t>Unassigned fund balance</t>
  </si>
  <si>
    <t>West Carroll Combined Balance Sheet</t>
  </si>
  <si>
    <t>Parish Wide Road Tax</t>
  </si>
  <si>
    <t>Miscellaneous Emergency</t>
  </si>
  <si>
    <t>Nonmajor</t>
  </si>
  <si>
    <t>Deposits held in trust</t>
  </si>
  <si>
    <t>Protested taxes held pending settlement</t>
  </si>
  <si>
    <t>West Feliciana Combined Balance Sheet</t>
  </si>
  <si>
    <t>Buildings and Grounds</t>
  </si>
  <si>
    <t>Road Improvement</t>
  </si>
  <si>
    <t>Economic Development</t>
  </si>
  <si>
    <t>Library Construction</t>
  </si>
  <si>
    <t>Accrued expenses and liabilities</t>
  </si>
  <si>
    <t>Winn Combined Balance Sheet</t>
  </si>
  <si>
    <t>Deferred inflows - deferred revenues</t>
  </si>
  <si>
    <t>Public works and other</t>
  </si>
  <si>
    <t>Industrial development</t>
  </si>
  <si>
    <t>2013-CBS</t>
  </si>
  <si>
    <t>Current Assets:</t>
  </si>
  <si>
    <t>Non-Current Assets:</t>
  </si>
  <si>
    <t>Current Liabilities:</t>
  </si>
  <si>
    <t>Fund Equity:</t>
  </si>
  <si>
    <t>Denotes Error Found in Statement</t>
  </si>
  <si>
    <t>Other Assets</t>
  </si>
  <si>
    <t>Transfers</t>
  </si>
  <si>
    <t>Prepaid Items</t>
  </si>
  <si>
    <t>Total Assets (Sum)</t>
  </si>
  <si>
    <t>Accuracy</t>
  </si>
  <si>
    <t>Deferred Outflows of Resources</t>
  </si>
  <si>
    <t>Accounts Payable</t>
  </si>
  <si>
    <t>Deferred Revenues</t>
  </si>
  <si>
    <t>Government Transfers</t>
  </si>
  <si>
    <t>Other Liabilities</t>
  </si>
  <si>
    <t>Total Liabilities (Sum)</t>
  </si>
  <si>
    <t>Reserved</t>
  </si>
  <si>
    <t>Unreserved (Designated)</t>
  </si>
  <si>
    <t>Unreserved (Undesignated)</t>
  </si>
  <si>
    <t>Total Fund Balances (Sum)</t>
  </si>
  <si>
    <t>Total Liabilites and Fund Balances (Sum)</t>
  </si>
  <si>
    <t>County's Statement Not Available</t>
  </si>
  <si>
    <t>PARISH</t>
  </si>
  <si>
    <t>County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</si>
  <si>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</si>
  <si>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</si>
  <si>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</si>
  <si>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</si>
  <si>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</si>
  <si>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</si>
  <si>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</si>
  <si>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</si>
  <si>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</si>
  <si>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</si>
  <si>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</si>
  <si>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</si>
  <si>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</si>
  <si>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</si>
  <si>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</si>
  <si>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</si>
  <si>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</si>
  <si>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</si>
  <si>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</si>
  <si>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</si>
  <si>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</si>
  <si>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</si>
  <si>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</si>
  <si>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</si>
  <si>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</si>
  <si>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</si>
  <si>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</si>
  <si>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Lafayette</t>
  </si>
  <si>
    <t>Lafourche</t>
  </si>
  <si>
    <t>LaSalle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</si>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</sst>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FF00"/>
      <name val="Calibri"/>
      <family val="2"/>
    </font>
    <font>
      <sz val="11"/>
      <color rgb="FFFFFF00"/>
      <name val="Calibri"/>
      <family val="2"/>
      <scheme val="minor"/>
    </font>
    <font>
      <b/>
      <u/>
      <sz val="11"/>
      <color indexed="8"/>
      <name val="Calibri"/>
      <family val="2"/>
    </font>
    <font>
      <b/>
      <sz val="12"/>
      <name val="Calibri"/>
      <family val="2"/>
    </font>
    <font>
      <sz val="11"/>
      <color indexed="10"/>
      <name val="Calibri"/>
      <family val="2"/>
    </font>
    <font>
      <b/>
      <i/>
      <sz val="11"/>
      <name val="Arial Black"/>
      <family val="2"/>
    </font>
    <font>
      <b/>
      <sz val="11"/>
      <color theme="1"/>
      <name val="Arial Black"/>
      <family val="2"/>
    </font>
    <font>
      <b/>
      <i/>
      <sz val="11"/>
      <color theme="1"/>
      <name val="Arial Black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9"/>
      <name val="Calibri"/>
      <family val="2"/>
    </font>
    <font>
      <b/>
      <sz val="11"/>
      <color indexed="8"/>
      <name val="Arial"/>
      <family val="2"/>
    </font>
    <font>
      <sz val="11"/>
      <color rgb="FFFF0000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948B5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26B0A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 applyAlignment="1">
      <alignment horizontal="center" wrapText="1"/>
    </xf>
    <xf numFmtId="0" fontId="4" fillId="6" borderId="0" xfId="0" applyFont="1" applyFill="1"/>
    <xf numFmtId="0" fontId="5" fillId="6" borderId="0" xfId="0" applyFont="1" applyFill="1"/>
    <xf numFmtId="0" fontId="6" fillId="0" borderId="0" xfId="0" applyFont="1"/>
    <xf numFmtId="0" fontId="5" fillId="10" borderId="0" xfId="0" applyFont="1" applyFill="1"/>
    <xf numFmtId="0" fontId="4" fillId="10" borderId="0" xfId="0" applyFont="1" applyFill="1"/>
    <xf numFmtId="0" fontId="5" fillId="13" borderId="0" xfId="0" applyFont="1" applyFill="1"/>
    <xf numFmtId="0" fontId="4" fillId="13" borderId="0" xfId="0" applyFont="1" applyFill="1"/>
    <xf numFmtId="0" fontId="7" fillId="15" borderId="1" xfId="0" applyFont="1" applyFill="1" applyBorder="1" applyAlignment="1">
      <alignment wrapText="1"/>
    </xf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6" borderId="2" xfId="0" applyFill="1" applyBorder="1"/>
    <xf numFmtId="0" fontId="0" fillId="16" borderId="0" xfId="0" applyFill="1"/>
    <xf numFmtId="0" fontId="0" fillId="17" borderId="0" xfId="0" applyFill="1"/>
    <xf numFmtId="0" fontId="0" fillId="17" borderId="2" xfId="0" applyFill="1" applyBorder="1"/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9" fillId="15" borderId="6" xfId="0" applyFont="1" applyFill="1" applyBorder="1"/>
    <xf numFmtId="0" fontId="0" fillId="15" borderId="0" xfId="0" applyFill="1"/>
    <xf numFmtId="0" fontId="0" fillId="0" borderId="5" xfId="0" applyBorder="1"/>
    <xf numFmtId="0" fontId="0" fillId="0" borderId="7" xfId="0" applyBorder="1"/>
    <xf numFmtId="0" fontId="9" fillId="16" borderId="6" xfId="0" applyFont="1" applyFill="1" applyBorder="1"/>
    <xf numFmtId="0" fontId="0" fillId="0" borderId="8" xfId="0" applyBorder="1"/>
    <xf numFmtId="0" fontId="0" fillId="17" borderId="6" xfId="0" applyFill="1" applyBorder="1"/>
    <xf numFmtId="0" fontId="8" fillId="0" borderId="9" xfId="0" applyFont="1" applyBorder="1" applyAlignment="1">
      <alignment horizontal="center"/>
    </xf>
    <xf numFmtId="0" fontId="0" fillId="0" borderId="0" xfId="0" applyAlignment="1">
      <alignment wrapText="1"/>
    </xf>
    <xf numFmtId="0" fontId="0" fillId="20" borderId="5" xfId="0" applyFill="1" applyBorder="1"/>
    <xf numFmtId="0" fontId="0" fillId="20" borderId="7" xfId="0" applyFill="1" applyBorder="1"/>
    <xf numFmtId="0" fontId="0" fillId="20" borderId="12" xfId="0" applyFill="1" applyBorder="1"/>
    <xf numFmtId="0" fontId="0" fillId="20" borderId="13" xfId="0" applyFill="1" applyBorder="1"/>
    <xf numFmtId="0" fontId="11" fillId="17" borderId="14" xfId="0" applyFont="1" applyFill="1" applyBorder="1"/>
    <xf numFmtId="0" fontId="9" fillId="17" borderId="15" xfId="0" applyFont="1" applyFill="1" applyBorder="1"/>
    <xf numFmtId="0" fontId="8" fillId="20" borderId="9" xfId="0" applyFont="1" applyFill="1" applyBorder="1" applyAlignment="1">
      <alignment horizontal="center"/>
    </xf>
    <xf numFmtId="0" fontId="12" fillId="15" borderId="3" xfId="0" applyFont="1" applyFill="1" applyBorder="1" applyAlignment="1">
      <alignment wrapText="1"/>
    </xf>
    <xf numFmtId="0" fontId="13" fillId="2" borderId="11" xfId="0" applyFont="1" applyFill="1" applyBorder="1"/>
    <xf numFmtId="0" fontId="13" fillId="7" borderId="16" xfId="0" applyFont="1" applyFill="1" applyBorder="1"/>
    <xf numFmtId="0" fontId="13" fillId="3" borderId="16" xfId="0" applyFont="1" applyFill="1" applyBorder="1"/>
    <xf numFmtId="0" fontId="13" fillId="14" borderId="16" xfId="0" applyFont="1" applyFill="1" applyBorder="1"/>
    <xf numFmtId="0" fontId="13" fillId="4" borderId="16" xfId="0" applyFont="1" applyFill="1" applyBorder="1"/>
    <xf numFmtId="0" fontId="13" fillId="5" borderId="16" xfId="0" applyFont="1" applyFill="1" applyBorder="1"/>
    <xf numFmtId="0" fontId="14" fillId="15" borderId="14" xfId="0" applyFont="1" applyFill="1" applyBorder="1"/>
    <xf numFmtId="0" fontId="15" fillId="20" borderId="17" xfId="0" applyFont="1" applyFill="1" applyBorder="1" applyAlignment="1">
      <alignment horizontal="center"/>
    </xf>
    <xf numFmtId="0" fontId="15" fillId="20" borderId="18" xfId="0" applyFont="1" applyFill="1" applyBorder="1" applyAlignment="1">
      <alignment horizontal="center"/>
    </xf>
    <xf numFmtId="0" fontId="13" fillId="7" borderId="11" xfId="0" applyFont="1" applyFill="1" applyBorder="1"/>
    <xf numFmtId="0" fontId="13" fillId="9" borderId="16" xfId="0" applyFont="1" applyFill="1" applyBorder="1"/>
    <xf numFmtId="0" fontId="13" fillId="8" borderId="16" xfId="0" applyFont="1" applyFill="1" applyBorder="1"/>
    <xf numFmtId="0" fontId="13" fillId="14" borderId="19" xfId="0" applyFont="1" applyFill="1" applyBorder="1"/>
    <xf numFmtId="0" fontId="14" fillId="16" borderId="14" xfId="0" applyFont="1" applyFill="1" applyBorder="1"/>
    <xf numFmtId="0" fontId="13" fillId="11" borderId="16" xfId="0" applyFont="1" applyFill="1" applyBorder="1"/>
    <xf numFmtId="0" fontId="13" fillId="22" borderId="16" xfId="0" applyFont="1" applyFill="1" applyBorder="1"/>
    <xf numFmtId="0" fontId="13" fillId="12" borderId="1" xfId="0" applyFont="1" applyFill="1" applyBorder="1"/>
    <xf numFmtId="0" fontId="14" fillId="17" borderId="19" xfId="0" applyFont="1" applyFill="1" applyBorder="1"/>
    <xf numFmtId="0" fontId="14" fillId="17" borderId="15" xfId="0" applyFont="1" applyFill="1" applyBorder="1"/>
    <xf numFmtId="0" fontId="16" fillId="23" borderId="3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9" fillId="0" borderId="0" xfId="0" applyFont="1" applyAlignment="1">
      <alignment wrapText="1"/>
    </xf>
    <xf numFmtId="0" fontId="20" fillId="24" borderId="0" xfId="0" applyFont="1" applyFill="1" applyAlignment="1">
      <alignment wrapText="1"/>
    </xf>
    <xf numFmtId="3" fontId="12" fillId="24" borderId="0" xfId="0" applyNumberFormat="1" applyFont="1" applyFill="1"/>
    <xf numFmtId="0" fontId="21" fillId="24" borderId="0" xfId="0" applyFont="1" applyFill="1" applyAlignment="1">
      <alignment horizontal="center"/>
    </xf>
    <xf numFmtId="3" fontId="12" fillId="24" borderId="0" xfId="0" applyNumberFormat="1" applyFont="1" applyFill="1" applyAlignment="1">
      <alignment horizontal="center"/>
    </xf>
    <xf numFmtId="0" fontId="13" fillId="25" borderId="16" xfId="0" applyFont="1" applyFill="1" applyBorder="1"/>
    <xf numFmtId="0" fontId="12" fillId="0" borderId="0" xfId="0" applyFont="1" applyAlignment="1">
      <alignment horizontal="left" wrapText="1"/>
    </xf>
    <xf numFmtId="0" fontId="21" fillId="26" borderId="0" xfId="0" applyFont="1" applyFill="1" applyAlignment="1">
      <alignment horizontal="center"/>
    </xf>
    <xf numFmtId="3" fontId="18" fillId="27" borderId="0" xfId="0" applyNumberFormat="1" applyFont="1" applyFill="1" applyAlignment="1">
      <alignment horizontal="center"/>
    </xf>
    <xf numFmtId="0" fontId="22" fillId="0" borderId="0" xfId="0" applyFont="1"/>
    <xf numFmtId="41" fontId="0" fillId="2" borderId="0" xfId="0" applyNumberFormat="1" applyFill="1"/>
    <xf numFmtId="41" fontId="0" fillId="0" borderId="0" xfId="0" applyNumberFormat="1"/>
    <xf numFmtId="41" fontId="0" fillId="3" borderId="0" xfId="0" applyNumberFormat="1" applyFill="1"/>
    <xf numFmtId="41" fontId="0" fillId="4" borderId="0" xfId="0" applyNumberFormat="1" applyFill="1"/>
    <xf numFmtId="41" fontId="5" fillId="6" borderId="0" xfId="1" applyNumberFormat="1" applyFont="1" applyFill="1"/>
    <xf numFmtId="41" fontId="0" fillId="7" borderId="0" xfId="0" applyNumberFormat="1" applyFill="1"/>
    <xf numFmtId="41" fontId="0" fillId="8" borderId="0" xfId="0" applyNumberFormat="1" applyFill="1"/>
    <xf numFmtId="41" fontId="5" fillId="10" borderId="0" xfId="1" applyNumberFormat="1" applyFont="1" applyFill="1"/>
    <xf numFmtId="41" fontId="0" fillId="11" borderId="0" xfId="0" applyNumberFormat="1" applyFill="1"/>
    <xf numFmtId="41" fontId="5" fillId="13" borderId="0" xfId="1" applyNumberFormat="1" applyFont="1" applyFill="1"/>
    <xf numFmtId="41" fontId="0" fillId="28" borderId="0" xfId="0" applyNumberFormat="1" applyFill="1"/>
    <xf numFmtId="41" fontId="0" fillId="14" borderId="0" xfId="0" applyNumberFormat="1" applyFill="1"/>
    <xf numFmtId="41" fontId="0" fillId="9" borderId="0" xfId="0" applyNumberFormat="1" applyFill="1"/>
    <xf numFmtId="41" fontId="0" fillId="5" borderId="0" xfId="0" applyNumberFormat="1" applyFill="1"/>
    <xf numFmtId="41" fontId="0" fillId="12" borderId="0" xfId="0" applyNumberFormat="1" applyFill="1"/>
    <xf numFmtId="41" fontId="0" fillId="25" borderId="0" xfId="0" applyNumberFormat="1" applyFill="1"/>
    <xf numFmtId="41" fontId="0" fillId="0" borderId="15" xfId="0" applyNumberFormat="1" applyBorder="1"/>
    <xf numFmtId="0" fontId="23" fillId="0" borderId="0" xfId="0" applyFont="1"/>
    <xf numFmtId="41" fontId="0" fillId="0" borderId="0" xfId="2" applyNumberFormat="1" applyFont="1"/>
    <xf numFmtId="0" fontId="0" fillId="0" borderId="15" xfId="0" applyBorder="1"/>
    <xf numFmtId="164" fontId="0" fillId="0" borderId="20" xfId="2" applyNumberFormat="1" applyFont="1" applyBorder="1"/>
    <xf numFmtId="164" fontId="0" fillId="0" borderId="0" xfId="2" applyNumberFormat="1" applyFont="1" applyBorder="1"/>
    <xf numFmtId="41" fontId="0" fillId="0" borderId="15" xfId="2" applyNumberFormat="1" applyFont="1" applyFill="1" applyBorder="1"/>
    <xf numFmtId="41" fontId="0" fillId="0" borderId="15" xfId="2" applyNumberFormat="1" applyFont="1" applyBorder="1"/>
    <xf numFmtId="41" fontId="0" fillId="0" borderId="0" xfId="2" applyNumberFormat="1" applyFont="1" applyFill="1" applyBorder="1"/>
    <xf numFmtId="41" fontId="0" fillId="0" borderId="0" xfId="2" applyNumberFormat="1" applyFont="1" applyBorder="1"/>
    <xf numFmtId="0" fontId="24" fillId="0" borderId="0" xfId="0" applyFont="1"/>
    <xf numFmtId="0" fontId="25" fillId="0" borderId="0" xfId="0" applyFont="1"/>
    <xf numFmtId="41" fontId="23" fillId="0" borderId="0" xfId="2" applyNumberFormat="1" applyFont="1" applyBorder="1" applyAlignment="1">
      <alignment horizontal="left" vertical="center"/>
    </xf>
    <xf numFmtId="165" fontId="0" fillId="0" borderId="0" xfId="2" applyNumberFormat="1" applyFont="1"/>
    <xf numFmtId="41" fontId="1" fillId="0" borderId="0" xfId="2" applyNumberFormat="1" applyFont="1" applyBorder="1" applyAlignment="1"/>
    <xf numFmtId="41" fontId="23" fillId="0" borderId="0" xfId="2" applyNumberFormat="1" applyFont="1" applyBorder="1" applyAlignment="1"/>
    <xf numFmtId="41" fontId="0" fillId="0" borderId="0" xfId="2" applyNumberFormat="1" applyFont="1" applyFill="1"/>
    <xf numFmtId="41" fontId="25" fillId="11" borderId="0" xfId="0" applyNumberFormat="1" applyFont="1" applyFill="1"/>
    <xf numFmtId="0" fontId="26" fillId="0" borderId="0" xfId="0" applyFont="1" applyAlignment="1">
      <alignment horizontal="center"/>
    </xf>
    <xf numFmtId="3" fontId="27" fillId="0" borderId="0" xfId="0" applyNumberFormat="1" applyFont="1"/>
    <xf numFmtId="0" fontId="28" fillId="17" borderId="14" xfId="0" applyFont="1" applyFill="1" applyBorder="1" applyAlignment="1">
      <alignment horizontal="center" vertical="center" wrapText="1"/>
    </xf>
    <xf numFmtId="41" fontId="0" fillId="0" borderId="2" xfId="0" applyNumberFormat="1" applyBorder="1"/>
    <xf numFmtId="41" fontId="0" fillId="22" borderId="0" xfId="0" applyNumberFormat="1" applyFill="1"/>
    <xf numFmtId="41" fontId="25" fillId="0" borderId="0" xfId="0" applyNumberFormat="1" applyFont="1"/>
    <xf numFmtId="41" fontId="0" fillId="29" borderId="0" xfId="0" applyNumberFormat="1" applyFill="1"/>
    <xf numFmtId="41" fontId="25" fillId="3" borderId="0" xfId="0" applyNumberFormat="1" applyFont="1" applyFill="1"/>
    <xf numFmtId="41" fontId="25" fillId="7" borderId="0" xfId="0" applyNumberFormat="1" applyFont="1" applyFill="1"/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2" fontId="5" fillId="6" borderId="0" xfId="1" applyNumberFormat="1" applyFont="1" applyFill="1"/>
    <xf numFmtId="2" fontId="0" fillId="7" borderId="0" xfId="0" applyNumberFormat="1" applyFill="1"/>
    <xf numFmtId="2" fontId="5" fillId="10" borderId="0" xfId="1" applyNumberFormat="1" applyFont="1" applyFill="1"/>
    <xf numFmtId="2" fontId="0" fillId="11" borderId="0" xfId="0" applyNumberFormat="1" applyFill="1"/>
    <xf numFmtId="2" fontId="0" fillId="12" borderId="0" xfId="0" applyNumberFormat="1" applyFill="1"/>
    <xf numFmtId="2" fontId="5" fillId="13" borderId="0" xfId="1" applyNumberFormat="1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41" fontId="29" fillId="0" borderId="0" xfId="2" applyNumberFormat="1" applyFont="1" applyBorder="1" applyAlignment="1">
      <alignment horizontal="center" vertical="center"/>
    </xf>
    <xf numFmtId="41" fontId="23" fillId="0" borderId="15" xfId="2" applyNumberFormat="1" applyFont="1" applyBorder="1" applyAlignment="1">
      <alignment horizontal="center"/>
    </xf>
    <xf numFmtId="0" fontId="10" fillId="18" borderId="10" xfId="0" applyFont="1" applyFill="1" applyBorder="1" applyAlignment="1">
      <alignment horizontal="left"/>
    </xf>
    <xf numFmtId="0" fontId="10" fillId="19" borderId="1" xfId="0" applyFont="1" applyFill="1" applyBorder="1" applyAlignment="1">
      <alignment horizontal="left"/>
    </xf>
    <xf numFmtId="0" fontId="10" fillId="19" borderId="11" xfId="0" applyFont="1" applyFill="1" applyBorder="1" applyAlignment="1">
      <alignment horizontal="left"/>
    </xf>
    <xf numFmtId="0" fontId="10" fillId="21" borderId="1" xfId="0" applyFont="1" applyFill="1" applyBorder="1" applyAlignment="1">
      <alignment horizontal="left"/>
    </xf>
    <xf numFmtId="0" fontId="10" fillId="21" borderId="10" xfId="0" applyFont="1" applyFill="1" applyBorder="1" applyAlignment="1">
      <alignment horizontal="left"/>
    </xf>
    <xf numFmtId="0" fontId="10" fillId="21" borderId="11" xfId="0" applyFont="1" applyFill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00CCFF"/>
      <color rgb="FFFF9900"/>
      <color rgb="FF33CCCC"/>
      <color rgb="FF003366"/>
      <color rgb="FF800080"/>
      <color rgb="FFCC99FF"/>
      <color rgb="FF993300"/>
      <color rgb="FFE26B0A"/>
      <color rgb="FF948B54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opLeftCell="A4" workbookViewId="0">
      <selection activeCell="H21" sqref="H21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6" width="16.42578125" customWidth="1"/>
    <col min="17" max="17" width="18" customWidth="1"/>
    <col min="18" max="18" width="17.28515625" customWidth="1"/>
  </cols>
  <sheetData>
    <row r="1" spans="1:18" ht="18.75">
      <c r="D1" s="125" t="s">
        <v>0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8" ht="60">
      <c r="K4" s="1" t="s">
        <v>2</v>
      </c>
      <c r="L4" s="1" t="s">
        <v>3</v>
      </c>
      <c r="M4" s="1" t="s">
        <v>4</v>
      </c>
      <c r="N4" s="1" t="s">
        <v>5</v>
      </c>
      <c r="O4" s="1" t="s">
        <v>6</v>
      </c>
      <c r="P4" s="1" t="s">
        <v>7</v>
      </c>
      <c r="Q4" s="1" t="s">
        <v>8</v>
      </c>
      <c r="R4" s="1" t="s">
        <v>9</v>
      </c>
    </row>
    <row r="5" spans="1:18">
      <c r="A5" t="s">
        <v>10</v>
      </c>
    </row>
    <row r="6" spans="1:18">
      <c r="B6" t="s">
        <v>11</v>
      </c>
      <c r="K6" s="72">
        <v>284024</v>
      </c>
      <c r="L6" s="73">
        <v>928317</v>
      </c>
      <c r="M6" s="73">
        <v>950888</v>
      </c>
      <c r="N6" s="73">
        <v>130207</v>
      </c>
      <c r="O6" s="73">
        <v>523402</v>
      </c>
      <c r="P6" s="73">
        <v>94</v>
      </c>
      <c r="Q6" s="73">
        <v>3570123</v>
      </c>
      <c r="R6" s="73">
        <f>SUM(K6:Q6)</f>
        <v>6387055</v>
      </c>
    </row>
    <row r="7" spans="1:18">
      <c r="B7" t="s">
        <v>12</v>
      </c>
      <c r="K7" s="77">
        <v>107505</v>
      </c>
      <c r="L7" s="73">
        <v>12732</v>
      </c>
      <c r="M7" s="73">
        <v>3954843</v>
      </c>
      <c r="N7" s="73">
        <v>136092</v>
      </c>
      <c r="O7" s="73"/>
      <c r="P7" s="73"/>
      <c r="Q7" s="73">
        <v>3147964</v>
      </c>
      <c r="R7" s="73">
        <f>SUM(K7:Q7)</f>
        <v>7359136</v>
      </c>
    </row>
    <row r="8" spans="1:18">
      <c r="B8" t="s">
        <v>13</v>
      </c>
      <c r="K8" s="74">
        <v>169205</v>
      </c>
      <c r="L8" s="73">
        <v>104453</v>
      </c>
      <c r="M8" s="73"/>
      <c r="N8" s="73"/>
      <c r="O8" s="73"/>
      <c r="P8" s="73"/>
      <c r="Q8" s="73">
        <v>139272</v>
      </c>
      <c r="R8" s="73">
        <f>SUM(K8:Q8)</f>
        <v>412930</v>
      </c>
    </row>
    <row r="9" spans="1:18">
      <c r="B9" t="s">
        <v>14</v>
      </c>
      <c r="K9" s="73"/>
      <c r="L9" s="73"/>
      <c r="M9" s="73"/>
      <c r="N9" s="73"/>
      <c r="O9" s="73"/>
      <c r="P9" s="73"/>
      <c r="Q9" s="73">
        <v>29556</v>
      </c>
      <c r="R9" s="73">
        <f t="shared" ref="R9:R13" si="0">SUM(K9:Q9)</f>
        <v>29556</v>
      </c>
    </row>
    <row r="10" spans="1:18">
      <c r="B10" t="s">
        <v>15</v>
      </c>
      <c r="K10" s="74">
        <v>70322</v>
      </c>
      <c r="L10" s="73">
        <v>2600</v>
      </c>
      <c r="M10" s="73"/>
      <c r="N10" s="73"/>
      <c r="O10" s="73"/>
      <c r="P10" s="73"/>
      <c r="Q10" s="73">
        <v>4875</v>
      </c>
      <c r="R10" s="73">
        <f t="shared" si="0"/>
        <v>77797</v>
      </c>
    </row>
    <row r="11" spans="1:18">
      <c r="B11" t="s">
        <v>16</v>
      </c>
      <c r="K11" s="73"/>
      <c r="L11" s="73"/>
      <c r="M11" s="73"/>
      <c r="N11" s="73"/>
      <c r="O11" s="73"/>
      <c r="P11" s="73"/>
      <c r="Q11" s="73"/>
      <c r="R11" s="73"/>
    </row>
    <row r="12" spans="1:18">
      <c r="C12" t="s">
        <v>17</v>
      </c>
      <c r="K12" s="75">
        <v>1989847</v>
      </c>
      <c r="L12" s="73">
        <v>1137887</v>
      </c>
      <c r="M12" s="73">
        <v>627654</v>
      </c>
      <c r="N12" s="73">
        <v>184794</v>
      </c>
      <c r="O12" s="73">
        <v>432</v>
      </c>
      <c r="P12" s="73">
        <v>134931</v>
      </c>
      <c r="Q12" s="73">
        <v>1533184</v>
      </c>
      <c r="R12" s="73">
        <f t="shared" si="0"/>
        <v>5608729</v>
      </c>
    </row>
    <row r="13" spans="1:18">
      <c r="B13" t="s">
        <v>18</v>
      </c>
      <c r="K13" s="75">
        <v>87504</v>
      </c>
      <c r="L13" s="73"/>
      <c r="M13" s="73"/>
      <c r="N13" s="73"/>
      <c r="O13" s="73"/>
      <c r="P13" s="73"/>
      <c r="Q13" s="73"/>
      <c r="R13" s="73">
        <f t="shared" si="0"/>
        <v>87504</v>
      </c>
    </row>
    <row r="14" spans="1:18">
      <c r="B14" t="s">
        <v>19</v>
      </c>
      <c r="K14" s="75">
        <v>20793</v>
      </c>
      <c r="L14" s="73"/>
      <c r="M14" s="73"/>
      <c r="N14" s="73"/>
      <c r="O14" s="73"/>
      <c r="P14" s="73"/>
      <c r="Q14" s="73"/>
      <c r="R14" s="73">
        <f>SUM(K14:Q14)</f>
        <v>20793</v>
      </c>
    </row>
    <row r="15" spans="1:18">
      <c r="K15" s="73"/>
      <c r="L15" s="73"/>
      <c r="M15" s="73"/>
      <c r="N15" s="73"/>
      <c r="O15" s="73"/>
      <c r="P15" s="73"/>
      <c r="Q15" s="73"/>
      <c r="R15" s="73"/>
    </row>
    <row r="16" spans="1:18" s="3" customFormat="1">
      <c r="A16" s="2"/>
      <c r="B16" s="2"/>
      <c r="C16" s="2"/>
      <c r="D16" s="2"/>
      <c r="E16" s="2" t="s">
        <v>20</v>
      </c>
      <c r="K16" s="76">
        <f>SUM(K6:K14)</f>
        <v>2729200</v>
      </c>
      <c r="L16" s="76">
        <f t="shared" ref="L16:O16" si="1">SUM(L6:L14)</f>
        <v>2185989</v>
      </c>
      <c r="M16" s="76">
        <f t="shared" si="1"/>
        <v>5533385</v>
      </c>
      <c r="N16" s="76">
        <f t="shared" si="1"/>
        <v>451093</v>
      </c>
      <c r="O16" s="76">
        <f t="shared" si="1"/>
        <v>523834</v>
      </c>
      <c r="P16" s="76">
        <f>SUM(P6:P14)</f>
        <v>135025</v>
      </c>
      <c r="Q16" s="76">
        <f>SUM(Q6:Q14)</f>
        <v>8424974</v>
      </c>
      <c r="R16" s="76">
        <f>SUM(R6:R14)</f>
        <v>19983500</v>
      </c>
    </row>
    <row r="17" spans="1:18">
      <c r="K17" s="73"/>
      <c r="L17" s="73"/>
      <c r="M17" s="73"/>
      <c r="N17" s="73"/>
      <c r="O17" s="73"/>
      <c r="P17" s="73"/>
      <c r="Q17" s="73"/>
      <c r="R17" s="73"/>
    </row>
    <row r="18" spans="1:18">
      <c r="A18" s="4" t="s">
        <v>21</v>
      </c>
      <c r="K18" s="73"/>
      <c r="L18" s="73"/>
      <c r="M18" s="73"/>
      <c r="N18" s="73"/>
      <c r="O18" s="73"/>
      <c r="P18" s="73"/>
      <c r="Q18" s="73"/>
      <c r="R18" s="73"/>
    </row>
    <row r="19" spans="1:18">
      <c r="B19" t="s">
        <v>22</v>
      </c>
      <c r="K19" s="73"/>
      <c r="L19" s="73"/>
      <c r="M19" s="73"/>
      <c r="N19" s="73"/>
      <c r="O19" s="73"/>
      <c r="P19" s="73"/>
      <c r="Q19" s="73"/>
      <c r="R19" s="73"/>
    </row>
    <row r="20" spans="1:18">
      <c r="C20" t="s">
        <v>23</v>
      </c>
      <c r="K20" s="77">
        <v>153148</v>
      </c>
      <c r="L20" s="73">
        <v>23523</v>
      </c>
      <c r="M20" s="73">
        <v>263877</v>
      </c>
      <c r="N20" s="73">
        <v>2929</v>
      </c>
      <c r="O20" s="73">
        <v>127068</v>
      </c>
      <c r="P20" s="73">
        <v>134931</v>
      </c>
      <c r="Q20" s="73">
        <v>94381</v>
      </c>
      <c r="R20" s="73">
        <f>SUM(K20:Q20)</f>
        <v>799857</v>
      </c>
    </row>
    <row r="21" spans="1:18">
      <c r="C21" t="s">
        <v>24</v>
      </c>
      <c r="K21" s="73"/>
      <c r="L21" s="73"/>
      <c r="M21" s="73"/>
      <c r="N21" s="73"/>
      <c r="O21" s="73">
        <v>30559</v>
      </c>
      <c r="P21" s="73"/>
      <c r="Q21" s="73"/>
      <c r="R21" s="73">
        <f>SUM(K21:Q21)</f>
        <v>30559</v>
      </c>
    </row>
    <row r="22" spans="1:18">
      <c r="C22" t="s">
        <v>25</v>
      </c>
      <c r="K22" s="77">
        <v>230524</v>
      </c>
      <c r="L22" s="73">
        <v>41019</v>
      </c>
      <c r="M22" s="73"/>
      <c r="N22" s="73"/>
      <c r="O22" s="73"/>
      <c r="P22" s="73"/>
      <c r="Q22" s="73">
        <v>54692</v>
      </c>
      <c r="R22" s="73">
        <f>SUM(K22:Q22)</f>
        <v>326235</v>
      </c>
    </row>
    <row r="23" spans="1:18">
      <c r="C23" t="s">
        <v>26</v>
      </c>
      <c r="K23" s="73"/>
      <c r="L23" s="73">
        <v>26500</v>
      </c>
      <c r="M23" s="73"/>
      <c r="N23" s="73"/>
      <c r="O23" s="73"/>
      <c r="P23" s="73"/>
      <c r="Q23" s="73"/>
      <c r="R23" s="73">
        <f>SUM(K23:Q23)</f>
        <v>26500</v>
      </c>
    </row>
    <row r="24" spans="1:18">
      <c r="C24" t="s">
        <v>27</v>
      </c>
      <c r="K24" s="73"/>
      <c r="L24" s="73">
        <v>46135</v>
      </c>
      <c r="M24" s="73">
        <v>29407</v>
      </c>
      <c r="N24" s="73"/>
      <c r="O24" s="73"/>
      <c r="P24" s="73"/>
      <c r="Q24" s="73">
        <v>11962</v>
      </c>
      <c r="R24" s="73">
        <f>SUM(K24:Q24)</f>
        <v>87504</v>
      </c>
    </row>
    <row r="25" spans="1:18">
      <c r="K25" s="73"/>
      <c r="L25" s="73"/>
      <c r="M25" s="73"/>
      <c r="N25" s="73"/>
      <c r="O25" s="73"/>
      <c r="P25" s="73"/>
      <c r="Q25" s="73"/>
      <c r="R25" s="73"/>
    </row>
    <row r="26" spans="1:18" s="5" customFormat="1">
      <c r="B26" s="6"/>
      <c r="C26" s="6"/>
      <c r="D26" s="6"/>
      <c r="E26" s="6" t="s">
        <v>28</v>
      </c>
      <c r="K26" s="79">
        <f>SUM(K20:K24)</f>
        <v>383672</v>
      </c>
      <c r="L26" s="79">
        <f>SUM(L20:L24)</f>
        <v>137177</v>
      </c>
      <c r="M26" s="79">
        <f t="shared" ref="M26:P26" si="2">SUM(M20:M24)</f>
        <v>293284</v>
      </c>
      <c r="N26" s="79">
        <f t="shared" si="2"/>
        <v>2929</v>
      </c>
      <c r="O26" s="79">
        <f t="shared" si="2"/>
        <v>157627</v>
      </c>
      <c r="P26" s="79">
        <f t="shared" si="2"/>
        <v>134931</v>
      </c>
      <c r="Q26" s="79">
        <f>SUM(Q20:Q24)</f>
        <v>161035</v>
      </c>
      <c r="R26" s="79">
        <f>SUM(R20:R24)</f>
        <v>1270655</v>
      </c>
    </row>
    <row r="27" spans="1:18">
      <c r="K27" s="73"/>
      <c r="L27" s="73"/>
      <c r="M27" s="73"/>
      <c r="N27" s="73"/>
      <c r="O27" s="73"/>
      <c r="P27" s="73"/>
      <c r="Q27" s="73"/>
      <c r="R27" s="73"/>
    </row>
    <row r="28" spans="1:18">
      <c r="A28" s="71" t="s">
        <v>29</v>
      </c>
      <c r="K28" s="73"/>
      <c r="L28" s="73"/>
      <c r="M28" s="73"/>
      <c r="N28" s="73"/>
      <c r="O28" s="73"/>
      <c r="P28" s="73"/>
      <c r="Q28" s="73"/>
      <c r="R28" s="73"/>
    </row>
    <row r="29" spans="1:18">
      <c r="B29" t="s">
        <v>30</v>
      </c>
      <c r="K29" s="88"/>
      <c r="L29" s="88"/>
      <c r="M29" s="88"/>
      <c r="N29" s="88"/>
      <c r="O29" s="88"/>
      <c r="P29" s="88"/>
      <c r="Q29" s="88">
        <v>29556</v>
      </c>
      <c r="R29" s="88">
        <f>SUM(K29:Q29)</f>
        <v>29556</v>
      </c>
    </row>
    <row r="30" spans="1:18">
      <c r="K30" s="73"/>
      <c r="L30" s="73"/>
      <c r="M30" s="73"/>
      <c r="N30" s="73"/>
      <c r="O30" s="73"/>
      <c r="P30" s="73"/>
      <c r="Q30" s="73"/>
      <c r="R30" s="73"/>
    </row>
    <row r="31" spans="1:18">
      <c r="B31" t="s">
        <v>31</v>
      </c>
      <c r="K31" s="73"/>
      <c r="L31" s="73"/>
      <c r="M31" s="73"/>
      <c r="N31" s="73"/>
      <c r="O31" s="73"/>
      <c r="P31" s="73"/>
      <c r="Q31" s="73"/>
      <c r="R31" s="73"/>
    </row>
    <row r="32" spans="1:18">
      <c r="C32" t="s">
        <v>32</v>
      </c>
      <c r="K32" s="73"/>
      <c r="L32" s="73"/>
      <c r="M32" s="73"/>
      <c r="N32" s="73"/>
      <c r="O32" s="73"/>
      <c r="P32" s="73"/>
      <c r="Q32" s="73"/>
      <c r="R32" s="73"/>
    </row>
    <row r="33" spans="3:18">
      <c r="D33" t="s">
        <v>33</v>
      </c>
      <c r="K33" s="80">
        <v>547451</v>
      </c>
      <c r="L33" s="73">
        <v>2048812</v>
      </c>
      <c r="M33" s="73"/>
      <c r="N33" s="73"/>
      <c r="O33" s="73"/>
      <c r="P33" s="73"/>
      <c r="Q33" s="73"/>
      <c r="R33" s="73">
        <f t="shared" ref="R33:R36" si="3">SUM(K33:Q33)</f>
        <v>2596263</v>
      </c>
    </row>
    <row r="34" spans="3:18">
      <c r="D34" t="s">
        <v>34</v>
      </c>
      <c r="K34" s="73"/>
      <c r="L34" s="73"/>
      <c r="M34" s="73">
        <v>5240101</v>
      </c>
      <c r="N34" s="73">
        <v>448164</v>
      </c>
      <c r="O34" s="73"/>
      <c r="P34" s="73"/>
      <c r="Q34" s="73"/>
      <c r="R34" s="73">
        <f>SUM(K34:Q34)</f>
        <v>5688265</v>
      </c>
    </row>
    <row r="35" spans="3:18">
      <c r="D35" t="s">
        <v>35</v>
      </c>
      <c r="K35" s="73"/>
      <c r="L35" s="73"/>
      <c r="M35" s="73"/>
      <c r="N35" s="73"/>
      <c r="O35" s="73"/>
      <c r="P35" s="73"/>
      <c r="Q35" s="73">
        <v>1587612</v>
      </c>
      <c r="R35" s="73">
        <f t="shared" si="3"/>
        <v>1587612</v>
      </c>
    </row>
    <row r="36" spans="3:18">
      <c r="D36" t="s">
        <v>36</v>
      </c>
      <c r="K36" s="73"/>
      <c r="L36" s="73"/>
      <c r="M36" s="73"/>
      <c r="N36" s="73"/>
      <c r="O36" s="73"/>
      <c r="P36" s="73"/>
      <c r="Q36" s="73">
        <v>1541983</v>
      </c>
      <c r="R36" s="73">
        <f t="shared" si="3"/>
        <v>1541983</v>
      </c>
    </row>
    <row r="37" spans="3:18">
      <c r="D37" t="s">
        <v>37</v>
      </c>
      <c r="K37" s="73"/>
      <c r="L37" s="73"/>
      <c r="M37" s="73"/>
      <c r="N37" s="73"/>
      <c r="O37" s="73"/>
      <c r="P37" s="73"/>
      <c r="Q37" s="73">
        <v>1361388</v>
      </c>
      <c r="R37" s="73">
        <f>SUM(K37:Q37)</f>
        <v>1361388</v>
      </c>
    </row>
    <row r="38" spans="3:18">
      <c r="C38" t="s">
        <v>38</v>
      </c>
      <c r="K38" s="73"/>
      <c r="L38" s="73"/>
      <c r="M38" s="73"/>
      <c r="N38" s="73"/>
      <c r="O38" s="73"/>
      <c r="P38" s="73"/>
      <c r="Q38" s="73"/>
      <c r="R38" s="73"/>
    </row>
    <row r="39" spans="3:18">
      <c r="D39" t="s">
        <v>39</v>
      </c>
      <c r="K39" s="73"/>
      <c r="L39" s="73"/>
      <c r="M39" s="73"/>
      <c r="N39" s="73"/>
      <c r="O39" s="73"/>
      <c r="P39" s="73"/>
      <c r="Q39" s="73">
        <v>665302</v>
      </c>
      <c r="R39" s="73">
        <f t="shared" ref="R39:R46" si="4">SUM(K39:Q39)</f>
        <v>665302</v>
      </c>
    </row>
    <row r="40" spans="3:18">
      <c r="D40" t="s">
        <v>40</v>
      </c>
      <c r="K40" s="73"/>
      <c r="L40" s="73"/>
      <c r="M40" s="73"/>
      <c r="N40" s="73"/>
      <c r="O40" s="73"/>
      <c r="P40" s="73"/>
      <c r="Q40" s="73">
        <v>1470338</v>
      </c>
      <c r="R40" s="73">
        <f t="shared" si="4"/>
        <v>1470338</v>
      </c>
    </row>
    <row r="41" spans="3:18">
      <c r="D41" t="s">
        <v>41</v>
      </c>
      <c r="K41" s="73"/>
      <c r="L41" s="73"/>
      <c r="M41" s="73"/>
      <c r="N41" s="73"/>
      <c r="O41" s="73"/>
      <c r="P41" s="73"/>
      <c r="Q41" s="73">
        <v>726543</v>
      </c>
      <c r="R41" s="73">
        <f t="shared" si="4"/>
        <v>726543</v>
      </c>
    </row>
    <row r="42" spans="3:18">
      <c r="C42" t="s">
        <v>42</v>
      </c>
      <c r="K42" s="73"/>
      <c r="L42" s="73"/>
      <c r="M42" s="73"/>
      <c r="N42" s="73"/>
      <c r="O42" s="73"/>
      <c r="P42" s="73"/>
      <c r="Q42" s="73"/>
      <c r="R42" s="73"/>
    </row>
    <row r="43" spans="3:18">
      <c r="D43" t="s">
        <v>43</v>
      </c>
      <c r="K43" s="73"/>
      <c r="L43" s="73"/>
      <c r="M43" s="73"/>
      <c r="N43" s="73"/>
      <c r="O43" s="73"/>
      <c r="P43" s="73"/>
      <c r="Q43" s="73">
        <v>3822</v>
      </c>
      <c r="R43" s="73">
        <f t="shared" si="4"/>
        <v>3822</v>
      </c>
    </row>
    <row r="44" spans="3:18">
      <c r="D44" t="s">
        <v>44</v>
      </c>
      <c r="K44" s="73"/>
      <c r="L44" s="73"/>
      <c r="M44" s="73"/>
      <c r="N44" s="73"/>
      <c r="O44" s="73">
        <v>366207</v>
      </c>
      <c r="P44" s="73">
        <v>94</v>
      </c>
      <c r="Q44" s="73">
        <v>8881</v>
      </c>
      <c r="R44" s="73">
        <f t="shared" si="4"/>
        <v>375182</v>
      </c>
    </row>
    <row r="45" spans="3:18">
      <c r="D45" t="s">
        <v>45</v>
      </c>
      <c r="K45" s="73"/>
      <c r="L45" s="73"/>
      <c r="M45" s="73"/>
      <c r="N45" s="73"/>
      <c r="O45" s="73"/>
      <c r="P45" s="73"/>
      <c r="Q45" s="73">
        <v>658066</v>
      </c>
      <c r="R45" s="73">
        <f t="shared" si="4"/>
        <v>658066</v>
      </c>
    </row>
    <row r="46" spans="3:18">
      <c r="D46" t="s">
        <v>46</v>
      </c>
      <c r="K46" s="73"/>
      <c r="L46" s="73"/>
      <c r="M46" s="73"/>
      <c r="N46" s="73"/>
      <c r="O46" s="73"/>
      <c r="P46" s="73"/>
      <c r="Q46" s="73">
        <v>165470</v>
      </c>
      <c r="R46" s="73">
        <f t="shared" si="4"/>
        <v>165470</v>
      </c>
    </row>
    <row r="47" spans="3:18">
      <c r="D47" t="s">
        <v>47</v>
      </c>
      <c r="K47" s="73"/>
      <c r="L47" s="73"/>
      <c r="M47" s="73"/>
      <c r="N47" s="73"/>
      <c r="O47" s="73"/>
      <c r="P47" s="73"/>
      <c r="Q47" s="73">
        <v>44978</v>
      </c>
      <c r="R47" s="73">
        <f>SUM(K47:Q47)</f>
        <v>44978</v>
      </c>
    </row>
    <row r="48" spans="3:18">
      <c r="C48" t="s">
        <v>48</v>
      </c>
      <c r="K48" s="86">
        <v>1798077</v>
      </c>
      <c r="L48" s="73"/>
      <c r="M48" s="73"/>
      <c r="N48" s="73"/>
      <c r="O48" s="73"/>
      <c r="P48" s="73"/>
      <c r="Q48" s="73"/>
      <c r="R48" s="73">
        <f>SUM(K48:Q48)</f>
        <v>1798077</v>
      </c>
    </row>
    <row r="49" spans="4:18">
      <c r="K49" s="73"/>
      <c r="L49" s="73"/>
      <c r="M49" s="73"/>
      <c r="N49" s="73"/>
      <c r="O49" s="73"/>
      <c r="P49" s="73"/>
      <c r="Q49" s="73"/>
      <c r="R49" s="73"/>
    </row>
    <row r="50" spans="4:18" s="5" customFormat="1">
      <c r="D50" s="6"/>
      <c r="E50" s="6" t="s">
        <v>49</v>
      </c>
      <c r="K50" s="79">
        <f>SUM(K33:K48)</f>
        <v>2345528</v>
      </c>
      <c r="L50" s="79">
        <f t="shared" ref="L50:P50" si="5">SUM(L33:L48)</f>
        <v>2048812</v>
      </c>
      <c r="M50" s="79">
        <f t="shared" si="5"/>
        <v>5240101</v>
      </c>
      <c r="N50" s="79">
        <f t="shared" si="5"/>
        <v>448164</v>
      </c>
      <c r="O50" s="79">
        <f t="shared" si="5"/>
        <v>366207</v>
      </c>
      <c r="P50" s="79">
        <f t="shared" si="5"/>
        <v>94</v>
      </c>
      <c r="Q50" s="79">
        <f>SUM(Q33:Q48)</f>
        <v>8234383</v>
      </c>
      <c r="R50" s="79">
        <f>SUM(R33:R48)</f>
        <v>18683289</v>
      </c>
    </row>
    <row r="51" spans="4:18">
      <c r="K51" s="73"/>
      <c r="L51" s="73"/>
      <c r="M51" s="73"/>
      <c r="N51" s="73"/>
      <c r="O51" s="73"/>
      <c r="P51" s="73"/>
      <c r="Q51" s="73"/>
      <c r="R51" s="73"/>
    </row>
    <row r="52" spans="4:18" s="7" customFormat="1">
      <c r="D52" s="8"/>
      <c r="E52" s="8" t="s">
        <v>50</v>
      </c>
      <c r="K52" s="81">
        <f>SUM(K50,K26)</f>
        <v>2729200</v>
      </c>
      <c r="L52" s="81">
        <f t="shared" ref="L52:O52" si="6">SUM(L50,L26)</f>
        <v>2185989</v>
      </c>
      <c r="M52" s="81">
        <f t="shared" si="6"/>
        <v>5533385</v>
      </c>
      <c r="N52" s="81">
        <f t="shared" si="6"/>
        <v>451093</v>
      </c>
      <c r="O52" s="81">
        <f t="shared" si="6"/>
        <v>523834</v>
      </c>
      <c r="P52" s="81">
        <f>SUM(P26,P50)</f>
        <v>135025</v>
      </c>
      <c r="Q52" s="81">
        <f>Q50+Q29+Q26</f>
        <v>8424974</v>
      </c>
      <c r="R52" s="81">
        <f>R50+R29+R26</f>
        <v>19983500</v>
      </c>
    </row>
  </sheetData>
  <mergeCells count="2">
    <mergeCell ref="D1:K1"/>
    <mergeCell ref="D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8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7" width="16.42578125" customWidth="1"/>
    <col min="18" max="18" width="18" customWidth="1"/>
    <col min="19" max="19" width="17.28515625" customWidth="1"/>
  </cols>
  <sheetData>
    <row r="1" spans="1:19" ht="18.75">
      <c r="D1" s="125" t="s">
        <v>51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9" ht="45">
      <c r="K4" s="1" t="s">
        <v>52</v>
      </c>
      <c r="L4" s="1" t="s">
        <v>53</v>
      </c>
      <c r="M4" s="1" t="s">
        <v>54</v>
      </c>
      <c r="N4" s="1" t="s">
        <v>55</v>
      </c>
      <c r="O4" s="1" t="s">
        <v>3</v>
      </c>
      <c r="P4" s="1" t="s">
        <v>56</v>
      </c>
      <c r="Q4" s="1" t="s">
        <v>57</v>
      </c>
      <c r="R4" s="1" t="s">
        <v>58</v>
      </c>
      <c r="S4" s="1" t="s">
        <v>9</v>
      </c>
    </row>
    <row r="5" spans="1:19">
      <c r="A5" t="s">
        <v>10</v>
      </c>
    </row>
    <row r="6" spans="1:19">
      <c r="B6" t="s">
        <v>11</v>
      </c>
      <c r="K6" s="72">
        <v>333065</v>
      </c>
      <c r="L6" s="73">
        <v>553695</v>
      </c>
      <c r="M6" s="73">
        <v>103600</v>
      </c>
      <c r="N6" s="73">
        <v>546048</v>
      </c>
      <c r="O6" s="73">
        <v>48</v>
      </c>
      <c r="P6" s="73">
        <v>606522</v>
      </c>
      <c r="Q6" s="73">
        <v>1397497</v>
      </c>
      <c r="R6" s="73">
        <v>978046</v>
      </c>
      <c r="S6" s="73">
        <f t="shared" ref="S6:S11" si="0">SUM(K6:R6)</f>
        <v>4518521</v>
      </c>
    </row>
    <row r="7" spans="1:19">
      <c r="B7" t="s">
        <v>59</v>
      </c>
      <c r="K7" s="74">
        <v>246603</v>
      </c>
      <c r="L7" s="73"/>
      <c r="M7" s="73"/>
      <c r="N7" s="73">
        <v>108339</v>
      </c>
      <c r="O7" s="73"/>
      <c r="P7" s="73">
        <v>616160</v>
      </c>
      <c r="Q7" s="73">
        <v>636424</v>
      </c>
      <c r="R7" s="73">
        <v>1351112</v>
      </c>
      <c r="S7" s="73">
        <f t="shared" si="0"/>
        <v>2958638</v>
      </c>
    </row>
    <row r="8" spans="1:19">
      <c r="B8" t="s">
        <v>60</v>
      </c>
      <c r="K8" s="75">
        <v>333701</v>
      </c>
      <c r="L8" s="73">
        <v>139221</v>
      </c>
      <c r="M8" s="73"/>
      <c r="N8" s="73"/>
      <c r="O8" s="73">
        <v>64248</v>
      </c>
      <c r="P8" s="73"/>
      <c r="Q8" s="73"/>
      <c r="R8" s="73">
        <v>12210</v>
      </c>
      <c r="S8" s="73">
        <f t="shared" si="0"/>
        <v>549380</v>
      </c>
    </row>
    <row r="9" spans="1:19">
      <c r="B9" t="s">
        <v>61</v>
      </c>
      <c r="K9" s="73"/>
      <c r="L9" s="73"/>
      <c r="M9" s="73"/>
      <c r="N9" s="73"/>
      <c r="O9" s="73"/>
      <c r="P9" s="73"/>
      <c r="Q9" s="73"/>
      <c r="R9" s="73">
        <v>25276</v>
      </c>
      <c r="S9" s="73">
        <f t="shared" si="0"/>
        <v>25276</v>
      </c>
    </row>
    <row r="10" spans="1:19">
      <c r="B10" t="s">
        <v>18</v>
      </c>
      <c r="K10" s="75">
        <v>37786</v>
      </c>
      <c r="L10" s="73"/>
      <c r="M10" s="73"/>
      <c r="N10" s="73"/>
      <c r="O10" s="73"/>
      <c r="P10" s="73">
        <v>224</v>
      </c>
      <c r="Q10" s="73"/>
      <c r="R10" s="73">
        <v>37065</v>
      </c>
      <c r="S10" s="73">
        <f t="shared" si="0"/>
        <v>75075</v>
      </c>
    </row>
    <row r="11" spans="1:19">
      <c r="B11" t="s">
        <v>62</v>
      </c>
      <c r="K11" s="85">
        <v>4443</v>
      </c>
      <c r="L11" s="73"/>
      <c r="M11" s="73"/>
      <c r="N11" s="73"/>
      <c r="O11" s="73"/>
      <c r="P11" s="73"/>
      <c r="Q11" s="73"/>
      <c r="R11" s="73"/>
      <c r="S11" s="73">
        <f t="shared" si="0"/>
        <v>4443</v>
      </c>
    </row>
    <row r="12" spans="1:19">
      <c r="K12" s="73"/>
      <c r="L12" s="73"/>
      <c r="M12" s="73"/>
      <c r="N12" s="73"/>
      <c r="O12" s="73"/>
      <c r="P12" s="73"/>
      <c r="Q12" s="73"/>
      <c r="R12" s="73"/>
      <c r="S12" s="73"/>
    </row>
    <row r="13" spans="1:19" s="3" customFormat="1">
      <c r="A13" s="2"/>
      <c r="B13" s="2"/>
      <c r="C13" s="2"/>
      <c r="D13" s="2"/>
      <c r="E13" s="2" t="s">
        <v>20</v>
      </c>
      <c r="K13" s="76">
        <f t="shared" ref="K13:S13" si="1">SUM(K6:K11)</f>
        <v>955598</v>
      </c>
      <c r="L13" s="76">
        <f t="shared" si="1"/>
        <v>692916</v>
      </c>
      <c r="M13" s="76">
        <f t="shared" si="1"/>
        <v>103600</v>
      </c>
      <c r="N13" s="76">
        <f t="shared" si="1"/>
        <v>654387</v>
      </c>
      <c r="O13" s="76">
        <f t="shared" si="1"/>
        <v>64296</v>
      </c>
      <c r="P13" s="76">
        <f t="shared" si="1"/>
        <v>1222906</v>
      </c>
      <c r="Q13" s="76">
        <f t="shared" si="1"/>
        <v>2033921</v>
      </c>
      <c r="R13" s="76">
        <f t="shared" si="1"/>
        <v>2403709</v>
      </c>
      <c r="S13" s="76">
        <f t="shared" si="1"/>
        <v>8131333</v>
      </c>
    </row>
    <row r="14" spans="1:19"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A15" s="4" t="s">
        <v>21</v>
      </c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B16" t="s">
        <v>22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C17" t="s">
        <v>23</v>
      </c>
      <c r="K17" s="77">
        <v>99341</v>
      </c>
      <c r="L17" s="73">
        <v>117700</v>
      </c>
      <c r="M17" s="73">
        <v>22888</v>
      </c>
      <c r="N17" s="73">
        <v>9411</v>
      </c>
      <c r="O17" s="73">
        <v>50034</v>
      </c>
      <c r="P17" s="73">
        <v>70560</v>
      </c>
      <c r="Q17" s="73">
        <v>31393</v>
      </c>
      <c r="R17" s="73">
        <v>84928</v>
      </c>
      <c r="S17" s="73">
        <f>SUM(K17:R17)</f>
        <v>486255</v>
      </c>
    </row>
    <row r="18" spans="1:19">
      <c r="C18" t="s">
        <v>26</v>
      </c>
      <c r="K18" s="73"/>
      <c r="L18" s="73"/>
      <c r="M18" s="73">
        <v>80554</v>
      </c>
      <c r="N18" s="73"/>
      <c r="O18" s="73"/>
      <c r="P18" s="73"/>
      <c r="Q18" s="73"/>
      <c r="R18" s="73">
        <v>53913</v>
      </c>
      <c r="S18" s="73">
        <f>SUM(K18:R18)</f>
        <v>134467</v>
      </c>
    </row>
    <row r="19" spans="1:19">
      <c r="C19" t="s">
        <v>27</v>
      </c>
      <c r="K19" s="78">
        <v>4923</v>
      </c>
      <c r="L19" s="73"/>
      <c r="M19" s="73"/>
      <c r="N19" s="73"/>
      <c r="O19" s="73">
        <v>24829</v>
      </c>
      <c r="P19" s="73"/>
      <c r="Q19" s="73"/>
      <c r="R19" s="73">
        <v>45323</v>
      </c>
      <c r="S19" s="73">
        <f>SUM(K19:R19)</f>
        <v>75075</v>
      </c>
    </row>
    <row r="20" spans="1:19">
      <c r="K20" s="73"/>
      <c r="L20" s="73"/>
      <c r="M20" s="73"/>
      <c r="N20" s="73"/>
      <c r="O20" s="73"/>
      <c r="P20" s="73"/>
      <c r="Q20" s="73"/>
      <c r="R20" s="73"/>
      <c r="S20" s="73"/>
    </row>
    <row r="21" spans="1:19" s="5" customFormat="1">
      <c r="B21" s="6"/>
      <c r="C21" s="6"/>
      <c r="D21" s="6"/>
      <c r="E21" s="6" t="s">
        <v>28</v>
      </c>
      <c r="K21" s="79">
        <f t="shared" ref="K21:S21" si="2">SUM(K17:K19)</f>
        <v>104264</v>
      </c>
      <c r="L21" s="79">
        <f t="shared" si="2"/>
        <v>117700</v>
      </c>
      <c r="M21" s="79">
        <f t="shared" si="2"/>
        <v>103442</v>
      </c>
      <c r="N21" s="79">
        <f t="shared" si="2"/>
        <v>9411</v>
      </c>
      <c r="O21" s="79">
        <f t="shared" si="2"/>
        <v>74863</v>
      </c>
      <c r="P21" s="79">
        <f t="shared" si="2"/>
        <v>70560</v>
      </c>
      <c r="Q21" s="79">
        <f t="shared" si="2"/>
        <v>31393</v>
      </c>
      <c r="R21" s="79">
        <f t="shared" si="2"/>
        <v>184164</v>
      </c>
      <c r="S21" s="79">
        <f t="shared" si="2"/>
        <v>695797</v>
      </c>
    </row>
    <row r="22" spans="1:19">
      <c r="K22" s="73"/>
      <c r="L22" s="73"/>
      <c r="M22" s="73"/>
      <c r="N22" s="73"/>
      <c r="O22" s="73"/>
      <c r="P22" s="73"/>
      <c r="Q22" s="73"/>
      <c r="R22" s="73"/>
      <c r="S22" s="73"/>
    </row>
    <row r="23" spans="1:19">
      <c r="A23" s="71" t="s">
        <v>29</v>
      </c>
      <c r="K23" s="73"/>
      <c r="L23" s="73"/>
      <c r="M23" s="73"/>
      <c r="N23" s="73"/>
      <c r="O23" s="73"/>
      <c r="P23" s="73"/>
      <c r="Q23" s="73"/>
      <c r="R23" s="73"/>
      <c r="S23" s="73"/>
    </row>
    <row r="24" spans="1:19">
      <c r="B24" t="s">
        <v>63</v>
      </c>
      <c r="K24" s="88">
        <v>19870</v>
      </c>
      <c r="L24" s="88"/>
      <c r="M24" s="88"/>
      <c r="N24" s="88"/>
      <c r="O24" s="88"/>
      <c r="P24" s="88">
        <v>55725</v>
      </c>
      <c r="Q24" s="88">
        <v>33057</v>
      </c>
      <c r="R24" s="88">
        <v>124248</v>
      </c>
      <c r="S24" s="88">
        <f>SUM(K24:R24)</f>
        <v>232900</v>
      </c>
    </row>
    <row r="25" spans="1:19"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B26" t="s">
        <v>31</v>
      </c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C27" t="s">
        <v>64</v>
      </c>
      <c r="K27" s="80">
        <v>4443</v>
      </c>
      <c r="L27" s="73"/>
      <c r="M27" s="73"/>
      <c r="N27" s="73"/>
      <c r="O27" s="73"/>
      <c r="P27" s="73"/>
      <c r="Q27" s="73"/>
      <c r="R27" s="73"/>
      <c r="S27" s="73">
        <f t="shared" ref="S27:S31" si="3">SUM(K27:R27)</f>
        <v>4443</v>
      </c>
    </row>
    <row r="28" spans="1:19">
      <c r="C28" t="s">
        <v>65</v>
      </c>
      <c r="K28" s="73"/>
      <c r="L28" s="73"/>
      <c r="M28" s="73"/>
      <c r="N28" s="73"/>
      <c r="O28" s="73"/>
      <c r="P28" s="73"/>
      <c r="Q28" s="73"/>
      <c r="R28" s="73">
        <v>25276</v>
      </c>
      <c r="S28" s="73">
        <f t="shared" si="3"/>
        <v>25276</v>
      </c>
    </row>
    <row r="29" spans="1:19">
      <c r="C29" t="s">
        <v>66</v>
      </c>
      <c r="K29" s="73"/>
      <c r="L29" s="73"/>
      <c r="M29" s="73"/>
      <c r="N29" s="73"/>
      <c r="O29" s="73"/>
      <c r="P29" s="73"/>
      <c r="Q29" s="73"/>
      <c r="R29" s="73"/>
      <c r="S29" s="73">
        <f t="shared" si="3"/>
        <v>0</v>
      </c>
    </row>
    <row r="30" spans="1:19">
      <c r="D30" t="s">
        <v>67</v>
      </c>
      <c r="K30" s="73"/>
      <c r="L30" s="73"/>
      <c r="M30" s="73"/>
      <c r="N30" s="73"/>
      <c r="O30" s="73"/>
      <c r="P30" s="73"/>
      <c r="Q30" s="73"/>
      <c r="R30" s="73">
        <v>349325</v>
      </c>
      <c r="S30" s="73">
        <f t="shared" si="3"/>
        <v>349325</v>
      </c>
    </row>
    <row r="31" spans="1:19">
      <c r="D31" t="s">
        <v>68</v>
      </c>
      <c r="K31" s="73"/>
      <c r="L31" s="73"/>
      <c r="M31" s="73"/>
      <c r="N31" s="73">
        <v>644976</v>
      </c>
      <c r="O31" s="73"/>
      <c r="P31" s="73"/>
      <c r="Q31" s="73"/>
      <c r="R31" s="73"/>
      <c r="S31" s="73">
        <f t="shared" si="3"/>
        <v>644976</v>
      </c>
    </row>
    <row r="32" spans="1:19">
      <c r="D32" t="s">
        <v>69</v>
      </c>
      <c r="K32" s="73"/>
      <c r="L32" s="73"/>
      <c r="M32" s="73"/>
      <c r="N32" s="73"/>
      <c r="O32" s="73"/>
      <c r="P32" s="73"/>
      <c r="Q32" s="73"/>
      <c r="R32" s="73">
        <v>874</v>
      </c>
      <c r="S32" s="73">
        <f t="shared" ref="S32:S33" si="4">SUM(K32:R32)</f>
        <v>874</v>
      </c>
    </row>
    <row r="33" spans="3:19">
      <c r="D33" t="s">
        <v>70</v>
      </c>
      <c r="K33" s="73"/>
      <c r="L33" s="73"/>
      <c r="M33" s="73"/>
      <c r="N33" s="73"/>
      <c r="O33" s="73">
        <v>64248</v>
      </c>
      <c r="P33" s="73">
        <v>1096621</v>
      </c>
      <c r="Q33" s="73">
        <v>1969471</v>
      </c>
      <c r="R33" s="73">
        <v>1350120</v>
      </c>
      <c r="S33" s="73">
        <f t="shared" si="4"/>
        <v>4480460</v>
      </c>
    </row>
    <row r="34" spans="3:19">
      <c r="D34" t="s">
        <v>45</v>
      </c>
      <c r="K34" s="73"/>
      <c r="L34" s="73"/>
      <c r="M34" s="73"/>
      <c r="N34" s="73"/>
      <c r="O34" s="73"/>
      <c r="P34" s="73"/>
      <c r="Q34" s="73"/>
      <c r="R34" s="73">
        <v>37419</v>
      </c>
      <c r="S34" s="73">
        <f>SUM(K34:R34)</f>
        <v>37419</v>
      </c>
    </row>
    <row r="35" spans="3:19">
      <c r="D35" t="s">
        <v>71</v>
      </c>
      <c r="K35" s="73"/>
      <c r="L35" s="73">
        <v>575216</v>
      </c>
      <c r="M35" s="73"/>
      <c r="N35" s="73"/>
      <c r="O35" s="73"/>
      <c r="P35" s="73"/>
      <c r="Q35" s="73"/>
      <c r="R35" s="73"/>
      <c r="S35" s="73">
        <f>SUM(K35:R35)</f>
        <v>575216</v>
      </c>
    </row>
    <row r="36" spans="3:19">
      <c r="D36" t="s">
        <v>44</v>
      </c>
      <c r="K36" s="73"/>
      <c r="L36" s="73"/>
      <c r="M36" s="73">
        <v>158</v>
      </c>
      <c r="N36" s="73"/>
      <c r="O36" s="73"/>
      <c r="P36" s="73"/>
      <c r="Q36" s="73"/>
      <c r="R36" s="73">
        <v>299866</v>
      </c>
      <c r="S36" s="73">
        <f>SUM(K36:R36)</f>
        <v>300024</v>
      </c>
    </row>
    <row r="37" spans="3:19">
      <c r="D37" t="s">
        <v>43</v>
      </c>
      <c r="K37" s="73"/>
      <c r="L37" s="73"/>
      <c r="M37" s="73"/>
      <c r="N37" s="73"/>
      <c r="O37" s="73"/>
      <c r="P37" s="73"/>
      <c r="Q37" s="73"/>
      <c r="R37" s="73">
        <v>258</v>
      </c>
      <c r="S37" s="73">
        <f>SUM(K37:R37)</f>
        <v>258</v>
      </c>
    </row>
    <row r="38" spans="3:19">
      <c r="C38" t="s">
        <v>72</v>
      </c>
      <c r="K38" s="73"/>
      <c r="L38" s="73"/>
      <c r="M38" s="73"/>
      <c r="N38" s="73"/>
      <c r="O38" s="73"/>
      <c r="P38" s="73"/>
      <c r="Q38" s="73"/>
      <c r="R38" s="73"/>
      <c r="S38" s="73"/>
    </row>
    <row r="39" spans="3:19">
      <c r="D39" t="s">
        <v>68</v>
      </c>
      <c r="K39" s="73"/>
      <c r="L39" s="73"/>
      <c r="M39" s="73"/>
      <c r="N39" s="73"/>
      <c r="O39" s="73"/>
      <c r="P39" s="73"/>
      <c r="Q39" s="73"/>
      <c r="R39" s="73">
        <v>2041</v>
      </c>
      <c r="S39" s="73">
        <f>SUM(K39:R39)</f>
        <v>2041</v>
      </c>
    </row>
    <row r="40" spans="3:19">
      <c r="C40" t="s">
        <v>73</v>
      </c>
      <c r="K40" s="73"/>
      <c r="L40" s="73"/>
      <c r="M40" s="73"/>
      <c r="N40" s="73"/>
      <c r="O40" s="73"/>
      <c r="P40" s="73"/>
      <c r="Q40" s="73"/>
      <c r="R40" s="73"/>
      <c r="S40" s="73"/>
    </row>
    <row r="41" spans="3:19">
      <c r="D41" t="s">
        <v>68</v>
      </c>
      <c r="K41" s="73"/>
      <c r="L41" s="73"/>
      <c r="M41" s="73"/>
      <c r="N41" s="73"/>
      <c r="O41" s="73"/>
      <c r="P41" s="73"/>
      <c r="Q41" s="73"/>
      <c r="R41" s="73">
        <v>28611</v>
      </c>
      <c r="S41" s="73">
        <f>SUM(K41:R41)</f>
        <v>28611</v>
      </c>
    </row>
    <row r="42" spans="3:19">
      <c r="D42" t="s">
        <v>70</v>
      </c>
      <c r="K42" s="73"/>
      <c r="L42" s="73"/>
      <c r="M42" s="73"/>
      <c r="N42" s="73"/>
      <c r="O42" s="73"/>
      <c r="P42" s="73"/>
      <c r="Q42" s="73"/>
      <c r="R42" s="73">
        <v>8696</v>
      </c>
      <c r="S42" s="73">
        <f>SUM(K42:R42)</f>
        <v>8696</v>
      </c>
    </row>
    <row r="43" spans="3:19">
      <c r="C43" t="s">
        <v>74</v>
      </c>
      <c r="K43" s="73"/>
      <c r="L43" s="73"/>
      <c r="M43" s="73"/>
      <c r="N43" s="73"/>
      <c r="O43" s="73">
        <v>-74815</v>
      </c>
      <c r="P43" s="73"/>
      <c r="Q43" s="73"/>
      <c r="R43" s="73">
        <v>-7189</v>
      </c>
      <c r="S43" s="73">
        <f>SUM(K43:R43)</f>
        <v>-82004</v>
      </c>
    </row>
    <row r="44" spans="3:19">
      <c r="C44" t="s">
        <v>48</v>
      </c>
      <c r="K44" s="86">
        <v>827021</v>
      </c>
      <c r="L44" s="73"/>
      <c r="M44" s="73"/>
      <c r="N44" s="73"/>
      <c r="O44" s="73"/>
      <c r="P44" s="73"/>
      <c r="Q44" s="73"/>
      <c r="R44" s="73"/>
      <c r="S44" s="73">
        <f>SUM(K44:R44)</f>
        <v>827021</v>
      </c>
    </row>
    <row r="45" spans="3:19">
      <c r="K45" s="73"/>
      <c r="L45" s="73"/>
      <c r="M45" s="73"/>
      <c r="N45" s="73"/>
      <c r="O45" s="73"/>
      <c r="P45" s="73"/>
      <c r="Q45" s="73"/>
      <c r="R45" s="73"/>
      <c r="S45" s="73"/>
    </row>
    <row r="46" spans="3:19" s="5" customFormat="1">
      <c r="D46" s="6"/>
      <c r="E46" s="6" t="s">
        <v>49</v>
      </c>
      <c r="K46" s="79">
        <f>SUM(K27:K44)</f>
        <v>831464</v>
      </c>
      <c r="L46" s="79">
        <f t="shared" ref="L46:S46" si="5">SUM(L27:L44)</f>
        <v>575216</v>
      </c>
      <c r="M46" s="79">
        <f t="shared" si="5"/>
        <v>158</v>
      </c>
      <c r="N46" s="79">
        <f t="shared" si="5"/>
        <v>644976</v>
      </c>
      <c r="O46" s="79">
        <f t="shared" si="5"/>
        <v>-10567</v>
      </c>
      <c r="P46" s="79">
        <f t="shared" si="5"/>
        <v>1096621</v>
      </c>
      <c r="Q46" s="79">
        <f t="shared" si="5"/>
        <v>1969471</v>
      </c>
      <c r="R46" s="79">
        <f t="shared" si="5"/>
        <v>2095297</v>
      </c>
      <c r="S46" s="79">
        <f t="shared" si="5"/>
        <v>7202636</v>
      </c>
    </row>
    <row r="47" spans="3:19">
      <c r="K47" s="73"/>
      <c r="L47" s="73"/>
      <c r="M47" s="73"/>
      <c r="N47" s="73"/>
      <c r="O47" s="73"/>
      <c r="P47" s="73"/>
      <c r="Q47" s="73"/>
      <c r="R47" s="73"/>
      <c r="S47" s="73"/>
    </row>
    <row r="48" spans="3:19" s="7" customFormat="1">
      <c r="D48" s="8"/>
      <c r="E48" s="8" t="s">
        <v>50</v>
      </c>
      <c r="K48" s="81">
        <f>K46+K24+K21</f>
        <v>955598</v>
      </c>
      <c r="L48" s="81">
        <f t="shared" ref="L48:S48" si="6">L46+L24+L21</f>
        <v>692916</v>
      </c>
      <c r="M48" s="81">
        <f t="shared" si="6"/>
        <v>103600</v>
      </c>
      <c r="N48" s="81">
        <f t="shared" si="6"/>
        <v>654387</v>
      </c>
      <c r="O48" s="81">
        <f t="shared" si="6"/>
        <v>64296</v>
      </c>
      <c r="P48" s="81">
        <f t="shared" si="6"/>
        <v>1222906</v>
      </c>
      <c r="Q48" s="81">
        <f t="shared" si="6"/>
        <v>2033921</v>
      </c>
      <c r="R48" s="81">
        <f t="shared" si="6"/>
        <v>2403709</v>
      </c>
      <c r="S48" s="81">
        <f t="shared" si="6"/>
        <v>8131333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5"/>
  <sheetViews>
    <sheetView topLeftCell="A10" workbookViewId="0">
      <selection activeCell="I35" sqref="I35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9" customWidth="1"/>
    <col min="15" max="15" width="19.42578125" customWidth="1"/>
    <col min="16" max="16" width="19.85546875" bestFit="1" customWidth="1"/>
  </cols>
  <sheetData>
    <row r="1" spans="1:16" ht="18.75">
      <c r="D1" s="125" t="s">
        <v>75</v>
      </c>
      <c r="E1" s="125"/>
      <c r="F1" s="125"/>
      <c r="G1" s="125"/>
      <c r="H1" s="125"/>
      <c r="I1" s="125"/>
      <c r="J1" s="125"/>
      <c r="K1" s="125"/>
    </row>
    <row r="2" spans="1:16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6" ht="45">
      <c r="K4" s="1" t="s">
        <v>52</v>
      </c>
      <c r="L4" s="1" t="s">
        <v>76</v>
      </c>
      <c r="M4" s="1" t="s">
        <v>77</v>
      </c>
      <c r="N4" s="1" t="s">
        <v>78</v>
      </c>
      <c r="O4" s="1" t="s">
        <v>8</v>
      </c>
      <c r="P4" s="1" t="s">
        <v>9</v>
      </c>
    </row>
    <row r="5" spans="1:16">
      <c r="A5" t="s">
        <v>10</v>
      </c>
    </row>
    <row r="6" spans="1:16">
      <c r="B6" t="s">
        <v>79</v>
      </c>
      <c r="K6" s="72">
        <v>7650256</v>
      </c>
      <c r="L6" s="73">
        <v>10698675</v>
      </c>
      <c r="M6" s="73">
        <v>6271012</v>
      </c>
      <c r="N6" s="73">
        <v>2126894</v>
      </c>
      <c r="O6" s="73">
        <v>13491929</v>
      </c>
      <c r="P6" s="73">
        <f>SUM(K6:O6)</f>
        <v>40238766</v>
      </c>
    </row>
    <row r="7" spans="1:16">
      <c r="B7" t="s">
        <v>12</v>
      </c>
      <c r="K7" s="77">
        <v>13771194</v>
      </c>
      <c r="L7" s="73">
        <v>17691739</v>
      </c>
      <c r="M7" s="73">
        <v>10430652</v>
      </c>
      <c r="N7" s="73">
        <v>27003583</v>
      </c>
      <c r="O7" s="73">
        <v>20307033</v>
      </c>
      <c r="P7" s="73">
        <f>SUM(K7:O7)</f>
        <v>89204201</v>
      </c>
    </row>
    <row r="8" spans="1:16">
      <c r="B8" t="s">
        <v>80</v>
      </c>
      <c r="K8" s="73"/>
      <c r="L8" s="73"/>
      <c r="M8" s="73"/>
      <c r="N8" s="73"/>
      <c r="O8" s="73"/>
      <c r="P8" s="73"/>
    </row>
    <row r="9" spans="1:16">
      <c r="C9" t="s">
        <v>81</v>
      </c>
      <c r="K9" s="74">
        <v>3836435</v>
      </c>
      <c r="L9" s="73">
        <v>4813187</v>
      </c>
      <c r="M9" s="73"/>
      <c r="N9" s="73"/>
      <c r="O9" s="73">
        <v>17811843</v>
      </c>
      <c r="P9" s="73">
        <f t="shared" ref="P9:P19" si="0">SUM(K9:O9)</f>
        <v>26461465</v>
      </c>
    </row>
    <row r="10" spans="1:16">
      <c r="C10" t="s">
        <v>82</v>
      </c>
      <c r="K10" s="74">
        <v>2542387</v>
      </c>
      <c r="L10" s="73">
        <v>1100217</v>
      </c>
      <c r="M10" s="73"/>
      <c r="N10" s="73"/>
      <c r="O10" s="73"/>
      <c r="P10" s="73">
        <f t="shared" si="0"/>
        <v>3642604</v>
      </c>
    </row>
    <row r="11" spans="1:16">
      <c r="C11" t="s">
        <v>47</v>
      </c>
      <c r="K11" s="74">
        <v>729071</v>
      </c>
      <c r="L11" s="73">
        <v>30829</v>
      </c>
      <c r="M11" s="73">
        <v>18152</v>
      </c>
      <c r="N11" s="73">
        <v>53285</v>
      </c>
      <c r="O11" s="73">
        <v>796566</v>
      </c>
      <c r="P11" s="73">
        <f t="shared" si="0"/>
        <v>1627903</v>
      </c>
    </row>
    <row r="12" spans="1:16">
      <c r="B12" t="s">
        <v>83</v>
      </c>
      <c r="K12" s="73"/>
      <c r="L12" s="73"/>
      <c r="M12" s="73"/>
      <c r="N12" s="73"/>
      <c r="O12" s="73"/>
      <c r="P12" s="73"/>
    </row>
    <row r="13" spans="1:16">
      <c r="C13" t="s">
        <v>84</v>
      </c>
      <c r="K13" s="75">
        <v>85184</v>
      </c>
      <c r="L13" s="73">
        <v>148662</v>
      </c>
      <c r="M13" s="73"/>
      <c r="N13" s="73"/>
      <c r="O13" s="73">
        <v>705377</v>
      </c>
      <c r="P13" s="73">
        <f t="shared" si="0"/>
        <v>939223</v>
      </c>
    </row>
    <row r="14" spans="1:16">
      <c r="C14" t="s">
        <v>85</v>
      </c>
      <c r="K14" s="75">
        <v>26535</v>
      </c>
      <c r="L14" s="73"/>
      <c r="M14" s="73"/>
      <c r="N14" s="73"/>
      <c r="O14" s="73"/>
      <c r="P14" s="73">
        <f t="shared" si="0"/>
        <v>26535</v>
      </c>
    </row>
    <row r="15" spans="1:16">
      <c r="C15" t="s">
        <v>86</v>
      </c>
      <c r="K15" s="75">
        <v>17600</v>
      </c>
      <c r="L15" s="73"/>
      <c r="M15" s="73"/>
      <c r="N15" s="73"/>
      <c r="O15" s="73">
        <v>227167</v>
      </c>
      <c r="P15" s="73">
        <f t="shared" si="0"/>
        <v>244767</v>
      </c>
    </row>
    <row r="16" spans="1:16">
      <c r="C16" t="s">
        <v>87</v>
      </c>
      <c r="K16" s="75">
        <v>1333304</v>
      </c>
      <c r="L16" s="73">
        <v>652123</v>
      </c>
      <c r="M16" s="73"/>
      <c r="N16" s="73"/>
      <c r="O16" s="73">
        <v>1809555</v>
      </c>
      <c r="P16" s="73">
        <f t="shared" si="0"/>
        <v>3794982</v>
      </c>
    </row>
    <row r="17" spans="1:16">
      <c r="B17" t="s">
        <v>18</v>
      </c>
      <c r="K17" s="75">
        <v>3010</v>
      </c>
      <c r="L17" s="73">
        <v>117437</v>
      </c>
      <c r="M17" s="73">
        <v>430455</v>
      </c>
      <c r="N17" s="73"/>
      <c r="O17" s="73">
        <v>592540</v>
      </c>
      <c r="P17" s="73">
        <f t="shared" si="0"/>
        <v>1143442</v>
      </c>
    </row>
    <row r="18" spans="1:16">
      <c r="B18" t="s">
        <v>62</v>
      </c>
      <c r="K18" s="73"/>
      <c r="L18" s="73"/>
      <c r="M18" s="73"/>
      <c r="N18" s="73"/>
      <c r="O18" s="73">
        <v>43968</v>
      </c>
      <c r="P18" s="73">
        <f t="shared" si="0"/>
        <v>43968</v>
      </c>
    </row>
    <row r="19" spans="1:16">
      <c r="B19" t="s">
        <v>88</v>
      </c>
      <c r="K19" s="83">
        <v>54900</v>
      </c>
      <c r="L19" s="73">
        <v>42273</v>
      </c>
      <c r="M19" s="73"/>
      <c r="N19" s="73"/>
      <c r="O19" s="73"/>
      <c r="P19" s="73">
        <f t="shared" si="0"/>
        <v>97173</v>
      </c>
    </row>
    <row r="20" spans="1:16">
      <c r="K20" s="73"/>
      <c r="L20" s="73"/>
      <c r="M20" s="73"/>
      <c r="N20" s="73"/>
      <c r="O20" s="73"/>
      <c r="P20" s="73"/>
    </row>
    <row r="21" spans="1:16" s="3" customFormat="1">
      <c r="A21" s="2"/>
      <c r="B21" s="2"/>
      <c r="C21" s="2"/>
      <c r="D21" s="2"/>
      <c r="E21" s="2" t="s">
        <v>20</v>
      </c>
      <c r="K21" s="76">
        <f>SUM(K6:K19)</f>
        <v>30049876</v>
      </c>
      <c r="L21" s="76">
        <f>SUM(L6:L19)</f>
        <v>35295142</v>
      </c>
      <c r="M21" s="76">
        <f>SUM(M6:M19)</f>
        <v>17150271</v>
      </c>
      <c r="N21" s="76">
        <f>SUM(N6:N19)</f>
        <v>29183762</v>
      </c>
      <c r="O21" s="76">
        <f>SUM(O6:O20)</f>
        <v>55785978</v>
      </c>
      <c r="P21" s="76">
        <f>SUM(P6:P19)</f>
        <v>167465029</v>
      </c>
    </row>
    <row r="22" spans="1:16">
      <c r="K22" s="73"/>
      <c r="L22" s="73"/>
      <c r="M22" s="73"/>
      <c r="N22" s="73"/>
      <c r="O22" s="73"/>
      <c r="P22" s="73"/>
    </row>
    <row r="23" spans="1:16">
      <c r="A23" s="4" t="s">
        <v>21</v>
      </c>
      <c r="K23" s="73"/>
      <c r="L23" s="73"/>
      <c r="M23" s="73"/>
      <c r="N23" s="73"/>
      <c r="O23" s="73"/>
      <c r="P23" s="73"/>
    </row>
    <row r="24" spans="1:16">
      <c r="B24" t="s">
        <v>22</v>
      </c>
      <c r="K24" s="73"/>
      <c r="L24" s="73"/>
      <c r="M24" s="73"/>
      <c r="N24" s="73"/>
      <c r="O24" s="73"/>
      <c r="P24" s="73"/>
    </row>
    <row r="25" spans="1:16">
      <c r="C25" t="s">
        <v>89</v>
      </c>
      <c r="K25" s="77">
        <v>797442</v>
      </c>
      <c r="L25" s="73">
        <v>295446</v>
      </c>
      <c r="M25" s="73"/>
      <c r="N25" s="73"/>
      <c r="O25" s="73">
        <v>642993</v>
      </c>
      <c r="P25" s="73">
        <f>SUM(K25:O25)</f>
        <v>1735881</v>
      </c>
    </row>
    <row r="26" spans="1:16">
      <c r="C26" t="s">
        <v>90</v>
      </c>
      <c r="K26" s="77">
        <v>22470</v>
      </c>
      <c r="L26" s="73">
        <v>48195</v>
      </c>
      <c r="M26" s="73">
        <v>614028</v>
      </c>
      <c r="N26" s="73">
        <v>2388718</v>
      </c>
      <c r="O26" s="73">
        <v>906633</v>
      </c>
      <c r="P26" s="73">
        <f>SUM(K26:O26)</f>
        <v>3980044</v>
      </c>
    </row>
    <row r="27" spans="1:16">
      <c r="C27" t="s">
        <v>91</v>
      </c>
      <c r="K27" s="77">
        <v>216728</v>
      </c>
      <c r="L27" s="73">
        <v>76127</v>
      </c>
      <c r="M27" s="73"/>
      <c r="N27" s="73"/>
      <c r="O27" s="73">
        <v>209360</v>
      </c>
      <c r="P27" s="73">
        <f>SUM(K27:O27)</f>
        <v>502215</v>
      </c>
    </row>
    <row r="28" spans="1:16">
      <c r="C28" t="s">
        <v>92</v>
      </c>
      <c r="K28" s="73"/>
      <c r="L28" s="73"/>
      <c r="M28" s="73"/>
      <c r="N28" s="73"/>
      <c r="O28" s="73"/>
      <c r="P28" s="73"/>
    </row>
    <row r="29" spans="1:16">
      <c r="D29" t="s">
        <v>93</v>
      </c>
      <c r="K29" s="83">
        <v>121316</v>
      </c>
      <c r="L29" s="73">
        <v>159071</v>
      </c>
      <c r="M29" s="73"/>
      <c r="N29" s="73"/>
      <c r="O29" s="73">
        <v>591388</v>
      </c>
      <c r="P29" s="73">
        <f>SUM(K29:O29)</f>
        <v>871775</v>
      </c>
    </row>
    <row r="30" spans="1:16">
      <c r="C30" t="s">
        <v>94</v>
      </c>
      <c r="K30" s="78">
        <v>1140432</v>
      </c>
      <c r="L30" s="73"/>
      <c r="M30" s="73"/>
      <c r="N30" s="73"/>
      <c r="O30" s="73">
        <v>3005</v>
      </c>
      <c r="P30" s="73">
        <f>SUM(K30:O30)</f>
        <v>1143437</v>
      </c>
    </row>
    <row r="31" spans="1:16">
      <c r="C31" t="s">
        <v>95</v>
      </c>
      <c r="K31" s="73"/>
      <c r="L31" s="73">
        <v>269707</v>
      </c>
      <c r="M31" s="73"/>
      <c r="N31" s="73"/>
      <c r="O31" s="73"/>
      <c r="P31" s="73">
        <f>SUM(K31:O31)</f>
        <v>269707</v>
      </c>
    </row>
    <row r="32" spans="1:16">
      <c r="C32" t="s">
        <v>96</v>
      </c>
      <c r="K32" s="83">
        <v>4524981</v>
      </c>
      <c r="L32" s="73"/>
      <c r="M32" s="73"/>
      <c r="N32" s="73"/>
      <c r="O32" s="73"/>
      <c r="P32" s="73">
        <f>SUM(K32:O32)</f>
        <v>4524981</v>
      </c>
    </row>
    <row r="33" spans="1:16">
      <c r="K33" s="73"/>
      <c r="L33" s="73"/>
      <c r="M33" s="73"/>
      <c r="N33" s="73"/>
      <c r="O33" s="73"/>
      <c r="P33" s="73"/>
    </row>
    <row r="34" spans="1:16" s="5" customFormat="1">
      <c r="B34" s="6"/>
      <c r="C34" s="6"/>
      <c r="D34" s="6"/>
      <c r="E34" s="6" t="s">
        <v>28</v>
      </c>
      <c r="K34" s="79">
        <f>SUM(K25:K32)</f>
        <v>6823369</v>
      </c>
      <c r="L34" s="79">
        <f>SUM(L25:L32)</f>
        <v>848546</v>
      </c>
      <c r="M34" s="79">
        <f>SUM(M25:M32)</f>
        <v>614028</v>
      </c>
      <c r="N34" s="79">
        <f>SUM(N25:N32)</f>
        <v>2388718</v>
      </c>
      <c r="O34" s="79">
        <f>SUM(O25:O33)</f>
        <v>2353379</v>
      </c>
      <c r="P34" s="79">
        <f>SUM(P25:P32)</f>
        <v>13028040</v>
      </c>
    </row>
    <row r="35" spans="1:16">
      <c r="K35" s="73"/>
      <c r="L35" s="73"/>
      <c r="M35" s="73"/>
      <c r="N35" s="73"/>
      <c r="O35" s="73"/>
      <c r="P35" s="73"/>
    </row>
    <row r="36" spans="1:16">
      <c r="A36" s="71" t="s">
        <v>29</v>
      </c>
      <c r="K36" s="73"/>
      <c r="L36" s="73"/>
      <c r="M36" s="73"/>
      <c r="N36" s="73"/>
      <c r="O36" s="73"/>
      <c r="P36" s="73"/>
    </row>
    <row r="37" spans="1:16">
      <c r="C37" t="s">
        <v>97</v>
      </c>
      <c r="K37" s="73">
        <v>133325</v>
      </c>
      <c r="L37" s="73"/>
      <c r="M37" s="73"/>
      <c r="N37" s="73"/>
      <c r="O37" s="73">
        <v>496532</v>
      </c>
      <c r="P37" s="73">
        <f>SUM(K37:O37)</f>
        <v>629857</v>
      </c>
    </row>
    <row r="38" spans="1:16">
      <c r="C38" t="s">
        <v>98</v>
      </c>
      <c r="K38" s="73">
        <v>13067</v>
      </c>
      <c r="L38" s="73">
        <v>50978</v>
      </c>
      <c r="M38" s="73"/>
      <c r="N38" s="73"/>
      <c r="O38" s="73">
        <v>1228120</v>
      </c>
      <c r="P38" s="73">
        <f>SUM(K38:O38)</f>
        <v>1292165</v>
      </c>
    </row>
    <row r="39" spans="1:16">
      <c r="K39" s="73"/>
      <c r="L39" s="73"/>
      <c r="M39" s="73"/>
      <c r="N39" s="73"/>
      <c r="O39" s="73"/>
      <c r="P39" s="73"/>
    </row>
    <row r="40" spans="1:16" s="5" customFormat="1">
      <c r="B40" s="6"/>
      <c r="C40" s="6"/>
      <c r="D40" s="6"/>
      <c r="E40" s="6" t="s">
        <v>99</v>
      </c>
      <c r="K40" s="79">
        <f>SUM(K37:K38)</f>
        <v>146392</v>
      </c>
      <c r="L40" s="79">
        <f t="shared" ref="L40:P40" si="1">SUM(L37:L38)</f>
        <v>50978</v>
      </c>
      <c r="M40" s="79">
        <f t="shared" si="1"/>
        <v>0</v>
      </c>
      <c r="N40" s="79">
        <f t="shared" si="1"/>
        <v>0</v>
      </c>
      <c r="O40" s="79">
        <f t="shared" si="1"/>
        <v>1724652</v>
      </c>
      <c r="P40" s="79">
        <f t="shared" si="1"/>
        <v>1922022</v>
      </c>
    </row>
    <row r="41" spans="1:16">
      <c r="K41" s="73"/>
      <c r="L41" s="73"/>
      <c r="M41" s="73"/>
      <c r="N41" s="73"/>
      <c r="O41" s="73"/>
      <c r="P41" s="73"/>
    </row>
    <row r="42" spans="1:16">
      <c r="B42" t="s">
        <v>100</v>
      </c>
      <c r="K42" s="73"/>
      <c r="L42" s="73"/>
      <c r="M42" s="73"/>
      <c r="N42" s="73"/>
      <c r="O42" s="73"/>
      <c r="P42" s="73"/>
    </row>
    <row r="43" spans="1:16">
      <c r="C43" t="s">
        <v>101</v>
      </c>
      <c r="K43" s="73"/>
      <c r="L43" s="73"/>
      <c r="M43" s="73"/>
      <c r="N43" s="73"/>
      <c r="O43" s="73">
        <v>43968</v>
      </c>
      <c r="P43" s="73">
        <f>SUM(K43:O43)</f>
        <v>43968</v>
      </c>
    </row>
    <row r="44" spans="1:16">
      <c r="C44" t="s">
        <v>32</v>
      </c>
      <c r="K44" s="73"/>
      <c r="L44" s="73"/>
      <c r="M44" s="73"/>
      <c r="N44" s="73"/>
      <c r="O44" s="73"/>
      <c r="P44" s="73"/>
    </row>
    <row r="45" spans="1:16">
      <c r="D45" t="s">
        <v>102</v>
      </c>
      <c r="K45" s="73"/>
      <c r="L45" s="73"/>
      <c r="M45" s="73"/>
      <c r="N45" s="73">
        <v>26795044</v>
      </c>
      <c r="O45" s="73">
        <v>4741219</v>
      </c>
      <c r="P45" s="73">
        <f t="shared" ref="P45:P52" si="2">SUM(K45:O45)</f>
        <v>31536263</v>
      </c>
    </row>
    <row r="46" spans="1:16">
      <c r="D46" t="s">
        <v>43</v>
      </c>
      <c r="K46" s="73"/>
      <c r="L46" s="73"/>
      <c r="M46" s="73"/>
      <c r="N46" s="73"/>
      <c r="O46" s="73">
        <v>2137091</v>
      </c>
      <c r="P46" s="73">
        <f t="shared" si="2"/>
        <v>2137091</v>
      </c>
    </row>
    <row r="47" spans="1:16">
      <c r="D47" t="s">
        <v>103</v>
      </c>
      <c r="K47" s="73"/>
      <c r="L47" s="73"/>
      <c r="M47" s="73"/>
      <c r="N47" s="73"/>
      <c r="O47" s="73">
        <v>13884329</v>
      </c>
      <c r="P47" s="73">
        <f t="shared" si="2"/>
        <v>13884329</v>
      </c>
    </row>
    <row r="48" spans="1:16">
      <c r="D48" t="s">
        <v>104</v>
      </c>
      <c r="K48" s="73"/>
      <c r="L48" s="73">
        <v>29815753</v>
      </c>
      <c r="M48" s="73"/>
      <c r="N48" s="73"/>
      <c r="O48" s="73">
        <v>1594035</v>
      </c>
      <c r="P48" s="73">
        <f t="shared" si="2"/>
        <v>31409788</v>
      </c>
    </row>
    <row r="49" spans="3:16">
      <c r="D49" t="s">
        <v>105</v>
      </c>
      <c r="K49" s="73"/>
      <c r="L49" s="73"/>
      <c r="M49" s="73"/>
      <c r="N49" s="73"/>
      <c r="O49" s="73">
        <v>2351372</v>
      </c>
      <c r="P49" s="73">
        <f t="shared" si="2"/>
        <v>2351372</v>
      </c>
    </row>
    <row r="50" spans="3:16">
      <c r="D50" t="s">
        <v>106</v>
      </c>
      <c r="K50" s="73"/>
      <c r="L50" s="73"/>
      <c r="M50" s="73"/>
      <c r="N50" s="73"/>
      <c r="O50" s="73">
        <v>130182</v>
      </c>
      <c r="P50" s="73">
        <f>SUM(K50:O50)</f>
        <v>130182</v>
      </c>
    </row>
    <row r="51" spans="3:16">
      <c r="D51" t="s">
        <v>107</v>
      </c>
      <c r="K51" s="73"/>
      <c r="L51" s="73"/>
      <c r="M51" s="73"/>
      <c r="N51" s="73"/>
      <c r="O51" s="73">
        <v>2830126</v>
      </c>
      <c r="P51" s="73">
        <f t="shared" si="2"/>
        <v>2830126</v>
      </c>
    </row>
    <row r="52" spans="3:16">
      <c r="D52" t="s">
        <v>108</v>
      </c>
      <c r="K52" s="80">
        <v>122986</v>
      </c>
      <c r="L52" s="73"/>
      <c r="M52" s="73"/>
      <c r="N52" s="73"/>
      <c r="O52" s="73">
        <v>2188641</v>
      </c>
      <c r="P52" s="73">
        <f t="shared" si="2"/>
        <v>2311627</v>
      </c>
    </row>
    <row r="53" spans="3:16">
      <c r="C53" t="s">
        <v>38</v>
      </c>
      <c r="K53" s="73"/>
      <c r="L53" s="73"/>
      <c r="M53" s="73"/>
      <c r="N53" s="73"/>
      <c r="O53" s="73"/>
      <c r="P53" s="73"/>
    </row>
    <row r="54" spans="3:16">
      <c r="D54" t="s">
        <v>102</v>
      </c>
      <c r="K54" s="73"/>
      <c r="L54" s="73"/>
      <c r="M54" s="73">
        <v>16536243</v>
      </c>
      <c r="N54" s="73"/>
      <c r="O54" s="73">
        <v>6928978</v>
      </c>
      <c r="P54" s="73">
        <f t="shared" ref="P54:P61" si="3">SUM(K54:O54)</f>
        <v>23465221</v>
      </c>
    </row>
    <row r="55" spans="3:16">
      <c r="D55" t="s">
        <v>109</v>
      </c>
      <c r="K55" s="82">
        <v>4942471</v>
      </c>
      <c r="L55" s="73"/>
      <c r="M55" s="73"/>
      <c r="N55" s="73"/>
      <c r="O55" s="73"/>
      <c r="P55" s="73">
        <f t="shared" si="3"/>
        <v>4942471</v>
      </c>
    </row>
    <row r="56" spans="3:16">
      <c r="D56" t="s">
        <v>104</v>
      </c>
      <c r="K56" s="73"/>
      <c r="L56" s="73">
        <v>4579865</v>
      </c>
      <c r="M56" s="73"/>
      <c r="N56" s="73"/>
      <c r="O56" s="73">
        <v>117353</v>
      </c>
      <c r="P56" s="73">
        <f t="shared" si="3"/>
        <v>4697218</v>
      </c>
    </row>
    <row r="57" spans="3:16">
      <c r="D57" t="s">
        <v>105</v>
      </c>
      <c r="K57" s="73"/>
      <c r="L57" s="73"/>
      <c r="M57" s="73"/>
      <c r="N57" s="73"/>
      <c r="O57" s="73">
        <v>4767334</v>
      </c>
      <c r="P57" s="73">
        <f t="shared" si="3"/>
        <v>4767334</v>
      </c>
    </row>
    <row r="58" spans="3:16">
      <c r="D58" t="s">
        <v>106</v>
      </c>
      <c r="K58" s="82">
        <v>341132</v>
      </c>
      <c r="L58" s="73"/>
      <c r="M58" s="73"/>
      <c r="N58" s="73"/>
      <c r="O58" s="73"/>
      <c r="P58" s="73">
        <f t="shared" si="3"/>
        <v>341132</v>
      </c>
    </row>
    <row r="59" spans="3:16">
      <c r="D59" t="s">
        <v>107</v>
      </c>
      <c r="K59" s="73"/>
      <c r="L59" s="73"/>
      <c r="M59" s="73"/>
      <c r="N59" s="73"/>
      <c r="O59" s="73">
        <v>440244</v>
      </c>
      <c r="P59" s="73">
        <f t="shared" si="3"/>
        <v>440244</v>
      </c>
    </row>
    <row r="60" spans="3:16">
      <c r="D60" t="s">
        <v>108</v>
      </c>
      <c r="K60" s="82">
        <v>897400</v>
      </c>
      <c r="L60" s="73"/>
      <c r="M60" s="73"/>
      <c r="N60" s="73"/>
      <c r="O60" s="73">
        <v>9553075</v>
      </c>
      <c r="P60" s="73">
        <f t="shared" si="3"/>
        <v>10450475</v>
      </c>
    </row>
    <row r="61" spans="3:16">
      <c r="C61" t="s">
        <v>48</v>
      </c>
      <c r="K61" s="86">
        <v>16776126</v>
      </c>
      <c r="L61" s="73"/>
      <c r="M61" s="73"/>
      <c r="N61" s="73"/>
      <c r="O61" s="73"/>
      <c r="P61" s="73">
        <f t="shared" si="3"/>
        <v>16776126</v>
      </c>
    </row>
    <row r="62" spans="3:16">
      <c r="K62" s="73"/>
      <c r="L62" s="73"/>
      <c r="M62" s="73"/>
      <c r="N62" s="73"/>
      <c r="O62" s="73"/>
      <c r="P62" s="73"/>
    </row>
    <row r="63" spans="3:16" s="5" customFormat="1">
      <c r="D63" s="6"/>
      <c r="E63" s="6" t="s">
        <v>49</v>
      </c>
      <c r="K63" s="79">
        <f t="shared" ref="K63:N63" si="4">SUM(K43:K61)</f>
        <v>23080115</v>
      </c>
      <c r="L63" s="79">
        <f t="shared" si="4"/>
        <v>34395618</v>
      </c>
      <c r="M63" s="79">
        <f t="shared" si="4"/>
        <v>16536243</v>
      </c>
      <c r="N63" s="79">
        <f t="shared" si="4"/>
        <v>26795044</v>
      </c>
      <c r="O63" s="79">
        <f>SUM(O43:O61)</f>
        <v>51707947</v>
      </c>
      <c r="P63" s="79">
        <f>SUM(P43:P61)</f>
        <v>152514967</v>
      </c>
    </row>
    <row r="64" spans="3:16">
      <c r="K64" s="73"/>
      <c r="L64" s="73"/>
      <c r="M64" s="73"/>
      <c r="N64" s="73"/>
      <c r="O64" s="73"/>
      <c r="P64" s="73"/>
    </row>
    <row r="65" spans="4:16" s="7" customFormat="1">
      <c r="D65" s="8"/>
      <c r="E65" s="8" t="s">
        <v>50</v>
      </c>
      <c r="K65" s="81">
        <f>SUM(K63,K34,K40)</f>
        <v>30049876</v>
      </c>
      <c r="L65" s="81">
        <f t="shared" ref="L65:P65" si="5">SUM(L63,L34,L40)</f>
        <v>35295142</v>
      </c>
      <c r="M65" s="81">
        <f t="shared" si="5"/>
        <v>17150271</v>
      </c>
      <c r="N65" s="81">
        <f t="shared" si="5"/>
        <v>29183762</v>
      </c>
      <c r="O65" s="81">
        <f t="shared" si="5"/>
        <v>55785978</v>
      </c>
      <c r="P65" s="81">
        <f t="shared" si="5"/>
        <v>167465029</v>
      </c>
    </row>
  </sheetData>
  <mergeCells count="2">
    <mergeCell ref="D1:K1"/>
    <mergeCell ref="D2:K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0"/>
  <sheetViews>
    <sheetView workbookViewId="0">
      <selection activeCell="J32" sqref="J32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6" width="16.42578125" customWidth="1"/>
    <col min="17" max="17" width="18" customWidth="1"/>
    <col min="18" max="18" width="17.28515625" customWidth="1"/>
  </cols>
  <sheetData>
    <row r="1" spans="1:18" ht="18.75">
      <c r="D1" s="125" t="s">
        <v>110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8" ht="45">
      <c r="K4" s="1" t="s">
        <v>2</v>
      </c>
      <c r="L4" s="1" t="s">
        <v>111</v>
      </c>
      <c r="M4" s="1" t="s">
        <v>112</v>
      </c>
      <c r="N4" s="1" t="s">
        <v>113</v>
      </c>
      <c r="O4" s="1" t="s">
        <v>114</v>
      </c>
      <c r="P4" s="1" t="s">
        <v>115</v>
      </c>
      <c r="Q4" s="1" t="s">
        <v>8</v>
      </c>
      <c r="R4" s="1" t="s">
        <v>9</v>
      </c>
    </row>
    <row r="5" spans="1:18">
      <c r="A5" t="s">
        <v>10</v>
      </c>
    </row>
    <row r="6" spans="1:18">
      <c r="B6" t="s">
        <v>79</v>
      </c>
      <c r="K6" s="72">
        <v>1169651</v>
      </c>
      <c r="L6" s="73">
        <v>278184</v>
      </c>
      <c r="M6" s="73">
        <v>212663</v>
      </c>
      <c r="N6" s="73">
        <v>49165</v>
      </c>
      <c r="O6" s="73"/>
      <c r="P6" s="73">
        <v>57492</v>
      </c>
      <c r="Q6" s="73">
        <v>2026649</v>
      </c>
      <c r="R6" s="73">
        <f>SUM(K6:Q6)</f>
        <v>3793804</v>
      </c>
    </row>
    <row r="7" spans="1:18">
      <c r="B7" t="s">
        <v>12</v>
      </c>
      <c r="K7" s="77">
        <v>4863676</v>
      </c>
      <c r="L7" s="73">
        <v>1191222</v>
      </c>
      <c r="M7" s="73">
        <v>905818</v>
      </c>
      <c r="N7" s="73"/>
      <c r="O7" s="73"/>
      <c r="P7" s="73">
        <v>202778</v>
      </c>
      <c r="Q7" s="73">
        <v>6692305</v>
      </c>
      <c r="R7" s="73">
        <f>SUM(K7:Q7)</f>
        <v>13855799</v>
      </c>
    </row>
    <row r="8" spans="1:18">
      <c r="B8" t="s">
        <v>59</v>
      </c>
      <c r="K8" s="74">
        <v>1037836</v>
      </c>
      <c r="L8" s="73">
        <v>263060</v>
      </c>
      <c r="M8" s="73">
        <v>183707</v>
      </c>
      <c r="N8" s="73"/>
      <c r="O8" s="73">
        <v>72263</v>
      </c>
      <c r="P8" s="73">
        <v>507955</v>
      </c>
      <c r="Q8" s="73">
        <v>3056849</v>
      </c>
      <c r="R8" s="73">
        <f>SUM(K8:Q8)</f>
        <v>5121670</v>
      </c>
    </row>
    <row r="9" spans="1:18">
      <c r="B9" t="s">
        <v>18</v>
      </c>
      <c r="K9" s="75">
        <v>697185</v>
      </c>
      <c r="L9" s="73">
        <v>2848</v>
      </c>
      <c r="M9" s="73"/>
      <c r="N9" s="73"/>
      <c r="O9" s="73"/>
      <c r="P9" s="73">
        <v>7724</v>
      </c>
      <c r="Q9" s="73">
        <v>33996</v>
      </c>
      <c r="R9" s="73">
        <f>SUM(K9:Q9)</f>
        <v>741753</v>
      </c>
    </row>
    <row r="10" spans="1:18">
      <c r="B10" t="s">
        <v>88</v>
      </c>
      <c r="K10" s="73"/>
      <c r="L10" s="73"/>
      <c r="M10" s="73"/>
      <c r="N10" s="73"/>
      <c r="O10" s="73">
        <v>21100</v>
      </c>
      <c r="P10" s="73"/>
      <c r="Q10" s="73">
        <v>6065</v>
      </c>
      <c r="R10" s="73">
        <f>SUM(K10:Q10)</f>
        <v>27165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 s="3" customFormat="1">
      <c r="A12" s="2"/>
      <c r="B12" s="2"/>
      <c r="C12" s="2"/>
      <c r="D12" s="2"/>
      <c r="E12" s="2" t="s">
        <v>20</v>
      </c>
      <c r="K12" s="76">
        <f>SUM(K6:K10)</f>
        <v>7768348</v>
      </c>
      <c r="L12" s="76">
        <f t="shared" ref="L12:O12" si="0">SUM(L6:L10)</f>
        <v>1735314</v>
      </c>
      <c r="M12" s="76">
        <f t="shared" si="0"/>
        <v>1302188</v>
      </c>
      <c r="N12" s="76">
        <f t="shared" si="0"/>
        <v>49165</v>
      </c>
      <c r="O12" s="76">
        <f t="shared" si="0"/>
        <v>93363</v>
      </c>
      <c r="P12" s="76">
        <f>SUM(P6:P10)</f>
        <v>775949</v>
      </c>
      <c r="Q12" s="76">
        <f>SUM(Q6:Q10)</f>
        <v>11815864</v>
      </c>
      <c r="R12" s="76">
        <f>SUM(R6:R10)</f>
        <v>23540191</v>
      </c>
    </row>
    <row r="13" spans="1:18">
      <c r="K13" s="73"/>
      <c r="L13" s="73"/>
      <c r="M13" s="73"/>
      <c r="N13" s="73"/>
      <c r="O13" s="73"/>
      <c r="P13" s="73"/>
      <c r="Q13" s="73"/>
      <c r="R13" s="73"/>
    </row>
    <row r="14" spans="1:18">
      <c r="A14" s="4" t="s">
        <v>21</v>
      </c>
      <c r="K14" s="73"/>
      <c r="L14" s="73"/>
      <c r="M14" s="73"/>
      <c r="N14" s="73"/>
      <c r="O14" s="73"/>
      <c r="P14" s="73"/>
      <c r="Q14" s="73"/>
      <c r="R14" s="73"/>
    </row>
    <row r="15" spans="1:18">
      <c r="B15" t="s">
        <v>22</v>
      </c>
      <c r="K15" s="73"/>
      <c r="L15" s="73"/>
      <c r="M15" s="73"/>
      <c r="N15" s="73"/>
      <c r="O15" s="73"/>
      <c r="P15" s="73"/>
      <c r="Q15" s="73"/>
      <c r="R15" s="73"/>
    </row>
    <row r="16" spans="1:18">
      <c r="C16" t="s">
        <v>23</v>
      </c>
      <c r="K16" s="77">
        <v>28944</v>
      </c>
      <c r="L16" s="73">
        <v>28840</v>
      </c>
      <c r="M16" s="73">
        <v>272</v>
      </c>
      <c r="N16" s="73">
        <v>23</v>
      </c>
      <c r="O16" s="73">
        <v>31597</v>
      </c>
      <c r="P16" s="73">
        <v>274</v>
      </c>
      <c r="Q16" s="73">
        <v>587961</v>
      </c>
      <c r="R16" s="73">
        <f>SUM(K16:Q16)</f>
        <v>677911</v>
      </c>
    </row>
    <row r="17" spans="2:18">
      <c r="C17" t="s">
        <v>116</v>
      </c>
      <c r="K17" s="77">
        <v>17481</v>
      </c>
      <c r="L17" s="73">
        <v>15698</v>
      </c>
      <c r="M17" s="73"/>
      <c r="N17" s="73"/>
      <c r="O17" s="73">
        <v>21100</v>
      </c>
      <c r="P17" s="73">
        <v>8539</v>
      </c>
      <c r="Q17" s="73">
        <v>76504</v>
      </c>
      <c r="R17" s="73">
        <f>SUM(K17:Q17)</f>
        <v>139322</v>
      </c>
    </row>
    <row r="18" spans="2:18">
      <c r="C18" t="s">
        <v>27</v>
      </c>
      <c r="K18" s="78">
        <v>8766</v>
      </c>
      <c r="L18" s="73">
        <v>2371</v>
      </c>
      <c r="M18" s="73"/>
      <c r="N18" s="73"/>
      <c r="O18" s="73">
        <v>40666</v>
      </c>
      <c r="P18" s="73">
        <v>650013</v>
      </c>
      <c r="Q18" s="73">
        <v>39937</v>
      </c>
      <c r="R18" s="73">
        <f>SUM(K18:Q18)</f>
        <v>741753</v>
      </c>
    </row>
    <row r="19" spans="2:18">
      <c r="C19" t="s">
        <v>117</v>
      </c>
      <c r="K19" s="83">
        <v>165591</v>
      </c>
      <c r="L19" s="73">
        <v>1703</v>
      </c>
      <c r="M19" s="73"/>
      <c r="N19" s="73">
        <v>1238</v>
      </c>
      <c r="O19" s="73"/>
      <c r="P19" s="73">
        <v>430</v>
      </c>
      <c r="Q19" s="73">
        <v>132264</v>
      </c>
      <c r="R19" s="73">
        <f>SUM(K19:Q19)</f>
        <v>301226</v>
      </c>
    </row>
    <row r="20" spans="2:18">
      <c r="K20" s="73"/>
      <c r="L20" s="73"/>
      <c r="M20" s="73"/>
      <c r="N20" s="73"/>
      <c r="O20" s="73"/>
      <c r="P20" s="73"/>
      <c r="Q20" s="73"/>
      <c r="R20" s="73"/>
    </row>
    <row r="21" spans="2:18" s="5" customFormat="1">
      <c r="B21" s="6"/>
      <c r="C21" s="6"/>
      <c r="D21" s="6"/>
      <c r="E21" s="6" t="s">
        <v>28</v>
      </c>
      <c r="K21" s="79">
        <f>SUM(K16:K19)</f>
        <v>220782</v>
      </c>
      <c r="L21" s="79">
        <f>SUM(L16:L19)</f>
        <v>48612</v>
      </c>
      <c r="M21" s="79">
        <f t="shared" ref="M21:P21" si="1">SUM(M16:M19)</f>
        <v>272</v>
      </c>
      <c r="N21" s="79">
        <f t="shared" si="1"/>
        <v>1261</v>
      </c>
      <c r="O21" s="79">
        <f t="shared" si="1"/>
        <v>93363</v>
      </c>
      <c r="P21" s="79">
        <f t="shared" si="1"/>
        <v>659256</v>
      </c>
      <c r="Q21" s="79">
        <f>SUM(Q16:Q19)</f>
        <v>836666</v>
      </c>
      <c r="R21" s="79">
        <f>SUM(R16:R19)</f>
        <v>1860212</v>
      </c>
    </row>
    <row r="22" spans="2:18">
      <c r="K22" s="73"/>
      <c r="L22" s="73"/>
      <c r="M22" s="73"/>
      <c r="N22" s="73"/>
      <c r="O22" s="73"/>
      <c r="P22" s="73"/>
      <c r="Q22" s="73"/>
      <c r="R22" s="73"/>
    </row>
    <row r="23" spans="2:18">
      <c r="B23" t="s">
        <v>100</v>
      </c>
      <c r="K23" s="73"/>
      <c r="L23" s="73"/>
      <c r="M23" s="73"/>
      <c r="N23" s="73"/>
      <c r="O23" s="73"/>
      <c r="P23" s="73"/>
      <c r="Q23" s="73"/>
      <c r="R23" s="73"/>
    </row>
    <row r="24" spans="2:18">
      <c r="C24" t="s">
        <v>118</v>
      </c>
      <c r="K24" s="73"/>
      <c r="L24" s="73">
        <v>1686702</v>
      </c>
      <c r="M24" s="73"/>
      <c r="N24" s="73">
        <v>40774</v>
      </c>
      <c r="O24" s="73"/>
      <c r="P24" s="73"/>
      <c r="Q24" s="73">
        <v>10503604</v>
      </c>
      <c r="R24" s="73">
        <f>SUM(K24:Q24)</f>
        <v>12231080</v>
      </c>
    </row>
    <row r="25" spans="2:18">
      <c r="C25" t="s">
        <v>119</v>
      </c>
      <c r="K25" s="110">
        <v>19345</v>
      </c>
      <c r="L25" s="73"/>
      <c r="M25" s="73">
        <v>1301916</v>
      </c>
      <c r="N25" s="73">
        <v>7130</v>
      </c>
      <c r="O25" s="73"/>
      <c r="P25" s="73">
        <v>116693</v>
      </c>
      <c r="Q25" s="73">
        <v>475594</v>
      </c>
      <c r="R25" s="73">
        <f>SUM(K25:Q25)</f>
        <v>1920678</v>
      </c>
    </row>
    <row r="26" spans="2:18">
      <c r="C26" t="s">
        <v>48</v>
      </c>
      <c r="K26" s="86">
        <v>7528221</v>
      </c>
      <c r="L26" s="73"/>
      <c r="M26" s="73"/>
      <c r="N26" s="73"/>
      <c r="O26" s="73"/>
      <c r="P26" s="73"/>
      <c r="Q26" s="73"/>
      <c r="R26" s="73">
        <f>SUM(K26:Q26)</f>
        <v>7528221</v>
      </c>
    </row>
    <row r="27" spans="2:18">
      <c r="K27" s="73"/>
      <c r="L27" s="73"/>
      <c r="M27" s="73"/>
      <c r="N27" s="73"/>
      <c r="O27" s="73"/>
      <c r="P27" s="73"/>
      <c r="Q27" s="73"/>
      <c r="R27" s="73"/>
    </row>
    <row r="28" spans="2:18" s="5" customFormat="1">
      <c r="D28" s="6"/>
      <c r="E28" s="6" t="s">
        <v>49</v>
      </c>
      <c r="K28" s="79">
        <f>SUM(K24:K26)</f>
        <v>7547566</v>
      </c>
      <c r="L28" s="79">
        <f t="shared" ref="L28:Q28" si="2">SUM(L24:L26)</f>
        <v>1686702</v>
      </c>
      <c r="M28" s="79">
        <f t="shared" si="2"/>
        <v>1301916</v>
      </c>
      <c r="N28" s="79">
        <f t="shared" si="2"/>
        <v>47904</v>
      </c>
      <c r="O28" s="79">
        <f t="shared" si="2"/>
        <v>0</v>
      </c>
      <c r="P28" s="79">
        <f t="shared" si="2"/>
        <v>116693</v>
      </c>
      <c r="Q28" s="79">
        <f t="shared" si="2"/>
        <v>10979198</v>
      </c>
      <c r="R28" s="79">
        <f>SUM(R24:R26)</f>
        <v>21679979</v>
      </c>
    </row>
    <row r="29" spans="2:18">
      <c r="K29" s="73"/>
      <c r="L29" s="73"/>
      <c r="M29" s="73"/>
      <c r="N29" s="73"/>
      <c r="O29" s="73"/>
      <c r="P29" s="73"/>
      <c r="Q29" s="73"/>
      <c r="R29" s="73"/>
    </row>
    <row r="30" spans="2:18" s="7" customFormat="1">
      <c r="D30" s="8"/>
      <c r="E30" s="8" t="s">
        <v>50</v>
      </c>
      <c r="K30" s="81">
        <f>SUM(K28,K21)</f>
        <v>7768348</v>
      </c>
      <c r="L30" s="81">
        <f t="shared" ref="L30:O30" si="3">SUM(L28,L21)</f>
        <v>1735314</v>
      </c>
      <c r="M30" s="81">
        <f t="shared" si="3"/>
        <v>1302188</v>
      </c>
      <c r="N30" s="81">
        <f t="shared" si="3"/>
        <v>49165</v>
      </c>
      <c r="O30" s="81">
        <f t="shared" si="3"/>
        <v>93363</v>
      </c>
      <c r="P30" s="81">
        <f>SUM(P21,P28)</f>
        <v>775949</v>
      </c>
      <c r="Q30" s="81">
        <f>SUM(Q21,Q28)</f>
        <v>11815864</v>
      </c>
      <c r="R30" s="81">
        <f>SUM(R21,R28)</f>
        <v>23540191</v>
      </c>
    </row>
  </sheetData>
  <mergeCells count="2">
    <mergeCell ref="D1:K1"/>
    <mergeCell ref="D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"/>
  <sheetViews>
    <sheetView workbookViewId="0">
      <selection activeCell="S32" sqref="S32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5" width="19.42578125" customWidth="1"/>
    <col min="16" max="16" width="18.5703125" customWidth="1"/>
    <col min="17" max="18" width="17.5703125" customWidth="1"/>
    <col min="19" max="19" width="17.7109375" customWidth="1"/>
    <col min="20" max="20" width="19.85546875" bestFit="1" customWidth="1"/>
  </cols>
  <sheetData>
    <row r="1" spans="1:20" ht="18.75">
      <c r="D1" s="125" t="s">
        <v>120</v>
      </c>
      <c r="E1" s="125"/>
      <c r="F1" s="125"/>
      <c r="G1" s="125"/>
      <c r="H1" s="125"/>
      <c r="I1" s="125"/>
      <c r="J1" s="125"/>
      <c r="K1" s="125"/>
    </row>
    <row r="2" spans="1:20">
      <c r="D2" s="126" t="s">
        <v>1</v>
      </c>
      <c r="E2" s="126"/>
      <c r="F2" s="126"/>
      <c r="G2" s="126"/>
      <c r="H2" s="126"/>
      <c r="I2" s="126"/>
      <c r="J2" s="126"/>
      <c r="K2" s="126"/>
    </row>
    <row r="3" spans="1:20">
      <c r="D3" s="57"/>
      <c r="E3" s="57"/>
      <c r="F3" s="57"/>
      <c r="G3" s="57"/>
      <c r="H3" s="57"/>
      <c r="I3" s="57"/>
      <c r="J3" s="57"/>
      <c r="K3" s="57"/>
    </row>
    <row r="4" spans="1:20" ht="36.75" customHeight="1">
      <c r="Q4" s="57"/>
      <c r="R4" s="57"/>
    </row>
    <row r="5" spans="1:20" ht="45">
      <c r="K5" s="1" t="s">
        <v>2</v>
      </c>
      <c r="L5" s="1" t="s">
        <v>121</v>
      </c>
      <c r="M5" s="1" t="s">
        <v>112</v>
      </c>
      <c r="N5" s="1" t="s">
        <v>122</v>
      </c>
      <c r="O5" s="1" t="s">
        <v>123</v>
      </c>
      <c r="P5" s="1" t="s">
        <v>124</v>
      </c>
      <c r="Q5" s="1" t="s">
        <v>125</v>
      </c>
      <c r="R5" s="1" t="s">
        <v>126</v>
      </c>
      <c r="S5" s="1" t="s">
        <v>8</v>
      </c>
      <c r="T5" s="1" t="s">
        <v>9</v>
      </c>
    </row>
    <row r="6" spans="1:20">
      <c r="A6" t="s">
        <v>10</v>
      </c>
    </row>
    <row r="7" spans="1:20">
      <c r="B7" t="s">
        <v>127</v>
      </c>
      <c r="K7" s="72">
        <v>666471</v>
      </c>
      <c r="L7" s="73">
        <v>1028187</v>
      </c>
      <c r="M7" s="73">
        <v>3132246</v>
      </c>
      <c r="N7" s="73">
        <v>426259</v>
      </c>
      <c r="O7" s="73">
        <v>1398435</v>
      </c>
      <c r="P7" s="73">
        <v>771760</v>
      </c>
      <c r="Q7" s="73">
        <v>233896</v>
      </c>
      <c r="R7" s="73"/>
      <c r="S7" s="73">
        <v>150825</v>
      </c>
      <c r="T7" s="73">
        <f>SUM(K7:S7)</f>
        <v>7808079</v>
      </c>
    </row>
    <row r="8" spans="1:20">
      <c r="B8" t="s">
        <v>59</v>
      </c>
      <c r="K8" s="74">
        <v>342206</v>
      </c>
      <c r="L8" s="73">
        <v>184936</v>
      </c>
      <c r="M8" s="73">
        <v>287174</v>
      </c>
      <c r="N8" s="73">
        <v>350440</v>
      </c>
      <c r="O8" s="73">
        <v>400149</v>
      </c>
      <c r="P8" s="73">
        <v>620385</v>
      </c>
      <c r="Q8" s="73"/>
      <c r="R8" s="73"/>
      <c r="S8" s="73">
        <v>774</v>
      </c>
      <c r="T8" s="73">
        <f>SUM(K8:S8)</f>
        <v>2186064</v>
      </c>
    </row>
    <row r="9" spans="1:20">
      <c r="B9" t="s">
        <v>128</v>
      </c>
      <c r="K9" s="75">
        <v>199650</v>
      </c>
      <c r="L9" s="73"/>
      <c r="M9" s="73"/>
      <c r="N9" s="73">
        <v>42822</v>
      </c>
      <c r="O9" s="73">
        <v>49559</v>
      </c>
      <c r="P9" s="73">
        <v>75840</v>
      </c>
      <c r="Q9" s="73"/>
      <c r="R9" s="73">
        <v>80073</v>
      </c>
      <c r="S9" s="73">
        <v>6717</v>
      </c>
      <c r="T9" s="73">
        <f>SUM(K9:S9)</f>
        <v>454661</v>
      </c>
    </row>
    <row r="10" spans="1:20">
      <c r="B10" t="s">
        <v>88</v>
      </c>
      <c r="K10" s="83">
        <v>23691</v>
      </c>
      <c r="L10" s="73">
        <v>19602</v>
      </c>
      <c r="M10" s="73">
        <v>23953</v>
      </c>
      <c r="N10" s="73">
        <v>15559</v>
      </c>
      <c r="O10" s="73">
        <v>6465</v>
      </c>
      <c r="P10" s="73">
        <v>14414</v>
      </c>
      <c r="Q10" s="73">
        <v>1116</v>
      </c>
      <c r="R10" s="73"/>
      <c r="S10" s="73"/>
      <c r="T10" s="73">
        <f>SUM(K10:S10)</f>
        <v>104800</v>
      </c>
    </row>
    <row r="11" spans="1:20">
      <c r="K11" s="73"/>
      <c r="L11" s="73"/>
      <c r="M11" s="73"/>
      <c r="N11" s="73"/>
      <c r="O11" s="73"/>
      <c r="P11" s="73"/>
      <c r="Q11" s="73"/>
      <c r="R11" s="73"/>
      <c r="S11" s="73"/>
      <c r="T11" s="73"/>
    </row>
    <row r="12" spans="1:20" s="3" customFormat="1">
      <c r="A12" s="2"/>
      <c r="B12" s="2"/>
      <c r="C12" s="2"/>
      <c r="D12" s="2"/>
      <c r="E12" s="2" t="s">
        <v>129</v>
      </c>
      <c r="K12" s="76">
        <f t="shared" ref="K12:T12" si="0">SUM(K7:K10)</f>
        <v>1232018</v>
      </c>
      <c r="L12" s="76">
        <f t="shared" si="0"/>
        <v>1232725</v>
      </c>
      <c r="M12" s="76">
        <f t="shared" si="0"/>
        <v>3443373</v>
      </c>
      <c r="N12" s="76">
        <f t="shared" si="0"/>
        <v>835080</v>
      </c>
      <c r="O12" s="76">
        <f t="shared" si="0"/>
        <v>1854608</v>
      </c>
      <c r="P12" s="76">
        <f t="shared" si="0"/>
        <v>1482399</v>
      </c>
      <c r="Q12" s="76">
        <f t="shared" si="0"/>
        <v>235012</v>
      </c>
      <c r="R12" s="76">
        <f t="shared" si="0"/>
        <v>80073</v>
      </c>
      <c r="S12" s="76">
        <f t="shared" si="0"/>
        <v>158316</v>
      </c>
      <c r="T12" s="76">
        <f t="shared" si="0"/>
        <v>10553604</v>
      </c>
    </row>
    <row r="13" spans="1:20"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spans="1:20">
      <c r="A14" s="71" t="s">
        <v>130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</row>
    <row r="15" spans="1:20"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spans="1:20">
      <c r="A16" s="4" t="s">
        <v>21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</row>
    <row r="17" spans="1:20">
      <c r="B17" t="s">
        <v>22</v>
      </c>
      <c r="K17" s="73"/>
      <c r="L17" s="73"/>
      <c r="M17" s="73"/>
      <c r="N17" s="73"/>
      <c r="O17" s="73"/>
      <c r="P17" s="73"/>
      <c r="Q17" s="73"/>
      <c r="R17" s="73"/>
      <c r="S17" s="73"/>
      <c r="T17" s="73"/>
    </row>
    <row r="18" spans="1:20">
      <c r="C18" t="s">
        <v>131</v>
      </c>
      <c r="K18" s="77">
        <v>161498</v>
      </c>
      <c r="L18" s="73">
        <v>36204</v>
      </c>
      <c r="M18" s="73">
        <v>194682</v>
      </c>
      <c r="N18" s="73">
        <v>30154</v>
      </c>
      <c r="O18" s="73">
        <v>23931</v>
      </c>
      <c r="P18" s="73">
        <v>55804</v>
      </c>
      <c r="Q18" s="73">
        <v>1504</v>
      </c>
      <c r="R18" s="73">
        <v>75031</v>
      </c>
      <c r="S18" s="73">
        <v>9335</v>
      </c>
      <c r="T18" s="73">
        <f>SUM(K18:S18)</f>
        <v>588143</v>
      </c>
    </row>
    <row r="19" spans="1:20">
      <c r="C19" t="s">
        <v>132</v>
      </c>
      <c r="K19" s="73"/>
      <c r="L19" s="73"/>
      <c r="M19" s="73"/>
      <c r="N19" s="73"/>
      <c r="O19" s="73"/>
      <c r="P19" s="73"/>
      <c r="Q19" s="73">
        <v>36260</v>
      </c>
      <c r="R19" s="73"/>
      <c r="S19" s="73"/>
      <c r="T19" s="73">
        <f>SUM(K19:S19)</f>
        <v>36260</v>
      </c>
    </row>
    <row r="20" spans="1:20">
      <c r="C20" t="s">
        <v>133</v>
      </c>
      <c r="K20" s="73"/>
      <c r="L20" s="73"/>
      <c r="M20" s="73"/>
      <c r="N20" s="73"/>
      <c r="O20" s="73"/>
      <c r="P20" s="73"/>
      <c r="Q20" s="73">
        <v>540</v>
      </c>
      <c r="R20" s="73">
        <v>5042</v>
      </c>
      <c r="S20" s="73">
        <v>32321</v>
      </c>
      <c r="T20" s="73">
        <f>SUM(K20:S20)</f>
        <v>37903</v>
      </c>
    </row>
    <row r="21" spans="1:20">
      <c r="K21" s="73"/>
      <c r="L21" s="73"/>
      <c r="M21" s="73"/>
      <c r="N21" s="73"/>
      <c r="O21" s="73"/>
      <c r="P21" s="73"/>
      <c r="Q21" s="73"/>
      <c r="R21" s="73"/>
      <c r="S21" s="73"/>
      <c r="T21" s="73"/>
    </row>
    <row r="22" spans="1:20" s="5" customFormat="1">
      <c r="B22" s="6"/>
      <c r="C22" s="6"/>
      <c r="D22" s="6"/>
      <c r="E22" s="6" t="s">
        <v>28</v>
      </c>
      <c r="K22" s="79">
        <f>SUM(K18:K20)</f>
        <v>161498</v>
      </c>
      <c r="L22" s="79">
        <f>SUM(L18:L20)</f>
        <v>36204</v>
      </c>
      <c r="M22" s="79">
        <f>SUM(M18:M20)</f>
        <v>194682</v>
      </c>
      <c r="N22" s="79">
        <f>SUM(N18:N21)</f>
        <v>30154</v>
      </c>
      <c r="O22" s="79">
        <f>SUM(O18:O20)</f>
        <v>23931</v>
      </c>
      <c r="P22" s="79">
        <f t="shared" ref="P22:R22" si="1">SUM(P18:P20)</f>
        <v>55804</v>
      </c>
      <c r="Q22" s="79">
        <f t="shared" si="1"/>
        <v>38304</v>
      </c>
      <c r="R22" s="79">
        <f t="shared" si="1"/>
        <v>80073</v>
      </c>
      <c r="S22" s="79">
        <f>SUM(S18:S20)</f>
        <v>41656</v>
      </c>
      <c r="T22" s="79">
        <f>SUM(T18:T20)</f>
        <v>662306</v>
      </c>
    </row>
    <row r="23" spans="1:20">
      <c r="K23" s="73"/>
      <c r="L23" s="73"/>
      <c r="M23" s="73"/>
      <c r="N23" s="73"/>
      <c r="O23" s="73"/>
      <c r="P23" s="73"/>
      <c r="Q23" s="73"/>
      <c r="R23" s="73"/>
      <c r="S23" s="73"/>
      <c r="T23" s="73"/>
    </row>
    <row r="24" spans="1:20">
      <c r="A24" s="71" t="s">
        <v>29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</row>
    <row r="25" spans="1:20">
      <c r="K25" s="73"/>
      <c r="L25" s="73"/>
      <c r="M25" s="73"/>
      <c r="N25" s="73"/>
      <c r="O25" s="73"/>
      <c r="P25" s="73"/>
      <c r="Q25" s="73"/>
      <c r="R25" s="73"/>
      <c r="S25" s="73"/>
      <c r="T25" s="73"/>
    </row>
    <row r="26" spans="1:20">
      <c r="B26" t="s">
        <v>100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spans="1:20">
      <c r="C27" t="s">
        <v>101</v>
      </c>
      <c r="K27" s="80">
        <v>23691</v>
      </c>
      <c r="L27" s="73">
        <v>19602</v>
      </c>
      <c r="M27" s="73">
        <v>23953</v>
      </c>
      <c r="N27" s="73">
        <v>15559</v>
      </c>
      <c r="O27" s="73">
        <v>6465</v>
      </c>
      <c r="P27" s="73">
        <v>14414</v>
      </c>
      <c r="Q27" s="73">
        <v>1116</v>
      </c>
      <c r="R27" s="73"/>
      <c r="S27" s="73"/>
      <c r="T27" s="73">
        <f>SUM(K27:S27)</f>
        <v>104800</v>
      </c>
    </row>
    <row r="28" spans="1:20">
      <c r="C28" t="s">
        <v>118</v>
      </c>
      <c r="K28" s="73"/>
      <c r="L28" s="73">
        <v>1176919</v>
      </c>
      <c r="M28" s="73">
        <v>3224738</v>
      </c>
      <c r="N28" s="73">
        <v>789367</v>
      </c>
      <c r="O28" s="73">
        <v>1824212</v>
      </c>
      <c r="P28" s="73">
        <v>1412181</v>
      </c>
      <c r="Q28" s="73">
        <v>195592</v>
      </c>
      <c r="R28" s="73"/>
      <c r="S28" s="73">
        <v>116660</v>
      </c>
      <c r="T28" s="73">
        <f>SUM(K28:S28)</f>
        <v>8739669</v>
      </c>
    </row>
    <row r="29" spans="1:20">
      <c r="C29" t="s">
        <v>48</v>
      </c>
      <c r="K29" s="86">
        <v>1046829</v>
      </c>
      <c r="L29" s="73"/>
      <c r="M29" s="73"/>
      <c r="N29" s="73"/>
      <c r="O29" s="73"/>
      <c r="P29" s="73"/>
      <c r="Q29" s="73"/>
      <c r="R29" s="73"/>
      <c r="S29" s="73"/>
      <c r="T29" s="73">
        <f>SUM(K29:S29)</f>
        <v>1046829</v>
      </c>
    </row>
    <row r="30" spans="1:20">
      <c r="K30" s="73"/>
      <c r="L30" s="73"/>
      <c r="M30" s="73"/>
      <c r="N30" s="73"/>
      <c r="O30" s="73"/>
      <c r="P30" s="73"/>
      <c r="Q30" s="73"/>
      <c r="R30" s="73"/>
      <c r="S30" s="73"/>
      <c r="T30" s="73"/>
    </row>
    <row r="31" spans="1:20" s="5" customFormat="1">
      <c r="D31" s="6"/>
      <c r="E31" s="6" t="s">
        <v>49</v>
      </c>
      <c r="K31" s="79">
        <f>SUM(K27:K30)</f>
        <v>1070520</v>
      </c>
      <c r="L31" s="79">
        <f t="shared" ref="L31:T31" si="2">SUM(L27:L29)</f>
        <v>1196521</v>
      </c>
      <c r="M31" s="79">
        <f t="shared" si="2"/>
        <v>3248691</v>
      </c>
      <c r="N31" s="79">
        <f t="shared" si="2"/>
        <v>804926</v>
      </c>
      <c r="O31" s="79">
        <f t="shared" si="2"/>
        <v>1830677</v>
      </c>
      <c r="P31" s="79">
        <f t="shared" si="2"/>
        <v>1426595</v>
      </c>
      <c r="Q31" s="79">
        <f t="shared" si="2"/>
        <v>196708</v>
      </c>
      <c r="R31" s="79">
        <f t="shared" si="2"/>
        <v>0</v>
      </c>
      <c r="S31" s="79">
        <f t="shared" si="2"/>
        <v>116660</v>
      </c>
      <c r="T31" s="79">
        <f t="shared" si="2"/>
        <v>9891298</v>
      </c>
    </row>
    <row r="32" spans="1:20">
      <c r="K32" s="73"/>
      <c r="L32" s="73"/>
      <c r="M32" s="73"/>
      <c r="N32" s="73"/>
      <c r="O32" s="73"/>
      <c r="P32" s="73"/>
      <c r="Q32" s="73"/>
      <c r="R32" s="73"/>
      <c r="S32" s="73"/>
      <c r="T32" s="73"/>
    </row>
    <row r="33" spans="4:20" s="7" customFormat="1">
      <c r="D33" s="8"/>
      <c r="E33" s="8" t="s">
        <v>50</v>
      </c>
      <c r="K33" s="81">
        <f>SUM(K31,K22)</f>
        <v>1232018</v>
      </c>
      <c r="L33" s="81">
        <f>SUM(L22,L31)</f>
        <v>1232725</v>
      </c>
      <c r="M33" s="81">
        <f>SUM(M22,M31)</f>
        <v>3443373</v>
      </c>
      <c r="N33" s="81">
        <f>SUM(N22,N31)</f>
        <v>835080</v>
      </c>
      <c r="O33" s="81">
        <f>SUM(O31+O22)</f>
        <v>1854608</v>
      </c>
      <c r="P33" s="81">
        <f>SUM(P31+P22)</f>
        <v>1482399</v>
      </c>
      <c r="Q33" s="81">
        <f>SUM(Q31+Q22)</f>
        <v>235012</v>
      </c>
      <c r="R33" s="81">
        <f t="shared" ref="R33:T33" si="3">SUM(R31+R22)</f>
        <v>80073</v>
      </c>
      <c r="S33" s="81">
        <f t="shared" si="3"/>
        <v>158316</v>
      </c>
      <c r="T33" s="81">
        <f t="shared" si="3"/>
        <v>10553604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0"/>
  <sheetViews>
    <sheetView topLeftCell="A7" workbookViewId="0">
      <selection activeCell="S36" sqref="S3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8" width="16.42578125" customWidth="1"/>
    <col min="19" max="19" width="18" customWidth="1"/>
    <col min="20" max="20" width="17.28515625" customWidth="1"/>
  </cols>
  <sheetData>
    <row r="1" spans="1:20" ht="18.75">
      <c r="D1" s="125" t="s">
        <v>134</v>
      </c>
      <c r="E1" s="125"/>
      <c r="F1" s="125"/>
      <c r="G1" s="125"/>
      <c r="H1" s="125"/>
      <c r="I1" s="125"/>
      <c r="J1" s="125"/>
      <c r="K1" s="125"/>
    </row>
    <row r="2" spans="1:20">
      <c r="D2" s="126" t="s">
        <v>1</v>
      </c>
      <c r="E2" s="126"/>
      <c r="F2" s="126"/>
      <c r="G2" s="126"/>
      <c r="H2" s="126"/>
      <c r="I2" s="126"/>
      <c r="J2" s="126"/>
      <c r="K2" s="126"/>
    </row>
    <row r="4" spans="1:20" ht="45">
      <c r="K4" s="1" t="s">
        <v>52</v>
      </c>
      <c r="L4" s="1" t="s">
        <v>135</v>
      </c>
      <c r="M4" s="1" t="s">
        <v>136</v>
      </c>
      <c r="N4" s="1" t="s">
        <v>137</v>
      </c>
      <c r="O4" s="1" t="s">
        <v>138</v>
      </c>
      <c r="P4" s="1" t="s">
        <v>139</v>
      </c>
      <c r="Q4" s="1" t="s">
        <v>140</v>
      </c>
      <c r="R4" s="1" t="s">
        <v>141</v>
      </c>
      <c r="S4" s="1" t="s">
        <v>58</v>
      </c>
      <c r="T4" s="1" t="s">
        <v>9</v>
      </c>
    </row>
    <row r="5" spans="1:20">
      <c r="A5" t="s">
        <v>10</v>
      </c>
    </row>
    <row r="6" spans="1:20">
      <c r="B6" t="s">
        <v>142</v>
      </c>
      <c r="K6" s="72">
        <v>630917</v>
      </c>
      <c r="L6" s="73">
        <v>874419</v>
      </c>
      <c r="M6" s="73">
        <v>1310997</v>
      </c>
      <c r="N6" s="73">
        <v>3003371</v>
      </c>
      <c r="O6" s="73">
        <v>1952781</v>
      </c>
      <c r="P6" s="73">
        <v>1216</v>
      </c>
      <c r="Q6" s="73">
        <v>702741</v>
      </c>
      <c r="R6" s="73">
        <v>1350098</v>
      </c>
      <c r="S6" s="73">
        <v>5031826</v>
      </c>
      <c r="T6" s="73">
        <f>SUM(K6:S6)</f>
        <v>14858366</v>
      </c>
    </row>
    <row r="7" spans="1:20">
      <c r="B7" t="s">
        <v>59</v>
      </c>
      <c r="K7" s="74">
        <v>1081445</v>
      </c>
      <c r="L7" s="73">
        <v>42651</v>
      </c>
      <c r="M7" s="73">
        <v>947010</v>
      </c>
      <c r="N7" s="73">
        <v>390403</v>
      </c>
      <c r="O7" s="73">
        <v>548293</v>
      </c>
      <c r="P7" s="73">
        <v>66507</v>
      </c>
      <c r="Q7" s="73">
        <v>540009</v>
      </c>
      <c r="R7" s="73"/>
      <c r="S7" s="73">
        <v>2868443</v>
      </c>
      <c r="T7" s="73">
        <f>SUM(K7:S7)</f>
        <v>6484761</v>
      </c>
    </row>
    <row r="8" spans="1:20">
      <c r="B8" t="s">
        <v>143</v>
      </c>
      <c r="K8" s="74">
        <v>58266</v>
      </c>
      <c r="L8" s="73">
        <v>11404</v>
      </c>
      <c r="M8" s="73"/>
      <c r="N8" s="73"/>
      <c r="O8" s="73"/>
      <c r="P8" s="73"/>
      <c r="Q8" s="73"/>
      <c r="R8" s="73">
        <v>25603</v>
      </c>
      <c r="S8" s="73"/>
      <c r="T8" s="73">
        <f>SUM(K8:S8)</f>
        <v>95273</v>
      </c>
    </row>
    <row r="9" spans="1:20">
      <c r="B9" t="s">
        <v>61</v>
      </c>
      <c r="K9" s="87">
        <v>32875</v>
      </c>
      <c r="L9" s="73"/>
      <c r="M9" s="73">
        <v>27795</v>
      </c>
      <c r="N9" s="73"/>
      <c r="O9" s="73"/>
      <c r="P9" s="73"/>
      <c r="Q9" s="73"/>
      <c r="R9" s="73"/>
      <c r="S9" s="73">
        <v>253133</v>
      </c>
      <c r="T9" s="73">
        <f>SUM(K9:S9)</f>
        <v>313803</v>
      </c>
    </row>
    <row r="10" spans="1:20">
      <c r="K10" s="73"/>
      <c r="L10" s="73"/>
      <c r="M10" s="73"/>
      <c r="N10" s="73"/>
      <c r="O10" s="73"/>
      <c r="P10" s="73"/>
      <c r="Q10" s="73"/>
      <c r="R10" s="73"/>
      <c r="S10" s="73"/>
      <c r="T10" s="73"/>
    </row>
    <row r="11" spans="1:20" s="3" customFormat="1">
      <c r="A11" s="2"/>
      <c r="B11" s="2"/>
      <c r="C11" s="2"/>
      <c r="D11" s="2"/>
      <c r="E11" s="2" t="s">
        <v>20</v>
      </c>
      <c r="K11" s="76">
        <f t="shared" ref="K11:T11" si="0">SUM(K6:K9)</f>
        <v>1803503</v>
      </c>
      <c r="L11" s="76">
        <f t="shared" si="0"/>
        <v>928474</v>
      </c>
      <c r="M11" s="76">
        <f t="shared" si="0"/>
        <v>2285802</v>
      </c>
      <c r="N11" s="76">
        <f t="shared" si="0"/>
        <v>3393774</v>
      </c>
      <c r="O11" s="76">
        <f t="shared" si="0"/>
        <v>2501074</v>
      </c>
      <c r="P11" s="76">
        <f t="shared" si="0"/>
        <v>67723</v>
      </c>
      <c r="Q11" s="76">
        <f t="shared" si="0"/>
        <v>1242750</v>
      </c>
      <c r="R11" s="76">
        <f t="shared" si="0"/>
        <v>1375701</v>
      </c>
      <c r="S11" s="76">
        <f t="shared" si="0"/>
        <v>8153402</v>
      </c>
      <c r="T11" s="76">
        <f t="shared" si="0"/>
        <v>21752203</v>
      </c>
    </row>
    <row r="12" spans="1:20">
      <c r="K12" s="73"/>
      <c r="L12" s="73"/>
      <c r="M12" s="73"/>
      <c r="N12" s="73"/>
      <c r="O12" s="73"/>
      <c r="P12" s="73"/>
      <c r="Q12" s="73"/>
      <c r="R12" s="73"/>
      <c r="S12" s="73"/>
      <c r="T12" s="73"/>
    </row>
    <row r="13" spans="1:20">
      <c r="A13" s="4" t="s">
        <v>21</v>
      </c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spans="1:20">
      <c r="B14" t="s">
        <v>22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spans="1:20">
      <c r="C15" t="s">
        <v>23</v>
      </c>
      <c r="K15" s="77">
        <v>188832</v>
      </c>
      <c r="L15" s="73">
        <v>21559</v>
      </c>
      <c r="M15" s="73">
        <v>35677</v>
      </c>
      <c r="N15" s="73">
        <v>118771</v>
      </c>
      <c r="O15" s="73">
        <v>19707</v>
      </c>
      <c r="P15" s="73">
        <v>16838</v>
      </c>
      <c r="Q15" s="73">
        <v>82909</v>
      </c>
      <c r="R15" s="73">
        <v>39354</v>
      </c>
      <c r="S15" s="73">
        <v>160864</v>
      </c>
      <c r="T15" s="73">
        <f>SUM(K15:S15)</f>
        <v>684511</v>
      </c>
    </row>
    <row r="16" spans="1:20">
      <c r="C16" t="s">
        <v>144</v>
      </c>
      <c r="K16" s="83">
        <v>164679</v>
      </c>
      <c r="L16" s="73"/>
      <c r="M16" s="73"/>
      <c r="N16" s="73"/>
      <c r="O16" s="73"/>
      <c r="P16" s="73"/>
      <c r="Q16" s="73"/>
      <c r="R16" s="73"/>
      <c r="S16" s="73"/>
      <c r="T16" s="73">
        <f>SUM(K16:S16)</f>
        <v>164679</v>
      </c>
    </row>
    <row r="17" spans="1:20">
      <c r="C17" t="s">
        <v>145</v>
      </c>
      <c r="K17" s="73"/>
      <c r="L17" s="73"/>
      <c r="M17" s="73"/>
      <c r="N17" s="73"/>
      <c r="O17" s="73"/>
      <c r="P17" s="73">
        <v>39041</v>
      </c>
      <c r="Q17" s="73">
        <v>25603</v>
      </c>
      <c r="R17" s="73"/>
      <c r="S17" s="73">
        <v>30629</v>
      </c>
      <c r="T17" s="73">
        <f>SUM(K17:S17)</f>
        <v>95273</v>
      </c>
    </row>
    <row r="18" spans="1:20">
      <c r="K18" s="73"/>
      <c r="L18" s="73"/>
      <c r="M18" s="73"/>
      <c r="N18" s="73"/>
      <c r="O18" s="73"/>
      <c r="P18" s="73"/>
      <c r="Q18" s="73"/>
      <c r="R18" s="73"/>
      <c r="S18" s="73"/>
      <c r="T18" s="73"/>
    </row>
    <row r="19" spans="1:20" s="5" customFormat="1">
      <c r="B19" s="6"/>
      <c r="C19" s="6"/>
      <c r="D19" s="6"/>
      <c r="E19" s="6" t="s">
        <v>28</v>
      </c>
      <c r="K19" s="79">
        <f t="shared" ref="K19:T19" si="1">SUM(K15:K17)</f>
        <v>353511</v>
      </c>
      <c r="L19" s="79">
        <f t="shared" si="1"/>
        <v>21559</v>
      </c>
      <c r="M19" s="79">
        <f t="shared" si="1"/>
        <v>35677</v>
      </c>
      <c r="N19" s="79">
        <f t="shared" si="1"/>
        <v>118771</v>
      </c>
      <c r="O19" s="79">
        <f t="shared" si="1"/>
        <v>19707</v>
      </c>
      <c r="P19" s="79">
        <f t="shared" si="1"/>
        <v>55879</v>
      </c>
      <c r="Q19" s="79">
        <f t="shared" si="1"/>
        <v>108512</v>
      </c>
      <c r="R19" s="79">
        <f t="shared" si="1"/>
        <v>39354</v>
      </c>
      <c r="S19" s="79">
        <f t="shared" si="1"/>
        <v>191493</v>
      </c>
      <c r="T19" s="79">
        <f t="shared" si="1"/>
        <v>944463</v>
      </c>
    </row>
    <row r="20" spans="1:20">
      <c r="K20" s="73"/>
      <c r="L20" s="73"/>
      <c r="M20" s="73"/>
      <c r="N20" s="73"/>
      <c r="O20" s="73"/>
      <c r="P20" s="73"/>
      <c r="Q20" s="73"/>
      <c r="R20" s="73"/>
      <c r="S20" s="73"/>
      <c r="T20" s="73"/>
    </row>
    <row r="21" spans="1:20">
      <c r="A21" s="71" t="s">
        <v>29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</row>
    <row r="22" spans="1:20">
      <c r="B22" t="s">
        <v>63</v>
      </c>
      <c r="K22" s="88">
        <v>44721</v>
      </c>
      <c r="L22" s="88"/>
      <c r="M22" s="88">
        <v>20738</v>
      </c>
      <c r="N22" s="88"/>
      <c r="O22" s="88">
        <v>18269</v>
      </c>
      <c r="P22" s="88"/>
      <c r="Q22" s="88">
        <v>8081</v>
      </c>
      <c r="R22" s="88"/>
      <c r="S22" s="88">
        <v>103534</v>
      </c>
      <c r="T22" s="88">
        <f>SUM(K22:S22)</f>
        <v>195343</v>
      </c>
    </row>
    <row r="23" spans="1:20">
      <c r="K23" s="73"/>
      <c r="L23" s="73"/>
      <c r="M23" s="73"/>
      <c r="N23" s="73"/>
      <c r="O23" s="73"/>
      <c r="P23" s="73"/>
      <c r="Q23" s="73"/>
      <c r="R23" s="73"/>
      <c r="S23" s="73"/>
      <c r="T23" s="73"/>
    </row>
    <row r="24" spans="1:20">
      <c r="B24" t="s">
        <v>31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</row>
    <row r="25" spans="1:20">
      <c r="C25" t="s">
        <v>65</v>
      </c>
      <c r="K25" s="80">
        <v>32875</v>
      </c>
      <c r="L25" s="73"/>
      <c r="M25" s="73">
        <v>27795</v>
      </c>
      <c r="N25" s="73"/>
      <c r="O25" s="73"/>
      <c r="P25" s="73"/>
      <c r="Q25" s="73"/>
      <c r="R25" s="73"/>
      <c r="S25" s="73">
        <v>253133</v>
      </c>
      <c r="T25" s="73">
        <f>SUM(K25:S25)</f>
        <v>313803</v>
      </c>
    </row>
    <row r="26" spans="1:20">
      <c r="C26" t="s">
        <v>66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spans="1:20">
      <c r="D27" t="s">
        <v>146</v>
      </c>
      <c r="K27" s="73"/>
      <c r="L27" s="73">
        <v>324072</v>
      </c>
      <c r="M27" s="73"/>
      <c r="N27" s="73"/>
      <c r="O27" s="73"/>
      <c r="P27" s="73"/>
      <c r="Q27" s="73"/>
      <c r="R27" s="73"/>
      <c r="S27" s="73"/>
      <c r="T27" s="73">
        <f t="shared" ref="T27:T36" si="2">SUM(K27:S27)</f>
        <v>324072</v>
      </c>
    </row>
    <row r="28" spans="1:20">
      <c r="D28" t="s">
        <v>69</v>
      </c>
      <c r="K28" s="73"/>
      <c r="L28" s="73"/>
      <c r="M28" s="73"/>
      <c r="N28" s="73"/>
      <c r="O28" s="73"/>
      <c r="P28" s="73"/>
      <c r="Q28" s="73"/>
      <c r="R28" s="73"/>
      <c r="S28" s="73">
        <v>1810976</v>
      </c>
      <c r="T28" s="73">
        <f t="shared" si="2"/>
        <v>1810976</v>
      </c>
    </row>
    <row r="29" spans="1:20">
      <c r="D29" t="s">
        <v>70</v>
      </c>
      <c r="K29" s="73"/>
      <c r="L29" s="73">
        <v>582843</v>
      </c>
      <c r="M29" s="73">
        <v>2201592</v>
      </c>
      <c r="N29" s="73"/>
      <c r="O29" s="73"/>
      <c r="P29" s="73"/>
      <c r="Q29" s="73"/>
      <c r="R29" s="73"/>
      <c r="S29" s="73">
        <v>3608240</v>
      </c>
      <c r="T29" s="73">
        <f t="shared" si="2"/>
        <v>6392675</v>
      </c>
    </row>
    <row r="30" spans="1:20">
      <c r="D30" t="s">
        <v>147</v>
      </c>
      <c r="K30" s="73"/>
      <c r="L30" s="73"/>
      <c r="M30" s="73"/>
      <c r="N30" s="73"/>
      <c r="O30" s="73">
        <v>2463098</v>
      </c>
      <c r="P30" s="73"/>
      <c r="Q30" s="73"/>
      <c r="R30" s="73"/>
      <c r="S30" s="73"/>
      <c r="T30" s="73">
        <f t="shared" si="2"/>
        <v>2463098</v>
      </c>
    </row>
    <row r="31" spans="1:20">
      <c r="D31" t="s">
        <v>109</v>
      </c>
      <c r="K31" s="73"/>
      <c r="L31" s="73"/>
      <c r="M31" s="73"/>
      <c r="N31" s="73"/>
      <c r="O31" s="73"/>
      <c r="P31" s="73"/>
      <c r="Q31" s="73"/>
      <c r="R31" s="73"/>
      <c r="S31" s="73">
        <v>607692</v>
      </c>
      <c r="T31" s="73">
        <f t="shared" si="2"/>
        <v>607692</v>
      </c>
    </row>
    <row r="32" spans="1:20">
      <c r="D32" t="s">
        <v>71</v>
      </c>
      <c r="K32" s="73"/>
      <c r="L32" s="73"/>
      <c r="M32" s="73"/>
      <c r="N32" s="73">
        <v>3275003</v>
      </c>
      <c r="O32" s="73"/>
      <c r="P32" s="73"/>
      <c r="Q32" s="73"/>
      <c r="R32" s="73"/>
      <c r="S32" s="73"/>
      <c r="T32" s="73">
        <f t="shared" si="2"/>
        <v>3275003</v>
      </c>
    </row>
    <row r="33" spans="3:20">
      <c r="D33" t="s">
        <v>68</v>
      </c>
      <c r="K33" s="73"/>
      <c r="L33" s="73"/>
      <c r="M33" s="73"/>
      <c r="N33" s="73"/>
      <c r="O33" s="73"/>
      <c r="P33" s="73"/>
      <c r="Q33" s="73"/>
      <c r="R33" s="73"/>
      <c r="S33" s="73">
        <v>136917</v>
      </c>
      <c r="T33" s="73">
        <f t="shared" si="2"/>
        <v>136917</v>
      </c>
    </row>
    <row r="34" spans="3:20">
      <c r="D34" t="s">
        <v>44</v>
      </c>
      <c r="K34" s="73"/>
      <c r="L34" s="73"/>
      <c r="M34" s="73"/>
      <c r="N34" s="73"/>
      <c r="O34" s="73"/>
      <c r="P34" s="73"/>
      <c r="Q34" s="73"/>
      <c r="R34" s="73"/>
      <c r="S34" s="73">
        <v>1275201</v>
      </c>
      <c r="T34" s="73">
        <f t="shared" si="2"/>
        <v>1275201</v>
      </c>
    </row>
    <row r="35" spans="3:20">
      <c r="D35" t="s">
        <v>43</v>
      </c>
      <c r="K35" s="73"/>
      <c r="L35" s="73"/>
      <c r="M35" s="73"/>
      <c r="N35" s="73"/>
      <c r="O35" s="73"/>
      <c r="P35" s="73"/>
      <c r="Q35" s="73"/>
      <c r="R35" s="73"/>
      <c r="S35" s="73">
        <v>166216</v>
      </c>
      <c r="T35" s="73">
        <f t="shared" si="2"/>
        <v>166216</v>
      </c>
    </row>
    <row r="36" spans="3:20">
      <c r="C36" t="s">
        <v>48</v>
      </c>
      <c r="K36" s="86">
        <v>1372396</v>
      </c>
      <c r="L36" s="73"/>
      <c r="M36" s="73"/>
      <c r="N36" s="73"/>
      <c r="O36" s="73"/>
      <c r="P36" s="73">
        <v>11844</v>
      </c>
      <c r="Q36" s="73">
        <v>1126157</v>
      </c>
      <c r="R36" s="73">
        <v>1336347</v>
      </c>
      <c r="S36" s="73"/>
      <c r="T36" s="73">
        <f t="shared" si="2"/>
        <v>3846744</v>
      </c>
    </row>
    <row r="37" spans="3:20">
      <c r="K37" s="73"/>
      <c r="L37" s="73"/>
      <c r="M37" s="73"/>
      <c r="N37" s="73"/>
      <c r="O37" s="73"/>
      <c r="P37" s="73"/>
      <c r="Q37" s="73"/>
      <c r="R37" s="73"/>
      <c r="S37" s="73"/>
      <c r="T37" s="73"/>
    </row>
    <row r="38" spans="3:20" s="5" customFormat="1">
      <c r="D38" s="6"/>
      <c r="E38" s="6" t="s">
        <v>49</v>
      </c>
      <c r="K38" s="79">
        <f>SUM(K25:K36)</f>
        <v>1405271</v>
      </c>
      <c r="L38" s="79">
        <f>SUM(L25:L36)</f>
        <v>906915</v>
      </c>
      <c r="M38" s="79">
        <f>SUM(M25:M36)</f>
        <v>2229387</v>
      </c>
      <c r="N38" s="79">
        <f t="shared" ref="N38:O38" si="3">SUM(N25:N36)</f>
        <v>3275003</v>
      </c>
      <c r="O38" s="79">
        <f t="shared" si="3"/>
        <v>2463098</v>
      </c>
      <c r="P38" s="79">
        <f>SUM(P25:P36)</f>
        <v>11844</v>
      </c>
      <c r="Q38" s="79">
        <f>SUM(Q25:Q36)</f>
        <v>1126157</v>
      </c>
      <c r="R38" s="79">
        <f>SUM(R25:R36)</f>
        <v>1336347</v>
      </c>
      <c r="S38" s="79">
        <f>SUM(S25:S36)</f>
        <v>7858375</v>
      </c>
      <c r="T38" s="79">
        <f>SUM(T25:T36)</f>
        <v>20612397</v>
      </c>
    </row>
    <row r="39" spans="3:20">
      <c r="K39" s="73"/>
      <c r="L39" s="73"/>
      <c r="M39" s="73"/>
      <c r="N39" s="73"/>
      <c r="O39" s="73"/>
      <c r="P39" s="73"/>
      <c r="Q39" s="73"/>
      <c r="R39" s="73"/>
      <c r="S39" s="73"/>
      <c r="T39" s="73"/>
    </row>
    <row r="40" spans="3:20" s="7" customFormat="1">
      <c r="D40" s="8"/>
      <c r="E40" s="8" t="s">
        <v>50</v>
      </c>
      <c r="K40" s="81">
        <f t="shared" ref="K40:T40" si="4">K38+K22+K19</f>
        <v>1803503</v>
      </c>
      <c r="L40" s="81">
        <f t="shared" si="4"/>
        <v>928474</v>
      </c>
      <c r="M40" s="81">
        <f t="shared" si="4"/>
        <v>2285802</v>
      </c>
      <c r="N40" s="81">
        <f t="shared" si="4"/>
        <v>3393774</v>
      </c>
      <c r="O40" s="81">
        <f t="shared" si="4"/>
        <v>2501074</v>
      </c>
      <c r="P40" s="81">
        <f t="shared" si="4"/>
        <v>67723</v>
      </c>
      <c r="Q40" s="81">
        <f t="shared" si="4"/>
        <v>1242750</v>
      </c>
      <c r="R40" s="81">
        <f t="shared" si="4"/>
        <v>1375701</v>
      </c>
      <c r="S40" s="81">
        <f t="shared" si="4"/>
        <v>8153402</v>
      </c>
      <c r="T40" s="81">
        <f t="shared" si="4"/>
        <v>21752203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2"/>
  <sheetViews>
    <sheetView workbookViewId="0">
      <selection activeCell="J26" sqref="J2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2" width="16.42578125" customWidth="1"/>
    <col min="13" max="13" width="12.7109375" customWidth="1"/>
    <col min="14" max="14" width="15.7109375" customWidth="1"/>
    <col min="15" max="15" width="16.28515625" customWidth="1"/>
    <col min="16" max="16" width="16.5703125" customWidth="1"/>
    <col min="17" max="17" width="15.28515625" customWidth="1"/>
    <col min="18" max="18" width="17" customWidth="1"/>
  </cols>
  <sheetData>
    <row r="1" spans="1:18" ht="18.75">
      <c r="D1" s="125" t="s">
        <v>148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 ht="36.75" customHeight="1"/>
    <row r="5" spans="1:18" ht="45">
      <c r="K5" s="1" t="s">
        <v>2</v>
      </c>
      <c r="L5" s="1" t="s">
        <v>149</v>
      </c>
      <c r="M5" s="1" t="s">
        <v>112</v>
      </c>
      <c r="N5" s="1" t="s">
        <v>150</v>
      </c>
      <c r="O5" s="1" t="s">
        <v>151</v>
      </c>
      <c r="P5" s="1" t="s">
        <v>152</v>
      </c>
      <c r="Q5" s="1" t="s">
        <v>8</v>
      </c>
      <c r="R5" s="1" t="s">
        <v>9</v>
      </c>
    </row>
    <row r="6" spans="1:18">
      <c r="A6" t="s">
        <v>10</v>
      </c>
    </row>
    <row r="7" spans="1:18">
      <c r="B7" t="s">
        <v>153</v>
      </c>
      <c r="K7" s="72">
        <v>4224843</v>
      </c>
      <c r="L7" s="73">
        <v>8417207</v>
      </c>
      <c r="M7" s="73">
        <v>3571253</v>
      </c>
      <c r="N7" s="73">
        <v>10786</v>
      </c>
      <c r="O7" s="73">
        <v>752937</v>
      </c>
      <c r="P7" s="73">
        <v>16</v>
      </c>
      <c r="Q7" s="73">
        <v>247299</v>
      </c>
      <c r="R7" s="73">
        <f>SUM(K7:Q7)</f>
        <v>17224341</v>
      </c>
    </row>
    <row r="8" spans="1:18">
      <c r="B8" t="s">
        <v>59</v>
      </c>
      <c r="K8" s="74">
        <v>1912568</v>
      </c>
      <c r="L8" s="73">
        <v>2022233</v>
      </c>
      <c r="M8" s="73">
        <v>279239</v>
      </c>
      <c r="N8" s="73"/>
      <c r="O8" s="73">
        <v>1182712</v>
      </c>
      <c r="P8" s="73">
        <v>44464</v>
      </c>
      <c r="Q8" s="73">
        <v>7190</v>
      </c>
      <c r="R8" s="73">
        <f>SUM(K8:Q8)</f>
        <v>5448406</v>
      </c>
    </row>
    <row r="9" spans="1:18">
      <c r="K9" s="73"/>
      <c r="L9" s="73"/>
      <c r="M9" s="73"/>
      <c r="N9" s="73"/>
      <c r="O9" s="73"/>
      <c r="P9" s="73"/>
      <c r="Q9" s="73"/>
      <c r="R9" s="73"/>
    </row>
    <row r="10" spans="1:18" s="3" customFormat="1">
      <c r="A10" s="2"/>
      <c r="B10" s="2"/>
      <c r="C10" s="2"/>
      <c r="D10" s="2"/>
      <c r="E10" s="2" t="s">
        <v>129</v>
      </c>
      <c r="K10" s="76">
        <f t="shared" ref="K10:R10" si="0">SUM(K7:K8)</f>
        <v>6137411</v>
      </c>
      <c r="L10" s="76">
        <f t="shared" si="0"/>
        <v>10439440</v>
      </c>
      <c r="M10" s="76">
        <f t="shared" si="0"/>
        <v>3850492</v>
      </c>
      <c r="N10" s="76">
        <f t="shared" si="0"/>
        <v>10786</v>
      </c>
      <c r="O10" s="76">
        <f t="shared" si="0"/>
        <v>1935649</v>
      </c>
      <c r="P10" s="76">
        <f t="shared" si="0"/>
        <v>44480</v>
      </c>
      <c r="Q10" s="76">
        <f t="shared" si="0"/>
        <v>254489</v>
      </c>
      <c r="R10" s="76">
        <f t="shared" si="0"/>
        <v>22672747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>
      <c r="A12" s="4" t="s">
        <v>21</v>
      </c>
      <c r="K12" s="73"/>
      <c r="L12" s="73"/>
      <c r="M12" s="73"/>
      <c r="N12" s="73"/>
      <c r="O12" s="73"/>
      <c r="P12" s="73"/>
      <c r="Q12" s="73"/>
      <c r="R12" s="73"/>
    </row>
    <row r="13" spans="1:18">
      <c r="B13" t="s">
        <v>22</v>
      </c>
      <c r="K13" s="73"/>
      <c r="L13" s="73"/>
      <c r="M13" s="73"/>
      <c r="N13" s="73"/>
      <c r="O13" s="73"/>
      <c r="P13" s="73"/>
      <c r="Q13" s="73"/>
      <c r="R13" s="73"/>
    </row>
    <row r="14" spans="1:18">
      <c r="C14" t="s">
        <v>23</v>
      </c>
      <c r="K14" s="77">
        <v>74312</v>
      </c>
      <c r="L14" s="73">
        <v>41142</v>
      </c>
      <c r="M14" s="73">
        <v>89788</v>
      </c>
      <c r="N14" s="73"/>
      <c r="O14" s="73"/>
      <c r="P14" s="73">
        <v>44464</v>
      </c>
      <c r="Q14" s="73"/>
      <c r="R14" s="73">
        <f>SUM(K14:Q14)</f>
        <v>249706</v>
      </c>
    </row>
    <row r="15" spans="1:18">
      <c r="C15" t="s">
        <v>154</v>
      </c>
      <c r="K15" s="77">
        <v>4993</v>
      </c>
      <c r="L15" s="73">
        <v>17633</v>
      </c>
      <c r="M15" s="73"/>
      <c r="N15" s="73"/>
      <c r="O15" s="73"/>
      <c r="P15" s="73"/>
      <c r="Q15" s="73"/>
      <c r="R15" s="73">
        <f>SUM(K15:Q15)</f>
        <v>22626</v>
      </c>
    </row>
    <row r="16" spans="1:18">
      <c r="C16" t="s">
        <v>155</v>
      </c>
      <c r="K16" s="84">
        <v>70000</v>
      </c>
      <c r="L16" s="73"/>
      <c r="M16" s="73"/>
      <c r="N16" s="73"/>
      <c r="O16" s="73"/>
      <c r="P16" s="73"/>
      <c r="Q16" s="73"/>
      <c r="R16" s="73">
        <f>SUM(K16:Q16)</f>
        <v>70000</v>
      </c>
    </row>
    <row r="17" spans="2:18">
      <c r="K17" s="73"/>
      <c r="L17" s="73"/>
      <c r="M17" s="73"/>
      <c r="N17" s="73"/>
      <c r="O17" s="73"/>
      <c r="P17" s="73"/>
      <c r="Q17" s="73"/>
      <c r="R17" s="73"/>
    </row>
    <row r="18" spans="2:18" s="5" customFormat="1">
      <c r="B18" s="6"/>
      <c r="C18" s="6"/>
      <c r="D18" s="6"/>
      <c r="E18" s="6" t="s">
        <v>28</v>
      </c>
      <c r="K18" s="79">
        <f>SUM(K14:K16)</f>
        <v>149305</v>
      </c>
      <c r="L18" s="79">
        <f>SUM(L14:L16)</f>
        <v>58775</v>
      </c>
      <c r="M18" s="79">
        <f>SUM(M14:M16)</f>
        <v>89788</v>
      </c>
      <c r="N18" s="79">
        <f t="shared" ref="N18:O18" si="1">SUM(N14:N16)</f>
        <v>0</v>
      </c>
      <c r="O18" s="79">
        <f t="shared" si="1"/>
        <v>0</v>
      </c>
      <c r="P18" s="79">
        <f t="shared" ref="P18" si="2">SUM(P14:P16)</f>
        <v>44464</v>
      </c>
      <c r="Q18" s="79">
        <f>SUM(Q14:Q16)</f>
        <v>0</v>
      </c>
      <c r="R18" s="79">
        <f>SUM(R14:R16)</f>
        <v>342332</v>
      </c>
    </row>
    <row r="19" spans="2:18">
      <c r="K19" s="73"/>
      <c r="L19" s="73"/>
      <c r="M19" s="73"/>
      <c r="N19" s="73"/>
      <c r="O19" s="73"/>
      <c r="P19" s="73"/>
      <c r="Q19" s="73"/>
      <c r="R19" s="73"/>
    </row>
    <row r="20" spans="2:18">
      <c r="B20" t="s">
        <v>100</v>
      </c>
      <c r="K20" s="73"/>
      <c r="L20" s="73"/>
      <c r="M20" s="73"/>
      <c r="N20" s="73"/>
      <c r="O20" s="73"/>
      <c r="P20" s="73"/>
      <c r="Q20" s="73"/>
      <c r="R20" s="73"/>
    </row>
    <row r="21" spans="2:18">
      <c r="C21" t="s">
        <v>156</v>
      </c>
      <c r="K21" s="73"/>
      <c r="L21" s="73"/>
      <c r="M21" s="73"/>
      <c r="N21" s="73"/>
      <c r="O21" s="73"/>
      <c r="P21" s="73">
        <v>16</v>
      </c>
      <c r="Q21" s="73"/>
      <c r="R21" s="73">
        <f>SUM(K21:Q21)</f>
        <v>16</v>
      </c>
    </row>
    <row r="22" spans="2:18">
      <c r="C22" t="s">
        <v>66</v>
      </c>
      <c r="K22" s="73"/>
      <c r="L22" s="73"/>
      <c r="M22" s="73"/>
      <c r="N22" s="73"/>
      <c r="O22" s="73"/>
      <c r="P22" s="73"/>
      <c r="Q22" s="73"/>
      <c r="R22" s="73"/>
    </row>
    <row r="23" spans="2:18">
      <c r="D23" t="s">
        <v>68</v>
      </c>
      <c r="K23" s="73"/>
      <c r="L23" s="73"/>
      <c r="M23" s="73"/>
      <c r="N23" s="73"/>
      <c r="O23" s="73"/>
      <c r="P23" s="73"/>
      <c r="Q23" s="73">
        <v>124851</v>
      </c>
      <c r="R23" s="73">
        <f>SUM(K23:Q23)</f>
        <v>124851</v>
      </c>
    </row>
    <row r="24" spans="2:18">
      <c r="D24" t="s">
        <v>70</v>
      </c>
      <c r="K24" s="73"/>
      <c r="L24" s="73">
        <v>10380665</v>
      </c>
      <c r="M24" s="73"/>
      <c r="N24" s="73"/>
      <c r="O24" s="73"/>
      <c r="P24" s="73"/>
      <c r="Q24" s="73">
        <v>14456</v>
      </c>
      <c r="R24" s="73">
        <f>SUM(K24:Q24)</f>
        <v>10395121</v>
      </c>
    </row>
    <row r="25" spans="2:18">
      <c r="D25" t="s">
        <v>157</v>
      </c>
      <c r="K25" s="73"/>
      <c r="L25" s="73"/>
      <c r="M25" s="73"/>
      <c r="N25" s="73"/>
      <c r="O25" s="73"/>
      <c r="P25" s="73"/>
      <c r="Q25" s="73">
        <v>68320</v>
      </c>
      <c r="R25" s="73">
        <f t="shared" ref="R25:R26" si="3">SUM(K25:Q25)</f>
        <v>68320</v>
      </c>
    </row>
    <row r="26" spans="2:18">
      <c r="D26" t="s">
        <v>45</v>
      </c>
      <c r="K26" s="73"/>
      <c r="L26" s="73"/>
      <c r="M26" s="73"/>
      <c r="N26" s="73"/>
      <c r="O26" s="73"/>
      <c r="P26" s="73"/>
      <c r="Q26" s="73">
        <v>46862</v>
      </c>
      <c r="R26" s="73">
        <f t="shared" si="3"/>
        <v>46862</v>
      </c>
    </row>
    <row r="27" spans="2:18">
      <c r="C27" t="s">
        <v>119</v>
      </c>
      <c r="K27" s="73"/>
      <c r="L27" s="73"/>
      <c r="M27" s="73">
        <v>3760704</v>
      </c>
      <c r="N27" s="73">
        <v>10786</v>
      </c>
      <c r="O27" s="73">
        <v>1935649</v>
      </c>
      <c r="P27" s="73"/>
      <c r="Q27" s="73"/>
      <c r="R27" s="73">
        <f>SUM(K27:Q27)</f>
        <v>5707139</v>
      </c>
    </row>
    <row r="28" spans="2:18">
      <c r="C28" t="s">
        <v>48</v>
      </c>
      <c r="K28" s="86">
        <v>5988106</v>
      </c>
      <c r="L28" s="73"/>
      <c r="M28" s="73"/>
      <c r="N28" s="73"/>
      <c r="O28" s="73"/>
      <c r="P28" s="73"/>
      <c r="Q28" s="73"/>
      <c r="R28" s="73">
        <f>SUM(K28:Q28)</f>
        <v>5988106</v>
      </c>
    </row>
    <row r="29" spans="2:18">
      <c r="K29" s="73"/>
      <c r="L29" s="73"/>
      <c r="M29" s="73"/>
      <c r="N29" s="73"/>
      <c r="O29" s="73"/>
      <c r="P29" s="73"/>
      <c r="Q29" s="73"/>
      <c r="R29" s="73"/>
    </row>
    <row r="30" spans="2:18" s="5" customFormat="1">
      <c r="D30" s="6"/>
      <c r="E30" s="6" t="s">
        <v>49</v>
      </c>
      <c r="K30" s="79">
        <f t="shared" ref="K30:Q30" si="4">SUM(K21:K28)</f>
        <v>5988106</v>
      </c>
      <c r="L30" s="79">
        <f t="shared" si="4"/>
        <v>10380665</v>
      </c>
      <c r="M30" s="79">
        <f t="shared" si="4"/>
        <v>3760704</v>
      </c>
      <c r="N30" s="79">
        <f t="shared" si="4"/>
        <v>10786</v>
      </c>
      <c r="O30" s="79">
        <f t="shared" si="4"/>
        <v>1935649</v>
      </c>
      <c r="P30" s="79">
        <f t="shared" si="4"/>
        <v>16</v>
      </c>
      <c r="Q30" s="79">
        <f t="shared" si="4"/>
        <v>254489</v>
      </c>
      <c r="R30" s="79">
        <f>SUM(R21:R28)</f>
        <v>22330415</v>
      </c>
    </row>
    <row r="31" spans="2:18">
      <c r="K31" s="73"/>
      <c r="L31" s="73"/>
      <c r="M31" s="73"/>
      <c r="N31" s="73"/>
      <c r="O31" s="73"/>
      <c r="P31" s="73"/>
      <c r="Q31" s="73"/>
      <c r="R31" s="73"/>
    </row>
    <row r="32" spans="2:18" s="7" customFormat="1">
      <c r="D32" s="8"/>
      <c r="E32" s="8" t="s">
        <v>50</v>
      </c>
      <c r="K32" s="81">
        <f>SUM(K30,K18)</f>
        <v>6137411</v>
      </c>
      <c r="L32" s="81">
        <f>SUM(L18,L30)</f>
        <v>10439440</v>
      </c>
      <c r="M32" s="81">
        <f>SUM(M18,M30)</f>
        <v>3850492</v>
      </c>
      <c r="N32" s="81">
        <f>SUM(N18,N30)</f>
        <v>10786</v>
      </c>
      <c r="O32" s="81">
        <f>SUM(O30+O18)</f>
        <v>1935649</v>
      </c>
      <c r="P32" s="81">
        <f>SUM(P30+P18)</f>
        <v>44480</v>
      </c>
      <c r="Q32" s="81">
        <f>SUM(Q30+Q18)</f>
        <v>254489</v>
      </c>
      <c r="R32" s="81">
        <f>SUM(R30+R18)</f>
        <v>22672747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6"/>
  <sheetViews>
    <sheetView topLeftCell="A4" workbookViewId="0">
      <selection activeCell="R34" sqref="R34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5" width="19.42578125" customWidth="1"/>
    <col min="16" max="16" width="17.7109375" customWidth="1"/>
    <col min="17" max="17" width="17.5703125" customWidth="1"/>
  </cols>
  <sheetData>
    <row r="1" spans="1:17" ht="18.75">
      <c r="D1" s="125" t="s">
        <v>158</v>
      </c>
      <c r="E1" s="125"/>
      <c r="F1" s="125"/>
      <c r="G1" s="125"/>
      <c r="H1" s="125"/>
      <c r="I1" s="125"/>
      <c r="J1" s="125"/>
      <c r="K1" s="125"/>
    </row>
    <row r="2" spans="1:17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7">
      <c r="D3" s="57"/>
      <c r="E3" s="57"/>
      <c r="F3" s="57"/>
      <c r="G3" s="57"/>
      <c r="H3" s="57"/>
      <c r="I3" s="57"/>
      <c r="J3" s="57"/>
      <c r="K3" s="57"/>
    </row>
    <row r="4" spans="1:17" ht="36.75" customHeight="1"/>
    <row r="5" spans="1:17" ht="45">
      <c r="K5" s="1" t="s">
        <v>159</v>
      </c>
      <c r="L5" s="1" t="s">
        <v>160</v>
      </c>
      <c r="M5" s="1" t="s">
        <v>124</v>
      </c>
      <c r="N5" s="1" t="s">
        <v>161</v>
      </c>
      <c r="O5" s="1" t="s">
        <v>162</v>
      </c>
      <c r="P5" s="1" t="s">
        <v>8</v>
      </c>
      <c r="Q5" s="1" t="s">
        <v>9</v>
      </c>
    </row>
    <row r="6" spans="1:17">
      <c r="A6" t="s">
        <v>10</v>
      </c>
    </row>
    <row r="7" spans="1:17">
      <c r="B7" t="s">
        <v>163</v>
      </c>
      <c r="K7" s="72">
        <v>3553861</v>
      </c>
      <c r="L7" s="73">
        <v>3586860</v>
      </c>
      <c r="M7" s="73">
        <v>7489233</v>
      </c>
      <c r="N7" s="73">
        <v>6706530</v>
      </c>
      <c r="O7" s="73">
        <v>240534</v>
      </c>
      <c r="P7" s="73">
        <v>15129338</v>
      </c>
      <c r="Q7" s="73">
        <f>SUM(K7:P7)</f>
        <v>36706356</v>
      </c>
    </row>
    <row r="8" spans="1:17">
      <c r="B8" t="s">
        <v>59</v>
      </c>
      <c r="K8" s="74">
        <v>2732041</v>
      </c>
      <c r="L8" s="73">
        <v>3144974</v>
      </c>
      <c r="M8" s="73">
        <v>6974940</v>
      </c>
      <c r="N8" s="73">
        <v>863968</v>
      </c>
      <c r="O8" s="73">
        <v>46698</v>
      </c>
      <c r="P8" s="73">
        <v>4077264</v>
      </c>
      <c r="Q8" s="73">
        <f>SUM(K8:P8)</f>
        <v>17839885</v>
      </c>
    </row>
    <row r="9" spans="1:17">
      <c r="B9" t="s">
        <v>164</v>
      </c>
      <c r="K9" s="73"/>
      <c r="L9" s="73"/>
      <c r="M9" s="73"/>
      <c r="N9" s="73"/>
      <c r="O9" s="73">
        <v>3245700</v>
      </c>
      <c r="P9" s="73">
        <v>1889644</v>
      </c>
      <c r="Q9" s="73">
        <f>SUM(K9:P9)</f>
        <v>5135344</v>
      </c>
    </row>
    <row r="10" spans="1:17">
      <c r="B10" t="s">
        <v>165</v>
      </c>
      <c r="K10" s="75">
        <v>129211</v>
      </c>
      <c r="L10" s="73"/>
      <c r="M10" s="73"/>
      <c r="N10" s="73"/>
      <c r="O10" s="73"/>
      <c r="P10" s="73">
        <v>6373</v>
      </c>
      <c r="Q10" s="73">
        <f>SUM(K10:P10)</f>
        <v>135584</v>
      </c>
    </row>
    <row r="11" spans="1:17">
      <c r="B11" t="s">
        <v>166</v>
      </c>
      <c r="K11" s="73"/>
      <c r="L11" s="73"/>
      <c r="M11" s="73"/>
      <c r="N11" s="73"/>
      <c r="O11" s="73">
        <v>8185472</v>
      </c>
      <c r="P11" s="73"/>
      <c r="Q11" s="73">
        <f>SUM(K11:P11)</f>
        <v>8185472</v>
      </c>
    </row>
    <row r="12" spans="1:17">
      <c r="K12" s="73"/>
      <c r="L12" s="73"/>
      <c r="M12" s="73"/>
      <c r="N12" s="73"/>
      <c r="O12" s="73"/>
      <c r="P12" s="73"/>
      <c r="Q12" s="73"/>
    </row>
    <row r="13" spans="1:17" s="3" customFormat="1">
      <c r="A13" s="2"/>
      <c r="B13" s="2"/>
      <c r="C13" s="2"/>
      <c r="D13" s="2"/>
      <c r="E13" s="2" t="s">
        <v>129</v>
      </c>
      <c r="K13" s="76">
        <f t="shared" ref="K13:Q13" si="0">SUM(K7:K11)</f>
        <v>6415113</v>
      </c>
      <c r="L13" s="76">
        <f t="shared" si="0"/>
        <v>6731834</v>
      </c>
      <c r="M13" s="76">
        <f t="shared" si="0"/>
        <v>14464173</v>
      </c>
      <c r="N13" s="76">
        <f t="shared" si="0"/>
        <v>7570498</v>
      </c>
      <c r="O13" s="76">
        <f t="shared" si="0"/>
        <v>11718404</v>
      </c>
      <c r="P13" s="76">
        <f t="shared" si="0"/>
        <v>21102619</v>
      </c>
      <c r="Q13" s="76">
        <f t="shared" si="0"/>
        <v>68002641</v>
      </c>
    </row>
    <row r="14" spans="1:17">
      <c r="K14" s="73"/>
      <c r="L14" s="73"/>
      <c r="M14" s="73"/>
      <c r="N14" s="73"/>
      <c r="O14" s="73"/>
      <c r="P14" s="73"/>
      <c r="Q14" s="73"/>
    </row>
    <row r="15" spans="1:17">
      <c r="A15" s="4" t="s">
        <v>21</v>
      </c>
      <c r="K15" s="73"/>
      <c r="L15" s="73"/>
      <c r="M15" s="73"/>
      <c r="N15" s="73"/>
      <c r="O15" s="73"/>
      <c r="P15" s="73"/>
      <c r="Q15" s="73"/>
    </row>
    <row r="16" spans="1:17">
      <c r="B16" t="s">
        <v>22</v>
      </c>
      <c r="K16" s="73"/>
      <c r="L16" s="73"/>
      <c r="M16" s="73"/>
      <c r="N16" s="73"/>
      <c r="O16" s="73"/>
      <c r="P16" s="73"/>
      <c r="Q16" s="73"/>
    </row>
    <row r="17" spans="1:17">
      <c r="C17" t="s">
        <v>23</v>
      </c>
      <c r="K17" s="77">
        <v>309582</v>
      </c>
      <c r="L17" s="73">
        <v>681792</v>
      </c>
      <c r="M17" s="73">
        <v>413737</v>
      </c>
      <c r="N17">
        <v>57397</v>
      </c>
      <c r="O17" s="73">
        <v>134440</v>
      </c>
      <c r="P17" s="73">
        <v>808819</v>
      </c>
      <c r="Q17" s="73">
        <f>SUM(K17:P17)</f>
        <v>2405767</v>
      </c>
    </row>
    <row r="18" spans="1:17">
      <c r="C18" t="s">
        <v>27</v>
      </c>
      <c r="K18" s="78">
        <v>6373</v>
      </c>
      <c r="L18" s="73">
        <v>55782</v>
      </c>
      <c r="M18" s="73"/>
      <c r="N18">
        <v>11300</v>
      </c>
      <c r="O18" s="73"/>
      <c r="P18" s="73">
        <v>62129</v>
      </c>
      <c r="Q18" s="73">
        <f>SUM(K18:P18)</f>
        <v>135584</v>
      </c>
    </row>
    <row r="19" spans="1:17">
      <c r="K19" s="73"/>
      <c r="L19" s="73"/>
      <c r="M19" s="73"/>
      <c r="N19" s="73"/>
      <c r="O19" s="73"/>
      <c r="P19" s="73"/>
      <c r="Q19" s="73"/>
    </row>
    <row r="20" spans="1:17" s="5" customFormat="1">
      <c r="B20" s="6"/>
      <c r="C20" s="6"/>
      <c r="D20" s="6"/>
      <c r="E20" s="6" t="s">
        <v>28</v>
      </c>
      <c r="K20" s="79">
        <f t="shared" ref="K20:Q20" si="1">SUM(K17:K18)</f>
        <v>315955</v>
      </c>
      <c r="L20" s="79">
        <f t="shared" si="1"/>
        <v>737574</v>
      </c>
      <c r="M20" s="79">
        <f t="shared" si="1"/>
        <v>413737</v>
      </c>
      <c r="N20" s="79">
        <f t="shared" si="1"/>
        <v>68697</v>
      </c>
      <c r="O20" s="79">
        <f t="shared" si="1"/>
        <v>134440</v>
      </c>
      <c r="P20" s="79">
        <f t="shared" si="1"/>
        <v>870948</v>
      </c>
      <c r="Q20" s="79">
        <f t="shared" si="1"/>
        <v>2541351</v>
      </c>
    </row>
    <row r="21" spans="1:17">
      <c r="K21" s="73"/>
      <c r="L21" s="73"/>
      <c r="M21" s="73"/>
      <c r="N21" s="73"/>
      <c r="O21" s="73"/>
      <c r="P21" s="73"/>
      <c r="Q21" s="73"/>
    </row>
    <row r="22" spans="1:17">
      <c r="A22" s="71" t="s">
        <v>167</v>
      </c>
      <c r="K22" s="73"/>
      <c r="L22" s="73"/>
      <c r="M22" s="73"/>
      <c r="N22" s="73"/>
      <c r="O22" s="73"/>
      <c r="P22" s="73"/>
      <c r="Q22" s="73"/>
    </row>
    <row r="23" spans="1:17">
      <c r="A23" s="71"/>
      <c r="B23" t="s">
        <v>168</v>
      </c>
      <c r="K23" s="73"/>
      <c r="L23" s="73"/>
      <c r="M23" s="73"/>
      <c r="N23" s="73"/>
      <c r="O23" s="73"/>
      <c r="P23" s="73"/>
      <c r="Q23" s="73"/>
    </row>
    <row r="24" spans="1:17">
      <c r="A24" s="71"/>
      <c r="C24" t="s">
        <v>169</v>
      </c>
      <c r="K24" s="73">
        <v>89511</v>
      </c>
      <c r="L24" s="73">
        <v>110685</v>
      </c>
      <c r="M24" s="73">
        <v>416912</v>
      </c>
      <c r="N24" s="73"/>
      <c r="O24" s="73"/>
      <c r="P24" s="73">
        <v>210825</v>
      </c>
      <c r="Q24" s="73">
        <f>SUM(K24:P24)</f>
        <v>827933</v>
      </c>
    </row>
    <row r="25" spans="1:17">
      <c r="C25" t="s">
        <v>47</v>
      </c>
      <c r="K25" s="88">
        <v>127732</v>
      </c>
      <c r="L25" s="88">
        <v>199365</v>
      </c>
      <c r="M25" s="88">
        <v>115229</v>
      </c>
      <c r="N25" s="88"/>
      <c r="O25" s="88"/>
      <c r="P25" s="88">
        <v>420391</v>
      </c>
      <c r="Q25" s="88">
        <f>SUM(K25:P25)</f>
        <v>862717</v>
      </c>
    </row>
    <row r="26" spans="1:17">
      <c r="K26" s="73"/>
      <c r="L26" s="73"/>
      <c r="M26" s="73"/>
      <c r="N26" s="73"/>
      <c r="O26" s="73"/>
      <c r="P26" s="73"/>
      <c r="Q26" s="73"/>
    </row>
    <row r="27" spans="1:17" s="5" customFormat="1">
      <c r="B27" s="6"/>
      <c r="C27" s="6"/>
      <c r="D27" s="6"/>
      <c r="E27" s="6" t="s">
        <v>170</v>
      </c>
      <c r="K27" s="79">
        <f>SUM(K24:K25)</f>
        <v>217243</v>
      </c>
      <c r="L27" s="79">
        <f>SUM(L24:L25)</f>
        <v>310050</v>
      </c>
      <c r="M27" s="79">
        <f>SUM(M24:M25)</f>
        <v>532141</v>
      </c>
      <c r="N27" s="79">
        <f>SUM(N24:N26)</f>
        <v>0</v>
      </c>
      <c r="O27" s="79">
        <f>SUM(O24:O25)</f>
        <v>0</v>
      </c>
      <c r="P27" s="79">
        <f>SUM(P24:P25)</f>
        <v>631216</v>
      </c>
      <c r="Q27" s="79">
        <f>SUM(Q24:Q25)</f>
        <v>1690650</v>
      </c>
    </row>
    <row r="28" spans="1:17">
      <c r="K28" s="73"/>
      <c r="L28" s="73"/>
      <c r="M28" s="73"/>
      <c r="N28" s="73"/>
      <c r="O28" s="73"/>
      <c r="P28" s="73"/>
      <c r="Q28" s="73"/>
    </row>
    <row r="29" spans="1:17">
      <c r="B29" t="s">
        <v>100</v>
      </c>
      <c r="K29" s="73"/>
      <c r="L29" s="73"/>
      <c r="M29" s="73"/>
      <c r="N29" s="73"/>
      <c r="O29" s="73"/>
      <c r="P29" s="73"/>
      <c r="Q29" s="73"/>
    </row>
    <row r="30" spans="1:17">
      <c r="C30" t="s">
        <v>101</v>
      </c>
      <c r="K30" s="73"/>
      <c r="L30" s="73"/>
      <c r="M30" s="73"/>
      <c r="N30" s="73"/>
      <c r="O30" s="73">
        <v>8185472</v>
      </c>
      <c r="P30" s="73"/>
      <c r="Q30" s="73">
        <f>SUM(K30:P30)</f>
        <v>8185472</v>
      </c>
    </row>
    <row r="31" spans="1:17">
      <c r="C31" t="s">
        <v>118</v>
      </c>
      <c r="K31" s="111"/>
      <c r="L31" s="73"/>
      <c r="M31" s="73">
        <v>13233707</v>
      </c>
      <c r="N31" s="73">
        <v>7367576</v>
      </c>
      <c r="O31" s="73">
        <v>3398492</v>
      </c>
      <c r="P31" s="73">
        <v>10772365</v>
      </c>
      <c r="Q31" s="73">
        <f>SUM(K31:P31)</f>
        <v>34772140</v>
      </c>
    </row>
    <row r="32" spans="1:17">
      <c r="C32" t="s">
        <v>119</v>
      </c>
      <c r="K32" s="110">
        <v>2285906</v>
      </c>
      <c r="L32" s="73">
        <v>5684210</v>
      </c>
      <c r="M32" s="73">
        <v>284588</v>
      </c>
      <c r="N32" s="73">
        <v>134226</v>
      </c>
      <c r="O32" s="73"/>
      <c r="P32" s="73">
        <v>8889950</v>
      </c>
      <c r="Q32" s="73">
        <f>SUM(K32:P32)</f>
        <v>17278880</v>
      </c>
    </row>
    <row r="33" spans="3:17">
      <c r="C33" t="s">
        <v>48</v>
      </c>
      <c r="K33" s="86">
        <v>3596009</v>
      </c>
      <c r="L33" s="73"/>
      <c r="M33" s="73"/>
      <c r="N33" s="73"/>
      <c r="O33" s="73"/>
      <c r="P33" s="73">
        <v>-61860</v>
      </c>
      <c r="Q33" s="73">
        <f>SUM(K33:P33)</f>
        <v>3534149</v>
      </c>
    </row>
    <row r="34" spans="3:17">
      <c r="K34" s="73"/>
      <c r="L34" s="73"/>
      <c r="M34" s="73"/>
      <c r="N34" s="73"/>
      <c r="O34" s="73"/>
      <c r="P34" s="73"/>
      <c r="Q34" s="73"/>
    </row>
    <row r="35" spans="3:17" s="5" customFormat="1">
      <c r="D35" s="6"/>
      <c r="E35" s="6" t="s">
        <v>49</v>
      </c>
      <c r="K35" s="79">
        <f t="shared" ref="K35:P35" si="2">SUM(K30:K33)</f>
        <v>5881915</v>
      </c>
      <c r="L35" s="79">
        <f t="shared" si="2"/>
        <v>5684210</v>
      </c>
      <c r="M35" s="79">
        <f t="shared" si="2"/>
        <v>13518295</v>
      </c>
      <c r="N35" s="79">
        <f t="shared" si="2"/>
        <v>7501802</v>
      </c>
      <c r="O35" s="79">
        <f t="shared" si="2"/>
        <v>11583964</v>
      </c>
      <c r="P35" s="79">
        <f t="shared" si="2"/>
        <v>19600455</v>
      </c>
      <c r="Q35" s="79">
        <f>SUM(Q30:Q33)</f>
        <v>63770641</v>
      </c>
    </row>
    <row r="36" spans="3:17">
      <c r="K36" s="73"/>
      <c r="L36" s="73"/>
      <c r="M36" s="73"/>
      <c r="N36" s="73"/>
      <c r="O36" s="73"/>
      <c r="P36" s="73"/>
      <c r="Q36" s="73"/>
    </row>
    <row r="37" spans="3:17" s="7" customFormat="1">
      <c r="D37" s="8"/>
      <c r="E37" s="8" t="s">
        <v>50</v>
      </c>
      <c r="K37" s="81">
        <f>SUM(K35,K20,K27)</f>
        <v>6415113</v>
      </c>
      <c r="L37" s="81">
        <f t="shared" ref="L37:Q37" si="3">SUM(L35,L20,L27)</f>
        <v>6731834</v>
      </c>
      <c r="M37" s="81">
        <f t="shared" si="3"/>
        <v>14464173</v>
      </c>
      <c r="N37" s="81">
        <f t="shared" si="3"/>
        <v>7570499</v>
      </c>
      <c r="O37" s="81">
        <f t="shared" si="3"/>
        <v>11718404</v>
      </c>
      <c r="P37" s="81">
        <f t="shared" si="3"/>
        <v>21102619</v>
      </c>
      <c r="Q37" s="81">
        <f t="shared" si="3"/>
        <v>68002642</v>
      </c>
    </row>
    <row r="41" spans="3:17">
      <c r="Q41" s="97"/>
    </row>
    <row r="46" spans="3:17">
      <c r="Q46" s="93"/>
    </row>
  </sheetData>
  <mergeCells count="2">
    <mergeCell ref="D1:K1"/>
    <mergeCell ref="D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2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9" width="16.42578125" customWidth="1"/>
    <col min="20" max="20" width="18" customWidth="1"/>
    <col min="21" max="21" width="17.28515625" customWidth="1"/>
  </cols>
  <sheetData>
    <row r="1" spans="1:21" ht="18.75">
      <c r="D1" s="125" t="s">
        <v>171</v>
      </c>
      <c r="E1" s="125"/>
      <c r="F1" s="125"/>
      <c r="G1" s="125"/>
      <c r="H1" s="125"/>
      <c r="I1" s="125"/>
      <c r="J1" s="125"/>
      <c r="K1" s="125"/>
    </row>
    <row r="2" spans="1:21">
      <c r="D2" s="126" t="s">
        <v>1</v>
      </c>
      <c r="E2" s="126"/>
      <c r="F2" s="126"/>
      <c r="G2" s="126"/>
      <c r="H2" s="126"/>
      <c r="I2" s="126"/>
      <c r="J2" s="126"/>
      <c r="K2" s="126"/>
    </row>
    <row r="4" spans="1:21" ht="45">
      <c r="K4" s="1" t="s">
        <v>52</v>
      </c>
      <c r="L4" s="1" t="s">
        <v>172</v>
      </c>
      <c r="M4" s="1" t="s">
        <v>173</v>
      </c>
      <c r="N4" s="1" t="s">
        <v>174</v>
      </c>
      <c r="O4" s="1" t="s">
        <v>175</v>
      </c>
      <c r="P4" s="1" t="s">
        <v>176</v>
      </c>
      <c r="Q4" s="1" t="s">
        <v>177</v>
      </c>
      <c r="R4" s="1" t="s">
        <v>178</v>
      </c>
      <c r="S4" s="1" t="s">
        <v>179</v>
      </c>
      <c r="T4" s="1" t="s">
        <v>8</v>
      </c>
      <c r="U4" s="1" t="s">
        <v>9</v>
      </c>
    </row>
    <row r="5" spans="1:21">
      <c r="A5" t="s">
        <v>10</v>
      </c>
    </row>
    <row r="6" spans="1:21">
      <c r="B6" t="s">
        <v>163</v>
      </c>
      <c r="K6" s="72">
        <v>4590414</v>
      </c>
      <c r="L6" s="73">
        <v>3286688</v>
      </c>
      <c r="M6" s="73">
        <v>64920</v>
      </c>
      <c r="N6" s="73">
        <v>1942202</v>
      </c>
      <c r="O6" s="73">
        <v>1145700</v>
      </c>
      <c r="P6" s="73"/>
      <c r="Q6" s="73"/>
      <c r="R6" s="73">
        <v>1568910</v>
      </c>
      <c r="S6" s="73"/>
      <c r="T6" s="73">
        <v>3319307</v>
      </c>
      <c r="U6" s="73">
        <f>SUM(K6:T6)</f>
        <v>15918141</v>
      </c>
    </row>
    <row r="7" spans="1:21">
      <c r="B7" t="s">
        <v>12</v>
      </c>
      <c r="K7" s="77">
        <v>41057969</v>
      </c>
      <c r="L7" s="73"/>
      <c r="M7" s="73">
        <v>583805</v>
      </c>
      <c r="N7" s="73">
        <v>17369431</v>
      </c>
      <c r="O7" s="73">
        <v>10242821</v>
      </c>
      <c r="P7" s="73"/>
      <c r="Q7" s="73"/>
      <c r="R7" s="73">
        <v>14025541</v>
      </c>
      <c r="S7" s="73"/>
      <c r="T7" s="73">
        <v>29659730</v>
      </c>
      <c r="U7" s="73">
        <f t="shared" ref="U7:U15" si="0">SUM(K7:T7)</f>
        <v>112939297</v>
      </c>
    </row>
    <row r="8" spans="1:21">
      <c r="B8" t="s">
        <v>180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</row>
    <row r="9" spans="1:21">
      <c r="C9" t="s">
        <v>81</v>
      </c>
      <c r="K9" s="74">
        <v>6184670</v>
      </c>
      <c r="L9" s="73">
        <v>13778148</v>
      </c>
      <c r="M9" s="73">
        <v>7855428</v>
      </c>
      <c r="N9" s="73"/>
      <c r="O9" s="73">
        <v>5773733</v>
      </c>
      <c r="P9" s="73"/>
      <c r="Q9" s="73">
        <v>2604426</v>
      </c>
      <c r="R9" s="73"/>
      <c r="S9" s="73">
        <v>5150541</v>
      </c>
      <c r="T9" s="73">
        <v>13965173</v>
      </c>
      <c r="U9" s="73">
        <f t="shared" si="0"/>
        <v>55312119</v>
      </c>
    </row>
    <row r="10" spans="1:21">
      <c r="C10" t="s">
        <v>181</v>
      </c>
      <c r="K10" s="73"/>
      <c r="L10" s="73"/>
      <c r="M10" s="73"/>
      <c r="N10" s="73"/>
      <c r="O10" s="73">
        <v>170000</v>
      </c>
      <c r="P10" s="73"/>
      <c r="Q10" s="73"/>
      <c r="R10" s="73"/>
      <c r="S10" s="73"/>
      <c r="T10" s="73"/>
      <c r="U10" s="73">
        <f t="shared" si="0"/>
        <v>170000</v>
      </c>
    </row>
    <row r="11" spans="1:21">
      <c r="C11" t="s">
        <v>47</v>
      </c>
      <c r="K11" s="74">
        <v>29642</v>
      </c>
      <c r="L11" s="73"/>
      <c r="M11" s="73">
        <v>156</v>
      </c>
      <c r="N11" s="73">
        <v>211985</v>
      </c>
      <c r="O11" s="73">
        <v>455821</v>
      </c>
      <c r="P11" s="73"/>
      <c r="Q11" s="73"/>
      <c r="R11" s="73"/>
      <c r="S11" s="73"/>
      <c r="T11" s="73">
        <v>437966</v>
      </c>
      <c r="U11" s="73">
        <f t="shared" si="0"/>
        <v>1135570</v>
      </c>
    </row>
    <row r="12" spans="1:21">
      <c r="C12" t="s">
        <v>182</v>
      </c>
      <c r="K12" s="74">
        <v>144136</v>
      </c>
      <c r="L12" s="73"/>
      <c r="M12" s="73">
        <v>2037</v>
      </c>
      <c r="N12" s="73">
        <v>60984</v>
      </c>
      <c r="O12" s="73">
        <v>35970</v>
      </c>
      <c r="P12" s="73"/>
      <c r="Q12" s="73"/>
      <c r="R12" s="73">
        <v>49263</v>
      </c>
      <c r="S12" s="73"/>
      <c r="T12" s="73">
        <v>104216</v>
      </c>
      <c r="U12" s="73">
        <f t="shared" si="0"/>
        <v>396606</v>
      </c>
    </row>
    <row r="13" spans="1:21">
      <c r="B13" t="s">
        <v>18</v>
      </c>
      <c r="K13" s="75">
        <v>1136576</v>
      </c>
      <c r="L13" s="73">
        <v>200521</v>
      </c>
      <c r="M13" s="73">
        <v>109628</v>
      </c>
      <c r="N13" s="73">
        <v>409147</v>
      </c>
      <c r="O13" s="73">
        <v>448368</v>
      </c>
      <c r="P13" s="73"/>
      <c r="Q13" s="73"/>
      <c r="R13" s="73">
        <v>627700</v>
      </c>
      <c r="S13" s="73"/>
      <c r="T13" s="73">
        <v>1821958</v>
      </c>
      <c r="U13" s="73">
        <f t="shared" si="0"/>
        <v>4753898</v>
      </c>
    </row>
    <row r="14" spans="1:21">
      <c r="B14" t="s">
        <v>60</v>
      </c>
      <c r="K14" s="75">
        <v>212255</v>
      </c>
      <c r="L14" s="73">
        <v>258244</v>
      </c>
      <c r="M14" s="73">
        <v>161219</v>
      </c>
      <c r="N14" s="73">
        <v>179788</v>
      </c>
      <c r="O14" s="73">
        <v>705921</v>
      </c>
      <c r="P14" s="73"/>
      <c r="Q14" s="73">
        <v>49004</v>
      </c>
      <c r="R14" s="73"/>
      <c r="S14" s="73">
        <v>103002</v>
      </c>
      <c r="T14" s="73">
        <v>495034</v>
      </c>
      <c r="U14" s="73">
        <f t="shared" si="0"/>
        <v>2164467</v>
      </c>
    </row>
    <row r="15" spans="1:21">
      <c r="B15" t="s">
        <v>183</v>
      </c>
      <c r="K15" s="73"/>
      <c r="L15" s="73"/>
      <c r="M15" s="73"/>
      <c r="N15" s="73"/>
      <c r="O15" s="73">
        <v>82196</v>
      </c>
      <c r="P15" s="73"/>
      <c r="Q15" s="73"/>
      <c r="R15" s="73"/>
      <c r="S15" s="73"/>
      <c r="T15" s="73"/>
      <c r="U15" s="73">
        <f t="shared" si="0"/>
        <v>82196</v>
      </c>
    </row>
    <row r="16" spans="1:21">
      <c r="B16" t="s">
        <v>88</v>
      </c>
      <c r="K16" s="73"/>
      <c r="L16" s="73">
        <v>112394</v>
      </c>
      <c r="M16" s="73"/>
      <c r="N16" s="73"/>
      <c r="O16" s="73"/>
      <c r="P16" s="73"/>
      <c r="Q16" s="73"/>
      <c r="R16" s="73"/>
      <c r="S16" s="73"/>
      <c r="T16" s="73"/>
      <c r="U16" s="73">
        <f>SUM(K16:T16)</f>
        <v>112394</v>
      </c>
    </row>
    <row r="17" spans="1:21"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</row>
    <row r="18" spans="1:21" s="3" customFormat="1">
      <c r="A18" s="2"/>
      <c r="B18" s="2"/>
      <c r="C18" s="2"/>
      <c r="D18" s="2"/>
      <c r="E18" s="2" t="s">
        <v>20</v>
      </c>
      <c r="K18" s="76">
        <f t="shared" ref="K18:Q18" si="1">SUM(K6:K16)</f>
        <v>53355662</v>
      </c>
      <c r="L18" s="76">
        <f t="shared" si="1"/>
        <v>17635995</v>
      </c>
      <c r="M18" s="76">
        <f t="shared" si="1"/>
        <v>8777193</v>
      </c>
      <c r="N18" s="76">
        <f t="shared" si="1"/>
        <v>20173537</v>
      </c>
      <c r="O18" s="76">
        <f t="shared" si="1"/>
        <v>19060530</v>
      </c>
      <c r="P18" s="76">
        <f t="shared" si="1"/>
        <v>0</v>
      </c>
      <c r="Q18" s="76">
        <f t="shared" si="1"/>
        <v>2653430</v>
      </c>
      <c r="R18" s="76">
        <f t="shared" ref="R18:S18" si="2">SUM(R6:R16)</f>
        <v>16271414</v>
      </c>
      <c r="S18" s="76">
        <f t="shared" si="2"/>
        <v>5253543</v>
      </c>
      <c r="T18" s="76">
        <f>SUM(T6:T16)</f>
        <v>49803384</v>
      </c>
      <c r="U18" s="76">
        <f>SUM(U6:U16)</f>
        <v>192984688</v>
      </c>
    </row>
    <row r="19" spans="1:21"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</row>
    <row r="20" spans="1:21">
      <c r="A20" s="4" t="s">
        <v>21</v>
      </c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</row>
    <row r="21" spans="1:21">
      <c r="B21" t="s">
        <v>22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</row>
    <row r="22" spans="1:21">
      <c r="C22" t="s">
        <v>23</v>
      </c>
      <c r="K22" s="77">
        <v>130305</v>
      </c>
      <c r="L22" s="73">
        <v>412443</v>
      </c>
      <c r="M22" s="73">
        <v>181041</v>
      </c>
      <c r="N22" s="73">
        <v>163437</v>
      </c>
      <c r="O22" s="73">
        <v>258881</v>
      </c>
      <c r="P22" s="73"/>
      <c r="Q22" s="73"/>
      <c r="R22" s="73">
        <v>1000244</v>
      </c>
      <c r="S22" s="73"/>
      <c r="T22" s="73">
        <v>588645</v>
      </c>
      <c r="U22" s="73">
        <f>SUM(K22:T22)</f>
        <v>2734996</v>
      </c>
    </row>
    <row r="23" spans="1:21">
      <c r="C23" t="s">
        <v>184</v>
      </c>
      <c r="K23" s="77">
        <v>139340</v>
      </c>
      <c r="L23" s="73">
        <v>219860</v>
      </c>
      <c r="M23" s="73">
        <v>25174</v>
      </c>
      <c r="N23" s="73">
        <v>44408</v>
      </c>
      <c r="O23" s="73">
        <v>136523</v>
      </c>
      <c r="P23" s="73"/>
      <c r="Q23" s="73"/>
      <c r="R23" s="73"/>
      <c r="S23" s="73"/>
      <c r="T23" s="73">
        <v>330930</v>
      </c>
      <c r="U23" s="73">
        <f t="shared" ref="U23:U27" si="3">SUM(K23:T23)</f>
        <v>896235</v>
      </c>
    </row>
    <row r="24" spans="1:21">
      <c r="C24" t="s">
        <v>24</v>
      </c>
      <c r="K24" s="73"/>
      <c r="L24" s="73"/>
      <c r="M24" s="73"/>
      <c r="N24" s="73"/>
      <c r="O24" s="73"/>
      <c r="P24" s="73"/>
      <c r="Q24" s="73"/>
      <c r="R24" s="73">
        <v>779557</v>
      </c>
      <c r="S24" s="73"/>
      <c r="T24" s="73"/>
      <c r="U24" s="73">
        <f t="shared" si="3"/>
        <v>779557</v>
      </c>
    </row>
    <row r="25" spans="1:21">
      <c r="C25" t="s">
        <v>27</v>
      </c>
      <c r="K25" s="73"/>
      <c r="L25" s="73"/>
      <c r="M25" s="73"/>
      <c r="N25" s="73"/>
      <c r="O25" s="73"/>
      <c r="P25" s="73"/>
      <c r="Q25" s="73">
        <v>1913254</v>
      </c>
      <c r="R25" s="73"/>
      <c r="S25" s="73">
        <v>2771732</v>
      </c>
      <c r="T25" s="73">
        <v>68912</v>
      </c>
      <c r="U25" s="73">
        <f t="shared" si="3"/>
        <v>4753898</v>
      </c>
    </row>
    <row r="26" spans="1:21">
      <c r="C26" t="s">
        <v>26</v>
      </c>
      <c r="K26" s="84">
        <v>73941</v>
      </c>
      <c r="L26" s="73"/>
      <c r="M26" s="73"/>
      <c r="N26" s="73"/>
      <c r="O26" s="73">
        <v>100</v>
      </c>
      <c r="P26" s="73"/>
      <c r="Q26" s="73"/>
      <c r="R26" s="73"/>
      <c r="S26" s="73"/>
      <c r="T26" s="73">
        <v>8954</v>
      </c>
      <c r="U26" s="73">
        <f t="shared" si="3"/>
        <v>82995</v>
      </c>
    </row>
    <row r="27" spans="1:21">
      <c r="C27" t="s">
        <v>185</v>
      </c>
      <c r="K27" s="73"/>
      <c r="L27" s="73"/>
      <c r="M27" s="73">
        <v>859366</v>
      </c>
      <c r="N27" s="73"/>
      <c r="O27" s="73"/>
      <c r="P27" s="73"/>
      <c r="Q27" s="73"/>
      <c r="R27" s="73"/>
      <c r="S27" s="73"/>
      <c r="T27" s="73"/>
      <c r="U27" s="73">
        <f t="shared" si="3"/>
        <v>859366</v>
      </c>
    </row>
    <row r="28" spans="1:21">
      <c r="C28" t="s">
        <v>95</v>
      </c>
      <c r="K28" s="78">
        <v>4906</v>
      </c>
      <c r="L28" s="73"/>
      <c r="M28" s="73"/>
      <c r="N28" s="73">
        <v>2596</v>
      </c>
      <c r="O28" s="73">
        <v>46297</v>
      </c>
      <c r="P28" s="73"/>
      <c r="Q28" s="73"/>
      <c r="R28" s="73"/>
      <c r="S28" s="73">
        <v>430133</v>
      </c>
      <c r="T28" s="73">
        <v>71053</v>
      </c>
      <c r="U28" s="73">
        <f>SUM(K28:T28)</f>
        <v>554985</v>
      </c>
    </row>
    <row r="29" spans="1:21"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</row>
    <row r="30" spans="1:21" s="5" customFormat="1">
      <c r="B30" s="6"/>
      <c r="C30" s="6"/>
      <c r="D30" s="6"/>
      <c r="E30" s="6" t="s">
        <v>28</v>
      </c>
      <c r="K30" s="79">
        <f t="shared" ref="K30:S30" si="4">SUM(K22:K28)</f>
        <v>348492</v>
      </c>
      <c r="L30" s="79">
        <f t="shared" si="4"/>
        <v>632303</v>
      </c>
      <c r="M30" s="79">
        <f t="shared" si="4"/>
        <v>1065581</v>
      </c>
      <c r="N30" s="79">
        <f t="shared" si="4"/>
        <v>210441</v>
      </c>
      <c r="O30" s="79">
        <f t="shared" si="4"/>
        <v>441801</v>
      </c>
      <c r="P30" s="79">
        <f t="shared" si="4"/>
        <v>0</v>
      </c>
      <c r="Q30" s="79">
        <f t="shared" si="4"/>
        <v>1913254</v>
      </c>
      <c r="R30" s="79">
        <f t="shared" si="4"/>
        <v>1779801</v>
      </c>
      <c r="S30" s="79">
        <f t="shared" si="4"/>
        <v>3201865</v>
      </c>
      <c r="T30" s="79">
        <f>SUM(T22:T28)</f>
        <v>1068494</v>
      </c>
      <c r="U30" s="79">
        <f>SUM(U22:U28)</f>
        <v>10662032</v>
      </c>
    </row>
    <row r="31" spans="1:21"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</row>
    <row r="32" spans="1:21">
      <c r="A32" s="71" t="s">
        <v>29</v>
      </c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</row>
    <row r="33" spans="1:21">
      <c r="A33" s="71"/>
      <c r="B33" t="s">
        <v>186</v>
      </c>
      <c r="K33" s="73">
        <v>53502</v>
      </c>
      <c r="L33" s="73">
        <v>35574</v>
      </c>
      <c r="M33" s="73">
        <v>26261</v>
      </c>
      <c r="N33" s="73"/>
      <c r="O33" s="73">
        <v>2234</v>
      </c>
      <c r="P33" s="73"/>
      <c r="Q33" s="73"/>
      <c r="R33" s="73"/>
      <c r="S33" s="73">
        <v>1663</v>
      </c>
      <c r="T33" s="73">
        <v>31830</v>
      </c>
      <c r="U33" s="73">
        <f>SUM(K33:T33)</f>
        <v>151064</v>
      </c>
    </row>
    <row r="34" spans="1:21">
      <c r="B34" t="s">
        <v>30</v>
      </c>
      <c r="K34" s="88"/>
      <c r="L34" s="88"/>
      <c r="M34" s="88"/>
      <c r="N34" s="88"/>
      <c r="O34" s="88">
        <v>62293</v>
      </c>
      <c r="P34" s="88"/>
      <c r="Q34" s="88"/>
      <c r="R34" s="88"/>
      <c r="S34" s="88"/>
      <c r="T34" s="88"/>
      <c r="U34" s="88">
        <f>SUM(K34:T34)</f>
        <v>62293</v>
      </c>
    </row>
    <row r="35" spans="1:21"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</row>
    <row r="36" spans="1:21" s="5" customFormat="1">
      <c r="B36" s="6"/>
      <c r="C36" s="6"/>
      <c r="D36" s="6"/>
      <c r="E36" s="6" t="s">
        <v>187</v>
      </c>
      <c r="K36" s="79">
        <f>SUM(K33:K34)</f>
        <v>53502</v>
      </c>
      <c r="L36" s="79">
        <f t="shared" ref="L36:S36" si="5">SUM(L33:L34)</f>
        <v>35574</v>
      </c>
      <c r="M36" s="79">
        <f t="shared" si="5"/>
        <v>26261</v>
      </c>
      <c r="N36" s="79">
        <f t="shared" si="5"/>
        <v>0</v>
      </c>
      <c r="O36" s="79">
        <f t="shared" si="5"/>
        <v>64527</v>
      </c>
      <c r="P36" s="79">
        <f t="shared" si="5"/>
        <v>0</v>
      </c>
      <c r="Q36" s="79">
        <f t="shared" si="5"/>
        <v>0</v>
      </c>
      <c r="R36" s="79">
        <f t="shared" si="5"/>
        <v>0</v>
      </c>
      <c r="S36" s="79">
        <f t="shared" si="5"/>
        <v>1663</v>
      </c>
      <c r="T36" s="79">
        <f>SUM(T33:T34)</f>
        <v>31830</v>
      </c>
      <c r="U36" s="79">
        <f>SUM(U33:U34)</f>
        <v>213357</v>
      </c>
    </row>
    <row r="37" spans="1:21"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</row>
    <row r="38" spans="1:21">
      <c r="B38" t="s">
        <v>31</v>
      </c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</row>
    <row r="39" spans="1:21">
      <c r="C39" t="s">
        <v>188</v>
      </c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</row>
    <row r="40" spans="1:21">
      <c r="D40" t="s">
        <v>189</v>
      </c>
      <c r="K40" s="73"/>
      <c r="L40" s="73">
        <v>112394</v>
      </c>
      <c r="M40" s="73"/>
      <c r="N40" s="73"/>
      <c r="O40" s="73"/>
      <c r="P40" s="73"/>
      <c r="Q40" s="73"/>
      <c r="R40" s="73"/>
      <c r="S40" s="73"/>
      <c r="T40" s="73"/>
      <c r="U40" s="73">
        <f t="shared" ref="U40:U58" si="6">SUM(K40:T40)</f>
        <v>112394</v>
      </c>
    </row>
    <row r="41" spans="1:21">
      <c r="C41" t="s">
        <v>32</v>
      </c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</row>
    <row r="42" spans="1:21">
      <c r="D42" t="s">
        <v>190</v>
      </c>
      <c r="K42" s="73"/>
      <c r="L42" s="73"/>
      <c r="M42" s="73">
        <v>7685351</v>
      </c>
      <c r="N42" s="73"/>
      <c r="O42" s="73"/>
      <c r="P42" s="73"/>
      <c r="Q42" s="73"/>
      <c r="R42" s="73"/>
      <c r="S42" s="73">
        <v>1953089</v>
      </c>
      <c r="T42" s="73">
        <v>3119183</v>
      </c>
      <c r="U42" s="73">
        <f t="shared" si="6"/>
        <v>12757623</v>
      </c>
    </row>
    <row r="43" spans="1:21">
      <c r="D43" t="s">
        <v>147</v>
      </c>
      <c r="K43" s="73"/>
      <c r="L43" s="73"/>
      <c r="M43" s="73"/>
      <c r="N43" s="73"/>
      <c r="O43" s="73"/>
      <c r="P43" s="73"/>
      <c r="Q43" s="73"/>
      <c r="R43" s="73"/>
      <c r="S43" s="73"/>
      <c r="T43" s="73">
        <v>4310288</v>
      </c>
      <c r="U43" s="73">
        <f t="shared" si="6"/>
        <v>4310288</v>
      </c>
    </row>
    <row r="44" spans="1:21">
      <c r="D44" t="s">
        <v>191</v>
      </c>
      <c r="K44" s="73"/>
      <c r="L44" s="73"/>
      <c r="M44" s="73"/>
      <c r="N44" s="73"/>
      <c r="O44" s="73">
        <v>18418298</v>
      </c>
      <c r="P44" s="73"/>
      <c r="Q44" s="73"/>
      <c r="R44" s="73"/>
      <c r="S44" s="73"/>
      <c r="T44" s="73"/>
      <c r="U44" s="73">
        <f t="shared" si="6"/>
        <v>18418298</v>
      </c>
    </row>
    <row r="45" spans="1:21">
      <c r="D45" t="s">
        <v>192</v>
      </c>
      <c r="K45" s="73"/>
      <c r="L45" s="73"/>
      <c r="M45" s="73"/>
      <c r="N45" s="73"/>
      <c r="O45" s="73"/>
      <c r="P45" s="73"/>
      <c r="Q45" s="73"/>
      <c r="R45" s="73"/>
      <c r="S45" s="73"/>
      <c r="T45" s="73">
        <v>7551677</v>
      </c>
      <c r="U45" s="73">
        <f t="shared" si="6"/>
        <v>7551677</v>
      </c>
    </row>
    <row r="46" spans="1:21">
      <c r="D46" t="s">
        <v>71</v>
      </c>
      <c r="K46" s="73"/>
      <c r="L46" s="73"/>
      <c r="M46" s="73"/>
      <c r="N46" s="73">
        <v>19963096</v>
      </c>
      <c r="O46" s="73"/>
      <c r="P46" s="73"/>
      <c r="Q46" s="73"/>
      <c r="R46" s="73"/>
      <c r="S46" s="73"/>
      <c r="T46" s="73"/>
      <c r="U46" s="73">
        <f t="shared" si="6"/>
        <v>19963096</v>
      </c>
    </row>
    <row r="47" spans="1:21">
      <c r="D47" t="s">
        <v>109</v>
      </c>
      <c r="K47" s="73"/>
      <c r="L47" s="73">
        <v>16855724</v>
      </c>
      <c r="M47" s="73"/>
      <c r="N47" s="73"/>
      <c r="O47" s="73"/>
      <c r="P47" s="73"/>
      <c r="Q47" s="73"/>
      <c r="R47" s="73"/>
      <c r="S47" s="73"/>
      <c r="T47" s="73">
        <v>2954148</v>
      </c>
      <c r="U47" s="73">
        <f t="shared" si="6"/>
        <v>19809872</v>
      </c>
    </row>
    <row r="48" spans="1:21">
      <c r="D48" t="s">
        <v>45</v>
      </c>
      <c r="K48" s="73"/>
      <c r="L48" s="73"/>
      <c r="M48" s="73"/>
      <c r="N48" s="73"/>
      <c r="O48" s="73"/>
      <c r="P48" s="73"/>
      <c r="Q48" s="73">
        <v>666506</v>
      </c>
      <c r="R48" s="73"/>
      <c r="S48" s="73"/>
      <c r="T48" s="73"/>
      <c r="U48" s="73">
        <f t="shared" si="6"/>
        <v>666506</v>
      </c>
    </row>
    <row r="49" spans="3:21">
      <c r="D49" t="s">
        <v>43</v>
      </c>
      <c r="K49" s="73"/>
      <c r="L49" s="73"/>
      <c r="M49" s="73"/>
      <c r="N49" s="73"/>
      <c r="O49" s="73"/>
      <c r="P49" s="73"/>
      <c r="Q49" s="73"/>
      <c r="R49" s="73"/>
      <c r="S49" s="73"/>
      <c r="T49" s="73">
        <v>2960859</v>
      </c>
      <c r="U49" s="73">
        <f t="shared" si="6"/>
        <v>2960859</v>
      </c>
    </row>
    <row r="50" spans="3:21">
      <c r="D50" t="s">
        <v>44</v>
      </c>
      <c r="K50" s="73"/>
      <c r="L50" s="73"/>
      <c r="M50" s="73"/>
      <c r="N50" s="73"/>
      <c r="O50" s="73"/>
      <c r="P50" s="73"/>
      <c r="Q50" s="73"/>
      <c r="R50" s="73">
        <v>14491613</v>
      </c>
      <c r="S50" s="73"/>
      <c r="T50" s="73">
        <v>14657797</v>
      </c>
      <c r="U50" s="73">
        <f t="shared" si="6"/>
        <v>29149410</v>
      </c>
    </row>
    <row r="51" spans="3:21">
      <c r="C51" t="s">
        <v>38</v>
      </c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</row>
    <row r="52" spans="3:21">
      <c r="D52" t="s">
        <v>193</v>
      </c>
      <c r="K52" s="80">
        <v>36963755</v>
      </c>
      <c r="L52" s="73"/>
      <c r="M52" s="73"/>
      <c r="N52" s="73"/>
      <c r="O52" s="73"/>
      <c r="P52" s="73"/>
      <c r="Q52" s="73"/>
      <c r="R52" s="73"/>
      <c r="S52" s="73"/>
      <c r="T52" s="73"/>
      <c r="U52" s="73">
        <f t="shared" si="6"/>
        <v>36963755</v>
      </c>
    </row>
    <row r="53" spans="3:21">
      <c r="D53" t="s">
        <v>45</v>
      </c>
      <c r="K53" s="73"/>
      <c r="L53" s="73"/>
      <c r="M53" s="73"/>
      <c r="N53" s="73"/>
      <c r="O53" s="73"/>
      <c r="P53" s="73"/>
      <c r="Q53" s="73"/>
      <c r="R53" s="73"/>
      <c r="S53" s="73"/>
      <c r="T53" s="73">
        <v>645202</v>
      </c>
      <c r="U53" s="73">
        <f t="shared" si="6"/>
        <v>645202</v>
      </c>
    </row>
    <row r="54" spans="3:21">
      <c r="D54" t="s">
        <v>194</v>
      </c>
      <c r="K54" s="73"/>
      <c r="L54" s="73"/>
      <c r="M54" s="73"/>
      <c r="N54" s="73"/>
      <c r="O54" s="73">
        <v>135904</v>
      </c>
      <c r="P54" s="73"/>
      <c r="Q54" s="73">
        <v>73670</v>
      </c>
      <c r="R54" s="73"/>
      <c r="S54" s="73">
        <v>96926</v>
      </c>
      <c r="T54" s="73">
        <v>2131374</v>
      </c>
      <c r="U54" s="73">
        <f t="shared" si="6"/>
        <v>2437874</v>
      </c>
    </row>
    <row r="55" spans="3:21">
      <c r="C55" t="s">
        <v>42</v>
      </c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</row>
    <row r="56" spans="3:21">
      <c r="D56" t="s">
        <v>195</v>
      </c>
      <c r="K56" s="110">
        <v>6046</v>
      </c>
      <c r="L56" s="73"/>
      <c r="M56" s="73"/>
      <c r="N56" s="73"/>
      <c r="O56" s="73"/>
      <c r="P56" s="73"/>
      <c r="Q56" s="73"/>
      <c r="R56" s="73"/>
      <c r="S56" s="73"/>
      <c r="T56" s="73">
        <v>10372532</v>
      </c>
      <c r="U56" s="73">
        <f t="shared" si="6"/>
        <v>10378578</v>
      </c>
    </row>
    <row r="57" spans="3:21">
      <c r="D57" t="s">
        <v>196</v>
      </c>
      <c r="K57" s="110">
        <v>600000</v>
      </c>
      <c r="L57" s="73"/>
      <c r="M57" s="73"/>
      <c r="N57" s="73"/>
      <c r="O57" s="73"/>
      <c r="P57" s="73"/>
      <c r="Q57" s="73"/>
      <c r="R57" s="73"/>
      <c r="S57" s="73"/>
      <c r="T57" s="73"/>
      <c r="U57" s="73">
        <f t="shared" si="6"/>
        <v>600000</v>
      </c>
    </row>
    <row r="58" spans="3:21">
      <c r="C58" t="s">
        <v>48</v>
      </c>
      <c r="K58" s="86">
        <v>15383867</v>
      </c>
      <c r="L58" s="73"/>
      <c r="M58" s="73"/>
      <c r="N58" s="73"/>
      <c r="O58" s="73"/>
      <c r="P58" s="73"/>
      <c r="Q58" s="73"/>
      <c r="R58" s="73"/>
      <c r="S58" s="73"/>
      <c r="T58" s="73"/>
      <c r="U58" s="73">
        <f t="shared" si="6"/>
        <v>15383867</v>
      </c>
    </row>
    <row r="59" spans="3:21"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</row>
    <row r="60" spans="3:21" s="5" customFormat="1">
      <c r="D60" s="6"/>
      <c r="E60" s="6" t="s">
        <v>49</v>
      </c>
      <c r="K60" s="79">
        <f t="shared" ref="K60:P60" si="7">SUM(K39:K58)</f>
        <v>52953668</v>
      </c>
      <c r="L60" s="79">
        <f t="shared" si="7"/>
        <v>16968118</v>
      </c>
      <c r="M60" s="79">
        <f t="shared" si="7"/>
        <v>7685351</v>
      </c>
      <c r="N60" s="79">
        <f t="shared" si="7"/>
        <v>19963096</v>
      </c>
      <c r="O60" s="79">
        <f t="shared" si="7"/>
        <v>18554202</v>
      </c>
      <c r="P60" s="79">
        <f t="shared" si="7"/>
        <v>0</v>
      </c>
      <c r="Q60" s="79">
        <f>SUM(Q39:Q58)</f>
        <v>740176</v>
      </c>
      <c r="R60" s="79">
        <f t="shared" ref="R60:S60" si="8">SUM(R39:R58)</f>
        <v>14491613</v>
      </c>
      <c r="S60" s="79">
        <f t="shared" si="8"/>
        <v>2050015</v>
      </c>
      <c r="T60" s="79">
        <f>SUM(T39:T58)</f>
        <v>48703060</v>
      </c>
      <c r="U60" s="79">
        <f>SUM(U39:U58)</f>
        <v>182109299</v>
      </c>
    </row>
    <row r="61" spans="3:21"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</row>
    <row r="62" spans="3:21" s="7" customFormat="1">
      <c r="D62" s="8"/>
      <c r="E62" s="8" t="s">
        <v>50</v>
      </c>
      <c r="K62" s="81">
        <f t="shared" ref="K62:S62" si="9">K60+K36+K30</f>
        <v>53355662</v>
      </c>
      <c r="L62" s="81">
        <f t="shared" si="9"/>
        <v>17635995</v>
      </c>
      <c r="M62" s="81">
        <f t="shared" si="9"/>
        <v>8777193</v>
      </c>
      <c r="N62" s="81">
        <f t="shared" si="9"/>
        <v>20173537</v>
      </c>
      <c r="O62" s="81">
        <f t="shared" si="9"/>
        <v>19060530</v>
      </c>
      <c r="P62" s="81">
        <f t="shared" si="9"/>
        <v>0</v>
      </c>
      <c r="Q62" s="81">
        <f t="shared" si="9"/>
        <v>2653430</v>
      </c>
      <c r="R62" s="81">
        <f t="shared" si="9"/>
        <v>16271414</v>
      </c>
      <c r="S62" s="81">
        <f t="shared" si="9"/>
        <v>5253543</v>
      </c>
      <c r="T62" s="81">
        <f t="shared" ref="T62:U62" si="10">T60+T36+T30</f>
        <v>49803384</v>
      </c>
      <c r="U62" s="81">
        <f t="shared" si="10"/>
        <v>192984688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6"/>
  <sheetViews>
    <sheetView topLeftCell="C1" workbookViewId="0">
      <selection activeCell="J28" sqref="J28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9" customWidth="1"/>
    <col min="15" max="15" width="16.42578125" customWidth="1"/>
    <col min="16" max="16" width="17.7109375" customWidth="1"/>
  </cols>
  <sheetData>
    <row r="1" spans="1:16" ht="18.75">
      <c r="D1" s="125" t="s">
        <v>197</v>
      </c>
      <c r="E1" s="125"/>
      <c r="F1" s="125"/>
      <c r="G1" s="125"/>
      <c r="H1" s="125"/>
      <c r="I1" s="125"/>
      <c r="J1" s="125"/>
      <c r="K1" s="125"/>
    </row>
    <row r="2" spans="1:16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6" ht="45">
      <c r="K4" s="1" t="s">
        <v>52</v>
      </c>
      <c r="L4" s="1" t="s">
        <v>198</v>
      </c>
      <c r="M4" s="1" t="s">
        <v>199</v>
      </c>
      <c r="N4" s="1" t="s">
        <v>200</v>
      </c>
      <c r="O4" s="1" t="s">
        <v>8</v>
      </c>
      <c r="P4" s="1" t="s">
        <v>9</v>
      </c>
    </row>
    <row r="5" spans="1:16">
      <c r="A5" t="s">
        <v>10</v>
      </c>
    </row>
    <row r="6" spans="1:16">
      <c r="B6" t="s">
        <v>79</v>
      </c>
      <c r="K6" s="72">
        <v>14067607</v>
      </c>
      <c r="L6" s="73">
        <v>7166488</v>
      </c>
      <c r="M6" s="73">
        <v>1171331</v>
      </c>
      <c r="N6" s="73">
        <v>24479124</v>
      </c>
      <c r="O6" s="73">
        <v>12610292</v>
      </c>
      <c r="P6" s="73">
        <f>SUM(K6:O6)</f>
        <v>59494842</v>
      </c>
    </row>
    <row r="7" spans="1:16">
      <c r="B7" t="s">
        <v>12</v>
      </c>
      <c r="K7" s="77">
        <v>43137940</v>
      </c>
      <c r="L7" s="73">
        <v>23116500</v>
      </c>
      <c r="M7" s="73">
        <v>3780323</v>
      </c>
      <c r="N7" s="73">
        <v>78964727</v>
      </c>
      <c r="O7" s="73">
        <v>38215571</v>
      </c>
      <c r="P7" s="73">
        <f>SUM(K7:O7)</f>
        <v>187215061</v>
      </c>
    </row>
    <row r="8" spans="1:16">
      <c r="B8" t="s">
        <v>201</v>
      </c>
      <c r="K8" s="73"/>
      <c r="L8" s="73"/>
      <c r="M8" s="73"/>
      <c r="N8" s="73"/>
      <c r="O8" s="73"/>
      <c r="P8" s="73"/>
    </row>
    <row r="9" spans="1:16">
      <c r="C9" t="s">
        <v>169</v>
      </c>
      <c r="K9" s="74">
        <v>10322837</v>
      </c>
      <c r="L9" s="73"/>
      <c r="M9" s="73">
        <v>9388259</v>
      </c>
      <c r="N9" s="73">
        <v>4743635</v>
      </c>
      <c r="O9" s="73">
        <v>21860013</v>
      </c>
      <c r="P9" s="73">
        <f t="shared" ref="P9:P19" si="0">SUM(K9:O9)</f>
        <v>46314744</v>
      </c>
    </row>
    <row r="10" spans="1:16">
      <c r="C10" t="s">
        <v>202</v>
      </c>
      <c r="K10" s="73"/>
      <c r="L10" s="73">
        <v>900763</v>
      </c>
      <c r="M10" s="73"/>
      <c r="N10" s="73">
        <v>1697729</v>
      </c>
      <c r="O10" s="73">
        <v>623673</v>
      </c>
      <c r="P10" s="73">
        <f t="shared" si="0"/>
        <v>3222165</v>
      </c>
    </row>
    <row r="11" spans="1:16">
      <c r="C11" t="s">
        <v>203</v>
      </c>
      <c r="K11" s="74">
        <v>303886</v>
      </c>
      <c r="L11" s="73"/>
      <c r="M11" s="73"/>
      <c r="N11" s="73"/>
      <c r="O11" s="73"/>
      <c r="P11" s="73">
        <f t="shared" si="0"/>
        <v>303886</v>
      </c>
    </row>
    <row r="12" spans="1:16">
      <c r="B12" t="s">
        <v>204</v>
      </c>
      <c r="K12" s="74">
        <v>86114</v>
      </c>
      <c r="L12" s="73">
        <v>41635</v>
      </c>
      <c r="M12" s="73">
        <v>8380</v>
      </c>
      <c r="N12" s="73">
        <v>142478</v>
      </c>
      <c r="O12" s="73">
        <v>69709</v>
      </c>
      <c r="P12" s="73">
        <f t="shared" si="0"/>
        <v>348316</v>
      </c>
    </row>
    <row r="13" spans="1:16">
      <c r="B13" t="s">
        <v>205</v>
      </c>
      <c r="K13" s="74">
        <v>290120</v>
      </c>
      <c r="L13" s="73">
        <v>47016</v>
      </c>
      <c r="M13" s="73"/>
      <c r="N13" s="73">
        <v>149595</v>
      </c>
      <c r="O13" s="73">
        <v>5226734</v>
      </c>
      <c r="P13" s="73">
        <f t="shared" si="0"/>
        <v>5713465</v>
      </c>
    </row>
    <row r="14" spans="1:16">
      <c r="B14" t="s">
        <v>18</v>
      </c>
      <c r="K14" s="75">
        <v>1916165</v>
      </c>
      <c r="L14" s="73"/>
      <c r="M14" s="73"/>
      <c r="N14" s="73"/>
      <c r="O14" s="73">
        <v>70691</v>
      </c>
      <c r="P14" s="73">
        <f t="shared" si="0"/>
        <v>1986856</v>
      </c>
    </row>
    <row r="15" spans="1:16">
      <c r="B15" t="s">
        <v>19</v>
      </c>
      <c r="K15" s="75">
        <v>82064</v>
      </c>
      <c r="L15" s="73">
        <v>140834</v>
      </c>
      <c r="M15" s="73"/>
      <c r="N15" s="73"/>
      <c r="O15" s="73"/>
      <c r="P15" s="73">
        <f t="shared" si="0"/>
        <v>222898</v>
      </c>
    </row>
    <row r="16" spans="1:16">
      <c r="B16" t="s">
        <v>206</v>
      </c>
      <c r="K16" s="74">
        <v>48138</v>
      </c>
      <c r="L16" s="73"/>
      <c r="M16" s="73"/>
      <c r="N16" s="73"/>
      <c r="O16" s="73"/>
      <c r="P16" s="73">
        <f t="shared" si="0"/>
        <v>48138</v>
      </c>
    </row>
    <row r="17" spans="1:16">
      <c r="B17" t="s">
        <v>207</v>
      </c>
      <c r="K17" s="85">
        <v>201</v>
      </c>
      <c r="L17" s="73"/>
      <c r="M17" s="73"/>
      <c r="N17" s="73"/>
      <c r="O17" s="73">
        <v>64299</v>
      </c>
      <c r="P17" s="73">
        <f t="shared" si="0"/>
        <v>64500</v>
      </c>
    </row>
    <row r="18" spans="1:16">
      <c r="B18" t="s">
        <v>15</v>
      </c>
      <c r="K18" s="80">
        <v>3439616</v>
      </c>
      <c r="L18" s="73">
        <v>4179</v>
      </c>
      <c r="M18" s="73">
        <v>25002</v>
      </c>
      <c r="N18" s="73"/>
      <c r="O18" s="73">
        <v>467401</v>
      </c>
      <c r="P18" s="73">
        <f t="shared" si="0"/>
        <v>3936198</v>
      </c>
    </row>
    <row r="19" spans="1:16">
      <c r="B19" t="s">
        <v>61</v>
      </c>
      <c r="K19" s="73"/>
      <c r="L19" s="73">
        <v>726865</v>
      </c>
      <c r="M19" s="73"/>
      <c r="N19" s="73"/>
      <c r="O19" s="73">
        <v>365836</v>
      </c>
      <c r="P19" s="73">
        <f t="shared" si="0"/>
        <v>1092701</v>
      </c>
    </row>
    <row r="20" spans="1:16">
      <c r="K20" s="73"/>
      <c r="L20" s="73"/>
      <c r="M20" s="73"/>
      <c r="N20" s="73"/>
      <c r="O20" s="73"/>
      <c r="P20" s="73"/>
    </row>
    <row r="21" spans="1:16" s="3" customFormat="1">
      <c r="A21" s="2"/>
      <c r="B21" s="2"/>
      <c r="C21" s="2"/>
      <c r="D21" s="2"/>
      <c r="E21" s="2" t="s">
        <v>20</v>
      </c>
      <c r="K21" s="76">
        <f t="shared" ref="K21:P21" si="1">SUM(K6:K19)</f>
        <v>73694688</v>
      </c>
      <c r="L21" s="76">
        <f t="shared" si="1"/>
        <v>32144280</v>
      </c>
      <c r="M21" s="76">
        <f t="shared" si="1"/>
        <v>14373295</v>
      </c>
      <c r="N21" s="76">
        <f t="shared" si="1"/>
        <v>110177288</v>
      </c>
      <c r="O21" s="76">
        <f t="shared" si="1"/>
        <v>79574219</v>
      </c>
      <c r="P21" s="76">
        <f t="shared" si="1"/>
        <v>309963770</v>
      </c>
    </row>
    <row r="22" spans="1:16">
      <c r="K22" s="73"/>
      <c r="L22" s="73"/>
      <c r="M22" s="73"/>
      <c r="N22" s="73"/>
      <c r="O22" s="73"/>
      <c r="P22" s="73"/>
    </row>
    <row r="23" spans="1:16">
      <c r="A23" s="4" t="s">
        <v>21</v>
      </c>
      <c r="K23" s="73"/>
      <c r="L23" s="73"/>
      <c r="M23" s="73"/>
      <c r="N23" s="73"/>
      <c r="O23" s="73"/>
      <c r="P23" s="73"/>
    </row>
    <row r="24" spans="1:16">
      <c r="B24" t="s">
        <v>22</v>
      </c>
      <c r="K24" s="73"/>
      <c r="L24" s="73"/>
      <c r="M24" s="73"/>
      <c r="N24" s="73"/>
      <c r="O24" s="73"/>
      <c r="P24" s="73"/>
    </row>
    <row r="25" spans="1:16">
      <c r="C25" t="s">
        <v>23</v>
      </c>
      <c r="K25" s="77">
        <v>1461786</v>
      </c>
      <c r="L25" s="73">
        <v>306028</v>
      </c>
      <c r="M25" s="73">
        <v>244155</v>
      </c>
      <c r="N25" s="73">
        <v>1048785</v>
      </c>
      <c r="O25" s="73">
        <v>3024293</v>
      </c>
      <c r="P25" s="73">
        <f>SUM(K25:O25)</f>
        <v>6085047</v>
      </c>
    </row>
    <row r="26" spans="1:16">
      <c r="C26" t="s">
        <v>184</v>
      </c>
      <c r="K26" s="77">
        <v>244277</v>
      </c>
      <c r="L26" s="73">
        <v>187080</v>
      </c>
      <c r="M26" s="73">
        <v>112619</v>
      </c>
      <c r="N26" s="73"/>
      <c r="O26" s="73">
        <v>261884</v>
      </c>
      <c r="P26" s="73">
        <f>SUM(K26:O26)</f>
        <v>805860</v>
      </c>
    </row>
    <row r="27" spans="1:16">
      <c r="C27" t="s">
        <v>208</v>
      </c>
      <c r="K27" s="77">
        <v>73382</v>
      </c>
      <c r="L27" s="73">
        <v>826</v>
      </c>
      <c r="M27" s="73"/>
      <c r="N27" s="73"/>
      <c r="O27" s="73">
        <v>304917</v>
      </c>
      <c r="P27" s="73">
        <f>SUM(K27:O27)</f>
        <v>379125</v>
      </c>
    </row>
    <row r="28" spans="1:16">
      <c r="C28" t="s">
        <v>27</v>
      </c>
      <c r="K28" s="78">
        <v>58606</v>
      </c>
      <c r="L28" s="73"/>
      <c r="M28" s="73"/>
      <c r="N28" s="73"/>
      <c r="O28" s="73">
        <v>1987476</v>
      </c>
      <c r="P28" s="73">
        <f t="shared" ref="P28:P31" si="2">SUM(K28:O28)</f>
        <v>2046082</v>
      </c>
    </row>
    <row r="29" spans="1:16">
      <c r="C29" t="s">
        <v>185</v>
      </c>
      <c r="K29" s="73"/>
      <c r="L29" s="73">
        <v>3494</v>
      </c>
      <c r="M29" s="73"/>
      <c r="N29" s="73"/>
      <c r="O29" s="73">
        <v>173042</v>
      </c>
      <c r="P29" s="73">
        <f t="shared" si="2"/>
        <v>176536</v>
      </c>
    </row>
    <row r="30" spans="1:16">
      <c r="C30" t="s">
        <v>26</v>
      </c>
      <c r="K30" s="73"/>
      <c r="L30" s="73"/>
      <c r="M30" s="73"/>
      <c r="N30" s="73"/>
      <c r="O30" s="73">
        <v>1097584</v>
      </c>
      <c r="P30" s="73">
        <f t="shared" si="2"/>
        <v>1097584</v>
      </c>
    </row>
    <row r="31" spans="1:16">
      <c r="C31" t="s">
        <v>24</v>
      </c>
      <c r="K31" s="73"/>
      <c r="L31" s="73">
        <v>12532</v>
      </c>
      <c r="M31" s="73">
        <v>5780</v>
      </c>
      <c r="N31" s="73">
        <v>978108</v>
      </c>
      <c r="O31" s="73">
        <v>248817</v>
      </c>
      <c r="P31" s="73">
        <f t="shared" si="2"/>
        <v>1245237</v>
      </c>
    </row>
    <row r="32" spans="1:16">
      <c r="C32" t="s">
        <v>209</v>
      </c>
      <c r="K32" s="73"/>
      <c r="L32" s="73">
        <v>394200</v>
      </c>
      <c r="M32" s="73"/>
      <c r="N32" s="73"/>
      <c r="O32" s="73"/>
      <c r="P32" s="73">
        <f>SUM(K32:O32)</f>
        <v>394200</v>
      </c>
    </row>
    <row r="33" spans="1:16">
      <c r="C33" t="s">
        <v>117</v>
      </c>
      <c r="K33" s="83">
        <v>86366</v>
      </c>
      <c r="L33" s="73">
        <v>1120</v>
      </c>
      <c r="M33" s="73"/>
      <c r="N33" s="73"/>
      <c r="O33" s="73">
        <v>50315</v>
      </c>
      <c r="P33" s="73">
        <f>SUM(K33:O33)</f>
        <v>137801</v>
      </c>
    </row>
    <row r="34" spans="1:16">
      <c r="K34" s="73"/>
      <c r="L34" s="73"/>
      <c r="M34" s="73"/>
      <c r="N34" s="73"/>
      <c r="O34" s="73"/>
      <c r="P34" s="73"/>
    </row>
    <row r="35" spans="1:16" s="5" customFormat="1">
      <c r="B35" s="6"/>
      <c r="C35" s="6"/>
      <c r="D35" s="6"/>
      <c r="E35" s="6" t="s">
        <v>28</v>
      </c>
      <c r="K35" s="79">
        <f t="shared" ref="K35:P35" si="3">SUM(K25:K33)</f>
        <v>1924417</v>
      </c>
      <c r="L35" s="79">
        <f t="shared" si="3"/>
        <v>905280</v>
      </c>
      <c r="M35" s="79">
        <f t="shared" si="3"/>
        <v>362554</v>
      </c>
      <c r="N35" s="79">
        <f t="shared" si="3"/>
        <v>2026893</v>
      </c>
      <c r="O35" s="79">
        <f t="shared" si="3"/>
        <v>7148328</v>
      </c>
      <c r="P35" s="79">
        <f t="shared" si="3"/>
        <v>12367472</v>
      </c>
    </row>
    <row r="36" spans="1:16">
      <c r="K36" s="73"/>
      <c r="L36" s="73"/>
      <c r="M36" s="73"/>
      <c r="N36" s="73"/>
      <c r="O36" s="73"/>
      <c r="P36" s="73"/>
    </row>
    <row r="37" spans="1:16">
      <c r="A37" s="71" t="s">
        <v>29</v>
      </c>
      <c r="K37" s="73"/>
      <c r="L37" s="73"/>
      <c r="M37" s="73"/>
      <c r="N37" s="73"/>
      <c r="O37" s="73"/>
      <c r="P37" s="73"/>
    </row>
    <row r="38" spans="1:16">
      <c r="C38" t="s">
        <v>63</v>
      </c>
      <c r="K38" s="88">
        <v>10947710</v>
      </c>
      <c r="L38" s="88"/>
      <c r="M38" s="88">
        <v>9456106</v>
      </c>
      <c r="N38" s="88">
        <v>4785105</v>
      </c>
      <c r="O38" s="88">
        <v>22397566</v>
      </c>
      <c r="P38" s="88">
        <f>SUM(K38:O38)</f>
        <v>47586487</v>
      </c>
    </row>
    <row r="39" spans="1:16">
      <c r="K39" s="73"/>
      <c r="L39" s="73"/>
      <c r="M39" s="73"/>
      <c r="N39" s="73"/>
      <c r="O39" s="73"/>
      <c r="P39" s="73"/>
    </row>
    <row r="40" spans="1:16" s="5" customFormat="1">
      <c r="B40" s="6"/>
      <c r="C40" s="6"/>
      <c r="D40" s="6"/>
      <c r="E40" s="6" t="s">
        <v>99</v>
      </c>
      <c r="K40" s="79">
        <f t="shared" ref="K40:P40" si="4">SUM(K38:K38)</f>
        <v>10947710</v>
      </c>
      <c r="L40" s="79">
        <f t="shared" si="4"/>
        <v>0</v>
      </c>
      <c r="M40" s="79">
        <f t="shared" si="4"/>
        <v>9456106</v>
      </c>
      <c r="N40" s="79">
        <f t="shared" si="4"/>
        <v>4785105</v>
      </c>
      <c r="O40" s="79">
        <f t="shared" si="4"/>
        <v>22397566</v>
      </c>
      <c r="P40" s="79">
        <f t="shared" si="4"/>
        <v>47586487</v>
      </c>
    </row>
    <row r="41" spans="1:16">
      <c r="K41" s="73"/>
      <c r="L41" s="73"/>
      <c r="M41" s="73"/>
      <c r="N41" s="73"/>
      <c r="O41" s="73"/>
      <c r="P41" s="73"/>
    </row>
    <row r="42" spans="1:16">
      <c r="B42" t="s">
        <v>100</v>
      </c>
      <c r="K42" s="73"/>
      <c r="L42" s="73"/>
      <c r="M42" s="73"/>
      <c r="N42" s="73"/>
      <c r="O42" s="73"/>
      <c r="P42" s="73"/>
    </row>
    <row r="43" spans="1:16">
      <c r="C43" t="s">
        <v>188</v>
      </c>
      <c r="K43" s="73"/>
      <c r="L43" s="73"/>
      <c r="M43" s="73"/>
      <c r="N43" s="73"/>
      <c r="O43" s="73"/>
      <c r="P43" s="73"/>
    </row>
    <row r="44" spans="1:16">
      <c r="D44" t="s">
        <v>207</v>
      </c>
      <c r="K44" s="80">
        <v>201</v>
      </c>
      <c r="L44" s="73"/>
      <c r="M44" s="73"/>
      <c r="N44" s="73"/>
      <c r="O44" s="73">
        <v>64214</v>
      </c>
      <c r="P44" s="73">
        <f t="shared" ref="P44:P50" si="5">SUM(K44:O44)</f>
        <v>64415</v>
      </c>
    </row>
    <row r="45" spans="1:16">
      <c r="D45" t="s">
        <v>183</v>
      </c>
      <c r="K45" s="73"/>
      <c r="L45" s="73">
        <v>726865</v>
      </c>
      <c r="M45" s="73"/>
      <c r="N45" s="73"/>
      <c r="O45" s="73">
        <v>365836</v>
      </c>
      <c r="P45" s="73">
        <f t="shared" si="5"/>
        <v>1092701</v>
      </c>
    </row>
    <row r="46" spans="1:16">
      <c r="D46" t="s">
        <v>210</v>
      </c>
      <c r="K46" s="80">
        <v>26195</v>
      </c>
      <c r="L46" s="73"/>
      <c r="M46" s="73"/>
      <c r="N46" s="73"/>
      <c r="O46" s="73"/>
      <c r="P46" s="73">
        <f t="shared" si="5"/>
        <v>26195</v>
      </c>
    </row>
    <row r="47" spans="1:16">
      <c r="D47" t="s">
        <v>206</v>
      </c>
      <c r="K47" s="80">
        <v>33189</v>
      </c>
      <c r="L47" s="73"/>
      <c r="M47" s="73"/>
      <c r="N47" s="73"/>
      <c r="O47" s="73"/>
      <c r="P47" s="73">
        <f t="shared" si="5"/>
        <v>33189</v>
      </c>
    </row>
    <row r="48" spans="1:16">
      <c r="C48" t="s">
        <v>66</v>
      </c>
      <c r="K48" s="73"/>
      <c r="L48" s="73"/>
      <c r="M48" s="73"/>
      <c r="N48" s="73"/>
      <c r="O48" s="73"/>
      <c r="P48" s="73"/>
    </row>
    <row r="49" spans="3:16">
      <c r="D49" t="s">
        <v>211</v>
      </c>
      <c r="K49" s="80">
        <v>569470</v>
      </c>
      <c r="L49" s="73"/>
      <c r="M49" s="73"/>
      <c r="N49" s="73"/>
      <c r="O49" s="73"/>
      <c r="P49" s="73">
        <f t="shared" si="5"/>
        <v>569470</v>
      </c>
    </row>
    <row r="50" spans="3:16">
      <c r="D50" t="s">
        <v>212</v>
      </c>
      <c r="K50" s="73"/>
      <c r="L50" s="73">
        <v>30512135</v>
      </c>
      <c r="M50" s="73"/>
      <c r="N50" s="73"/>
      <c r="O50" s="73"/>
      <c r="P50" s="73">
        <f t="shared" si="5"/>
        <v>30512135</v>
      </c>
    </row>
    <row r="51" spans="3:16">
      <c r="D51" t="s">
        <v>213</v>
      </c>
      <c r="K51" s="73"/>
      <c r="L51" s="73"/>
      <c r="M51" s="73">
        <v>4554635</v>
      </c>
      <c r="N51" s="73"/>
      <c r="O51" s="73"/>
      <c r="P51" s="73">
        <f t="shared" ref="P51:P53" si="6">SUM(K51:O51)</f>
        <v>4554635</v>
      </c>
    </row>
    <row r="52" spans="3:16">
      <c r="D52" t="s">
        <v>214</v>
      </c>
      <c r="K52" s="73"/>
      <c r="L52" s="73"/>
      <c r="M52" s="73"/>
      <c r="N52" s="73">
        <v>103365290</v>
      </c>
      <c r="O52" s="73"/>
      <c r="P52" s="73">
        <f t="shared" si="6"/>
        <v>103365290</v>
      </c>
    </row>
    <row r="53" spans="3:16">
      <c r="D53" t="s">
        <v>215</v>
      </c>
      <c r="K53" s="73"/>
      <c r="L53" s="73"/>
      <c r="M53" s="73"/>
      <c r="N53" s="73"/>
      <c r="O53" s="73">
        <v>36554527</v>
      </c>
      <c r="P53" s="73">
        <f t="shared" si="6"/>
        <v>36554527</v>
      </c>
    </row>
    <row r="54" spans="3:16">
      <c r="C54" t="s">
        <v>73</v>
      </c>
      <c r="K54" s="73"/>
      <c r="L54" s="73"/>
      <c r="M54" s="73"/>
      <c r="N54" s="73"/>
      <c r="O54" s="73"/>
      <c r="P54" s="73"/>
    </row>
    <row r="55" spans="3:16">
      <c r="D55" t="s">
        <v>216</v>
      </c>
      <c r="K55" s="112">
        <v>78725</v>
      </c>
      <c r="L55" s="73"/>
      <c r="M55" s="73"/>
      <c r="N55" s="73"/>
      <c r="O55" s="73"/>
      <c r="P55" s="73">
        <f t="shared" ref="P55:P62" si="7">SUM(K55:O55)</f>
        <v>78725</v>
      </c>
    </row>
    <row r="56" spans="3:16">
      <c r="D56" t="s">
        <v>217</v>
      </c>
      <c r="K56" s="112">
        <v>587465</v>
      </c>
      <c r="L56" s="73"/>
      <c r="M56" s="73"/>
      <c r="N56" s="73"/>
      <c r="O56" s="73"/>
      <c r="P56" s="73">
        <f t="shared" si="7"/>
        <v>587465</v>
      </c>
    </row>
    <row r="57" spans="3:16">
      <c r="D57" t="s">
        <v>218</v>
      </c>
      <c r="K57" s="112">
        <v>373322</v>
      </c>
      <c r="L57" s="73"/>
      <c r="M57" s="73"/>
      <c r="N57" s="73"/>
      <c r="O57" s="73"/>
      <c r="P57" s="73">
        <f t="shared" si="7"/>
        <v>373322</v>
      </c>
    </row>
    <row r="58" spans="3:16">
      <c r="D58" t="s">
        <v>219</v>
      </c>
      <c r="K58" s="112">
        <v>13909837</v>
      </c>
      <c r="L58" s="73"/>
      <c r="M58" s="73"/>
      <c r="N58" s="73"/>
      <c r="O58" s="73">
        <v>13069259</v>
      </c>
      <c r="P58" s="73">
        <f t="shared" si="7"/>
        <v>26979096</v>
      </c>
    </row>
    <row r="59" spans="3:16">
      <c r="D59" t="s">
        <v>220</v>
      </c>
      <c r="K59" s="112">
        <v>10663729</v>
      </c>
      <c r="L59" s="73"/>
      <c r="M59" s="73"/>
      <c r="N59" s="73"/>
      <c r="O59" s="73"/>
      <c r="P59" s="73">
        <f t="shared" si="7"/>
        <v>10663729</v>
      </c>
    </row>
    <row r="60" spans="3:16">
      <c r="D60" t="s">
        <v>221</v>
      </c>
      <c r="K60" s="112">
        <v>5175000</v>
      </c>
      <c r="L60" s="73"/>
      <c r="M60" s="73"/>
      <c r="N60" s="73"/>
      <c r="O60" s="73"/>
      <c r="P60" s="73">
        <f t="shared" si="7"/>
        <v>5175000</v>
      </c>
    </row>
    <row r="61" spans="3:16">
      <c r="D61" t="s">
        <v>222</v>
      </c>
      <c r="K61" s="112">
        <v>1435743</v>
      </c>
      <c r="L61" s="73"/>
      <c r="M61" s="73"/>
      <c r="N61" s="73"/>
      <c r="O61" s="73"/>
      <c r="P61" s="73">
        <f t="shared" si="7"/>
        <v>1435743</v>
      </c>
    </row>
    <row r="62" spans="3:16">
      <c r="C62" t="s">
        <v>48</v>
      </c>
      <c r="K62" s="86">
        <v>27969685</v>
      </c>
      <c r="L62" s="73"/>
      <c r="M62" s="73"/>
      <c r="N62" s="73"/>
      <c r="O62" s="73">
        <v>-25511</v>
      </c>
      <c r="P62" s="73">
        <f t="shared" si="7"/>
        <v>27944174</v>
      </c>
    </row>
    <row r="63" spans="3:16">
      <c r="K63" s="73"/>
      <c r="L63" s="73"/>
      <c r="M63" s="73"/>
      <c r="N63" s="73"/>
      <c r="O63" s="73"/>
      <c r="P63" s="73"/>
    </row>
    <row r="64" spans="3:16" s="5" customFormat="1">
      <c r="D64" s="6"/>
      <c r="E64" s="6" t="s">
        <v>223</v>
      </c>
      <c r="K64" s="79">
        <f>SUM(K44:K62)</f>
        <v>60822561</v>
      </c>
      <c r="L64" s="79">
        <f t="shared" ref="L64:O64" si="8">SUM(L44:L62)</f>
        <v>31239000</v>
      </c>
      <c r="M64" s="79">
        <f t="shared" si="8"/>
        <v>4554635</v>
      </c>
      <c r="N64" s="79">
        <f t="shared" si="8"/>
        <v>103365290</v>
      </c>
      <c r="O64" s="79">
        <f t="shared" si="8"/>
        <v>50028325</v>
      </c>
      <c r="P64" s="79">
        <f>SUM(P44:P62)</f>
        <v>250009811</v>
      </c>
    </row>
    <row r="65" spans="4:16">
      <c r="K65" s="73"/>
      <c r="L65" s="73"/>
      <c r="M65" s="73"/>
      <c r="N65" s="73"/>
      <c r="O65" s="73"/>
      <c r="P65" s="73"/>
    </row>
    <row r="66" spans="4:16" s="7" customFormat="1">
      <c r="D66" s="8"/>
      <c r="E66" s="8" t="s">
        <v>50</v>
      </c>
      <c r="K66" s="81">
        <f t="shared" ref="K66:P66" si="9">SUM(K64,K35,K40)</f>
        <v>73694688</v>
      </c>
      <c r="L66" s="81">
        <f t="shared" si="9"/>
        <v>32144280</v>
      </c>
      <c r="M66" s="81">
        <f t="shared" si="9"/>
        <v>14373295</v>
      </c>
      <c r="N66" s="81">
        <f t="shared" si="9"/>
        <v>110177288</v>
      </c>
      <c r="O66" s="81">
        <f t="shared" si="9"/>
        <v>79574219</v>
      </c>
      <c r="P66" s="81">
        <f t="shared" si="9"/>
        <v>309963770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8"/>
  <sheetViews>
    <sheetView workbookViewId="0">
      <selection activeCell="Q30" sqref="Q30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2" width="16.42578125" customWidth="1"/>
    <col min="13" max="13" width="12.7109375" customWidth="1"/>
    <col min="14" max="14" width="15.7109375" customWidth="1"/>
    <col min="15" max="15" width="16.28515625" customWidth="1"/>
    <col min="16" max="17" width="16.5703125" customWidth="1"/>
    <col min="18" max="18" width="15.28515625" customWidth="1"/>
    <col min="19" max="19" width="17" customWidth="1"/>
  </cols>
  <sheetData>
    <row r="1" spans="1:19" ht="18.75">
      <c r="D1" s="125" t="s">
        <v>224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 ht="36.75" customHeight="1"/>
    <row r="5" spans="1:19" ht="45">
      <c r="K5" s="1" t="s">
        <v>2</v>
      </c>
      <c r="L5" s="1" t="s">
        <v>149</v>
      </c>
      <c r="M5" s="1" t="s">
        <v>225</v>
      </c>
      <c r="N5" s="1" t="s">
        <v>112</v>
      </c>
      <c r="O5" s="1" t="s">
        <v>226</v>
      </c>
      <c r="P5" s="1" t="s">
        <v>227</v>
      </c>
      <c r="Q5" s="1" t="s">
        <v>228</v>
      </c>
      <c r="R5" s="1" t="s">
        <v>8</v>
      </c>
      <c r="S5" s="1" t="s">
        <v>9</v>
      </c>
    </row>
    <row r="6" spans="1:19">
      <c r="A6" t="s">
        <v>10</v>
      </c>
    </row>
    <row r="7" spans="1:19">
      <c r="B7" t="s">
        <v>153</v>
      </c>
      <c r="K7" s="72">
        <v>1153518</v>
      </c>
      <c r="L7" s="73">
        <v>257017</v>
      </c>
      <c r="M7" s="73">
        <v>600892</v>
      </c>
      <c r="N7" s="73">
        <v>1820469</v>
      </c>
      <c r="O7" s="73">
        <v>1304493</v>
      </c>
      <c r="P7" s="73">
        <v>47545</v>
      </c>
      <c r="Q7" s="73">
        <v>40</v>
      </c>
      <c r="R7" s="73">
        <v>1298113</v>
      </c>
      <c r="S7" s="73">
        <f>SUM(K7:R7)</f>
        <v>6482087</v>
      </c>
    </row>
    <row r="8" spans="1:19">
      <c r="B8" t="s">
        <v>59</v>
      </c>
      <c r="K8" s="74">
        <v>411401</v>
      </c>
      <c r="L8" s="73">
        <v>541089</v>
      </c>
      <c r="M8" s="73">
        <v>312565</v>
      </c>
      <c r="N8" s="73">
        <v>113245</v>
      </c>
      <c r="O8" s="73"/>
      <c r="P8" s="73"/>
      <c r="Q8" s="73"/>
      <c r="R8" s="73">
        <v>600285</v>
      </c>
      <c r="S8" s="73">
        <f>SUM(K8:R8)</f>
        <v>1978585</v>
      </c>
    </row>
    <row r="9" spans="1:19">
      <c r="B9" t="s">
        <v>18</v>
      </c>
      <c r="K9" s="75">
        <v>2700</v>
      </c>
      <c r="L9" s="73">
        <v>25652</v>
      </c>
      <c r="M9" s="73"/>
      <c r="N9" s="73"/>
      <c r="O9" s="73"/>
      <c r="P9" s="73"/>
      <c r="Q9" s="73"/>
      <c r="R9" s="73">
        <v>36402</v>
      </c>
      <c r="S9" s="73">
        <f>SUM(K9:R9)</f>
        <v>64754</v>
      </c>
    </row>
    <row r="10" spans="1:19">
      <c r="K10" s="73"/>
      <c r="L10" s="73"/>
      <c r="M10" s="73"/>
      <c r="N10" s="73"/>
      <c r="O10" s="73"/>
      <c r="P10" s="73"/>
      <c r="Q10" s="73"/>
      <c r="R10" s="73"/>
      <c r="S10" s="73"/>
    </row>
    <row r="11" spans="1:19" s="3" customFormat="1">
      <c r="A11" s="2"/>
      <c r="B11" s="2"/>
      <c r="C11" s="2"/>
      <c r="D11" s="2"/>
      <c r="E11" s="2" t="s">
        <v>129</v>
      </c>
      <c r="K11" s="76">
        <f t="shared" ref="K11:S11" si="0">SUM(K7:K9)</f>
        <v>1567619</v>
      </c>
      <c r="L11" s="76">
        <f t="shared" si="0"/>
        <v>823758</v>
      </c>
      <c r="M11" s="76">
        <f t="shared" si="0"/>
        <v>913457</v>
      </c>
      <c r="N11" s="76">
        <f t="shared" si="0"/>
        <v>1933714</v>
      </c>
      <c r="O11" s="76">
        <f t="shared" si="0"/>
        <v>1304493</v>
      </c>
      <c r="P11" s="76">
        <f>SUM(P7:P9)</f>
        <v>47545</v>
      </c>
      <c r="Q11" s="76">
        <f t="shared" si="0"/>
        <v>40</v>
      </c>
      <c r="R11" s="76">
        <f t="shared" si="0"/>
        <v>1934800</v>
      </c>
      <c r="S11" s="76">
        <f t="shared" si="0"/>
        <v>8525426</v>
      </c>
    </row>
    <row r="12" spans="1:19">
      <c r="K12" s="73"/>
      <c r="L12" s="73"/>
      <c r="M12" s="73"/>
      <c r="N12" s="73"/>
      <c r="O12" s="73"/>
      <c r="P12" s="73"/>
      <c r="Q12" s="73"/>
      <c r="R12" s="73"/>
      <c r="S12" s="73"/>
    </row>
    <row r="13" spans="1:19">
      <c r="A13" s="4" t="s">
        <v>21</v>
      </c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B14" t="s">
        <v>22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C15" t="s">
        <v>23</v>
      </c>
      <c r="K15" s="77">
        <v>39554</v>
      </c>
      <c r="L15" s="73">
        <v>21784</v>
      </c>
      <c r="M15" s="73">
        <v>15326</v>
      </c>
      <c r="N15" s="73"/>
      <c r="O15" s="73">
        <v>12251</v>
      </c>
      <c r="P15" s="73"/>
      <c r="Q15" s="73"/>
      <c r="R15" s="73">
        <v>28567</v>
      </c>
      <c r="S15" s="73">
        <f>SUM(K15:R15)</f>
        <v>117482</v>
      </c>
    </row>
    <row r="16" spans="1:19">
      <c r="C16" t="s">
        <v>154</v>
      </c>
      <c r="K16" s="77">
        <v>14464</v>
      </c>
      <c r="L16" s="73">
        <v>12121</v>
      </c>
      <c r="M16" s="73">
        <v>1913</v>
      </c>
      <c r="N16" s="73"/>
      <c r="O16" s="73"/>
      <c r="P16" s="73"/>
      <c r="Q16" s="73"/>
      <c r="R16" s="73">
        <v>6581</v>
      </c>
      <c r="S16" s="73">
        <f>SUM(K16:R16)</f>
        <v>35079</v>
      </c>
    </row>
    <row r="17" spans="2:19">
      <c r="C17" t="s">
        <v>229</v>
      </c>
      <c r="K17" s="77">
        <v>57698</v>
      </c>
      <c r="L17" s="73"/>
      <c r="M17" s="73"/>
      <c r="N17" s="73"/>
      <c r="O17" s="73"/>
      <c r="P17" s="73"/>
      <c r="Q17" s="73"/>
      <c r="R17" s="73"/>
      <c r="S17" s="73">
        <f>SUM(K17:R17)</f>
        <v>57698</v>
      </c>
    </row>
    <row r="18" spans="2:19">
      <c r="C18" t="s">
        <v>27</v>
      </c>
      <c r="K18" s="84">
        <v>62054</v>
      </c>
      <c r="L18" s="73">
        <v>2700</v>
      </c>
      <c r="M18" s="73"/>
      <c r="N18" s="73"/>
      <c r="O18" s="73"/>
      <c r="P18" s="73"/>
      <c r="Q18" s="73"/>
      <c r="R18" s="73"/>
      <c r="S18" s="73">
        <f>SUM(K18:R18)</f>
        <v>64754</v>
      </c>
    </row>
    <row r="19" spans="2:19">
      <c r="K19" s="73"/>
      <c r="L19" s="73"/>
      <c r="M19" s="73"/>
      <c r="N19" s="73"/>
      <c r="O19" s="73"/>
      <c r="P19" s="73"/>
      <c r="Q19" s="73"/>
      <c r="R19" s="73"/>
      <c r="S19" s="73"/>
    </row>
    <row r="20" spans="2:19" s="5" customFormat="1">
      <c r="B20" s="6"/>
      <c r="C20" s="6"/>
      <c r="D20" s="6"/>
      <c r="E20" s="6" t="s">
        <v>28</v>
      </c>
      <c r="K20" s="79">
        <f>SUM(K15:K18)</f>
        <v>173770</v>
      </c>
      <c r="L20" s="79">
        <f>SUM(L15:L18)</f>
        <v>36605</v>
      </c>
      <c r="M20" s="79">
        <f>SUM(M15:M18)</f>
        <v>17239</v>
      </c>
      <c r="N20" s="79">
        <f t="shared" ref="N20:Q20" si="1">SUM(N15:N18)</f>
        <v>0</v>
      </c>
      <c r="O20" s="79">
        <f t="shared" si="1"/>
        <v>12251</v>
      </c>
      <c r="P20" s="79">
        <f t="shared" si="1"/>
        <v>0</v>
      </c>
      <c r="Q20" s="79">
        <f t="shared" si="1"/>
        <v>0</v>
      </c>
      <c r="R20" s="79">
        <f>SUM(R15:R18)</f>
        <v>35148</v>
      </c>
      <c r="S20" s="79">
        <f>SUM(S15:S18)</f>
        <v>275013</v>
      </c>
    </row>
    <row r="21" spans="2:19">
      <c r="K21" s="73"/>
      <c r="L21" s="73"/>
      <c r="M21" s="73"/>
      <c r="N21" s="73"/>
      <c r="O21" s="73"/>
      <c r="P21" s="73"/>
      <c r="Q21" s="73"/>
      <c r="R21" s="73"/>
      <c r="S21" s="73"/>
    </row>
    <row r="22" spans="2:19">
      <c r="B22" t="s">
        <v>100</v>
      </c>
      <c r="K22" s="73"/>
      <c r="L22" s="73"/>
      <c r="M22" s="73"/>
      <c r="N22" s="73"/>
      <c r="O22" s="73"/>
      <c r="P22" s="73"/>
      <c r="Q22" s="73"/>
      <c r="R22" s="73"/>
      <c r="S22" s="73"/>
    </row>
    <row r="23" spans="2:19">
      <c r="C23" t="s">
        <v>48</v>
      </c>
      <c r="K23" s="86">
        <v>1393849</v>
      </c>
      <c r="L23" s="73"/>
      <c r="M23" s="73"/>
      <c r="N23" s="73"/>
      <c r="O23" s="73"/>
      <c r="P23" s="73"/>
      <c r="Q23" s="73"/>
      <c r="R23" s="73"/>
      <c r="S23" s="73">
        <f>SUM(K23:R23)</f>
        <v>1393849</v>
      </c>
    </row>
    <row r="24" spans="2:19">
      <c r="C24" t="s">
        <v>118</v>
      </c>
      <c r="K24" s="73"/>
      <c r="L24" s="73">
        <v>787153</v>
      </c>
      <c r="M24" s="73">
        <v>896218</v>
      </c>
      <c r="N24" s="73">
        <v>1933714</v>
      </c>
      <c r="O24" s="73">
        <v>1292242</v>
      </c>
      <c r="P24" s="73">
        <v>47545</v>
      </c>
      <c r="Q24" s="73">
        <v>40</v>
      </c>
      <c r="R24" s="73">
        <v>1899652</v>
      </c>
      <c r="S24" s="73">
        <f>SUM(K24:R24)</f>
        <v>6856564</v>
      </c>
    </row>
    <row r="25" spans="2:19">
      <c r="K25" s="73"/>
      <c r="L25" s="73"/>
      <c r="M25" s="73"/>
      <c r="N25" s="73"/>
      <c r="O25" s="73"/>
      <c r="P25" s="73"/>
      <c r="Q25" s="73"/>
      <c r="R25" s="73"/>
      <c r="S25" s="73"/>
    </row>
    <row r="26" spans="2:19" s="5" customFormat="1">
      <c r="D26" s="6"/>
      <c r="E26" s="6" t="s">
        <v>49</v>
      </c>
      <c r="K26" s="79">
        <f t="shared" ref="K26:S26" si="2">SUM(K23:K24)</f>
        <v>1393849</v>
      </c>
      <c r="L26" s="79">
        <f t="shared" si="2"/>
        <v>787153</v>
      </c>
      <c r="M26" s="79">
        <f t="shared" si="2"/>
        <v>896218</v>
      </c>
      <c r="N26" s="79">
        <f t="shared" si="2"/>
        <v>1933714</v>
      </c>
      <c r="O26" s="79">
        <f t="shared" si="2"/>
        <v>1292242</v>
      </c>
      <c r="P26" s="79">
        <f t="shared" si="2"/>
        <v>47545</v>
      </c>
      <c r="Q26" s="79">
        <f t="shared" si="2"/>
        <v>40</v>
      </c>
      <c r="R26" s="79">
        <f t="shared" si="2"/>
        <v>1899652</v>
      </c>
      <c r="S26" s="79">
        <f t="shared" si="2"/>
        <v>8250413</v>
      </c>
    </row>
    <row r="27" spans="2:19">
      <c r="K27" s="73"/>
      <c r="L27" s="73"/>
      <c r="M27" s="73"/>
      <c r="N27" s="73"/>
      <c r="O27" s="73"/>
      <c r="P27" s="73"/>
      <c r="Q27" s="73"/>
      <c r="R27" s="73"/>
      <c r="S27" s="73"/>
    </row>
    <row r="28" spans="2:19" s="7" customFormat="1">
      <c r="D28" s="8"/>
      <c r="E28" s="8" t="s">
        <v>50</v>
      </c>
      <c r="K28" s="81">
        <f>SUM(K26,K20)</f>
        <v>1567619</v>
      </c>
      <c r="L28" s="81">
        <f>SUM(L20,L26)</f>
        <v>823758</v>
      </c>
      <c r="M28" s="81">
        <f>SUM(M20,M26)</f>
        <v>913457</v>
      </c>
      <c r="N28" s="81">
        <f>SUM(N20,N26)</f>
        <v>1933714</v>
      </c>
      <c r="O28" s="81">
        <f>SUM(O26+O20)</f>
        <v>1304493</v>
      </c>
      <c r="P28" s="81">
        <f>SUM(P26+P20)</f>
        <v>47545</v>
      </c>
      <c r="Q28" s="81">
        <f>SUM(Q26+Q20)</f>
        <v>40</v>
      </c>
      <c r="R28" s="81">
        <f>SUM(R26+R20)</f>
        <v>1934800</v>
      </c>
      <c r="S28" s="81">
        <f>SUM(S26+S20)</f>
        <v>8525426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6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8" customWidth="1"/>
    <col min="15" max="15" width="17.28515625" customWidth="1"/>
  </cols>
  <sheetData>
    <row r="1" spans="1:15" ht="18.75">
      <c r="D1" s="125" t="s">
        <v>230</v>
      </c>
      <c r="E1" s="125"/>
      <c r="F1" s="125"/>
      <c r="G1" s="125"/>
      <c r="H1" s="125"/>
      <c r="I1" s="125"/>
      <c r="J1" s="125"/>
      <c r="K1" s="125"/>
    </row>
    <row r="2" spans="1:15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5" ht="45">
      <c r="K4" s="1" t="s">
        <v>52</v>
      </c>
      <c r="L4" s="1" t="s">
        <v>231</v>
      </c>
      <c r="M4" s="1" t="s">
        <v>232</v>
      </c>
      <c r="N4" s="1" t="s">
        <v>8</v>
      </c>
      <c r="O4" s="1" t="s">
        <v>9</v>
      </c>
    </row>
    <row r="5" spans="1:15">
      <c r="A5" t="s">
        <v>10</v>
      </c>
    </row>
    <row r="6" spans="1:15">
      <c r="B6" t="s">
        <v>11</v>
      </c>
      <c r="K6" s="72">
        <v>10742848</v>
      </c>
      <c r="L6" s="73">
        <v>-13706</v>
      </c>
      <c r="M6" s="73">
        <v>100</v>
      </c>
      <c r="N6" s="73">
        <v>17366412</v>
      </c>
      <c r="O6" s="73">
        <f>SUM(K6:N6)</f>
        <v>28095654</v>
      </c>
    </row>
    <row r="7" spans="1:15">
      <c r="B7" t="s">
        <v>233</v>
      </c>
      <c r="K7" s="74">
        <v>11324586</v>
      </c>
      <c r="L7" s="73">
        <v>1613896</v>
      </c>
      <c r="M7" s="73">
        <v>2989883</v>
      </c>
      <c r="N7" s="73">
        <v>4002464</v>
      </c>
      <c r="O7" s="73">
        <f>SUM(K7:N7)</f>
        <v>19930829</v>
      </c>
    </row>
    <row r="8" spans="1:15">
      <c r="B8" t="s">
        <v>234</v>
      </c>
      <c r="K8" s="87">
        <v>1793767</v>
      </c>
      <c r="L8" s="73">
        <v>45788</v>
      </c>
      <c r="M8" s="73"/>
      <c r="N8" s="73"/>
      <c r="O8" s="73">
        <f>SUM(K8:N8)</f>
        <v>1839555</v>
      </c>
    </row>
    <row r="9" spans="1:15">
      <c r="B9" t="s">
        <v>88</v>
      </c>
      <c r="K9" s="83">
        <v>21195</v>
      </c>
      <c r="L9" s="73">
        <v>40364</v>
      </c>
      <c r="M9" s="73"/>
      <c r="N9" s="73">
        <v>23595</v>
      </c>
      <c r="O9" s="73">
        <f>SUM(K9:N9)</f>
        <v>85154</v>
      </c>
    </row>
    <row r="10" spans="1:15">
      <c r="B10" t="s">
        <v>235</v>
      </c>
      <c r="K10" s="74">
        <v>5596860</v>
      </c>
      <c r="L10" s="73">
        <v>534197</v>
      </c>
      <c r="M10" s="73"/>
      <c r="N10" s="73">
        <v>4120692</v>
      </c>
      <c r="O10" s="73">
        <f>SUM(K10:N10)</f>
        <v>10251749</v>
      </c>
    </row>
    <row r="11" spans="1:15">
      <c r="K11" s="73"/>
      <c r="L11" s="73"/>
      <c r="M11" s="73"/>
      <c r="N11" s="73"/>
      <c r="O11" s="73"/>
    </row>
    <row r="12" spans="1:15" s="3" customFormat="1">
      <c r="A12" s="2"/>
      <c r="B12" s="2"/>
      <c r="C12" s="2"/>
      <c r="D12" s="2"/>
      <c r="E12" s="2" t="s">
        <v>20</v>
      </c>
      <c r="K12" s="76">
        <f>SUM(K6:K10)</f>
        <v>29479256</v>
      </c>
      <c r="L12" s="76">
        <f>SUM(L6:L10)</f>
        <v>2220539</v>
      </c>
      <c r="M12" s="76">
        <f>SUM(M6:M10)</f>
        <v>2989983</v>
      </c>
      <c r="N12" s="76">
        <f>SUM(N6:N10)</f>
        <v>25513163</v>
      </c>
      <c r="O12" s="76">
        <f>SUM(O6:O10)</f>
        <v>60202941</v>
      </c>
    </row>
    <row r="13" spans="1:15">
      <c r="K13" s="73"/>
      <c r="L13" s="73"/>
      <c r="M13" s="73"/>
      <c r="N13" s="73"/>
      <c r="O13" s="73"/>
    </row>
    <row r="14" spans="1:15">
      <c r="A14" s="71" t="s">
        <v>130</v>
      </c>
      <c r="K14" s="88"/>
      <c r="L14" s="88"/>
      <c r="M14" s="88"/>
      <c r="N14" s="88"/>
      <c r="O14" s="88"/>
    </row>
    <row r="15" spans="1:15">
      <c r="K15" s="73"/>
      <c r="L15" s="73"/>
      <c r="M15" s="73"/>
      <c r="N15" s="73"/>
      <c r="O15" s="73"/>
    </row>
    <row r="16" spans="1:15">
      <c r="A16" s="4" t="s">
        <v>21</v>
      </c>
      <c r="K16" s="73"/>
      <c r="L16" s="73"/>
      <c r="M16" s="73"/>
      <c r="N16" s="73"/>
      <c r="O16" s="73"/>
    </row>
    <row r="17" spans="1:15">
      <c r="B17" t="s">
        <v>22</v>
      </c>
      <c r="K17" s="73"/>
      <c r="L17" s="73"/>
      <c r="M17" s="73"/>
      <c r="N17" s="73"/>
      <c r="O17" s="73"/>
    </row>
    <row r="18" spans="1:15">
      <c r="C18" t="s">
        <v>131</v>
      </c>
      <c r="K18" s="77">
        <v>1493747</v>
      </c>
      <c r="L18" s="73">
        <v>136088</v>
      </c>
      <c r="M18" s="73">
        <v>2682682</v>
      </c>
      <c r="N18" s="73">
        <v>298003</v>
      </c>
      <c r="O18" s="73">
        <f>SUM(K18:N18)</f>
        <v>4610520</v>
      </c>
    </row>
    <row r="19" spans="1:15">
      <c r="C19" t="s">
        <v>229</v>
      </c>
      <c r="K19" s="78">
        <v>3695066</v>
      </c>
      <c r="L19" s="73"/>
      <c r="M19" s="73"/>
      <c r="N19" s="73"/>
      <c r="O19" s="73">
        <f>SUM(K19:N19)</f>
        <v>3695066</v>
      </c>
    </row>
    <row r="20" spans="1:15">
      <c r="C20" t="s">
        <v>236</v>
      </c>
      <c r="K20" s="84">
        <v>7413</v>
      </c>
      <c r="L20" s="73"/>
      <c r="M20" s="73">
        <v>9818</v>
      </c>
      <c r="N20" s="73"/>
      <c r="O20" s="73">
        <f>SUM(K20:N20)</f>
        <v>17231</v>
      </c>
    </row>
    <row r="21" spans="1:15">
      <c r="C21" t="s">
        <v>237</v>
      </c>
      <c r="K21" s="77">
        <v>4654889</v>
      </c>
      <c r="L21" s="73"/>
      <c r="M21" s="73">
        <v>2073564</v>
      </c>
      <c r="N21" s="73">
        <v>3523296</v>
      </c>
      <c r="O21" s="73">
        <f>SUM(K21:N21)</f>
        <v>10251749</v>
      </c>
    </row>
    <row r="22" spans="1:15">
      <c r="K22" s="73"/>
      <c r="L22" s="73"/>
      <c r="M22" s="73"/>
      <c r="N22" s="73"/>
      <c r="O22" s="73"/>
    </row>
    <row r="23" spans="1:15" s="5" customFormat="1">
      <c r="B23" s="6"/>
      <c r="C23" s="6"/>
      <c r="D23" s="6"/>
      <c r="E23" s="6" t="s">
        <v>28</v>
      </c>
      <c r="K23" s="79">
        <f>SUM(K18:K21)</f>
        <v>9851115</v>
      </c>
      <c r="L23" s="79">
        <f>SUM(L18:L21)</f>
        <v>136088</v>
      </c>
      <c r="M23" s="79">
        <f>SUM(M18:M21)</f>
        <v>4766064</v>
      </c>
      <c r="N23" s="79">
        <f>SUM(N18:N21)</f>
        <v>3821299</v>
      </c>
      <c r="O23" s="79">
        <f>SUM(O18:O21)</f>
        <v>18574566</v>
      </c>
    </row>
    <row r="24" spans="1:15">
      <c r="K24" s="73"/>
      <c r="L24" s="73"/>
      <c r="M24" s="73"/>
      <c r="N24" s="73"/>
      <c r="O24" s="73"/>
    </row>
    <row r="25" spans="1:15">
      <c r="A25" s="71" t="s">
        <v>29</v>
      </c>
      <c r="K25" s="88"/>
      <c r="L25" s="88"/>
      <c r="M25" s="88"/>
      <c r="N25" s="88"/>
      <c r="O25" s="88"/>
    </row>
    <row r="26" spans="1:15">
      <c r="K26" s="73"/>
      <c r="L26" s="73"/>
      <c r="M26" s="73"/>
      <c r="N26" s="73"/>
      <c r="O26" s="73"/>
    </row>
    <row r="27" spans="1:15">
      <c r="B27" t="s">
        <v>31</v>
      </c>
      <c r="K27" s="73"/>
      <c r="L27" s="73"/>
      <c r="M27" s="73"/>
      <c r="N27" s="73"/>
      <c r="O27" s="73"/>
    </row>
    <row r="28" spans="1:15">
      <c r="C28" t="s">
        <v>188</v>
      </c>
      <c r="K28" s="73"/>
      <c r="L28" s="73"/>
      <c r="M28" s="73"/>
      <c r="N28" s="73"/>
      <c r="O28" s="73"/>
    </row>
    <row r="29" spans="1:15">
      <c r="D29" t="s">
        <v>183</v>
      </c>
      <c r="K29" s="80">
        <v>1793767</v>
      </c>
      <c r="L29" s="73">
        <v>45788</v>
      </c>
      <c r="M29" s="73"/>
      <c r="N29" s="73"/>
      <c r="O29" s="73">
        <f>SUM(K29:N29)</f>
        <v>1839555</v>
      </c>
    </row>
    <row r="30" spans="1:15">
      <c r="D30" t="s">
        <v>189</v>
      </c>
      <c r="K30" s="80">
        <v>21195</v>
      </c>
      <c r="L30" s="73">
        <v>40364</v>
      </c>
      <c r="M30" s="73"/>
      <c r="N30" s="73">
        <v>2593</v>
      </c>
      <c r="O30" s="73">
        <f t="shared" ref="O30:O52" si="0">SUM(K30:N30)</f>
        <v>64152</v>
      </c>
    </row>
    <row r="31" spans="1:15">
      <c r="C31" t="s">
        <v>32</v>
      </c>
      <c r="K31" s="73"/>
      <c r="L31" s="73"/>
      <c r="M31" s="73"/>
      <c r="N31" s="73"/>
      <c r="O31" s="73">
        <f t="shared" si="0"/>
        <v>0</v>
      </c>
    </row>
    <row r="32" spans="1:15">
      <c r="D32" t="s">
        <v>67</v>
      </c>
      <c r="K32" s="73"/>
      <c r="L32" s="73"/>
      <c r="M32" s="73"/>
      <c r="N32" s="73">
        <v>6377</v>
      </c>
      <c r="O32" s="73">
        <f t="shared" si="0"/>
        <v>6377</v>
      </c>
    </row>
    <row r="33" spans="3:15">
      <c r="D33" t="s">
        <v>43</v>
      </c>
      <c r="K33" s="73"/>
      <c r="L33" s="73"/>
      <c r="M33" s="73"/>
      <c r="N33" s="73">
        <v>1468574</v>
      </c>
      <c r="O33" s="73">
        <f t="shared" si="0"/>
        <v>1468574</v>
      </c>
    </row>
    <row r="34" spans="3:15">
      <c r="D34" t="s">
        <v>238</v>
      </c>
      <c r="K34" s="73"/>
      <c r="L34" s="73"/>
      <c r="M34" s="73"/>
      <c r="N34" s="73">
        <v>35404</v>
      </c>
      <c r="O34" s="73">
        <f t="shared" si="0"/>
        <v>35404</v>
      </c>
    </row>
    <row r="35" spans="3:15">
      <c r="C35" t="s">
        <v>38</v>
      </c>
      <c r="K35" s="73"/>
      <c r="L35" s="73"/>
      <c r="M35" s="73"/>
      <c r="N35" s="73"/>
      <c r="O35" s="73">
        <f t="shared" si="0"/>
        <v>0</v>
      </c>
    </row>
    <row r="36" spans="3:15">
      <c r="D36" t="s">
        <v>239</v>
      </c>
      <c r="K36" s="73"/>
      <c r="L36" s="73">
        <v>1977480</v>
      </c>
      <c r="M36" s="73"/>
      <c r="N36" s="73"/>
      <c r="O36" s="73">
        <f t="shared" si="0"/>
        <v>1977480</v>
      </c>
    </row>
    <row r="37" spans="3:15">
      <c r="D37" t="s">
        <v>109</v>
      </c>
      <c r="K37" s="73"/>
      <c r="L37" s="73"/>
      <c r="M37" s="73"/>
      <c r="N37" s="73">
        <v>5971020</v>
      </c>
      <c r="O37" s="73">
        <f t="shared" si="0"/>
        <v>5971020</v>
      </c>
    </row>
    <row r="38" spans="3:15">
      <c r="D38" t="s">
        <v>69</v>
      </c>
      <c r="K38" s="73"/>
      <c r="L38" s="73"/>
      <c r="M38" s="73"/>
      <c r="N38" s="73">
        <v>4389545</v>
      </c>
      <c r="O38" s="73">
        <f t="shared" si="0"/>
        <v>4389545</v>
      </c>
    </row>
    <row r="39" spans="3:15">
      <c r="D39" t="s">
        <v>67</v>
      </c>
      <c r="K39" s="73"/>
      <c r="L39" s="73"/>
      <c r="M39" s="73"/>
      <c r="N39" s="73">
        <v>3353389</v>
      </c>
      <c r="O39" s="73">
        <f t="shared" si="0"/>
        <v>3353389</v>
      </c>
    </row>
    <row r="40" spans="3:15">
      <c r="D40" t="s">
        <v>147</v>
      </c>
      <c r="K40" s="73"/>
      <c r="L40" s="73"/>
      <c r="M40" s="73"/>
      <c r="N40" s="73">
        <v>5926056</v>
      </c>
      <c r="O40" s="73">
        <f t="shared" si="0"/>
        <v>5926056</v>
      </c>
    </row>
    <row r="41" spans="3:15">
      <c r="D41" t="s">
        <v>240</v>
      </c>
      <c r="K41" s="73"/>
      <c r="L41" s="73"/>
      <c r="M41" s="73"/>
      <c r="N41" s="73">
        <v>208078</v>
      </c>
      <c r="O41" s="73">
        <f t="shared" si="0"/>
        <v>208078</v>
      </c>
    </row>
    <row r="42" spans="3:15">
      <c r="D42" t="s">
        <v>241</v>
      </c>
      <c r="K42" s="73"/>
      <c r="L42" s="73"/>
      <c r="M42" s="73"/>
      <c r="N42" s="73">
        <v>42777</v>
      </c>
      <c r="O42" s="73">
        <f t="shared" si="0"/>
        <v>42777</v>
      </c>
    </row>
    <row r="43" spans="3:15">
      <c r="D43" t="s">
        <v>242</v>
      </c>
      <c r="K43" s="73"/>
      <c r="L43" s="73"/>
      <c r="M43" s="73"/>
      <c r="N43" s="73">
        <v>171838</v>
      </c>
      <c r="O43" s="73">
        <f t="shared" si="0"/>
        <v>171838</v>
      </c>
    </row>
    <row r="44" spans="3:15">
      <c r="D44" t="s">
        <v>243</v>
      </c>
      <c r="K44" s="73"/>
      <c r="L44" s="73">
        <v>20819</v>
      </c>
      <c r="M44" s="73"/>
      <c r="N44" s="73">
        <v>-38000</v>
      </c>
      <c r="O44" s="73">
        <f t="shared" si="0"/>
        <v>-17181</v>
      </c>
    </row>
    <row r="45" spans="3:15">
      <c r="D45" t="s">
        <v>108</v>
      </c>
      <c r="K45" s="80">
        <v>221320</v>
      </c>
      <c r="L45" s="73"/>
      <c r="M45" s="73"/>
      <c r="N45" s="73"/>
      <c r="O45" s="73">
        <f t="shared" si="0"/>
        <v>221320</v>
      </c>
    </row>
    <row r="46" spans="3:15">
      <c r="C46" t="s">
        <v>73</v>
      </c>
      <c r="K46" s="73"/>
      <c r="L46" s="73"/>
      <c r="M46" s="73"/>
      <c r="N46" s="73"/>
      <c r="O46" s="73">
        <f t="shared" si="0"/>
        <v>0</v>
      </c>
    </row>
    <row r="47" spans="3:15">
      <c r="D47" t="s">
        <v>67</v>
      </c>
      <c r="K47" s="73"/>
      <c r="L47" s="73"/>
      <c r="M47" s="73"/>
      <c r="N47" s="73">
        <v>4676</v>
      </c>
      <c r="O47" s="73">
        <f t="shared" si="0"/>
        <v>4676</v>
      </c>
    </row>
    <row r="48" spans="3:15">
      <c r="D48" t="s">
        <v>147</v>
      </c>
      <c r="K48" s="73"/>
      <c r="L48" s="73"/>
      <c r="M48" s="73"/>
      <c r="N48" s="73">
        <v>12509</v>
      </c>
      <c r="O48" s="73">
        <f t="shared" si="0"/>
        <v>12509</v>
      </c>
    </row>
    <row r="49" spans="3:15">
      <c r="D49" t="s">
        <v>69</v>
      </c>
      <c r="K49" s="73"/>
      <c r="L49" s="73"/>
      <c r="M49" s="73"/>
      <c r="N49" s="73">
        <v>120286</v>
      </c>
      <c r="O49" s="73">
        <f t="shared" si="0"/>
        <v>120286</v>
      </c>
    </row>
    <row r="50" spans="3:15">
      <c r="D50" t="s">
        <v>109</v>
      </c>
      <c r="K50" s="73"/>
      <c r="L50" s="73"/>
      <c r="M50" s="73"/>
      <c r="N50" s="73">
        <v>16742</v>
      </c>
      <c r="O50" s="73">
        <f t="shared" si="0"/>
        <v>16742</v>
      </c>
    </row>
    <row r="51" spans="3:15">
      <c r="D51" t="s">
        <v>243</v>
      </c>
      <c r="K51" s="73"/>
      <c r="L51" s="73"/>
      <c r="M51" s="73">
        <v>-1776081</v>
      </c>
      <c r="N51" s="73"/>
      <c r="O51" s="73">
        <f t="shared" si="0"/>
        <v>-1776081</v>
      </c>
    </row>
    <row r="52" spans="3:15">
      <c r="C52" t="s">
        <v>48</v>
      </c>
      <c r="K52" s="86">
        <v>17591859</v>
      </c>
      <c r="L52" s="73"/>
      <c r="M52" s="73"/>
      <c r="N52" s="73"/>
      <c r="O52" s="73">
        <f t="shared" si="0"/>
        <v>17591859</v>
      </c>
    </row>
    <row r="53" spans="3:15">
      <c r="K53" s="73"/>
      <c r="L53" s="73"/>
      <c r="M53" s="73"/>
      <c r="N53" s="73"/>
      <c r="O53" s="73"/>
    </row>
    <row r="54" spans="3:15" s="5" customFormat="1">
      <c r="D54" s="6"/>
      <c r="E54" s="6" t="s">
        <v>49</v>
      </c>
      <c r="K54" s="79">
        <f>SUM(K28:K52)</f>
        <v>19628141</v>
      </c>
      <c r="L54" s="79">
        <f>SUM(L28:L52)</f>
        <v>2084451</v>
      </c>
      <c r="M54" s="79">
        <f>SUM(M28:M52)</f>
        <v>-1776081</v>
      </c>
      <c r="N54" s="79">
        <f>SUM(N28:N52)</f>
        <v>21691864</v>
      </c>
      <c r="O54" s="79">
        <f>SUM(O28:O52)</f>
        <v>41628375</v>
      </c>
    </row>
    <row r="55" spans="3:15">
      <c r="K55" s="73"/>
      <c r="L55" s="73"/>
      <c r="M55" s="73"/>
      <c r="N55" s="73"/>
      <c r="O55" s="73"/>
    </row>
    <row r="56" spans="3:15" s="7" customFormat="1">
      <c r="D56" s="8"/>
      <c r="E56" s="8" t="s">
        <v>50</v>
      </c>
      <c r="K56" s="81">
        <f>K54+K23</f>
        <v>29479256</v>
      </c>
      <c r="L56" s="81">
        <f t="shared" ref="L56:O56" si="1">L54+L23</f>
        <v>2220539</v>
      </c>
      <c r="M56" s="81">
        <f t="shared" si="1"/>
        <v>2989983</v>
      </c>
      <c r="N56" s="81">
        <f t="shared" si="1"/>
        <v>25513163</v>
      </c>
      <c r="O56" s="81">
        <f t="shared" si="1"/>
        <v>60202941</v>
      </c>
    </row>
  </sheetData>
  <mergeCells count="2">
    <mergeCell ref="D1:K1"/>
    <mergeCell ref="D2:K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7"/>
  <sheetViews>
    <sheetView workbookViewId="0">
      <selection activeCell="E16" sqref="E1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6" width="16.42578125" customWidth="1"/>
    <col min="17" max="17" width="18" customWidth="1"/>
    <col min="18" max="18" width="17.28515625" customWidth="1"/>
  </cols>
  <sheetData>
    <row r="1" spans="1:18" ht="18.75">
      <c r="D1" s="125" t="s">
        <v>244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8" ht="45">
      <c r="K4" s="1" t="s">
        <v>2</v>
      </c>
      <c r="L4" s="1" t="s">
        <v>245</v>
      </c>
      <c r="M4" s="1" t="s">
        <v>246</v>
      </c>
      <c r="N4" s="1" t="s">
        <v>71</v>
      </c>
      <c r="O4" s="1" t="s">
        <v>124</v>
      </c>
      <c r="P4" s="1" t="s">
        <v>123</v>
      </c>
      <c r="Q4" s="1" t="s">
        <v>8</v>
      </c>
      <c r="R4" s="1" t="s">
        <v>9</v>
      </c>
    </row>
    <row r="5" spans="1:18">
      <c r="A5" t="s">
        <v>10</v>
      </c>
    </row>
    <row r="6" spans="1:18">
      <c r="B6" t="s">
        <v>79</v>
      </c>
      <c r="K6" s="72">
        <v>634725</v>
      </c>
      <c r="L6" s="73">
        <v>116054</v>
      </c>
      <c r="M6" s="73">
        <v>210606</v>
      </c>
      <c r="N6" s="73">
        <v>296413</v>
      </c>
      <c r="O6" s="73">
        <v>246720</v>
      </c>
      <c r="P6" s="73">
        <v>317490</v>
      </c>
      <c r="Q6" s="73">
        <v>86971</v>
      </c>
      <c r="R6" s="73">
        <f>SUM(K6:Q6)</f>
        <v>1908979</v>
      </c>
    </row>
    <row r="7" spans="1:18">
      <c r="B7" t="s">
        <v>247</v>
      </c>
      <c r="K7" s="73"/>
      <c r="L7" s="73"/>
      <c r="M7" s="73"/>
      <c r="N7" s="73"/>
      <c r="O7" s="73"/>
      <c r="P7" s="73"/>
      <c r="Q7" s="73">
        <v>26325</v>
      </c>
      <c r="R7" s="73"/>
    </row>
    <row r="8" spans="1:18">
      <c r="B8" t="s">
        <v>12</v>
      </c>
      <c r="K8" s="73"/>
      <c r="L8" s="73"/>
      <c r="M8" s="73"/>
      <c r="N8" s="73"/>
      <c r="O8" s="73"/>
      <c r="P8" s="73"/>
      <c r="Q8" s="73"/>
      <c r="R8" s="73">
        <f>SUM(K8:Q8)</f>
        <v>0</v>
      </c>
    </row>
    <row r="9" spans="1:18">
      <c r="B9" t="s">
        <v>59</v>
      </c>
      <c r="K9" s="74">
        <v>870802</v>
      </c>
      <c r="L9" s="73">
        <v>44113</v>
      </c>
      <c r="M9" s="73">
        <v>48137</v>
      </c>
      <c r="N9" s="73">
        <v>30086</v>
      </c>
      <c r="O9" s="73">
        <v>285043</v>
      </c>
      <c r="P9" s="73">
        <v>71122</v>
      </c>
      <c r="Q9" s="73">
        <v>62183</v>
      </c>
      <c r="R9" s="73">
        <f>SUM(K9:Q9)</f>
        <v>1411486</v>
      </c>
    </row>
    <row r="10" spans="1:18">
      <c r="B10" t="s">
        <v>18</v>
      </c>
      <c r="K10" s="73"/>
      <c r="L10" s="73"/>
      <c r="M10" s="73"/>
      <c r="N10" s="73"/>
      <c r="O10" s="73"/>
      <c r="P10" s="73"/>
      <c r="Q10" s="73"/>
      <c r="R10" s="73">
        <f>SUM(K10:Q10)</f>
        <v>0</v>
      </c>
    </row>
    <row r="11" spans="1:18">
      <c r="B11" t="s">
        <v>248</v>
      </c>
      <c r="K11" s="73"/>
      <c r="L11" s="73"/>
      <c r="M11" s="73"/>
      <c r="N11" s="73"/>
      <c r="O11" s="73"/>
      <c r="P11" s="73"/>
      <c r="Q11" s="73"/>
      <c r="R11" s="73"/>
    </row>
    <row r="12" spans="1:18">
      <c r="B12" t="s">
        <v>249</v>
      </c>
      <c r="K12" s="73"/>
      <c r="L12" s="73"/>
      <c r="M12" s="73"/>
      <c r="N12" s="73"/>
      <c r="O12" s="73"/>
      <c r="P12" s="73"/>
      <c r="Q12" s="73"/>
      <c r="R12" s="73"/>
    </row>
    <row r="13" spans="1:18">
      <c r="B13" t="s">
        <v>88</v>
      </c>
      <c r="K13" s="83">
        <v>33515</v>
      </c>
      <c r="L13" s="73">
        <v>16553</v>
      </c>
      <c r="M13" s="73">
        <v>25177</v>
      </c>
      <c r="N13" s="73"/>
      <c r="O13" s="73"/>
      <c r="P13" s="73">
        <v>2805</v>
      </c>
      <c r="Q13" s="73">
        <v>3716</v>
      </c>
      <c r="R13" s="73">
        <f>SUM(K13:Q13)</f>
        <v>81766</v>
      </c>
    </row>
    <row r="14" spans="1:18">
      <c r="K14" s="73"/>
      <c r="L14" s="73"/>
      <c r="M14" s="73"/>
      <c r="N14" s="73"/>
      <c r="O14" s="73"/>
      <c r="P14" s="73"/>
      <c r="Q14" s="73"/>
      <c r="R14" s="73"/>
    </row>
    <row r="15" spans="1:18" s="3" customFormat="1">
      <c r="A15" s="2"/>
      <c r="B15" s="2"/>
      <c r="C15" s="2"/>
      <c r="D15" s="2"/>
      <c r="E15" s="2" t="s">
        <v>20</v>
      </c>
      <c r="K15" s="76">
        <f>SUM(K6:K13)</f>
        <v>1539042</v>
      </c>
      <c r="L15" s="76">
        <f t="shared" ref="L15:O15" si="0">SUM(L6:L13)</f>
        <v>176720</v>
      </c>
      <c r="M15" s="76">
        <f t="shared" si="0"/>
        <v>283920</v>
      </c>
      <c r="N15" s="76">
        <f t="shared" si="0"/>
        <v>326499</v>
      </c>
      <c r="O15" s="76">
        <f t="shared" si="0"/>
        <v>531763</v>
      </c>
      <c r="P15" s="76">
        <f>SUM(P6:P13)</f>
        <v>391417</v>
      </c>
      <c r="Q15" s="76">
        <f>SUM(Q6:Q13)</f>
        <v>179195</v>
      </c>
      <c r="R15" s="76">
        <f>SUM(R6:R13)</f>
        <v>3402231</v>
      </c>
    </row>
    <row r="16" spans="1:18">
      <c r="K16" s="73"/>
      <c r="L16" s="73"/>
      <c r="M16" s="73"/>
      <c r="N16" s="73"/>
      <c r="O16" s="73"/>
      <c r="P16" s="73"/>
      <c r="Q16" s="73"/>
      <c r="R16" s="73"/>
    </row>
    <row r="17" spans="1:18">
      <c r="A17" s="4" t="s">
        <v>21</v>
      </c>
      <c r="K17" s="73"/>
      <c r="L17" s="73"/>
      <c r="M17" s="73"/>
      <c r="N17" s="73"/>
      <c r="O17" s="73"/>
      <c r="P17" s="73"/>
      <c r="Q17" s="73"/>
      <c r="R17" s="73"/>
    </row>
    <row r="18" spans="1:18">
      <c r="B18" t="s">
        <v>22</v>
      </c>
      <c r="K18" s="73"/>
      <c r="L18" s="73"/>
      <c r="M18" s="73"/>
      <c r="N18" s="73"/>
      <c r="O18" s="73"/>
      <c r="P18" s="73"/>
      <c r="Q18" s="73"/>
      <c r="R18" s="73"/>
    </row>
    <row r="19" spans="1:18">
      <c r="C19" t="s">
        <v>23</v>
      </c>
      <c r="K19" s="77">
        <v>461676</v>
      </c>
      <c r="L19" s="73">
        <v>6380</v>
      </c>
      <c r="M19" s="73">
        <v>6509</v>
      </c>
      <c r="N19" s="73">
        <v>36750</v>
      </c>
      <c r="O19" s="73">
        <v>15313</v>
      </c>
      <c r="P19" s="73">
        <v>5266</v>
      </c>
      <c r="Q19" s="73">
        <v>5348</v>
      </c>
      <c r="R19" s="73">
        <f>SUM(K19:Q19)</f>
        <v>537242</v>
      </c>
    </row>
    <row r="20" spans="1:18">
      <c r="C20" t="s">
        <v>250</v>
      </c>
      <c r="K20" s="77">
        <v>2814</v>
      </c>
      <c r="L20" s="73">
        <v>5948</v>
      </c>
      <c r="M20" s="73">
        <v>2966</v>
      </c>
      <c r="N20" s="73"/>
      <c r="O20" s="73"/>
      <c r="P20" s="73"/>
      <c r="Q20" s="73">
        <v>2824</v>
      </c>
      <c r="R20" s="73">
        <f>SUM(K20:Q20)</f>
        <v>14552</v>
      </c>
    </row>
    <row r="21" spans="1:18">
      <c r="K21" s="73"/>
      <c r="L21" s="73"/>
      <c r="M21" s="73"/>
      <c r="N21" s="73"/>
      <c r="O21" s="73"/>
      <c r="P21" s="73"/>
      <c r="Q21" s="73"/>
      <c r="R21" s="73"/>
    </row>
    <row r="22" spans="1:18" s="5" customFormat="1">
      <c r="B22" s="6"/>
      <c r="C22" s="6"/>
      <c r="D22" s="6"/>
      <c r="E22" s="6" t="s">
        <v>28</v>
      </c>
      <c r="K22" s="79">
        <f t="shared" ref="K22:R22" si="1">SUM(K19:K20)</f>
        <v>464490</v>
      </c>
      <c r="L22" s="79">
        <f t="shared" si="1"/>
        <v>12328</v>
      </c>
      <c r="M22" s="79">
        <f t="shared" si="1"/>
        <v>9475</v>
      </c>
      <c r="N22" s="79">
        <f t="shared" si="1"/>
        <v>36750</v>
      </c>
      <c r="O22" s="79">
        <f t="shared" si="1"/>
        <v>15313</v>
      </c>
      <c r="P22" s="79">
        <f t="shared" si="1"/>
        <v>5266</v>
      </c>
      <c r="Q22" s="79">
        <f t="shared" si="1"/>
        <v>8172</v>
      </c>
      <c r="R22" s="79">
        <f t="shared" si="1"/>
        <v>551794</v>
      </c>
    </row>
    <row r="23" spans="1:18">
      <c r="K23" s="73"/>
      <c r="L23" s="73"/>
      <c r="M23" s="73"/>
      <c r="N23" s="73"/>
      <c r="O23" s="73"/>
      <c r="P23" s="73"/>
      <c r="Q23" s="73"/>
      <c r="R23" s="73"/>
    </row>
    <row r="24" spans="1:18">
      <c r="B24" t="s">
        <v>251</v>
      </c>
      <c r="K24" s="73"/>
      <c r="L24" s="73"/>
      <c r="M24" s="73"/>
      <c r="N24" s="73"/>
      <c r="O24" s="73"/>
      <c r="P24" s="73"/>
      <c r="Q24" s="73"/>
      <c r="R24" s="73"/>
    </row>
    <row r="25" spans="1:18">
      <c r="C25" t="s">
        <v>252</v>
      </c>
      <c r="K25" s="73">
        <v>54080</v>
      </c>
      <c r="L25" s="73"/>
      <c r="M25" s="73"/>
      <c r="N25" s="73"/>
      <c r="O25" s="73">
        <v>41790</v>
      </c>
      <c r="P25" s="73">
        <v>10448</v>
      </c>
      <c r="Q25" s="73">
        <v>6787</v>
      </c>
      <c r="R25" s="73">
        <f>SUM(K25:Q25)</f>
        <v>113105</v>
      </c>
    </row>
    <row r="26" spans="1:18">
      <c r="C26" t="s">
        <v>253</v>
      </c>
      <c r="K26" s="73"/>
      <c r="L26" s="73"/>
      <c r="M26" s="73"/>
      <c r="N26" s="73"/>
      <c r="O26" s="73"/>
      <c r="P26" s="73"/>
      <c r="Q26" s="73">
        <v>14777</v>
      </c>
      <c r="R26" s="73">
        <f>SUM(K26:Q26)</f>
        <v>14777</v>
      </c>
    </row>
    <row r="27" spans="1:18">
      <c r="K27" s="73"/>
      <c r="L27" s="73"/>
      <c r="M27" s="73"/>
      <c r="N27" s="73"/>
      <c r="O27" s="73"/>
      <c r="P27" s="73"/>
      <c r="Q27" s="73"/>
      <c r="R27" s="73"/>
    </row>
    <row r="28" spans="1:18" s="5" customFormat="1">
      <c r="B28" s="6"/>
      <c r="C28" s="6"/>
      <c r="D28" s="6"/>
      <c r="E28" s="6" t="s">
        <v>187</v>
      </c>
      <c r="K28" s="79">
        <f t="shared" ref="K28:R28" si="2">SUM(K25:K26)</f>
        <v>54080</v>
      </c>
      <c r="L28" s="79">
        <f t="shared" si="2"/>
        <v>0</v>
      </c>
      <c r="M28" s="79">
        <f t="shared" si="2"/>
        <v>0</v>
      </c>
      <c r="N28" s="79">
        <f t="shared" si="2"/>
        <v>0</v>
      </c>
      <c r="O28" s="79">
        <f t="shared" si="2"/>
        <v>41790</v>
      </c>
      <c r="P28" s="79">
        <f t="shared" si="2"/>
        <v>10448</v>
      </c>
      <c r="Q28" s="79">
        <f t="shared" si="2"/>
        <v>21564</v>
      </c>
      <c r="R28" s="79">
        <f t="shared" si="2"/>
        <v>127882</v>
      </c>
    </row>
    <row r="29" spans="1:18">
      <c r="K29" s="73"/>
      <c r="L29" s="73"/>
      <c r="M29" s="73"/>
      <c r="N29" s="73"/>
      <c r="O29" s="73"/>
      <c r="P29" s="73"/>
      <c r="Q29" s="73"/>
      <c r="R29" s="73"/>
    </row>
    <row r="30" spans="1:18">
      <c r="B30" t="s">
        <v>100</v>
      </c>
      <c r="K30" s="73"/>
      <c r="L30" s="73"/>
      <c r="M30" s="73"/>
      <c r="N30" s="73"/>
      <c r="O30" s="73"/>
      <c r="P30" s="73"/>
      <c r="Q30" s="73"/>
      <c r="R30" s="73"/>
    </row>
    <row r="31" spans="1:18">
      <c r="C31" t="s">
        <v>101</v>
      </c>
      <c r="K31" s="80">
        <v>33515</v>
      </c>
      <c r="L31" s="73">
        <v>16553</v>
      </c>
      <c r="M31" s="73">
        <v>25177</v>
      </c>
      <c r="N31" s="73"/>
      <c r="O31" s="73"/>
      <c r="P31" s="73">
        <v>2805</v>
      </c>
      <c r="Q31" s="73">
        <v>3716</v>
      </c>
      <c r="R31" s="73">
        <f>SUM(K31:Q31)</f>
        <v>81766</v>
      </c>
    </row>
    <row r="32" spans="1:18">
      <c r="C32" t="s">
        <v>118</v>
      </c>
      <c r="K32" s="80">
        <v>69325</v>
      </c>
      <c r="L32" s="73">
        <v>147839</v>
      </c>
      <c r="M32" s="73">
        <v>249268</v>
      </c>
      <c r="N32" s="73">
        <v>289749</v>
      </c>
      <c r="O32" s="73">
        <v>474660</v>
      </c>
      <c r="P32" s="73">
        <v>372898</v>
      </c>
      <c r="Q32" s="73">
        <v>161066</v>
      </c>
      <c r="R32" s="73">
        <f>SUM(K32:Q32)</f>
        <v>1764805</v>
      </c>
    </row>
    <row r="33" spans="3:18">
      <c r="C33" t="s">
        <v>48</v>
      </c>
      <c r="K33" s="86">
        <v>917632</v>
      </c>
      <c r="L33" s="73"/>
      <c r="M33" s="73"/>
      <c r="N33" s="73"/>
      <c r="O33" s="73"/>
      <c r="P33" s="73"/>
      <c r="Q33" s="73">
        <v>-15323</v>
      </c>
      <c r="R33" s="73">
        <f>SUM(K33:Q33)</f>
        <v>902309</v>
      </c>
    </row>
    <row r="34" spans="3:18">
      <c r="K34" s="73"/>
      <c r="L34" s="73"/>
      <c r="M34" s="73"/>
      <c r="N34" s="73"/>
      <c r="O34" s="73"/>
      <c r="P34" s="73"/>
      <c r="Q34" s="73"/>
      <c r="R34" s="73"/>
    </row>
    <row r="35" spans="3:18" s="5" customFormat="1">
      <c r="D35" s="6"/>
      <c r="E35" s="6" t="s">
        <v>49</v>
      </c>
      <c r="K35" s="79">
        <f>SUM(K31:K33)</f>
        <v>1020472</v>
      </c>
      <c r="L35" s="79">
        <f t="shared" ref="L35:Q35" si="3">SUM(L31:L33)</f>
        <v>164392</v>
      </c>
      <c r="M35" s="79">
        <f t="shared" si="3"/>
        <v>274445</v>
      </c>
      <c r="N35" s="79">
        <f t="shared" si="3"/>
        <v>289749</v>
      </c>
      <c r="O35" s="79">
        <f t="shared" si="3"/>
        <v>474660</v>
      </c>
      <c r="P35" s="79">
        <f t="shared" si="3"/>
        <v>375703</v>
      </c>
      <c r="Q35" s="79">
        <f t="shared" si="3"/>
        <v>149459</v>
      </c>
      <c r="R35" s="79">
        <f>SUM(R31:R33)</f>
        <v>2748880</v>
      </c>
    </row>
    <row r="36" spans="3:18">
      <c r="K36" s="73"/>
      <c r="L36" s="73"/>
      <c r="M36" s="73"/>
      <c r="N36" s="73"/>
      <c r="O36" s="73"/>
      <c r="P36" s="73"/>
      <c r="Q36" s="73"/>
      <c r="R36" s="73"/>
    </row>
    <row r="37" spans="3:18" s="7" customFormat="1">
      <c r="D37" s="8"/>
      <c r="E37" s="8" t="s">
        <v>50</v>
      </c>
      <c r="K37" s="81">
        <f>K35+K28+K22</f>
        <v>1539042</v>
      </c>
      <c r="L37" s="81">
        <f t="shared" ref="L37:R37" si="4">L35+L28+L22</f>
        <v>176720</v>
      </c>
      <c r="M37" s="81">
        <f t="shared" si="4"/>
        <v>283920</v>
      </c>
      <c r="N37" s="81">
        <f t="shared" si="4"/>
        <v>326499</v>
      </c>
      <c r="O37" s="81">
        <f t="shared" si="4"/>
        <v>531763</v>
      </c>
      <c r="P37" s="81">
        <f t="shared" si="4"/>
        <v>391417</v>
      </c>
      <c r="Q37" s="81">
        <f t="shared" si="4"/>
        <v>179195</v>
      </c>
      <c r="R37" s="81">
        <f t="shared" si="4"/>
        <v>3428556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3"/>
  <sheetViews>
    <sheetView workbookViewId="0">
      <selection activeCell="D18" sqref="D18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6" width="16.42578125" customWidth="1"/>
    <col min="17" max="17" width="18" customWidth="1"/>
    <col min="18" max="18" width="17.28515625" customWidth="1"/>
  </cols>
  <sheetData>
    <row r="1" spans="1:18" ht="18.75">
      <c r="D1" s="125" t="s">
        <v>254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8" ht="45">
      <c r="K4" s="1" t="s">
        <v>2</v>
      </c>
      <c r="L4" s="1" t="s">
        <v>255</v>
      </c>
      <c r="M4" s="1" t="s">
        <v>256</v>
      </c>
      <c r="N4" s="1" t="s">
        <v>257</v>
      </c>
      <c r="O4" s="1" t="s">
        <v>258</v>
      </c>
      <c r="P4" s="1" t="s">
        <v>125</v>
      </c>
      <c r="Q4" s="1" t="s">
        <v>8</v>
      </c>
      <c r="R4" s="1" t="s">
        <v>9</v>
      </c>
    </row>
    <row r="5" spans="1:18">
      <c r="A5" t="s">
        <v>10</v>
      </c>
    </row>
    <row r="6" spans="1:18">
      <c r="B6" t="s">
        <v>79</v>
      </c>
      <c r="K6" s="72">
        <v>3274232</v>
      </c>
      <c r="L6" s="73">
        <v>93857</v>
      </c>
      <c r="M6" s="73">
        <v>1895670</v>
      </c>
      <c r="N6" s="73">
        <v>1335641</v>
      </c>
      <c r="O6" s="73">
        <v>23194</v>
      </c>
      <c r="P6" s="73">
        <v>61114</v>
      </c>
      <c r="Q6" s="73">
        <v>863403</v>
      </c>
      <c r="R6" s="73">
        <f>SUM(K6:Q6)</f>
        <v>7547111</v>
      </c>
    </row>
    <row r="7" spans="1:18">
      <c r="B7" t="s">
        <v>12</v>
      </c>
      <c r="K7" s="77">
        <v>7643</v>
      </c>
      <c r="L7" s="73">
        <v>3040</v>
      </c>
      <c r="M7" s="73">
        <v>6248</v>
      </c>
      <c r="N7" s="73">
        <v>5374</v>
      </c>
      <c r="O7" s="73"/>
      <c r="P7" s="73"/>
      <c r="Q7" s="73">
        <v>5777</v>
      </c>
      <c r="R7" s="73">
        <f>SUM(K7:Q7)</f>
        <v>28082</v>
      </c>
    </row>
    <row r="8" spans="1:18">
      <c r="B8" t="s">
        <v>59</v>
      </c>
      <c r="K8" s="74">
        <v>622061</v>
      </c>
      <c r="L8" s="73">
        <v>1090093</v>
      </c>
      <c r="M8" s="73">
        <v>755820</v>
      </c>
      <c r="N8" s="73">
        <v>74617</v>
      </c>
      <c r="O8" s="73">
        <v>8595</v>
      </c>
      <c r="P8" s="73"/>
      <c r="Q8" s="73">
        <v>664142</v>
      </c>
      <c r="R8" s="73">
        <f>SUM(K8:Q8)</f>
        <v>3215328</v>
      </c>
    </row>
    <row r="9" spans="1:18">
      <c r="B9" t="s">
        <v>18</v>
      </c>
      <c r="K9" s="75">
        <v>1094</v>
      </c>
      <c r="L9" s="73"/>
      <c r="M9" s="73"/>
      <c r="N9" s="73"/>
      <c r="O9" s="73"/>
      <c r="P9" s="73"/>
      <c r="Q9" s="73"/>
      <c r="R9" s="73">
        <f>SUM(K9:Q9)</f>
        <v>1094</v>
      </c>
    </row>
    <row r="10" spans="1:18">
      <c r="B10" t="s">
        <v>259</v>
      </c>
      <c r="K10" s="83">
        <v>113163</v>
      </c>
      <c r="L10" s="73"/>
      <c r="M10" s="73"/>
      <c r="N10" s="73"/>
      <c r="O10" s="73"/>
      <c r="P10" s="73"/>
      <c r="Q10" s="73"/>
      <c r="R10" s="73">
        <f>SUM(K10:Q10)</f>
        <v>113163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 s="3" customFormat="1">
      <c r="A12" s="2"/>
      <c r="B12" s="2"/>
      <c r="C12" s="2"/>
      <c r="D12" s="2"/>
      <c r="E12" s="2" t="s">
        <v>20</v>
      </c>
      <c r="K12" s="76">
        <f t="shared" ref="K12:R12" si="0">SUM(K6:K10)</f>
        <v>4018193</v>
      </c>
      <c r="L12" s="76">
        <f t="shared" si="0"/>
        <v>1186990</v>
      </c>
      <c r="M12" s="76">
        <f t="shared" si="0"/>
        <v>2657738</v>
      </c>
      <c r="N12" s="76">
        <f t="shared" si="0"/>
        <v>1415632</v>
      </c>
      <c r="O12" s="76">
        <f t="shared" si="0"/>
        <v>31789</v>
      </c>
      <c r="P12" s="76">
        <f t="shared" si="0"/>
        <v>61114</v>
      </c>
      <c r="Q12" s="76">
        <f t="shared" si="0"/>
        <v>1533322</v>
      </c>
      <c r="R12" s="76">
        <f t="shared" si="0"/>
        <v>10904778</v>
      </c>
    </row>
    <row r="13" spans="1:18">
      <c r="K13" s="73"/>
      <c r="L13" s="73"/>
      <c r="M13" s="73"/>
      <c r="N13" s="73"/>
      <c r="O13" s="73"/>
      <c r="P13" s="73"/>
      <c r="Q13" s="73"/>
      <c r="R13" s="73"/>
    </row>
    <row r="14" spans="1:18">
      <c r="A14" s="4" t="s">
        <v>21</v>
      </c>
      <c r="K14" s="73"/>
      <c r="L14" s="73"/>
      <c r="M14" s="73"/>
      <c r="N14" s="73"/>
      <c r="O14" s="73"/>
      <c r="P14" s="73"/>
      <c r="Q14" s="73"/>
      <c r="R14" s="73"/>
    </row>
    <row r="15" spans="1:18">
      <c r="B15" t="s">
        <v>22</v>
      </c>
      <c r="K15" s="73"/>
      <c r="L15" s="73"/>
      <c r="M15" s="73"/>
      <c r="N15" s="73"/>
      <c r="O15" s="73"/>
      <c r="P15" s="73"/>
      <c r="Q15" s="73"/>
      <c r="R15" s="73"/>
    </row>
    <row r="16" spans="1:18">
      <c r="C16" t="s">
        <v>260</v>
      </c>
      <c r="K16" s="77">
        <v>205075</v>
      </c>
      <c r="L16" s="73">
        <v>59446</v>
      </c>
      <c r="M16" s="73">
        <v>266802</v>
      </c>
      <c r="N16" s="73">
        <v>53982</v>
      </c>
      <c r="O16" s="73">
        <v>32187</v>
      </c>
      <c r="P16" s="73"/>
      <c r="Q16" s="73">
        <v>26079</v>
      </c>
      <c r="R16" s="73">
        <f>SUM(K16:Q16)</f>
        <v>643571</v>
      </c>
    </row>
    <row r="17" spans="2:18">
      <c r="C17" t="s">
        <v>27</v>
      </c>
      <c r="K17" s="73"/>
      <c r="L17" s="73">
        <v>538</v>
      </c>
      <c r="M17" s="73">
        <v>456</v>
      </c>
      <c r="N17" s="73"/>
      <c r="O17" s="73"/>
      <c r="P17" s="73"/>
      <c r="Q17" s="73">
        <v>100</v>
      </c>
      <c r="R17" s="73">
        <f>SUM(K17:Q17)</f>
        <v>1094</v>
      </c>
    </row>
    <row r="18" spans="2:18">
      <c r="C18" t="s">
        <v>229</v>
      </c>
      <c r="K18" s="78">
        <v>2343</v>
      </c>
      <c r="L18" s="73"/>
      <c r="M18" s="73"/>
      <c r="N18" s="73"/>
      <c r="O18" s="73"/>
      <c r="P18" s="73">
        <v>14025</v>
      </c>
      <c r="Q18" s="73"/>
      <c r="R18" s="73">
        <f>SUM(K18:Q18)</f>
        <v>16368</v>
      </c>
    </row>
    <row r="19" spans="2:18">
      <c r="K19" s="73"/>
      <c r="L19" s="73"/>
      <c r="M19" s="73"/>
      <c r="N19" s="73"/>
      <c r="O19" s="73"/>
      <c r="P19" s="73"/>
      <c r="Q19" s="73"/>
      <c r="R19" s="73"/>
    </row>
    <row r="20" spans="2:18" s="5" customFormat="1">
      <c r="B20" s="6"/>
      <c r="C20" s="6"/>
      <c r="D20" s="6"/>
      <c r="E20" s="6" t="s">
        <v>28</v>
      </c>
      <c r="K20" s="79">
        <f t="shared" ref="K20:R20" si="1">SUM(K16:K18)</f>
        <v>207418</v>
      </c>
      <c r="L20" s="79">
        <f t="shared" si="1"/>
        <v>59984</v>
      </c>
      <c r="M20" s="79">
        <f t="shared" si="1"/>
        <v>267258</v>
      </c>
      <c r="N20" s="79">
        <f t="shared" si="1"/>
        <v>53982</v>
      </c>
      <c r="O20" s="79">
        <f t="shared" si="1"/>
        <v>32187</v>
      </c>
      <c r="P20" s="79">
        <f t="shared" si="1"/>
        <v>14025</v>
      </c>
      <c r="Q20" s="79">
        <f t="shared" si="1"/>
        <v>26179</v>
      </c>
      <c r="R20" s="79">
        <f t="shared" si="1"/>
        <v>661033</v>
      </c>
    </row>
    <row r="21" spans="2:18">
      <c r="K21" s="73"/>
      <c r="L21" s="73"/>
      <c r="M21" s="73"/>
      <c r="N21" s="73"/>
      <c r="O21" s="73"/>
      <c r="P21" s="73"/>
      <c r="Q21" s="73"/>
      <c r="R21" s="73"/>
    </row>
    <row r="22" spans="2:18">
      <c r="B22" t="s">
        <v>251</v>
      </c>
      <c r="K22" s="73"/>
      <c r="L22" s="73"/>
      <c r="M22" s="73"/>
      <c r="N22" s="73"/>
      <c r="O22" s="73"/>
      <c r="P22" s="73"/>
      <c r="Q22" s="73"/>
      <c r="R22" s="73"/>
    </row>
    <row r="23" spans="2:18">
      <c r="C23" t="s">
        <v>261</v>
      </c>
      <c r="K23" s="73">
        <v>68100</v>
      </c>
      <c r="L23" s="73">
        <v>131125</v>
      </c>
      <c r="M23" s="73">
        <v>87380</v>
      </c>
      <c r="N23" s="73"/>
      <c r="O23" s="73"/>
      <c r="P23" s="73">
        <v>15626</v>
      </c>
      <c r="Q23" s="73">
        <v>80639</v>
      </c>
      <c r="R23" s="73">
        <f>SUM(K23:Q23)</f>
        <v>382870</v>
      </c>
    </row>
    <row r="24" spans="2:18">
      <c r="K24" s="73"/>
      <c r="L24" s="73"/>
      <c r="M24" s="73"/>
      <c r="N24" s="73"/>
      <c r="O24" s="73"/>
      <c r="P24" s="73"/>
      <c r="Q24" s="73"/>
      <c r="R24" s="73"/>
    </row>
    <row r="25" spans="2:18" s="5" customFormat="1">
      <c r="B25" s="6"/>
      <c r="C25" s="6"/>
      <c r="D25" s="6"/>
      <c r="E25" s="6" t="s">
        <v>187</v>
      </c>
      <c r="K25" s="79">
        <f t="shared" ref="K25:R25" si="2">SUM(K23:K23)</f>
        <v>68100</v>
      </c>
      <c r="L25" s="79">
        <f t="shared" si="2"/>
        <v>131125</v>
      </c>
      <c r="M25" s="79">
        <f t="shared" si="2"/>
        <v>87380</v>
      </c>
      <c r="N25" s="79">
        <f t="shared" si="2"/>
        <v>0</v>
      </c>
      <c r="O25" s="79">
        <f t="shared" si="2"/>
        <v>0</v>
      </c>
      <c r="P25" s="79">
        <f t="shared" si="2"/>
        <v>15626</v>
      </c>
      <c r="Q25" s="79">
        <f t="shared" si="2"/>
        <v>80639</v>
      </c>
      <c r="R25" s="79">
        <f t="shared" si="2"/>
        <v>382870</v>
      </c>
    </row>
    <row r="26" spans="2:18">
      <c r="K26" s="73"/>
      <c r="L26" s="73"/>
      <c r="M26" s="73"/>
      <c r="N26" s="73"/>
      <c r="O26" s="73"/>
      <c r="P26" s="73"/>
      <c r="Q26" s="73"/>
      <c r="R26" s="73"/>
    </row>
    <row r="27" spans="2:18">
      <c r="B27" t="s">
        <v>100</v>
      </c>
      <c r="K27" s="73"/>
      <c r="L27" s="73"/>
      <c r="M27" s="73"/>
      <c r="N27" s="73"/>
      <c r="O27" s="73"/>
      <c r="P27" s="73"/>
      <c r="Q27" s="73"/>
      <c r="R27" s="73"/>
    </row>
    <row r="28" spans="2:18">
      <c r="C28" t="s">
        <v>262</v>
      </c>
      <c r="K28" s="80">
        <v>592115</v>
      </c>
      <c r="L28" s="73">
        <v>995881</v>
      </c>
      <c r="M28" s="73">
        <v>2303100</v>
      </c>
      <c r="N28" s="73">
        <v>1361650</v>
      </c>
      <c r="O28" s="73">
        <v>-398</v>
      </c>
      <c r="P28" s="73">
        <v>31463</v>
      </c>
      <c r="Q28" s="73">
        <v>1426504</v>
      </c>
      <c r="R28" s="73">
        <f>SUM(K28:Q28)</f>
        <v>6710315</v>
      </c>
    </row>
    <row r="29" spans="2:18">
      <c r="C29" t="s">
        <v>263</v>
      </c>
      <c r="K29" s="86">
        <v>3150560</v>
      </c>
      <c r="L29" s="73"/>
      <c r="M29" s="73"/>
      <c r="N29" s="73"/>
      <c r="O29" s="73"/>
      <c r="P29" s="73"/>
      <c r="Q29" s="73"/>
      <c r="R29" s="73">
        <f>SUM(K29:Q29)</f>
        <v>3150560</v>
      </c>
    </row>
    <row r="30" spans="2:18">
      <c r="K30" s="73"/>
      <c r="L30" s="73"/>
      <c r="M30" s="73"/>
      <c r="N30" s="73"/>
      <c r="O30" s="73"/>
      <c r="P30" s="73"/>
      <c r="Q30" s="73"/>
      <c r="R30" s="73"/>
    </row>
    <row r="31" spans="2:18" s="5" customFormat="1">
      <c r="D31" s="6"/>
      <c r="E31" s="6" t="s">
        <v>49</v>
      </c>
      <c r="K31" s="79">
        <f t="shared" ref="K31:R31" si="3">SUM(K28:K29)</f>
        <v>3742675</v>
      </c>
      <c r="L31" s="79">
        <f t="shared" si="3"/>
        <v>995881</v>
      </c>
      <c r="M31" s="79">
        <f t="shared" si="3"/>
        <v>2303100</v>
      </c>
      <c r="N31" s="79">
        <f t="shared" si="3"/>
        <v>1361650</v>
      </c>
      <c r="O31" s="79">
        <f t="shared" si="3"/>
        <v>-398</v>
      </c>
      <c r="P31" s="79">
        <f t="shared" si="3"/>
        <v>31463</v>
      </c>
      <c r="Q31" s="79">
        <f t="shared" si="3"/>
        <v>1426504</v>
      </c>
      <c r="R31" s="79">
        <f t="shared" si="3"/>
        <v>9860875</v>
      </c>
    </row>
    <row r="32" spans="2:18">
      <c r="K32" s="73"/>
      <c r="L32" s="73"/>
      <c r="M32" s="73"/>
      <c r="N32" s="73"/>
      <c r="O32" s="73"/>
      <c r="P32" s="73"/>
      <c r="Q32" s="73"/>
      <c r="R32" s="73"/>
    </row>
    <row r="33" spans="4:18" s="7" customFormat="1">
      <c r="D33" s="8"/>
      <c r="E33" s="8" t="s">
        <v>50</v>
      </c>
      <c r="K33" s="81">
        <f t="shared" ref="K33:R33" si="4">K31+K25+K20</f>
        <v>4018193</v>
      </c>
      <c r="L33" s="81">
        <f t="shared" si="4"/>
        <v>1186990</v>
      </c>
      <c r="M33" s="81">
        <f t="shared" si="4"/>
        <v>2657738</v>
      </c>
      <c r="N33" s="81">
        <f t="shared" si="4"/>
        <v>1415632</v>
      </c>
      <c r="O33" s="81">
        <f t="shared" si="4"/>
        <v>31789</v>
      </c>
      <c r="P33" s="81">
        <f t="shared" si="4"/>
        <v>61114</v>
      </c>
      <c r="Q33" s="81">
        <f t="shared" si="4"/>
        <v>1533322</v>
      </c>
      <c r="R33" s="81">
        <f t="shared" si="4"/>
        <v>10904778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0"/>
  <sheetViews>
    <sheetView workbookViewId="0">
      <selection activeCell="B20" sqref="B20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6" width="19.42578125" customWidth="1"/>
    <col min="17" max="17" width="16.85546875" customWidth="1"/>
    <col min="18" max="18" width="17" customWidth="1"/>
  </cols>
  <sheetData>
    <row r="1" spans="1:18" ht="18.75">
      <c r="D1" s="125" t="s">
        <v>264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265</v>
      </c>
      <c r="E2" s="126"/>
      <c r="F2" s="126"/>
      <c r="G2" s="126"/>
      <c r="H2" s="126"/>
      <c r="I2" s="126"/>
      <c r="J2" s="126"/>
      <c r="K2" s="126"/>
    </row>
    <row r="3" spans="1:18">
      <c r="D3" s="57"/>
      <c r="E3" s="57"/>
      <c r="F3" s="57"/>
      <c r="G3" s="57"/>
      <c r="H3" s="57"/>
      <c r="I3" s="57"/>
      <c r="J3" s="57"/>
      <c r="K3" s="126"/>
      <c r="L3" s="126"/>
      <c r="M3" s="126"/>
      <c r="N3" s="126"/>
      <c r="O3" s="57"/>
    </row>
    <row r="4" spans="1:18">
      <c r="K4" s="100"/>
      <c r="L4" s="100"/>
      <c r="M4" s="100"/>
      <c r="N4" s="100"/>
      <c r="O4" s="100"/>
    </row>
    <row r="5" spans="1:18" ht="45">
      <c r="K5" s="1" t="s">
        <v>52</v>
      </c>
      <c r="L5" s="1" t="s">
        <v>266</v>
      </c>
      <c r="M5" s="1" t="s">
        <v>4</v>
      </c>
      <c r="N5" s="1" t="s">
        <v>267</v>
      </c>
      <c r="O5" s="1" t="s">
        <v>53</v>
      </c>
      <c r="P5" s="1" t="s">
        <v>268</v>
      </c>
      <c r="Q5" s="1" t="s">
        <v>8</v>
      </c>
      <c r="R5" s="1" t="s">
        <v>9</v>
      </c>
    </row>
    <row r="6" spans="1:18">
      <c r="A6" t="s">
        <v>10</v>
      </c>
    </row>
    <row r="7" spans="1:18">
      <c r="B7" t="s">
        <v>163</v>
      </c>
      <c r="K7" s="72">
        <v>2454254</v>
      </c>
      <c r="L7" s="73">
        <v>810545</v>
      </c>
      <c r="M7" s="73">
        <v>1412343</v>
      </c>
      <c r="N7" s="73"/>
      <c r="O7" s="73">
        <v>85520</v>
      </c>
      <c r="P7" s="73">
        <v>304584</v>
      </c>
      <c r="Q7" s="73">
        <v>486878</v>
      </c>
      <c r="R7" s="73">
        <f>SUM(K7:Q7)</f>
        <v>5554124</v>
      </c>
    </row>
    <row r="8" spans="1:18">
      <c r="B8" t="s">
        <v>269</v>
      </c>
      <c r="K8" s="73"/>
      <c r="L8" s="73"/>
      <c r="M8" s="73"/>
      <c r="N8" s="73">
        <v>2396243</v>
      </c>
      <c r="O8" s="73"/>
      <c r="P8" s="73"/>
      <c r="Q8" s="73"/>
      <c r="R8" s="73">
        <f t="shared" ref="R8:R10" si="0">SUM(K8:Q8)</f>
        <v>2396243</v>
      </c>
    </row>
    <row r="9" spans="1:18">
      <c r="B9" t="s">
        <v>59</v>
      </c>
      <c r="K9" s="74">
        <v>767695</v>
      </c>
      <c r="L9" s="73">
        <v>845413</v>
      </c>
      <c r="M9" s="73">
        <v>271185</v>
      </c>
      <c r="N9" s="73"/>
      <c r="O9" s="73"/>
      <c r="P9" s="73">
        <v>207025</v>
      </c>
      <c r="Q9" s="73">
        <v>33745</v>
      </c>
      <c r="R9" s="73">
        <f t="shared" si="0"/>
        <v>2125063</v>
      </c>
    </row>
    <row r="10" spans="1:18">
      <c r="B10" t="s">
        <v>182</v>
      </c>
      <c r="K10" s="83">
        <v>1904</v>
      </c>
      <c r="L10" s="73">
        <v>325</v>
      </c>
      <c r="M10" s="73">
        <v>376</v>
      </c>
      <c r="N10" s="73"/>
      <c r="O10" s="73"/>
      <c r="P10" s="73"/>
      <c r="Q10" s="73"/>
      <c r="R10" s="73">
        <f t="shared" si="0"/>
        <v>2605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>
      <c r="A12" s="2"/>
      <c r="B12" s="2"/>
      <c r="C12" s="2"/>
      <c r="D12" s="2"/>
      <c r="E12" s="2" t="s">
        <v>129</v>
      </c>
      <c r="F12" s="3"/>
      <c r="G12" s="3"/>
      <c r="H12" s="3"/>
      <c r="I12" s="3"/>
      <c r="J12" s="3"/>
      <c r="K12" s="76">
        <f t="shared" ref="K12:R12" si="1">SUM(K7:K10)</f>
        <v>3223853</v>
      </c>
      <c r="L12" s="76">
        <f t="shared" si="1"/>
        <v>1656283</v>
      </c>
      <c r="M12" s="76">
        <f t="shared" si="1"/>
        <v>1683904</v>
      </c>
      <c r="N12" s="76">
        <f t="shared" si="1"/>
        <v>2396243</v>
      </c>
      <c r="O12" s="76">
        <f t="shared" si="1"/>
        <v>85520</v>
      </c>
      <c r="P12" s="76">
        <f t="shared" si="1"/>
        <v>511609</v>
      </c>
      <c r="Q12" s="76">
        <f t="shared" si="1"/>
        <v>520623</v>
      </c>
      <c r="R12" s="76">
        <f t="shared" si="1"/>
        <v>10078035</v>
      </c>
    </row>
    <row r="13" spans="1:18">
      <c r="K13" s="73"/>
      <c r="L13" s="73"/>
      <c r="M13" s="73"/>
      <c r="N13" s="73"/>
      <c r="O13" s="73"/>
      <c r="P13" s="73"/>
      <c r="Q13" s="73"/>
      <c r="R13" s="73"/>
    </row>
    <row r="14" spans="1:18">
      <c r="A14" s="4" t="s">
        <v>21</v>
      </c>
      <c r="K14" s="73"/>
      <c r="L14" s="73"/>
      <c r="M14" s="73"/>
      <c r="N14" s="73"/>
      <c r="O14" s="73"/>
      <c r="P14" s="73"/>
      <c r="Q14" s="73"/>
      <c r="R14" s="73"/>
    </row>
    <row r="15" spans="1:18">
      <c r="B15" t="s">
        <v>22</v>
      </c>
      <c r="K15" s="73"/>
      <c r="L15" s="73"/>
      <c r="M15" s="73"/>
      <c r="N15" s="73"/>
      <c r="O15" s="73"/>
      <c r="P15" s="73"/>
      <c r="Q15" s="73"/>
      <c r="R15" s="73"/>
    </row>
    <row r="16" spans="1:18">
      <c r="C16" t="s">
        <v>270</v>
      </c>
      <c r="K16" s="77">
        <v>38787</v>
      </c>
      <c r="L16" s="73">
        <v>18461</v>
      </c>
      <c r="M16" s="73"/>
      <c r="N16" s="73"/>
      <c r="O16" s="73">
        <v>29483</v>
      </c>
      <c r="P16" s="73">
        <v>1723</v>
      </c>
      <c r="Q16" s="73">
        <v>13639</v>
      </c>
      <c r="R16" s="73">
        <f>SUM(K16:Q16)</f>
        <v>102093</v>
      </c>
    </row>
    <row r="17" spans="1:18">
      <c r="K17" s="73"/>
      <c r="L17" s="73"/>
      <c r="M17" s="73"/>
      <c r="N17" s="73"/>
      <c r="O17" s="73"/>
      <c r="P17" s="73"/>
      <c r="Q17" s="73"/>
      <c r="R17" s="73"/>
    </row>
    <row r="18" spans="1:18">
      <c r="A18" s="5"/>
      <c r="B18" s="6"/>
      <c r="C18" s="6"/>
      <c r="D18" s="6"/>
      <c r="E18" s="6" t="s">
        <v>28</v>
      </c>
      <c r="F18" s="5"/>
      <c r="G18" s="5"/>
      <c r="H18" s="5"/>
      <c r="I18" s="5"/>
      <c r="J18" s="5"/>
      <c r="K18" s="79">
        <f t="shared" ref="K18:R18" si="2">SUM(K16:K16)</f>
        <v>38787</v>
      </c>
      <c r="L18" s="79">
        <f t="shared" si="2"/>
        <v>18461</v>
      </c>
      <c r="M18" s="79">
        <f t="shared" si="2"/>
        <v>0</v>
      </c>
      <c r="N18" s="79">
        <f t="shared" si="2"/>
        <v>0</v>
      </c>
      <c r="O18" s="79">
        <f t="shared" si="2"/>
        <v>29483</v>
      </c>
      <c r="P18" s="79">
        <f t="shared" si="2"/>
        <v>1723</v>
      </c>
      <c r="Q18" s="79">
        <f t="shared" si="2"/>
        <v>13639</v>
      </c>
      <c r="R18" s="79">
        <f t="shared" si="2"/>
        <v>102093</v>
      </c>
    </row>
    <row r="19" spans="1:18">
      <c r="K19" s="73"/>
      <c r="L19" s="73"/>
      <c r="M19" s="73"/>
      <c r="N19" s="73"/>
      <c r="O19" s="73"/>
      <c r="P19" s="73"/>
      <c r="Q19" s="73"/>
      <c r="R19" s="73"/>
    </row>
    <row r="20" spans="1:18">
      <c r="B20" t="s">
        <v>31</v>
      </c>
      <c r="K20" s="73"/>
      <c r="L20" s="73"/>
      <c r="M20" s="73"/>
      <c r="N20" s="73"/>
      <c r="O20" s="73"/>
      <c r="P20" s="73"/>
      <c r="Q20" s="73"/>
      <c r="R20" s="73"/>
    </row>
    <row r="21" spans="1:18">
      <c r="C21" t="s">
        <v>32</v>
      </c>
      <c r="K21" s="73"/>
      <c r="L21" s="73"/>
      <c r="M21" s="73"/>
      <c r="N21" s="73"/>
      <c r="O21" s="73"/>
      <c r="P21" s="73"/>
      <c r="Q21" s="73"/>
      <c r="R21" s="73"/>
    </row>
    <row r="22" spans="1:18">
      <c r="D22" t="s">
        <v>271</v>
      </c>
      <c r="K22" s="73"/>
      <c r="L22" s="73"/>
      <c r="M22" s="73"/>
      <c r="N22" s="73">
        <v>2396243</v>
      </c>
      <c r="O22" s="73"/>
      <c r="P22" s="73"/>
      <c r="Q22" s="73"/>
      <c r="R22" s="73">
        <f>SUM(K22:Q22)</f>
        <v>2396243</v>
      </c>
    </row>
    <row r="23" spans="1:18">
      <c r="C23" t="s">
        <v>272</v>
      </c>
      <c r="K23" s="73"/>
      <c r="L23" s="73"/>
      <c r="M23" s="73"/>
      <c r="N23" s="73"/>
      <c r="O23" s="73"/>
      <c r="P23" s="73"/>
      <c r="Q23" s="73"/>
      <c r="R23" s="73"/>
    </row>
    <row r="24" spans="1:18">
      <c r="D24" t="s">
        <v>273</v>
      </c>
      <c r="K24" s="73"/>
      <c r="L24" s="73">
        <v>1637822</v>
      </c>
      <c r="M24" s="73">
        <v>1683904</v>
      </c>
      <c r="N24" s="73"/>
      <c r="O24" s="73">
        <v>56037</v>
      </c>
      <c r="P24" s="73">
        <v>509886</v>
      </c>
      <c r="Q24" s="73">
        <v>506984</v>
      </c>
      <c r="R24" s="73">
        <f>SUM(K24:Q24)</f>
        <v>4394633</v>
      </c>
    </row>
    <row r="25" spans="1:18">
      <c r="C25" t="s">
        <v>274</v>
      </c>
      <c r="K25" s="73"/>
      <c r="L25" s="73"/>
      <c r="M25" s="73"/>
      <c r="N25" s="73"/>
      <c r="O25" s="73"/>
      <c r="P25" s="73"/>
      <c r="Q25" s="73"/>
      <c r="R25" s="73">
        <f>SUM(K25:Q25)</f>
        <v>0</v>
      </c>
    </row>
    <row r="26" spans="1:18">
      <c r="D26" t="s">
        <v>159</v>
      </c>
      <c r="K26" s="86">
        <v>3185066</v>
      </c>
      <c r="L26" s="73"/>
      <c r="M26" s="73"/>
      <c r="N26" s="73"/>
      <c r="O26" s="73"/>
      <c r="P26" s="73"/>
      <c r="Q26" s="73"/>
      <c r="R26" s="73">
        <f>SUM(K26:Q26)</f>
        <v>3185066</v>
      </c>
    </row>
    <row r="27" spans="1:18">
      <c r="K27" s="73"/>
      <c r="L27" s="73"/>
      <c r="M27" s="73"/>
      <c r="N27" s="73"/>
      <c r="O27" s="73"/>
      <c r="P27" s="73"/>
      <c r="Q27" s="73"/>
      <c r="R27" s="73"/>
    </row>
    <row r="28" spans="1:18">
      <c r="A28" s="5"/>
      <c r="B28" s="5"/>
      <c r="C28" s="5"/>
      <c r="D28" s="6"/>
      <c r="E28" s="6" t="s">
        <v>49</v>
      </c>
      <c r="F28" s="5"/>
      <c r="G28" s="5"/>
      <c r="H28" s="5"/>
      <c r="I28" s="5"/>
      <c r="J28" s="5"/>
      <c r="K28" s="79">
        <f t="shared" ref="K28:M28" si="3">SUM(K22:K26)</f>
        <v>3185066</v>
      </c>
      <c r="L28" s="79">
        <f t="shared" si="3"/>
        <v>1637822</v>
      </c>
      <c r="M28" s="79">
        <f t="shared" si="3"/>
        <v>1683904</v>
      </c>
      <c r="N28" s="79">
        <f>SUM(N22:N26)</f>
        <v>2396243</v>
      </c>
      <c r="O28" s="79">
        <f t="shared" ref="O28:R28" si="4">SUM(O22:O26)</f>
        <v>56037</v>
      </c>
      <c r="P28" s="79">
        <f t="shared" si="4"/>
        <v>509886</v>
      </c>
      <c r="Q28" s="79">
        <f t="shared" si="4"/>
        <v>506984</v>
      </c>
      <c r="R28" s="79">
        <f t="shared" si="4"/>
        <v>9975942</v>
      </c>
    </row>
    <row r="29" spans="1:18">
      <c r="K29" s="73"/>
      <c r="L29" s="73"/>
      <c r="M29" s="73"/>
      <c r="N29" s="73"/>
      <c r="O29" s="73"/>
      <c r="P29" s="73"/>
      <c r="Q29" s="73"/>
      <c r="R29" s="73"/>
    </row>
    <row r="30" spans="1:18">
      <c r="A30" s="7"/>
      <c r="B30" s="7"/>
      <c r="C30" s="7"/>
      <c r="D30" s="8"/>
      <c r="E30" s="8" t="s">
        <v>50</v>
      </c>
      <c r="F30" s="7"/>
      <c r="G30" s="7"/>
      <c r="H30" s="7"/>
      <c r="I30" s="7"/>
      <c r="J30" s="7"/>
      <c r="K30" s="81">
        <f t="shared" ref="K30:R30" si="5">SUM(K28,K18,)</f>
        <v>3223853</v>
      </c>
      <c r="L30" s="81">
        <f t="shared" si="5"/>
        <v>1656283</v>
      </c>
      <c r="M30" s="81">
        <f t="shared" si="5"/>
        <v>1683904</v>
      </c>
      <c r="N30" s="81">
        <f t="shared" si="5"/>
        <v>2396243</v>
      </c>
      <c r="O30" s="81">
        <f t="shared" si="5"/>
        <v>85520</v>
      </c>
      <c r="P30" s="81">
        <f t="shared" si="5"/>
        <v>511609</v>
      </c>
      <c r="Q30" s="81">
        <f t="shared" si="5"/>
        <v>520623</v>
      </c>
      <c r="R30" s="81">
        <f t="shared" si="5"/>
        <v>10078035</v>
      </c>
    </row>
  </sheetData>
  <mergeCells count="3">
    <mergeCell ref="D1:K1"/>
    <mergeCell ref="D2:K2"/>
    <mergeCell ref="K3:N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9"/>
  <sheetViews>
    <sheetView topLeftCell="A16"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28515625" customWidth="1"/>
    <col min="13" max="13" width="14.85546875" customWidth="1"/>
    <col min="14" max="14" width="14.42578125" customWidth="1"/>
    <col min="15" max="17" width="16.42578125" customWidth="1"/>
    <col min="18" max="18" width="18" customWidth="1"/>
    <col min="19" max="19" width="17.28515625" customWidth="1"/>
  </cols>
  <sheetData>
    <row r="1" spans="1:19" ht="18.75">
      <c r="D1" s="125" t="s">
        <v>275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9" ht="45">
      <c r="K4" s="1" t="s">
        <v>52</v>
      </c>
      <c r="L4" s="1" t="s">
        <v>53</v>
      </c>
      <c r="M4" s="1" t="s">
        <v>276</v>
      </c>
      <c r="N4" s="1" t="s">
        <v>277</v>
      </c>
      <c r="O4" s="1" t="s">
        <v>278</v>
      </c>
      <c r="P4" s="1" t="s">
        <v>257</v>
      </c>
      <c r="Q4" s="1" t="s">
        <v>279</v>
      </c>
      <c r="R4" s="1" t="s">
        <v>8</v>
      </c>
      <c r="S4" s="1" t="s">
        <v>9</v>
      </c>
    </row>
    <row r="5" spans="1:19">
      <c r="A5" t="s">
        <v>10</v>
      </c>
    </row>
    <row r="6" spans="1:19">
      <c r="B6" t="s">
        <v>163</v>
      </c>
      <c r="K6" s="72">
        <v>1330631</v>
      </c>
      <c r="L6" s="73">
        <v>2288828</v>
      </c>
      <c r="M6" s="73">
        <v>94129</v>
      </c>
      <c r="N6" s="73">
        <v>606834</v>
      </c>
      <c r="O6" s="73">
        <v>4639231</v>
      </c>
      <c r="P6" s="73">
        <v>3000</v>
      </c>
      <c r="Q6" s="73">
        <v>1447841</v>
      </c>
      <c r="R6" s="73">
        <v>803131</v>
      </c>
      <c r="S6" s="73">
        <f t="shared" ref="S6:S12" si="0">SUM(K6:R6)</f>
        <v>11213625</v>
      </c>
    </row>
    <row r="7" spans="1:19">
      <c r="B7" t="s">
        <v>12</v>
      </c>
      <c r="K7" s="77">
        <v>5807752</v>
      </c>
      <c r="L7" s="73">
        <v>6347657</v>
      </c>
      <c r="M7" s="73">
        <v>10696</v>
      </c>
      <c r="N7" s="73">
        <v>7735241</v>
      </c>
      <c r="O7" s="73"/>
      <c r="P7" s="73"/>
      <c r="Q7" s="73"/>
      <c r="R7" s="73"/>
      <c r="S7" s="73">
        <f t="shared" si="0"/>
        <v>19901346</v>
      </c>
    </row>
    <row r="8" spans="1:19">
      <c r="B8" t="s">
        <v>280</v>
      </c>
      <c r="K8" s="74">
        <v>4018916</v>
      </c>
      <c r="L8" s="73">
        <v>4079786</v>
      </c>
      <c r="M8" s="73">
        <v>3950744</v>
      </c>
      <c r="N8" s="73">
        <v>91183</v>
      </c>
      <c r="O8" s="73">
        <v>296</v>
      </c>
      <c r="P8" s="73">
        <v>1051370</v>
      </c>
      <c r="Q8" s="73">
        <v>98843</v>
      </c>
      <c r="R8" s="73">
        <v>236842</v>
      </c>
      <c r="S8" s="73">
        <f t="shared" si="0"/>
        <v>13527980</v>
      </c>
    </row>
    <row r="9" spans="1:19">
      <c r="B9" t="s">
        <v>61</v>
      </c>
      <c r="K9" s="73"/>
      <c r="L9" s="73"/>
      <c r="M9" s="73"/>
      <c r="N9" s="73">
        <v>40185</v>
      </c>
      <c r="O9" s="73"/>
      <c r="P9" s="73"/>
      <c r="Q9" s="73"/>
      <c r="R9" s="73"/>
      <c r="S9" s="73">
        <f t="shared" si="0"/>
        <v>40185</v>
      </c>
    </row>
    <row r="10" spans="1:19">
      <c r="B10" t="s">
        <v>60</v>
      </c>
      <c r="K10" s="75">
        <v>2650</v>
      </c>
      <c r="L10" s="73"/>
      <c r="M10" s="73"/>
      <c r="N10" s="73"/>
      <c r="O10" s="73"/>
      <c r="P10" s="73"/>
      <c r="Q10" s="73"/>
      <c r="R10" s="73"/>
      <c r="S10" s="73">
        <f t="shared" si="0"/>
        <v>2650</v>
      </c>
    </row>
    <row r="11" spans="1:19">
      <c r="B11" t="s">
        <v>18</v>
      </c>
      <c r="K11" s="75">
        <v>1367048</v>
      </c>
      <c r="L11" s="73">
        <v>156097</v>
      </c>
      <c r="M11" s="73">
        <v>520322</v>
      </c>
      <c r="N11" s="73"/>
      <c r="O11" s="73">
        <v>104065</v>
      </c>
      <c r="P11" s="73"/>
      <c r="Q11" s="73"/>
      <c r="R11" s="73"/>
      <c r="S11" s="73">
        <f t="shared" si="0"/>
        <v>2147532</v>
      </c>
    </row>
    <row r="12" spans="1:19">
      <c r="B12" t="s">
        <v>281</v>
      </c>
      <c r="K12" s="73"/>
      <c r="L12" s="73"/>
      <c r="M12" s="73">
        <v>55000</v>
      </c>
      <c r="N12" s="73"/>
      <c r="O12" s="73"/>
      <c r="P12" s="73"/>
      <c r="Q12" s="73"/>
      <c r="R12" s="73"/>
      <c r="S12" s="73">
        <f t="shared" si="0"/>
        <v>55000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 s="3" customFormat="1">
      <c r="A14" s="2"/>
      <c r="B14" s="2"/>
      <c r="C14" s="2"/>
      <c r="D14" s="2"/>
      <c r="E14" s="2" t="s">
        <v>20</v>
      </c>
      <c r="K14" s="76">
        <f t="shared" ref="K14:S14" si="1">SUM(K6:K12)</f>
        <v>12526997</v>
      </c>
      <c r="L14" s="76">
        <f t="shared" si="1"/>
        <v>12872368</v>
      </c>
      <c r="M14" s="76">
        <f t="shared" si="1"/>
        <v>4630891</v>
      </c>
      <c r="N14" s="76">
        <f t="shared" si="1"/>
        <v>8473443</v>
      </c>
      <c r="O14" s="76">
        <f t="shared" si="1"/>
        <v>4743592</v>
      </c>
      <c r="P14" s="76">
        <f t="shared" si="1"/>
        <v>1054370</v>
      </c>
      <c r="Q14" s="76">
        <f t="shared" si="1"/>
        <v>1546684</v>
      </c>
      <c r="R14" s="76">
        <f t="shared" si="1"/>
        <v>1039973</v>
      </c>
      <c r="S14" s="76">
        <f t="shared" si="1"/>
        <v>46888318</v>
      </c>
    </row>
    <row r="15" spans="1:19"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A16" s="4" t="s">
        <v>21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B17" t="s">
        <v>22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1:19">
      <c r="C18" t="s">
        <v>23</v>
      </c>
      <c r="K18" s="77">
        <v>270768</v>
      </c>
      <c r="L18" s="73">
        <v>329947</v>
      </c>
      <c r="M18" s="73">
        <v>226143</v>
      </c>
      <c r="N18" s="73">
        <v>70987</v>
      </c>
      <c r="O18" s="73">
        <v>35469</v>
      </c>
      <c r="P18" s="73">
        <v>10723</v>
      </c>
      <c r="Q18" s="73">
        <v>140911</v>
      </c>
      <c r="R18" s="73">
        <v>88810</v>
      </c>
      <c r="S18" s="73">
        <f t="shared" ref="S18:S23" si="2">SUM(K18:R18)</f>
        <v>1173758</v>
      </c>
    </row>
    <row r="19" spans="1:19">
      <c r="C19" t="s">
        <v>27</v>
      </c>
      <c r="K19" s="73"/>
      <c r="L19" s="73"/>
      <c r="M19" s="73"/>
      <c r="N19" s="73">
        <v>1000000</v>
      </c>
      <c r="O19" s="73"/>
      <c r="P19" s="73">
        <v>783485</v>
      </c>
      <c r="Q19" s="73">
        <v>98447</v>
      </c>
      <c r="R19" s="73">
        <v>265600</v>
      </c>
      <c r="S19" s="73">
        <f t="shared" si="2"/>
        <v>2147532</v>
      </c>
    </row>
    <row r="20" spans="1:19">
      <c r="C20" t="s">
        <v>282</v>
      </c>
      <c r="K20" s="83">
        <v>31222</v>
      </c>
      <c r="L20" s="73"/>
      <c r="M20" s="73"/>
      <c r="N20" s="73"/>
      <c r="O20" s="73"/>
      <c r="P20" s="73"/>
      <c r="Q20" s="73">
        <v>1208876</v>
      </c>
      <c r="R20" s="73">
        <v>182703</v>
      </c>
      <c r="S20" s="73">
        <f t="shared" si="2"/>
        <v>1422801</v>
      </c>
    </row>
    <row r="21" spans="1:19">
      <c r="C21" t="s">
        <v>95</v>
      </c>
      <c r="K21" s="78">
        <v>4</v>
      </c>
      <c r="L21" s="73"/>
      <c r="M21" s="73"/>
      <c r="N21" s="73"/>
      <c r="O21" s="73"/>
      <c r="P21" s="73">
        <v>260162</v>
      </c>
      <c r="Q21" s="73"/>
      <c r="R21" s="73"/>
      <c r="S21" s="73">
        <f t="shared" si="2"/>
        <v>260166</v>
      </c>
    </row>
    <row r="22" spans="1:19">
      <c r="C22" t="s">
        <v>283</v>
      </c>
      <c r="K22" s="73"/>
      <c r="L22" s="73"/>
      <c r="M22" s="73"/>
      <c r="N22" s="73"/>
      <c r="O22" s="73"/>
      <c r="P22" s="73"/>
      <c r="Q22" s="73"/>
      <c r="R22" s="73">
        <v>67825</v>
      </c>
      <c r="S22" s="73">
        <f t="shared" si="2"/>
        <v>67825</v>
      </c>
    </row>
    <row r="23" spans="1:19">
      <c r="C23" t="s">
        <v>284</v>
      </c>
      <c r="K23" s="83">
        <v>1100</v>
      </c>
      <c r="L23" s="73"/>
      <c r="M23" s="73"/>
      <c r="N23" s="73"/>
      <c r="O23" s="73"/>
      <c r="P23" s="73"/>
      <c r="Q23" s="73"/>
      <c r="R23" s="73"/>
      <c r="S23" s="73">
        <f t="shared" si="2"/>
        <v>1100</v>
      </c>
    </row>
    <row r="24" spans="1:19">
      <c r="K24" s="73"/>
      <c r="L24" s="73"/>
      <c r="M24" s="73"/>
      <c r="N24" s="73"/>
      <c r="O24" s="73"/>
      <c r="P24" s="73"/>
      <c r="Q24" s="73"/>
      <c r="R24" s="73"/>
      <c r="S24" s="73"/>
    </row>
    <row r="25" spans="1:19" s="5" customFormat="1">
      <c r="B25" s="6"/>
      <c r="C25" s="6"/>
      <c r="D25" s="6"/>
      <c r="E25" s="6" t="s">
        <v>28</v>
      </c>
      <c r="K25" s="79">
        <f t="shared" ref="K25:S25" si="3">SUM(K18:K23)</f>
        <v>303094</v>
      </c>
      <c r="L25" s="79">
        <f t="shared" si="3"/>
        <v>329947</v>
      </c>
      <c r="M25" s="79">
        <f t="shared" si="3"/>
        <v>226143</v>
      </c>
      <c r="N25" s="79">
        <f t="shared" si="3"/>
        <v>1070987</v>
      </c>
      <c r="O25" s="79">
        <f t="shared" si="3"/>
        <v>35469</v>
      </c>
      <c r="P25" s="79">
        <f t="shared" si="3"/>
        <v>1054370</v>
      </c>
      <c r="Q25" s="79">
        <f t="shared" si="3"/>
        <v>1448234</v>
      </c>
      <c r="R25" s="79">
        <f t="shared" si="3"/>
        <v>604938</v>
      </c>
      <c r="S25" s="79">
        <f t="shared" si="3"/>
        <v>5073182</v>
      </c>
    </row>
    <row r="26" spans="1:19"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A27" s="71" t="s">
        <v>29</v>
      </c>
      <c r="K27" s="73"/>
      <c r="L27" s="73"/>
      <c r="M27" s="73"/>
      <c r="N27" s="73"/>
      <c r="O27" s="73"/>
      <c r="P27" s="73"/>
      <c r="Q27" s="73"/>
      <c r="R27" s="73"/>
      <c r="S27" s="73"/>
    </row>
    <row r="28" spans="1:19">
      <c r="B28" t="s">
        <v>285</v>
      </c>
      <c r="K28" s="88">
        <v>168000</v>
      </c>
      <c r="L28" s="88">
        <v>123521</v>
      </c>
      <c r="M28" s="88">
        <v>171568</v>
      </c>
      <c r="N28" s="88"/>
      <c r="O28" s="88"/>
      <c r="P28" s="88"/>
      <c r="Q28" s="88"/>
      <c r="R28" s="88"/>
      <c r="S28" s="88">
        <f>SUM(K28:R28)</f>
        <v>463089</v>
      </c>
    </row>
    <row r="29" spans="1:19">
      <c r="K29" s="73"/>
      <c r="L29" s="73"/>
      <c r="M29" s="73"/>
      <c r="N29" s="73"/>
      <c r="O29" s="73"/>
      <c r="P29" s="73"/>
      <c r="Q29" s="73"/>
      <c r="R29" s="73"/>
      <c r="S29" s="73"/>
    </row>
    <row r="30" spans="1:19" s="5" customFormat="1">
      <c r="B30" s="6"/>
      <c r="C30" s="6"/>
      <c r="D30" s="6"/>
      <c r="E30" s="6" t="s">
        <v>187</v>
      </c>
      <c r="K30" s="79">
        <f t="shared" ref="K30:S30" si="4">SUM(K28:K28)</f>
        <v>168000</v>
      </c>
      <c r="L30" s="79">
        <f t="shared" si="4"/>
        <v>123521</v>
      </c>
      <c r="M30" s="79">
        <f t="shared" si="4"/>
        <v>171568</v>
      </c>
      <c r="N30" s="79">
        <f t="shared" si="4"/>
        <v>0</v>
      </c>
      <c r="O30" s="79">
        <f t="shared" si="4"/>
        <v>0</v>
      </c>
      <c r="P30" s="79">
        <f t="shared" si="4"/>
        <v>0</v>
      </c>
      <c r="Q30" s="79">
        <f t="shared" si="4"/>
        <v>0</v>
      </c>
      <c r="R30" s="79">
        <f t="shared" si="4"/>
        <v>0</v>
      </c>
      <c r="S30" s="79">
        <f t="shared" si="4"/>
        <v>463089</v>
      </c>
    </row>
    <row r="31" spans="1:19">
      <c r="K31" s="73"/>
      <c r="L31" s="73"/>
      <c r="M31" s="73"/>
      <c r="N31" s="73"/>
      <c r="O31" s="73"/>
      <c r="P31" s="73"/>
      <c r="Q31" s="73"/>
      <c r="R31" s="73"/>
      <c r="S31" s="73"/>
    </row>
    <row r="32" spans="1:19">
      <c r="B32" t="s">
        <v>31</v>
      </c>
      <c r="K32" s="73"/>
      <c r="L32" s="73"/>
      <c r="M32" s="73"/>
      <c r="N32" s="73"/>
      <c r="O32" s="73"/>
      <c r="P32" s="73"/>
      <c r="Q32" s="73"/>
      <c r="R32" s="73"/>
      <c r="S32" s="73"/>
    </row>
    <row r="33" spans="3:19">
      <c r="C33" t="s">
        <v>188</v>
      </c>
      <c r="K33" s="73"/>
      <c r="L33" s="73"/>
      <c r="M33" s="73"/>
      <c r="N33" s="73"/>
      <c r="O33" s="73"/>
      <c r="P33" s="73"/>
      <c r="Q33" s="73"/>
      <c r="R33" s="73"/>
      <c r="S33" s="73"/>
    </row>
    <row r="34" spans="3:19">
      <c r="D34" t="s">
        <v>61</v>
      </c>
      <c r="K34" s="73"/>
      <c r="L34" s="73"/>
      <c r="M34" s="73"/>
      <c r="N34" s="73">
        <v>40185</v>
      </c>
      <c r="O34" s="73"/>
      <c r="P34" s="73"/>
      <c r="Q34" s="73"/>
      <c r="R34" s="73"/>
      <c r="S34" s="73">
        <f>SUM(K34:R34)</f>
        <v>40185</v>
      </c>
    </row>
    <row r="35" spans="3:19">
      <c r="C35" t="s">
        <v>32</v>
      </c>
      <c r="K35" s="73"/>
      <c r="L35" s="73"/>
      <c r="M35" s="73"/>
      <c r="N35" s="73"/>
      <c r="O35" s="73"/>
      <c r="P35" s="73"/>
      <c r="Q35" s="73"/>
      <c r="R35" s="73"/>
      <c r="S35" s="73"/>
    </row>
    <row r="36" spans="3:19">
      <c r="D36" t="s">
        <v>46</v>
      </c>
      <c r="K36" s="73"/>
      <c r="L36" s="73"/>
      <c r="M36" s="73"/>
      <c r="N36" s="73">
        <v>7362271</v>
      </c>
      <c r="O36" s="73"/>
      <c r="P36" s="73"/>
      <c r="Q36" s="73"/>
      <c r="R36" s="73"/>
      <c r="S36" s="73">
        <f t="shared" ref="S36:S42" si="5">SUM(K36:R36)</f>
        <v>7362271</v>
      </c>
    </row>
    <row r="37" spans="3:19">
      <c r="D37" t="s">
        <v>67</v>
      </c>
      <c r="K37" s="73"/>
      <c r="L37" s="73"/>
      <c r="M37" s="73"/>
      <c r="N37" s="73"/>
      <c r="O37" s="73"/>
      <c r="P37" s="73"/>
      <c r="Q37" s="73">
        <v>98450</v>
      </c>
      <c r="R37" s="73"/>
      <c r="S37" s="73">
        <f t="shared" si="5"/>
        <v>98450</v>
      </c>
    </row>
    <row r="38" spans="3:19">
      <c r="D38" t="s">
        <v>69</v>
      </c>
      <c r="K38" s="73"/>
      <c r="L38" s="73"/>
      <c r="M38" s="73"/>
      <c r="N38" s="73"/>
      <c r="O38" s="73">
        <v>4708123</v>
      </c>
      <c r="P38" s="73"/>
      <c r="Q38" s="73"/>
      <c r="R38" s="73">
        <v>22724</v>
      </c>
      <c r="S38" s="73">
        <f t="shared" si="5"/>
        <v>4730847</v>
      </c>
    </row>
    <row r="39" spans="3:19">
      <c r="D39" t="s">
        <v>286</v>
      </c>
      <c r="K39" s="73"/>
      <c r="L39" s="73"/>
      <c r="M39" s="73">
        <v>4233180</v>
      </c>
      <c r="N39" s="73"/>
      <c r="O39" s="73"/>
      <c r="P39" s="73"/>
      <c r="Q39" s="73"/>
      <c r="R39" s="73"/>
      <c r="S39" s="73">
        <f t="shared" si="5"/>
        <v>4233180</v>
      </c>
    </row>
    <row r="40" spans="3:19">
      <c r="D40" t="s">
        <v>71</v>
      </c>
      <c r="K40" s="73"/>
      <c r="L40" s="73">
        <v>12418900</v>
      </c>
      <c r="M40" s="73"/>
      <c r="N40" s="73"/>
      <c r="O40" s="73"/>
      <c r="P40" s="73"/>
      <c r="Q40" s="73"/>
      <c r="R40" s="73"/>
      <c r="S40" s="73">
        <f t="shared" si="5"/>
        <v>12418900</v>
      </c>
    </row>
    <row r="41" spans="3:19">
      <c r="D41" t="s">
        <v>147</v>
      </c>
      <c r="K41" s="73"/>
      <c r="L41" s="73"/>
      <c r="M41" s="73"/>
      <c r="N41" s="73"/>
      <c r="O41" s="73"/>
      <c r="P41" s="73"/>
      <c r="Q41" s="73"/>
      <c r="R41" s="73">
        <v>6995</v>
      </c>
      <c r="S41" s="73">
        <f t="shared" si="5"/>
        <v>6995</v>
      </c>
    </row>
    <row r="42" spans="3:19">
      <c r="D42" t="s">
        <v>287</v>
      </c>
      <c r="K42" s="73"/>
      <c r="L42" s="73"/>
      <c r="M42" s="73"/>
      <c r="N42" s="73"/>
      <c r="O42" s="73"/>
      <c r="P42" s="73"/>
      <c r="Q42" s="73"/>
      <c r="R42" s="73">
        <v>394991</v>
      </c>
      <c r="S42" s="73">
        <f t="shared" si="5"/>
        <v>394991</v>
      </c>
    </row>
    <row r="43" spans="3:19">
      <c r="C43" t="s">
        <v>42</v>
      </c>
      <c r="K43" s="73"/>
      <c r="L43" s="73"/>
      <c r="M43" s="73"/>
      <c r="N43" s="73"/>
      <c r="O43" s="73"/>
      <c r="P43" s="73"/>
      <c r="Q43" s="73"/>
      <c r="R43" s="73"/>
      <c r="S43" s="73"/>
    </row>
    <row r="44" spans="3:19">
      <c r="D44" t="s">
        <v>288</v>
      </c>
      <c r="K44" s="73"/>
      <c r="L44" s="73"/>
      <c r="M44" s="73"/>
      <c r="N44" s="73"/>
      <c r="O44" s="73"/>
      <c r="P44" s="73"/>
      <c r="Q44" s="73"/>
      <c r="R44" s="73">
        <v>10325</v>
      </c>
      <c r="S44" s="73">
        <f>SUM(K44:R44)</f>
        <v>10325</v>
      </c>
    </row>
    <row r="45" spans="3:19">
      <c r="C45" t="s">
        <v>48</v>
      </c>
      <c r="K45" s="86">
        <v>12055903</v>
      </c>
      <c r="L45" s="73"/>
      <c r="M45" s="73"/>
      <c r="N45" s="73"/>
      <c r="O45" s="73"/>
      <c r="P45" s="73"/>
      <c r="Q45" s="73"/>
      <c r="R45" s="73"/>
      <c r="S45" s="73">
        <f>SUM(K45:R45)</f>
        <v>12055903</v>
      </c>
    </row>
    <row r="46" spans="3:19">
      <c r="K46" s="73"/>
      <c r="L46" s="73"/>
      <c r="M46" s="73"/>
      <c r="N46" s="73"/>
      <c r="O46" s="73"/>
      <c r="P46" s="73"/>
      <c r="Q46" s="73"/>
      <c r="R46" s="73"/>
      <c r="S46" s="73"/>
    </row>
    <row r="47" spans="3:19" s="5" customFormat="1">
      <c r="D47" s="6"/>
      <c r="E47" s="6" t="s">
        <v>49</v>
      </c>
      <c r="K47" s="79">
        <f t="shared" ref="K47:S47" si="6">SUM(K33:K45)</f>
        <v>12055903</v>
      </c>
      <c r="L47" s="79">
        <f t="shared" si="6"/>
        <v>12418900</v>
      </c>
      <c r="M47" s="79">
        <f t="shared" si="6"/>
        <v>4233180</v>
      </c>
      <c r="N47" s="79">
        <f t="shared" si="6"/>
        <v>7402456</v>
      </c>
      <c r="O47" s="79">
        <f t="shared" si="6"/>
        <v>4708123</v>
      </c>
      <c r="P47" s="79">
        <f t="shared" si="6"/>
        <v>0</v>
      </c>
      <c r="Q47" s="79">
        <f t="shared" si="6"/>
        <v>98450</v>
      </c>
      <c r="R47" s="79">
        <f t="shared" si="6"/>
        <v>435035</v>
      </c>
      <c r="S47" s="79">
        <f t="shared" si="6"/>
        <v>41352047</v>
      </c>
    </row>
    <row r="48" spans="3:19">
      <c r="K48" s="73"/>
      <c r="L48" s="73"/>
      <c r="M48" s="73"/>
      <c r="N48" s="73"/>
      <c r="O48" s="73"/>
      <c r="P48" s="73"/>
      <c r="Q48" s="73"/>
      <c r="R48" s="73"/>
      <c r="S48" s="73"/>
    </row>
    <row r="49" spans="4:19" s="7" customFormat="1">
      <c r="D49" s="8"/>
      <c r="E49" s="8" t="s">
        <v>50</v>
      </c>
      <c r="K49" s="81">
        <f t="shared" ref="K49:S49" si="7">K47+K30+K25</f>
        <v>12526997</v>
      </c>
      <c r="L49" s="81">
        <f t="shared" si="7"/>
        <v>12872368</v>
      </c>
      <c r="M49" s="81">
        <f t="shared" si="7"/>
        <v>4630891</v>
      </c>
      <c r="N49" s="81">
        <f t="shared" si="7"/>
        <v>8473443</v>
      </c>
      <c r="O49" s="81">
        <f t="shared" si="7"/>
        <v>4743592</v>
      </c>
      <c r="P49" s="81">
        <f t="shared" si="7"/>
        <v>1054370</v>
      </c>
      <c r="Q49" s="81">
        <f t="shared" si="7"/>
        <v>1546684</v>
      </c>
      <c r="R49" s="81">
        <f t="shared" si="7"/>
        <v>1039973</v>
      </c>
      <c r="S49" s="81">
        <f t="shared" si="7"/>
        <v>46888318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48"/>
  <sheetViews>
    <sheetView topLeftCell="A16" workbookViewId="0">
      <selection activeCell="P51" sqref="P51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4" width="16.42578125" customWidth="1"/>
    <col min="15" max="15" width="19.42578125" customWidth="1"/>
    <col min="16" max="16" width="19.85546875" bestFit="1" customWidth="1"/>
  </cols>
  <sheetData>
    <row r="1" spans="1:16" ht="18.75">
      <c r="D1" s="125" t="s">
        <v>289</v>
      </c>
      <c r="E1" s="125"/>
      <c r="F1" s="125"/>
      <c r="G1" s="125"/>
      <c r="H1" s="125"/>
      <c r="I1" s="125"/>
      <c r="J1" s="125"/>
      <c r="K1" s="125"/>
    </row>
    <row r="2" spans="1:16">
      <c r="D2" s="126" t="s">
        <v>290</v>
      </c>
      <c r="E2" s="126"/>
      <c r="F2" s="126"/>
      <c r="G2" s="126"/>
      <c r="H2" s="126"/>
      <c r="I2" s="126"/>
      <c r="J2" s="126"/>
      <c r="K2" s="126"/>
    </row>
    <row r="4" spans="1:16" ht="45">
      <c r="K4" s="1" t="s">
        <v>52</v>
      </c>
      <c r="L4" s="1" t="s">
        <v>291</v>
      </c>
      <c r="M4" s="1" t="s">
        <v>87</v>
      </c>
      <c r="N4" s="1" t="s">
        <v>292</v>
      </c>
      <c r="O4" s="1" t="s">
        <v>8</v>
      </c>
      <c r="P4" s="1" t="s">
        <v>9</v>
      </c>
    </row>
    <row r="5" spans="1:16">
      <c r="A5" t="s">
        <v>10</v>
      </c>
    </row>
    <row r="6" spans="1:16">
      <c r="B6" t="s">
        <v>163</v>
      </c>
      <c r="K6" s="72">
        <v>52185904</v>
      </c>
      <c r="L6" s="73">
        <v>34081246</v>
      </c>
      <c r="M6" s="73">
        <v>2949710</v>
      </c>
      <c r="N6" s="73">
        <v>57614513</v>
      </c>
      <c r="O6" s="73">
        <v>38610250</v>
      </c>
      <c r="P6" s="73">
        <f t="shared" ref="P6:P17" si="0">SUM(K6:O6)</f>
        <v>185441623</v>
      </c>
    </row>
    <row r="7" spans="1:16">
      <c r="B7" t="s">
        <v>12</v>
      </c>
      <c r="K7" s="77">
        <v>54315942</v>
      </c>
      <c r="L7" s="73">
        <v>35472317</v>
      </c>
      <c r="M7" s="73">
        <v>3070106</v>
      </c>
      <c r="N7" s="73">
        <v>57738466</v>
      </c>
      <c r="O7" s="73">
        <v>29741176</v>
      </c>
      <c r="P7" s="73">
        <f t="shared" si="0"/>
        <v>180338007</v>
      </c>
    </row>
    <row r="8" spans="1:16">
      <c r="B8" t="s">
        <v>293</v>
      </c>
      <c r="K8" s="74">
        <v>6004073</v>
      </c>
      <c r="L8" s="73">
        <v>8670001</v>
      </c>
      <c r="M8" s="73"/>
      <c r="N8" s="73"/>
      <c r="O8" s="73">
        <v>6877280</v>
      </c>
      <c r="P8" s="73">
        <f t="shared" si="0"/>
        <v>21551354</v>
      </c>
    </row>
    <row r="9" spans="1:16">
      <c r="B9" t="s">
        <v>294</v>
      </c>
      <c r="K9" s="74">
        <v>4393186</v>
      </c>
      <c r="L9" s="73"/>
      <c r="M9" s="73"/>
      <c r="N9" s="73"/>
      <c r="O9" s="73"/>
      <c r="P9" s="73">
        <f t="shared" si="0"/>
        <v>4393186</v>
      </c>
    </row>
    <row r="10" spans="1:16">
      <c r="B10" t="s">
        <v>295</v>
      </c>
      <c r="K10" s="74">
        <v>17089481</v>
      </c>
      <c r="L10" s="73"/>
      <c r="M10" s="73"/>
      <c r="N10" s="73">
        <v>2665986</v>
      </c>
      <c r="O10" s="73">
        <v>1502072</v>
      </c>
      <c r="P10" s="73">
        <f t="shared" si="0"/>
        <v>21257539</v>
      </c>
    </row>
    <row r="11" spans="1:16">
      <c r="B11" t="s">
        <v>296</v>
      </c>
      <c r="K11" s="74">
        <v>78595</v>
      </c>
      <c r="L11" s="73"/>
      <c r="M11" s="73"/>
      <c r="N11" s="73"/>
      <c r="O11" s="73"/>
      <c r="P11" s="73">
        <f t="shared" si="0"/>
        <v>78595</v>
      </c>
    </row>
    <row r="12" spans="1:16">
      <c r="B12" t="s">
        <v>297</v>
      </c>
      <c r="K12" s="74">
        <v>1977504</v>
      </c>
      <c r="L12" s="73">
        <v>20578</v>
      </c>
      <c r="M12" s="73"/>
      <c r="N12" s="73">
        <v>365864</v>
      </c>
      <c r="O12" s="73">
        <v>2096353</v>
      </c>
      <c r="P12" s="73">
        <f t="shared" si="0"/>
        <v>4460299</v>
      </c>
    </row>
    <row r="13" spans="1:16">
      <c r="B13" t="s">
        <v>298</v>
      </c>
      <c r="K13" s="74">
        <v>47675</v>
      </c>
      <c r="L13" s="73">
        <v>36246</v>
      </c>
      <c r="M13" s="73">
        <v>3105</v>
      </c>
      <c r="N13" s="73">
        <v>51473</v>
      </c>
      <c r="O13" s="73">
        <v>24400</v>
      </c>
      <c r="P13" s="73">
        <f t="shared" si="0"/>
        <v>162899</v>
      </c>
    </row>
    <row r="14" spans="1:16">
      <c r="B14" t="s">
        <v>18</v>
      </c>
      <c r="K14" s="75">
        <v>7976168</v>
      </c>
      <c r="L14" s="73"/>
      <c r="M14" s="73"/>
      <c r="N14" s="73">
        <v>36255347</v>
      </c>
      <c r="O14" s="73"/>
      <c r="P14" s="73">
        <f t="shared" si="0"/>
        <v>44231515</v>
      </c>
    </row>
    <row r="15" spans="1:16">
      <c r="B15" t="s">
        <v>60</v>
      </c>
      <c r="K15" s="75">
        <v>20133213</v>
      </c>
      <c r="L15" s="73">
        <v>29501049</v>
      </c>
      <c r="M15" s="73">
        <v>7535120</v>
      </c>
      <c r="N15" s="73">
        <v>2973657</v>
      </c>
      <c r="O15" s="73">
        <v>22237571</v>
      </c>
      <c r="P15" s="73">
        <f t="shared" si="0"/>
        <v>82380610</v>
      </c>
    </row>
    <row r="16" spans="1:16">
      <c r="B16" t="s">
        <v>206</v>
      </c>
      <c r="K16" s="74">
        <v>596224</v>
      </c>
      <c r="L16" s="73"/>
      <c r="M16" s="73">
        <v>2934399</v>
      </c>
      <c r="N16" s="73"/>
      <c r="O16" s="73"/>
      <c r="P16" s="73">
        <f t="shared" si="0"/>
        <v>3530623</v>
      </c>
    </row>
    <row r="17" spans="1:16">
      <c r="B17" t="s">
        <v>61</v>
      </c>
      <c r="K17" s="87">
        <v>615439</v>
      </c>
      <c r="L17" s="73"/>
      <c r="M17" s="73"/>
      <c r="N17" s="73"/>
      <c r="O17" s="73"/>
      <c r="P17" s="73">
        <f t="shared" si="0"/>
        <v>615439</v>
      </c>
    </row>
    <row r="18" spans="1:16">
      <c r="K18" s="73"/>
      <c r="L18" s="73"/>
      <c r="M18" s="73"/>
      <c r="N18" s="73"/>
      <c r="O18" s="73"/>
      <c r="P18" s="73"/>
    </row>
    <row r="19" spans="1:16" s="3" customFormat="1">
      <c r="A19" s="2"/>
      <c r="B19" s="2"/>
      <c r="C19" s="2"/>
      <c r="D19" s="2"/>
      <c r="E19" s="2" t="s">
        <v>20</v>
      </c>
      <c r="K19" s="76">
        <f>SUM(K6:K17)</f>
        <v>165413404</v>
      </c>
      <c r="L19" s="76">
        <f t="shared" ref="L19:O19" si="1">SUM(L6:L17)</f>
        <v>107781437</v>
      </c>
      <c r="M19" s="76">
        <f t="shared" si="1"/>
        <v>16492440</v>
      </c>
      <c r="N19" s="76">
        <f t="shared" si="1"/>
        <v>157665306</v>
      </c>
      <c r="O19" s="76">
        <f t="shared" si="1"/>
        <v>101089102</v>
      </c>
      <c r="P19" s="76">
        <f>SUM(P6:P17)</f>
        <v>548441689</v>
      </c>
    </row>
    <row r="20" spans="1:16">
      <c r="K20" s="73"/>
      <c r="L20" s="73"/>
      <c r="M20" s="73"/>
      <c r="N20" s="73"/>
      <c r="O20" s="73"/>
      <c r="P20" s="73"/>
    </row>
    <row r="21" spans="1:16">
      <c r="A21" s="4" t="s">
        <v>21</v>
      </c>
      <c r="K21" s="73"/>
      <c r="L21" s="73"/>
      <c r="M21" s="73"/>
      <c r="N21" s="73"/>
      <c r="O21" s="73"/>
      <c r="P21" s="73"/>
    </row>
    <row r="22" spans="1:16">
      <c r="B22" t="s">
        <v>22</v>
      </c>
      <c r="K22" s="73"/>
      <c r="L22" s="73"/>
      <c r="M22" s="73"/>
      <c r="N22" s="73"/>
      <c r="O22" s="73"/>
      <c r="P22" s="73"/>
    </row>
    <row r="23" spans="1:16">
      <c r="C23" t="s">
        <v>299</v>
      </c>
      <c r="K23" s="77">
        <v>16075632</v>
      </c>
      <c r="L23" s="73">
        <v>1875231</v>
      </c>
      <c r="M23" s="73">
        <v>3337321</v>
      </c>
      <c r="N23" s="73">
        <v>11702869</v>
      </c>
      <c r="O23" s="73">
        <v>3275049</v>
      </c>
      <c r="P23" s="73">
        <f t="shared" ref="P23:P28" si="2">SUM(K23:O23)</f>
        <v>36266102</v>
      </c>
    </row>
    <row r="24" spans="1:16">
      <c r="C24" t="s">
        <v>27</v>
      </c>
      <c r="K24" s="73"/>
      <c r="L24" s="73">
        <v>35678938</v>
      </c>
      <c r="M24" s="73"/>
      <c r="N24" s="73"/>
      <c r="O24" s="73">
        <v>8552577</v>
      </c>
      <c r="P24" s="73">
        <f t="shared" si="2"/>
        <v>44231515</v>
      </c>
    </row>
    <row r="25" spans="1:16">
      <c r="C25" t="s">
        <v>95</v>
      </c>
      <c r="K25" s="78">
        <v>7095596</v>
      </c>
      <c r="L25" s="73"/>
      <c r="M25" s="73"/>
      <c r="N25" s="73"/>
      <c r="O25" s="73">
        <v>294934</v>
      </c>
      <c r="P25" s="73">
        <f t="shared" si="2"/>
        <v>7390530</v>
      </c>
    </row>
    <row r="26" spans="1:16">
      <c r="C26" t="s">
        <v>300</v>
      </c>
      <c r="K26" s="77">
        <v>7064989</v>
      </c>
      <c r="L26" s="73">
        <v>797116</v>
      </c>
      <c r="M26" s="73">
        <v>650639</v>
      </c>
      <c r="N26" s="73">
        <v>11927</v>
      </c>
      <c r="O26" s="73">
        <v>1299271</v>
      </c>
      <c r="P26" s="73">
        <f t="shared" si="2"/>
        <v>9823942</v>
      </c>
    </row>
    <row r="27" spans="1:16">
      <c r="C27" t="s">
        <v>26</v>
      </c>
      <c r="K27" s="84">
        <v>13000</v>
      </c>
      <c r="L27" s="73"/>
      <c r="M27" s="73">
        <v>707137</v>
      </c>
      <c r="N27" s="73">
        <v>988957</v>
      </c>
      <c r="O27" s="73"/>
      <c r="P27" s="73">
        <f t="shared" si="2"/>
        <v>1709094</v>
      </c>
    </row>
    <row r="28" spans="1:16">
      <c r="C28" t="s">
        <v>301</v>
      </c>
      <c r="K28" s="83">
        <v>22364573</v>
      </c>
      <c r="L28" s="73"/>
      <c r="M28" s="73">
        <v>138981</v>
      </c>
      <c r="N28" s="73"/>
      <c r="O28" s="73"/>
      <c r="P28" s="73">
        <f t="shared" si="2"/>
        <v>22503554</v>
      </c>
    </row>
    <row r="29" spans="1:16">
      <c r="K29" s="73"/>
      <c r="L29" s="73"/>
      <c r="M29" s="73"/>
      <c r="N29" s="73"/>
      <c r="O29" s="73"/>
      <c r="P29" s="73"/>
    </row>
    <row r="30" spans="1:16" s="5" customFormat="1">
      <c r="B30" s="6"/>
      <c r="C30" s="6"/>
      <c r="D30" s="6"/>
      <c r="E30" s="6" t="s">
        <v>28</v>
      </c>
      <c r="K30" s="79">
        <f>SUM(K23:K28)</f>
        <v>52613790</v>
      </c>
      <c r="L30" s="79">
        <f t="shared" ref="L30:N30" si="3">SUM(L23:L28)</f>
        <v>38351285</v>
      </c>
      <c r="M30" s="79">
        <f t="shared" si="3"/>
        <v>4834078</v>
      </c>
      <c r="N30" s="79">
        <f t="shared" si="3"/>
        <v>12703753</v>
      </c>
      <c r="O30" s="79">
        <f>SUM(O23:O28)</f>
        <v>13421831</v>
      </c>
      <c r="P30" s="79">
        <f>SUM(P23:P28)</f>
        <v>121924737</v>
      </c>
    </row>
    <row r="31" spans="1:16">
      <c r="K31" s="73"/>
      <c r="L31" s="73"/>
      <c r="M31" s="73"/>
      <c r="N31" s="73"/>
      <c r="O31" s="73"/>
      <c r="P31" s="73"/>
    </row>
    <row r="32" spans="1:16">
      <c r="A32" s="71" t="s">
        <v>29</v>
      </c>
      <c r="K32" s="73"/>
      <c r="L32" s="73"/>
      <c r="M32" s="73"/>
      <c r="N32" s="73"/>
      <c r="O32" s="73"/>
      <c r="P32" s="73"/>
    </row>
    <row r="33" spans="2:16">
      <c r="C33" t="s">
        <v>186</v>
      </c>
      <c r="K33" s="73">
        <v>793073</v>
      </c>
      <c r="L33" s="73">
        <v>1074827</v>
      </c>
      <c r="M33" s="73"/>
      <c r="N33" s="73"/>
      <c r="O33" s="73">
        <v>897168</v>
      </c>
      <c r="P33" s="73">
        <f>SUM(K33:O33)</f>
        <v>2765068</v>
      </c>
    </row>
    <row r="34" spans="2:16">
      <c r="C34" t="s">
        <v>302</v>
      </c>
      <c r="K34" s="73">
        <v>659910</v>
      </c>
      <c r="L34" s="73"/>
      <c r="M34" s="73"/>
      <c r="N34" s="73"/>
      <c r="O34" s="73">
        <v>78110</v>
      </c>
      <c r="P34" s="73">
        <f t="shared" ref="P34:P35" si="4">SUM(K34:O34)</f>
        <v>738020</v>
      </c>
    </row>
    <row r="35" spans="2:16">
      <c r="C35" t="s">
        <v>303</v>
      </c>
      <c r="K35" s="73"/>
      <c r="L35" s="73"/>
      <c r="M35" s="73">
        <v>526276</v>
      </c>
      <c r="N35" s="73"/>
      <c r="O35" s="73"/>
      <c r="P35" s="73">
        <f t="shared" si="4"/>
        <v>526276</v>
      </c>
    </row>
    <row r="36" spans="2:16">
      <c r="K36" s="73"/>
      <c r="L36" s="73"/>
      <c r="M36" s="73"/>
      <c r="N36" s="73"/>
      <c r="O36" s="73"/>
      <c r="P36" s="73"/>
    </row>
    <row r="37" spans="2:16" s="5" customFormat="1">
      <c r="B37" s="6"/>
      <c r="C37" s="6"/>
      <c r="D37" s="6"/>
      <c r="E37" s="6" t="s">
        <v>170</v>
      </c>
      <c r="K37" s="79">
        <f>SUM(K33:K35)</f>
        <v>1452983</v>
      </c>
      <c r="L37" s="79">
        <f t="shared" ref="L37:P37" si="5">SUM(L33:L35)</f>
        <v>1074827</v>
      </c>
      <c r="M37" s="79">
        <f t="shared" si="5"/>
        <v>526276</v>
      </c>
      <c r="N37" s="79">
        <f t="shared" si="5"/>
        <v>0</v>
      </c>
      <c r="O37" s="79">
        <f t="shared" si="5"/>
        <v>975278</v>
      </c>
      <c r="P37" s="79">
        <f t="shared" si="5"/>
        <v>4029364</v>
      </c>
    </row>
    <row r="38" spans="2:16">
      <c r="K38" s="73"/>
      <c r="L38" s="73"/>
      <c r="M38" s="73"/>
      <c r="N38" s="73"/>
      <c r="O38" s="73"/>
      <c r="P38" s="73"/>
    </row>
    <row r="39" spans="2:16">
      <c r="B39" t="s">
        <v>100</v>
      </c>
      <c r="K39" s="73"/>
      <c r="L39" s="73"/>
      <c r="M39" s="73"/>
      <c r="N39" s="73"/>
      <c r="O39" s="73"/>
      <c r="P39" s="73"/>
    </row>
    <row r="40" spans="2:16">
      <c r="C40" t="s">
        <v>101</v>
      </c>
      <c r="K40" s="80">
        <v>615439</v>
      </c>
      <c r="L40" s="73"/>
      <c r="M40" s="73"/>
      <c r="N40" s="73"/>
      <c r="O40" s="73"/>
      <c r="P40" s="73">
        <f>SUM(K40:O40)</f>
        <v>615439</v>
      </c>
    </row>
    <row r="41" spans="2:16">
      <c r="C41" t="s">
        <v>118</v>
      </c>
      <c r="K41" s="80">
        <v>705538</v>
      </c>
      <c r="L41" s="73">
        <v>68355325</v>
      </c>
      <c r="M41" s="73">
        <v>11132086</v>
      </c>
      <c r="N41" s="73">
        <v>124171658</v>
      </c>
      <c r="O41" s="73">
        <v>78810662</v>
      </c>
      <c r="P41" s="73">
        <f>SUM(K41:O41)</f>
        <v>283175269</v>
      </c>
    </row>
    <row r="42" spans="2:16">
      <c r="C42" t="s">
        <v>304</v>
      </c>
      <c r="K42" s="80">
        <v>64390991</v>
      </c>
      <c r="L42" s="73"/>
      <c r="M42" s="73"/>
      <c r="N42" s="73">
        <v>20789895</v>
      </c>
      <c r="O42" s="73">
        <v>7881331</v>
      </c>
      <c r="P42" s="73">
        <f t="shared" ref="P42:P44" si="6">SUM(K42:O42)</f>
        <v>93062217</v>
      </c>
    </row>
    <row r="43" spans="2:16">
      <c r="C43" t="s">
        <v>119</v>
      </c>
      <c r="K43" s="110">
        <v>29980644</v>
      </c>
      <c r="L43" s="73"/>
      <c r="M43" s="73"/>
      <c r="N43" s="73"/>
      <c r="O43" s="73"/>
      <c r="P43" s="73">
        <f t="shared" si="6"/>
        <v>29980644</v>
      </c>
    </row>
    <row r="44" spans="2:16">
      <c r="C44" t="s">
        <v>305</v>
      </c>
      <c r="K44" s="86">
        <v>15654019</v>
      </c>
      <c r="L44" s="73"/>
      <c r="M44" s="73"/>
      <c r="N44" s="73"/>
      <c r="O44" s="73"/>
      <c r="P44" s="73">
        <f t="shared" si="6"/>
        <v>15654019</v>
      </c>
    </row>
    <row r="45" spans="2:16">
      <c r="K45" s="73"/>
      <c r="L45" s="73"/>
      <c r="M45" s="73"/>
      <c r="N45" s="73"/>
      <c r="O45" s="73"/>
      <c r="P45" s="73"/>
    </row>
    <row r="46" spans="2:16" s="5" customFormat="1">
      <c r="D46" s="6"/>
      <c r="E46" s="6" t="s">
        <v>49</v>
      </c>
      <c r="K46" s="79">
        <f>SUM(K40:K44)</f>
        <v>111346631</v>
      </c>
      <c r="L46" s="79">
        <f t="shared" ref="L46:N46" si="7">SUM(L40:L44)</f>
        <v>68355325</v>
      </c>
      <c r="M46" s="79">
        <f t="shared" si="7"/>
        <v>11132086</v>
      </c>
      <c r="N46" s="79">
        <f t="shared" si="7"/>
        <v>144961553</v>
      </c>
      <c r="O46" s="79">
        <f>SUM(O40:O44)</f>
        <v>86691993</v>
      </c>
      <c r="P46" s="79">
        <f>SUM(P40:P44)</f>
        <v>422487588</v>
      </c>
    </row>
    <row r="47" spans="2:16">
      <c r="K47" s="73"/>
      <c r="L47" s="73"/>
      <c r="M47" s="73"/>
      <c r="N47" s="73"/>
      <c r="O47" s="73"/>
      <c r="P47" s="73"/>
    </row>
    <row r="48" spans="2:16" s="7" customFormat="1">
      <c r="D48" s="8"/>
      <c r="E48" s="8" t="s">
        <v>50</v>
      </c>
      <c r="K48" s="81">
        <f>SUM(K46,K30,K37)</f>
        <v>165413404</v>
      </c>
      <c r="L48" s="81">
        <f t="shared" ref="L48:P48" si="8">SUM(L46,L30,L37)</f>
        <v>107781437</v>
      </c>
      <c r="M48" s="81">
        <f t="shared" si="8"/>
        <v>16492440</v>
      </c>
      <c r="N48" s="81">
        <f t="shared" si="8"/>
        <v>157665306</v>
      </c>
      <c r="O48" s="81">
        <f t="shared" si="8"/>
        <v>101089102</v>
      </c>
      <c r="P48" s="81">
        <f t="shared" si="8"/>
        <v>548441689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6"/>
  <sheetViews>
    <sheetView topLeftCell="N1" workbookViewId="0">
      <selection activeCell="Q22" sqref="Q22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6" width="16.42578125" customWidth="1"/>
    <col min="17" max="17" width="18" customWidth="1"/>
    <col min="18" max="18" width="17.28515625" customWidth="1"/>
  </cols>
  <sheetData>
    <row r="1" spans="1:18" ht="18.75">
      <c r="D1" s="125" t="s">
        <v>306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8" ht="45">
      <c r="K4" s="1" t="s">
        <v>2</v>
      </c>
      <c r="L4" s="1" t="s">
        <v>307</v>
      </c>
      <c r="M4" s="1" t="s">
        <v>308</v>
      </c>
      <c r="N4" s="1" t="s">
        <v>124</v>
      </c>
      <c r="O4" s="1" t="s">
        <v>309</v>
      </c>
      <c r="P4" s="1" t="s">
        <v>258</v>
      </c>
      <c r="Q4" s="1" t="s">
        <v>310</v>
      </c>
      <c r="R4" s="1" t="s">
        <v>9</v>
      </c>
    </row>
    <row r="5" spans="1:18">
      <c r="A5" t="s">
        <v>10</v>
      </c>
    </row>
    <row r="6" spans="1:18">
      <c r="B6" t="s">
        <v>79</v>
      </c>
      <c r="K6" s="72">
        <v>336645</v>
      </c>
      <c r="L6" s="73">
        <v>905539</v>
      </c>
      <c r="M6" s="73">
        <v>230383</v>
      </c>
      <c r="N6" s="73">
        <v>113864</v>
      </c>
      <c r="O6" s="73">
        <v>462268</v>
      </c>
      <c r="P6" s="73">
        <v>7775</v>
      </c>
      <c r="Q6" s="73">
        <v>698457</v>
      </c>
      <c r="R6" s="73">
        <f>SUM(K6:Q6)</f>
        <v>2754931</v>
      </c>
    </row>
    <row r="7" spans="1:18">
      <c r="B7" t="s">
        <v>12</v>
      </c>
      <c r="K7" s="73"/>
      <c r="L7" s="73">
        <v>191528</v>
      </c>
      <c r="M7" s="73">
        <v>272650</v>
      </c>
      <c r="N7" s="73">
        <v>211580</v>
      </c>
      <c r="O7" s="73">
        <v>61659</v>
      </c>
      <c r="P7" s="73"/>
      <c r="Q7" s="73">
        <v>99439</v>
      </c>
      <c r="R7" s="73">
        <f>SUM(K7:Q7)</f>
        <v>836856</v>
      </c>
    </row>
    <row r="8" spans="1:18">
      <c r="B8" t="s">
        <v>59</v>
      </c>
      <c r="K8" s="74">
        <v>684348</v>
      </c>
      <c r="L8" s="73">
        <v>345819</v>
      </c>
      <c r="M8" s="73">
        <v>295021</v>
      </c>
      <c r="N8" s="73">
        <v>256164</v>
      </c>
      <c r="O8" s="73">
        <v>271292</v>
      </c>
      <c r="P8" s="73">
        <v>15584</v>
      </c>
      <c r="Q8" s="73">
        <v>376537</v>
      </c>
      <c r="R8" s="73">
        <f>SUM(K8:Q8)</f>
        <v>2244765</v>
      </c>
    </row>
    <row r="9" spans="1:18">
      <c r="B9" t="s">
        <v>235</v>
      </c>
      <c r="K9" s="74">
        <v>149037</v>
      </c>
      <c r="L9" s="73"/>
      <c r="M9" s="73"/>
      <c r="N9" s="73">
        <v>9383</v>
      </c>
      <c r="O9" s="73"/>
      <c r="P9" s="73"/>
      <c r="Q9" s="73"/>
      <c r="R9" s="73">
        <f>SUM(K9:Q9)</f>
        <v>158420</v>
      </c>
    </row>
    <row r="10" spans="1:18">
      <c r="K10" s="73"/>
      <c r="L10" s="73"/>
      <c r="M10" s="73"/>
      <c r="N10" s="73"/>
      <c r="O10" s="73"/>
      <c r="P10" s="73"/>
      <c r="Q10" s="73"/>
      <c r="R10" s="73"/>
    </row>
    <row r="11" spans="1:18" s="3" customFormat="1">
      <c r="A11" s="2"/>
      <c r="B11" s="2"/>
      <c r="C11" s="2"/>
      <c r="D11" s="2"/>
      <c r="E11" s="2" t="s">
        <v>20</v>
      </c>
      <c r="K11" s="76">
        <f t="shared" ref="K11:R11" si="0">SUM(K6:K9)</f>
        <v>1170030</v>
      </c>
      <c r="L11" s="76">
        <f t="shared" si="0"/>
        <v>1442886</v>
      </c>
      <c r="M11" s="76">
        <f t="shared" si="0"/>
        <v>798054</v>
      </c>
      <c r="N11" s="76">
        <f t="shared" si="0"/>
        <v>590991</v>
      </c>
      <c r="O11" s="76">
        <f t="shared" si="0"/>
        <v>795219</v>
      </c>
      <c r="P11" s="76">
        <f t="shared" si="0"/>
        <v>23359</v>
      </c>
      <c r="Q11" s="76">
        <f t="shared" si="0"/>
        <v>1174433</v>
      </c>
      <c r="R11" s="76">
        <f t="shared" si="0"/>
        <v>5994972</v>
      </c>
    </row>
    <row r="12" spans="1:18">
      <c r="K12" s="73"/>
      <c r="L12" s="73"/>
      <c r="M12" s="73"/>
      <c r="N12" s="73"/>
      <c r="O12" s="73"/>
      <c r="P12" s="73"/>
      <c r="Q12" s="73"/>
      <c r="R12" s="73"/>
    </row>
    <row r="13" spans="1:18">
      <c r="A13" s="4" t="s">
        <v>21</v>
      </c>
      <c r="K13" s="73"/>
      <c r="L13" s="73"/>
      <c r="M13" s="73"/>
      <c r="N13" s="73"/>
      <c r="O13" s="73"/>
      <c r="P13" s="73"/>
      <c r="Q13" s="73"/>
      <c r="R13" s="73"/>
    </row>
    <row r="14" spans="1:18">
      <c r="B14" t="s">
        <v>22</v>
      </c>
      <c r="K14" s="73"/>
      <c r="L14" s="73"/>
      <c r="M14" s="73"/>
      <c r="N14" s="73"/>
      <c r="O14" s="73"/>
      <c r="P14" s="73"/>
      <c r="Q14" s="73"/>
      <c r="R14" s="73"/>
    </row>
    <row r="15" spans="1:18">
      <c r="C15" t="s">
        <v>23</v>
      </c>
      <c r="K15" s="77">
        <v>189268</v>
      </c>
      <c r="L15" s="73">
        <v>2426</v>
      </c>
      <c r="M15" s="73">
        <v>6627</v>
      </c>
      <c r="N15" s="73">
        <v>24</v>
      </c>
      <c r="O15" s="73"/>
      <c r="P15" s="73">
        <v>20344</v>
      </c>
      <c r="Q15" s="73">
        <v>214</v>
      </c>
      <c r="R15" s="73">
        <f>SUM(K15:Q15)</f>
        <v>218903</v>
      </c>
    </row>
    <row r="16" spans="1:18">
      <c r="C16" t="s">
        <v>237</v>
      </c>
      <c r="K16" s="77">
        <v>9383</v>
      </c>
      <c r="L16" s="73"/>
      <c r="M16" s="73"/>
      <c r="N16" s="73"/>
      <c r="O16" s="73"/>
      <c r="P16" s="73">
        <v>149037</v>
      </c>
      <c r="Q16" s="73"/>
      <c r="R16" s="73">
        <f>SUM(K16:Q16)</f>
        <v>158420</v>
      </c>
    </row>
    <row r="17" spans="2:18">
      <c r="K17" s="73"/>
      <c r="L17" s="73"/>
      <c r="M17" s="73"/>
      <c r="N17" s="73"/>
      <c r="O17" s="73"/>
      <c r="P17" s="73"/>
      <c r="Q17" s="73"/>
      <c r="R17" s="73"/>
    </row>
    <row r="18" spans="2:18" s="5" customFormat="1">
      <c r="B18" s="6"/>
      <c r="C18" s="6"/>
      <c r="D18" s="6"/>
      <c r="E18" s="6" t="s">
        <v>28</v>
      </c>
      <c r="K18" s="79">
        <f t="shared" ref="K18:R18" si="1">SUM(K15:K16)</f>
        <v>198651</v>
      </c>
      <c r="L18" s="79">
        <f t="shared" si="1"/>
        <v>2426</v>
      </c>
      <c r="M18" s="79">
        <f t="shared" si="1"/>
        <v>6627</v>
      </c>
      <c r="N18" s="79">
        <f t="shared" si="1"/>
        <v>24</v>
      </c>
      <c r="O18" s="79">
        <f t="shared" si="1"/>
        <v>0</v>
      </c>
      <c r="P18" s="79">
        <f t="shared" si="1"/>
        <v>169381</v>
      </c>
      <c r="Q18" s="79">
        <f t="shared" si="1"/>
        <v>214</v>
      </c>
      <c r="R18" s="79">
        <f t="shared" si="1"/>
        <v>377323</v>
      </c>
    </row>
    <row r="19" spans="2:18">
      <c r="K19" s="73"/>
      <c r="L19" s="73"/>
      <c r="M19" s="73"/>
      <c r="N19" s="73"/>
      <c r="O19" s="73"/>
      <c r="P19" s="73"/>
      <c r="Q19" s="73"/>
      <c r="R19" s="73"/>
    </row>
    <row r="20" spans="2:18">
      <c r="B20" t="s">
        <v>100</v>
      </c>
      <c r="K20" s="73"/>
      <c r="L20" s="73"/>
      <c r="M20" s="73"/>
      <c r="N20" s="73"/>
      <c r="O20" s="73"/>
      <c r="P20" s="73"/>
      <c r="Q20" s="73"/>
      <c r="R20" s="73"/>
    </row>
    <row r="21" spans="2:18">
      <c r="C21" t="s">
        <v>118</v>
      </c>
      <c r="K21" s="73"/>
      <c r="L21" s="73">
        <v>1440460</v>
      </c>
      <c r="M21" s="73">
        <v>791427</v>
      </c>
      <c r="N21" s="73">
        <v>590967</v>
      </c>
      <c r="O21" s="73">
        <v>795219</v>
      </c>
      <c r="P21" s="73"/>
      <c r="Q21" s="73">
        <v>1174219</v>
      </c>
      <c r="R21" s="73">
        <f>SUM(K21:Q21)</f>
        <v>4792292</v>
      </c>
    </row>
    <row r="22" spans="2:18">
      <c r="C22" t="s">
        <v>48</v>
      </c>
      <c r="K22" s="86">
        <v>971379</v>
      </c>
      <c r="L22" s="73"/>
      <c r="M22" s="73"/>
      <c r="N22" s="73"/>
      <c r="O22" s="73"/>
      <c r="P22" s="73">
        <v>-146022</v>
      </c>
      <c r="Q22" s="73"/>
      <c r="R22" s="73">
        <f>SUM(K22:Q22)</f>
        <v>825357</v>
      </c>
    </row>
    <row r="23" spans="2:18">
      <c r="K23" s="73"/>
      <c r="L23" s="73"/>
      <c r="M23" s="73"/>
      <c r="N23" s="73"/>
      <c r="O23" s="73"/>
      <c r="P23" s="73"/>
      <c r="Q23" s="73"/>
      <c r="R23" s="73"/>
    </row>
    <row r="24" spans="2:18" s="5" customFormat="1">
      <c r="D24" s="6"/>
      <c r="E24" s="6" t="s">
        <v>49</v>
      </c>
      <c r="K24" s="79">
        <f t="shared" ref="K24:R24" si="2">SUM(K21:K22)</f>
        <v>971379</v>
      </c>
      <c r="L24" s="79">
        <f t="shared" si="2"/>
        <v>1440460</v>
      </c>
      <c r="M24" s="79">
        <f t="shared" si="2"/>
        <v>791427</v>
      </c>
      <c r="N24" s="79">
        <f t="shared" si="2"/>
        <v>590967</v>
      </c>
      <c r="O24" s="79">
        <f t="shared" si="2"/>
        <v>795219</v>
      </c>
      <c r="P24" s="79">
        <f t="shared" si="2"/>
        <v>-146022</v>
      </c>
      <c r="Q24" s="79">
        <f t="shared" si="2"/>
        <v>1174219</v>
      </c>
      <c r="R24" s="79">
        <f t="shared" si="2"/>
        <v>5617649</v>
      </c>
    </row>
    <row r="25" spans="2:18">
      <c r="K25" s="73"/>
      <c r="L25" s="73"/>
      <c r="M25" s="73"/>
      <c r="N25" s="73"/>
      <c r="O25" s="73"/>
      <c r="P25" s="73"/>
      <c r="Q25" s="73"/>
      <c r="R25" s="73"/>
    </row>
    <row r="26" spans="2:18" s="7" customFormat="1">
      <c r="D26" s="8"/>
      <c r="E26" s="8" t="s">
        <v>50</v>
      </c>
      <c r="K26" s="81">
        <f>K24+K18</f>
        <v>1170030</v>
      </c>
      <c r="L26" s="81">
        <f t="shared" ref="L26:R26" si="3">L24+L18</f>
        <v>1442886</v>
      </c>
      <c r="M26" s="81">
        <f t="shared" si="3"/>
        <v>798054</v>
      </c>
      <c r="N26" s="81">
        <f t="shared" si="3"/>
        <v>590991</v>
      </c>
      <c r="O26" s="81">
        <f t="shared" si="3"/>
        <v>795219</v>
      </c>
      <c r="P26" s="81">
        <f t="shared" si="3"/>
        <v>23359</v>
      </c>
      <c r="Q26" s="81">
        <f t="shared" si="3"/>
        <v>1174433</v>
      </c>
      <c r="R26" s="81">
        <f t="shared" si="3"/>
        <v>5994972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7"/>
  <sheetViews>
    <sheetView topLeftCell="G4" workbookViewId="0">
      <selection activeCell="L24" sqref="L24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8" customWidth="1"/>
    <col min="15" max="15" width="17.28515625" customWidth="1"/>
  </cols>
  <sheetData>
    <row r="1" spans="1:15" ht="18.75">
      <c r="D1" s="125" t="s">
        <v>311</v>
      </c>
      <c r="E1" s="125"/>
      <c r="F1" s="125"/>
      <c r="G1" s="125"/>
      <c r="H1" s="125"/>
      <c r="I1" s="125"/>
      <c r="J1" s="125"/>
      <c r="K1" s="125"/>
    </row>
    <row r="2" spans="1:15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5" ht="45">
      <c r="K4" s="1" t="s">
        <v>52</v>
      </c>
      <c r="L4" s="1" t="s">
        <v>312</v>
      </c>
      <c r="M4" s="1" t="s">
        <v>112</v>
      </c>
      <c r="N4" s="1" t="s">
        <v>8</v>
      </c>
      <c r="O4" s="1" t="s">
        <v>9</v>
      </c>
    </row>
    <row r="5" spans="1:15">
      <c r="A5" t="s">
        <v>10</v>
      </c>
    </row>
    <row r="6" spans="1:15">
      <c r="B6" t="s">
        <v>163</v>
      </c>
      <c r="K6" s="115">
        <v>1090218.07</v>
      </c>
      <c r="L6" s="116">
        <v>2214339.92</v>
      </c>
      <c r="M6" s="116">
        <v>2062588</v>
      </c>
      <c r="N6" s="116">
        <v>146265.76999999999</v>
      </c>
      <c r="O6" s="116">
        <f>SUM(K6:N6)</f>
        <v>5513411.7599999998</v>
      </c>
    </row>
    <row r="7" spans="1:15">
      <c r="B7" t="s">
        <v>180</v>
      </c>
      <c r="K7" s="73"/>
      <c r="L7" s="73"/>
      <c r="M7" s="73"/>
      <c r="N7" s="73"/>
      <c r="O7" s="73"/>
    </row>
    <row r="8" spans="1:15">
      <c r="C8" t="s">
        <v>313</v>
      </c>
      <c r="K8" s="117">
        <v>2996.99</v>
      </c>
      <c r="L8" s="116"/>
      <c r="M8" s="116"/>
      <c r="N8" s="116">
        <v>6961.2</v>
      </c>
      <c r="O8" s="116">
        <f>SUM(K8:N8)</f>
        <v>9958.1899999999987</v>
      </c>
    </row>
    <row r="9" spans="1:15">
      <c r="C9" t="s">
        <v>314</v>
      </c>
      <c r="K9" s="117">
        <v>345031.11</v>
      </c>
      <c r="L9" s="116"/>
      <c r="M9" s="116">
        <v>112599.85</v>
      </c>
      <c r="N9" s="116">
        <v>370612.95</v>
      </c>
      <c r="O9" s="116">
        <f>SUM(K9:N9)</f>
        <v>828243.90999999992</v>
      </c>
    </row>
    <row r="10" spans="1:15">
      <c r="B10" t="s">
        <v>18</v>
      </c>
      <c r="K10" s="118">
        <v>207683.02</v>
      </c>
      <c r="L10" s="116">
        <v>115077</v>
      </c>
      <c r="M10" s="116">
        <v>1275000</v>
      </c>
      <c r="N10" s="116"/>
      <c r="O10" s="116">
        <f>SUM(K10:N10)</f>
        <v>1597760.02</v>
      </c>
    </row>
    <row r="11" spans="1:15">
      <c r="B11" t="s">
        <v>315</v>
      </c>
      <c r="K11" s="118">
        <v>57338.6</v>
      </c>
      <c r="L11" s="116">
        <v>23723.360000000001</v>
      </c>
      <c r="M11" s="116"/>
      <c r="N11" s="116">
        <v>41871</v>
      </c>
      <c r="O11" s="116">
        <f>SUM(K11:N11)</f>
        <v>122932.95999999999</v>
      </c>
    </row>
    <row r="12" spans="1:15">
      <c r="K12" s="73"/>
      <c r="L12" s="73"/>
      <c r="M12" s="73"/>
      <c r="N12" s="73"/>
      <c r="O12" s="73"/>
    </row>
    <row r="13" spans="1:15" s="3" customFormat="1">
      <c r="A13" s="2"/>
      <c r="B13" s="2"/>
      <c r="C13" s="2"/>
      <c r="D13" s="2"/>
      <c r="E13" s="2" t="s">
        <v>20</v>
      </c>
      <c r="K13" s="119">
        <f>SUM(K6:K11)</f>
        <v>1703267.79</v>
      </c>
      <c r="L13" s="119">
        <f>SUM(L6:L11)</f>
        <v>2353140.2799999998</v>
      </c>
      <c r="M13" s="119">
        <f>SUM(M6:M11)</f>
        <v>3450187.85</v>
      </c>
      <c r="N13" s="119">
        <f>SUM(N6:N11)</f>
        <v>565710.92000000004</v>
      </c>
      <c r="O13" s="119">
        <f>SUM(O6:O11)</f>
        <v>8072306.8400000008</v>
      </c>
    </row>
    <row r="14" spans="1:15">
      <c r="K14" s="73"/>
      <c r="L14" s="73"/>
      <c r="M14" s="73"/>
      <c r="N14" s="73"/>
      <c r="O14" s="73"/>
    </row>
    <row r="15" spans="1:15">
      <c r="A15" s="4" t="s">
        <v>21</v>
      </c>
      <c r="K15" s="73"/>
      <c r="L15" s="73"/>
      <c r="M15" s="73"/>
      <c r="N15" s="73"/>
      <c r="O15" s="73"/>
    </row>
    <row r="16" spans="1:15">
      <c r="B16" t="s">
        <v>22</v>
      </c>
      <c r="K16" s="73"/>
      <c r="L16" s="73"/>
      <c r="M16" s="73"/>
      <c r="N16" s="73"/>
      <c r="O16" s="73"/>
    </row>
    <row r="17" spans="2:15">
      <c r="C17" t="s">
        <v>23</v>
      </c>
      <c r="K17" s="120">
        <v>60416.02</v>
      </c>
      <c r="L17" s="116">
        <v>88163.13</v>
      </c>
      <c r="M17" s="116">
        <v>84757.3</v>
      </c>
      <c r="N17" s="116">
        <v>2605.5700000000002</v>
      </c>
      <c r="O17" s="116">
        <f>SUM(K17:N17)</f>
        <v>235942.02000000002</v>
      </c>
    </row>
    <row r="18" spans="2:15">
      <c r="C18" t="s">
        <v>27</v>
      </c>
      <c r="K18" s="116"/>
      <c r="L18" s="116">
        <v>1275000</v>
      </c>
      <c r="M18" s="116">
        <v>22920.89</v>
      </c>
      <c r="N18" s="116">
        <v>154480.04</v>
      </c>
      <c r="O18" s="116">
        <f>SUM(K18:N18)</f>
        <v>1452400.93</v>
      </c>
    </row>
    <row r="19" spans="2:15">
      <c r="C19" t="s">
        <v>316</v>
      </c>
      <c r="K19" s="116"/>
      <c r="L19" s="116"/>
      <c r="M19" s="116"/>
      <c r="N19" s="116">
        <v>12350.44</v>
      </c>
      <c r="O19" s="116">
        <f>SUM(K19:N19)</f>
        <v>12350.44</v>
      </c>
    </row>
    <row r="20" spans="2:15">
      <c r="K20" s="73"/>
      <c r="L20" s="73"/>
      <c r="M20" s="73"/>
      <c r="N20" s="73"/>
      <c r="O20" s="73"/>
    </row>
    <row r="21" spans="2:15" s="5" customFormat="1">
      <c r="B21" s="6"/>
      <c r="C21" s="6"/>
      <c r="D21" s="6"/>
      <c r="E21" s="6" t="s">
        <v>28</v>
      </c>
      <c r="K21" s="121">
        <f>SUM(K17:K19)</f>
        <v>60416.02</v>
      </c>
      <c r="L21" s="121">
        <f>SUM(L17:L19)</f>
        <v>1363163.13</v>
      </c>
      <c r="M21" s="121">
        <f>SUM(M17:M19)</f>
        <v>107678.19</v>
      </c>
      <c r="N21" s="121">
        <f>SUM(N17:N19)</f>
        <v>169436.05000000002</v>
      </c>
      <c r="O21" s="121">
        <f>SUM(O17:O19)</f>
        <v>1700693.39</v>
      </c>
    </row>
    <row r="22" spans="2:15">
      <c r="K22" s="73"/>
      <c r="L22" s="73"/>
      <c r="M22" s="73"/>
      <c r="N22" s="73"/>
      <c r="O22" s="73"/>
    </row>
    <row r="23" spans="2:15">
      <c r="B23" t="s">
        <v>317</v>
      </c>
      <c r="K23" s="73"/>
      <c r="L23" s="73"/>
      <c r="M23" s="73"/>
      <c r="N23" s="73"/>
      <c r="O23" s="73"/>
    </row>
    <row r="24" spans="2:15">
      <c r="C24" t="s">
        <v>32</v>
      </c>
      <c r="K24" s="73"/>
      <c r="L24" s="73"/>
      <c r="M24" s="73"/>
      <c r="N24" s="73"/>
      <c r="O24" s="73">
        <f t="shared" ref="O24:O33" si="0">SUM(K24:N24)</f>
        <v>0</v>
      </c>
    </row>
    <row r="25" spans="2:15">
      <c r="D25" t="s">
        <v>318</v>
      </c>
      <c r="K25" s="116"/>
      <c r="L25" s="116"/>
      <c r="M25" s="116"/>
      <c r="N25" s="116">
        <v>532497.89</v>
      </c>
      <c r="O25" s="116">
        <f t="shared" si="0"/>
        <v>532497.89</v>
      </c>
    </row>
    <row r="26" spans="2:15">
      <c r="D26" t="s">
        <v>319</v>
      </c>
      <c r="K26" s="122">
        <v>49454.42</v>
      </c>
      <c r="L26" s="116"/>
      <c r="M26" s="116"/>
      <c r="N26" s="116"/>
      <c r="O26" s="116">
        <f t="shared" si="0"/>
        <v>49454.42</v>
      </c>
    </row>
    <row r="27" spans="2:15">
      <c r="D27" t="s">
        <v>320</v>
      </c>
      <c r="K27" s="116"/>
      <c r="L27" s="116"/>
      <c r="M27" s="116">
        <v>3342509.66</v>
      </c>
      <c r="N27" s="116"/>
      <c r="O27" s="116">
        <f t="shared" si="0"/>
        <v>3342509.66</v>
      </c>
    </row>
    <row r="28" spans="2:15">
      <c r="C28" t="s">
        <v>38</v>
      </c>
      <c r="K28" s="116"/>
      <c r="L28" s="116"/>
      <c r="M28" s="116"/>
      <c r="N28" s="116"/>
      <c r="O28" s="116"/>
    </row>
    <row r="29" spans="2:15">
      <c r="D29" t="s">
        <v>43</v>
      </c>
      <c r="K29" s="122">
        <v>8131.4</v>
      </c>
      <c r="L29" s="116"/>
      <c r="M29" s="116"/>
      <c r="N29" s="116"/>
      <c r="O29" s="116">
        <f t="shared" si="0"/>
        <v>8131.4</v>
      </c>
    </row>
    <row r="30" spans="2:15">
      <c r="D30" t="s">
        <v>321</v>
      </c>
      <c r="K30" s="116"/>
      <c r="L30" s="116">
        <v>989977.15</v>
      </c>
      <c r="M30" s="116"/>
      <c r="N30" s="116"/>
      <c r="O30" s="116">
        <f t="shared" si="0"/>
        <v>989977.15</v>
      </c>
    </row>
    <row r="31" spans="2:15">
      <c r="D31" t="s">
        <v>322</v>
      </c>
      <c r="K31" s="116"/>
      <c r="L31" s="116"/>
      <c r="M31" s="116"/>
      <c r="N31" s="116">
        <v>-136223.01999999999</v>
      </c>
      <c r="O31" s="116">
        <f t="shared" si="0"/>
        <v>-136223.01999999999</v>
      </c>
    </row>
    <row r="32" spans="2:15">
      <c r="D32" t="s">
        <v>323</v>
      </c>
      <c r="K32" s="122">
        <v>152370.09</v>
      </c>
      <c r="L32" s="116"/>
      <c r="M32" s="116"/>
      <c r="N32" s="116"/>
      <c r="O32" s="116">
        <f t="shared" si="0"/>
        <v>152370.09</v>
      </c>
    </row>
    <row r="33" spans="3:15">
      <c r="C33" t="s">
        <v>48</v>
      </c>
      <c r="K33" s="123">
        <v>1432895.86</v>
      </c>
      <c r="L33" s="116"/>
      <c r="M33" s="116"/>
      <c r="N33" s="116"/>
      <c r="O33" s="116">
        <f t="shared" si="0"/>
        <v>1432895.86</v>
      </c>
    </row>
    <row r="34" spans="3:15">
      <c r="K34" s="73"/>
      <c r="L34" s="73"/>
      <c r="M34" s="73"/>
      <c r="N34" s="73"/>
      <c r="O34" s="73"/>
    </row>
    <row r="35" spans="3:15" s="5" customFormat="1">
      <c r="D35" s="6"/>
      <c r="E35" s="6" t="s">
        <v>49</v>
      </c>
      <c r="K35" s="121">
        <f>SUM(K25:K33)</f>
        <v>1642851.77</v>
      </c>
      <c r="L35" s="121">
        <f t="shared" ref="L35:O35" si="1">SUM(L25:L33)</f>
        <v>989977.15</v>
      </c>
      <c r="M35" s="121">
        <f t="shared" si="1"/>
        <v>3342509.66</v>
      </c>
      <c r="N35" s="121">
        <f t="shared" si="1"/>
        <v>396274.87</v>
      </c>
      <c r="O35" s="121">
        <f t="shared" si="1"/>
        <v>6371613.4500000011</v>
      </c>
    </row>
    <row r="36" spans="3:15">
      <c r="K36" s="73"/>
      <c r="L36" s="73"/>
      <c r="M36" s="73"/>
      <c r="N36" s="73"/>
      <c r="O36" s="73"/>
    </row>
    <row r="37" spans="3:15" s="7" customFormat="1">
      <c r="D37" s="8"/>
      <c r="E37" s="8" t="s">
        <v>50</v>
      </c>
      <c r="K37" s="124">
        <f>K35+K21</f>
        <v>1703267.79</v>
      </c>
      <c r="L37" s="124">
        <f>L35+L21</f>
        <v>2353140.2799999998</v>
      </c>
      <c r="M37" s="124">
        <f>M35+M21</f>
        <v>3450187.85</v>
      </c>
      <c r="N37" s="124">
        <f>N35+N21</f>
        <v>565710.92000000004</v>
      </c>
      <c r="O37" s="124">
        <f>O35+O21</f>
        <v>8072306.8400000008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44"/>
  <sheetViews>
    <sheetView topLeftCell="J19" workbookViewId="0">
      <selection activeCell="P43" sqref="P43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4.28515625" customWidth="1"/>
    <col min="15" max="15" width="19.42578125" customWidth="1"/>
    <col min="16" max="16" width="17.5703125" customWidth="1"/>
    <col min="17" max="17" width="16.42578125" customWidth="1"/>
  </cols>
  <sheetData>
    <row r="1" spans="1:17" ht="18.75">
      <c r="D1" s="125" t="s">
        <v>324</v>
      </c>
      <c r="E1" s="125"/>
      <c r="F1" s="125"/>
      <c r="G1" s="125"/>
      <c r="H1" s="125"/>
      <c r="I1" s="125"/>
      <c r="J1" s="125"/>
      <c r="K1" s="125"/>
    </row>
    <row r="2" spans="1:17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7" ht="36.75" customHeight="1"/>
    <row r="4" spans="1:17" ht="45">
      <c r="K4" s="1" t="s">
        <v>52</v>
      </c>
      <c r="L4" s="1" t="s">
        <v>325</v>
      </c>
      <c r="M4" s="1" t="s">
        <v>326</v>
      </c>
      <c r="N4" s="1" t="s">
        <v>327</v>
      </c>
      <c r="O4" s="1" t="s">
        <v>328</v>
      </c>
      <c r="P4" s="1" t="s">
        <v>8</v>
      </c>
      <c r="Q4" s="1" t="s">
        <v>9</v>
      </c>
    </row>
    <row r="5" spans="1:17">
      <c r="A5" t="s">
        <v>10</v>
      </c>
    </row>
    <row r="6" spans="1:17">
      <c r="B6" t="s">
        <v>127</v>
      </c>
      <c r="K6" s="72">
        <v>566864</v>
      </c>
      <c r="L6" s="73">
        <v>134551</v>
      </c>
      <c r="M6" s="73">
        <v>1629614</v>
      </c>
      <c r="N6" s="73"/>
      <c r="O6" s="73">
        <v>3401559</v>
      </c>
      <c r="P6" s="73">
        <v>4039532</v>
      </c>
      <c r="Q6" s="73">
        <f>SUM(K6:P6)</f>
        <v>9772120</v>
      </c>
    </row>
    <row r="7" spans="1:17">
      <c r="B7" t="s">
        <v>233</v>
      </c>
      <c r="K7" s="113">
        <v>851112</v>
      </c>
      <c r="L7" s="73"/>
      <c r="M7" s="73">
        <v>2390358</v>
      </c>
      <c r="N7" s="73">
        <v>275000</v>
      </c>
      <c r="O7" s="73"/>
      <c r="P7" s="73">
        <v>2018241</v>
      </c>
      <c r="Q7" s="73">
        <f>SUM(K7:P7)</f>
        <v>5534711</v>
      </c>
    </row>
    <row r="8" spans="1:17">
      <c r="B8" t="s">
        <v>18</v>
      </c>
      <c r="K8" s="75">
        <v>180547</v>
      </c>
      <c r="L8" s="73"/>
      <c r="M8" s="73"/>
      <c r="N8" s="73"/>
      <c r="O8" s="73"/>
      <c r="P8" s="73"/>
      <c r="Q8" s="73">
        <f>SUM(K8:P8)</f>
        <v>180547</v>
      </c>
    </row>
    <row r="9" spans="1:17">
      <c r="B9" t="s">
        <v>128</v>
      </c>
      <c r="K9" s="75">
        <v>142342</v>
      </c>
      <c r="L9" s="73">
        <v>96568</v>
      </c>
      <c r="M9" s="73">
        <v>6696</v>
      </c>
      <c r="N9" s="73"/>
      <c r="O9" s="73"/>
      <c r="P9" s="73">
        <v>126896</v>
      </c>
      <c r="Q9" s="73">
        <f>SUM(K9:P9)</f>
        <v>372502</v>
      </c>
    </row>
    <row r="10" spans="1:17">
      <c r="B10" t="s">
        <v>88</v>
      </c>
      <c r="K10" s="83">
        <v>15960</v>
      </c>
      <c r="L10" s="73"/>
      <c r="M10" s="73"/>
      <c r="N10" s="73">
        <v>5000</v>
      </c>
      <c r="O10" s="73"/>
      <c r="P10" s="73"/>
      <c r="Q10" s="73">
        <f>SUM(K10:P10)</f>
        <v>20960</v>
      </c>
    </row>
    <row r="11" spans="1:17">
      <c r="B11" t="s">
        <v>329</v>
      </c>
      <c r="K11" s="73"/>
      <c r="L11" s="73"/>
      <c r="M11" s="73"/>
      <c r="N11" s="73"/>
      <c r="O11" s="73"/>
      <c r="P11" s="73"/>
      <c r="Q11" s="73"/>
    </row>
    <row r="12" spans="1:17">
      <c r="C12" t="s">
        <v>12</v>
      </c>
      <c r="K12" s="73"/>
      <c r="L12" s="73"/>
      <c r="M12" s="73"/>
      <c r="N12" s="73"/>
      <c r="O12" s="73">
        <v>28970121</v>
      </c>
      <c r="P12" s="73"/>
      <c r="Q12" s="73">
        <f t="shared" ref="Q12" si="0">SUM(K12:P12)</f>
        <v>28970121</v>
      </c>
    </row>
    <row r="13" spans="1:17">
      <c r="K13" s="73"/>
      <c r="L13" s="73"/>
      <c r="M13" s="73"/>
      <c r="N13" s="73"/>
      <c r="O13" s="73"/>
      <c r="P13" s="73"/>
      <c r="Q13" s="73"/>
    </row>
    <row r="14" spans="1:17" s="3" customFormat="1">
      <c r="E14" s="3" t="s">
        <v>129</v>
      </c>
      <c r="K14" s="76">
        <f t="shared" ref="K14:Q14" si="1">SUM(K6:K12)</f>
        <v>1756825</v>
      </c>
      <c r="L14" s="76">
        <f t="shared" si="1"/>
        <v>231119</v>
      </c>
      <c r="M14" s="76">
        <f t="shared" si="1"/>
        <v>4026668</v>
      </c>
      <c r="N14" s="76">
        <f t="shared" si="1"/>
        <v>280000</v>
      </c>
      <c r="O14" s="76">
        <f t="shared" si="1"/>
        <v>32371680</v>
      </c>
      <c r="P14" s="76">
        <f t="shared" si="1"/>
        <v>6184669</v>
      </c>
      <c r="Q14" s="76">
        <f t="shared" si="1"/>
        <v>44850961</v>
      </c>
    </row>
    <row r="15" spans="1:17">
      <c r="K15" s="73"/>
      <c r="L15" s="73"/>
      <c r="M15" s="73"/>
      <c r="N15" s="73"/>
      <c r="O15" s="73"/>
      <c r="P15" s="73"/>
      <c r="Q15" s="73"/>
    </row>
    <row r="16" spans="1:17">
      <c r="A16" s="98" t="s">
        <v>21</v>
      </c>
      <c r="K16" s="73"/>
      <c r="L16" s="73"/>
      <c r="M16" s="73"/>
      <c r="N16" s="73"/>
      <c r="O16" s="73"/>
      <c r="P16" s="73"/>
      <c r="Q16" s="73"/>
    </row>
    <row r="17" spans="1:17">
      <c r="B17" t="s">
        <v>22</v>
      </c>
      <c r="K17" s="73"/>
      <c r="L17" s="73"/>
      <c r="M17" s="73"/>
      <c r="N17" s="73"/>
      <c r="O17" s="73"/>
      <c r="P17" s="73"/>
      <c r="Q17" s="73"/>
    </row>
    <row r="18" spans="1:17">
      <c r="C18" t="s">
        <v>330</v>
      </c>
      <c r="K18" s="73"/>
      <c r="L18" s="73"/>
      <c r="M18" s="73"/>
      <c r="N18" s="73">
        <v>33015</v>
      </c>
      <c r="O18" s="73"/>
      <c r="P18" s="73">
        <v>11271</v>
      </c>
      <c r="Q18" s="73">
        <f t="shared" ref="Q18:Q19" si="2">SUM(K18:P18)</f>
        <v>44286</v>
      </c>
    </row>
    <row r="19" spans="1:17">
      <c r="C19" t="s">
        <v>131</v>
      </c>
      <c r="K19" s="77">
        <v>230455</v>
      </c>
      <c r="L19" s="73">
        <v>42753</v>
      </c>
      <c r="M19" s="73">
        <v>54954</v>
      </c>
      <c r="N19" s="73"/>
      <c r="O19" s="73">
        <v>72502</v>
      </c>
      <c r="P19" s="73">
        <v>52460</v>
      </c>
      <c r="Q19" s="73">
        <f t="shared" si="2"/>
        <v>453124</v>
      </c>
    </row>
    <row r="20" spans="1:17">
      <c r="C20" t="s">
        <v>26</v>
      </c>
      <c r="K20" s="73"/>
      <c r="L20" s="73">
        <v>69456</v>
      </c>
      <c r="M20" s="73"/>
      <c r="N20" s="73"/>
      <c r="O20" s="73"/>
      <c r="P20" s="73"/>
      <c r="Q20" s="73">
        <f>SUM(K20:P20)</f>
        <v>69456</v>
      </c>
    </row>
    <row r="21" spans="1:17">
      <c r="C21" t="s">
        <v>27</v>
      </c>
      <c r="K21" s="73"/>
      <c r="L21" s="73">
        <v>63013</v>
      </c>
      <c r="M21" s="73">
        <v>102795</v>
      </c>
      <c r="N21" s="73"/>
      <c r="O21" s="73"/>
      <c r="P21" s="73">
        <v>14739</v>
      </c>
      <c r="Q21" s="73">
        <f>SUM(K21:P21)</f>
        <v>180547</v>
      </c>
    </row>
    <row r="22" spans="1:17">
      <c r="C22" t="s">
        <v>331</v>
      </c>
      <c r="K22" s="77">
        <v>300318</v>
      </c>
      <c r="L22" s="73"/>
      <c r="M22" s="73"/>
      <c r="N22" s="73"/>
      <c r="O22" s="73"/>
      <c r="P22" s="73"/>
      <c r="Q22" s="73">
        <f t="shared" ref="Q22:Q24" si="3">SUM(K22:P22)</f>
        <v>300318</v>
      </c>
    </row>
    <row r="23" spans="1:17">
      <c r="C23" t="s">
        <v>332</v>
      </c>
      <c r="K23" s="77">
        <v>5868</v>
      </c>
      <c r="L23" s="73"/>
      <c r="M23" s="73">
        <v>2801</v>
      </c>
      <c r="N23" s="73"/>
      <c r="O23" s="73"/>
      <c r="P23" s="73"/>
      <c r="Q23" s="73">
        <f t="shared" si="3"/>
        <v>8669</v>
      </c>
    </row>
    <row r="24" spans="1:17">
      <c r="C24" t="s">
        <v>333</v>
      </c>
      <c r="K24" s="73"/>
      <c r="L24" s="73"/>
      <c r="M24" s="73"/>
      <c r="N24" s="73"/>
      <c r="O24" s="73"/>
      <c r="P24" s="73">
        <v>10182</v>
      </c>
      <c r="Q24" s="73">
        <f t="shared" si="3"/>
        <v>10182</v>
      </c>
    </row>
    <row r="25" spans="1:17">
      <c r="K25" s="73"/>
      <c r="L25" s="73"/>
      <c r="M25" s="73"/>
      <c r="N25" s="73"/>
      <c r="O25" s="73"/>
      <c r="P25" s="73"/>
      <c r="Q25" s="73"/>
    </row>
    <row r="26" spans="1:17" s="5" customFormat="1">
      <c r="E26" s="5" t="s">
        <v>28</v>
      </c>
      <c r="K26" s="79">
        <f t="shared" ref="K26:M26" si="4">SUM(K18:K24)</f>
        <v>536641</v>
      </c>
      <c r="L26" s="79">
        <f t="shared" si="4"/>
        <v>175222</v>
      </c>
      <c r="M26" s="79">
        <f t="shared" si="4"/>
        <v>160550</v>
      </c>
      <c r="N26" s="79">
        <f t="shared" ref="N26:Q26" si="5">SUM(N18:N24)</f>
        <v>33015</v>
      </c>
      <c r="O26" s="79">
        <f t="shared" si="5"/>
        <v>72502</v>
      </c>
      <c r="P26" s="79">
        <f t="shared" si="5"/>
        <v>88652</v>
      </c>
      <c r="Q26" s="79">
        <f t="shared" si="5"/>
        <v>1066582</v>
      </c>
    </row>
    <row r="27" spans="1:17">
      <c r="K27" s="73"/>
      <c r="L27" s="73"/>
      <c r="M27" s="73"/>
      <c r="N27" s="73"/>
      <c r="O27" s="73"/>
      <c r="P27" s="73"/>
      <c r="Q27" s="73"/>
    </row>
    <row r="28" spans="1:17">
      <c r="A28" s="89" t="s">
        <v>29</v>
      </c>
      <c r="B28" s="89"/>
      <c r="C28" s="89"/>
      <c r="D28" s="89"/>
      <c r="E28" s="89"/>
      <c r="F28" s="89"/>
      <c r="G28" s="89"/>
      <c r="H28" s="89"/>
      <c r="K28" s="73"/>
      <c r="L28" s="73"/>
      <c r="M28" s="73"/>
      <c r="N28" s="73"/>
      <c r="O28" s="73"/>
      <c r="P28" s="73"/>
      <c r="Q28" s="73"/>
    </row>
    <row r="29" spans="1:17">
      <c r="B29" t="s">
        <v>334</v>
      </c>
      <c r="K29" s="94"/>
      <c r="L29" s="95">
        <v>0</v>
      </c>
      <c r="M29" s="95"/>
      <c r="N29" s="95">
        <v>271333</v>
      </c>
      <c r="O29" s="95"/>
      <c r="P29" s="95"/>
      <c r="Q29" s="95">
        <f>SUM(K29:P29)</f>
        <v>271333</v>
      </c>
    </row>
    <row r="31" spans="1:17">
      <c r="B31" t="s">
        <v>100</v>
      </c>
      <c r="K31" s="73"/>
      <c r="L31" s="73"/>
      <c r="M31" s="73"/>
      <c r="N31" s="73"/>
      <c r="O31" s="73"/>
      <c r="P31" s="73"/>
      <c r="Q31" s="73"/>
    </row>
    <row r="32" spans="1:17">
      <c r="C32" t="s">
        <v>66</v>
      </c>
      <c r="K32" s="73"/>
      <c r="L32" s="73"/>
      <c r="M32" s="73"/>
      <c r="N32" s="73"/>
      <c r="O32" s="73"/>
      <c r="P32" s="73"/>
      <c r="Q32" s="73"/>
    </row>
    <row r="33" spans="3:17">
      <c r="D33" t="s">
        <v>43</v>
      </c>
      <c r="K33" s="73"/>
      <c r="L33" s="73"/>
      <c r="M33" s="73"/>
      <c r="N33" s="73"/>
      <c r="O33" s="73"/>
      <c r="P33" s="73">
        <v>97233</v>
      </c>
      <c r="Q33" s="73">
        <f>SUM(K33:P33)</f>
        <v>97233</v>
      </c>
    </row>
    <row r="34" spans="3:17">
      <c r="D34" t="s">
        <v>70</v>
      </c>
      <c r="K34" s="73"/>
      <c r="L34" s="73"/>
      <c r="M34" s="73"/>
      <c r="N34" s="73"/>
      <c r="O34" s="73">
        <v>28970121</v>
      </c>
      <c r="P34" s="73"/>
      <c r="Q34" s="73">
        <f>SUM(K34:P34)</f>
        <v>28970121</v>
      </c>
    </row>
    <row r="35" spans="3:17">
      <c r="C35" t="s">
        <v>73</v>
      </c>
      <c r="K35" s="73"/>
      <c r="L35" s="73"/>
      <c r="M35" s="73"/>
      <c r="N35" s="73"/>
      <c r="O35" s="73"/>
      <c r="P35" s="73"/>
      <c r="Q35" s="73">
        <f t="shared" ref="Q35:Q40" si="6">SUM(K35:P35)</f>
        <v>0</v>
      </c>
    </row>
    <row r="36" spans="3:17">
      <c r="D36" t="s">
        <v>70</v>
      </c>
      <c r="K36" s="73"/>
      <c r="L36" s="73">
        <v>55897</v>
      </c>
      <c r="M36" s="73">
        <v>3866118</v>
      </c>
      <c r="N36" s="73"/>
      <c r="O36" s="73">
        <v>3329057</v>
      </c>
      <c r="P36" s="73">
        <v>1822830</v>
      </c>
      <c r="Q36" s="73">
        <f t="shared" si="6"/>
        <v>9073902</v>
      </c>
    </row>
    <row r="37" spans="3:17">
      <c r="D37" t="s">
        <v>147</v>
      </c>
      <c r="K37" s="99"/>
      <c r="L37" s="73"/>
      <c r="M37" s="73"/>
      <c r="N37" s="73"/>
      <c r="O37" s="73"/>
      <c r="P37" s="73">
        <v>1442622</v>
      </c>
      <c r="Q37" s="73">
        <f t="shared" si="6"/>
        <v>1442622</v>
      </c>
    </row>
    <row r="38" spans="3:17">
      <c r="D38" t="s">
        <v>109</v>
      </c>
      <c r="K38" s="99"/>
      <c r="L38" s="73"/>
      <c r="M38" s="73"/>
      <c r="N38" s="73"/>
      <c r="O38" s="73"/>
      <c r="P38" s="73">
        <v>2718302</v>
      </c>
      <c r="Q38" s="73">
        <f t="shared" si="6"/>
        <v>2718302</v>
      </c>
    </row>
    <row r="39" spans="3:17">
      <c r="D39" t="s">
        <v>335</v>
      </c>
      <c r="K39" s="99"/>
      <c r="L39" s="73"/>
      <c r="M39" s="73"/>
      <c r="N39" s="73"/>
      <c r="O39" s="73"/>
      <c r="P39" s="73">
        <v>42628</v>
      </c>
      <c r="Q39" s="73">
        <f t="shared" si="6"/>
        <v>42628</v>
      </c>
    </row>
    <row r="40" spans="3:17">
      <c r="C40" t="s">
        <v>336</v>
      </c>
      <c r="K40" s="86">
        <v>1220184</v>
      </c>
      <c r="L40" s="73"/>
      <c r="M40" s="73"/>
      <c r="N40" s="73">
        <v>-24348</v>
      </c>
      <c r="O40" s="73"/>
      <c r="P40" s="73">
        <v>-27598</v>
      </c>
      <c r="Q40" s="73">
        <f t="shared" si="6"/>
        <v>1168238</v>
      </c>
    </row>
    <row r="41" spans="3:17">
      <c r="K41" s="73"/>
      <c r="L41" s="73"/>
      <c r="M41" s="73"/>
      <c r="N41" s="73"/>
      <c r="O41" s="73"/>
      <c r="P41" s="73"/>
      <c r="Q41" s="73"/>
    </row>
    <row r="42" spans="3:17" s="5" customFormat="1">
      <c r="E42" s="5" t="s">
        <v>223</v>
      </c>
      <c r="K42" s="79">
        <f>SUM(K33:K41)</f>
        <v>1220184</v>
      </c>
      <c r="L42" s="79">
        <f>SUM(L34:L40)</f>
        <v>55897</v>
      </c>
      <c r="M42" s="79">
        <f>SUM(M33:M40)</f>
        <v>3866118</v>
      </c>
      <c r="N42" s="79">
        <f>SUM(N34:N40)</f>
        <v>-24348</v>
      </c>
      <c r="O42" s="79">
        <f>SUM(O33:O40)</f>
        <v>32299178</v>
      </c>
      <c r="P42" s="79">
        <f>SUM(P33:P40)</f>
        <v>6096017</v>
      </c>
      <c r="Q42" s="79">
        <f>SUM(Q31:Q40)</f>
        <v>43513046</v>
      </c>
    </row>
    <row r="43" spans="3:17">
      <c r="K43" s="73"/>
      <c r="L43" s="73"/>
      <c r="M43" s="73"/>
      <c r="N43" s="73"/>
      <c r="O43" s="73"/>
      <c r="P43" s="73"/>
      <c r="Q43" s="73"/>
    </row>
    <row r="44" spans="3:17" s="7" customFormat="1">
      <c r="E44" s="7" t="s">
        <v>50</v>
      </c>
      <c r="K44" s="81">
        <f>SUM(K42,K26,K29)</f>
        <v>1756825</v>
      </c>
      <c r="L44" s="81">
        <f t="shared" ref="L44:Q44" si="7">SUM(L42,L26,L29)</f>
        <v>231119</v>
      </c>
      <c r="M44" s="81">
        <f t="shared" si="7"/>
        <v>4026668</v>
      </c>
      <c r="N44" s="81">
        <f t="shared" si="7"/>
        <v>280000</v>
      </c>
      <c r="O44" s="81">
        <f t="shared" si="7"/>
        <v>32371680</v>
      </c>
      <c r="P44" s="81">
        <f t="shared" si="7"/>
        <v>6184669</v>
      </c>
      <c r="Q44" s="81">
        <f t="shared" si="7"/>
        <v>44850961</v>
      </c>
    </row>
  </sheetData>
  <mergeCells count="2">
    <mergeCell ref="D1:K1"/>
    <mergeCell ref="D2:K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37"/>
  <sheetViews>
    <sheetView topLeftCell="I13"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28515625" customWidth="1"/>
    <col min="13" max="13" width="14.85546875" customWidth="1"/>
    <col min="14" max="14" width="14.42578125" customWidth="1"/>
    <col min="15" max="16" width="16.42578125" customWidth="1"/>
    <col min="17" max="17" width="18" customWidth="1"/>
    <col min="18" max="18" width="17.28515625" customWidth="1"/>
  </cols>
  <sheetData>
    <row r="1" spans="1:18" ht="18.75">
      <c r="D1" s="125" t="s">
        <v>337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8" ht="40.5" customHeight="1">
      <c r="K4" s="1" t="s">
        <v>52</v>
      </c>
      <c r="L4" s="1" t="s">
        <v>245</v>
      </c>
      <c r="M4" s="1" t="s">
        <v>309</v>
      </c>
      <c r="N4" s="1" t="s">
        <v>338</v>
      </c>
      <c r="O4" s="1" t="s">
        <v>257</v>
      </c>
      <c r="P4" s="1" t="s">
        <v>339</v>
      </c>
      <c r="Q4" s="1" t="s">
        <v>8</v>
      </c>
      <c r="R4" s="1" t="s">
        <v>9</v>
      </c>
    </row>
    <row r="5" spans="1:18">
      <c r="A5" t="s">
        <v>10</v>
      </c>
    </row>
    <row r="6" spans="1:18">
      <c r="B6" t="s">
        <v>153</v>
      </c>
      <c r="K6" s="72">
        <v>229344</v>
      </c>
      <c r="L6" s="73">
        <v>2073028</v>
      </c>
      <c r="M6" s="73">
        <v>414083</v>
      </c>
      <c r="N6" s="73">
        <v>836674</v>
      </c>
      <c r="O6" s="73">
        <v>1571432</v>
      </c>
      <c r="P6" s="73">
        <v>822</v>
      </c>
      <c r="Q6" s="73">
        <v>2144281</v>
      </c>
      <c r="R6" s="73">
        <f>SUM(K6:Q6)</f>
        <v>7269664</v>
      </c>
    </row>
    <row r="7" spans="1:18">
      <c r="B7" t="s">
        <v>59</v>
      </c>
      <c r="K7" s="74">
        <v>255196</v>
      </c>
      <c r="L7" s="73">
        <v>247820</v>
      </c>
      <c r="M7" s="73">
        <v>762354</v>
      </c>
      <c r="N7" s="73">
        <v>554191</v>
      </c>
      <c r="O7" s="73">
        <v>93354</v>
      </c>
      <c r="P7" s="73">
        <v>765506</v>
      </c>
      <c r="Q7" s="73">
        <v>981425</v>
      </c>
      <c r="R7" s="73">
        <f>SUM(K7:Q7)</f>
        <v>3659846</v>
      </c>
    </row>
    <row r="8" spans="1:18">
      <c r="B8" t="s">
        <v>62</v>
      </c>
      <c r="K8" s="73"/>
      <c r="L8" s="73"/>
      <c r="M8" s="73"/>
      <c r="N8" s="73">
        <v>4140</v>
      </c>
      <c r="O8" s="73"/>
      <c r="P8" s="73"/>
      <c r="Q8" s="73"/>
      <c r="R8" s="73">
        <f>SUM(K8:Q8)</f>
        <v>4140</v>
      </c>
    </row>
    <row r="9" spans="1:18">
      <c r="B9" t="s">
        <v>18</v>
      </c>
      <c r="K9" s="75">
        <v>104161</v>
      </c>
      <c r="L9" s="73">
        <v>2583</v>
      </c>
      <c r="M9" s="73">
        <v>1862</v>
      </c>
      <c r="N9" s="73">
        <v>215</v>
      </c>
      <c r="O9" s="73"/>
      <c r="P9" s="73"/>
      <c r="Q9" s="73">
        <v>9968</v>
      </c>
      <c r="R9" s="73">
        <f>SUM(K9:Q9)</f>
        <v>118789</v>
      </c>
    </row>
    <row r="10" spans="1:18">
      <c r="K10" s="73"/>
      <c r="L10" s="73"/>
      <c r="M10" s="73"/>
      <c r="N10" s="73"/>
      <c r="O10" s="73"/>
      <c r="P10" s="73"/>
      <c r="Q10" s="73"/>
      <c r="R10" s="73"/>
    </row>
    <row r="11" spans="1:18" s="3" customFormat="1">
      <c r="A11" s="2"/>
      <c r="B11" s="2"/>
      <c r="C11" s="2"/>
      <c r="D11" s="2"/>
      <c r="E11" s="2" t="s">
        <v>20</v>
      </c>
      <c r="K11" s="76">
        <f t="shared" ref="K11:R11" si="0">SUM(K6:K9)</f>
        <v>588701</v>
      </c>
      <c r="L11" s="76">
        <f t="shared" si="0"/>
        <v>2323431</v>
      </c>
      <c r="M11" s="76">
        <f t="shared" si="0"/>
        <v>1178299</v>
      </c>
      <c r="N11" s="76">
        <f t="shared" si="0"/>
        <v>1395220</v>
      </c>
      <c r="O11" s="76">
        <f t="shared" si="0"/>
        <v>1664786</v>
      </c>
      <c r="P11" s="76">
        <f t="shared" si="0"/>
        <v>766328</v>
      </c>
      <c r="Q11" s="76">
        <f t="shared" si="0"/>
        <v>3135674</v>
      </c>
      <c r="R11" s="76">
        <f t="shared" si="0"/>
        <v>11052439</v>
      </c>
    </row>
    <row r="12" spans="1:18">
      <c r="K12" s="73"/>
      <c r="L12" s="73"/>
      <c r="M12" s="73"/>
      <c r="N12" s="73"/>
      <c r="O12" s="73"/>
      <c r="P12" s="73"/>
      <c r="Q12" s="73"/>
      <c r="R12" s="73"/>
    </row>
    <row r="13" spans="1:18">
      <c r="A13" s="4" t="s">
        <v>21</v>
      </c>
      <c r="K13" s="73"/>
      <c r="L13" s="73"/>
      <c r="M13" s="73"/>
      <c r="N13" s="73"/>
      <c r="O13" s="73"/>
      <c r="P13" s="73"/>
      <c r="Q13" s="73"/>
      <c r="R13" s="73"/>
    </row>
    <row r="14" spans="1:18">
      <c r="B14" t="s">
        <v>22</v>
      </c>
      <c r="K14" s="73"/>
      <c r="L14" s="73"/>
      <c r="M14" s="73"/>
      <c r="N14" s="73"/>
      <c r="O14" s="73"/>
      <c r="P14" s="73"/>
      <c r="Q14" s="73"/>
      <c r="R14" s="73"/>
    </row>
    <row r="15" spans="1:18">
      <c r="C15" t="s">
        <v>23</v>
      </c>
      <c r="K15" s="77">
        <v>9347</v>
      </c>
      <c r="L15" s="73"/>
      <c r="M15" s="73">
        <v>32605</v>
      </c>
      <c r="N15" s="73">
        <v>23702</v>
      </c>
      <c r="O15" s="73"/>
      <c r="P15" s="73">
        <v>251384</v>
      </c>
      <c r="Q15" s="73">
        <v>65116</v>
      </c>
      <c r="R15" s="73">
        <f>SUM(K15:Q15)</f>
        <v>382154</v>
      </c>
    </row>
    <row r="16" spans="1:18">
      <c r="C16" t="s">
        <v>340</v>
      </c>
      <c r="K16" s="77">
        <v>66901</v>
      </c>
      <c r="L16" s="73">
        <v>62</v>
      </c>
      <c r="M16" s="73"/>
      <c r="N16" s="73"/>
      <c r="O16" s="73"/>
      <c r="P16" s="73"/>
      <c r="Q16" s="73"/>
      <c r="R16" s="73">
        <f>SUM(K16:Q16)</f>
        <v>66963</v>
      </c>
    </row>
    <row r="17" spans="2:18">
      <c r="C17" t="s">
        <v>27</v>
      </c>
      <c r="K17" s="78">
        <v>23716</v>
      </c>
      <c r="L17" s="73">
        <v>3950</v>
      </c>
      <c r="M17" s="73">
        <v>1820</v>
      </c>
      <c r="N17" s="73">
        <v>3882</v>
      </c>
      <c r="O17" s="73">
        <v>53058</v>
      </c>
      <c r="P17" s="73"/>
      <c r="Q17" s="73">
        <v>32363</v>
      </c>
      <c r="R17" s="73">
        <f>SUM(K17:Q17)</f>
        <v>118789</v>
      </c>
    </row>
    <row r="18" spans="2:18">
      <c r="C18" t="s">
        <v>341</v>
      </c>
      <c r="K18" s="73"/>
      <c r="L18" s="73">
        <v>20000</v>
      </c>
      <c r="M18" s="73"/>
      <c r="N18" s="73"/>
      <c r="O18" s="73"/>
      <c r="P18" s="73"/>
      <c r="Q18" s="73"/>
      <c r="R18" s="73">
        <f>SUM(K18:Q18)</f>
        <v>20000</v>
      </c>
    </row>
    <row r="19" spans="2:18">
      <c r="K19" s="73"/>
      <c r="L19" s="73"/>
      <c r="M19" s="73"/>
      <c r="N19" s="73"/>
      <c r="O19" s="73"/>
      <c r="P19" s="73"/>
      <c r="Q19" s="73"/>
      <c r="R19" s="73"/>
    </row>
    <row r="20" spans="2:18" s="5" customFormat="1">
      <c r="B20" s="6"/>
      <c r="C20" s="6"/>
      <c r="D20" s="6"/>
      <c r="E20" s="6" t="s">
        <v>28</v>
      </c>
      <c r="K20" s="79">
        <f t="shared" ref="K20:R20" si="1">SUM(K15:K18)</f>
        <v>99964</v>
      </c>
      <c r="L20" s="79">
        <f t="shared" si="1"/>
        <v>24012</v>
      </c>
      <c r="M20" s="79">
        <f t="shared" si="1"/>
        <v>34425</v>
      </c>
      <c r="N20" s="79">
        <f t="shared" si="1"/>
        <v>27584</v>
      </c>
      <c r="O20" s="79">
        <f t="shared" si="1"/>
        <v>53058</v>
      </c>
      <c r="P20" s="79">
        <f t="shared" si="1"/>
        <v>251384</v>
      </c>
      <c r="Q20" s="79">
        <f t="shared" si="1"/>
        <v>97479</v>
      </c>
      <c r="R20" s="79">
        <f t="shared" si="1"/>
        <v>587906</v>
      </c>
    </row>
    <row r="21" spans="2:18">
      <c r="K21" s="73"/>
      <c r="L21" s="73"/>
      <c r="M21" s="73"/>
      <c r="N21" s="73"/>
      <c r="O21" s="73"/>
      <c r="P21" s="73"/>
      <c r="Q21" s="73"/>
      <c r="R21" s="73"/>
    </row>
    <row r="22" spans="2:18">
      <c r="B22" t="s">
        <v>31</v>
      </c>
      <c r="K22" s="73"/>
      <c r="L22" s="73"/>
      <c r="M22" s="73"/>
      <c r="N22" s="73"/>
      <c r="O22" s="73"/>
      <c r="P22" s="73"/>
      <c r="Q22" s="73"/>
      <c r="R22" s="73"/>
    </row>
    <row r="23" spans="2:18">
      <c r="C23" t="s">
        <v>101</v>
      </c>
      <c r="K23" s="73"/>
      <c r="L23" s="73">
        <v>20000</v>
      </c>
      <c r="M23" s="73"/>
      <c r="N23" s="73">
        <v>4140</v>
      </c>
      <c r="O23" s="73"/>
      <c r="P23" s="73"/>
      <c r="Q23" s="73"/>
      <c r="R23" s="73">
        <f>SUM(K23:Q23)</f>
        <v>24140</v>
      </c>
    </row>
    <row r="24" spans="2:18">
      <c r="C24" t="s">
        <v>66</v>
      </c>
      <c r="K24" s="73"/>
      <c r="L24" s="73"/>
      <c r="M24" s="73"/>
      <c r="N24" s="73"/>
      <c r="O24" s="73"/>
      <c r="P24" s="73"/>
      <c r="Q24" s="73"/>
      <c r="R24" s="73"/>
    </row>
    <row r="25" spans="2:18">
      <c r="D25" t="s">
        <v>68</v>
      </c>
      <c r="K25" s="73"/>
      <c r="L25" s="73"/>
      <c r="M25" s="73"/>
      <c r="N25" s="73"/>
      <c r="O25" s="73"/>
      <c r="P25" s="73"/>
      <c r="Q25" s="73">
        <v>925861</v>
      </c>
      <c r="R25" s="73">
        <f t="shared" ref="R25:R33" si="2">SUM(K25:Q25)</f>
        <v>925861</v>
      </c>
    </row>
    <row r="26" spans="2:18">
      <c r="D26" t="s">
        <v>147</v>
      </c>
      <c r="K26" s="73"/>
      <c r="L26" s="73"/>
      <c r="M26" s="73"/>
      <c r="N26" s="73"/>
      <c r="O26" s="73"/>
      <c r="P26" s="73"/>
      <c r="Q26" s="73">
        <v>492432</v>
      </c>
      <c r="R26" s="73">
        <f t="shared" si="2"/>
        <v>492432</v>
      </c>
    </row>
    <row r="27" spans="2:18">
      <c r="D27" t="s">
        <v>109</v>
      </c>
      <c r="K27" s="73"/>
      <c r="L27" s="73"/>
      <c r="M27" s="73"/>
      <c r="N27" s="73"/>
      <c r="O27" s="73"/>
      <c r="P27" s="73"/>
      <c r="Q27" s="73">
        <v>6223</v>
      </c>
      <c r="R27" s="73">
        <f t="shared" si="2"/>
        <v>6223</v>
      </c>
    </row>
    <row r="28" spans="2:18">
      <c r="D28" t="s">
        <v>69</v>
      </c>
      <c r="K28" s="73"/>
      <c r="L28" s="73"/>
      <c r="M28" s="73"/>
      <c r="N28" s="73"/>
      <c r="O28" s="73"/>
      <c r="P28" s="73"/>
      <c r="Q28" s="73">
        <v>756266</v>
      </c>
      <c r="R28" s="73">
        <f t="shared" si="2"/>
        <v>756266</v>
      </c>
    </row>
    <row r="29" spans="2:18">
      <c r="D29" t="s">
        <v>70</v>
      </c>
      <c r="K29" s="73"/>
      <c r="L29" s="73">
        <v>2279419</v>
      </c>
      <c r="M29" s="73">
        <v>1143874</v>
      </c>
      <c r="N29" s="73">
        <v>1363496</v>
      </c>
      <c r="O29" s="73">
        <v>1611728</v>
      </c>
      <c r="P29" s="73"/>
      <c r="Q29" s="73">
        <v>643728</v>
      </c>
      <c r="R29" s="73">
        <f t="shared" si="2"/>
        <v>7042245</v>
      </c>
    </row>
    <row r="30" spans="2:18">
      <c r="D30" t="s">
        <v>45</v>
      </c>
      <c r="K30" s="73"/>
      <c r="L30" s="73"/>
      <c r="M30" s="73"/>
      <c r="N30" s="73"/>
      <c r="O30" s="73"/>
      <c r="P30" s="73"/>
      <c r="Q30" s="73">
        <v>175688</v>
      </c>
      <c r="R30" s="73">
        <f t="shared" si="2"/>
        <v>175688</v>
      </c>
    </row>
    <row r="31" spans="2:18">
      <c r="D31" t="s">
        <v>304</v>
      </c>
      <c r="K31" s="73"/>
      <c r="L31" s="73"/>
      <c r="M31" s="73"/>
      <c r="N31" s="73"/>
      <c r="O31" s="73"/>
      <c r="P31" s="73"/>
      <c r="Q31" s="73">
        <v>37856</v>
      </c>
      <c r="R31" s="73">
        <f t="shared" si="2"/>
        <v>37856</v>
      </c>
    </row>
    <row r="32" spans="2:18">
      <c r="C32" t="s">
        <v>119</v>
      </c>
      <c r="K32" s="73"/>
      <c r="L32" s="73"/>
      <c r="M32" s="73"/>
      <c r="N32" s="73"/>
      <c r="O32" s="73"/>
      <c r="P32" s="73">
        <v>514944</v>
      </c>
      <c r="Q32" s="73">
        <v>141</v>
      </c>
      <c r="R32" s="73">
        <f t="shared" si="2"/>
        <v>515085</v>
      </c>
    </row>
    <row r="33" spans="3:18">
      <c r="C33" t="s">
        <v>48</v>
      </c>
      <c r="K33" s="86">
        <v>488737</v>
      </c>
      <c r="L33" s="73"/>
      <c r="M33" s="73"/>
      <c r="N33" s="73"/>
      <c r="O33" s="73"/>
      <c r="P33" s="73"/>
      <c r="Q33" s="73"/>
      <c r="R33" s="73">
        <f t="shared" si="2"/>
        <v>488737</v>
      </c>
    </row>
    <row r="34" spans="3:18">
      <c r="K34" s="73"/>
      <c r="L34" s="73"/>
      <c r="M34" s="73"/>
      <c r="N34" s="73"/>
      <c r="O34" s="73"/>
      <c r="P34" s="73"/>
      <c r="Q34" s="73"/>
      <c r="R34" s="73"/>
    </row>
    <row r="35" spans="3:18" s="5" customFormat="1">
      <c r="D35" s="6"/>
      <c r="E35" s="6" t="s">
        <v>49</v>
      </c>
      <c r="K35" s="79">
        <f t="shared" ref="K35:R35" si="3">SUM(K23:K33)</f>
        <v>488737</v>
      </c>
      <c r="L35" s="79">
        <f t="shared" si="3"/>
        <v>2299419</v>
      </c>
      <c r="M35" s="79">
        <f t="shared" si="3"/>
        <v>1143874</v>
      </c>
      <c r="N35" s="79">
        <f t="shared" si="3"/>
        <v>1367636</v>
      </c>
      <c r="O35" s="79">
        <f t="shared" si="3"/>
        <v>1611728</v>
      </c>
      <c r="P35" s="79">
        <f t="shared" si="3"/>
        <v>514944</v>
      </c>
      <c r="Q35" s="79">
        <f t="shared" si="3"/>
        <v>3038195</v>
      </c>
      <c r="R35" s="79">
        <f t="shared" si="3"/>
        <v>10464533</v>
      </c>
    </row>
    <row r="36" spans="3:18">
      <c r="K36" s="73"/>
      <c r="L36" s="73"/>
      <c r="M36" s="73"/>
      <c r="N36" s="73"/>
      <c r="O36" s="73"/>
      <c r="P36" s="73"/>
      <c r="Q36" s="73"/>
      <c r="R36" s="73"/>
    </row>
    <row r="37" spans="3:18" s="7" customFormat="1">
      <c r="D37" s="8"/>
      <c r="E37" s="8" t="s">
        <v>50</v>
      </c>
      <c r="K37" s="81">
        <f>K35+K20</f>
        <v>588701</v>
      </c>
      <c r="L37" s="81">
        <f t="shared" ref="L37:R37" si="4">L35+L20</f>
        <v>2323431</v>
      </c>
      <c r="M37" s="81">
        <f t="shared" si="4"/>
        <v>1178299</v>
      </c>
      <c r="N37" s="81">
        <f t="shared" si="4"/>
        <v>1395220</v>
      </c>
      <c r="O37" s="81">
        <f t="shared" si="4"/>
        <v>1664786</v>
      </c>
      <c r="P37" s="81">
        <f t="shared" si="4"/>
        <v>766328</v>
      </c>
      <c r="Q37" s="81">
        <f t="shared" si="4"/>
        <v>3135674</v>
      </c>
      <c r="R37" s="81">
        <f t="shared" si="4"/>
        <v>11052439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34"/>
  <sheetViews>
    <sheetView topLeftCell="L1"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28515625" customWidth="1"/>
    <col min="13" max="13" width="14.85546875" customWidth="1"/>
    <col min="14" max="14" width="14.42578125" customWidth="1"/>
    <col min="15" max="15" width="16.42578125" customWidth="1"/>
    <col min="16" max="16" width="18" customWidth="1"/>
    <col min="17" max="17" width="17.28515625" customWidth="1"/>
  </cols>
  <sheetData>
    <row r="1" spans="1:17" ht="18.75">
      <c r="D1" s="125" t="s">
        <v>342</v>
      </c>
      <c r="E1" s="125"/>
      <c r="F1" s="125"/>
      <c r="G1" s="125"/>
      <c r="H1" s="125"/>
      <c r="I1" s="125"/>
      <c r="J1" s="125"/>
      <c r="K1" s="125"/>
    </row>
    <row r="2" spans="1:17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7" ht="44.25" customHeight="1">
      <c r="K4" s="1" t="s">
        <v>52</v>
      </c>
      <c r="L4" s="1" t="s">
        <v>343</v>
      </c>
      <c r="M4" s="1" t="s">
        <v>344</v>
      </c>
      <c r="N4" s="1" t="s">
        <v>345</v>
      </c>
      <c r="O4" s="1" t="s">
        <v>346</v>
      </c>
      <c r="P4" s="1" t="s">
        <v>8</v>
      </c>
      <c r="Q4" s="1" t="s">
        <v>9</v>
      </c>
    </row>
    <row r="5" spans="1:17">
      <c r="A5" t="s">
        <v>10</v>
      </c>
    </row>
    <row r="6" spans="1:17">
      <c r="B6" t="s">
        <v>163</v>
      </c>
      <c r="K6" s="72">
        <v>316101</v>
      </c>
      <c r="L6" s="73">
        <v>349202</v>
      </c>
      <c r="M6" s="73">
        <v>261965</v>
      </c>
      <c r="N6" s="73">
        <v>74993</v>
      </c>
      <c r="O6" s="73"/>
      <c r="P6" s="73">
        <v>679292</v>
      </c>
      <c r="Q6" s="73">
        <f>SUM(K6:P6)</f>
        <v>1681553</v>
      </c>
    </row>
    <row r="7" spans="1:17">
      <c r="B7" t="s">
        <v>347</v>
      </c>
      <c r="K7" s="74">
        <v>390066</v>
      </c>
      <c r="L7" s="73">
        <v>416153</v>
      </c>
      <c r="M7" s="73">
        <v>270987</v>
      </c>
      <c r="N7" s="73"/>
      <c r="O7" s="73">
        <v>103340</v>
      </c>
      <c r="P7" s="73">
        <v>305583</v>
      </c>
      <c r="Q7" s="73">
        <f>SUM(K7:P7)</f>
        <v>1486129</v>
      </c>
    </row>
    <row r="8" spans="1:17">
      <c r="B8" t="s">
        <v>235</v>
      </c>
      <c r="K8" s="74">
        <v>32928</v>
      </c>
      <c r="L8" s="73">
        <v>62006</v>
      </c>
      <c r="M8" s="73">
        <v>3016</v>
      </c>
      <c r="N8" s="73"/>
      <c r="O8" s="73"/>
      <c r="P8" s="73">
        <v>10000</v>
      </c>
      <c r="Q8" s="73">
        <f>SUM(K8:P8)</f>
        <v>107950</v>
      </c>
    </row>
    <row r="9" spans="1:17">
      <c r="K9" s="73"/>
      <c r="L9" s="73"/>
      <c r="M9" s="73"/>
      <c r="N9" s="73"/>
      <c r="O9" s="73"/>
      <c r="P9" s="73"/>
      <c r="Q9" s="73"/>
    </row>
    <row r="10" spans="1:17" s="3" customFormat="1">
      <c r="A10" s="2"/>
      <c r="B10" s="2"/>
      <c r="C10" s="2"/>
      <c r="D10" s="2"/>
      <c r="E10" s="2" t="s">
        <v>20</v>
      </c>
      <c r="K10" s="76">
        <f t="shared" ref="K10:Q10" si="0">SUM(K6:K8)</f>
        <v>739095</v>
      </c>
      <c r="L10" s="76">
        <f t="shared" si="0"/>
        <v>827361</v>
      </c>
      <c r="M10" s="76">
        <f t="shared" si="0"/>
        <v>535968</v>
      </c>
      <c r="N10" s="76">
        <f t="shared" si="0"/>
        <v>74993</v>
      </c>
      <c r="O10" s="76">
        <f t="shared" si="0"/>
        <v>103340</v>
      </c>
      <c r="P10" s="76">
        <f t="shared" si="0"/>
        <v>994875</v>
      </c>
      <c r="Q10" s="76">
        <f t="shared" si="0"/>
        <v>3275632</v>
      </c>
    </row>
    <row r="11" spans="1:17">
      <c r="K11" s="73"/>
      <c r="L11" s="73"/>
      <c r="M11" s="73"/>
      <c r="N11" s="73"/>
      <c r="O11" s="73"/>
      <c r="P11" s="73"/>
      <c r="Q11" s="73"/>
    </row>
    <row r="12" spans="1:17">
      <c r="A12" s="4" t="s">
        <v>21</v>
      </c>
      <c r="K12" s="73"/>
      <c r="L12" s="73"/>
      <c r="M12" s="73"/>
      <c r="N12" s="73"/>
      <c r="O12" s="73"/>
      <c r="P12" s="73"/>
      <c r="Q12" s="73"/>
    </row>
    <row r="13" spans="1:17">
      <c r="B13" t="s">
        <v>22</v>
      </c>
      <c r="K13" s="73"/>
      <c r="L13" s="73"/>
      <c r="M13" s="73"/>
      <c r="N13" s="73"/>
      <c r="O13" s="73"/>
      <c r="P13" s="73"/>
      <c r="Q13" s="73"/>
    </row>
    <row r="14" spans="1:17">
      <c r="C14" t="s">
        <v>23</v>
      </c>
      <c r="K14" s="77">
        <v>125801</v>
      </c>
      <c r="L14" s="73">
        <v>19528</v>
      </c>
      <c r="M14" s="73">
        <v>24323</v>
      </c>
      <c r="N14" s="73">
        <v>74993</v>
      </c>
      <c r="O14" s="73">
        <v>103340</v>
      </c>
      <c r="P14" s="73">
        <v>31096</v>
      </c>
      <c r="Q14" s="73">
        <f>SUM(K14:P14)</f>
        <v>379081</v>
      </c>
    </row>
    <row r="15" spans="1:17">
      <c r="C15" t="s">
        <v>237</v>
      </c>
      <c r="K15" s="77">
        <v>5000</v>
      </c>
      <c r="L15" s="73">
        <v>1176</v>
      </c>
      <c r="M15" s="73">
        <v>66857</v>
      </c>
      <c r="N15" s="73"/>
      <c r="O15" s="73"/>
      <c r="P15" s="73">
        <v>34917</v>
      </c>
      <c r="Q15" s="73">
        <f>SUM(K15:P15)</f>
        <v>107950</v>
      </c>
    </row>
    <row r="16" spans="1:17">
      <c r="C16" t="s">
        <v>236</v>
      </c>
      <c r="K16" s="84">
        <v>2266</v>
      </c>
      <c r="L16" s="73"/>
      <c r="M16" s="73"/>
      <c r="N16" s="73"/>
      <c r="O16" s="73"/>
      <c r="P16" s="73"/>
      <c r="Q16" s="73">
        <f>SUM(K16:P16)</f>
        <v>2266</v>
      </c>
    </row>
    <row r="17" spans="2:17">
      <c r="K17" s="73"/>
      <c r="L17" s="73"/>
      <c r="M17" s="73"/>
      <c r="N17" s="73"/>
      <c r="O17" s="73"/>
      <c r="P17" s="73"/>
      <c r="Q17" s="73"/>
    </row>
    <row r="18" spans="2:17" s="5" customFormat="1">
      <c r="B18" s="6"/>
      <c r="C18" s="6"/>
      <c r="D18" s="6"/>
      <c r="E18" s="6" t="s">
        <v>28</v>
      </c>
      <c r="K18" s="79">
        <f t="shared" ref="K18:Q18" si="1">SUM(K14:K16)</f>
        <v>133067</v>
      </c>
      <c r="L18" s="79">
        <f t="shared" si="1"/>
        <v>20704</v>
      </c>
      <c r="M18" s="79">
        <f t="shared" si="1"/>
        <v>91180</v>
      </c>
      <c r="N18" s="79">
        <f t="shared" si="1"/>
        <v>74993</v>
      </c>
      <c r="O18" s="79">
        <f t="shared" si="1"/>
        <v>103340</v>
      </c>
      <c r="P18" s="79">
        <f t="shared" si="1"/>
        <v>66013</v>
      </c>
      <c r="Q18" s="79">
        <f t="shared" si="1"/>
        <v>489297</v>
      </c>
    </row>
    <row r="19" spans="2:17">
      <c r="K19" s="73"/>
      <c r="L19" s="73"/>
      <c r="M19" s="73"/>
      <c r="N19" s="73"/>
      <c r="O19" s="73"/>
      <c r="P19" s="73"/>
      <c r="Q19" s="73"/>
    </row>
    <row r="20" spans="2:17">
      <c r="B20" t="s">
        <v>31</v>
      </c>
      <c r="K20" s="73"/>
      <c r="L20" s="73"/>
      <c r="M20" s="73"/>
      <c r="N20" s="73"/>
      <c r="O20" s="73"/>
      <c r="P20" s="73"/>
      <c r="Q20" s="73"/>
    </row>
    <row r="21" spans="2:17">
      <c r="C21" t="s">
        <v>32</v>
      </c>
      <c r="K21" s="73"/>
      <c r="L21" s="73"/>
      <c r="M21" s="73"/>
      <c r="N21" s="73"/>
      <c r="O21" s="73"/>
      <c r="P21" s="73"/>
      <c r="Q21" s="73"/>
    </row>
    <row r="22" spans="2:17">
      <c r="D22" t="s">
        <v>348</v>
      </c>
      <c r="K22" s="73"/>
      <c r="L22" s="73">
        <v>806657</v>
      </c>
      <c r="M22" s="73">
        <v>444788</v>
      </c>
      <c r="N22" s="73"/>
      <c r="O22" s="73"/>
      <c r="P22" s="73">
        <v>642079</v>
      </c>
      <c r="Q22" s="73">
        <f>SUM(K22:P22)</f>
        <v>1893524</v>
      </c>
    </row>
    <row r="23" spans="2:17">
      <c r="D23" t="s">
        <v>67</v>
      </c>
      <c r="K23" s="73"/>
      <c r="L23" s="73"/>
      <c r="M23" s="73"/>
      <c r="N23" s="73"/>
      <c r="O23" s="73"/>
      <c r="P23" s="73">
        <v>24781</v>
      </c>
      <c r="Q23" s="73">
        <f>SUM(K23:P23)</f>
        <v>24781</v>
      </c>
    </row>
    <row r="24" spans="2:17">
      <c r="D24" t="s">
        <v>349</v>
      </c>
      <c r="K24" s="73"/>
      <c r="L24" s="73"/>
      <c r="M24" s="73"/>
      <c r="N24" s="73"/>
      <c r="O24" s="73"/>
      <c r="P24" s="73">
        <v>51625</v>
      </c>
      <c r="Q24" s="73">
        <f>SUM(K24:P24)</f>
        <v>51625</v>
      </c>
    </row>
    <row r="25" spans="2:17">
      <c r="C25" t="s">
        <v>38</v>
      </c>
      <c r="K25" s="73"/>
      <c r="L25" s="73"/>
      <c r="M25" s="73"/>
      <c r="N25" s="73"/>
      <c r="O25" s="73"/>
      <c r="P25" s="73"/>
      <c r="Q25" s="73"/>
    </row>
    <row r="26" spans="2:17">
      <c r="D26" t="s">
        <v>348</v>
      </c>
      <c r="K26" s="73"/>
      <c r="L26" s="73"/>
      <c r="M26" s="73"/>
      <c r="N26" s="73"/>
      <c r="O26" s="73"/>
      <c r="P26" s="73">
        <v>21677</v>
      </c>
      <c r="Q26" s="73">
        <f>SUM(K26:P26)</f>
        <v>21677</v>
      </c>
    </row>
    <row r="27" spans="2:17">
      <c r="D27" t="s">
        <v>349</v>
      </c>
      <c r="K27" s="73"/>
      <c r="L27" s="73"/>
      <c r="M27" s="73"/>
      <c r="N27" s="73"/>
      <c r="O27" s="73"/>
      <c r="P27" s="73">
        <v>88346</v>
      </c>
      <c r="Q27" s="73">
        <f>SUM(K27:P27)</f>
        <v>88346</v>
      </c>
    </row>
    <row r="28" spans="2:17">
      <c r="D28" t="s">
        <v>350</v>
      </c>
      <c r="K28" s="73"/>
      <c r="L28" s="73"/>
      <c r="M28" s="73"/>
      <c r="N28" s="73"/>
      <c r="O28" s="73"/>
      <c r="P28" s="73">
        <v>12139</v>
      </c>
      <c r="Q28" s="73">
        <f>SUM(K28:P28)</f>
        <v>12139</v>
      </c>
    </row>
    <row r="29" spans="2:17">
      <c r="D29" t="s">
        <v>351</v>
      </c>
      <c r="K29" s="73"/>
      <c r="L29" s="73"/>
      <c r="M29" s="73"/>
      <c r="N29" s="73"/>
      <c r="O29" s="73"/>
      <c r="P29" s="73">
        <v>92402</v>
      </c>
      <c r="Q29" s="73">
        <f>SUM(K29:P29)</f>
        <v>92402</v>
      </c>
    </row>
    <row r="30" spans="2:17">
      <c r="C30" t="s">
        <v>48</v>
      </c>
      <c r="K30" s="86">
        <v>606028</v>
      </c>
      <c r="L30" s="73"/>
      <c r="M30" s="73"/>
      <c r="N30" s="73"/>
      <c r="O30" s="73"/>
      <c r="P30" s="73">
        <v>-4187</v>
      </c>
      <c r="Q30" s="73">
        <f>SUM(K30:P30)</f>
        <v>601841</v>
      </c>
    </row>
    <row r="31" spans="2:17">
      <c r="K31" s="73"/>
      <c r="L31" s="73"/>
      <c r="M31" s="73"/>
      <c r="N31" s="73"/>
      <c r="O31" s="73"/>
      <c r="P31" s="73"/>
      <c r="Q31" s="73"/>
    </row>
    <row r="32" spans="2:17" s="5" customFormat="1">
      <c r="D32" s="6"/>
      <c r="E32" s="6" t="s">
        <v>49</v>
      </c>
      <c r="K32" s="79">
        <f t="shared" ref="K32:Q32" si="2">SUM(K21:K30)</f>
        <v>606028</v>
      </c>
      <c r="L32" s="79">
        <f t="shared" si="2"/>
        <v>806657</v>
      </c>
      <c r="M32" s="79">
        <f t="shared" si="2"/>
        <v>444788</v>
      </c>
      <c r="N32" s="79">
        <f t="shared" si="2"/>
        <v>0</v>
      </c>
      <c r="O32" s="79">
        <f t="shared" si="2"/>
        <v>0</v>
      </c>
      <c r="P32" s="79">
        <f t="shared" si="2"/>
        <v>928862</v>
      </c>
      <c r="Q32" s="79">
        <f t="shared" si="2"/>
        <v>2786335</v>
      </c>
    </row>
    <row r="33" spans="4:17">
      <c r="K33" s="73"/>
      <c r="L33" s="73"/>
      <c r="M33" s="73"/>
      <c r="N33" s="73"/>
      <c r="O33" s="73"/>
      <c r="P33" s="73"/>
      <c r="Q33" s="73"/>
    </row>
    <row r="34" spans="4:17" s="7" customFormat="1">
      <c r="D34" s="8"/>
      <c r="E34" s="8" t="s">
        <v>50</v>
      </c>
      <c r="K34" s="81">
        <f>K32+K18</f>
        <v>739095</v>
      </c>
      <c r="L34" s="81">
        <f t="shared" ref="L34:Q34" si="3">L32+L18</f>
        <v>827361</v>
      </c>
      <c r="M34" s="81">
        <f t="shared" si="3"/>
        <v>535968</v>
      </c>
      <c r="N34" s="81">
        <f t="shared" si="3"/>
        <v>74993</v>
      </c>
      <c r="O34" s="81">
        <f t="shared" si="3"/>
        <v>103340</v>
      </c>
      <c r="P34" s="81">
        <f t="shared" si="3"/>
        <v>994875</v>
      </c>
      <c r="Q34" s="81">
        <f t="shared" si="3"/>
        <v>3275632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37"/>
  <sheetViews>
    <sheetView workbookViewId="0">
      <selection activeCell="K37" sqref="K37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28515625" customWidth="1"/>
    <col min="13" max="13" width="14.85546875" customWidth="1"/>
    <col min="14" max="14" width="14.42578125" customWidth="1"/>
    <col min="15" max="17" width="16.42578125" customWidth="1"/>
    <col min="18" max="18" width="18" customWidth="1"/>
    <col min="19" max="19" width="17.28515625" customWidth="1"/>
  </cols>
  <sheetData>
    <row r="1" spans="1:19" ht="18.75">
      <c r="D1" s="125" t="s">
        <v>352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9" ht="46.5" customHeight="1">
      <c r="K4" s="1" t="s">
        <v>52</v>
      </c>
      <c r="L4" s="1" t="s">
        <v>353</v>
      </c>
      <c r="M4" s="1" t="s">
        <v>257</v>
      </c>
      <c r="N4" s="1" t="s">
        <v>354</v>
      </c>
      <c r="O4" s="1" t="s">
        <v>355</v>
      </c>
      <c r="P4" s="1" t="s">
        <v>356</v>
      </c>
      <c r="Q4" s="1" t="s">
        <v>357</v>
      </c>
      <c r="R4" s="1" t="s">
        <v>8</v>
      </c>
      <c r="S4" s="1" t="s">
        <v>9</v>
      </c>
    </row>
    <row r="5" spans="1:19">
      <c r="A5" t="s">
        <v>10</v>
      </c>
    </row>
    <row r="6" spans="1:19">
      <c r="B6" t="s">
        <v>127</v>
      </c>
      <c r="K6" s="72">
        <v>1706810</v>
      </c>
      <c r="L6" s="73">
        <v>4379297</v>
      </c>
      <c r="M6" s="73">
        <v>5876513</v>
      </c>
      <c r="N6" s="73">
        <v>459480</v>
      </c>
      <c r="O6" s="73">
        <v>4538640</v>
      </c>
      <c r="P6" s="73">
        <v>5127300</v>
      </c>
      <c r="Q6" s="73">
        <v>4954573</v>
      </c>
      <c r="R6" s="73">
        <v>10858237</v>
      </c>
      <c r="S6" s="73">
        <f t="shared" ref="S6:S11" si="0">SUM(K6:R6)</f>
        <v>37900850</v>
      </c>
    </row>
    <row r="7" spans="1:19">
      <c r="B7" t="s">
        <v>12</v>
      </c>
      <c r="K7" s="73"/>
      <c r="L7" s="73">
        <v>83378</v>
      </c>
      <c r="M7" s="73"/>
      <c r="N7" s="73"/>
      <c r="O7" s="73"/>
      <c r="P7" s="73"/>
      <c r="Q7" s="73"/>
      <c r="R7" s="73"/>
      <c r="S7" s="73">
        <f t="shared" si="0"/>
        <v>83378</v>
      </c>
    </row>
    <row r="8" spans="1:19">
      <c r="B8" t="s">
        <v>59</v>
      </c>
      <c r="K8" s="74">
        <v>1156120</v>
      </c>
      <c r="L8" s="73">
        <v>2005084</v>
      </c>
      <c r="M8" s="73"/>
      <c r="N8" s="73">
        <v>223895</v>
      </c>
      <c r="O8" s="73">
        <v>1376935</v>
      </c>
      <c r="P8" s="73"/>
      <c r="Q8" s="73"/>
      <c r="R8" s="73">
        <v>3129676</v>
      </c>
      <c r="S8" s="73">
        <f t="shared" si="0"/>
        <v>7891710</v>
      </c>
    </row>
    <row r="9" spans="1:19">
      <c r="B9" t="s">
        <v>18</v>
      </c>
      <c r="K9" s="75">
        <v>156359</v>
      </c>
      <c r="L9" s="73">
        <v>260</v>
      </c>
      <c r="M9" s="73"/>
      <c r="N9" s="73"/>
      <c r="O9" s="73"/>
      <c r="P9" s="73"/>
      <c r="Q9" s="73"/>
      <c r="R9" s="73">
        <v>50696</v>
      </c>
      <c r="S9" s="73">
        <f t="shared" si="0"/>
        <v>207315</v>
      </c>
    </row>
    <row r="10" spans="1:19">
      <c r="B10" t="s">
        <v>358</v>
      </c>
      <c r="K10" s="83">
        <v>1056944</v>
      </c>
      <c r="L10" s="73"/>
      <c r="M10" s="73"/>
      <c r="N10" s="73"/>
      <c r="O10" s="73"/>
      <c r="P10" s="73">
        <v>35000</v>
      </c>
      <c r="Q10" s="73"/>
      <c r="R10" s="73">
        <v>324467</v>
      </c>
      <c r="S10" s="73">
        <f t="shared" si="0"/>
        <v>1416411</v>
      </c>
    </row>
    <row r="11" spans="1:19">
      <c r="B11" t="s">
        <v>359</v>
      </c>
      <c r="K11" s="75">
        <v>207796</v>
      </c>
      <c r="L11" s="73">
        <v>79556</v>
      </c>
      <c r="M11" s="73">
        <v>192285</v>
      </c>
      <c r="N11" s="73">
        <v>22266</v>
      </c>
      <c r="O11" s="73">
        <v>38852</v>
      </c>
      <c r="P11" s="73">
        <v>3262112</v>
      </c>
      <c r="Q11" s="73"/>
      <c r="R11" s="73">
        <v>1396120</v>
      </c>
      <c r="S11" s="73">
        <f t="shared" si="0"/>
        <v>5198987</v>
      </c>
    </row>
    <row r="12" spans="1:19">
      <c r="K12" s="73"/>
      <c r="L12" s="73"/>
      <c r="M12" s="73"/>
      <c r="N12" s="73"/>
      <c r="O12" s="73"/>
      <c r="P12" s="73"/>
      <c r="Q12" s="73"/>
      <c r="R12" s="73"/>
      <c r="S12" s="73"/>
    </row>
    <row r="13" spans="1:19" s="3" customFormat="1">
      <c r="A13" s="2"/>
      <c r="B13" s="2"/>
      <c r="C13" s="2"/>
      <c r="D13" s="2"/>
      <c r="E13" s="2" t="s">
        <v>20</v>
      </c>
      <c r="K13" s="76">
        <f t="shared" ref="K13:S13" si="1">SUM(K6:K11)</f>
        <v>4284029</v>
      </c>
      <c r="L13" s="76">
        <f t="shared" si="1"/>
        <v>6547575</v>
      </c>
      <c r="M13" s="76">
        <f t="shared" si="1"/>
        <v>6068798</v>
      </c>
      <c r="N13" s="76">
        <f t="shared" si="1"/>
        <v>705641</v>
      </c>
      <c r="O13" s="76">
        <f t="shared" si="1"/>
        <v>5954427</v>
      </c>
      <c r="P13" s="76">
        <f t="shared" si="1"/>
        <v>8424412</v>
      </c>
      <c r="Q13" s="76">
        <f t="shared" si="1"/>
        <v>4954573</v>
      </c>
      <c r="R13" s="76">
        <f t="shared" si="1"/>
        <v>15759196</v>
      </c>
      <c r="S13" s="76">
        <f t="shared" si="1"/>
        <v>52698651</v>
      </c>
    </row>
    <row r="14" spans="1:19"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A15" s="4" t="s">
        <v>21</v>
      </c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B16" t="s">
        <v>22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2:19">
      <c r="C17" t="s">
        <v>23</v>
      </c>
      <c r="K17" s="77">
        <v>141995</v>
      </c>
      <c r="L17" s="73">
        <v>18122</v>
      </c>
      <c r="M17" s="73">
        <v>237079</v>
      </c>
      <c r="N17" s="73">
        <v>256130</v>
      </c>
      <c r="O17" s="73">
        <v>42640</v>
      </c>
      <c r="P17" s="73">
        <v>65193</v>
      </c>
      <c r="Q17" s="73"/>
      <c r="R17" s="73">
        <v>1034377</v>
      </c>
      <c r="S17" s="73">
        <f>SUM(K17:R17)</f>
        <v>1795536</v>
      </c>
    </row>
    <row r="18" spans="2:19">
      <c r="C18" t="s">
        <v>360</v>
      </c>
      <c r="K18" s="77">
        <v>73484</v>
      </c>
      <c r="L18" s="73">
        <v>25031</v>
      </c>
      <c r="M18" s="73">
        <v>2072</v>
      </c>
      <c r="N18" s="73">
        <v>2180</v>
      </c>
      <c r="O18" s="73">
        <v>18202</v>
      </c>
      <c r="P18" s="73">
        <v>9094</v>
      </c>
      <c r="Q18" s="73"/>
      <c r="R18" s="73">
        <v>51476</v>
      </c>
      <c r="S18" s="73">
        <f>SUM(K18:R18)</f>
        <v>181539</v>
      </c>
    </row>
    <row r="19" spans="2:19">
      <c r="C19" t="s">
        <v>90</v>
      </c>
      <c r="K19" s="73"/>
      <c r="L19" s="73"/>
      <c r="M19" s="73"/>
      <c r="N19" s="73"/>
      <c r="O19" s="73"/>
      <c r="P19" s="73">
        <v>268323</v>
      </c>
      <c r="Q19" s="73"/>
      <c r="R19" s="73"/>
      <c r="S19" s="73">
        <f t="shared" ref="S19:S24" si="2">SUM(K19:R19)</f>
        <v>268323</v>
      </c>
    </row>
    <row r="20" spans="2:19">
      <c r="C20" t="s">
        <v>24</v>
      </c>
      <c r="K20" s="73"/>
      <c r="L20" s="73"/>
      <c r="M20" s="73"/>
      <c r="N20" s="73"/>
      <c r="O20" s="73"/>
      <c r="P20" s="73">
        <v>336389</v>
      </c>
      <c r="Q20" s="73"/>
      <c r="R20" s="73"/>
      <c r="S20" s="73">
        <f t="shared" si="2"/>
        <v>336389</v>
      </c>
    </row>
    <row r="21" spans="2:19">
      <c r="C21" t="s">
        <v>27</v>
      </c>
      <c r="K21" s="73"/>
      <c r="L21" s="73"/>
      <c r="M21" s="73"/>
      <c r="N21" s="73">
        <v>156114</v>
      </c>
      <c r="O21" s="73"/>
      <c r="P21" s="73">
        <v>50696</v>
      </c>
      <c r="Q21" s="73"/>
      <c r="R21" s="73">
        <v>505</v>
      </c>
      <c r="S21" s="73">
        <f t="shared" si="2"/>
        <v>207315</v>
      </c>
    </row>
    <row r="22" spans="2:19">
      <c r="C22" t="s">
        <v>361</v>
      </c>
      <c r="K22" s="78">
        <v>48115</v>
      </c>
      <c r="L22" s="73">
        <v>88588</v>
      </c>
      <c r="M22" s="73"/>
      <c r="N22" s="73">
        <v>10208</v>
      </c>
      <c r="O22" s="73">
        <v>60192</v>
      </c>
      <c r="P22" s="73"/>
      <c r="Q22" s="73"/>
      <c r="R22" s="73">
        <v>130081</v>
      </c>
      <c r="S22" s="73">
        <f t="shared" si="2"/>
        <v>337184</v>
      </c>
    </row>
    <row r="23" spans="2:19">
      <c r="C23" t="s">
        <v>185</v>
      </c>
      <c r="K23" s="78">
        <v>692</v>
      </c>
      <c r="L23" s="73"/>
      <c r="M23" s="73"/>
      <c r="N23" s="73"/>
      <c r="O23" s="73"/>
      <c r="P23" s="73"/>
      <c r="Q23" s="73"/>
      <c r="R23" s="73">
        <v>299497</v>
      </c>
      <c r="S23" s="73">
        <f t="shared" si="2"/>
        <v>300189</v>
      </c>
    </row>
    <row r="24" spans="2:19">
      <c r="C24" t="s">
        <v>362</v>
      </c>
      <c r="K24" s="73"/>
      <c r="L24" s="73"/>
      <c r="M24" s="73"/>
      <c r="N24" s="73"/>
      <c r="O24" s="73"/>
      <c r="P24" s="73"/>
      <c r="Q24" s="73"/>
      <c r="R24" s="73">
        <v>171235</v>
      </c>
      <c r="S24" s="73">
        <f t="shared" si="2"/>
        <v>171235</v>
      </c>
    </row>
    <row r="25" spans="2:19">
      <c r="K25" s="73"/>
      <c r="L25" s="73"/>
      <c r="M25" s="73"/>
      <c r="N25" s="73"/>
      <c r="O25" s="73"/>
      <c r="P25" s="73"/>
      <c r="Q25" s="73"/>
      <c r="R25" s="73"/>
      <c r="S25" s="73"/>
    </row>
    <row r="26" spans="2:19" s="5" customFormat="1">
      <c r="B26" s="6"/>
      <c r="C26" s="6"/>
      <c r="D26" s="6"/>
      <c r="E26" s="6" t="s">
        <v>28</v>
      </c>
      <c r="K26" s="79">
        <f t="shared" ref="K26:S26" si="3">SUM(K17:K24)</f>
        <v>264286</v>
      </c>
      <c r="L26" s="79">
        <f t="shared" si="3"/>
        <v>131741</v>
      </c>
      <c r="M26" s="79">
        <f t="shared" si="3"/>
        <v>239151</v>
      </c>
      <c r="N26" s="79">
        <f t="shared" si="3"/>
        <v>424632</v>
      </c>
      <c r="O26" s="79">
        <f t="shared" si="3"/>
        <v>121034</v>
      </c>
      <c r="P26" s="79">
        <f t="shared" si="3"/>
        <v>729695</v>
      </c>
      <c r="Q26" s="79">
        <f t="shared" si="3"/>
        <v>0</v>
      </c>
      <c r="R26" s="79">
        <f t="shared" si="3"/>
        <v>1687171</v>
      </c>
      <c r="S26" s="79">
        <f t="shared" si="3"/>
        <v>3597710</v>
      </c>
    </row>
    <row r="27" spans="2:19">
      <c r="K27" s="73"/>
      <c r="L27" s="73"/>
      <c r="M27" s="73"/>
      <c r="N27" s="73"/>
      <c r="O27" s="73"/>
      <c r="P27" s="73"/>
      <c r="Q27" s="73"/>
      <c r="R27" s="73"/>
      <c r="S27" s="73"/>
    </row>
    <row r="28" spans="2:19">
      <c r="B28" t="s">
        <v>31</v>
      </c>
      <c r="K28" s="73"/>
      <c r="L28" s="73"/>
      <c r="M28" s="73"/>
      <c r="N28" s="73"/>
      <c r="O28" s="73"/>
      <c r="P28" s="73"/>
      <c r="Q28" s="73"/>
      <c r="R28" s="73"/>
      <c r="S28" s="73"/>
    </row>
    <row r="29" spans="2:19">
      <c r="C29" t="s">
        <v>101</v>
      </c>
      <c r="K29" s="73"/>
      <c r="L29" s="73"/>
      <c r="M29" s="73"/>
      <c r="N29" s="73"/>
      <c r="O29" s="73"/>
      <c r="P29" s="73"/>
      <c r="Q29" s="73"/>
      <c r="R29" s="73">
        <v>68863</v>
      </c>
      <c r="S29" s="73">
        <f>SUM(K29:R29)</f>
        <v>68863</v>
      </c>
    </row>
    <row r="30" spans="2:19">
      <c r="C30" t="s">
        <v>118</v>
      </c>
      <c r="K30" s="73"/>
      <c r="L30" s="73">
        <v>6415834</v>
      </c>
      <c r="M30" s="73">
        <v>5829647</v>
      </c>
      <c r="N30" s="73">
        <v>281009</v>
      </c>
      <c r="O30" s="73">
        <v>5833393</v>
      </c>
      <c r="P30" s="73"/>
      <c r="Q30" s="73"/>
      <c r="R30" s="73">
        <v>9225177</v>
      </c>
      <c r="S30" s="73">
        <f>SUM(K30:R30)</f>
        <v>27585060</v>
      </c>
    </row>
    <row r="31" spans="2:19">
      <c r="C31" t="s">
        <v>304</v>
      </c>
      <c r="K31" s="80">
        <v>515153</v>
      </c>
      <c r="L31" s="73"/>
      <c r="M31" s="73"/>
      <c r="N31" s="73"/>
      <c r="O31" s="73"/>
      <c r="P31" s="73"/>
      <c r="Q31" s="73">
        <v>4954573</v>
      </c>
      <c r="R31" s="73">
        <v>172897</v>
      </c>
      <c r="S31" s="73">
        <f>SUM(K31:R31)</f>
        <v>5642623</v>
      </c>
    </row>
    <row r="32" spans="2:19">
      <c r="C32" t="s">
        <v>119</v>
      </c>
      <c r="K32" s="112">
        <v>2038654</v>
      </c>
      <c r="L32" s="73"/>
      <c r="M32" s="73"/>
      <c r="N32" s="73"/>
      <c r="O32" s="73"/>
      <c r="P32" s="73">
        <v>7694717</v>
      </c>
      <c r="Q32" s="73"/>
      <c r="R32" s="73">
        <v>4605088</v>
      </c>
      <c r="S32" s="73">
        <f>SUM(K32:R32)</f>
        <v>14338459</v>
      </c>
    </row>
    <row r="33" spans="3:19">
      <c r="C33" t="s">
        <v>48</v>
      </c>
      <c r="K33" s="86">
        <v>1465936</v>
      </c>
      <c r="L33" s="73"/>
      <c r="M33" s="73"/>
      <c r="N33" s="73"/>
      <c r="O33" s="73"/>
      <c r="P33" s="73"/>
      <c r="Q33" s="73"/>
      <c r="R33" s="73"/>
      <c r="S33" s="73">
        <f>SUM(K33:R33)</f>
        <v>1465936</v>
      </c>
    </row>
    <row r="34" spans="3:19">
      <c r="K34" s="73"/>
      <c r="L34" s="73"/>
      <c r="M34" s="73"/>
      <c r="N34" s="73"/>
      <c r="O34" s="73"/>
      <c r="P34" s="73"/>
      <c r="Q34" s="73"/>
      <c r="R34" s="73"/>
      <c r="S34" s="73"/>
    </row>
    <row r="35" spans="3:19" s="5" customFormat="1">
      <c r="D35" s="6"/>
      <c r="E35" s="6" t="s">
        <v>49</v>
      </c>
      <c r="K35" s="79">
        <f t="shared" ref="K35:S35" si="4">SUM(K29:K33)</f>
        <v>4019743</v>
      </c>
      <c r="L35" s="79">
        <f t="shared" si="4"/>
        <v>6415834</v>
      </c>
      <c r="M35" s="79">
        <f t="shared" si="4"/>
        <v>5829647</v>
      </c>
      <c r="N35" s="79">
        <f t="shared" si="4"/>
        <v>281009</v>
      </c>
      <c r="O35" s="79">
        <f t="shared" si="4"/>
        <v>5833393</v>
      </c>
      <c r="P35" s="79">
        <f t="shared" si="4"/>
        <v>7694717</v>
      </c>
      <c r="Q35" s="79">
        <f t="shared" si="4"/>
        <v>4954573</v>
      </c>
      <c r="R35" s="79">
        <f t="shared" si="4"/>
        <v>14072025</v>
      </c>
      <c r="S35" s="79">
        <f t="shared" si="4"/>
        <v>49100941</v>
      </c>
    </row>
    <row r="36" spans="3:19">
      <c r="K36" s="73"/>
      <c r="L36" s="73"/>
      <c r="M36" s="73"/>
      <c r="N36" s="73"/>
      <c r="O36" s="73"/>
      <c r="P36" s="73"/>
      <c r="Q36" s="73"/>
      <c r="R36" s="73"/>
      <c r="S36" s="73"/>
    </row>
    <row r="37" spans="3:19" s="7" customFormat="1">
      <c r="D37" s="8"/>
      <c r="E37" s="8" t="s">
        <v>50</v>
      </c>
      <c r="K37" s="81">
        <f>K35+K26</f>
        <v>4284029</v>
      </c>
      <c r="L37" s="81">
        <f t="shared" ref="L37:S37" si="5">L35+L26</f>
        <v>6547575</v>
      </c>
      <c r="M37" s="81">
        <f t="shared" si="5"/>
        <v>6068798</v>
      </c>
      <c r="N37" s="81">
        <f t="shared" si="5"/>
        <v>705641</v>
      </c>
      <c r="O37" s="81">
        <f t="shared" si="5"/>
        <v>5954427</v>
      </c>
      <c r="P37" s="81">
        <f t="shared" si="5"/>
        <v>8424412</v>
      </c>
      <c r="Q37" s="81">
        <f t="shared" si="5"/>
        <v>4954573</v>
      </c>
      <c r="R37" s="81">
        <f t="shared" si="5"/>
        <v>15759196</v>
      </c>
      <c r="S37" s="81">
        <f t="shared" si="5"/>
        <v>52698651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43"/>
  <sheetViews>
    <sheetView zoomScale="80" zoomScaleNormal="80" workbookViewId="0">
      <selection activeCell="D3" sqref="D3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8" width="19.42578125" customWidth="1"/>
    <col min="19" max="19" width="19.85546875" bestFit="1" customWidth="1"/>
  </cols>
  <sheetData>
    <row r="1" spans="1:19" ht="18.75">
      <c r="D1" s="125" t="s">
        <v>363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 ht="36.75" customHeight="1">
      <c r="Q4" s="57"/>
    </row>
    <row r="5" spans="1:19" ht="45">
      <c r="K5" s="1" t="s">
        <v>2</v>
      </c>
      <c r="L5" s="1" t="s">
        <v>309</v>
      </c>
      <c r="M5" s="1" t="s">
        <v>364</v>
      </c>
      <c r="N5" s="1" t="s">
        <v>365</v>
      </c>
      <c r="O5" s="1" t="s">
        <v>112</v>
      </c>
      <c r="P5" s="1" t="s">
        <v>366</v>
      </c>
      <c r="Q5" s="1" t="s">
        <v>367</v>
      </c>
      <c r="R5" s="1" t="s">
        <v>8</v>
      </c>
      <c r="S5" s="1" t="s">
        <v>9</v>
      </c>
    </row>
    <row r="6" spans="1:19">
      <c r="A6" t="s">
        <v>10</v>
      </c>
    </row>
    <row r="7" spans="1:19">
      <c r="B7" t="s">
        <v>163</v>
      </c>
      <c r="K7" s="72">
        <v>1830428</v>
      </c>
      <c r="L7" s="73">
        <v>64545</v>
      </c>
      <c r="M7" s="73">
        <v>15044</v>
      </c>
      <c r="N7" s="73">
        <v>2291631</v>
      </c>
      <c r="O7" s="73">
        <v>2544362</v>
      </c>
      <c r="P7" s="73">
        <v>2958857</v>
      </c>
      <c r="Q7" s="73">
        <v>67147</v>
      </c>
      <c r="R7" s="73">
        <v>6638557</v>
      </c>
      <c r="S7" s="73">
        <f t="shared" ref="S7:S12" si="0">SUM(K7:R7)</f>
        <v>16410571</v>
      </c>
    </row>
    <row r="8" spans="1:19">
      <c r="B8" t="s">
        <v>368</v>
      </c>
      <c r="K8" s="74">
        <v>2344775</v>
      </c>
      <c r="L8" s="73">
        <v>2558001</v>
      </c>
      <c r="M8" s="73">
        <v>1461418</v>
      </c>
      <c r="N8" s="73">
        <v>464269</v>
      </c>
      <c r="O8" s="73">
        <v>596513</v>
      </c>
      <c r="P8" s="73">
        <v>642884</v>
      </c>
      <c r="Q8" s="73">
        <v>229691</v>
      </c>
      <c r="R8" s="73">
        <v>776983</v>
      </c>
      <c r="S8" s="73">
        <f t="shared" si="0"/>
        <v>9074534</v>
      </c>
    </row>
    <row r="9" spans="1:19">
      <c r="B9" t="s">
        <v>207</v>
      </c>
      <c r="K9" s="85">
        <v>431673</v>
      </c>
      <c r="L9" s="73">
        <v>63904</v>
      </c>
      <c r="M9" s="73">
        <v>216700</v>
      </c>
      <c r="N9" s="73">
        <v>73000</v>
      </c>
      <c r="O9" s="73">
        <v>8150</v>
      </c>
      <c r="P9" s="73"/>
      <c r="Q9" s="73"/>
      <c r="R9" s="73">
        <v>77276</v>
      </c>
      <c r="S9" s="73">
        <f t="shared" si="0"/>
        <v>870703</v>
      </c>
    </row>
    <row r="10" spans="1:19">
      <c r="B10" t="s">
        <v>18</v>
      </c>
      <c r="K10" s="75">
        <v>427702</v>
      </c>
      <c r="L10" s="73"/>
      <c r="M10" s="73"/>
      <c r="N10" s="73"/>
      <c r="O10" s="73"/>
      <c r="P10" s="73"/>
      <c r="Q10" s="73"/>
      <c r="R10" s="73"/>
      <c r="S10" s="73">
        <f t="shared" si="0"/>
        <v>427702</v>
      </c>
    </row>
    <row r="11" spans="1:19">
      <c r="B11" t="s">
        <v>369</v>
      </c>
      <c r="K11" s="72">
        <v>100000</v>
      </c>
      <c r="L11" s="73"/>
      <c r="M11" s="73"/>
      <c r="N11" s="73"/>
      <c r="O11" s="73"/>
      <c r="P11" s="73"/>
      <c r="Q11" s="73"/>
      <c r="R11" s="73"/>
      <c r="S11" s="73">
        <f t="shared" si="0"/>
        <v>100000</v>
      </c>
    </row>
    <row r="12" spans="1:19">
      <c r="B12" t="s">
        <v>88</v>
      </c>
      <c r="K12" s="73"/>
      <c r="L12" s="73"/>
      <c r="M12" s="73"/>
      <c r="N12" s="73"/>
      <c r="O12" s="73"/>
      <c r="P12" s="73"/>
      <c r="Q12" s="73"/>
      <c r="R12" s="73"/>
      <c r="S12" s="73">
        <f t="shared" si="0"/>
        <v>0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 s="3" customFormat="1">
      <c r="A14" s="2"/>
      <c r="B14" s="2"/>
      <c r="C14" s="2"/>
      <c r="D14" s="2"/>
      <c r="E14" s="2" t="s">
        <v>129</v>
      </c>
      <c r="K14" s="76">
        <f>SUM(K7:K12)</f>
        <v>5134578</v>
      </c>
      <c r="L14" s="76">
        <f t="shared" ref="L14:R14" si="1">SUM(L7:L12)</f>
        <v>2686450</v>
      </c>
      <c r="M14" s="76">
        <f t="shared" si="1"/>
        <v>1693162</v>
      </c>
      <c r="N14" s="76">
        <f t="shared" si="1"/>
        <v>2828900</v>
      </c>
      <c r="O14" s="76">
        <f t="shared" si="1"/>
        <v>3149025</v>
      </c>
      <c r="P14" s="76">
        <f t="shared" si="1"/>
        <v>3601741</v>
      </c>
      <c r="Q14" s="76">
        <f t="shared" si="1"/>
        <v>296838</v>
      </c>
      <c r="R14" s="76">
        <f t="shared" si="1"/>
        <v>7492816</v>
      </c>
      <c r="S14" s="76">
        <f>SUM(S7:S12)</f>
        <v>26883510</v>
      </c>
    </row>
    <row r="15" spans="1:19"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A16" s="4" t="s">
        <v>21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2:19">
      <c r="B17" t="s">
        <v>22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2:19">
      <c r="C18" t="s">
        <v>23</v>
      </c>
      <c r="K18" s="77">
        <v>489329</v>
      </c>
      <c r="L18" s="73">
        <v>84806</v>
      </c>
      <c r="M18" s="73">
        <v>98127</v>
      </c>
      <c r="N18" s="73">
        <v>76760</v>
      </c>
      <c r="O18" s="73">
        <v>254246</v>
      </c>
      <c r="P18" s="73">
        <v>573551</v>
      </c>
      <c r="Q18" s="73">
        <v>229691</v>
      </c>
      <c r="R18" s="73">
        <v>237310</v>
      </c>
      <c r="S18" s="73">
        <f>SUM(K18:R18)</f>
        <v>2043820</v>
      </c>
    </row>
    <row r="19" spans="2:19">
      <c r="C19" t="s">
        <v>27</v>
      </c>
      <c r="K19" s="73"/>
      <c r="L19" s="73"/>
      <c r="M19" s="73">
        <v>427702</v>
      </c>
      <c r="N19" s="73"/>
      <c r="O19" s="73"/>
      <c r="P19" s="73"/>
      <c r="Q19" s="73"/>
      <c r="R19" s="73"/>
      <c r="S19" s="73">
        <f>SUM(K19:R19)</f>
        <v>427702</v>
      </c>
    </row>
    <row r="20" spans="2:19">
      <c r="C20" t="s">
        <v>370</v>
      </c>
      <c r="K20" s="77">
        <v>470321</v>
      </c>
      <c r="L20" s="73">
        <v>135718</v>
      </c>
      <c r="M20" s="73">
        <v>79933</v>
      </c>
      <c r="N20" s="73">
        <v>43833</v>
      </c>
      <c r="O20" s="73">
        <v>8008</v>
      </c>
      <c r="P20" s="73"/>
      <c r="Q20" s="73"/>
      <c r="R20" s="73">
        <v>57561</v>
      </c>
      <c r="S20" s="73">
        <f>SUM(K20:R20)</f>
        <v>795374</v>
      </c>
    </row>
    <row r="21" spans="2:19">
      <c r="K21" s="73"/>
      <c r="L21" s="73"/>
      <c r="M21" s="73"/>
      <c r="N21" s="73"/>
      <c r="O21" s="73"/>
      <c r="P21" s="73"/>
      <c r="Q21" s="73"/>
      <c r="R21" s="73"/>
      <c r="S21" s="73"/>
    </row>
    <row r="22" spans="2:19" s="5" customFormat="1">
      <c r="B22" s="6"/>
      <c r="C22" s="6"/>
      <c r="D22" s="6"/>
      <c r="E22" s="6" t="s">
        <v>28</v>
      </c>
      <c r="K22" s="79">
        <f>SUM(K18:K20)</f>
        <v>959650</v>
      </c>
      <c r="L22" s="79">
        <f>SUM(L18:L20)</f>
        <v>220524</v>
      </c>
      <c r="M22" s="79">
        <f>SUM(M18:M20)</f>
        <v>605762</v>
      </c>
      <c r="N22" s="79">
        <f>SUM(N18:N21)</f>
        <v>120593</v>
      </c>
      <c r="O22" s="79">
        <f>SUM(O18:O20)</f>
        <v>262254</v>
      </c>
      <c r="P22" s="79">
        <f t="shared" ref="P22:Q22" si="2">SUM(P18:P20)</f>
        <v>573551</v>
      </c>
      <c r="Q22" s="79">
        <f t="shared" si="2"/>
        <v>229691</v>
      </c>
      <c r="R22" s="79">
        <f>SUM(R18:R20)</f>
        <v>294871</v>
      </c>
      <c r="S22" s="79">
        <f>SUM(S18:S20)</f>
        <v>3266896</v>
      </c>
    </row>
    <row r="23" spans="2:19">
      <c r="K23" s="73"/>
      <c r="L23" s="73"/>
      <c r="M23" s="73"/>
      <c r="N23" s="73"/>
      <c r="O23" s="73"/>
      <c r="P23" s="73"/>
      <c r="Q23" s="73"/>
      <c r="R23" s="73"/>
      <c r="S23" s="73"/>
    </row>
    <row r="24" spans="2:19">
      <c r="B24" t="s">
        <v>100</v>
      </c>
      <c r="K24" s="73"/>
      <c r="L24" s="73"/>
      <c r="M24" s="73"/>
      <c r="N24" s="73"/>
      <c r="O24" s="73"/>
      <c r="P24" s="73"/>
      <c r="Q24" s="73"/>
      <c r="R24" s="73"/>
      <c r="S24" s="73"/>
    </row>
    <row r="25" spans="2:19">
      <c r="C25" t="s">
        <v>156</v>
      </c>
      <c r="K25" s="80">
        <v>431673</v>
      </c>
      <c r="L25" s="73">
        <v>45132</v>
      </c>
      <c r="M25" s="73">
        <v>216700</v>
      </c>
      <c r="N25" s="73">
        <v>73000</v>
      </c>
      <c r="O25" s="73">
        <v>8150</v>
      </c>
      <c r="P25" s="73"/>
      <c r="Q25" s="73"/>
      <c r="R25" s="73"/>
      <c r="S25" s="73">
        <f>SUM(K25:R25)</f>
        <v>774655</v>
      </c>
    </row>
    <row r="26" spans="2:19">
      <c r="C26" t="s">
        <v>118</v>
      </c>
      <c r="K26" s="80">
        <v>150000</v>
      </c>
      <c r="L26" s="73">
        <v>2420794</v>
      </c>
      <c r="M26" s="73">
        <v>870700</v>
      </c>
      <c r="N26" s="73">
        <v>2635307</v>
      </c>
      <c r="O26" s="73">
        <v>2878621</v>
      </c>
      <c r="P26" s="73">
        <v>3028190</v>
      </c>
      <c r="Q26" s="73">
        <v>67147</v>
      </c>
      <c r="R26" s="73">
        <v>6347344</v>
      </c>
      <c r="S26" s="73">
        <f>SUM(K26:R26)</f>
        <v>18398103</v>
      </c>
    </row>
    <row r="27" spans="2:19">
      <c r="C27" t="s">
        <v>304</v>
      </c>
      <c r="K27" s="73"/>
      <c r="L27" s="73"/>
      <c r="M27" s="73"/>
      <c r="N27" s="73"/>
      <c r="O27" s="73"/>
      <c r="P27" s="73"/>
      <c r="Q27" s="73"/>
      <c r="R27" s="73">
        <v>850601</v>
      </c>
      <c r="S27" s="73">
        <f>SUM(K27:R27)</f>
        <v>850601</v>
      </c>
    </row>
    <row r="28" spans="2:19">
      <c r="C28" t="s">
        <v>119</v>
      </c>
      <c r="K28" s="73"/>
      <c r="L28" s="73"/>
      <c r="M28" s="73"/>
      <c r="N28" s="73"/>
      <c r="O28" s="73"/>
      <c r="P28" s="73"/>
      <c r="Q28" s="73"/>
      <c r="R28" s="73"/>
      <c r="S28" s="73">
        <f>SUM(K28:R28)</f>
        <v>0</v>
      </c>
    </row>
    <row r="29" spans="2:19">
      <c r="C29" t="s">
        <v>48</v>
      </c>
      <c r="K29" s="86">
        <v>3593255</v>
      </c>
      <c r="L29" s="73"/>
      <c r="M29" s="73"/>
      <c r="N29" s="73"/>
      <c r="O29" s="73"/>
      <c r="P29" s="73"/>
      <c r="Q29" s="73"/>
      <c r="R29" s="73"/>
      <c r="S29" s="73">
        <f>SUM(K29:R29)</f>
        <v>3593255</v>
      </c>
    </row>
    <row r="30" spans="2:19">
      <c r="K30" s="73"/>
      <c r="L30" s="73"/>
      <c r="M30" s="73"/>
      <c r="N30" s="73"/>
      <c r="O30" s="73"/>
      <c r="P30" s="73"/>
      <c r="Q30" s="73"/>
      <c r="R30" s="73"/>
      <c r="S30" s="73"/>
    </row>
    <row r="31" spans="2:19" s="5" customFormat="1">
      <c r="D31" s="6"/>
      <c r="E31" s="6" t="s">
        <v>49</v>
      </c>
      <c r="K31" s="79">
        <f>SUM(K25:K30)</f>
        <v>4174928</v>
      </c>
      <c r="L31" s="79">
        <f>SUM(L25:L29)</f>
        <v>2465926</v>
      </c>
      <c r="M31" s="79">
        <f>SUM(M25:M29)</f>
        <v>1087400</v>
      </c>
      <c r="N31" s="79">
        <f>SUM(N25:N29)</f>
        <v>2708307</v>
      </c>
      <c r="O31" s="79">
        <f>SUM(O25:O29)</f>
        <v>2886771</v>
      </c>
      <c r="P31" s="79">
        <f>SUM(P25:P29)</f>
        <v>3028190</v>
      </c>
      <c r="Q31" s="79">
        <f>SUM(Q26:Q29)</f>
        <v>67147</v>
      </c>
      <c r="R31" s="79">
        <f>SUM(R25:R29)</f>
        <v>7197945</v>
      </c>
      <c r="S31" s="79">
        <f>SUM(S26:S29)</f>
        <v>22841959</v>
      </c>
    </row>
    <row r="32" spans="2:19">
      <c r="K32" s="73"/>
      <c r="L32" s="73"/>
      <c r="M32" s="73"/>
      <c r="N32" s="73"/>
      <c r="O32" s="73"/>
      <c r="P32" s="73"/>
      <c r="Q32" s="73"/>
      <c r="R32" s="73"/>
      <c r="S32" s="73"/>
    </row>
    <row r="33" spans="4:19" s="7" customFormat="1">
      <c r="D33" s="8"/>
      <c r="E33" s="8" t="s">
        <v>50</v>
      </c>
      <c r="K33" s="81">
        <f>SUM(K31,K22)</f>
        <v>5134578</v>
      </c>
      <c r="L33" s="81">
        <f>SUM(L22,L31)</f>
        <v>2686450</v>
      </c>
      <c r="M33" s="81">
        <f>SUM(M22,M31)</f>
        <v>1693162</v>
      </c>
      <c r="N33" s="81">
        <f>SUM(N22,N31)</f>
        <v>2828900</v>
      </c>
      <c r="O33" s="81">
        <f>SUM(O31+O22)</f>
        <v>3149025</v>
      </c>
      <c r="P33" s="81">
        <f>SUM(P31+P22)</f>
        <v>3601741</v>
      </c>
      <c r="Q33" s="81">
        <f>SUM(Q31+Q22)</f>
        <v>296838</v>
      </c>
      <c r="R33" s="81">
        <f>SUM(R31+R22)</f>
        <v>7492816</v>
      </c>
      <c r="S33" s="81"/>
    </row>
    <row r="35" spans="4:19">
      <c r="I35" t="s">
        <v>371</v>
      </c>
    </row>
    <row r="36" spans="4:19">
      <c r="J36" t="s">
        <v>372</v>
      </c>
    </row>
    <row r="37" spans="4:19">
      <c r="J37" t="s">
        <v>373</v>
      </c>
      <c r="S37" s="90">
        <v>100186393</v>
      </c>
    </row>
    <row r="39" spans="4:19">
      <c r="J39" t="s">
        <v>374</v>
      </c>
    </row>
    <row r="40" spans="4:19">
      <c r="J40" t="s">
        <v>375</v>
      </c>
      <c r="S40" s="91">
        <v>-18835396</v>
      </c>
    </row>
    <row r="42" spans="4:19" ht="15.75" thickBot="1">
      <c r="I42" t="s">
        <v>376</v>
      </c>
      <c r="S42" s="92">
        <v>104967612</v>
      </c>
    </row>
    <row r="43" spans="4:19" ht="15.75" thickTop="1"/>
  </sheetData>
  <mergeCells count="2">
    <mergeCell ref="D1:K1"/>
    <mergeCell ref="D2:K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33"/>
  <sheetViews>
    <sheetView workbookViewId="0">
      <selection activeCell="S35" sqref="S35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9.42578125" customWidth="1"/>
    <col min="15" max="15" width="16.7109375" customWidth="1"/>
    <col min="16" max="16" width="17.5703125" customWidth="1"/>
    <col min="17" max="17" width="16.85546875" customWidth="1"/>
    <col min="18" max="18" width="19.42578125" customWidth="1"/>
    <col min="19" max="19" width="17.7109375" customWidth="1"/>
  </cols>
  <sheetData>
    <row r="1" spans="1:19" ht="18.75">
      <c r="D1" s="125" t="s">
        <v>377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9" ht="36.75" customHeight="1"/>
    <row r="4" spans="1:19" ht="51" customHeight="1">
      <c r="K4" s="1" t="s">
        <v>52</v>
      </c>
      <c r="L4" s="1" t="s">
        <v>276</v>
      </c>
      <c r="M4" s="1" t="s">
        <v>112</v>
      </c>
      <c r="N4" s="1" t="s">
        <v>124</v>
      </c>
      <c r="O4" s="1" t="s">
        <v>378</v>
      </c>
      <c r="P4" s="1" t="s">
        <v>123</v>
      </c>
      <c r="Q4" s="1" t="s">
        <v>228</v>
      </c>
      <c r="R4" s="1" t="s">
        <v>310</v>
      </c>
      <c r="S4" s="1" t="s">
        <v>9</v>
      </c>
    </row>
    <row r="5" spans="1:19">
      <c r="A5" t="s">
        <v>10</v>
      </c>
    </row>
    <row r="6" spans="1:19">
      <c r="B6" t="s">
        <v>163</v>
      </c>
      <c r="K6" s="72">
        <v>2555510</v>
      </c>
      <c r="L6" s="73">
        <v>994401</v>
      </c>
      <c r="M6" s="73">
        <v>1355932</v>
      </c>
      <c r="N6" s="73">
        <v>2794786</v>
      </c>
      <c r="O6" s="73">
        <v>1003144</v>
      </c>
      <c r="P6" s="73">
        <v>15445</v>
      </c>
      <c r="Q6" s="73">
        <v>10</v>
      </c>
      <c r="R6" s="73">
        <v>903063</v>
      </c>
      <c r="S6" s="73">
        <f>SUM(K6:R6)</f>
        <v>9622291</v>
      </c>
    </row>
    <row r="7" spans="1:19">
      <c r="B7" t="s">
        <v>59</v>
      </c>
      <c r="K7" s="74">
        <v>1313659</v>
      </c>
      <c r="L7" s="73">
        <v>1278046</v>
      </c>
      <c r="M7" s="73">
        <v>214761</v>
      </c>
      <c r="N7" s="73">
        <v>503407</v>
      </c>
      <c r="O7" s="73">
        <v>1069740</v>
      </c>
      <c r="P7" s="73">
        <v>188757</v>
      </c>
      <c r="Q7" s="73">
        <v>44845</v>
      </c>
      <c r="R7" s="73">
        <v>142766</v>
      </c>
      <c r="S7" s="73">
        <f>SUM(K7:R7)</f>
        <v>4755981</v>
      </c>
    </row>
    <row r="8" spans="1:19">
      <c r="B8" t="s">
        <v>235</v>
      </c>
      <c r="K8" s="74">
        <v>50000</v>
      </c>
      <c r="L8" s="73"/>
      <c r="M8" s="73"/>
      <c r="N8" s="73"/>
      <c r="O8" s="73"/>
      <c r="P8" s="73"/>
      <c r="Q8" s="73"/>
      <c r="R8" s="73"/>
      <c r="S8" s="73">
        <f>SUM(K8:Q8)</f>
        <v>50000</v>
      </c>
    </row>
    <row r="9" spans="1:19">
      <c r="B9" t="s">
        <v>207</v>
      </c>
      <c r="K9" s="85">
        <v>4916</v>
      </c>
      <c r="L9" s="73">
        <v>4988</v>
      </c>
      <c r="M9" s="73">
        <v>5171</v>
      </c>
      <c r="N9" s="73">
        <v>54788</v>
      </c>
      <c r="O9" s="73"/>
      <c r="P9" s="73">
        <v>393</v>
      </c>
      <c r="Q9" s="73"/>
      <c r="R9" s="73"/>
      <c r="S9" s="73">
        <f>SUM(K9:Q9)</f>
        <v>70256</v>
      </c>
    </row>
    <row r="10" spans="1:19">
      <c r="K10" s="73"/>
      <c r="L10" s="73"/>
      <c r="M10" s="73"/>
      <c r="N10" s="73"/>
      <c r="O10" s="73"/>
      <c r="P10" s="73"/>
      <c r="Q10" s="73"/>
      <c r="R10" s="73"/>
      <c r="S10" s="73"/>
    </row>
    <row r="11" spans="1:19" s="3" customFormat="1">
      <c r="E11" s="3" t="s">
        <v>129</v>
      </c>
      <c r="K11" s="76">
        <f t="shared" ref="K11:S11" si="0">SUM(K6:K9)</f>
        <v>3924085</v>
      </c>
      <c r="L11" s="76">
        <f t="shared" si="0"/>
        <v>2277435</v>
      </c>
      <c r="M11" s="76">
        <f t="shared" si="0"/>
        <v>1575864</v>
      </c>
      <c r="N11" s="76">
        <f t="shared" si="0"/>
        <v>3352981</v>
      </c>
      <c r="O11" s="76">
        <f t="shared" si="0"/>
        <v>2072884</v>
      </c>
      <c r="P11" s="76">
        <f t="shared" si="0"/>
        <v>204595</v>
      </c>
      <c r="Q11" s="76">
        <f t="shared" si="0"/>
        <v>44855</v>
      </c>
      <c r="R11" s="76">
        <f t="shared" si="0"/>
        <v>1045829</v>
      </c>
      <c r="S11" s="76">
        <f t="shared" si="0"/>
        <v>14498528</v>
      </c>
    </row>
    <row r="12" spans="1:19">
      <c r="K12" s="73"/>
      <c r="L12" s="73"/>
      <c r="M12" s="73"/>
      <c r="N12" s="73"/>
      <c r="O12" s="73"/>
      <c r="P12" s="73"/>
      <c r="Q12" s="73"/>
      <c r="R12" s="73"/>
      <c r="S12" s="73"/>
    </row>
    <row r="13" spans="1:19">
      <c r="A13" s="98" t="s">
        <v>21</v>
      </c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B14" t="s">
        <v>22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C15" t="s">
        <v>260</v>
      </c>
      <c r="K15" s="77">
        <v>83471</v>
      </c>
      <c r="L15" s="73">
        <v>23438</v>
      </c>
      <c r="M15" s="73">
        <v>57398</v>
      </c>
      <c r="N15" s="73">
        <v>126122</v>
      </c>
      <c r="O15" s="73">
        <v>4559</v>
      </c>
      <c r="P15" s="73">
        <v>2232</v>
      </c>
      <c r="Q15" s="73">
        <v>44845</v>
      </c>
      <c r="R15" s="73"/>
      <c r="S15" s="73">
        <f>SUM(K15:Q15)</f>
        <v>342065</v>
      </c>
    </row>
    <row r="16" spans="1:19">
      <c r="C16" t="s">
        <v>237</v>
      </c>
      <c r="K16" s="73"/>
      <c r="L16" s="73"/>
      <c r="M16" s="73"/>
      <c r="N16" s="73"/>
      <c r="O16" s="73"/>
      <c r="P16" s="73">
        <v>50000</v>
      </c>
      <c r="Q16" s="73"/>
      <c r="R16" s="73"/>
      <c r="S16" s="73">
        <f>SUM(K16:Q16)</f>
        <v>50000</v>
      </c>
    </row>
    <row r="17" spans="1:19">
      <c r="C17" t="s">
        <v>379</v>
      </c>
      <c r="K17" s="83">
        <v>4525</v>
      </c>
      <c r="L17" s="73">
        <v>26724</v>
      </c>
      <c r="M17" s="73"/>
      <c r="N17" s="73"/>
      <c r="O17" s="73"/>
      <c r="P17" s="73"/>
      <c r="Q17" s="73"/>
      <c r="R17" s="73"/>
      <c r="S17" s="73">
        <f>SUM(K17:Q17)</f>
        <v>31249</v>
      </c>
    </row>
    <row r="18" spans="1:19">
      <c r="K18" s="73"/>
      <c r="L18" s="73"/>
      <c r="M18" s="73"/>
      <c r="N18" s="73"/>
      <c r="O18" s="73"/>
      <c r="P18" s="73"/>
      <c r="Q18" s="73"/>
      <c r="R18" s="73"/>
      <c r="S18" s="73"/>
    </row>
    <row r="19" spans="1:19" s="5" customFormat="1">
      <c r="E19" s="5" t="s">
        <v>28</v>
      </c>
      <c r="K19" s="79">
        <f t="shared" ref="K19:S19" si="1">SUM(K15:K17)</f>
        <v>87996</v>
      </c>
      <c r="L19" s="79">
        <f t="shared" si="1"/>
        <v>50162</v>
      </c>
      <c r="M19" s="79">
        <f t="shared" si="1"/>
        <v>57398</v>
      </c>
      <c r="N19" s="79">
        <f t="shared" si="1"/>
        <v>126122</v>
      </c>
      <c r="O19" s="79">
        <f t="shared" si="1"/>
        <v>4559</v>
      </c>
      <c r="P19" s="79">
        <f t="shared" si="1"/>
        <v>52232</v>
      </c>
      <c r="Q19" s="79">
        <f t="shared" si="1"/>
        <v>44845</v>
      </c>
      <c r="R19" s="79">
        <f t="shared" si="1"/>
        <v>0</v>
      </c>
      <c r="S19" s="79">
        <f t="shared" si="1"/>
        <v>423314</v>
      </c>
    </row>
    <row r="20" spans="1:19">
      <c r="K20" s="73"/>
      <c r="L20" s="73"/>
      <c r="M20" s="73"/>
      <c r="N20" s="73"/>
      <c r="O20" s="73"/>
      <c r="P20" s="73"/>
      <c r="Q20" s="73"/>
      <c r="R20" s="73"/>
      <c r="S20" s="73"/>
    </row>
    <row r="21" spans="1:19">
      <c r="A21" s="89" t="s">
        <v>29</v>
      </c>
      <c r="B21" s="89"/>
      <c r="C21" s="89"/>
      <c r="D21" s="89"/>
      <c r="E21" s="89"/>
      <c r="F21" s="89"/>
      <c r="G21" s="89"/>
      <c r="H21" s="89"/>
      <c r="K21" s="73"/>
      <c r="L21" s="73"/>
      <c r="M21" s="73"/>
      <c r="N21" s="73"/>
      <c r="O21" s="73"/>
      <c r="P21" s="73"/>
      <c r="Q21" s="73"/>
      <c r="R21" s="73"/>
      <c r="S21" s="73"/>
    </row>
    <row r="22" spans="1:19">
      <c r="B22" t="s">
        <v>380</v>
      </c>
      <c r="K22" s="94">
        <v>98282</v>
      </c>
      <c r="L22" s="95">
        <v>105621</v>
      </c>
      <c r="M22" s="95"/>
      <c r="N22" s="95">
        <v>43199</v>
      </c>
      <c r="O22" s="95">
        <v>91798</v>
      </c>
      <c r="P22" s="95">
        <v>16179</v>
      </c>
      <c r="Q22" s="95"/>
      <c r="R22" s="95"/>
      <c r="S22" s="95">
        <f>SUM(K22:Q22)</f>
        <v>355079</v>
      </c>
    </row>
    <row r="23" spans="1:19">
      <c r="E23" t="s">
        <v>381</v>
      </c>
      <c r="K23" s="96">
        <f>SUM(K22)</f>
        <v>98282</v>
      </c>
      <c r="L23" s="96">
        <f t="shared" ref="L23:N23" si="2">SUM(L22)</f>
        <v>105621</v>
      </c>
      <c r="M23" s="96">
        <f t="shared" si="2"/>
        <v>0</v>
      </c>
      <c r="N23" s="96">
        <f t="shared" si="2"/>
        <v>43199</v>
      </c>
      <c r="O23" s="97">
        <f>SUM(O22)</f>
        <v>91798</v>
      </c>
      <c r="P23" s="97">
        <f t="shared" ref="P23:Q23" si="3">SUM(P22)</f>
        <v>16179</v>
      </c>
      <c r="Q23" s="97">
        <f t="shared" si="3"/>
        <v>0</v>
      </c>
      <c r="R23" s="97">
        <f>SUM(R22)</f>
        <v>0</v>
      </c>
      <c r="S23" s="97">
        <f>SUM(S22)</f>
        <v>355079</v>
      </c>
    </row>
    <row r="25" spans="1:19">
      <c r="B25" t="s">
        <v>100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C26" t="s">
        <v>382</v>
      </c>
      <c r="K26" s="80">
        <v>4916</v>
      </c>
      <c r="L26" s="73">
        <v>4988</v>
      </c>
      <c r="M26" s="73">
        <v>5171</v>
      </c>
      <c r="N26" s="73">
        <v>54788</v>
      </c>
      <c r="O26" s="73"/>
      <c r="P26" s="73">
        <v>393</v>
      </c>
      <c r="Q26" s="73"/>
      <c r="R26" s="73"/>
      <c r="S26" s="73">
        <f>SUM(K26:R26)</f>
        <v>70256</v>
      </c>
    </row>
    <row r="27" spans="1:19">
      <c r="C27" t="s">
        <v>383</v>
      </c>
      <c r="K27" s="80">
        <v>285538</v>
      </c>
      <c r="L27" s="73">
        <v>2116664</v>
      </c>
      <c r="M27" s="73">
        <v>1513295</v>
      </c>
      <c r="N27" s="73">
        <v>3128872</v>
      </c>
      <c r="O27" s="73">
        <v>1976527</v>
      </c>
      <c r="P27" s="73">
        <v>135791</v>
      </c>
      <c r="Q27" s="73"/>
      <c r="R27" s="73">
        <v>1023173</v>
      </c>
      <c r="S27" s="73">
        <f t="shared" ref="S27:S29" si="4">SUM(K27:R27)</f>
        <v>10179860</v>
      </c>
    </row>
    <row r="28" spans="1:19">
      <c r="C28" t="s">
        <v>304</v>
      </c>
      <c r="K28" s="80">
        <v>1007675</v>
      </c>
      <c r="L28" s="73"/>
      <c r="M28" s="73"/>
      <c r="N28" s="73"/>
      <c r="O28" s="73"/>
      <c r="P28" s="73"/>
      <c r="Q28" s="73">
        <v>10</v>
      </c>
      <c r="R28" s="73">
        <v>22656</v>
      </c>
      <c r="S28" s="73">
        <f t="shared" si="4"/>
        <v>1030341</v>
      </c>
    </row>
    <row r="29" spans="1:19">
      <c r="C29" t="s">
        <v>48</v>
      </c>
      <c r="K29" s="86">
        <v>2439678</v>
      </c>
      <c r="L29" s="73"/>
      <c r="M29" s="73"/>
      <c r="N29" s="73"/>
      <c r="O29" s="73"/>
      <c r="P29" s="73"/>
      <c r="Q29" s="73"/>
      <c r="R29" s="73"/>
      <c r="S29" s="73">
        <f t="shared" si="4"/>
        <v>2439678</v>
      </c>
    </row>
    <row r="30" spans="1:19">
      <c r="K30" s="73"/>
      <c r="L30" s="73"/>
      <c r="M30" s="73"/>
      <c r="N30" s="73"/>
      <c r="O30" s="73"/>
      <c r="P30" s="73"/>
      <c r="Q30" s="73"/>
      <c r="R30" s="73"/>
      <c r="S30" s="73"/>
    </row>
    <row r="31" spans="1:19" s="5" customFormat="1">
      <c r="E31" s="5" t="s">
        <v>49</v>
      </c>
      <c r="K31" s="79">
        <f>SUM(K26:K30)</f>
        <v>3737807</v>
      </c>
      <c r="L31" s="79">
        <f t="shared" ref="L31:O31" si="5">SUM(L26:L30)</f>
        <v>2121652</v>
      </c>
      <c r="M31" s="79">
        <f t="shared" si="5"/>
        <v>1518466</v>
      </c>
      <c r="N31" s="79">
        <f t="shared" si="5"/>
        <v>3183660</v>
      </c>
      <c r="O31" s="79">
        <f t="shared" si="5"/>
        <v>1976527</v>
      </c>
      <c r="P31" s="79">
        <f>SUM(P26:P29)</f>
        <v>136184</v>
      </c>
      <c r="Q31" s="79">
        <f t="shared" ref="Q31:R31" si="6">SUM(Q26:Q29)</f>
        <v>10</v>
      </c>
      <c r="R31" s="79">
        <f t="shared" si="6"/>
        <v>1045829</v>
      </c>
      <c r="S31" s="79">
        <f>SUM(S25:S29)</f>
        <v>13720135</v>
      </c>
    </row>
    <row r="32" spans="1:19">
      <c r="K32" s="73"/>
      <c r="L32" s="73"/>
      <c r="M32" s="73"/>
      <c r="N32" s="73"/>
      <c r="O32" s="73"/>
      <c r="P32" s="73"/>
      <c r="Q32" s="73"/>
      <c r="R32" s="73"/>
      <c r="S32" s="73"/>
    </row>
    <row r="33" spans="5:19" s="7" customFormat="1">
      <c r="E33" s="7" t="s">
        <v>50</v>
      </c>
      <c r="K33" s="81">
        <f>SUM(K31,K19,K23)</f>
        <v>3924085</v>
      </c>
      <c r="L33" s="81">
        <f>SUM(L19,L31)</f>
        <v>2171814</v>
      </c>
      <c r="M33" s="81">
        <f>SUM(M19,M31,M23)</f>
        <v>1575864</v>
      </c>
      <c r="N33" s="81">
        <f>SUM(N19,N31,N23)</f>
        <v>3352981</v>
      </c>
      <c r="O33" s="81">
        <f>SUM(O31+O19+O23)</f>
        <v>2072884</v>
      </c>
      <c r="P33" s="81">
        <f>SUM(P31+P23+P19)</f>
        <v>204595</v>
      </c>
      <c r="Q33" s="81">
        <f>SUM(Q31+Q19+Q23)</f>
        <v>44855</v>
      </c>
      <c r="R33" s="81">
        <f>SUM(R31+R19+R23)</f>
        <v>1045829</v>
      </c>
      <c r="S33" s="81">
        <f>SUM(S19,S31,S23)</f>
        <v>14498528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41"/>
  <sheetViews>
    <sheetView topLeftCell="L1" workbookViewId="0">
      <selection activeCell="N32" sqref="N32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28515625" customWidth="1"/>
    <col min="13" max="13" width="14.85546875" customWidth="1"/>
    <col min="14" max="14" width="14.42578125" customWidth="1"/>
    <col min="15" max="15" width="16.42578125" customWidth="1"/>
    <col min="16" max="16" width="18" customWidth="1"/>
    <col min="17" max="17" width="17.28515625" customWidth="1"/>
  </cols>
  <sheetData>
    <row r="1" spans="1:17" ht="18.75">
      <c r="D1" s="125" t="s">
        <v>384</v>
      </c>
      <c r="E1" s="125"/>
      <c r="F1" s="125"/>
      <c r="G1" s="125"/>
      <c r="H1" s="125"/>
      <c r="I1" s="125"/>
      <c r="J1" s="125"/>
      <c r="K1" s="125"/>
    </row>
    <row r="2" spans="1:17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7" ht="42.75" customHeight="1">
      <c r="K4" s="1" t="s">
        <v>52</v>
      </c>
      <c r="L4" s="1" t="s">
        <v>385</v>
      </c>
      <c r="M4" s="1" t="s">
        <v>279</v>
      </c>
      <c r="N4" s="1" t="s">
        <v>386</v>
      </c>
      <c r="O4" s="1" t="s">
        <v>387</v>
      </c>
      <c r="P4" s="1" t="s">
        <v>8</v>
      </c>
      <c r="Q4" s="1" t="s">
        <v>9</v>
      </c>
    </row>
    <row r="5" spans="1:17">
      <c r="A5" t="s">
        <v>10</v>
      </c>
    </row>
    <row r="6" spans="1:17">
      <c r="B6" t="s">
        <v>163</v>
      </c>
      <c r="K6" s="72">
        <v>6873169</v>
      </c>
      <c r="L6" s="73">
        <v>5177897</v>
      </c>
      <c r="M6" s="73">
        <v>4053</v>
      </c>
      <c r="N6" s="73">
        <v>23208</v>
      </c>
      <c r="O6" s="73"/>
      <c r="P6" s="73">
        <v>5627442</v>
      </c>
      <c r="Q6" s="73">
        <f>SUM(K6:P6)</f>
        <v>17705769</v>
      </c>
    </row>
    <row r="7" spans="1:17">
      <c r="B7" t="s">
        <v>12</v>
      </c>
      <c r="K7" s="77">
        <v>674530</v>
      </c>
      <c r="L7" s="73"/>
      <c r="M7" s="73"/>
      <c r="N7" s="73"/>
      <c r="O7" s="73"/>
      <c r="P7" s="73">
        <v>1426503</v>
      </c>
      <c r="Q7" s="73">
        <f t="shared" ref="Q7:Q10" si="0">SUM(K7:P7)</f>
        <v>2101033</v>
      </c>
    </row>
    <row r="8" spans="1:17">
      <c r="B8" t="s">
        <v>59</v>
      </c>
      <c r="K8" s="74">
        <v>38483</v>
      </c>
      <c r="L8" s="73">
        <v>204575</v>
      </c>
      <c r="M8" s="73">
        <v>178061</v>
      </c>
      <c r="N8" s="73">
        <v>147</v>
      </c>
      <c r="O8" s="73"/>
      <c r="P8" s="73">
        <v>347863</v>
      </c>
      <c r="Q8" s="73">
        <f t="shared" si="0"/>
        <v>769129</v>
      </c>
    </row>
    <row r="9" spans="1:17">
      <c r="B9" t="s">
        <v>18</v>
      </c>
      <c r="K9" s="75">
        <v>31870</v>
      </c>
      <c r="L9" s="73"/>
      <c r="M9" s="73"/>
      <c r="N9" s="73"/>
      <c r="O9" s="73"/>
      <c r="P9" s="73">
        <v>67311</v>
      </c>
      <c r="Q9" s="73">
        <f t="shared" si="0"/>
        <v>99181</v>
      </c>
    </row>
    <row r="10" spans="1:17">
      <c r="B10" t="s">
        <v>388</v>
      </c>
      <c r="K10" s="73"/>
      <c r="L10" s="73">
        <v>1552823</v>
      </c>
      <c r="M10" s="73"/>
      <c r="N10" s="73"/>
      <c r="O10" s="73">
        <v>1054038</v>
      </c>
      <c r="P10" s="73">
        <v>88551</v>
      </c>
      <c r="Q10" s="73">
        <f t="shared" si="0"/>
        <v>2695412</v>
      </c>
    </row>
    <row r="11" spans="1:17">
      <c r="K11" s="73"/>
      <c r="L11" s="73"/>
      <c r="M11" s="73"/>
      <c r="N11" s="73"/>
      <c r="O11" s="73"/>
      <c r="P11" s="73"/>
      <c r="Q11" s="73"/>
    </row>
    <row r="12" spans="1:17" s="3" customFormat="1">
      <c r="A12" s="2"/>
      <c r="B12" s="2"/>
      <c r="C12" s="2"/>
      <c r="D12" s="2"/>
      <c r="E12" s="2" t="s">
        <v>20</v>
      </c>
      <c r="K12" s="76">
        <f t="shared" ref="K12:Q12" si="1">SUM(K6:K10)</f>
        <v>7618052</v>
      </c>
      <c r="L12" s="76">
        <f t="shared" si="1"/>
        <v>6935295</v>
      </c>
      <c r="M12" s="76">
        <f t="shared" si="1"/>
        <v>182114</v>
      </c>
      <c r="N12" s="76">
        <f t="shared" si="1"/>
        <v>23355</v>
      </c>
      <c r="O12" s="76">
        <f t="shared" si="1"/>
        <v>1054038</v>
      </c>
      <c r="P12" s="76">
        <f t="shared" si="1"/>
        <v>7557670</v>
      </c>
      <c r="Q12" s="76">
        <f t="shared" si="1"/>
        <v>23370524</v>
      </c>
    </row>
    <row r="13" spans="1:17">
      <c r="K13" s="73"/>
      <c r="L13" s="73"/>
      <c r="M13" s="73"/>
      <c r="N13" s="73"/>
      <c r="O13" s="73"/>
      <c r="P13" s="73"/>
      <c r="Q13" s="73"/>
    </row>
    <row r="14" spans="1:17">
      <c r="A14" s="4" t="s">
        <v>21</v>
      </c>
      <c r="K14" s="73"/>
      <c r="L14" s="73"/>
      <c r="M14" s="73"/>
      <c r="N14" s="73"/>
      <c r="O14" s="73"/>
      <c r="P14" s="73"/>
      <c r="Q14" s="73"/>
    </row>
    <row r="15" spans="1:17">
      <c r="B15" t="s">
        <v>22</v>
      </c>
      <c r="K15" s="73"/>
      <c r="L15" s="73"/>
      <c r="M15" s="73"/>
      <c r="N15" s="73"/>
      <c r="O15" s="73"/>
      <c r="P15" s="73"/>
      <c r="Q15" s="73"/>
    </row>
    <row r="16" spans="1:17">
      <c r="C16" t="s">
        <v>131</v>
      </c>
      <c r="K16" s="77">
        <v>155925</v>
      </c>
      <c r="L16" s="73"/>
      <c r="M16" s="73">
        <v>474173</v>
      </c>
      <c r="N16" s="73">
        <v>218</v>
      </c>
      <c r="O16" s="73"/>
      <c r="P16" s="73">
        <v>196816</v>
      </c>
      <c r="Q16" s="73">
        <f>SUM(K16:P16)</f>
        <v>827132</v>
      </c>
    </row>
    <row r="17" spans="1:17">
      <c r="C17" t="s">
        <v>90</v>
      </c>
      <c r="K17" s="73"/>
      <c r="L17" s="73"/>
      <c r="M17" s="73"/>
      <c r="N17" s="73"/>
      <c r="O17" s="73"/>
      <c r="P17" s="73">
        <v>31096</v>
      </c>
      <c r="Q17" s="73">
        <f t="shared" ref="Q17:Q18" si="2">SUM(K17:P17)</f>
        <v>31096</v>
      </c>
    </row>
    <row r="18" spans="1:17">
      <c r="C18" t="s">
        <v>389</v>
      </c>
      <c r="K18" s="78">
        <v>368500</v>
      </c>
      <c r="L18" s="73"/>
      <c r="M18" s="73"/>
      <c r="N18" s="73"/>
      <c r="O18" s="73"/>
      <c r="P18" s="73"/>
      <c r="Q18" s="73">
        <f t="shared" si="2"/>
        <v>368500</v>
      </c>
    </row>
    <row r="19" spans="1:17">
      <c r="C19" t="s">
        <v>117</v>
      </c>
      <c r="K19" s="77">
        <v>140</v>
      </c>
      <c r="L19" s="73"/>
      <c r="M19" s="73"/>
      <c r="N19" s="73"/>
      <c r="O19" s="73"/>
      <c r="P19" s="73"/>
      <c r="Q19" s="73">
        <f>SUM(K19:P19)</f>
        <v>140</v>
      </c>
    </row>
    <row r="20" spans="1:17">
      <c r="C20" t="s">
        <v>27</v>
      </c>
      <c r="K20" s="78">
        <v>19844</v>
      </c>
      <c r="L20" s="73"/>
      <c r="M20" s="73"/>
      <c r="N20" s="73"/>
      <c r="O20" s="73"/>
      <c r="P20" s="73">
        <v>79337</v>
      </c>
      <c r="Q20" s="73">
        <f>SUM(K20:P20)</f>
        <v>99181</v>
      </c>
    </row>
    <row r="21" spans="1:17">
      <c r="K21" s="73"/>
      <c r="L21" s="73"/>
      <c r="M21" s="73"/>
      <c r="N21" s="73"/>
      <c r="O21" s="73"/>
      <c r="P21" s="73"/>
      <c r="Q21" s="73"/>
    </row>
    <row r="22" spans="1:17" s="5" customFormat="1">
      <c r="B22" s="6"/>
      <c r="C22" s="6"/>
      <c r="D22" s="6"/>
      <c r="E22" s="6" t="s">
        <v>28</v>
      </c>
      <c r="K22" s="79">
        <f t="shared" ref="K22:Q22" si="3">SUM(K16:K20)</f>
        <v>544409</v>
      </c>
      <c r="L22" s="79">
        <f t="shared" si="3"/>
        <v>0</v>
      </c>
      <c r="M22" s="79">
        <f t="shared" si="3"/>
        <v>474173</v>
      </c>
      <c r="N22" s="79">
        <f t="shared" si="3"/>
        <v>218</v>
      </c>
      <c r="O22" s="79">
        <f t="shared" si="3"/>
        <v>0</v>
      </c>
      <c r="P22" s="79">
        <f t="shared" si="3"/>
        <v>307249</v>
      </c>
      <c r="Q22" s="79">
        <f t="shared" si="3"/>
        <v>1326049</v>
      </c>
    </row>
    <row r="23" spans="1:17">
      <c r="K23" s="73"/>
      <c r="L23" s="73"/>
      <c r="M23" s="73"/>
      <c r="N23" s="73"/>
      <c r="O23" s="73"/>
      <c r="P23" s="73"/>
      <c r="Q23" s="73"/>
    </row>
    <row r="24" spans="1:17">
      <c r="A24" s="71" t="s">
        <v>29</v>
      </c>
      <c r="K24" s="73"/>
      <c r="L24" s="73"/>
      <c r="M24" s="73"/>
      <c r="N24" s="73"/>
      <c r="O24" s="73"/>
      <c r="P24" s="73"/>
      <c r="Q24" s="73"/>
    </row>
    <row r="25" spans="1:17">
      <c r="C25" t="s">
        <v>155</v>
      </c>
      <c r="K25" s="88">
        <v>30672</v>
      </c>
      <c r="L25" s="88"/>
      <c r="M25" s="88"/>
      <c r="N25" s="88"/>
      <c r="O25" s="88"/>
      <c r="P25" s="88">
        <v>16306</v>
      </c>
      <c r="Q25" s="88">
        <f>SUM(K25:P25)</f>
        <v>46978</v>
      </c>
    </row>
    <row r="26" spans="1:17">
      <c r="K26" s="73"/>
      <c r="L26" s="73"/>
      <c r="M26" s="73"/>
      <c r="N26" s="73"/>
      <c r="O26" s="73"/>
      <c r="P26" s="73"/>
      <c r="Q26" s="73"/>
    </row>
    <row r="27" spans="1:17">
      <c r="B27" t="s">
        <v>31</v>
      </c>
      <c r="K27" s="73"/>
      <c r="L27" s="73"/>
      <c r="M27" s="73"/>
      <c r="N27" s="73"/>
      <c r="O27" s="73"/>
      <c r="P27" s="73"/>
      <c r="Q27" s="73"/>
    </row>
    <row r="28" spans="1:17">
      <c r="C28" t="s">
        <v>32</v>
      </c>
      <c r="K28" s="73"/>
      <c r="L28" s="73"/>
      <c r="M28" s="73"/>
      <c r="N28" s="73"/>
      <c r="O28" s="73"/>
      <c r="P28" s="73"/>
      <c r="Q28" s="73"/>
    </row>
    <row r="29" spans="1:17">
      <c r="D29" t="s">
        <v>69</v>
      </c>
      <c r="K29" s="73"/>
      <c r="L29" s="73"/>
      <c r="M29" s="73"/>
      <c r="N29" s="73"/>
      <c r="O29" s="73"/>
      <c r="P29" s="73">
        <v>3901978</v>
      </c>
      <c r="Q29" s="73">
        <f t="shared" ref="Q29:Q34" si="4">SUM(K29:P29)</f>
        <v>3901978</v>
      </c>
    </row>
    <row r="30" spans="1:17">
      <c r="D30" t="s">
        <v>70</v>
      </c>
      <c r="K30" s="73"/>
      <c r="L30" s="73">
        <v>5382472</v>
      </c>
      <c r="M30" s="73"/>
      <c r="N30" s="73"/>
      <c r="O30" s="73"/>
      <c r="P30" s="73">
        <v>1705234</v>
      </c>
      <c r="Q30" s="73">
        <f t="shared" si="4"/>
        <v>7087706</v>
      </c>
    </row>
    <row r="31" spans="1:17">
      <c r="D31" t="s">
        <v>147</v>
      </c>
      <c r="K31" s="73"/>
      <c r="L31" s="73"/>
      <c r="M31" s="73"/>
      <c r="N31" s="73">
        <v>23137</v>
      </c>
      <c r="O31" s="73"/>
      <c r="P31" s="73">
        <v>343571</v>
      </c>
      <c r="Q31" s="73">
        <f t="shared" si="4"/>
        <v>366708</v>
      </c>
    </row>
    <row r="32" spans="1:17">
      <c r="D32" t="s">
        <v>43</v>
      </c>
      <c r="K32" s="73"/>
      <c r="L32" s="73">
        <v>1552823</v>
      </c>
      <c r="M32" s="73"/>
      <c r="N32" s="73"/>
      <c r="O32" s="73">
        <v>1054038</v>
      </c>
      <c r="P32" s="73">
        <v>45316</v>
      </c>
      <c r="Q32" s="73">
        <f t="shared" si="4"/>
        <v>2652177</v>
      </c>
    </row>
    <row r="33" spans="3:17">
      <c r="D33" t="s">
        <v>44</v>
      </c>
      <c r="K33" s="73"/>
      <c r="L33" s="73"/>
      <c r="M33" s="73"/>
      <c r="N33" s="73"/>
      <c r="O33" s="73"/>
      <c r="P33" s="73">
        <v>2477</v>
      </c>
      <c r="Q33" s="73">
        <f t="shared" si="4"/>
        <v>2477</v>
      </c>
    </row>
    <row r="34" spans="3:17">
      <c r="D34" t="s">
        <v>68</v>
      </c>
      <c r="K34" s="73"/>
      <c r="L34" s="73"/>
      <c r="M34" s="73"/>
      <c r="N34" s="73"/>
      <c r="O34" s="73"/>
      <c r="P34" s="73">
        <v>1251900</v>
      </c>
      <c r="Q34" s="73">
        <f t="shared" si="4"/>
        <v>1251900</v>
      </c>
    </row>
    <row r="35" spans="3:17">
      <c r="C35" t="s">
        <v>390</v>
      </c>
      <c r="K35" s="73"/>
      <c r="L35" s="73"/>
      <c r="M35" s="73"/>
      <c r="N35" s="73"/>
      <c r="O35" s="73"/>
      <c r="P35" s="73"/>
      <c r="Q35" s="73"/>
    </row>
    <row r="36" spans="3:17">
      <c r="D36" t="s">
        <v>391</v>
      </c>
      <c r="K36" s="112">
        <v>538003</v>
      </c>
      <c r="L36" s="73"/>
      <c r="M36" s="73"/>
      <c r="N36" s="73"/>
      <c r="O36" s="73"/>
      <c r="P36" s="73"/>
      <c r="Q36" s="73">
        <f>SUM(K36:P36)</f>
        <v>538003</v>
      </c>
    </row>
    <row r="37" spans="3:17">
      <c r="C37" t="s">
        <v>48</v>
      </c>
      <c r="K37" s="86">
        <v>6504968</v>
      </c>
      <c r="L37" s="73"/>
      <c r="M37" s="73">
        <v>-292059</v>
      </c>
      <c r="N37" s="73"/>
      <c r="O37" s="73"/>
      <c r="P37" s="73">
        <v>-16361</v>
      </c>
      <c r="Q37" s="73">
        <f>SUM(K37:P37)</f>
        <v>6196548</v>
      </c>
    </row>
    <row r="38" spans="3:17">
      <c r="K38" s="73"/>
      <c r="L38" s="73"/>
      <c r="M38" s="73"/>
      <c r="N38" s="73"/>
      <c r="O38" s="73"/>
      <c r="P38" s="73"/>
      <c r="Q38" s="73"/>
    </row>
    <row r="39" spans="3:17" s="5" customFormat="1">
      <c r="D39" s="6"/>
      <c r="E39" s="6" t="s">
        <v>49</v>
      </c>
      <c r="K39" s="79">
        <f t="shared" ref="K39:Q39" si="5">SUM(K28:K37)</f>
        <v>7042971</v>
      </c>
      <c r="L39" s="79">
        <f t="shared" si="5"/>
        <v>6935295</v>
      </c>
      <c r="M39" s="79">
        <f t="shared" si="5"/>
        <v>-292059</v>
      </c>
      <c r="N39" s="79">
        <f t="shared" si="5"/>
        <v>23137</v>
      </c>
      <c r="O39" s="79">
        <f t="shared" si="5"/>
        <v>1054038</v>
      </c>
      <c r="P39" s="79">
        <f t="shared" si="5"/>
        <v>7234115</v>
      </c>
      <c r="Q39" s="79">
        <f t="shared" si="5"/>
        <v>21997497</v>
      </c>
    </row>
    <row r="40" spans="3:17">
      <c r="K40" s="73"/>
      <c r="L40" s="73"/>
      <c r="M40" s="73"/>
      <c r="N40" s="73"/>
      <c r="O40" s="73"/>
      <c r="P40" s="73"/>
      <c r="Q40" s="73"/>
    </row>
    <row r="41" spans="3:17" s="7" customFormat="1">
      <c r="D41" s="8"/>
      <c r="E41" s="8" t="s">
        <v>50</v>
      </c>
      <c r="K41" s="81">
        <f>K39+K25+K22</f>
        <v>7618052</v>
      </c>
      <c r="L41" s="81">
        <f t="shared" ref="L41" si="6">L39+L25+L22</f>
        <v>6935295</v>
      </c>
      <c r="M41" s="81">
        <f>M39+M25+M22</f>
        <v>182114</v>
      </c>
      <c r="N41" s="81">
        <f t="shared" ref="N41:Q41" si="7">N39+N25+N22</f>
        <v>23355</v>
      </c>
      <c r="O41" s="81">
        <f t="shared" si="7"/>
        <v>1054038</v>
      </c>
      <c r="P41" s="81">
        <f t="shared" si="7"/>
        <v>7557670</v>
      </c>
      <c r="Q41" s="81">
        <f t="shared" si="7"/>
        <v>23370524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44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7" width="19.42578125" customWidth="1"/>
    <col min="18" max="18" width="19.85546875" bestFit="1" customWidth="1"/>
  </cols>
  <sheetData>
    <row r="1" spans="1:18" ht="18.75">
      <c r="D1" s="125" t="s">
        <v>392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8">
      <c r="D3" s="57"/>
      <c r="E3" s="57"/>
      <c r="F3" s="57"/>
      <c r="G3" s="57"/>
      <c r="H3" s="57"/>
      <c r="I3" s="57" t="s">
        <v>393</v>
      </c>
      <c r="J3" s="57"/>
      <c r="K3" s="57"/>
    </row>
    <row r="4" spans="1:18" ht="36.75" customHeight="1"/>
    <row r="5" spans="1:18" ht="45">
      <c r="K5" s="1" t="s">
        <v>52</v>
      </c>
      <c r="L5" s="1" t="s">
        <v>394</v>
      </c>
      <c r="M5" s="1" t="s">
        <v>395</v>
      </c>
      <c r="N5" s="1" t="s">
        <v>124</v>
      </c>
      <c r="O5" s="1" t="s">
        <v>396</v>
      </c>
      <c r="P5" s="1" t="s">
        <v>397</v>
      </c>
      <c r="Q5" s="1" t="s">
        <v>8</v>
      </c>
      <c r="R5" s="1" t="s">
        <v>9</v>
      </c>
    </row>
    <row r="6" spans="1:18">
      <c r="A6" t="s">
        <v>10</v>
      </c>
    </row>
    <row r="7" spans="1:18">
      <c r="B7" t="s">
        <v>11</v>
      </c>
      <c r="K7" s="72">
        <v>3791000</v>
      </c>
      <c r="L7" s="73"/>
      <c r="M7" s="73"/>
      <c r="N7" s="73"/>
      <c r="O7" s="73">
        <v>696000</v>
      </c>
      <c r="P7" s="73">
        <v>689000</v>
      </c>
      <c r="Q7" s="73">
        <v>13466000</v>
      </c>
      <c r="R7" s="73">
        <f>SUM(K7:Q7)</f>
        <v>18642000</v>
      </c>
    </row>
    <row r="8" spans="1:18">
      <c r="B8" t="s">
        <v>12</v>
      </c>
      <c r="K8" s="73"/>
      <c r="L8" s="73"/>
      <c r="M8" s="73"/>
      <c r="N8" s="73"/>
      <c r="O8" s="73">
        <v>29084000</v>
      </c>
      <c r="P8" s="73">
        <v>22487000</v>
      </c>
      <c r="Q8" s="73">
        <v>3841000</v>
      </c>
      <c r="R8" s="73">
        <f>SUM(K8:Q8)</f>
        <v>55412000</v>
      </c>
    </row>
    <row r="9" spans="1:18">
      <c r="B9" t="s">
        <v>398</v>
      </c>
      <c r="K9" s="74">
        <v>13040000</v>
      </c>
      <c r="L9" s="73">
        <v>951000</v>
      </c>
      <c r="M9" s="73">
        <v>9783000</v>
      </c>
      <c r="N9" s="73">
        <v>25966000</v>
      </c>
      <c r="O9" s="73">
        <v>99675000</v>
      </c>
      <c r="P9" s="73">
        <v>92203000</v>
      </c>
      <c r="Q9" s="73">
        <v>194051000</v>
      </c>
      <c r="R9" s="73">
        <f>SUM(K9:Q9)</f>
        <v>435669000</v>
      </c>
    </row>
    <row r="10" spans="1:18">
      <c r="B10" t="s">
        <v>206</v>
      </c>
      <c r="K10" s="73"/>
      <c r="L10" s="73"/>
      <c r="M10" s="73"/>
      <c r="N10" s="73"/>
      <c r="O10" s="73"/>
      <c r="P10" s="73"/>
      <c r="Q10" s="73"/>
      <c r="R10" s="73">
        <f>SUM(K10:Q10)</f>
        <v>0</v>
      </c>
    </row>
    <row r="11" spans="1:18">
      <c r="B11" t="s">
        <v>398</v>
      </c>
      <c r="K11" s="73"/>
      <c r="L11" s="73"/>
      <c r="M11" s="73"/>
      <c r="N11" s="73"/>
      <c r="O11" s="73"/>
      <c r="P11" s="73"/>
      <c r="Q11" s="73"/>
      <c r="R11" s="73"/>
    </row>
    <row r="12" spans="1:18">
      <c r="C12" t="s">
        <v>399</v>
      </c>
      <c r="K12" s="73"/>
      <c r="L12" s="73"/>
      <c r="M12" s="73"/>
      <c r="N12" s="73"/>
      <c r="O12" s="73"/>
      <c r="P12" s="73">
        <v>4000</v>
      </c>
      <c r="Q12" s="73"/>
      <c r="R12" s="73">
        <f>SUM(K12:Q12)</f>
        <v>4000</v>
      </c>
    </row>
    <row r="13" spans="1:18">
      <c r="C13" t="s">
        <v>400</v>
      </c>
      <c r="K13" s="74">
        <v>4061000</v>
      </c>
      <c r="L13" s="73"/>
      <c r="M13" s="73">
        <v>37591000</v>
      </c>
      <c r="N13" s="73">
        <v>20598000</v>
      </c>
      <c r="O13" s="73"/>
      <c r="P13" s="73"/>
      <c r="Q13" s="73">
        <v>114007000</v>
      </c>
      <c r="R13" s="73">
        <f>SUM(K13:Q13)</f>
        <v>176257000</v>
      </c>
    </row>
    <row r="14" spans="1:18">
      <c r="C14" t="s">
        <v>313</v>
      </c>
      <c r="K14" s="74">
        <v>941000</v>
      </c>
      <c r="L14" s="73"/>
      <c r="M14" s="73"/>
      <c r="N14" s="73"/>
      <c r="O14" s="73"/>
      <c r="P14" s="73"/>
      <c r="Q14" s="73">
        <v>4274000</v>
      </c>
      <c r="R14" s="73">
        <f>SUM(K14:Q14)</f>
        <v>5215000</v>
      </c>
    </row>
    <row r="15" spans="1:18">
      <c r="C15" t="s">
        <v>401</v>
      </c>
      <c r="K15" s="74">
        <v>13207000</v>
      </c>
      <c r="L15" s="73">
        <v>17365000</v>
      </c>
      <c r="M15" s="73">
        <v>183000</v>
      </c>
      <c r="N15" s="73">
        <v>65000</v>
      </c>
      <c r="O15" s="73">
        <v>7499000</v>
      </c>
      <c r="P15" s="73">
        <v>1477000</v>
      </c>
      <c r="Q15" s="73">
        <v>25300000</v>
      </c>
      <c r="R15" s="73">
        <f>SUM(K15:Q15)</f>
        <v>65096000</v>
      </c>
    </row>
    <row r="16" spans="1:18">
      <c r="B16" t="s">
        <v>183</v>
      </c>
      <c r="K16" s="73"/>
      <c r="L16" s="73"/>
      <c r="M16" s="73"/>
      <c r="N16" s="73"/>
      <c r="O16" s="73"/>
      <c r="P16" s="73"/>
      <c r="Q16" s="73">
        <v>1739000</v>
      </c>
      <c r="R16" s="73">
        <f>SUM(K16:Q16)</f>
        <v>1739000</v>
      </c>
    </row>
    <row r="17" spans="1:18">
      <c r="B17" t="s">
        <v>402</v>
      </c>
      <c r="K17" s="83">
        <v>1159000</v>
      </c>
      <c r="L17" s="73"/>
      <c r="M17" s="73"/>
      <c r="N17" s="73"/>
      <c r="O17" s="73"/>
      <c r="P17" s="73"/>
      <c r="Q17" s="73"/>
      <c r="R17" s="73">
        <f t="shared" ref="R17" si="0">SUM(K17:N17)</f>
        <v>1159000</v>
      </c>
    </row>
    <row r="18" spans="1:18">
      <c r="K18" s="73"/>
      <c r="L18" s="73"/>
      <c r="M18" s="73"/>
      <c r="N18" s="73"/>
      <c r="O18" s="73"/>
      <c r="P18" s="73"/>
      <c r="Q18" s="73"/>
      <c r="R18" s="73"/>
    </row>
    <row r="19" spans="1:18" s="3" customFormat="1">
      <c r="E19" s="3" t="s">
        <v>129</v>
      </c>
      <c r="K19" s="76">
        <f t="shared" ref="K19:R19" si="1">SUM(K7:K17)</f>
        <v>36199000</v>
      </c>
      <c r="L19" s="76">
        <f t="shared" si="1"/>
        <v>18316000</v>
      </c>
      <c r="M19" s="76">
        <f t="shared" si="1"/>
        <v>47557000</v>
      </c>
      <c r="N19" s="76">
        <f t="shared" si="1"/>
        <v>46629000</v>
      </c>
      <c r="O19" s="76">
        <f t="shared" si="1"/>
        <v>136954000</v>
      </c>
      <c r="P19" s="76">
        <f t="shared" si="1"/>
        <v>116860000</v>
      </c>
      <c r="Q19" s="76">
        <f t="shared" si="1"/>
        <v>356678000</v>
      </c>
      <c r="R19" s="76">
        <f t="shared" si="1"/>
        <v>759193000</v>
      </c>
    </row>
    <row r="20" spans="1:18">
      <c r="K20" s="73"/>
      <c r="L20" s="73"/>
      <c r="M20" s="73"/>
      <c r="N20" s="73"/>
      <c r="O20" s="73"/>
      <c r="P20" s="73"/>
      <c r="Q20" s="73"/>
      <c r="R20" s="73"/>
    </row>
    <row r="21" spans="1:18">
      <c r="A21" s="98" t="s">
        <v>21</v>
      </c>
      <c r="K21" s="73"/>
      <c r="L21" s="73"/>
      <c r="M21" s="73"/>
      <c r="N21" s="73"/>
      <c r="O21" s="73"/>
      <c r="P21" s="73"/>
      <c r="Q21" s="73"/>
      <c r="R21" s="73"/>
    </row>
    <row r="22" spans="1:18">
      <c r="B22" t="s">
        <v>22</v>
      </c>
      <c r="K22" s="73"/>
      <c r="L22" s="73"/>
      <c r="M22" s="73"/>
      <c r="N22" s="73"/>
      <c r="O22" s="73"/>
      <c r="P22" s="73"/>
      <c r="Q22" s="73"/>
      <c r="R22" s="73"/>
    </row>
    <row r="23" spans="1:18">
      <c r="C23" t="s">
        <v>299</v>
      </c>
      <c r="K23" s="77">
        <v>2024000</v>
      </c>
      <c r="L23" s="73">
        <v>3953000</v>
      </c>
      <c r="M23" s="73">
        <v>201000</v>
      </c>
      <c r="N23" s="73">
        <v>317000</v>
      </c>
      <c r="O23" s="73">
        <v>2630000</v>
      </c>
      <c r="P23" s="73">
        <v>7324000</v>
      </c>
      <c r="Q23" s="73">
        <v>19762000</v>
      </c>
      <c r="R23" s="73">
        <f t="shared" ref="R23:R27" si="2">SUM(K23:Q23)</f>
        <v>36211000</v>
      </c>
    </row>
    <row r="24" spans="1:18">
      <c r="C24" t="s">
        <v>208</v>
      </c>
      <c r="K24" s="77">
        <v>25000</v>
      </c>
      <c r="L24" s="73">
        <v>236000</v>
      </c>
      <c r="M24" s="73"/>
      <c r="N24" s="73"/>
      <c r="O24" s="73">
        <v>2000</v>
      </c>
      <c r="P24" s="73"/>
      <c r="Q24" s="73">
        <v>1926000</v>
      </c>
      <c r="R24" s="73">
        <f t="shared" si="2"/>
        <v>2189000</v>
      </c>
    </row>
    <row r="25" spans="1:18">
      <c r="C25" t="s">
        <v>27</v>
      </c>
      <c r="K25" s="73"/>
      <c r="L25" s="73">
        <v>10985000</v>
      </c>
      <c r="M25" s="73"/>
      <c r="N25" s="73"/>
      <c r="O25" s="73"/>
      <c r="P25" s="73"/>
      <c r="Q25" s="73">
        <v>591000</v>
      </c>
      <c r="R25" s="73">
        <f t="shared" si="2"/>
        <v>11576000</v>
      </c>
    </row>
    <row r="26" spans="1:18">
      <c r="C26" t="s">
        <v>284</v>
      </c>
      <c r="K26" s="83">
        <v>81000</v>
      </c>
      <c r="L26" s="73"/>
      <c r="M26" s="73"/>
      <c r="N26" s="73"/>
      <c r="O26" s="73"/>
      <c r="P26" s="73"/>
      <c r="Q26" s="73"/>
      <c r="R26" s="73">
        <f t="shared" si="2"/>
        <v>81000</v>
      </c>
    </row>
    <row r="27" spans="1:18">
      <c r="C27" t="s">
        <v>403</v>
      </c>
      <c r="K27" s="77">
        <v>4036000</v>
      </c>
      <c r="L27" s="73"/>
      <c r="M27" s="73"/>
      <c r="N27" s="73"/>
      <c r="O27" s="73"/>
      <c r="P27" s="73"/>
      <c r="Q27" s="73"/>
      <c r="R27" s="73">
        <f t="shared" si="2"/>
        <v>4036000</v>
      </c>
    </row>
    <row r="28" spans="1:18">
      <c r="K28" s="73"/>
      <c r="L28" s="73"/>
      <c r="M28" s="73"/>
      <c r="N28" s="73"/>
      <c r="O28" s="73"/>
      <c r="P28" s="73"/>
      <c r="Q28" s="73"/>
      <c r="R28" s="73"/>
    </row>
    <row r="29" spans="1:18" s="5" customFormat="1">
      <c r="E29" s="5" t="s">
        <v>28</v>
      </c>
      <c r="K29" s="79">
        <f t="shared" ref="K29:R29" si="3">SUM(K23:K27)</f>
        <v>6166000</v>
      </c>
      <c r="L29" s="79">
        <f t="shared" si="3"/>
        <v>15174000</v>
      </c>
      <c r="M29" s="79">
        <f t="shared" si="3"/>
        <v>201000</v>
      </c>
      <c r="N29" s="79">
        <f t="shared" si="3"/>
        <v>317000</v>
      </c>
      <c r="O29" s="79">
        <f t="shared" si="3"/>
        <v>2632000</v>
      </c>
      <c r="P29" s="79">
        <f t="shared" si="3"/>
        <v>7324000</v>
      </c>
      <c r="Q29" s="79">
        <f t="shared" si="3"/>
        <v>22279000</v>
      </c>
      <c r="R29" s="79">
        <f t="shared" si="3"/>
        <v>54093000</v>
      </c>
    </row>
    <row r="30" spans="1:18">
      <c r="K30" s="73"/>
      <c r="L30" s="73"/>
      <c r="M30" s="73"/>
      <c r="N30" s="73"/>
      <c r="O30" s="73"/>
      <c r="P30" s="73"/>
      <c r="Q30" s="73"/>
      <c r="R30" s="73"/>
    </row>
    <row r="31" spans="1:18">
      <c r="A31" s="89" t="s">
        <v>29</v>
      </c>
      <c r="B31" s="89"/>
      <c r="C31" s="89"/>
      <c r="D31" s="89"/>
      <c r="E31" s="89"/>
      <c r="F31" s="89"/>
      <c r="G31" s="89"/>
      <c r="H31" s="89"/>
      <c r="K31" s="73"/>
      <c r="L31" s="73"/>
      <c r="M31" s="73"/>
      <c r="N31" s="73"/>
      <c r="O31" s="73"/>
      <c r="P31" s="73"/>
      <c r="Q31" s="73"/>
      <c r="R31" s="73"/>
    </row>
    <row r="32" spans="1:18">
      <c r="B32" t="s">
        <v>380</v>
      </c>
      <c r="K32" s="94">
        <v>4065000</v>
      </c>
      <c r="L32" s="95">
        <v>0</v>
      </c>
      <c r="M32" s="95">
        <v>37632000</v>
      </c>
      <c r="N32" s="95">
        <v>20617000</v>
      </c>
      <c r="O32" s="95">
        <v>3644000</v>
      </c>
      <c r="P32" s="95">
        <v>0</v>
      </c>
      <c r="Q32" s="95">
        <v>114112000</v>
      </c>
      <c r="R32" s="95">
        <f>SUM(K32:Q32)</f>
        <v>180070000</v>
      </c>
    </row>
    <row r="33" spans="2:18">
      <c r="E33" t="s">
        <v>381</v>
      </c>
      <c r="K33" s="96">
        <f>SUM(K32)</f>
        <v>4065000</v>
      </c>
      <c r="L33" s="97">
        <v>0</v>
      </c>
      <c r="M33" s="97">
        <f>SUM(M32)</f>
        <v>37632000</v>
      </c>
      <c r="N33" s="97">
        <f>SUM(N32)</f>
        <v>20617000</v>
      </c>
      <c r="O33" s="97">
        <f>SUM(O32)</f>
        <v>3644000</v>
      </c>
      <c r="P33" s="97">
        <v>0</v>
      </c>
      <c r="Q33" s="97">
        <f>SUM(Q32)</f>
        <v>114112000</v>
      </c>
      <c r="R33" s="97">
        <f>SUM(R32)</f>
        <v>180070000</v>
      </c>
    </row>
    <row r="35" spans="2:18">
      <c r="B35" t="s">
        <v>100</v>
      </c>
      <c r="K35" s="73"/>
      <c r="L35" s="73"/>
      <c r="M35" s="73"/>
      <c r="N35" s="73"/>
      <c r="O35" s="73"/>
      <c r="P35" s="73"/>
      <c r="Q35" s="73"/>
      <c r="R35" s="73"/>
    </row>
    <row r="36" spans="2:18">
      <c r="C36" t="s">
        <v>101</v>
      </c>
      <c r="K36" s="73"/>
      <c r="L36" s="73"/>
      <c r="M36" s="73"/>
      <c r="N36" s="73"/>
      <c r="O36" s="73"/>
      <c r="P36" s="73"/>
      <c r="Q36" s="73">
        <v>1740000</v>
      </c>
      <c r="R36" s="73">
        <f>SUM(K36:Q36)</f>
        <v>1740000</v>
      </c>
    </row>
    <row r="37" spans="2:18">
      <c r="C37" t="s">
        <v>383</v>
      </c>
      <c r="K37" s="80">
        <v>1681000</v>
      </c>
      <c r="L37" s="73">
        <v>3142000</v>
      </c>
      <c r="M37" s="73">
        <v>9724000</v>
      </c>
      <c r="N37" s="73">
        <v>25695000</v>
      </c>
      <c r="O37" s="73">
        <v>130678000</v>
      </c>
      <c r="P37" s="73">
        <v>109536000</v>
      </c>
      <c r="Q37" s="73">
        <v>124384000</v>
      </c>
      <c r="R37" s="73">
        <f>SUM(K37:Q37)</f>
        <v>404840000</v>
      </c>
    </row>
    <row r="38" spans="2:18">
      <c r="C38" t="s">
        <v>304</v>
      </c>
      <c r="K38" s="80">
        <v>9912000</v>
      </c>
      <c r="L38" s="73"/>
      <c r="M38" s="73"/>
      <c r="N38" s="73"/>
      <c r="O38" s="73"/>
      <c r="P38" s="73"/>
      <c r="Q38" s="73">
        <v>94164000</v>
      </c>
      <c r="R38" s="73">
        <f>SUM(K38:Q38)</f>
        <v>104076000</v>
      </c>
    </row>
    <row r="39" spans="2:18">
      <c r="C39" t="s">
        <v>119</v>
      </c>
      <c r="K39" s="99"/>
      <c r="L39" s="73"/>
      <c r="M39" s="73"/>
      <c r="N39" s="73"/>
      <c r="O39" s="73"/>
      <c r="P39" s="73"/>
      <c r="Q39" s="73"/>
      <c r="R39" s="73">
        <f>SUM(K39:Q39)</f>
        <v>0</v>
      </c>
    </row>
    <row r="40" spans="2:18">
      <c r="C40" t="s">
        <v>48</v>
      </c>
      <c r="K40" s="86">
        <v>14374000</v>
      </c>
      <c r="L40" s="73"/>
      <c r="M40" s="73"/>
      <c r="N40" s="73"/>
      <c r="O40" s="73"/>
      <c r="P40" s="73"/>
      <c r="Q40" s="73"/>
      <c r="R40" s="73">
        <f t="shared" ref="R40" si="4">SUM(K40:N40)</f>
        <v>14374000</v>
      </c>
    </row>
    <row r="41" spans="2:18">
      <c r="K41" s="73"/>
      <c r="L41" s="73"/>
      <c r="M41" s="73"/>
      <c r="N41" s="73"/>
      <c r="O41" s="73"/>
      <c r="P41" s="73"/>
      <c r="Q41" s="73"/>
      <c r="R41" s="73"/>
    </row>
    <row r="42" spans="2:18" s="5" customFormat="1">
      <c r="E42" s="5" t="s">
        <v>49</v>
      </c>
      <c r="K42" s="79">
        <f>SUM(K36:K41)</f>
        <v>25967000</v>
      </c>
      <c r="L42" s="79">
        <f>SUM(L37:L40)</f>
        <v>3142000</v>
      </c>
      <c r="M42" s="79">
        <f>SUM(M36:M40)</f>
        <v>9724000</v>
      </c>
      <c r="N42" s="79">
        <f>SUM(N37:N40)</f>
        <v>25695000</v>
      </c>
      <c r="O42" s="79">
        <f>SUM(O36:O40)</f>
        <v>130678000</v>
      </c>
      <c r="P42" s="79">
        <f>SUM(P36:P40)</f>
        <v>109536000</v>
      </c>
      <c r="Q42" s="79">
        <f>SUM(Q36:Q40)</f>
        <v>220288000</v>
      </c>
      <c r="R42" s="79">
        <f>SUM(R35:R40)</f>
        <v>525030000</v>
      </c>
    </row>
    <row r="43" spans="2:18">
      <c r="K43" s="73"/>
      <c r="L43" s="73"/>
      <c r="M43" s="73"/>
      <c r="N43" s="73"/>
      <c r="O43" s="73"/>
      <c r="P43" s="73"/>
      <c r="Q43" s="73"/>
      <c r="R43" s="73"/>
    </row>
    <row r="44" spans="2:18" s="7" customFormat="1">
      <c r="E44" s="7" t="s">
        <v>50</v>
      </c>
      <c r="K44" s="81">
        <f>SUM(K42,K29,K33)</f>
        <v>36198000</v>
      </c>
      <c r="L44" s="81">
        <f>SUM(L29,L42)</f>
        <v>18316000</v>
      </c>
      <c r="M44" s="81">
        <f>SUM(M29,M42,M33)</f>
        <v>47557000</v>
      </c>
      <c r="N44" s="81">
        <f>SUM(N29,N42,N33)</f>
        <v>46629000</v>
      </c>
      <c r="O44" s="81">
        <f>SUM(O42+O29+O33)</f>
        <v>136954000</v>
      </c>
      <c r="P44" s="81">
        <f>SUM(P42+P33+P29)</f>
        <v>116860000</v>
      </c>
      <c r="Q44" s="81">
        <f>SUM(Q42+Q29+Q33)</f>
        <v>356679000</v>
      </c>
      <c r="R44" s="81">
        <f>SUM(R29,R42,R33)</f>
        <v>759193000</v>
      </c>
    </row>
  </sheetData>
  <mergeCells count="2">
    <mergeCell ref="D1:K1"/>
    <mergeCell ref="D2:K2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32"/>
  <sheetViews>
    <sheetView workbookViewId="0">
      <selection activeCell="R32" sqref="R32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28515625" customWidth="1"/>
    <col min="13" max="13" width="14.85546875" customWidth="1"/>
    <col min="14" max="14" width="14.42578125" customWidth="1"/>
    <col min="15" max="16" width="16.42578125" customWidth="1"/>
    <col min="17" max="17" width="18" customWidth="1"/>
    <col min="18" max="18" width="17.28515625" customWidth="1"/>
  </cols>
  <sheetData>
    <row r="1" spans="1:18" ht="18.75">
      <c r="D1" s="125" t="s">
        <v>404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8" ht="48.75" customHeight="1">
      <c r="K4" s="1" t="s">
        <v>52</v>
      </c>
      <c r="L4" s="1" t="s">
        <v>245</v>
      </c>
      <c r="M4" s="1" t="s">
        <v>405</v>
      </c>
      <c r="N4" s="1" t="s">
        <v>406</v>
      </c>
      <c r="O4" s="1" t="s">
        <v>124</v>
      </c>
      <c r="P4" s="1" t="s">
        <v>258</v>
      </c>
      <c r="Q4" s="1" t="s">
        <v>8</v>
      </c>
      <c r="R4" s="1" t="s">
        <v>9</v>
      </c>
    </row>
    <row r="5" spans="1:18">
      <c r="A5" t="s">
        <v>10</v>
      </c>
    </row>
    <row r="6" spans="1:18">
      <c r="B6" t="s">
        <v>153</v>
      </c>
      <c r="K6" s="72">
        <v>346112</v>
      </c>
      <c r="L6" s="73"/>
      <c r="M6" s="73">
        <v>32856</v>
      </c>
      <c r="N6" s="73">
        <v>264955</v>
      </c>
      <c r="O6" s="73">
        <v>964889</v>
      </c>
      <c r="P6" s="73"/>
      <c r="Q6" s="73">
        <v>895887</v>
      </c>
      <c r="R6" s="73">
        <f>SUM(K6:Q6)</f>
        <v>2504699</v>
      </c>
    </row>
    <row r="7" spans="1:18">
      <c r="B7" t="s">
        <v>407</v>
      </c>
      <c r="K7" s="73"/>
      <c r="L7" s="73"/>
      <c r="M7" s="73"/>
      <c r="N7" s="73">
        <v>3783</v>
      </c>
      <c r="O7" s="73"/>
      <c r="P7" s="73"/>
      <c r="Q7" s="73">
        <v>3693</v>
      </c>
      <c r="R7" s="73">
        <f>SUM(K7:Q7)</f>
        <v>7476</v>
      </c>
    </row>
    <row r="8" spans="1:18">
      <c r="B8" t="s">
        <v>59</v>
      </c>
      <c r="K8" s="74">
        <v>377587</v>
      </c>
      <c r="L8" s="73">
        <v>657496</v>
      </c>
      <c r="M8" s="73">
        <v>501864</v>
      </c>
      <c r="N8" s="73">
        <v>620658</v>
      </c>
      <c r="O8" s="73">
        <v>588538</v>
      </c>
      <c r="P8" s="73">
        <v>792</v>
      </c>
      <c r="Q8" s="73">
        <v>619970</v>
      </c>
      <c r="R8" s="73">
        <f>SUM(K8:Q8)</f>
        <v>3366905</v>
      </c>
    </row>
    <row r="9" spans="1:18">
      <c r="K9" s="73"/>
      <c r="L9" s="73"/>
      <c r="M9" s="73"/>
      <c r="N9" s="73"/>
      <c r="O9" s="73"/>
      <c r="P9" s="73"/>
      <c r="Q9" s="73"/>
      <c r="R9" s="73"/>
    </row>
    <row r="10" spans="1:18" s="3" customFormat="1">
      <c r="A10" s="2"/>
      <c r="B10" s="2"/>
      <c r="C10" s="2"/>
      <c r="D10" s="2"/>
      <c r="E10" s="2" t="s">
        <v>20</v>
      </c>
      <c r="K10" s="76">
        <f t="shared" ref="K10:R10" si="0">SUM(K6:K8)</f>
        <v>723699</v>
      </c>
      <c r="L10" s="76">
        <f t="shared" si="0"/>
        <v>657496</v>
      </c>
      <c r="M10" s="76">
        <f t="shared" si="0"/>
        <v>534720</v>
      </c>
      <c r="N10" s="76">
        <f t="shared" si="0"/>
        <v>889396</v>
      </c>
      <c r="O10" s="76">
        <f t="shared" si="0"/>
        <v>1553427</v>
      </c>
      <c r="P10" s="76">
        <f t="shared" si="0"/>
        <v>792</v>
      </c>
      <c r="Q10" s="76">
        <f t="shared" si="0"/>
        <v>1519550</v>
      </c>
      <c r="R10" s="76">
        <f t="shared" si="0"/>
        <v>5879080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>
      <c r="A12" s="4" t="s">
        <v>21</v>
      </c>
      <c r="K12" s="73"/>
      <c r="L12" s="73"/>
      <c r="M12" s="73"/>
      <c r="N12" s="73"/>
      <c r="O12" s="73"/>
      <c r="P12" s="73"/>
      <c r="Q12" s="73"/>
      <c r="R12" s="73"/>
    </row>
    <row r="13" spans="1:18">
      <c r="B13" t="s">
        <v>22</v>
      </c>
      <c r="K13" s="73"/>
      <c r="L13" s="73"/>
      <c r="M13" s="73"/>
      <c r="N13" s="73"/>
      <c r="O13" s="73"/>
      <c r="P13" s="73"/>
      <c r="Q13" s="73"/>
      <c r="R13" s="73"/>
    </row>
    <row r="14" spans="1:18">
      <c r="C14" t="s">
        <v>330</v>
      </c>
      <c r="K14" s="73"/>
      <c r="L14" s="73">
        <v>40657</v>
      </c>
      <c r="M14" s="73"/>
      <c r="N14" s="73"/>
      <c r="O14" s="73"/>
      <c r="P14" s="73">
        <v>175701</v>
      </c>
      <c r="Q14" s="73"/>
      <c r="R14" s="73">
        <f>SUM(K14:Q14)</f>
        <v>216358</v>
      </c>
    </row>
    <row r="15" spans="1:18">
      <c r="C15" t="s">
        <v>23</v>
      </c>
      <c r="K15" s="77">
        <v>63104</v>
      </c>
      <c r="L15" s="73">
        <v>36913</v>
      </c>
      <c r="M15" s="73">
        <v>35818</v>
      </c>
      <c r="N15" s="73">
        <v>49488</v>
      </c>
      <c r="O15" s="73">
        <v>25662</v>
      </c>
      <c r="P15" s="73">
        <v>14391</v>
      </c>
      <c r="Q15" s="73">
        <v>49656</v>
      </c>
      <c r="R15" s="73">
        <f>SUM(K15:Q15)</f>
        <v>275032</v>
      </c>
    </row>
    <row r="16" spans="1:18">
      <c r="C16" t="s">
        <v>154</v>
      </c>
      <c r="K16" s="77">
        <v>28201</v>
      </c>
      <c r="L16" s="73">
        <v>3984</v>
      </c>
      <c r="M16" s="73">
        <v>635</v>
      </c>
      <c r="N16" s="73">
        <v>1062</v>
      </c>
      <c r="O16" s="73">
        <v>1576</v>
      </c>
      <c r="P16" s="73">
        <v>2182</v>
      </c>
      <c r="Q16" s="73">
        <v>215</v>
      </c>
      <c r="R16" s="73">
        <f>SUM(K16:Q16)</f>
        <v>37855</v>
      </c>
    </row>
    <row r="17" spans="2:18">
      <c r="K17" s="73"/>
      <c r="L17" s="73"/>
      <c r="M17" s="73"/>
      <c r="N17" s="73"/>
      <c r="O17" s="73"/>
      <c r="P17" s="73"/>
      <c r="Q17" s="73"/>
      <c r="R17" s="73"/>
    </row>
    <row r="18" spans="2:18" s="5" customFormat="1">
      <c r="B18" s="6"/>
      <c r="C18" s="6"/>
      <c r="D18" s="6"/>
      <c r="E18" s="6" t="s">
        <v>28</v>
      </c>
      <c r="K18" s="79">
        <f t="shared" ref="K18:R18" si="1">SUM(K14:K16)</f>
        <v>91305</v>
      </c>
      <c r="L18" s="79">
        <f t="shared" si="1"/>
        <v>81554</v>
      </c>
      <c r="M18" s="79">
        <f t="shared" si="1"/>
        <v>36453</v>
      </c>
      <c r="N18" s="79">
        <f t="shared" si="1"/>
        <v>50550</v>
      </c>
      <c r="O18" s="79">
        <f t="shared" si="1"/>
        <v>27238</v>
      </c>
      <c r="P18" s="79">
        <f t="shared" si="1"/>
        <v>192274</v>
      </c>
      <c r="Q18" s="79">
        <f t="shared" si="1"/>
        <v>49871</v>
      </c>
      <c r="R18" s="79">
        <f t="shared" si="1"/>
        <v>529245</v>
      </c>
    </row>
    <row r="19" spans="2:18">
      <c r="K19" s="73"/>
      <c r="L19" s="73"/>
      <c r="M19" s="73"/>
      <c r="N19" s="73"/>
      <c r="O19" s="73"/>
      <c r="P19" s="73"/>
      <c r="Q19" s="73"/>
      <c r="R19" s="73"/>
    </row>
    <row r="20" spans="2:18">
      <c r="B20" t="s">
        <v>31</v>
      </c>
      <c r="K20" s="73"/>
      <c r="L20" s="73"/>
      <c r="M20" s="73"/>
      <c r="N20" s="73"/>
      <c r="O20" s="73"/>
      <c r="P20" s="73"/>
      <c r="Q20" s="73"/>
      <c r="R20" s="73"/>
    </row>
    <row r="21" spans="2:18">
      <c r="C21" t="s">
        <v>101</v>
      </c>
      <c r="K21" s="73"/>
      <c r="L21" s="73"/>
      <c r="M21" s="73"/>
      <c r="N21" s="73">
        <v>9146</v>
      </c>
      <c r="O21" s="73"/>
      <c r="P21" s="73"/>
      <c r="Q21" s="73">
        <v>3693</v>
      </c>
      <c r="R21" s="73">
        <f>SUM(K21:Q21)</f>
        <v>12839</v>
      </c>
    </row>
    <row r="22" spans="2:18">
      <c r="C22" t="s">
        <v>66</v>
      </c>
      <c r="K22" s="73"/>
      <c r="L22" s="73"/>
      <c r="M22" s="73"/>
      <c r="N22" s="73"/>
      <c r="O22" s="73"/>
      <c r="P22" s="73"/>
      <c r="Q22" s="73"/>
      <c r="R22" s="73"/>
    </row>
    <row r="23" spans="2:18">
      <c r="D23" t="s">
        <v>68</v>
      </c>
      <c r="K23" s="73"/>
      <c r="L23" s="73"/>
      <c r="M23" s="73">
        <v>498267</v>
      </c>
      <c r="N23" s="73"/>
      <c r="O23" s="73"/>
      <c r="P23" s="73"/>
      <c r="Q23" s="73"/>
      <c r="R23" s="73">
        <f t="shared" ref="R23:R28" si="2">SUM(K23:Q23)</f>
        <v>498267</v>
      </c>
    </row>
    <row r="24" spans="2:18">
      <c r="D24" t="s">
        <v>70</v>
      </c>
      <c r="K24" s="73"/>
      <c r="L24" s="73">
        <v>575942</v>
      </c>
      <c r="M24" s="73"/>
      <c r="N24" s="73">
        <v>829700</v>
      </c>
      <c r="O24" s="73"/>
      <c r="P24" s="73"/>
      <c r="Q24" s="73">
        <v>1169692</v>
      </c>
      <c r="R24" s="73">
        <f t="shared" si="2"/>
        <v>2575334</v>
      </c>
    </row>
    <row r="25" spans="2:18">
      <c r="D25" t="s">
        <v>147</v>
      </c>
      <c r="K25" s="73"/>
      <c r="L25" s="73"/>
      <c r="M25" s="73"/>
      <c r="N25" s="73"/>
      <c r="O25" s="73"/>
      <c r="P25" s="73"/>
      <c r="Q25" s="73">
        <v>211954</v>
      </c>
      <c r="R25" s="73">
        <f t="shared" si="2"/>
        <v>211954</v>
      </c>
    </row>
    <row r="26" spans="2:18">
      <c r="D26" t="s">
        <v>109</v>
      </c>
      <c r="K26" s="73"/>
      <c r="L26" s="73"/>
      <c r="M26" s="73"/>
      <c r="N26" s="73"/>
      <c r="O26" s="73">
        <v>1526189</v>
      </c>
      <c r="P26" s="73"/>
      <c r="Q26" s="73"/>
      <c r="R26" s="73">
        <f t="shared" si="2"/>
        <v>1526189</v>
      </c>
    </row>
    <row r="27" spans="2:18">
      <c r="C27" t="s">
        <v>304</v>
      </c>
      <c r="K27" s="80">
        <v>4262</v>
      </c>
      <c r="L27" s="73"/>
      <c r="M27" s="73"/>
      <c r="N27" s="73"/>
      <c r="O27" s="73"/>
      <c r="P27" s="73"/>
      <c r="Q27" s="73">
        <v>84340</v>
      </c>
      <c r="R27" s="73">
        <f t="shared" si="2"/>
        <v>88602</v>
      </c>
    </row>
    <row r="28" spans="2:18">
      <c r="C28" t="s">
        <v>48</v>
      </c>
      <c r="K28" s="86">
        <v>628132</v>
      </c>
      <c r="L28" s="73"/>
      <c r="M28" s="73"/>
      <c r="N28" s="73"/>
      <c r="O28" s="73"/>
      <c r="P28" s="73">
        <v>-191482</v>
      </c>
      <c r="Q28" s="73"/>
      <c r="R28" s="73">
        <f t="shared" si="2"/>
        <v>436650</v>
      </c>
    </row>
    <row r="29" spans="2:18">
      <c r="K29" s="73"/>
      <c r="L29" s="73"/>
      <c r="M29" s="73"/>
      <c r="N29" s="73"/>
      <c r="O29" s="73"/>
      <c r="P29" s="73"/>
      <c r="Q29" s="73"/>
      <c r="R29" s="73"/>
    </row>
    <row r="30" spans="2:18" s="5" customFormat="1">
      <c r="D30" s="6"/>
      <c r="E30" s="6" t="s">
        <v>49</v>
      </c>
      <c r="K30" s="79">
        <f t="shared" ref="K30:R30" si="3">SUM(K21:K28)</f>
        <v>632394</v>
      </c>
      <c r="L30" s="79">
        <f t="shared" si="3"/>
        <v>575942</v>
      </c>
      <c r="M30" s="79">
        <f t="shared" si="3"/>
        <v>498267</v>
      </c>
      <c r="N30" s="79">
        <f t="shared" si="3"/>
        <v>838846</v>
      </c>
      <c r="O30" s="79">
        <f t="shared" si="3"/>
        <v>1526189</v>
      </c>
      <c r="P30" s="79">
        <f t="shared" si="3"/>
        <v>-191482</v>
      </c>
      <c r="Q30" s="79">
        <f t="shared" si="3"/>
        <v>1469679</v>
      </c>
      <c r="R30" s="79">
        <f t="shared" si="3"/>
        <v>5349835</v>
      </c>
    </row>
    <row r="31" spans="2:18">
      <c r="K31" s="73"/>
      <c r="L31" s="73"/>
      <c r="M31" s="73"/>
      <c r="N31" s="73"/>
      <c r="O31" s="73"/>
      <c r="P31" s="73"/>
      <c r="Q31" s="73"/>
      <c r="R31" s="73"/>
    </row>
    <row r="32" spans="2:18" s="7" customFormat="1">
      <c r="D32" s="8"/>
      <c r="E32" s="8" t="s">
        <v>50</v>
      </c>
      <c r="K32" s="81">
        <f t="shared" ref="K32:R32" si="4">K30+K18</f>
        <v>723699</v>
      </c>
      <c r="L32" s="81">
        <f t="shared" si="4"/>
        <v>657496</v>
      </c>
      <c r="M32" s="81">
        <f t="shared" si="4"/>
        <v>534720</v>
      </c>
      <c r="N32" s="81">
        <f t="shared" si="4"/>
        <v>889396</v>
      </c>
      <c r="O32" s="81">
        <f t="shared" si="4"/>
        <v>1553427</v>
      </c>
      <c r="P32" s="81">
        <f t="shared" si="4"/>
        <v>792</v>
      </c>
      <c r="Q32" s="81">
        <f t="shared" si="4"/>
        <v>1519550</v>
      </c>
      <c r="R32" s="81">
        <f t="shared" si="4"/>
        <v>5879080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53"/>
  <sheetViews>
    <sheetView topLeftCell="A13" workbookViewId="0">
      <selection activeCell="D3" sqref="D3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6.42578125" customWidth="1"/>
    <col min="13" max="13" width="19.42578125" customWidth="1"/>
    <col min="14" max="14" width="19.85546875" bestFit="1" customWidth="1"/>
  </cols>
  <sheetData>
    <row r="1" spans="1:14" ht="18.75">
      <c r="D1" s="125" t="s">
        <v>408</v>
      </c>
      <c r="E1" s="125"/>
      <c r="F1" s="125"/>
      <c r="G1" s="125"/>
      <c r="H1" s="125"/>
      <c r="I1" s="125"/>
      <c r="J1" s="125"/>
      <c r="K1" s="125"/>
    </row>
    <row r="2" spans="1:14">
      <c r="D2" s="126" t="s">
        <v>290</v>
      </c>
      <c r="E2" s="126"/>
      <c r="F2" s="126"/>
      <c r="G2" s="126"/>
      <c r="H2" s="126"/>
      <c r="I2" s="126"/>
      <c r="J2" s="126"/>
      <c r="K2" s="126"/>
    </row>
    <row r="4" spans="1:14" ht="45">
      <c r="K4" s="1" t="s">
        <v>2</v>
      </c>
      <c r="L4" s="1" t="s">
        <v>409</v>
      </c>
      <c r="M4" s="1" t="s">
        <v>8</v>
      </c>
      <c r="N4" s="1" t="s">
        <v>9</v>
      </c>
    </row>
    <row r="5" spans="1:14">
      <c r="A5" t="s">
        <v>10</v>
      </c>
    </row>
    <row r="6" spans="1:14">
      <c r="B6" t="s">
        <v>410</v>
      </c>
      <c r="K6" s="72">
        <v>1116295</v>
      </c>
      <c r="L6" s="73">
        <v>1164918</v>
      </c>
      <c r="M6" s="73">
        <v>8483066</v>
      </c>
      <c r="N6" s="73">
        <f t="shared" ref="N6:N17" si="0">SUM(K6:M6)</f>
        <v>10764279</v>
      </c>
    </row>
    <row r="7" spans="1:14">
      <c r="B7" t="s">
        <v>12</v>
      </c>
      <c r="K7" s="77">
        <v>26766265</v>
      </c>
      <c r="L7" s="73">
        <v>27360596</v>
      </c>
      <c r="M7" s="73">
        <v>217211552</v>
      </c>
      <c r="N7" s="73">
        <f t="shared" si="0"/>
        <v>271338413</v>
      </c>
    </row>
    <row r="8" spans="1:14">
      <c r="B8" t="s">
        <v>398</v>
      </c>
      <c r="K8" s="74">
        <v>1424075</v>
      </c>
      <c r="L8" s="73">
        <v>5000</v>
      </c>
      <c r="M8" s="73">
        <v>565371</v>
      </c>
      <c r="N8" s="73">
        <f t="shared" si="0"/>
        <v>1994446</v>
      </c>
    </row>
    <row r="9" spans="1:14">
      <c r="B9" t="s">
        <v>206</v>
      </c>
      <c r="K9" s="73"/>
      <c r="L9" s="73"/>
      <c r="M9" s="73">
        <v>2203058</v>
      </c>
      <c r="N9" s="73">
        <f t="shared" si="0"/>
        <v>2203058</v>
      </c>
    </row>
    <row r="10" spans="1:14">
      <c r="B10" t="s">
        <v>411</v>
      </c>
      <c r="K10" s="73"/>
      <c r="L10" s="73"/>
      <c r="M10" s="73">
        <v>-62647</v>
      </c>
      <c r="N10" s="73">
        <f t="shared" si="0"/>
        <v>-62647</v>
      </c>
    </row>
    <row r="11" spans="1:14">
      <c r="B11" t="s">
        <v>412</v>
      </c>
      <c r="K11" s="73"/>
      <c r="L11" s="73"/>
      <c r="M11" s="73">
        <v>273120</v>
      </c>
      <c r="N11" s="73">
        <f t="shared" si="0"/>
        <v>273120</v>
      </c>
    </row>
    <row r="12" spans="1:14">
      <c r="B12" t="s">
        <v>298</v>
      </c>
      <c r="K12" s="74">
        <v>28651</v>
      </c>
      <c r="L12" s="73">
        <v>29288</v>
      </c>
      <c r="M12" s="73">
        <v>244031</v>
      </c>
      <c r="N12" s="73">
        <f t="shared" si="0"/>
        <v>301970</v>
      </c>
    </row>
    <row r="13" spans="1:14">
      <c r="B13" t="s">
        <v>18</v>
      </c>
      <c r="K13" s="75">
        <v>3771741</v>
      </c>
      <c r="L13" s="73">
        <v>4312314</v>
      </c>
      <c r="M13" s="73">
        <v>2542283</v>
      </c>
      <c r="N13" s="73">
        <f t="shared" si="0"/>
        <v>10626338</v>
      </c>
    </row>
    <row r="14" spans="1:14">
      <c r="B14" t="s">
        <v>19</v>
      </c>
      <c r="K14" s="75">
        <v>177735</v>
      </c>
      <c r="L14" s="73"/>
      <c r="M14" s="73"/>
      <c r="N14" s="73">
        <f t="shared" si="0"/>
        <v>177735</v>
      </c>
    </row>
    <row r="15" spans="1:14">
      <c r="B15" t="s">
        <v>359</v>
      </c>
      <c r="K15" s="75">
        <v>878798</v>
      </c>
      <c r="L15" s="73"/>
      <c r="M15" s="73">
        <v>10644753</v>
      </c>
      <c r="N15" s="73">
        <f t="shared" si="0"/>
        <v>11523551</v>
      </c>
    </row>
    <row r="16" spans="1:14">
      <c r="B16" t="s">
        <v>413</v>
      </c>
      <c r="K16" s="73"/>
      <c r="L16" s="73">
        <v>238224</v>
      </c>
      <c r="M16" s="73">
        <v>21878</v>
      </c>
      <c r="N16" s="73">
        <f t="shared" si="0"/>
        <v>260102</v>
      </c>
    </row>
    <row r="17" spans="1:14">
      <c r="B17" t="s">
        <v>207</v>
      </c>
      <c r="K17" s="85">
        <v>2583</v>
      </c>
      <c r="L17" s="73"/>
      <c r="M17" s="73">
        <v>44984</v>
      </c>
      <c r="N17" s="73">
        <f t="shared" si="0"/>
        <v>47567</v>
      </c>
    </row>
    <row r="18" spans="1:14">
      <c r="K18" s="73"/>
      <c r="L18" s="73"/>
      <c r="M18" s="73"/>
      <c r="N18" s="73"/>
    </row>
    <row r="19" spans="1:14" s="3" customFormat="1">
      <c r="A19" s="2"/>
      <c r="B19" s="2"/>
      <c r="C19" s="2"/>
      <c r="D19" s="2"/>
      <c r="E19" s="2" t="s">
        <v>20</v>
      </c>
      <c r="K19" s="76">
        <f>SUM(K6:K17)</f>
        <v>34166143</v>
      </c>
      <c r="L19" s="76">
        <f>SUM(L6:L17)</f>
        <v>33110340</v>
      </c>
      <c r="M19" s="76">
        <f>SUM(M6:M18)</f>
        <v>242171449</v>
      </c>
      <c r="N19" s="76">
        <f>SUM(N6:N17)</f>
        <v>309447932</v>
      </c>
    </row>
    <row r="20" spans="1:14">
      <c r="K20" s="73"/>
      <c r="L20" s="73"/>
      <c r="M20" s="73"/>
      <c r="N20" s="73"/>
    </row>
    <row r="21" spans="1:14">
      <c r="A21" s="4" t="s">
        <v>21</v>
      </c>
      <c r="K21" s="73"/>
      <c r="L21" s="73"/>
      <c r="M21" s="73"/>
      <c r="N21" s="73"/>
    </row>
    <row r="22" spans="1:14">
      <c r="B22" t="s">
        <v>22</v>
      </c>
      <c r="K22" s="73"/>
      <c r="L22" s="73"/>
      <c r="M22" s="73"/>
      <c r="N22" s="73"/>
    </row>
    <row r="23" spans="1:14">
      <c r="C23" t="s">
        <v>330</v>
      </c>
      <c r="K23" s="73"/>
      <c r="L23" s="73"/>
      <c r="M23" s="73">
        <v>2980058</v>
      </c>
      <c r="N23" s="73">
        <f t="shared" ref="N23:N33" si="1">SUM(K23:M23)</f>
        <v>2980058</v>
      </c>
    </row>
    <row r="24" spans="1:14">
      <c r="C24" t="s">
        <v>23</v>
      </c>
      <c r="K24" s="77">
        <v>868695</v>
      </c>
      <c r="L24" s="73">
        <v>665618</v>
      </c>
      <c r="M24" s="73">
        <v>1177697</v>
      </c>
      <c r="N24" s="73">
        <f t="shared" si="1"/>
        <v>2712010</v>
      </c>
    </row>
    <row r="25" spans="1:14">
      <c r="C25" t="s">
        <v>414</v>
      </c>
      <c r="K25" s="77">
        <v>2321112</v>
      </c>
      <c r="L25" s="73">
        <v>110052</v>
      </c>
      <c r="M25" s="73">
        <v>855468</v>
      </c>
      <c r="N25" s="73">
        <f t="shared" si="1"/>
        <v>3286632</v>
      </c>
    </row>
    <row r="26" spans="1:14">
      <c r="C26" t="s">
        <v>184</v>
      </c>
      <c r="K26" s="77">
        <v>830783</v>
      </c>
      <c r="L26" s="73"/>
      <c r="M26" s="73"/>
      <c r="N26" s="73">
        <f t="shared" si="1"/>
        <v>830783</v>
      </c>
    </row>
    <row r="27" spans="1:14">
      <c r="C27" t="s">
        <v>90</v>
      </c>
      <c r="K27" s="73"/>
      <c r="L27" s="73"/>
      <c r="M27" s="73">
        <v>2352712</v>
      </c>
      <c r="N27" s="73">
        <f t="shared" si="1"/>
        <v>2352712</v>
      </c>
    </row>
    <row r="28" spans="1:14">
      <c r="C28" t="s">
        <v>24</v>
      </c>
      <c r="K28" s="77">
        <v>6238</v>
      </c>
      <c r="L28" s="73">
        <v>314687</v>
      </c>
      <c r="M28" s="73">
        <v>1746489</v>
      </c>
      <c r="N28" s="73">
        <f t="shared" si="1"/>
        <v>2067414</v>
      </c>
    </row>
    <row r="29" spans="1:14">
      <c r="C29" t="s">
        <v>370</v>
      </c>
      <c r="K29" s="77">
        <v>311513</v>
      </c>
      <c r="L29" s="73"/>
      <c r="M29" s="73">
        <v>113872</v>
      </c>
      <c r="N29" s="73">
        <f t="shared" si="1"/>
        <v>425385</v>
      </c>
    </row>
    <row r="30" spans="1:14">
      <c r="C30" t="s">
        <v>27</v>
      </c>
      <c r="K30" s="78">
        <v>1089171</v>
      </c>
      <c r="L30" s="73">
        <v>89419</v>
      </c>
      <c r="M30" s="73">
        <v>9630932</v>
      </c>
      <c r="N30" s="73">
        <f t="shared" si="1"/>
        <v>10809522</v>
      </c>
    </row>
    <row r="31" spans="1:14">
      <c r="C31" t="s">
        <v>185</v>
      </c>
      <c r="K31" s="78">
        <v>73188</v>
      </c>
      <c r="L31" s="73"/>
      <c r="M31" s="73"/>
      <c r="N31" s="73">
        <f t="shared" si="1"/>
        <v>73188</v>
      </c>
    </row>
    <row r="32" spans="1:14">
      <c r="C32" t="s">
        <v>361</v>
      </c>
      <c r="K32" s="73"/>
      <c r="L32" s="73"/>
      <c r="M32" s="73">
        <v>714973</v>
      </c>
      <c r="N32" s="73">
        <f t="shared" si="1"/>
        <v>714973</v>
      </c>
    </row>
    <row r="33" spans="2:14">
      <c r="C33" t="s">
        <v>132</v>
      </c>
      <c r="K33" s="84">
        <v>6461</v>
      </c>
      <c r="L33" s="73">
        <v>31005</v>
      </c>
      <c r="M33" s="73">
        <v>243642</v>
      </c>
      <c r="N33" s="73">
        <f t="shared" si="1"/>
        <v>281108</v>
      </c>
    </row>
    <row r="34" spans="2:14">
      <c r="K34" s="73"/>
      <c r="L34" s="73"/>
      <c r="M34" s="73"/>
      <c r="N34" s="73"/>
    </row>
    <row r="35" spans="2:14" s="5" customFormat="1">
      <c r="B35" s="6"/>
      <c r="C35" s="6"/>
      <c r="D35" s="6"/>
      <c r="E35" s="6" t="s">
        <v>28</v>
      </c>
      <c r="K35" s="79">
        <f>SUM(K23:K33)</f>
        <v>5507161</v>
      </c>
      <c r="L35" s="79">
        <f>SUM(L23:L33)</f>
        <v>1210781</v>
      </c>
      <c r="M35" s="79">
        <f>SUM(M23:M33)</f>
        <v>19815843</v>
      </c>
      <c r="N35" s="79">
        <f>SUM(N23:N33)</f>
        <v>26533785</v>
      </c>
    </row>
    <row r="36" spans="2:14">
      <c r="K36" s="73"/>
      <c r="L36" s="73"/>
      <c r="M36" s="73"/>
      <c r="N36" s="73"/>
    </row>
    <row r="37" spans="2:14">
      <c r="B37" t="s">
        <v>100</v>
      </c>
      <c r="K37" s="73"/>
      <c r="L37" s="73"/>
      <c r="M37" s="73"/>
      <c r="N37" s="73"/>
    </row>
    <row r="38" spans="2:14">
      <c r="C38" t="s">
        <v>415</v>
      </c>
      <c r="K38" s="73"/>
      <c r="L38" s="73"/>
      <c r="M38" s="73"/>
      <c r="N38" s="73"/>
    </row>
    <row r="39" spans="2:14">
      <c r="D39" t="s">
        <v>183</v>
      </c>
      <c r="K39" s="73"/>
      <c r="L39" s="73">
        <v>238224</v>
      </c>
      <c r="M39" s="73"/>
      <c r="N39" s="73">
        <f>SUM(K39:M39)</f>
        <v>238224</v>
      </c>
    </row>
    <row r="40" spans="2:14">
      <c r="D40" t="s">
        <v>207</v>
      </c>
      <c r="K40" s="80">
        <v>2583</v>
      </c>
      <c r="L40" s="73"/>
      <c r="M40" s="73">
        <v>44984</v>
      </c>
      <c r="N40" s="73">
        <f>SUM(K40:M40)</f>
        <v>47567</v>
      </c>
    </row>
    <row r="41" spans="2:14">
      <c r="C41" t="s">
        <v>416</v>
      </c>
      <c r="K41" s="73"/>
      <c r="L41" s="73"/>
      <c r="M41" s="73"/>
      <c r="N41" s="73"/>
    </row>
    <row r="42" spans="2:14">
      <c r="D42" t="s">
        <v>43</v>
      </c>
      <c r="K42" s="73"/>
      <c r="L42" s="73"/>
      <c r="M42" s="73">
        <v>46792726</v>
      </c>
      <c r="N42" s="73">
        <f>SUM(K42:M42)</f>
        <v>46792726</v>
      </c>
    </row>
    <row r="43" spans="2:14">
      <c r="C43" t="s">
        <v>417</v>
      </c>
      <c r="K43" s="73"/>
      <c r="L43" s="73"/>
      <c r="M43" s="73"/>
      <c r="N43" s="73"/>
    </row>
    <row r="44" spans="2:14">
      <c r="D44" t="s">
        <v>418</v>
      </c>
      <c r="K44" s="80">
        <v>1281910</v>
      </c>
      <c r="L44" s="73">
        <v>19767085</v>
      </c>
      <c r="M44" s="73">
        <v>124687212</v>
      </c>
      <c r="N44" s="73">
        <f t="shared" ref="N44:N49" si="2">SUM(K44:M44)</f>
        <v>145736207</v>
      </c>
    </row>
    <row r="45" spans="2:14">
      <c r="C45" t="s">
        <v>419</v>
      </c>
      <c r="K45" s="73"/>
      <c r="L45" s="73"/>
      <c r="M45" s="73"/>
      <c r="N45" s="73"/>
    </row>
    <row r="46" spans="2:14">
      <c r="D46" t="s">
        <v>420</v>
      </c>
      <c r="K46" s="73"/>
      <c r="L46" s="73"/>
      <c r="M46" s="73">
        <v>4698739</v>
      </c>
      <c r="N46" s="73">
        <f t="shared" si="2"/>
        <v>4698739</v>
      </c>
    </row>
    <row r="47" spans="2:14">
      <c r="D47" t="s">
        <v>421</v>
      </c>
      <c r="K47" s="73"/>
      <c r="L47" s="73"/>
      <c r="M47" s="73">
        <v>3761469</v>
      </c>
      <c r="N47" s="73">
        <f t="shared" si="2"/>
        <v>3761469</v>
      </c>
    </row>
    <row r="48" spans="2:14">
      <c r="D48" t="s">
        <v>194</v>
      </c>
      <c r="K48" s="82">
        <v>1158166</v>
      </c>
      <c r="L48" s="73">
        <v>11894250</v>
      </c>
      <c r="M48" s="73">
        <v>42370476</v>
      </c>
      <c r="N48" s="73">
        <f t="shared" si="2"/>
        <v>55422892</v>
      </c>
    </row>
    <row r="49" spans="3:14">
      <c r="C49" t="s">
        <v>48</v>
      </c>
      <c r="K49" s="86">
        <v>26216323</v>
      </c>
      <c r="L49" s="73"/>
      <c r="M49" s="73"/>
      <c r="N49" s="73">
        <f t="shared" si="2"/>
        <v>26216323</v>
      </c>
    </row>
    <row r="50" spans="3:14">
      <c r="K50" s="73"/>
      <c r="L50" s="73"/>
      <c r="M50" s="73"/>
      <c r="N50" s="73"/>
    </row>
    <row r="51" spans="3:14" s="5" customFormat="1">
      <c r="D51" s="6"/>
      <c r="E51" s="6" t="s">
        <v>49</v>
      </c>
      <c r="K51" s="79">
        <f>SUM(K39:K49)</f>
        <v>28658982</v>
      </c>
      <c r="L51" s="79">
        <f>SUM(L39:L49)</f>
        <v>31899559</v>
      </c>
      <c r="M51" s="79">
        <f>SUM(M39:M49)</f>
        <v>222355606</v>
      </c>
      <c r="N51" s="79">
        <f>SUM(N38:N49)</f>
        <v>282914147</v>
      </c>
    </row>
    <row r="52" spans="3:14">
      <c r="K52" s="73"/>
      <c r="L52" s="73"/>
      <c r="M52" s="73"/>
      <c r="N52" s="73"/>
    </row>
    <row r="53" spans="3:14" s="7" customFormat="1">
      <c r="D53" s="8"/>
      <c r="E53" s="8" t="s">
        <v>50</v>
      </c>
      <c r="K53" s="81">
        <f>SUM(K51,K35)</f>
        <v>34166143</v>
      </c>
      <c r="L53" s="81">
        <f>SUM(L35,L51)</f>
        <v>33110340</v>
      </c>
      <c r="M53" s="81">
        <f>SUM(M35,M51)</f>
        <v>242171449</v>
      </c>
      <c r="N53" s="81">
        <f>SUM(N35,N51)</f>
        <v>309447932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44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7.140625" customWidth="1"/>
    <col min="15" max="15" width="19.42578125" customWidth="1"/>
    <col min="16" max="16" width="17.42578125" customWidth="1"/>
    <col min="17" max="17" width="19.42578125" customWidth="1"/>
    <col min="18" max="18" width="19.85546875" bestFit="1" customWidth="1"/>
  </cols>
  <sheetData>
    <row r="1" spans="1:18" ht="18.75">
      <c r="D1" s="125" t="s">
        <v>422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K4" s="127" t="s">
        <v>423</v>
      </c>
      <c r="L4" s="127"/>
      <c r="M4" s="127"/>
    </row>
    <row r="5" spans="1:18" ht="30">
      <c r="K5" s="1" t="s">
        <v>2</v>
      </c>
      <c r="L5" s="1" t="s">
        <v>309</v>
      </c>
      <c r="M5" s="1" t="s">
        <v>112</v>
      </c>
      <c r="N5" s="1" t="s">
        <v>424</v>
      </c>
      <c r="O5" s="1" t="s">
        <v>425</v>
      </c>
      <c r="P5" s="1" t="s">
        <v>292</v>
      </c>
      <c r="Q5" s="1" t="s">
        <v>426</v>
      </c>
      <c r="R5" s="1" t="s">
        <v>427</v>
      </c>
    </row>
    <row r="6" spans="1:18">
      <c r="A6" t="s">
        <v>10</v>
      </c>
    </row>
    <row r="7" spans="1:18">
      <c r="B7" t="s">
        <v>163</v>
      </c>
      <c r="K7" s="72">
        <v>2330101</v>
      </c>
      <c r="L7" s="73"/>
      <c r="M7" s="73"/>
      <c r="N7" s="73">
        <v>1019105</v>
      </c>
      <c r="O7" s="73">
        <v>20995597</v>
      </c>
      <c r="P7" s="73"/>
      <c r="Q7" s="73">
        <v>3984822</v>
      </c>
      <c r="R7" s="73">
        <f>SUM(K7:Q7)</f>
        <v>28329625</v>
      </c>
    </row>
    <row r="8" spans="1:18">
      <c r="B8" t="s">
        <v>12</v>
      </c>
      <c r="K8" s="77">
        <v>91</v>
      </c>
      <c r="L8" s="73">
        <v>642</v>
      </c>
      <c r="M8" s="73">
        <v>81578</v>
      </c>
      <c r="N8" s="73">
        <v>7124638</v>
      </c>
      <c r="O8" s="73">
        <v>11697</v>
      </c>
      <c r="P8" s="73"/>
      <c r="Q8" s="73">
        <v>12078923</v>
      </c>
      <c r="R8" s="73">
        <f t="shared" ref="R8:R10" si="0">SUM(K8:Q8)</f>
        <v>19297569</v>
      </c>
    </row>
    <row r="9" spans="1:18">
      <c r="B9" t="s">
        <v>59</v>
      </c>
      <c r="K9" s="74">
        <v>779641</v>
      </c>
      <c r="L9" s="73">
        <v>647944</v>
      </c>
      <c r="M9" s="73">
        <v>82716</v>
      </c>
      <c r="N9" s="73">
        <v>42010</v>
      </c>
      <c r="O9" s="73"/>
      <c r="P9" s="73"/>
      <c r="Q9" s="73">
        <v>964974</v>
      </c>
      <c r="R9" s="73">
        <f t="shared" si="0"/>
        <v>2517285</v>
      </c>
    </row>
    <row r="10" spans="1:18">
      <c r="B10" t="s">
        <v>128</v>
      </c>
      <c r="K10" s="75">
        <v>6318575</v>
      </c>
      <c r="L10" s="73">
        <v>4887803</v>
      </c>
      <c r="M10" s="73">
        <v>1688238</v>
      </c>
      <c r="N10" s="73">
        <v>5271155</v>
      </c>
      <c r="O10" s="73"/>
      <c r="P10" s="73"/>
      <c r="Q10" s="73">
        <v>14478889</v>
      </c>
      <c r="R10" s="73">
        <f t="shared" si="0"/>
        <v>32644660</v>
      </c>
    </row>
    <row r="11" spans="1:18">
      <c r="B11" t="s">
        <v>18</v>
      </c>
      <c r="K11" s="75">
        <v>12885548</v>
      </c>
      <c r="L11" s="73"/>
      <c r="M11" s="73">
        <v>622673</v>
      </c>
      <c r="N11" s="73"/>
      <c r="O11" s="73"/>
      <c r="P11" s="73">
        <v>3414996</v>
      </c>
      <c r="Q11" s="73">
        <v>8503357</v>
      </c>
      <c r="R11" s="73">
        <f>SUM(K11:Q11)</f>
        <v>25426574</v>
      </c>
    </row>
    <row r="12" spans="1:18">
      <c r="B12" t="s">
        <v>428</v>
      </c>
      <c r="K12" s="73"/>
      <c r="L12" s="73"/>
      <c r="M12" s="73"/>
      <c r="N12" s="73"/>
      <c r="O12" s="73"/>
      <c r="P12" s="73"/>
      <c r="Q12" s="73">
        <v>1485383</v>
      </c>
      <c r="R12" s="73">
        <f t="shared" ref="R12:R13" si="1">SUM(K12:Q12)</f>
        <v>1485383</v>
      </c>
    </row>
    <row r="13" spans="1:18">
      <c r="B13" t="s">
        <v>62</v>
      </c>
      <c r="K13" s="85">
        <v>17300</v>
      </c>
      <c r="L13" s="73"/>
      <c r="M13" s="73"/>
      <c r="N13" s="73">
        <v>14093</v>
      </c>
      <c r="O13" s="88"/>
      <c r="P13" s="88"/>
      <c r="Q13" s="88"/>
      <c r="R13" s="88">
        <f t="shared" si="1"/>
        <v>31393</v>
      </c>
    </row>
    <row r="14" spans="1:18">
      <c r="K14" s="109"/>
      <c r="L14" s="109"/>
      <c r="M14" s="109"/>
      <c r="N14" s="109"/>
      <c r="O14" s="73"/>
      <c r="P14" s="73"/>
      <c r="Q14" s="73"/>
      <c r="R14" s="73"/>
    </row>
    <row r="15" spans="1:18" s="3" customFormat="1">
      <c r="A15" s="2"/>
      <c r="B15" s="2"/>
      <c r="C15" s="2"/>
      <c r="D15" s="2"/>
      <c r="E15" s="2" t="s">
        <v>129</v>
      </c>
      <c r="K15" s="76">
        <f t="shared" ref="K15:R15" si="2">SUM(K7:K13)</f>
        <v>22331256</v>
      </c>
      <c r="L15" s="76">
        <f t="shared" si="2"/>
        <v>5536389</v>
      </c>
      <c r="M15" s="76">
        <f t="shared" si="2"/>
        <v>2475205</v>
      </c>
      <c r="N15" s="76">
        <f t="shared" si="2"/>
        <v>13471001</v>
      </c>
      <c r="O15" s="76">
        <f t="shared" si="2"/>
        <v>21007294</v>
      </c>
      <c r="P15" s="76">
        <f t="shared" si="2"/>
        <v>3414996</v>
      </c>
      <c r="Q15" s="76">
        <f t="shared" si="2"/>
        <v>41496348</v>
      </c>
      <c r="R15" s="76">
        <f t="shared" si="2"/>
        <v>109732489</v>
      </c>
    </row>
    <row r="16" spans="1:18">
      <c r="K16" s="73"/>
      <c r="L16" s="73"/>
      <c r="M16" s="73"/>
      <c r="N16" s="73"/>
      <c r="O16" s="73"/>
      <c r="P16" s="73"/>
      <c r="Q16" s="73"/>
      <c r="R16" s="73"/>
    </row>
    <row r="17" spans="1:18">
      <c r="A17" s="4" t="s">
        <v>21</v>
      </c>
      <c r="K17" s="73"/>
      <c r="L17" s="73"/>
      <c r="M17" s="73"/>
      <c r="N17" s="73"/>
      <c r="O17" s="73"/>
      <c r="P17" s="73"/>
      <c r="Q17" s="73"/>
      <c r="R17" s="73"/>
    </row>
    <row r="18" spans="1:18">
      <c r="B18" t="s">
        <v>22</v>
      </c>
      <c r="K18" s="73"/>
      <c r="L18" s="73"/>
      <c r="M18" s="73"/>
      <c r="N18" s="73"/>
      <c r="O18" s="73"/>
      <c r="P18" s="73"/>
      <c r="Q18" s="73"/>
      <c r="R18" s="73"/>
    </row>
    <row r="19" spans="1:18">
      <c r="C19" t="s">
        <v>429</v>
      </c>
      <c r="K19" s="77">
        <v>56171</v>
      </c>
      <c r="L19" s="73">
        <v>162307</v>
      </c>
      <c r="M19" s="73">
        <v>820457</v>
      </c>
      <c r="N19" s="73">
        <v>114107</v>
      </c>
      <c r="O19" s="73">
        <v>43622</v>
      </c>
      <c r="P19" s="73">
        <v>733933</v>
      </c>
      <c r="Q19" s="73">
        <v>537578</v>
      </c>
      <c r="R19" s="73">
        <f>SUM(K19:Q19)</f>
        <v>2468175</v>
      </c>
    </row>
    <row r="20" spans="1:18">
      <c r="C20" t="s">
        <v>430</v>
      </c>
      <c r="K20" s="77">
        <v>84550</v>
      </c>
      <c r="L20" s="73">
        <v>25722</v>
      </c>
      <c r="M20" s="73"/>
      <c r="N20" s="73"/>
      <c r="O20" s="73"/>
      <c r="P20" s="73">
        <v>3198341</v>
      </c>
      <c r="Q20" s="73">
        <v>374034</v>
      </c>
      <c r="R20" s="73">
        <f t="shared" ref="R20:R24" si="3">SUM(K20:Q20)</f>
        <v>3682647</v>
      </c>
    </row>
    <row r="21" spans="1:18">
      <c r="C21" t="s">
        <v>431</v>
      </c>
      <c r="K21" s="77">
        <v>294856</v>
      </c>
      <c r="L21" s="73">
        <v>129043</v>
      </c>
      <c r="M21" s="73">
        <v>9940</v>
      </c>
      <c r="N21" s="73">
        <v>173227</v>
      </c>
      <c r="O21" s="73"/>
      <c r="P21" s="73"/>
      <c r="Q21" s="73">
        <v>445189</v>
      </c>
      <c r="R21" s="73">
        <f t="shared" si="3"/>
        <v>1052255</v>
      </c>
    </row>
    <row r="22" spans="1:18">
      <c r="C22" t="s">
        <v>27</v>
      </c>
      <c r="K22" s="78">
        <v>18666216</v>
      </c>
      <c r="L22" s="73">
        <v>3557972</v>
      </c>
      <c r="M22" s="73"/>
      <c r="N22" s="73">
        <v>1459</v>
      </c>
      <c r="O22" s="73">
        <v>827488</v>
      </c>
      <c r="P22" s="73"/>
      <c r="Q22" s="73">
        <v>3747173</v>
      </c>
      <c r="R22" s="73">
        <f t="shared" si="3"/>
        <v>26800308</v>
      </c>
    </row>
    <row r="23" spans="1:18">
      <c r="C23" t="s">
        <v>133</v>
      </c>
      <c r="K23" s="78">
        <v>305633</v>
      </c>
      <c r="L23" s="73"/>
      <c r="M23" s="73"/>
      <c r="N23" s="73"/>
      <c r="O23" s="73"/>
      <c r="P23" s="73"/>
      <c r="Q23" s="73">
        <v>78291</v>
      </c>
      <c r="R23" s="73">
        <f t="shared" si="3"/>
        <v>383924</v>
      </c>
    </row>
    <row r="24" spans="1:18">
      <c r="C24" t="s">
        <v>432</v>
      </c>
      <c r="K24" s="83">
        <v>2103</v>
      </c>
      <c r="L24" s="73"/>
      <c r="M24" s="73"/>
      <c r="N24" s="73"/>
      <c r="O24" s="88"/>
      <c r="P24" s="88"/>
      <c r="Q24" s="88">
        <v>521619</v>
      </c>
      <c r="R24" s="88">
        <f t="shared" si="3"/>
        <v>523722</v>
      </c>
    </row>
    <row r="25" spans="1:18">
      <c r="K25" s="109"/>
      <c r="L25" s="109"/>
      <c r="M25" s="109"/>
      <c r="N25" s="109"/>
      <c r="O25" s="73"/>
      <c r="P25" s="73"/>
      <c r="Q25" s="73"/>
      <c r="R25" s="73"/>
    </row>
    <row r="26" spans="1:18" s="5" customFormat="1">
      <c r="B26" s="6"/>
      <c r="C26" s="6"/>
      <c r="D26" s="6"/>
      <c r="E26" s="6" t="s">
        <v>28</v>
      </c>
      <c r="K26" s="79">
        <f t="shared" ref="K26:R26" si="4">SUM(K19:K24)</f>
        <v>19409529</v>
      </c>
      <c r="L26" s="79">
        <f t="shared" si="4"/>
        <v>3875044</v>
      </c>
      <c r="M26" s="79">
        <f t="shared" si="4"/>
        <v>830397</v>
      </c>
      <c r="N26" s="79">
        <f t="shared" si="4"/>
        <v>288793</v>
      </c>
      <c r="O26" s="79">
        <f t="shared" si="4"/>
        <v>871110</v>
      </c>
      <c r="P26" s="79">
        <f t="shared" si="4"/>
        <v>3932274</v>
      </c>
      <c r="Q26" s="79">
        <f t="shared" si="4"/>
        <v>5703884</v>
      </c>
      <c r="R26" s="79">
        <f t="shared" si="4"/>
        <v>34911031</v>
      </c>
    </row>
    <row r="27" spans="1:18">
      <c r="K27" s="73"/>
      <c r="L27" s="73"/>
      <c r="M27" s="73"/>
      <c r="N27" s="73"/>
      <c r="O27" s="73"/>
      <c r="P27" s="73"/>
      <c r="Q27" s="73"/>
      <c r="R27" s="73"/>
    </row>
    <row r="28" spans="1:18">
      <c r="B28" t="s">
        <v>100</v>
      </c>
      <c r="K28" s="73"/>
      <c r="L28" s="73"/>
      <c r="M28" s="73"/>
      <c r="N28" s="73"/>
      <c r="O28" s="73"/>
      <c r="P28" s="73"/>
      <c r="Q28" s="73"/>
      <c r="R28" s="73"/>
    </row>
    <row r="29" spans="1:18">
      <c r="C29" t="s">
        <v>433</v>
      </c>
      <c r="K29" s="80">
        <v>17300</v>
      </c>
      <c r="L29" s="73"/>
      <c r="M29" s="73"/>
      <c r="N29" s="73"/>
      <c r="O29" s="73"/>
      <c r="P29" s="73"/>
      <c r="Q29" s="73"/>
      <c r="R29" s="73">
        <f t="shared" ref="R29:R39" si="5">SUM(K29:Q29)</f>
        <v>17300</v>
      </c>
    </row>
    <row r="30" spans="1:18">
      <c r="C30" t="s">
        <v>66</v>
      </c>
      <c r="K30" s="73"/>
      <c r="L30" s="73"/>
      <c r="M30" s="73"/>
      <c r="N30" s="73"/>
      <c r="O30" s="73"/>
      <c r="P30" s="73"/>
      <c r="Q30" s="73"/>
      <c r="R30" s="73"/>
    </row>
    <row r="31" spans="1:18">
      <c r="D31" t="s">
        <v>44</v>
      </c>
      <c r="K31" s="73"/>
      <c r="L31" s="73"/>
      <c r="M31" s="73"/>
      <c r="N31" s="73"/>
      <c r="O31" s="73">
        <v>20136184</v>
      </c>
      <c r="P31" s="73"/>
      <c r="Q31" s="73">
        <v>11115521</v>
      </c>
      <c r="R31" s="73">
        <f t="shared" si="5"/>
        <v>31251705</v>
      </c>
    </row>
    <row r="32" spans="1:18">
      <c r="D32" t="s">
        <v>434</v>
      </c>
      <c r="K32" s="73"/>
      <c r="L32" s="73"/>
      <c r="M32" s="73"/>
      <c r="N32" s="73"/>
      <c r="O32" s="73"/>
      <c r="P32" s="73"/>
      <c r="Q32" s="73">
        <v>2938694</v>
      </c>
      <c r="R32" s="73">
        <f t="shared" si="5"/>
        <v>2938694</v>
      </c>
    </row>
    <row r="33" spans="3:18">
      <c r="D33" t="s">
        <v>435</v>
      </c>
      <c r="K33" s="73"/>
      <c r="L33" s="73"/>
      <c r="M33" s="73"/>
      <c r="N33" s="73"/>
      <c r="O33" s="73"/>
      <c r="P33" s="73"/>
      <c r="Q33" s="73">
        <v>839005</v>
      </c>
      <c r="R33" s="73">
        <f t="shared" si="5"/>
        <v>839005</v>
      </c>
    </row>
    <row r="34" spans="3:18">
      <c r="D34" t="s">
        <v>43</v>
      </c>
      <c r="K34" s="73"/>
      <c r="L34" s="73"/>
      <c r="M34" s="73"/>
      <c r="N34" s="73"/>
      <c r="O34" s="73"/>
      <c r="P34" s="73"/>
      <c r="Q34" s="73">
        <v>6243097</v>
      </c>
      <c r="R34" s="73">
        <f t="shared" si="5"/>
        <v>6243097</v>
      </c>
    </row>
    <row r="35" spans="3:18">
      <c r="C35" t="s">
        <v>436</v>
      </c>
      <c r="K35" s="73"/>
      <c r="L35" s="73"/>
      <c r="M35" s="73"/>
      <c r="N35" s="73"/>
      <c r="O35" s="73"/>
      <c r="P35" s="73"/>
      <c r="Q35" s="73"/>
      <c r="R35" s="73"/>
    </row>
    <row r="36" spans="3:18">
      <c r="D36" t="s">
        <v>69</v>
      </c>
      <c r="K36" s="73"/>
      <c r="L36" s="73"/>
      <c r="M36" s="73"/>
      <c r="N36" s="73"/>
      <c r="O36" s="73"/>
      <c r="P36" s="73"/>
      <c r="Q36" s="73">
        <v>887397</v>
      </c>
      <c r="R36" s="73">
        <f t="shared" si="5"/>
        <v>887397</v>
      </c>
    </row>
    <row r="37" spans="3:18">
      <c r="D37" t="s">
        <v>70</v>
      </c>
      <c r="K37" s="73"/>
      <c r="L37" s="73">
        <v>1661345</v>
      </c>
      <c r="M37" s="73">
        <v>1644808</v>
      </c>
      <c r="N37" s="73"/>
      <c r="O37" s="73"/>
      <c r="P37" s="73"/>
      <c r="Q37" s="73">
        <v>9727815</v>
      </c>
      <c r="R37" s="73">
        <f t="shared" si="5"/>
        <v>13033968</v>
      </c>
    </row>
    <row r="38" spans="3:18">
      <c r="D38" t="s">
        <v>109</v>
      </c>
      <c r="K38" s="73"/>
      <c r="L38" s="73"/>
      <c r="M38" s="73"/>
      <c r="N38" s="73">
        <v>13182208</v>
      </c>
      <c r="O38" s="73"/>
      <c r="P38" s="73"/>
      <c r="Q38" s="73">
        <v>1913162</v>
      </c>
      <c r="R38" s="73">
        <f t="shared" si="5"/>
        <v>15095370</v>
      </c>
    </row>
    <row r="39" spans="3:18">
      <c r="D39" t="s">
        <v>437</v>
      </c>
      <c r="K39" s="73"/>
      <c r="L39" s="73"/>
      <c r="M39" s="73"/>
      <c r="N39" s="73"/>
      <c r="O39" s="73"/>
      <c r="P39" s="73"/>
      <c r="Q39" s="73">
        <v>2141021</v>
      </c>
      <c r="R39" s="73">
        <f t="shared" si="5"/>
        <v>2141021</v>
      </c>
    </row>
    <row r="40" spans="3:18">
      <c r="C40" t="s">
        <v>48</v>
      </c>
      <c r="K40" s="86">
        <v>2904427</v>
      </c>
      <c r="L40" s="73"/>
      <c r="M40" s="73"/>
      <c r="N40" s="73"/>
      <c r="O40" s="88"/>
      <c r="P40" s="88">
        <v>-517278</v>
      </c>
      <c r="Q40" s="88">
        <v>-13248</v>
      </c>
      <c r="R40" s="88">
        <f>SUM(K40:Q40)</f>
        <v>2373901</v>
      </c>
    </row>
    <row r="41" spans="3:18">
      <c r="K41" s="109"/>
      <c r="L41" s="109"/>
      <c r="M41" s="109"/>
      <c r="N41" s="109"/>
      <c r="O41" s="73"/>
      <c r="P41" s="73"/>
      <c r="Q41" s="73"/>
      <c r="R41" s="73"/>
    </row>
    <row r="42" spans="3:18" s="5" customFormat="1">
      <c r="D42" s="6"/>
      <c r="E42" s="6" t="s">
        <v>49</v>
      </c>
      <c r="K42" s="79">
        <f>SUM(K29:K41)</f>
        <v>2921727</v>
      </c>
      <c r="L42" s="79">
        <f t="shared" ref="L42:R42" si="6">SUM(L29:L40)</f>
        <v>1661345</v>
      </c>
      <c r="M42" s="79">
        <f t="shared" si="6"/>
        <v>1644808</v>
      </c>
      <c r="N42" s="79">
        <f t="shared" si="6"/>
        <v>13182208</v>
      </c>
      <c r="O42" s="79">
        <f t="shared" si="6"/>
        <v>20136184</v>
      </c>
      <c r="P42" s="79">
        <f t="shared" si="6"/>
        <v>-517278</v>
      </c>
      <c r="Q42" s="79">
        <f t="shared" si="6"/>
        <v>35792464</v>
      </c>
      <c r="R42" s="79">
        <f t="shared" si="6"/>
        <v>74821458</v>
      </c>
    </row>
    <row r="43" spans="3:18">
      <c r="K43" s="73"/>
      <c r="L43" s="73"/>
      <c r="M43" s="73"/>
      <c r="N43" s="73"/>
      <c r="O43" s="73"/>
      <c r="P43" s="73"/>
      <c r="Q43" s="73"/>
      <c r="R43" s="73"/>
    </row>
    <row r="44" spans="3:18" s="7" customFormat="1">
      <c r="D44" s="8"/>
      <c r="E44" s="8" t="s">
        <v>50</v>
      </c>
      <c r="K44" s="81">
        <f>SUM(K42,K26)</f>
        <v>22331256</v>
      </c>
      <c r="L44" s="81">
        <f t="shared" ref="L44:R44" si="7">SUM(L26,L42)</f>
        <v>5536389</v>
      </c>
      <c r="M44" s="81">
        <f t="shared" si="7"/>
        <v>2475205</v>
      </c>
      <c r="N44" s="81">
        <f t="shared" si="7"/>
        <v>13471001</v>
      </c>
      <c r="O44" s="81">
        <f t="shared" si="7"/>
        <v>21007294</v>
      </c>
      <c r="P44" s="81">
        <f t="shared" si="7"/>
        <v>3414996</v>
      </c>
      <c r="Q44" s="81">
        <f t="shared" si="7"/>
        <v>41496348</v>
      </c>
      <c r="R44" s="81">
        <f t="shared" si="7"/>
        <v>109732489</v>
      </c>
    </row>
  </sheetData>
  <mergeCells count="3">
    <mergeCell ref="D1:K1"/>
    <mergeCell ref="D2:K2"/>
    <mergeCell ref="K4:M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33"/>
  <sheetViews>
    <sheetView topLeftCell="A4" workbookViewId="0">
      <selection activeCell="S36" sqref="S3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9.42578125" customWidth="1"/>
    <col min="15" max="15" width="17.7109375" customWidth="1"/>
    <col min="16" max="16" width="16.5703125" customWidth="1"/>
    <col min="17" max="17" width="15.85546875" customWidth="1"/>
    <col min="18" max="18" width="18.28515625" customWidth="1"/>
    <col min="19" max="19" width="17.5703125" customWidth="1"/>
  </cols>
  <sheetData>
    <row r="1" spans="1:19" ht="18.75">
      <c r="D1" s="125" t="s">
        <v>438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9" ht="36.75" customHeight="1"/>
    <row r="4" spans="1:19" ht="62.25" customHeight="1">
      <c r="K4" s="1" t="s">
        <v>52</v>
      </c>
      <c r="L4" s="1" t="s">
        <v>439</v>
      </c>
      <c r="M4" s="1" t="s">
        <v>440</v>
      </c>
      <c r="N4" s="1" t="s">
        <v>441</v>
      </c>
      <c r="O4" s="1" t="s">
        <v>174</v>
      </c>
      <c r="P4" s="1" t="s">
        <v>442</v>
      </c>
      <c r="Q4" s="1" t="s">
        <v>443</v>
      </c>
      <c r="R4" s="1" t="s">
        <v>58</v>
      </c>
      <c r="S4" s="1" t="s">
        <v>9</v>
      </c>
    </row>
    <row r="5" spans="1:19">
      <c r="A5" t="s">
        <v>10</v>
      </c>
    </row>
    <row r="6" spans="1:19">
      <c r="B6" t="s">
        <v>163</v>
      </c>
      <c r="K6" s="72">
        <v>971435</v>
      </c>
      <c r="L6" s="73">
        <v>1517134</v>
      </c>
      <c r="M6" s="73">
        <v>1182154</v>
      </c>
      <c r="N6" s="73">
        <v>484535</v>
      </c>
      <c r="O6" s="73">
        <v>5111</v>
      </c>
      <c r="P6" s="73">
        <v>94773</v>
      </c>
      <c r="Q6" s="73">
        <v>516981</v>
      </c>
      <c r="R6" s="73">
        <v>4498578</v>
      </c>
      <c r="S6" s="73">
        <f t="shared" ref="S6:S11" si="0">SUM(K6:R6)</f>
        <v>9270701</v>
      </c>
    </row>
    <row r="7" spans="1:19">
      <c r="B7" t="s">
        <v>12</v>
      </c>
      <c r="K7" s="77">
        <v>2056263</v>
      </c>
      <c r="L7" s="73">
        <v>530911</v>
      </c>
      <c r="M7" s="73">
        <v>1012717</v>
      </c>
      <c r="N7" s="73">
        <v>2414426</v>
      </c>
      <c r="O7" s="73"/>
      <c r="P7" s="73">
        <v>2954793</v>
      </c>
      <c r="Q7" s="73">
        <v>9967615</v>
      </c>
      <c r="R7" s="73">
        <v>3489905</v>
      </c>
      <c r="S7" s="73">
        <f t="shared" si="0"/>
        <v>22426630</v>
      </c>
    </row>
    <row r="8" spans="1:19">
      <c r="B8" t="s">
        <v>59</v>
      </c>
      <c r="K8" s="74">
        <v>1108654</v>
      </c>
      <c r="L8" s="73">
        <v>1570816</v>
      </c>
      <c r="M8" s="73">
        <v>1570581</v>
      </c>
      <c r="N8" s="73">
        <v>1725722</v>
      </c>
      <c r="O8" s="73">
        <v>433301</v>
      </c>
      <c r="P8" s="73">
        <v>2345</v>
      </c>
      <c r="Q8" s="73"/>
      <c r="R8" s="73">
        <v>828019</v>
      </c>
      <c r="S8" s="73">
        <f t="shared" si="0"/>
        <v>7239438</v>
      </c>
    </row>
    <row r="9" spans="1:19">
      <c r="B9" t="s">
        <v>189</v>
      </c>
      <c r="K9" s="85">
        <v>3008</v>
      </c>
      <c r="L9" s="73"/>
      <c r="M9" s="73"/>
      <c r="N9" s="73"/>
      <c r="O9" s="73"/>
      <c r="P9" s="73"/>
      <c r="Q9" s="73"/>
      <c r="R9" s="73"/>
      <c r="S9" s="73">
        <f t="shared" si="0"/>
        <v>3008</v>
      </c>
    </row>
    <row r="10" spans="1:19">
      <c r="B10" t="s">
        <v>18</v>
      </c>
      <c r="K10" s="75">
        <v>122689</v>
      </c>
      <c r="L10" s="73">
        <v>4013</v>
      </c>
      <c r="M10" s="73">
        <v>4019</v>
      </c>
      <c r="N10" s="73">
        <v>6447</v>
      </c>
      <c r="O10" s="73">
        <v>3995</v>
      </c>
      <c r="P10" s="73"/>
      <c r="Q10" s="73"/>
      <c r="R10" s="73">
        <v>1411322</v>
      </c>
      <c r="S10" s="73">
        <f t="shared" si="0"/>
        <v>1552485</v>
      </c>
    </row>
    <row r="11" spans="1:19">
      <c r="B11" t="s">
        <v>444</v>
      </c>
      <c r="K11" s="75">
        <v>233959</v>
      </c>
      <c r="L11" s="73">
        <v>184</v>
      </c>
      <c r="M11" s="73">
        <v>184</v>
      </c>
      <c r="N11" s="73"/>
      <c r="O11" s="73"/>
      <c r="P11" s="73"/>
      <c r="Q11" s="73"/>
      <c r="R11" s="73">
        <v>471482</v>
      </c>
      <c r="S11" s="73">
        <f t="shared" si="0"/>
        <v>705809</v>
      </c>
    </row>
    <row r="12" spans="1:19">
      <c r="B12" t="s">
        <v>61</v>
      </c>
      <c r="K12" s="73"/>
      <c r="L12" s="73">
        <v>11582</v>
      </c>
      <c r="M12" s="73"/>
      <c r="N12" s="73"/>
      <c r="O12" s="73"/>
      <c r="P12" s="73"/>
      <c r="Q12" s="73"/>
      <c r="R12" s="73"/>
      <c r="S12" s="73">
        <f t="shared" ref="S12" si="1">SUM(K12:N12)</f>
        <v>11582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 s="3" customFormat="1">
      <c r="E14" s="3" t="s">
        <v>129</v>
      </c>
      <c r="K14" s="76">
        <f t="shared" ref="K14:Q14" si="2">SUM(K6:K12)</f>
        <v>4496008</v>
      </c>
      <c r="L14" s="76">
        <f t="shared" si="2"/>
        <v>3634640</v>
      </c>
      <c r="M14" s="76">
        <f t="shared" si="2"/>
        <v>3769655</v>
      </c>
      <c r="N14" s="76">
        <f t="shared" si="2"/>
        <v>4631130</v>
      </c>
      <c r="O14" s="76">
        <f t="shared" si="2"/>
        <v>442407</v>
      </c>
      <c r="P14" s="76">
        <f t="shared" si="2"/>
        <v>3051911</v>
      </c>
      <c r="Q14" s="76">
        <f t="shared" si="2"/>
        <v>10484596</v>
      </c>
      <c r="R14" s="76">
        <f>SUM(R6:R12)</f>
        <v>10699306</v>
      </c>
      <c r="S14" s="76">
        <f>SUM(S6:S12)</f>
        <v>41209653</v>
      </c>
    </row>
    <row r="15" spans="1:19"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A16" s="98" t="s">
        <v>21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2:19">
      <c r="B17" t="s">
        <v>22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2:19">
      <c r="C18" t="s">
        <v>23</v>
      </c>
      <c r="K18" s="77">
        <v>284999</v>
      </c>
      <c r="L18" s="73">
        <v>64188</v>
      </c>
      <c r="M18" s="73">
        <v>265074</v>
      </c>
      <c r="N18" s="73">
        <v>107257</v>
      </c>
      <c r="O18" s="73">
        <v>391651</v>
      </c>
      <c r="P18" s="73"/>
      <c r="Q18" s="73">
        <v>4486</v>
      </c>
      <c r="R18" s="73">
        <v>254826</v>
      </c>
      <c r="S18" s="73">
        <f>SUM(K18:R18)</f>
        <v>1372481</v>
      </c>
    </row>
    <row r="19" spans="2:19">
      <c r="C19" t="s">
        <v>27</v>
      </c>
      <c r="K19" s="78">
        <v>488691</v>
      </c>
      <c r="L19" s="73"/>
      <c r="M19" s="73"/>
      <c r="N19" s="73"/>
      <c r="O19" s="73"/>
      <c r="P19" s="73"/>
      <c r="Q19" s="73">
        <v>480110</v>
      </c>
      <c r="R19" s="73">
        <v>583684</v>
      </c>
      <c r="S19" s="73">
        <f>SUM(K19:R19)</f>
        <v>1552485</v>
      </c>
    </row>
    <row r="20" spans="2:19">
      <c r="C20" t="s">
        <v>445</v>
      </c>
      <c r="K20" s="78">
        <v>390539</v>
      </c>
      <c r="L20" s="73"/>
      <c r="M20" s="73"/>
      <c r="N20" s="73"/>
      <c r="O20" s="73"/>
      <c r="P20" s="73"/>
      <c r="Q20" s="73"/>
      <c r="R20" s="73">
        <v>939463</v>
      </c>
      <c r="S20" s="73">
        <f>SUM(K20:R20)</f>
        <v>1330002</v>
      </c>
    </row>
    <row r="21" spans="2:19">
      <c r="K21" s="73"/>
      <c r="L21" s="73"/>
      <c r="M21" s="73"/>
      <c r="N21" s="73"/>
      <c r="O21" s="73"/>
      <c r="P21" s="73"/>
      <c r="Q21" s="73"/>
      <c r="R21" s="73"/>
      <c r="S21" s="73"/>
    </row>
    <row r="22" spans="2:19" s="5" customFormat="1">
      <c r="E22" s="5" t="s">
        <v>28</v>
      </c>
      <c r="K22" s="79">
        <f t="shared" ref="K22:N22" si="3">SUM(K18:K20)</f>
        <v>1164229</v>
      </c>
      <c r="L22" s="79">
        <f t="shared" si="3"/>
        <v>64188</v>
      </c>
      <c r="M22" s="79">
        <f t="shared" si="3"/>
        <v>265074</v>
      </c>
      <c r="N22" s="79">
        <f t="shared" si="3"/>
        <v>107257</v>
      </c>
      <c r="O22" s="79">
        <f>SUM(O18:O20)</f>
        <v>391651</v>
      </c>
      <c r="P22" s="79">
        <f t="shared" ref="P22:Q22" si="4">SUM(P18:P20)</f>
        <v>0</v>
      </c>
      <c r="Q22" s="79">
        <f t="shared" si="4"/>
        <v>484596</v>
      </c>
      <c r="R22" s="79">
        <f>SUM(R18:R20)</f>
        <v>1777973</v>
      </c>
      <c r="S22" s="79">
        <f>SUM(S18:S20)</f>
        <v>4254968</v>
      </c>
    </row>
    <row r="23" spans="2:19">
      <c r="K23" s="73"/>
      <c r="L23" s="73"/>
      <c r="M23" s="73"/>
      <c r="N23" s="73"/>
      <c r="O23" s="73"/>
      <c r="Q23" s="73"/>
      <c r="R23" s="73"/>
      <c r="S23" s="73"/>
    </row>
    <row r="24" spans="2:19">
      <c r="B24" t="s">
        <v>100</v>
      </c>
      <c r="K24" s="73"/>
      <c r="L24" s="73"/>
      <c r="M24" s="73"/>
      <c r="N24" s="73"/>
      <c r="O24" s="73"/>
      <c r="P24" s="73"/>
      <c r="Q24" s="73"/>
      <c r="R24" s="73"/>
      <c r="S24" s="73"/>
    </row>
    <row r="25" spans="2:19">
      <c r="C25" t="s">
        <v>101</v>
      </c>
      <c r="K25" s="80">
        <v>3008</v>
      </c>
      <c r="L25" s="73">
        <v>11582</v>
      </c>
      <c r="M25" s="73"/>
      <c r="N25" s="73"/>
      <c r="O25" s="73"/>
      <c r="P25" s="73"/>
      <c r="Q25" s="73"/>
      <c r="R25" s="73"/>
      <c r="S25" s="73">
        <f>SUM(K25:R25)</f>
        <v>14590</v>
      </c>
    </row>
    <row r="26" spans="2:19">
      <c r="C26" t="s">
        <v>383</v>
      </c>
      <c r="K26" s="73"/>
      <c r="L26" s="73"/>
      <c r="M26" s="73"/>
      <c r="N26" s="73"/>
      <c r="O26" s="73"/>
      <c r="P26" s="73"/>
      <c r="Q26" s="73"/>
      <c r="R26" s="73">
        <v>436325</v>
      </c>
      <c r="S26" s="73">
        <f>SUM(K26:R26)</f>
        <v>436325</v>
      </c>
    </row>
    <row r="27" spans="2:19">
      <c r="C27" t="s">
        <v>304</v>
      </c>
      <c r="K27" s="73"/>
      <c r="L27" s="73"/>
      <c r="M27" s="73"/>
      <c r="N27" s="73"/>
      <c r="O27" s="73"/>
      <c r="P27" s="73"/>
      <c r="Q27" s="73"/>
      <c r="R27" s="73"/>
      <c r="S27" s="73">
        <f>SUM(K27:R27)</f>
        <v>0</v>
      </c>
    </row>
    <row r="28" spans="2:19">
      <c r="C28" t="s">
        <v>119</v>
      </c>
      <c r="K28" s="99"/>
      <c r="L28" s="73">
        <v>3558870</v>
      </c>
      <c r="M28" s="73">
        <v>3504581</v>
      </c>
      <c r="N28" s="73">
        <v>4523873</v>
      </c>
      <c r="O28" s="73">
        <v>50756</v>
      </c>
      <c r="P28" s="73">
        <v>3051911</v>
      </c>
      <c r="Q28" s="73">
        <v>10000000</v>
      </c>
      <c r="R28" s="73">
        <v>8485008</v>
      </c>
      <c r="S28" s="73">
        <f>SUM(K28:R28)</f>
        <v>33174999</v>
      </c>
    </row>
    <row r="29" spans="2:19">
      <c r="C29" t="s">
        <v>48</v>
      </c>
      <c r="K29" s="86">
        <v>3328771</v>
      </c>
      <c r="L29" s="73"/>
      <c r="M29" s="73"/>
      <c r="N29" s="73"/>
      <c r="O29" s="73"/>
      <c r="P29" s="73"/>
      <c r="Q29" s="73"/>
      <c r="R29" s="73"/>
      <c r="S29" s="73">
        <f t="shared" ref="S29" si="5">SUM(K29:N29)</f>
        <v>3328771</v>
      </c>
    </row>
    <row r="30" spans="2:19">
      <c r="K30" s="73"/>
      <c r="L30" s="73"/>
      <c r="M30" s="73"/>
      <c r="N30" s="73"/>
      <c r="O30" s="73"/>
      <c r="P30" s="73"/>
      <c r="Q30" s="73"/>
      <c r="R30" s="73"/>
      <c r="S30" s="73"/>
    </row>
    <row r="31" spans="2:19" s="5" customFormat="1">
      <c r="E31" s="5" t="s">
        <v>49</v>
      </c>
      <c r="K31" s="79">
        <f>SUM(K25:K30)</f>
        <v>3331779</v>
      </c>
      <c r="L31" s="79">
        <f>SUM(L25:L29)</f>
        <v>3570452</v>
      </c>
      <c r="M31" s="79">
        <f t="shared" ref="M31:Q31" si="6">SUM(M25:M29)</f>
        <v>3504581</v>
      </c>
      <c r="N31" s="79">
        <f t="shared" si="6"/>
        <v>4523873</v>
      </c>
      <c r="O31" s="79">
        <f t="shared" si="6"/>
        <v>50756</v>
      </c>
      <c r="P31" s="79">
        <f t="shared" si="6"/>
        <v>3051911</v>
      </c>
      <c r="Q31" s="79">
        <f t="shared" si="6"/>
        <v>10000000</v>
      </c>
      <c r="R31" s="79">
        <f>SUM(R25:R29)</f>
        <v>8921333</v>
      </c>
      <c r="S31" s="79">
        <f>SUM(S24:S29)</f>
        <v>36954685</v>
      </c>
    </row>
    <row r="32" spans="2:19">
      <c r="K32" s="73"/>
      <c r="L32" s="73"/>
      <c r="M32" s="73"/>
      <c r="N32" s="73"/>
      <c r="O32" s="73"/>
      <c r="P32" s="73"/>
      <c r="Q32" s="73"/>
      <c r="R32" s="73"/>
      <c r="S32" s="73"/>
    </row>
    <row r="33" spans="5:19" s="7" customFormat="1">
      <c r="E33" s="7" t="s">
        <v>50</v>
      </c>
      <c r="K33" s="81">
        <f>K31+K22</f>
        <v>4496008</v>
      </c>
      <c r="L33" s="81">
        <f t="shared" ref="L33:S33" si="7">L31+L22</f>
        <v>3634640</v>
      </c>
      <c r="M33" s="81">
        <f t="shared" si="7"/>
        <v>3769655</v>
      </c>
      <c r="N33" s="81">
        <f t="shared" si="7"/>
        <v>4631130</v>
      </c>
      <c r="O33" s="81">
        <f>O31+O22</f>
        <v>442407</v>
      </c>
      <c r="P33" s="81">
        <f t="shared" si="7"/>
        <v>3051911</v>
      </c>
      <c r="Q33" s="81">
        <f t="shared" si="7"/>
        <v>10484596</v>
      </c>
      <c r="R33" s="81">
        <f t="shared" si="7"/>
        <v>10699306</v>
      </c>
      <c r="S33" s="81">
        <f t="shared" si="7"/>
        <v>41209653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60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7" width="19.42578125" customWidth="1"/>
    <col min="18" max="18" width="19.85546875" bestFit="1" customWidth="1"/>
  </cols>
  <sheetData>
    <row r="1" spans="1:18" ht="18.75">
      <c r="D1" s="125" t="s">
        <v>446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K4" s="127" t="s">
        <v>423</v>
      </c>
      <c r="L4" s="127"/>
      <c r="M4" s="127"/>
    </row>
    <row r="5" spans="1:18" ht="45">
      <c r="K5" s="1" t="s">
        <v>2</v>
      </c>
      <c r="L5" s="1" t="s">
        <v>447</v>
      </c>
      <c r="M5" s="1" t="s">
        <v>448</v>
      </c>
      <c r="N5" s="1" t="s">
        <v>276</v>
      </c>
      <c r="O5" s="1" t="s">
        <v>449</v>
      </c>
      <c r="P5" s="1" t="s">
        <v>450</v>
      </c>
      <c r="Q5" s="1" t="s">
        <v>451</v>
      </c>
      <c r="R5" s="1" t="s">
        <v>9</v>
      </c>
    </row>
    <row r="6" spans="1:18">
      <c r="A6" t="s">
        <v>10</v>
      </c>
    </row>
    <row r="7" spans="1:18">
      <c r="B7" t="s">
        <v>163</v>
      </c>
      <c r="K7" s="72">
        <v>471368</v>
      </c>
      <c r="L7" s="73">
        <v>895643</v>
      </c>
      <c r="M7" s="73"/>
      <c r="N7" s="73">
        <v>1128695</v>
      </c>
      <c r="O7" s="73"/>
      <c r="P7" s="73"/>
      <c r="Q7" s="73">
        <v>3013824</v>
      </c>
      <c r="R7" s="73">
        <f>SUM(K7:Q7)</f>
        <v>5509530</v>
      </c>
    </row>
    <row r="8" spans="1:18">
      <c r="B8" t="s">
        <v>12</v>
      </c>
      <c r="K8" s="77">
        <v>71227</v>
      </c>
      <c r="L8" s="73">
        <v>3067339</v>
      </c>
      <c r="M8" s="73"/>
      <c r="N8" s="73">
        <v>268695</v>
      </c>
      <c r="O8" s="73"/>
      <c r="P8" s="73"/>
      <c r="Q8" s="73"/>
      <c r="R8" s="73">
        <f t="shared" ref="R8:R16" si="0">SUM(K8:Q8)</f>
        <v>3407261</v>
      </c>
    </row>
    <row r="9" spans="1:18">
      <c r="B9" t="s">
        <v>452</v>
      </c>
      <c r="K9" s="74">
        <v>489489</v>
      </c>
      <c r="L9" s="73">
        <v>40</v>
      </c>
      <c r="M9" s="73">
        <v>1222</v>
      </c>
      <c r="N9" s="73"/>
      <c r="O9" s="73"/>
      <c r="P9" s="73"/>
      <c r="Q9" s="73">
        <v>421520</v>
      </c>
      <c r="R9" s="73">
        <f t="shared" si="0"/>
        <v>912271</v>
      </c>
    </row>
    <row r="10" spans="1:18">
      <c r="B10" t="s">
        <v>329</v>
      </c>
      <c r="K10" s="73"/>
      <c r="L10" s="73"/>
      <c r="M10" s="73"/>
      <c r="N10" s="73"/>
      <c r="O10" s="73"/>
      <c r="P10" s="73"/>
      <c r="Q10" s="73"/>
      <c r="R10" s="73">
        <f t="shared" si="0"/>
        <v>0</v>
      </c>
    </row>
    <row r="11" spans="1:18">
      <c r="C11" t="s">
        <v>11</v>
      </c>
      <c r="K11" s="72">
        <v>92784</v>
      </c>
      <c r="L11" s="73"/>
      <c r="M11" s="73"/>
      <c r="N11" s="73"/>
      <c r="O11" s="73"/>
      <c r="P11" s="73">
        <v>3341264</v>
      </c>
      <c r="Q11" s="73">
        <v>3437380</v>
      </c>
      <c r="R11" s="73">
        <f t="shared" si="0"/>
        <v>6871428</v>
      </c>
    </row>
    <row r="12" spans="1:18">
      <c r="C12" t="s">
        <v>12</v>
      </c>
      <c r="K12" s="73"/>
      <c r="L12" s="73"/>
      <c r="M12" s="73"/>
      <c r="N12" s="73"/>
      <c r="O12" s="73">
        <v>8630079</v>
      </c>
      <c r="P12" s="73"/>
      <c r="Q12" s="73"/>
      <c r="R12" s="73">
        <f t="shared" si="0"/>
        <v>8630079</v>
      </c>
    </row>
    <row r="13" spans="1:18">
      <c r="B13" t="s">
        <v>453</v>
      </c>
      <c r="K13" s="73"/>
      <c r="L13" s="73"/>
      <c r="M13" s="73">
        <v>18217</v>
      </c>
      <c r="N13" s="73">
        <v>168387</v>
      </c>
      <c r="O13" s="73"/>
      <c r="P13" s="73"/>
      <c r="Q13" s="73"/>
      <c r="R13" s="73">
        <f t="shared" si="0"/>
        <v>186604</v>
      </c>
    </row>
    <row r="14" spans="1:18">
      <c r="B14" t="s">
        <v>19</v>
      </c>
      <c r="K14" s="73"/>
      <c r="L14" s="73"/>
      <c r="M14" s="73"/>
      <c r="N14" s="73"/>
      <c r="O14" s="73"/>
      <c r="P14" s="73"/>
      <c r="Q14" s="73">
        <v>2945</v>
      </c>
      <c r="R14" s="73">
        <f t="shared" si="0"/>
        <v>2945</v>
      </c>
    </row>
    <row r="15" spans="1:18">
      <c r="B15" t="s">
        <v>18</v>
      </c>
      <c r="K15" s="75">
        <v>4026470</v>
      </c>
      <c r="L15" s="73"/>
      <c r="M15" s="73"/>
      <c r="N15" s="73">
        <v>1388509</v>
      </c>
      <c r="O15" s="73"/>
      <c r="P15" s="73"/>
      <c r="Q15" s="73">
        <v>153329</v>
      </c>
      <c r="R15" s="73">
        <f t="shared" si="0"/>
        <v>5568308</v>
      </c>
    </row>
    <row r="16" spans="1:18">
      <c r="B16" t="s">
        <v>60</v>
      </c>
      <c r="K16" s="75">
        <v>2236624</v>
      </c>
      <c r="L16" s="73">
        <v>1953706</v>
      </c>
      <c r="M16" s="73">
        <v>610687</v>
      </c>
      <c r="N16" s="73">
        <v>5276560</v>
      </c>
      <c r="O16" s="73"/>
      <c r="P16" s="73"/>
      <c r="Q16" s="73">
        <v>2242698</v>
      </c>
      <c r="R16" s="73">
        <f t="shared" si="0"/>
        <v>12320275</v>
      </c>
    </row>
    <row r="17" spans="1:18">
      <c r="B17" t="s">
        <v>454</v>
      </c>
      <c r="K17" s="83">
        <v>3431708</v>
      </c>
      <c r="L17" s="73">
        <v>300000</v>
      </c>
      <c r="M17" s="73"/>
      <c r="N17" s="73"/>
      <c r="O17" s="88"/>
      <c r="P17" s="88"/>
      <c r="Q17" s="88"/>
      <c r="R17" s="88">
        <f t="shared" ref="R17" si="1">SUM(K17:N17)</f>
        <v>3731708</v>
      </c>
    </row>
    <row r="18" spans="1:18">
      <c r="K18" s="109"/>
      <c r="L18" s="109"/>
      <c r="M18" s="109"/>
      <c r="N18" s="109"/>
      <c r="O18" s="73"/>
      <c r="P18" s="73"/>
      <c r="Q18" s="73"/>
      <c r="R18" s="73"/>
    </row>
    <row r="19" spans="1:18" s="3" customFormat="1">
      <c r="A19" s="2"/>
      <c r="B19" s="2"/>
      <c r="C19" s="2"/>
      <c r="D19" s="2"/>
      <c r="E19" s="2" t="s">
        <v>129</v>
      </c>
      <c r="K19" s="76">
        <f>SUM(K7:K17)</f>
        <v>10819670</v>
      </c>
      <c r="L19" s="76">
        <f>SUM(L7:L17)</f>
        <v>6216728</v>
      </c>
      <c r="M19" s="76">
        <f>SUM(M7:M17)</f>
        <v>630126</v>
      </c>
      <c r="N19" s="76">
        <f>SUM(N7:N17)</f>
        <v>8230846</v>
      </c>
      <c r="O19" s="76">
        <f t="shared" ref="O19:Q19" si="2">SUM(O7:O17)</f>
        <v>8630079</v>
      </c>
      <c r="P19" s="76">
        <f t="shared" si="2"/>
        <v>3341264</v>
      </c>
      <c r="Q19" s="76">
        <f t="shared" si="2"/>
        <v>9271696</v>
      </c>
      <c r="R19" s="76">
        <f>SUM(R7:R17)</f>
        <v>47140409</v>
      </c>
    </row>
    <row r="20" spans="1:18">
      <c r="K20" s="73"/>
      <c r="L20" s="73"/>
      <c r="M20" s="73"/>
      <c r="N20" s="73"/>
      <c r="O20" s="73"/>
      <c r="P20" s="73"/>
      <c r="Q20" s="73"/>
      <c r="R20" s="73"/>
    </row>
    <row r="21" spans="1:18">
      <c r="A21" s="4" t="s">
        <v>21</v>
      </c>
      <c r="K21" s="73"/>
      <c r="L21" s="73"/>
      <c r="M21" s="73"/>
      <c r="N21" s="73"/>
      <c r="O21" s="73"/>
      <c r="P21" s="73"/>
      <c r="Q21" s="73"/>
      <c r="R21" s="73"/>
    </row>
    <row r="22" spans="1:18">
      <c r="B22" t="s">
        <v>22</v>
      </c>
      <c r="K22" s="73"/>
      <c r="L22" s="73"/>
      <c r="M22" s="73"/>
      <c r="N22" s="73"/>
      <c r="O22" s="73"/>
      <c r="P22" s="73"/>
      <c r="Q22" s="73"/>
      <c r="R22" s="73"/>
    </row>
    <row r="23" spans="1:18">
      <c r="C23" t="s">
        <v>455</v>
      </c>
      <c r="K23" s="77">
        <v>908024</v>
      </c>
      <c r="L23" s="73">
        <v>11560</v>
      </c>
      <c r="M23" s="73">
        <v>211379</v>
      </c>
      <c r="N23" s="73">
        <v>152368</v>
      </c>
      <c r="O23" s="73">
        <v>2587318</v>
      </c>
      <c r="P23" s="73"/>
      <c r="Q23" s="73">
        <v>1157813</v>
      </c>
      <c r="R23" s="73">
        <f>SUM(K23:Q23)</f>
        <v>5028462</v>
      </c>
    </row>
    <row r="24" spans="1:18">
      <c r="C24" t="s">
        <v>456</v>
      </c>
      <c r="K24" s="73"/>
      <c r="L24" s="73"/>
      <c r="M24" s="73">
        <v>898663</v>
      </c>
      <c r="N24" s="73"/>
      <c r="O24" s="73"/>
      <c r="P24" s="73"/>
      <c r="Q24" s="73">
        <v>193903</v>
      </c>
      <c r="R24" s="73">
        <f t="shared" ref="R24:R30" si="3">SUM(K24:Q24)</f>
        <v>1092566</v>
      </c>
    </row>
    <row r="25" spans="1:18">
      <c r="C25" t="s">
        <v>457</v>
      </c>
      <c r="K25" s="77">
        <v>171242</v>
      </c>
      <c r="L25" s="73">
        <v>42769</v>
      </c>
      <c r="M25" s="73">
        <v>28283</v>
      </c>
      <c r="N25" s="73">
        <v>217873</v>
      </c>
      <c r="O25" s="73"/>
      <c r="P25" s="73"/>
      <c r="Q25" s="73">
        <v>23625</v>
      </c>
      <c r="R25" s="73">
        <f t="shared" si="3"/>
        <v>483792</v>
      </c>
    </row>
    <row r="26" spans="1:18">
      <c r="C26" t="s">
        <v>185</v>
      </c>
      <c r="K26" s="73"/>
      <c r="L26" s="73"/>
      <c r="M26" s="73"/>
      <c r="N26" s="73"/>
      <c r="O26" s="73"/>
      <c r="P26" s="73"/>
      <c r="Q26" s="73">
        <v>25414</v>
      </c>
      <c r="R26" s="73">
        <f t="shared" si="3"/>
        <v>25414</v>
      </c>
    </row>
    <row r="27" spans="1:18">
      <c r="C27" t="s">
        <v>95</v>
      </c>
      <c r="K27" s="78">
        <v>102933</v>
      </c>
      <c r="L27" s="73">
        <v>81657</v>
      </c>
      <c r="M27" s="73">
        <v>128301</v>
      </c>
      <c r="N27" s="73">
        <v>97464</v>
      </c>
      <c r="O27" s="73"/>
      <c r="P27" s="73"/>
      <c r="Q27" s="73">
        <v>164413</v>
      </c>
      <c r="R27" s="73">
        <f t="shared" si="3"/>
        <v>574768</v>
      </c>
    </row>
    <row r="28" spans="1:18">
      <c r="C28" t="s">
        <v>27</v>
      </c>
      <c r="K28" s="78">
        <v>791277</v>
      </c>
      <c r="L28" s="73">
        <v>227549</v>
      </c>
      <c r="M28" s="73">
        <v>2624842</v>
      </c>
      <c r="N28" s="73">
        <v>1303434</v>
      </c>
      <c r="O28" s="73"/>
      <c r="P28" s="73"/>
      <c r="Q28" s="73">
        <v>398823</v>
      </c>
      <c r="R28" s="73">
        <f t="shared" si="3"/>
        <v>5345925</v>
      </c>
    </row>
    <row r="29" spans="1:18">
      <c r="C29" t="s">
        <v>26</v>
      </c>
      <c r="K29" s="84">
        <v>19700</v>
      </c>
      <c r="L29" s="73"/>
      <c r="M29" s="73"/>
      <c r="N29" s="73"/>
      <c r="O29" s="73"/>
      <c r="P29" s="73"/>
      <c r="Q29" s="73"/>
      <c r="R29" s="73">
        <f t="shared" si="3"/>
        <v>19700</v>
      </c>
    </row>
    <row r="30" spans="1:18">
      <c r="C30" t="s">
        <v>458</v>
      </c>
      <c r="K30" s="73"/>
      <c r="L30" s="73"/>
      <c r="M30" s="73">
        <v>3731708</v>
      </c>
      <c r="N30" s="73"/>
      <c r="O30" s="88"/>
      <c r="P30" s="88"/>
      <c r="Q30" s="88"/>
      <c r="R30" s="88">
        <f t="shared" si="3"/>
        <v>3731708</v>
      </c>
    </row>
    <row r="31" spans="1:18">
      <c r="K31" s="109"/>
      <c r="L31" s="109"/>
      <c r="M31" s="109"/>
      <c r="N31" s="109"/>
      <c r="O31" s="73"/>
      <c r="P31" s="73"/>
      <c r="Q31" s="73"/>
      <c r="R31" s="73"/>
    </row>
    <row r="32" spans="1:18" s="5" customFormat="1">
      <c r="B32" s="6"/>
      <c r="C32" s="6"/>
      <c r="D32" s="6"/>
      <c r="E32" s="6" t="s">
        <v>28</v>
      </c>
      <c r="K32" s="79">
        <f>SUM(K23:K30)</f>
        <v>1993176</v>
      </c>
      <c r="L32" s="79">
        <f>SUM(L23:L30)</f>
        <v>363535</v>
      </c>
      <c r="M32" s="79">
        <f>SUM(M23:M30)</f>
        <v>7623176</v>
      </c>
      <c r="N32" s="79">
        <f>SUM(N23:N30)</f>
        <v>1771139</v>
      </c>
      <c r="O32" s="79">
        <f t="shared" ref="O32:Q32" si="4">SUM(O23:O30)</f>
        <v>2587318</v>
      </c>
      <c r="P32" s="79">
        <f t="shared" si="4"/>
        <v>0</v>
      </c>
      <c r="Q32" s="79">
        <f t="shared" si="4"/>
        <v>1963991</v>
      </c>
      <c r="R32" s="79">
        <f>SUM(R23:R30)</f>
        <v>16302335</v>
      </c>
    </row>
    <row r="33" spans="2:18">
      <c r="K33" s="73"/>
      <c r="L33" s="73"/>
      <c r="M33" s="73"/>
      <c r="N33" s="73"/>
      <c r="O33" s="73"/>
      <c r="P33" s="73"/>
      <c r="Q33" s="73"/>
      <c r="R33" s="73"/>
    </row>
    <row r="34" spans="2:18">
      <c r="B34" t="s">
        <v>100</v>
      </c>
      <c r="K34" s="73"/>
      <c r="L34" s="73"/>
      <c r="M34" s="73"/>
      <c r="N34" s="73"/>
      <c r="O34" s="73"/>
      <c r="P34" s="73"/>
      <c r="Q34" s="73"/>
      <c r="R34" s="73"/>
    </row>
    <row r="35" spans="2:18">
      <c r="C35" t="s">
        <v>459</v>
      </c>
      <c r="K35" s="73"/>
      <c r="L35" s="73"/>
      <c r="M35" s="73"/>
      <c r="N35" s="73"/>
      <c r="O35" s="73"/>
      <c r="P35" s="73"/>
      <c r="Q35" s="73"/>
      <c r="R35" s="73"/>
    </row>
    <row r="36" spans="2:18">
      <c r="D36" t="s">
        <v>61</v>
      </c>
      <c r="K36" s="73"/>
      <c r="L36" s="73"/>
      <c r="M36" s="73">
        <v>18217</v>
      </c>
      <c r="N36" s="73">
        <v>168387</v>
      </c>
      <c r="O36" s="73"/>
      <c r="P36" s="73"/>
      <c r="Q36" s="73"/>
      <c r="R36" s="73">
        <f>SUM(K36:Q36)</f>
        <v>186604</v>
      </c>
    </row>
    <row r="37" spans="2:18">
      <c r="D37" t="s">
        <v>460</v>
      </c>
      <c r="K37" s="80">
        <v>3431708</v>
      </c>
      <c r="L37" s="73">
        <v>300000</v>
      </c>
      <c r="M37" s="73"/>
      <c r="N37" s="73"/>
      <c r="O37" s="73"/>
      <c r="P37" s="73"/>
      <c r="Q37" s="73"/>
      <c r="R37" s="73">
        <f t="shared" ref="R37:R54" si="5">SUM(K37:Q37)</f>
        <v>3731708</v>
      </c>
    </row>
    <row r="38" spans="2:18">
      <c r="C38" t="s">
        <v>32</v>
      </c>
      <c r="K38" s="73"/>
      <c r="L38" s="73"/>
      <c r="M38" s="73"/>
      <c r="N38" s="73"/>
      <c r="O38" s="73"/>
      <c r="P38" s="73"/>
      <c r="Q38" s="73"/>
      <c r="R38" s="73"/>
    </row>
    <row r="39" spans="2:18">
      <c r="D39" t="s">
        <v>349</v>
      </c>
      <c r="K39" s="73"/>
      <c r="L39" s="73"/>
      <c r="M39" s="73"/>
      <c r="N39" s="73"/>
      <c r="O39" s="73">
        <v>6042761</v>
      </c>
      <c r="P39" s="73"/>
      <c r="Q39" s="73">
        <v>1450155</v>
      </c>
      <c r="R39" s="73">
        <f t="shared" si="5"/>
        <v>7492916</v>
      </c>
    </row>
    <row r="40" spans="2:18">
      <c r="D40" t="s">
        <v>461</v>
      </c>
      <c r="K40" s="73"/>
      <c r="L40" s="73"/>
      <c r="M40" s="73"/>
      <c r="N40" s="73"/>
      <c r="O40" s="73"/>
      <c r="P40" s="73"/>
      <c r="Q40" s="73">
        <v>7870</v>
      </c>
      <c r="R40" s="73">
        <f t="shared" si="5"/>
        <v>7870</v>
      </c>
    </row>
    <row r="41" spans="2:18">
      <c r="D41" t="s">
        <v>462</v>
      </c>
      <c r="K41" s="73"/>
      <c r="L41" s="73"/>
      <c r="M41" s="73"/>
      <c r="N41" s="73"/>
      <c r="O41" s="73"/>
      <c r="P41" s="73"/>
      <c r="Q41" s="73">
        <v>47125</v>
      </c>
      <c r="R41" s="73">
        <f t="shared" si="5"/>
        <v>47125</v>
      </c>
    </row>
    <row r="42" spans="2:18">
      <c r="D42" t="s">
        <v>43</v>
      </c>
      <c r="K42" s="73"/>
      <c r="L42" s="73"/>
      <c r="M42" s="73"/>
      <c r="N42" s="73"/>
      <c r="O42" s="73"/>
      <c r="P42" s="73">
        <v>3341264</v>
      </c>
      <c r="Q42" s="73">
        <v>5480322</v>
      </c>
      <c r="R42" s="73">
        <f t="shared" si="5"/>
        <v>8821586</v>
      </c>
    </row>
    <row r="43" spans="2:18">
      <c r="D43" t="s">
        <v>463</v>
      </c>
      <c r="K43" s="80">
        <v>92784</v>
      </c>
      <c r="L43" s="73"/>
      <c r="M43" s="73"/>
      <c r="N43" s="73"/>
      <c r="O43" s="73"/>
      <c r="P43" s="73"/>
      <c r="Q43" s="73"/>
      <c r="R43" s="73">
        <f t="shared" si="5"/>
        <v>92784</v>
      </c>
    </row>
    <row r="44" spans="2:18">
      <c r="C44" t="s">
        <v>464</v>
      </c>
      <c r="K44" s="73"/>
      <c r="L44" s="73"/>
      <c r="M44" s="73"/>
      <c r="N44" s="73"/>
      <c r="O44" s="73"/>
      <c r="P44" s="73"/>
      <c r="Q44" s="73"/>
      <c r="R44" s="73"/>
    </row>
    <row r="45" spans="2:18">
      <c r="D45" t="s">
        <v>349</v>
      </c>
      <c r="K45" s="73"/>
      <c r="L45" s="73"/>
      <c r="M45" s="73"/>
      <c r="N45" s="73">
        <v>467590</v>
      </c>
      <c r="O45" s="73"/>
      <c r="P45" s="73"/>
      <c r="Q45" s="73"/>
      <c r="R45" s="73">
        <f t="shared" si="5"/>
        <v>467590</v>
      </c>
    </row>
    <row r="46" spans="2:18">
      <c r="D46" t="s">
        <v>465</v>
      </c>
      <c r="K46" s="73"/>
      <c r="L46" s="73"/>
      <c r="M46" s="73"/>
      <c r="N46" s="73">
        <v>448367</v>
      </c>
      <c r="O46" s="73"/>
      <c r="P46" s="73"/>
      <c r="Q46" s="73"/>
      <c r="R46" s="73">
        <f t="shared" si="5"/>
        <v>448367</v>
      </c>
    </row>
    <row r="47" spans="2:18">
      <c r="D47" t="s">
        <v>466</v>
      </c>
      <c r="K47" s="110">
        <v>22500</v>
      </c>
      <c r="L47" s="73"/>
      <c r="M47" s="73"/>
      <c r="N47" s="73"/>
      <c r="O47" s="73"/>
      <c r="P47" s="73"/>
      <c r="Q47" s="73"/>
      <c r="R47" s="73">
        <f t="shared" si="5"/>
        <v>22500</v>
      </c>
    </row>
    <row r="48" spans="2:18">
      <c r="D48" t="s">
        <v>108</v>
      </c>
      <c r="K48" s="110">
        <v>15233</v>
      </c>
      <c r="L48" s="73"/>
      <c r="M48" s="73"/>
      <c r="N48" s="73"/>
      <c r="O48" s="73"/>
      <c r="P48" s="73"/>
      <c r="Q48" s="73"/>
      <c r="R48" s="73">
        <f t="shared" si="5"/>
        <v>15233</v>
      </c>
    </row>
    <row r="49" spans="3:18">
      <c r="C49" t="s">
        <v>42</v>
      </c>
      <c r="K49" s="73"/>
      <c r="L49" s="73"/>
      <c r="M49" s="73"/>
      <c r="N49" s="73"/>
      <c r="O49" s="73"/>
      <c r="P49" s="73"/>
      <c r="Q49" s="73"/>
      <c r="R49" s="73"/>
    </row>
    <row r="50" spans="3:18">
      <c r="D50" t="s">
        <v>467</v>
      </c>
      <c r="K50" s="73"/>
      <c r="L50" s="73"/>
      <c r="M50" s="73"/>
      <c r="N50" s="73"/>
      <c r="O50" s="73"/>
      <c r="P50" s="73"/>
      <c r="Q50" s="73">
        <v>28140</v>
      </c>
      <c r="R50" s="73">
        <f t="shared" si="5"/>
        <v>28140</v>
      </c>
    </row>
    <row r="51" spans="3:18">
      <c r="D51" t="s">
        <v>349</v>
      </c>
      <c r="K51" s="73"/>
      <c r="L51" s="73"/>
      <c r="M51" s="73"/>
      <c r="N51" s="73"/>
      <c r="O51" s="73"/>
      <c r="P51" s="73"/>
      <c r="Q51" s="73">
        <v>238269</v>
      </c>
      <c r="R51" s="73">
        <f t="shared" si="5"/>
        <v>238269</v>
      </c>
    </row>
    <row r="52" spans="3:18">
      <c r="D52" t="s">
        <v>468</v>
      </c>
      <c r="K52" s="73"/>
      <c r="L52" s="73"/>
      <c r="M52" s="73"/>
      <c r="N52" s="73"/>
      <c r="O52" s="73"/>
      <c r="P52" s="73"/>
      <c r="Q52" s="73">
        <v>351256</v>
      </c>
      <c r="R52" s="73">
        <f t="shared" si="5"/>
        <v>351256</v>
      </c>
    </row>
    <row r="53" spans="3:18">
      <c r="D53" t="s">
        <v>469</v>
      </c>
      <c r="K53" s="73"/>
      <c r="L53" s="73">
        <v>5553193</v>
      </c>
      <c r="M53" s="73"/>
      <c r="N53" s="73"/>
      <c r="O53" s="73"/>
      <c r="P53" s="73"/>
      <c r="Q53" s="73"/>
      <c r="R53" s="73">
        <f t="shared" si="5"/>
        <v>5553193</v>
      </c>
    </row>
    <row r="54" spans="3:18">
      <c r="D54" t="s">
        <v>470</v>
      </c>
      <c r="K54" s="73"/>
      <c r="L54" s="73"/>
      <c r="M54" s="73"/>
      <c r="N54" s="73">
        <v>5375363</v>
      </c>
      <c r="O54" s="73"/>
      <c r="P54" s="73"/>
      <c r="Q54" s="73"/>
      <c r="R54" s="73">
        <f t="shared" si="5"/>
        <v>5375363</v>
      </c>
    </row>
    <row r="55" spans="3:18">
      <c r="D55" t="s">
        <v>108</v>
      </c>
      <c r="K55" s="110">
        <v>248113</v>
      </c>
      <c r="L55" s="73"/>
      <c r="M55" s="73"/>
      <c r="N55" s="73"/>
      <c r="O55" s="73"/>
      <c r="P55" s="73"/>
      <c r="Q55" s="73">
        <v>29957</v>
      </c>
      <c r="R55" s="73">
        <f>SUM(K55:Q55)</f>
        <v>278070</v>
      </c>
    </row>
    <row r="56" spans="3:18">
      <c r="C56" t="s">
        <v>48</v>
      </c>
      <c r="K56" s="86">
        <v>5016156</v>
      </c>
      <c r="L56" s="73"/>
      <c r="M56" s="73">
        <v>-7011267</v>
      </c>
      <c r="N56" s="73"/>
      <c r="O56" s="88"/>
      <c r="P56" s="88"/>
      <c r="Q56" s="88">
        <v>-325389</v>
      </c>
      <c r="R56" s="88">
        <f>SUM(K56:Q56)</f>
        <v>-2320500</v>
      </c>
    </row>
    <row r="57" spans="3:18">
      <c r="K57" s="109"/>
      <c r="L57" s="109"/>
      <c r="M57" s="109"/>
      <c r="N57" s="109"/>
      <c r="O57" s="73"/>
      <c r="P57" s="73"/>
      <c r="Q57" s="73"/>
      <c r="R57" s="73"/>
    </row>
    <row r="58" spans="3:18" s="5" customFormat="1">
      <c r="D58" s="6"/>
      <c r="E58" s="6" t="s">
        <v>49</v>
      </c>
      <c r="K58" s="79">
        <f>SUM(K35:K57)</f>
        <v>8826494</v>
      </c>
      <c r="L58" s="79">
        <f>SUM(L36:L56)</f>
        <v>5853193</v>
      </c>
      <c r="M58" s="79">
        <f>SUM(M35:M56)</f>
        <v>-6993050</v>
      </c>
      <c r="N58" s="79">
        <f>SUM(N36:N56)</f>
        <v>6459707</v>
      </c>
      <c r="O58" s="79">
        <f t="shared" ref="O58:Q58" si="6">SUM(O36:O56)</f>
        <v>6042761</v>
      </c>
      <c r="P58" s="79">
        <f t="shared" si="6"/>
        <v>3341264</v>
      </c>
      <c r="Q58" s="79">
        <f t="shared" si="6"/>
        <v>7307705</v>
      </c>
      <c r="R58" s="79">
        <f>SUM(R36:R56)</f>
        <v>30838074</v>
      </c>
    </row>
    <row r="59" spans="3:18">
      <c r="K59" s="73"/>
      <c r="L59" s="73"/>
      <c r="M59" s="73"/>
      <c r="N59" s="73"/>
      <c r="O59" s="73"/>
      <c r="P59" s="73"/>
      <c r="Q59" s="73"/>
      <c r="R59" s="73"/>
    </row>
    <row r="60" spans="3:18" s="7" customFormat="1">
      <c r="D60" s="8"/>
      <c r="E60" s="8" t="s">
        <v>50</v>
      </c>
      <c r="K60" s="81">
        <f>SUM(K58,K32)</f>
        <v>10819670</v>
      </c>
      <c r="L60" s="81">
        <f>SUM(L32,L58)</f>
        <v>6216728</v>
      </c>
      <c r="M60" s="81">
        <f>SUM(M32,M58)</f>
        <v>630126</v>
      </c>
      <c r="N60" s="81">
        <f>SUM(N32,N58)</f>
        <v>8230846</v>
      </c>
      <c r="O60" s="81">
        <f t="shared" ref="O60:Q60" si="7">SUM(O32,O58)</f>
        <v>8630079</v>
      </c>
      <c r="P60" s="81">
        <f t="shared" si="7"/>
        <v>3341264</v>
      </c>
      <c r="Q60" s="81">
        <f t="shared" si="7"/>
        <v>9271696</v>
      </c>
      <c r="R60" s="81">
        <f>SUM(R32,R58)</f>
        <v>47140409</v>
      </c>
    </row>
  </sheetData>
  <mergeCells count="3">
    <mergeCell ref="D1:K1"/>
    <mergeCell ref="D2:K2"/>
    <mergeCell ref="K4:M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36"/>
  <sheetViews>
    <sheetView workbookViewId="0">
      <selection activeCell="K20" sqref="K20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7" customWidth="1"/>
    <col min="15" max="15" width="16.7109375" customWidth="1"/>
    <col min="16" max="16" width="13.7109375" customWidth="1"/>
    <col min="17" max="17" width="18.42578125" customWidth="1"/>
    <col min="18" max="18" width="18.140625" customWidth="1"/>
  </cols>
  <sheetData>
    <row r="1" spans="1:18" ht="18.75">
      <c r="D1" s="125" t="s">
        <v>471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 ht="36.75" customHeight="1">
      <c r="P4" s="57"/>
    </row>
    <row r="5" spans="1:18" ht="45">
      <c r="K5" s="1" t="s">
        <v>52</v>
      </c>
      <c r="L5" s="1" t="s">
        <v>124</v>
      </c>
      <c r="M5" s="1" t="s">
        <v>472</v>
      </c>
      <c r="N5" s="1" t="s">
        <v>123</v>
      </c>
      <c r="O5" s="1" t="s">
        <v>473</v>
      </c>
      <c r="P5" s="1" t="s">
        <v>474</v>
      </c>
      <c r="Q5" s="1" t="s">
        <v>8</v>
      </c>
      <c r="R5" s="1" t="s">
        <v>9</v>
      </c>
    </row>
    <row r="6" spans="1:18">
      <c r="A6" t="s">
        <v>10</v>
      </c>
    </row>
    <row r="7" spans="1:18">
      <c r="B7" t="s">
        <v>163</v>
      </c>
      <c r="K7" s="72">
        <v>144718</v>
      </c>
      <c r="L7" s="73">
        <v>484768</v>
      </c>
      <c r="M7" s="73">
        <v>1013880</v>
      </c>
      <c r="N7" s="73">
        <v>727316</v>
      </c>
      <c r="O7" s="73">
        <v>34490</v>
      </c>
      <c r="P7" s="73">
        <v>1544392</v>
      </c>
      <c r="Q7" s="73">
        <v>499366</v>
      </c>
      <c r="R7" s="73">
        <f>SUM(K7:Q7)</f>
        <v>4448930</v>
      </c>
    </row>
    <row r="8" spans="1:18">
      <c r="B8" t="s">
        <v>12</v>
      </c>
      <c r="K8" s="73"/>
      <c r="L8" s="73">
        <v>251664</v>
      </c>
      <c r="M8" s="73"/>
      <c r="N8" s="73"/>
      <c r="O8" s="73"/>
      <c r="P8" s="73">
        <v>2029651</v>
      </c>
      <c r="Q8" s="73">
        <v>668350</v>
      </c>
      <c r="R8" s="73">
        <f>SUM(K8:Q8)</f>
        <v>2949665</v>
      </c>
    </row>
    <row r="9" spans="1:18">
      <c r="B9" t="s">
        <v>59</v>
      </c>
      <c r="K9" s="74">
        <v>548595</v>
      </c>
      <c r="L9" s="73">
        <v>553789</v>
      </c>
      <c r="M9" s="73">
        <v>523068</v>
      </c>
      <c r="N9" s="73">
        <v>271032</v>
      </c>
      <c r="O9" s="73">
        <v>1788708</v>
      </c>
      <c r="P9" s="73">
        <v>1424480</v>
      </c>
      <c r="Q9" s="73">
        <v>341373</v>
      </c>
      <c r="R9" s="73">
        <f>SUM(K9:Q9)</f>
        <v>5451045</v>
      </c>
    </row>
    <row r="10" spans="1:18">
      <c r="B10" t="s">
        <v>235</v>
      </c>
      <c r="K10" s="74">
        <v>276108</v>
      </c>
      <c r="L10" s="73"/>
      <c r="M10" s="73"/>
      <c r="N10" s="73"/>
      <c r="O10" s="73"/>
      <c r="P10" s="73">
        <v>1770</v>
      </c>
      <c r="Q10" s="73">
        <v>2074</v>
      </c>
      <c r="R10" s="73">
        <f>SUM(K10:Q10)</f>
        <v>279952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 s="3" customFormat="1">
      <c r="A12" s="2"/>
      <c r="B12" s="2"/>
      <c r="C12" s="2"/>
      <c r="D12" s="2"/>
      <c r="E12" s="2" t="s">
        <v>129</v>
      </c>
      <c r="K12" s="76">
        <f t="shared" ref="K12:R12" si="0">SUM(K7:K10)</f>
        <v>969421</v>
      </c>
      <c r="L12" s="76">
        <f t="shared" si="0"/>
        <v>1290221</v>
      </c>
      <c r="M12" s="76">
        <f t="shared" si="0"/>
        <v>1536948</v>
      </c>
      <c r="N12" s="76">
        <f t="shared" si="0"/>
        <v>998348</v>
      </c>
      <c r="O12" s="76">
        <f t="shared" si="0"/>
        <v>1823198</v>
      </c>
      <c r="P12" s="76">
        <f t="shared" si="0"/>
        <v>5000293</v>
      </c>
      <c r="Q12" s="76">
        <f t="shared" si="0"/>
        <v>1511163</v>
      </c>
      <c r="R12" s="76">
        <f t="shared" si="0"/>
        <v>13129592</v>
      </c>
    </row>
    <row r="13" spans="1:18">
      <c r="K13" s="73"/>
      <c r="L13" s="73"/>
      <c r="M13" s="73"/>
      <c r="N13" s="73"/>
      <c r="O13" s="73"/>
      <c r="P13" s="73"/>
      <c r="Q13" s="73"/>
      <c r="R13" s="73"/>
    </row>
    <row r="14" spans="1:18">
      <c r="A14" s="4" t="s">
        <v>21</v>
      </c>
      <c r="K14" s="73"/>
      <c r="L14" s="73"/>
      <c r="M14" s="73"/>
      <c r="N14" s="73"/>
      <c r="O14" s="73"/>
      <c r="P14" s="73"/>
      <c r="Q14" s="73"/>
      <c r="R14" s="73"/>
    </row>
    <row r="15" spans="1:18">
      <c r="B15" t="s">
        <v>22</v>
      </c>
      <c r="K15" s="73"/>
      <c r="L15" s="73"/>
      <c r="M15" s="73"/>
      <c r="N15" s="73"/>
      <c r="O15" s="73"/>
      <c r="P15" s="73"/>
      <c r="Q15" s="73"/>
      <c r="R15" s="73"/>
    </row>
    <row r="16" spans="1:18">
      <c r="C16" t="s">
        <v>260</v>
      </c>
      <c r="K16" s="77">
        <v>112032</v>
      </c>
      <c r="L16" s="73">
        <v>2638</v>
      </c>
      <c r="M16" s="73">
        <v>8136</v>
      </c>
      <c r="N16">
        <v>8152</v>
      </c>
      <c r="O16" s="73">
        <v>25667</v>
      </c>
      <c r="P16" s="73">
        <v>53814</v>
      </c>
      <c r="Q16" s="73">
        <v>62431</v>
      </c>
      <c r="R16" s="73">
        <f>SUM(K16:Q16)</f>
        <v>272870</v>
      </c>
    </row>
    <row r="17" spans="2:18">
      <c r="C17" t="s">
        <v>237</v>
      </c>
      <c r="K17" s="77">
        <v>1770</v>
      </c>
      <c r="L17" s="73"/>
      <c r="M17" s="73"/>
      <c r="O17" s="73">
        <v>120015</v>
      </c>
      <c r="P17" s="73"/>
      <c r="Q17" s="73">
        <v>158167</v>
      </c>
      <c r="R17" s="73">
        <f>SUM(K17:Q17)</f>
        <v>279952</v>
      </c>
    </row>
    <row r="18" spans="2:18">
      <c r="K18" s="73"/>
      <c r="L18" s="73"/>
      <c r="M18" s="73"/>
      <c r="N18" s="73"/>
      <c r="O18" s="73"/>
      <c r="P18" s="73"/>
      <c r="Q18" s="73"/>
      <c r="R18" s="73"/>
    </row>
    <row r="19" spans="2:18" s="5" customFormat="1">
      <c r="B19" s="6"/>
      <c r="C19" s="6"/>
      <c r="D19" s="6"/>
      <c r="E19" s="6" t="s">
        <v>28</v>
      </c>
      <c r="K19" s="79">
        <f t="shared" ref="K19:R19" si="1">SUM(K16:K17)</f>
        <v>113802</v>
      </c>
      <c r="L19" s="79">
        <f t="shared" si="1"/>
        <v>2638</v>
      </c>
      <c r="M19" s="79">
        <f t="shared" si="1"/>
        <v>8136</v>
      </c>
      <c r="N19" s="79">
        <f t="shared" si="1"/>
        <v>8152</v>
      </c>
      <c r="O19" s="79">
        <f t="shared" si="1"/>
        <v>145682</v>
      </c>
      <c r="P19" s="79">
        <f t="shared" si="1"/>
        <v>53814</v>
      </c>
      <c r="Q19" s="79">
        <f t="shared" si="1"/>
        <v>220598</v>
      </c>
      <c r="R19" s="79">
        <f t="shared" si="1"/>
        <v>552822</v>
      </c>
    </row>
    <row r="20" spans="2:18">
      <c r="K20" s="73"/>
      <c r="L20" s="73"/>
      <c r="M20" s="73"/>
      <c r="N20" s="73"/>
      <c r="O20" s="73"/>
      <c r="P20" s="73"/>
      <c r="Q20" s="73"/>
      <c r="R20" s="73"/>
    </row>
    <row r="21" spans="2:18">
      <c r="B21" t="s">
        <v>100</v>
      </c>
      <c r="K21" s="73"/>
      <c r="L21" s="73"/>
      <c r="M21" s="73"/>
      <c r="N21" s="73"/>
      <c r="O21" s="73"/>
      <c r="P21" s="73"/>
      <c r="Q21" s="73"/>
      <c r="R21" s="73"/>
    </row>
    <row r="22" spans="2:18">
      <c r="C22" t="s">
        <v>118</v>
      </c>
      <c r="K22" s="73"/>
      <c r="L22" s="73">
        <v>1287583</v>
      </c>
      <c r="M22" s="73">
        <v>1528812</v>
      </c>
      <c r="N22" s="73">
        <v>990196</v>
      </c>
      <c r="O22" s="73">
        <v>1677516</v>
      </c>
      <c r="P22" s="73">
        <v>4946479</v>
      </c>
      <c r="Q22" s="73">
        <v>1290565</v>
      </c>
      <c r="R22" s="73">
        <f>SUM(K22:Q22)</f>
        <v>11721151</v>
      </c>
    </row>
    <row r="23" spans="2:18">
      <c r="C23" t="s">
        <v>48</v>
      </c>
      <c r="K23" s="86">
        <v>855619</v>
      </c>
      <c r="L23" s="73"/>
      <c r="M23" s="73"/>
      <c r="N23" s="73"/>
      <c r="O23" s="73"/>
      <c r="P23" s="73"/>
      <c r="Q23" s="73"/>
      <c r="R23" s="73">
        <f>SUM(K23:Q23)</f>
        <v>855619</v>
      </c>
    </row>
    <row r="24" spans="2:18">
      <c r="K24" s="73"/>
      <c r="L24" s="73"/>
      <c r="M24" s="73"/>
      <c r="N24" s="73"/>
      <c r="O24" s="73"/>
      <c r="P24" s="73"/>
      <c r="Q24" s="73"/>
      <c r="R24" s="73"/>
    </row>
    <row r="25" spans="2:18" s="5" customFormat="1">
      <c r="D25" s="6"/>
      <c r="E25" s="6" t="s">
        <v>49</v>
      </c>
      <c r="K25" s="79">
        <f>SUM(K22:K24)</f>
        <v>855619</v>
      </c>
      <c r="L25" s="79">
        <f t="shared" ref="L25:R25" si="2">SUM(L22:L23)</f>
        <v>1287583</v>
      </c>
      <c r="M25" s="79">
        <f t="shared" si="2"/>
        <v>1528812</v>
      </c>
      <c r="N25" s="79">
        <f t="shared" si="2"/>
        <v>990196</v>
      </c>
      <c r="O25" s="79">
        <f t="shared" si="2"/>
        <v>1677516</v>
      </c>
      <c r="P25" s="79">
        <f t="shared" si="2"/>
        <v>4946479</v>
      </c>
      <c r="Q25" s="79">
        <f t="shared" si="2"/>
        <v>1290565</v>
      </c>
      <c r="R25" s="79">
        <f t="shared" si="2"/>
        <v>12576770</v>
      </c>
    </row>
    <row r="26" spans="2:18">
      <c r="K26" s="73"/>
      <c r="L26" s="73"/>
      <c r="M26" s="73"/>
      <c r="N26" s="73"/>
      <c r="O26" s="73"/>
      <c r="P26" s="73"/>
      <c r="Q26" s="73"/>
      <c r="R26" s="73"/>
    </row>
    <row r="27" spans="2:18" s="7" customFormat="1">
      <c r="D27" s="8"/>
      <c r="E27" s="8" t="s">
        <v>50</v>
      </c>
      <c r="K27" s="81">
        <f>K25+K19</f>
        <v>969421</v>
      </c>
      <c r="L27" s="81">
        <f t="shared" ref="L27:R27" si="3">L25+L19</f>
        <v>1290221</v>
      </c>
      <c r="M27" s="81">
        <f t="shared" si="3"/>
        <v>1536948</v>
      </c>
      <c r="N27" s="81">
        <f t="shared" si="3"/>
        <v>998348</v>
      </c>
      <c r="O27" s="81">
        <f t="shared" si="3"/>
        <v>1823198</v>
      </c>
      <c r="P27" s="81">
        <f t="shared" si="3"/>
        <v>5000293</v>
      </c>
      <c r="Q27" s="81">
        <f t="shared" si="3"/>
        <v>1511163</v>
      </c>
      <c r="R27" s="81">
        <f t="shared" si="3"/>
        <v>13129592</v>
      </c>
    </row>
    <row r="31" spans="2:18">
      <c r="R31" s="97"/>
    </row>
    <row r="36" spans="18:18">
      <c r="R36" s="93"/>
    </row>
  </sheetData>
  <mergeCells count="2">
    <mergeCell ref="D1:K1"/>
    <mergeCell ref="D2:K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42"/>
  <sheetViews>
    <sheetView workbookViewId="0">
      <selection activeCell="D31" sqref="D31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8" width="19.42578125" customWidth="1"/>
    <col min="19" max="19" width="18.42578125" customWidth="1"/>
    <col min="20" max="20" width="18.140625" customWidth="1"/>
  </cols>
  <sheetData>
    <row r="1" spans="1:20" ht="18.75">
      <c r="D1" s="125" t="s">
        <v>475</v>
      </c>
      <c r="E1" s="125"/>
      <c r="F1" s="125"/>
      <c r="G1" s="125"/>
      <c r="H1" s="125"/>
      <c r="I1" s="125"/>
      <c r="J1" s="125"/>
      <c r="K1" s="125"/>
    </row>
    <row r="2" spans="1:20">
      <c r="D2" s="126" t="s">
        <v>1</v>
      </c>
      <c r="E2" s="126"/>
      <c r="F2" s="126"/>
      <c r="G2" s="126"/>
      <c r="H2" s="126"/>
      <c r="I2" s="126"/>
      <c r="J2" s="126"/>
      <c r="K2" s="126"/>
    </row>
    <row r="3" spans="1:20">
      <c r="D3" s="57"/>
      <c r="E3" s="57"/>
      <c r="F3" s="57"/>
      <c r="G3" s="57"/>
      <c r="H3" s="57"/>
      <c r="I3" s="57"/>
      <c r="J3" s="57"/>
      <c r="K3" s="57"/>
    </row>
    <row r="4" spans="1:20" ht="36.75" customHeight="1">
      <c r="P4" s="57"/>
      <c r="Q4" s="57"/>
    </row>
    <row r="5" spans="1:20" ht="45">
      <c r="K5" s="1" t="s">
        <v>52</v>
      </c>
      <c r="L5" s="1" t="s">
        <v>476</v>
      </c>
      <c r="M5" s="1" t="s">
        <v>149</v>
      </c>
      <c r="N5" s="1" t="s">
        <v>309</v>
      </c>
      <c r="O5" s="1" t="s">
        <v>477</v>
      </c>
      <c r="P5" s="1" t="s">
        <v>112</v>
      </c>
      <c r="Q5" s="1" t="s">
        <v>123</v>
      </c>
      <c r="R5" s="1" t="s">
        <v>258</v>
      </c>
      <c r="S5" s="1" t="s">
        <v>8</v>
      </c>
      <c r="T5" s="1" t="s">
        <v>9</v>
      </c>
    </row>
    <row r="6" spans="1:20">
      <c r="A6" t="s">
        <v>10</v>
      </c>
    </row>
    <row r="7" spans="1:20">
      <c r="B7" t="s">
        <v>11</v>
      </c>
      <c r="K7" s="73"/>
      <c r="L7" s="73">
        <v>77</v>
      </c>
      <c r="M7" s="73">
        <v>742330</v>
      </c>
      <c r="N7" s="73">
        <v>992004</v>
      </c>
      <c r="O7" s="73"/>
      <c r="P7" s="73">
        <v>1161580</v>
      </c>
      <c r="Q7" s="73">
        <v>675294</v>
      </c>
      <c r="R7" s="73"/>
      <c r="S7" s="73">
        <v>283889</v>
      </c>
      <c r="T7" s="73">
        <f>SUM(K7:S7)</f>
        <v>3855174</v>
      </c>
    </row>
    <row r="8" spans="1:20">
      <c r="B8" t="s">
        <v>12</v>
      </c>
      <c r="K8" s="77">
        <v>25000</v>
      </c>
      <c r="L8" s="73"/>
      <c r="M8" s="73">
        <v>100000</v>
      </c>
      <c r="N8" s="73">
        <v>375000</v>
      </c>
      <c r="O8" s="73"/>
      <c r="P8" s="73"/>
      <c r="Q8" s="73">
        <v>25000</v>
      </c>
      <c r="R8" s="73"/>
      <c r="S8" s="73"/>
      <c r="T8" s="73">
        <f>SUM(K8:S8)</f>
        <v>525000</v>
      </c>
    </row>
    <row r="9" spans="1:20">
      <c r="B9" t="s">
        <v>59</v>
      </c>
      <c r="K9" s="74">
        <v>564067</v>
      </c>
      <c r="L9" s="73"/>
      <c r="M9" s="73">
        <v>790942</v>
      </c>
      <c r="N9" s="73">
        <v>331287</v>
      </c>
      <c r="O9" s="73">
        <v>209135</v>
      </c>
      <c r="P9" s="73">
        <v>165</v>
      </c>
      <c r="Q9" s="73">
        <v>126251</v>
      </c>
      <c r="R9" s="73">
        <v>54015</v>
      </c>
      <c r="S9" s="73">
        <v>74876</v>
      </c>
      <c r="T9" s="73">
        <f>SUM(K9:S9)</f>
        <v>2150738</v>
      </c>
    </row>
    <row r="10" spans="1:20">
      <c r="B10" t="s">
        <v>478</v>
      </c>
      <c r="K10" s="75">
        <v>73462</v>
      </c>
      <c r="L10" s="73">
        <v>1500</v>
      </c>
      <c r="M10" s="73">
        <v>8697</v>
      </c>
      <c r="N10" s="73">
        <v>2603</v>
      </c>
      <c r="O10" s="73">
        <v>62359</v>
      </c>
      <c r="P10" s="73">
        <v>3548</v>
      </c>
      <c r="Q10" s="73">
        <v>1228</v>
      </c>
      <c r="R10" s="73">
        <v>2505</v>
      </c>
      <c r="S10" s="73"/>
      <c r="T10" s="73">
        <f>SUM(K10:S10)</f>
        <v>155902</v>
      </c>
    </row>
    <row r="11" spans="1:20">
      <c r="K11" s="73"/>
      <c r="L11" s="73"/>
      <c r="M11" s="73"/>
      <c r="N11" s="73"/>
      <c r="O11" s="73"/>
      <c r="P11" s="73"/>
      <c r="Q11" s="73"/>
      <c r="R11" s="73"/>
      <c r="S11" s="73"/>
      <c r="T11" s="73"/>
    </row>
    <row r="12" spans="1:20" s="3" customFormat="1">
      <c r="A12" s="2"/>
      <c r="B12" s="2"/>
      <c r="C12" s="2"/>
      <c r="D12" s="2"/>
      <c r="E12" s="2" t="s">
        <v>129</v>
      </c>
      <c r="K12" s="76">
        <f t="shared" ref="K12:T12" si="0">SUM(K7:K10)</f>
        <v>662529</v>
      </c>
      <c r="L12" s="76">
        <f t="shared" si="0"/>
        <v>1577</v>
      </c>
      <c r="M12" s="76">
        <f t="shared" si="0"/>
        <v>1641969</v>
      </c>
      <c r="N12" s="76">
        <f t="shared" si="0"/>
        <v>1700894</v>
      </c>
      <c r="O12" s="76">
        <f t="shared" si="0"/>
        <v>271494</v>
      </c>
      <c r="P12" s="76">
        <f t="shared" si="0"/>
        <v>1165293</v>
      </c>
      <c r="Q12" s="76">
        <f t="shared" si="0"/>
        <v>827773</v>
      </c>
      <c r="R12" s="76">
        <f t="shared" si="0"/>
        <v>56520</v>
      </c>
      <c r="S12" s="76">
        <f t="shared" si="0"/>
        <v>358765</v>
      </c>
      <c r="T12" s="76">
        <f t="shared" si="0"/>
        <v>6686814</v>
      </c>
    </row>
    <row r="13" spans="1:20"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spans="1:20">
      <c r="A14" s="4" t="s">
        <v>21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spans="1:20">
      <c r="B15" t="s">
        <v>22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spans="1:20">
      <c r="C16" t="s">
        <v>479</v>
      </c>
      <c r="K16" s="83">
        <v>1557417</v>
      </c>
      <c r="L16" s="73"/>
      <c r="M16" s="73"/>
      <c r="O16" s="73">
        <v>187862</v>
      </c>
      <c r="P16" s="73"/>
      <c r="Q16" s="73"/>
      <c r="R16">
        <v>321808</v>
      </c>
      <c r="S16" s="73"/>
      <c r="T16" s="73">
        <f t="shared" ref="T16:T19" si="1">SUM(K16:S16)</f>
        <v>2067087</v>
      </c>
    </row>
    <row r="17" spans="1:20">
      <c r="C17" t="s">
        <v>23</v>
      </c>
      <c r="K17" s="77">
        <v>175162</v>
      </c>
      <c r="L17" s="73">
        <v>1500</v>
      </c>
      <c r="M17" s="73">
        <v>23895</v>
      </c>
      <c r="N17">
        <v>6698</v>
      </c>
      <c r="O17" s="73">
        <v>15935</v>
      </c>
      <c r="P17" s="73">
        <v>27865</v>
      </c>
      <c r="Q17" s="73">
        <v>332</v>
      </c>
      <c r="R17" s="73">
        <v>487</v>
      </c>
      <c r="S17" s="73">
        <v>1618</v>
      </c>
      <c r="T17" s="73">
        <f t="shared" si="1"/>
        <v>253492</v>
      </c>
    </row>
    <row r="18" spans="1:20">
      <c r="C18" t="s">
        <v>480</v>
      </c>
      <c r="K18" s="83">
        <v>23698</v>
      </c>
      <c r="L18" s="73"/>
      <c r="M18" s="73"/>
      <c r="O18" s="73"/>
      <c r="P18" s="73"/>
      <c r="Q18" s="73"/>
      <c r="R18">
        <v>3798</v>
      </c>
      <c r="S18" s="73"/>
      <c r="T18" s="73">
        <f t="shared" si="1"/>
        <v>27496</v>
      </c>
    </row>
    <row r="19" spans="1:20">
      <c r="C19" t="s">
        <v>27</v>
      </c>
      <c r="K19" s="78">
        <v>49393</v>
      </c>
      <c r="L19" s="73"/>
      <c r="M19" s="73">
        <v>13654</v>
      </c>
      <c r="N19">
        <v>2129</v>
      </c>
      <c r="O19" s="73">
        <v>3630</v>
      </c>
      <c r="P19" s="73">
        <v>8460</v>
      </c>
      <c r="Q19" s="73">
        <v>39389</v>
      </c>
      <c r="R19" s="73">
        <v>39247</v>
      </c>
      <c r="S19" s="73"/>
      <c r="T19" s="73">
        <f t="shared" si="1"/>
        <v>155902</v>
      </c>
    </row>
    <row r="20" spans="1:20">
      <c r="K20" s="73"/>
      <c r="L20" s="73"/>
      <c r="M20" s="73"/>
      <c r="N20" s="73"/>
      <c r="O20" s="73"/>
      <c r="P20" s="73"/>
      <c r="Q20" s="73"/>
      <c r="R20" s="73"/>
      <c r="S20" s="73"/>
      <c r="T20" s="73"/>
    </row>
    <row r="21" spans="1:20" s="5" customFormat="1">
      <c r="B21" s="6"/>
      <c r="C21" s="6"/>
      <c r="D21" s="6"/>
      <c r="E21" s="6" t="s">
        <v>28</v>
      </c>
      <c r="K21" s="79">
        <f>SUM(K16:K19)</f>
        <v>1805670</v>
      </c>
      <c r="L21" s="79">
        <f t="shared" ref="L21:O21" si="2">SUM(L16:L19)</f>
        <v>1500</v>
      </c>
      <c r="M21" s="79">
        <f t="shared" si="2"/>
        <v>37549</v>
      </c>
      <c r="N21" s="79">
        <f t="shared" si="2"/>
        <v>8827</v>
      </c>
      <c r="O21" s="79">
        <f t="shared" si="2"/>
        <v>207427</v>
      </c>
      <c r="P21" s="79">
        <f>SUM(P16:P19)</f>
        <v>36325</v>
      </c>
      <c r="Q21" s="79">
        <f>SUM(Q16:Q19)</f>
        <v>39721</v>
      </c>
      <c r="R21" s="79">
        <f>SUM(R16:R19)</f>
        <v>365340</v>
      </c>
      <c r="S21" s="79">
        <f>SUM(S16:S19)</f>
        <v>1618</v>
      </c>
      <c r="T21" s="79">
        <f>SUM(T16:T19)</f>
        <v>2503977</v>
      </c>
    </row>
    <row r="22" spans="1:20">
      <c r="K22" s="73"/>
      <c r="L22" s="73"/>
      <c r="M22" s="73"/>
      <c r="N22" s="73"/>
      <c r="O22" s="73"/>
      <c r="P22" s="73"/>
      <c r="Q22" s="73"/>
      <c r="R22" s="73"/>
      <c r="S22" s="73"/>
      <c r="T22" s="73"/>
    </row>
    <row r="23" spans="1:20">
      <c r="A23" s="71" t="s">
        <v>29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</row>
    <row r="24" spans="1:20">
      <c r="C24" t="s">
        <v>169</v>
      </c>
      <c r="K24" s="88">
        <v>529535</v>
      </c>
      <c r="L24" s="88"/>
      <c r="M24" s="88">
        <v>779339</v>
      </c>
      <c r="N24" s="88">
        <v>356157</v>
      </c>
      <c r="O24" s="88">
        <v>226255</v>
      </c>
      <c r="P24" s="88"/>
      <c r="Q24" s="88">
        <v>139666</v>
      </c>
      <c r="R24" s="88"/>
      <c r="S24" s="88">
        <v>79616</v>
      </c>
      <c r="T24" s="88">
        <f>SUM(K24:S24)</f>
        <v>2110568</v>
      </c>
    </row>
    <row r="25" spans="1:20">
      <c r="K25" s="73"/>
      <c r="L25" s="73"/>
      <c r="M25" s="73"/>
      <c r="N25" s="73"/>
      <c r="O25" s="73"/>
      <c r="P25" s="73"/>
      <c r="Q25" s="73"/>
      <c r="R25" s="73"/>
      <c r="S25" s="73"/>
      <c r="T25" s="73"/>
    </row>
    <row r="26" spans="1:20">
      <c r="B26" t="s">
        <v>100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spans="1:20">
      <c r="C27" t="s">
        <v>481</v>
      </c>
      <c r="K27" s="73"/>
      <c r="L27" s="73"/>
      <c r="M27" s="73">
        <v>825081</v>
      </c>
      <c r="N27" s="73">
        <v>1335910</v>
      </c>
      <c r="O27" s="73"/>
      <c r="P27" s="73">
        <v>1128968</v>
      </c>
      <c r="Q27" s="73">
        <v>648386</v>
      </c>
      <c r="R27" s="73"/>
      <c r="S27" s="73">
        <v>277531</v>
      </c>
      <c r="T27" s="73">
        <f>SUM(K27:S27)</f>
        <v>4215876</v>
      </c>
    </row>
    <row r="28" spans="1:20">
      <c r="C28" t="s">
        <v>482</v>
      </c>
      <c r="K28" s="73"/>
      <c r="L28" s="73"/>
      <c r="M28" s="73"/>
      <c r="N28" s="73"/>
      <c r="O28" s="73">
        <v>-162188</v>
      </c>
      <c r="P28" s="73"/>
      <c r="Q28" s="73"/>
      <c r="R28" s="73">
        <v>-308820</v>
      </c>
      <c r="S28" s="73"/>
      <c r="T28" s="73">
        <f>SUM(K28:S28)</f>
        <v>-471008</v>
      </c>
    </row>
    <row r="29" spans="1:20">
      <c r="C29" t="s">
        <v>48</v>
      </c>
      <c r="K29" s="86">
        <v>-1672676</v>
      </c>
      <c r="L29" s="73">
        <v>77</v>
      </c>
      <c r="M29" s="73"/>
      <c r="N29" s="73"/>
      <c r="O29" s="73"/>
      <c r="P29" s="73"/>
      <c r="Q29" s="73"/>
      <c r="R29" s="73"/>
      <c r="S29" s="73"/>
      <c r="T29" s="73">
        <f>SUM(K29:S29)</f>
        <v>-1672599</v>
      </c>
    </row>
    <row r="30" spans="1:20">
      <c r="K30" s="73"/>
      <c r="L30" s="73"/>
      <c r="M30" s="73"/>
      <c r="N30" s="73"/>
      <c r="O30" s="73"/>
      <c r="P30" s="73"/>
      <c r="Q30" s="73"/>
      <c r="R30" s="73"/>
      <c r="S30" s="73"/>
      <c r="T30" s="73"/>
    </row>
    <row r="31" spans="1:20" s="5" customFormat="1">
      <c r="D31" s="6"/>
      <c r="E31" s="6" t="s">
        <v>49</v>
      </c>
      <c r="K31" s="79">
        <f>SUM(K27:K30)</f>
        <v>-1672676</v>
      </c>
      <c r="L31" s="79">
        <f t="shared" ref="L31:T31" si="3">SUM(L27:L29)</f>
        <v>77</v>
      </c>
      <c r="M31" s="79">
        <f t="shared" si="3"/>
        <v>825081</v>
      </c>
      <c r="N31" s="79">
        <f t="shared" si="3"/>
        <v>1335910</v>
      </c>
      <c r="O31" s="79">
        <f t="shared" si="3"/>
        <v>-162188</v>
      </c>
      <c r="P31" s="79">
        <f t="shared" si="3"/>
        <v>1128968</v>
      </c>
      <c r="Q31" s="79">
        <f t="shared" si="3"/>
        <v>648386</v>
      </c>
      <c r="R31" s="79">
        <f t="shared" si="3"/>
        <v>-308820</v>
      </c>
      <c r="S31" s="79">
        <f t="shared" si="3"/>
        <v>277531</v>
      </c>
      <c r="T31" s="79">
        <f t="shared" si="3"/>
        <v>2072269</v>
      </c>
    </row>
    <row r="32" spans="1:20">
      <c r="K32" s="73"/>
      <c r="L32" s="73"/>
      <c r="M32" s="73"/>
      <c r="N32" s="73"/>
      <c r="O32" s="73"/>
      <c r="P32" s="73"/>
      <c r="Q32" s="73"/>
      <c r="R32" s="73"/>
      <c r="S32" s="73"/>
      <c r="T32" s="73"/>
    </row>
    <row r="33" spans="4:20" s="7" customFormat="1">
      <c r="D33" s="8"/>
      <c r="E33" s="8" t="s">
        <v>50</v>
      </c>
      <c r="K33" s="81">
        <f>K31+K24+K21</f>
        <v>662529</v>
      </c>
      <c r="L33" s="81">
        <f t="shared" ref="L33:T33" si="4">L31+L24+L21</f>
        <v>1577</v>
      </c>
      <c r="M33" s="81">
        <f t="shared" si="4"/>
        <v>1641969</v>
      </c>
      <c r="N33" s="81">
        <f t="shared" si="4"/>
        <v>1700894</v>
      </c>
      <c r="O33" s="81">
        <f t="shared" si="4"/>
        <v>271494</v>
      </c>
      <c r="P33" s="81">
        <f t="shared" si="4"/>
        <v>1165293</v>
      </c>
      <c r="Q33" s="81">
        <f>Q31+Q24+Q21</f>
        <v>827773</v>
      </c>
      <c r="R33" s="81">
        <f t="shared" si="4"/>
        <v>56520</v>
      </c>
      <c r="S33" s="81">
        <f t="shared" si="4"/>
        <v>358765</v>
      </c>
      <c r="T33" s="81">
        <f t="shared" si="4"/>
        <v>6686814</v>
      </c>
    </row>
    <row r="37" spans="4:20">
      <c r="T37" s="97"/>
    </row>
    <row r="42" spans="4:20">
      <c r="T42" s="93"/>
    </row>
  </sheetData>
  <mergeCells count="2">
    <mergeCell ref="D1:K1"/>
    <mergeCell ref="D2:K2"/>
  </mergeCells>
  <pageMargins left="0.7" right="0.7" top="0.75" bottom="0.75" header="0.3" footer="0.3"/>
  <pageSetup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38"/>
  <sheetViews>
    <sheetView workbookViewId="0">
      <selection activeCell="S25" sqref="S25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5.7109375" customWidth="1"/>
    <col min="15" max="15" width="15.28515625" customWidth="1"/>
    <col min="16" max="16" width="19.42578125" customWidth="1"/>
    <col min="17" max="17" width="16.85546875" customWidth="1"/>
    <col min="18" max="18" width="14.85546875" customWidth="1"/>
    <col min="19" max="19" width="18.140625" customWidth="1"/>
  </cols>
  <sheetData>
    <row r="1" spans="1:19" ht="18.75">
      <c r="D1" s="125" t="s">
        <v>483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 ht="36.75" customHeight="1">
      <c r="P4" s="57"/>
      <c r="Q4" s="57"/>
    </row>
    <row r="5" spans="1:19" ht="45">
      <c r="K5" s="1" t="s">
        <v>52</v>
      </c>
      <c r="L5" s="1" t="s">
        <v>440</v>
      </c>
      <c r="M5" s="1" t="s">
        <v>4</v>
      </c>
      <c r="N5" s="1" t="s">
        <v>484</v>
      </c>
      <c r="O5" s="1" t="s">
        <v>447</v>
      </c>
      <c r="P5" s="1" t="s">
        <v>485</v>
      </c>
      <c r="Q5" s="1" t="s">
        <v>176</v>
      </c>
      <c r="R5" s="1" t="s">
        <v>486</v>
      </c>
      <c r="S5" s="1" t="s">
        <v>9</v>
      </c>
    </row>
    <row r="6" spans="1:19">
      <c r="A6" t="s">
        <v>10</v>
      </c>
    </row>
    <row r="7" spans="1:19">
      <c r="B7" t="s">
        <v>163</v>
      </c>
      <c r="K7" s="72">
        <v>711107</v>
      </c>
      <c r="L7" s="73">
        <v>1282630</v>
      </c>
      <c r="M7" s="73">
        <v>1443237</v>
      </c>
      <c r="N7" s="73">
        <v>1365273</v>
      </c>
      <c r="O7" s="73">
        <v>515770</v>
      </c>
      <c r="P7" s="73">
        <v>745674</v>
      </c>
      <c r="Q7" s="73"/>
      <c r="R7" s="73">
        <v>628623</v>
      </c>
      <c r="S7" s="73">
        <f>SUM(K7:R7)</f>
        <v>6692314</v>
      </c>
    </row>
    <row r="8" spans="1:19">
      <c r="B8" t="s">
        <v>487</v>
      </c>
      <c r="K8" s="74">
        <v>1066676</v>
      </c>
      <c r="L8" s="73">
        <v>1292764</v>
      </c>
      <c r="M8" s="73">
        <v>228799</v>
      </c>
      <c r="N8" s="73">
        <v>1994247</v>
      </c>
      <c r="O8" s="73">
        <v>805338</v>
      </c>
      <c r="P8" s="73">
        <v>805338</v>
      </c>
      <c r="Q8" s="73">
        <v>123038</v>
      </c>
      <c r="R8" s="73">
        <v>264776</v>
      </c>
      <c r="S8" s="73">
        <f>SUM(K8:R8)</f>
        <v>6580976</v>
      </c>
    </row>
    <row r="9" spans="1:19">
      <c r="B9" t="s">
        <v>478</v>
      </c>
      <c r="K9" s="73"/>
      <c r="L9" s="73"/>
      <c r="M9" s="73"/>
      <c r="N9" s="73"/>
      <c r="O9" s="73"/>
      <c r="P9" s="73"/>
      <c r="Q9" s="73"/>
      <c r="R9" s="73">
        <v>1000</v>
      </c>
      <c r="S9" s="73">
        <f>SUM(K9:R9)</f>
        <v>1000</v>
      </c>
    </row>
    <row r="10" spans="1:19">
      <c r="K10" s="73"/>
      <c r="L10" s="73"/>
      <c r="M10" s="73"/>
      <c r="N10" s="73"/>
      <c r="O10" s="73"/>
      <c r="P10" s="73"/>
      <c r="Q10" s="73"/>
      <c r="R10" s="73"/>
      <c r="S10" s="73"/>
    </row>
    <row r="11" spans="1:19" s="3" customFormat="1">
      <c r="A11" s="2"/>
      <c r="B11" s="2"/>
      <c r="C11" s="2"/>
      <c r="D11" s="2"/>
      <c r="E11" s="2" t="s">
        <v>129</v>
      </c>
      <c r="K11" s="76">
        <f t="shared" ref="K11:S11" si="0">SUM(K7:K9)</f>
        <v>1777783</v>
      </c>
      <c r="L11" s="76">
        <f t="shared" si="0"/>
        <v>2575394</v>
      </c>
      <c r="M11" s="76">
        <f t="shared" si="0"/>
        <v>1672036</v>
      </c>
      <c r="N11" s="76">
        <f t="shared" si="0"/>
        <v>3359520</v>
      </c>
      <c r="O11" s="76">
        <f t="shared" si="0"/>
        <v>1321108</v>
      </c>
      <c r="P11" s="76">
        <f t="shared" si="0"/>
        <v>1551012</v>
      </c>
      <c r="Q11" s="76">
        <f t="shared" si="0"/>
        <v>123038</v>
      </c>
      <c r="R11" s="76">
        <f t="shared" si="0"/>
        <v>894399</v>
      </c>
      <c r="S11" s="76">
        <f t="shared" si="0"/>
        <v>13274290</v>
      </c>
    </row>
    <row r="12" spans="1:19">
      <c r="K12" s="73"/>
      <c r="L12" s="73"/>
      <c r="M12" s="73"/>
      <c r="N12" s="73"/>
      <c r="O12" s="73"/>
      <c r="P12" s="73"/>
      <c r="Q12" s="73"/>
      <c r="R12" s="73"/>
      <c r="S12" s="73"/>
    </row>
    <row r="13" spans="1:19">
      <c r="A13" s="4" t="s">
        <v>21</v>
      </c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B14" t="s">
        <v>22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C15" t="s">
        <v>330</v>
      </c>
      <c r="K15" s="73"/>
      <c r="L15" s="73"/>
      <c r="M15" s="73"/>
      <c r="O15" s="73"/>
      <c r="P15" s="73"/>
      <c r="Q15" s="73">
        <v>5843</v>
      </c>
      <c r="R15" s="73">
        <v>21174</v>
      </c>
      <c r="S15" s="73">
        <f>SUM(K15:R15)</f>
        <v>27017</v>
      </c>
    </row>
    <row r="16" spans="1:19">
      <c r="C16" t="s">
        <v>23</v>
      </c>
      <c r="K16" s="77">
        <v>316775</v>
      </c>
      <c r="L16" s="73">
        <v>74189</v>
      </c>
      <c r="M16" s="73"/>
      <c r="N16">
        <v>29827</v>
      </c>
      <c r="O16" s="73">
        <v>22550</v>
      </c>
      <c r="P16" s="73">
        <v>19068</v>
      </c>
      <c r="Q16" s="73">
        <v>21324</v>
      </c>
      <c r="R16" s="73">
        <v>140061</v>
      </c>
      <c r="S16" s="73">
        <f>SUM(K16:R16)</f>
        <v>623794</v>
      </c>
    </row>
    <row r="17" spans="2:19">
      <c r="C17" t="s">
        <v>91</v>
      </c>
      <c r="K17" s="77">
        <v>30146</v>
      </c>
      <c r="L17" s="73">
        <v>40721</v>
      </c>
      <c r="M17" s="73"/>
      <c r="N17">
        <v>81205</v>
      </c>
      <c r="O17" s="73">
        <v>10399</v>
      </c>
      <c r="P17" s="73">
        <v>8832</v>
      </c>
      <c r="Q17" s="73">
        <v>114780</v>
      </c>
      <c r="R17" s="73">
        <v>116378</v>
      </c>
      <c r="S17" s="73">
        <f t="shared" ref="S17:S18" si="1">SUM(K17:R17)</f>
        <v>402461</v>
      </c>
    </row>
    <row r="18" spans="2:19">
      <c r="C18" t="s">
        <v>95</v>
      </c>
      <c r="K18" s="73"/>
      <c r="L18" s="73"/>
      <c r="M18" s="73"/>
      <c r="O18" s="73"/>
      <c r="P18" s="73"/>
      <c r="Q18" s="73"/>
      <c r="R18" s="73">
        <v>894223</v>
      </c>
      <c r="S18" s="73">
        <f t="shared" si="1"/>
        <v>894223</v>
      </c>
    </row>
    <row r="19" spans="2:19">
      <c r="C19" t="s">
        <v>27</v>
      </c>
      <c r="K19" s="73"/>
      <c r="L19" s="73"/>
      <c r="M19" s="73"/>
      <c r="O19" s="73"/>
      <c r="P19" s="73"/>
      <c r="Q19" s="73"/>
      <c r="R19" s="73">
        <v>1000</v>
      </c>
      <c r="S19" s="73">
        <f>SUM(K19:R19)</f>
        <v>1000</v>
      </c>
    </row>
    <row r="20" spans="2:19">
      <c r="K20" s="73"/>
      <c r="L20" s="73"/>
      <c r="M20" s="73"/>
      <c r="N20" s="73"/>
      <c r="O20" s="73"/>
      <c r="P20" s="73"/>
      <c r="Q20" s="73"/>
      <c r="R20" s="73"/>
      <c r="S20" s="73"/>
    </row>
    <row r="21" spans="2:19" s="5" customFormat="1">
      <c r="B21" s="6"/>
      <c r="C21" s="6"/>
      <c r="D21" s="6"/>
      <c r="E21" s="6" t="s">
        <v>28</v>
      </c>
      <c r="K21" s="79">
        <f>SUM(K15:K19)</f>
        <v>346921</v>
      </c>
      <c r="L21" s="79">
        <f t="shared" ref="L21:O21" si="2">SUM(L15:L19)</f>
        <v>114910</v>
      </c>
      <c r="M21" s="79">
        <f t="shared" si="2"/>
        <v>0</v>
      </c>
      <c r="N21" s="79">
        <f t="shared" si="2"/>
        <v>111032</v>
      </c>
      <c r="O21" s="79">
        <f t="shared" si="2"/>
        <v>32949</v>
      </c>
      <c r="P21" s="79">
        <f>SUM(P15:P19)</f>
        <v>27900</v>
      </c>
      <c r="Q21" s="79">
        <f>SUM(Q15:Q19)</f>
        <v>141947</v>
      </c>
      <c r="R21" s="79">
        <f>SUM(R15:R19)</f>
        <v>1172836</v>
      </c>
      <c r="S21" s="79">
        <f>SUM(S15:S19)</f>
        <v>1948495</v>
      </c>
    </row>
    <row r="22" spans="2:19">
      <c r="K22" s="73"/>
      <c r="L22" s="73"/>
      <c r="M22" s="73"/>
      <c r="N22" s="73"/>
      <c r="O22" s="73"/>
      <c r="P22" s="73"/>
      <c r="Q22" s="73"/>
      <c r="R22" s="73"/>
      <c r="S22" s="73"/>
    </row>
    <row r="23" spans="2:19">
      <c r="B23" t="s">
        <v>100</v>
      </c>
      <c r="K23" s="73"/>
      <c r="L23" s="73"/>
      <c r="M23" s="73"/>
      <c r="N23" s="73"/>
      <c r="O23" s="73"/>
      <c r="P23" s="73"/>
      <c r="Q23" s="73"/>
      <c r="R23" s="73"/>
      <c r="S23" s="73"/>
    </row>
    <row r="24" spans="2:19">
      <c r="C24" t="s">
        <v>118</v>
      </c>
      <c r="K24" s="73"/>
      <c r="L24" s="73">
        <v>2460484</v>
      </c>
      <c r="M24" s="73">
        <v>1672036</v>
      </c>
      <c r="N24" s="73">
        <v>3248488</v>
      </c>
      <c r="O24" s="73">
        <v>1288159</v>
      </c>
      <c r="P24" s="73">
        <v>1523112</v>
      </c>
      <c r="Q24" s="73"/>
      <c r="R24" s="73">
        <v>544187</v>
      </c>
      <c r="S24" s="73">
        <f>SUM(K24:R24)</f>
        <v>10736466</v>
      </c>
    </row>
    <row r="25" spans="2:19">
      <c r="C25" t="s">
        <v>48</v>
      </c>
      <c r="K25" s="86">
        <v>1430862</v>
      </c>
      <c r="L25" s="73"/>
      <c r="M25" s="73"/>
      <c r="N25" s="73"/>
      <c r="O25" s="73"/>
      <c r="P25" s="73"/>
      <c r="Q25" s="73">
        <v>-18909</v>
      </c>
      <c r="R25" s="73">
        <v>-822624</v>
      </c>
      <c r="S25" s="73">
        <f>SUM(K25:R25)</f>
        <v>589329</v>
      </c>
    </row>
    <row r="26" spans="2:19">
      <c r="K26" s="73"/>
      <c r="L26" s="73"/>
      <c r="M26" s="73"/>
      <c r="N26" s="73"/>
      <c r="O26" s="73"/>
      <c r="P26" s="73"/>
      <c r="Q26" s="73"/>
      <c r="R26" s="73"/>
      <c r="S26" s="73"/>
    </row>
    <row r="27" spans="2:19" s="5" customFormat="1">
      <c r="D27" s="6"/>
      <c r="E27" s="6" t="s">
        <v>49</v>
      </c>
      <c r="K27" s="79">
        <f>SUM(K24:K26)</f>
        <v>1430862</v>
      </c>
      <c r="L27" s="79">
        <f t="shared" ref="L27:S27" si="3">SUM(L24:L25)</f>
        <v>2460484</v>
      </c>
      <c r="M27" s="79">
        <f t="shared" si="3"/>
        <v>1672036</v>
      </c>
      <c r="N27" s="79">
        <f t="shared" si="3"/>
        <v>3248488</v>
      </c>
      <c r="O27" s="79">
        <f t="shared" si="3"/>
        <v>1288159</v>
      </c>
      <c r="P27" s="79">
        <f t="shared" si="3"/>
        <v>1523112</v>
      </c>
      <c r="Q27" s="79">
        <f t="shared" si="3"/>
        <v>-18909</v>
      </c>
      <c r="R27" s="79">
        <f t="shared" si="3"/>
        <v>-278437</v>
      </c>
      <c r="S27" s="79">
        <f t="shared" si="3"/>
        <v>11325795</v>
      </c>
    </row>
    <row r="28" spans="2:19">
      <c r="K28" s="73"/>
      <c r="L28" s="73"/>
      <c r="M28" s="73"/>
      <c r="N28" s="73"/>
      <c r="O28" s="73"/>
      <c r="P28" s="73"/>
      <c r="Q28" s="73"/>
      <c r="R28" s="73"/>
      <c r="S28" s="73"/>
    </row>
    <row r="29" spans="2:19" s="7" customFormat="1">
      <c r="D29" s="8"/>
      <c r="E29" s="8" t="s">
        <v>50</v>
      </c>
      <c r="K29" s="81">
        <f>K27+K21</f>
        <v>1777783</v>
      </c>
      <c r="L29" s="81">
        <f t="shared" ref="L29:R29" si="4">L27+L21</f>
        <v>2575394</v>
      </c>
      <c r="M29" s="81">
        <f t="shared" si="4"/>
        <v>1672036</v>
      </c>
      <c r="N29" s="81">
        <f t="shared" si="4"/>
        <v>3359520</v>
      </c>
      <c r="O29" s="81">
        <f t="shared" si="4"/>
        <v>1321108</v>
      </c>
      <c r="P29" s="81">
        <f t="shared" si="4"/>
        <v>1551012</v>
      </c>
      <c r="Q29" s="81">
        <f t="shared" si="4"/>
        <v>123038</v>
      </c>
      <c r="R29" s="81">
        <f t="shared" si="4"/>
        <v>894399</v>
      </c>
      <c r="S29" s="81">
        <f>S27+S21</f>
        <v>13274290</v>
      </c>
    </row>
    <row r="33" spans="19:19">
      <c r="S33" s="97"/>
    </row>
    <row r="38" spans="19:19">
      <c r="S38" s="93"/>
    </row>
  </sheetData>
  <mergeCells count="2">
    <mergeCell ref="D1:K1"/>
    <mergeCell ref="D2:K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51"/>
  <sheetViews>
    <sheetView topLeftCell="A16" workbookViewId="0">
      <selection activeCell="R48" sqref="R48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8" width="19.42578125" customWidth="1"/>
    <col min="19" max="19" width="19.85546875" bestFit="1" customWidth="1"/>
  </cols>
  <sheetData>
    <row r="1" spans="1:19" ht="18.75">
      <c r="D1" s="125" t="s">
        <v>488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489</v>
      </c>
      <c r="E2" s="126"/>
      <c r="F2" s="126"/>
      <c r="G2" s="126"/>
      <c r="H2" s="126"/>
      <c r="I2" s="126"/>
      <c r="J2" s="126"/>
      <c r="K2" s="126"/>
    </row>
    <row r="3" spans="1:19">
      <c r="D3" s="57"/>
      <c r="E3" s="57"/>
      <c r="F3" s="57"/>
      <c r="G3" s="57"/>
      <c r="H3" s="57"/>
      <c r="I3" s="57" t="s">
        <v>393</v>
      </c>
      <c r="J3" s="57"/>
      <c r="K3" s="57"/>
    </row>
    <row r="4" spans="1:19" ht="36.75" customHeight="1"/>
    <row r="5" spans="1:19" ht="45">
      <c r="K5" s="1" t="s">
        <v>52</v>
      </c>
      <c r="L5" s="1" t="s">
        <v>490</v>
      </c>
      <c r="M5" s="1" t="s">
        <v>491</v>
      </c>
      <c r="N5" s="1" t="s">
        <v>492</v>
      </c>
      <c r="O5" s="1" t="s">
        <v>271</v>
      </c>
      <c r="P5" s="1" t="s">
        <v>476</v>
      </c>
      <c r="Q5" s="1" t="s">
        <v>493</v>
      </c>
      <c r="R5" s="1" t="s">
        <v>310</v>
      </c>
      <c r="S5" s="1" t="s">
        <v>9</v>
      </c>
    </row>
    <row r="6" spans="1:19">
      <c r="A6" t="s">
        <v>10</v>
      </c>
    </row>
    <row r="7" spans="1:19">
      <c r="B7" t="s">
        <v>163</v>
      </c>
      <c r="K7" s="72">
        <v>13309000</v>
      </c>
      <c r="L7" s="73"/>
      <c r="M7" s="73">
        <v>12815000</v>
      </c>
      <c r="N7" s="73"/>
      <c r="O7" s="73">
        <v>360000</v>
      </c>
      <c r="P7" s="73">
        <v>13034000</v>
      </c>
      <c r="Q7" s="73">
        <v>1781000</v>
      </c>
      <c r="R7" s="73">
        <v>20826000</v>
      </c>
      <c r="S7" s="73">
        <f t="shared" ref="S7:S20" si="0">SUM(K7:R7)</f>
        <v>62125000</v>
      </c>
    </row>
    <row r="8" spans="1:19">
      <c r="B8" t="s">
        <v>12</v>
      </c>
      <c r="K8" s="77">
        <v>1372000</v>
      </c>
      <c r="L8" s="73"/>
      <c r="M8" s="73"/>
      <c r="N8" s="73"/>
      <c r="O8" s="73">
        <v>79535000</v>
      </c>
      <c r="P8" s="73">
        <v>73779000</v>
      </c>
      <c r="Q8" s="73"/>
      <c r="R8" s="73">
        <v>10958000</v>
      </c>
      <c r="S8" s="73">
        <f t="shared" si="0"/>
        <v>165644000</v>
      </c>
    </row>
    <row r="9" spans="1:19">
      <c r="B9" t="s">
        <v>494</v>
      </c>
      <c r="K9" s="73"/>
      <c r="L9" s="73"/>
      <c r="M9" s="73"/>
      <c r="N9" s="73"/>
      <c r="O9" s="73"/>
      <c r="P9" s="73"/>
      <c r="Q9" s="73"/>
      <c r="R9" s="73"/>
      <c r="S9" s="73">
        <f t="shared" si="0"/>
        <v>0</v>
      </c>
    </row>
    <row r="10" spans="1:19">
      <c r="C10" t="s">
        <v>202</v>
      </c>
      <c r="K10" s="74">
        <v>17117000</v>
      </c>
      <c r="L10" s="73"/>
      <c r="M10" s="73"/>
      <c r="N10" s="73"/>
      <c r="O10" s="73"/>
      <c r="P10" s="73"/>
      <c r="Q10" s="73"/>
      <c r="R10" s="73"/>
      <c r="S10" s="73">
        <f t="shared" si="0"/>
        <v>17117000</v>
      </c>
    </row>
    <row r="11" spans="1:19">
      <c r="C11" t="s">
        <v>169</v>
      </c>
      <c r="K11" s="74">
        <v>3806000</v>
      </c>
      <c r="L11" s="73"/>
      <c r="M11" s="73"/>
      <c r="N11" s="73"/>
      <c r="O11" s="73">
        <v>2338000</v>
      </c>
      <c r="P11" s="73"/>
      <c r="Q11" s="73"/>
      <c r="R11" s="73">
        <v>335000</v>
      </c>
      <c r="S11" s="73">
        <f t="shared" si="0"/>
        <v>6479000</v>
      </c>
    </row>
    <row r="12" spans="1:19">
      <c r="C12" t="s">
        <v>203</v>
      </c>
      <c r="K12" s="74">
        <v>7847000</v>
      </c>
      <c r="L12" s="73"/>
      <c r="M12" s="73"/>
      <c r="N12" s="73"/>
      <c r="O12" s="73"/>
      <c r="P12" s="73"/>
      <c r="Q12" s="73"/>
      <c r="R12" s="73"/>
      <c r="S12" s="73">
        <f t="shared" si="0"/>
        <v>7847000</v>
      </c>
    </row>
    <row r="13" spans="1:19">
      <c r="C13" t="s">
        <v>313</v>
      </c>
      <c r="K13" s="74">
        <v>9112000</v>
      </c>
      <c r="L13" s="73">
        <v>153000</v>
      </c>
      <c r="M13" s="73"/>
      <c r="N13" s="73"/>
      <c r="O13" s="73"/>
      <c r="P13" s="73">
        <v>1345000</v>
      </c>
      <c r="Q13" s="73"/>
      <c r="R13" s="73">
        <v>231000</v>
      </c>
      <c r="S13" s="73">
        <f t="shared" si="0"/>
        <v>10841000</v>
      </c>
    </row>
    <row r="14" spans="1:19">
      <c r="C14" t="s">
        <v>495</v>
      </c>
      <c r="K14" s="73"/>
      <c r="L14" s="73"/>
      <c r="M14" s="73">
        <v>1517000</v>
      </c>
      <c r="N14" s="73"/>
      <c r="O14" s="73"/>
      <c r="P14" s="73"/>
      <c r="Q14" s="73"/>
      <c r="R14" s="73"/>
      <c r="S14" s="73">
        <f t="shared" si="0"/>
        <v>1517000</v>
      </c>
    </row>
    <row r="15" spans="1:19">
      <c r="C15" t="s">
        <v>399</v>
      </c>
      <c r="K15" s="73"/>
      <c r="L15" s="73"/>
      <c r="M15" s="73"/>
      <c r="N15" s="73"/>
      <c r="O15" s="73"/>
      <c r="P15" s="73"/>
      <c r="Q15" s="73"/>
      <c r="R15" s="73"/>
      <c r="S15" s="73">
        <f t="shared" si="0"/>
        <v>0</v>
      </c>
    </row>
    <row r="16" spans="1:19">
      <c r="B16" t="s">
        <v>18</v>
      </c>
      <c r="K16" s="75">
        <v>29580000</v>
      </c>
      <c r="L16" s="73"/>
      <c r="M16" s="73"/>
      <c r="N16" s="73">
        <v>3935000</v>
      </c>
      <c r="O16" s="73"/>
      <c r="P16" s="73">
        <v>28437000</v>
      </c>
      <c r="Q16" s="73"/>
      <c r="R16" s="73">
        <v>177000</v>
      </c>
      <c r="S16" s="73">
        <f t="shared" si="0"/>
        <v>62129000</v>
      </c>
    </row>
    <row r="17" spans="1:19">
      <c r="B17" t="s">
        <v>60</v>
      </c>
      <c r="K17" s="75">
        <v>1534000</v>
      </c>
      <c r="L17" s="73">
        <v>9005000</v>
      </c>
      <c r="M17" s="73"/>
      <c r="N17" s="73">
        <v>6802000</v>
      </c>
      <c r="O17" s="73"/>
      <c r="P17" s="73">
        <v>22754000</v>
      </c>
      <c r="Q17" s="73">
        <v>7709000</v>
      </c>
      <c r="R17" s="73">
        <v>5409000</v>
      </c>
      <c r="S17" s="73">
        <f t="shared" si="0"/>
        <v>53213000</v>
      </c>
    </row>
    <row r="18" spans="1:19">
      <c r="B18" t="s">
        <v>19</v>
      </c>
      <c r="K18" s="75">
        <v>5308000</v>
      </c>
      <c r="L18" s="73"/>
      <c r="M18" s="73"/>
      <c r="N18" s="73"/>
      <c r="O18" s="73"/>
      <c r="P18" s="73">
        <v>14319000</v>
      </c>
      <c r="Q18" s="73"/>
      <c r="R18" s="73"/>
      <c r="S18" s="73">
        <f t="shared" si="0"/>
        <v>19627000</v>
      </c>
    </row>
    <row r="19" spans="1:19">
      <c r="B19" t="s">
        <v>496</v>
      </c>
      <c r="K19" s="75">
        <v>2000</v>
      </c>
      <c r="L19" s="73"/>
      <c r="M19" s="73"/>
      <c r="N19" s="73"/>
      <c r="O19" s="73"/>
      <c r="P19" s="73"/>
      <c r="Q19" s="73"/>
      <c r="R19" s="73"/>
      <c r="S19" s="73">
        <f t="shared" si="0"/>
        <v>2000</v>
      </c>
    </row>
    <row r="20" spans="1:19">
      <c r="B20" t="s">
        <v>88</v>
      </c>
      <c r="K20" s="83">
        <v>4000</v>
      </c>
      <c r="L20" s="73">
        <v>1000</v>
      </c>
      <c r="M20" s="73"/>
      <c r="N20" s="73"/>
      <c r="O20" s="73"/>
      <c r="P20" s="73"/>
      <c r="Q20" s="73"/>
      <c r="R20" s="73">
        <v>19000</v>
      </c>
      <c r="S20" s="73">
        <f t="shared" si="0"/>
        <v>24000</v>
      </c>
    </row>
    <row r="21" spans="1:19">
      <c r="K21" s="73"/>
      <c r="L21" s="73"/>
      <c r="M21" s="73"/>
      <c r="N21" s="73"/>
      <c r="O21" s="73"/>
      <c r="P21" s="73"/>
      <c r="Q21" s="73"/>
      <c r="R21" s="73"/>
      <c r="S21" s="73"/>
    </row>
    <row r="22" spans="1:19" s="3" customFormat="1">
      <c r="E22" s="3" t="s">
        <v>129</v>
      </c>
      <c r="K22" s="76">
        <f>SUM(K7:K21)</f>
        <v>88991000</v>
      </c>
      <c r="L22" s="76">
        <f t="shared" ref="L22:S22" si="1">SUM(L7:L20)</f>
        <v>9159000</v>
      </c>
      <c r="M22" s="76">
        <f t="shared" si="1"/>
        <v>14332000</v>
      </c>
      <c r="N22" s="76">
        <f t="shared" si="1"/>
        <v>10737000</v>
      </c>
      <c r="O22" s="76">
        <f t="shared" si="1"/>
        <v>82233000</v>
      </c>
      <c r="P22" s="76">
        <f t="shared" si="1"/>
        <v>153668000</v>
      </c>
      <c r="Q22" s="76">
        <f t="shared" si="1"/>
        <v>9490000</v>
      </c>
      <c r="R22" s="76">
        <f t="shared" si="1"/>
        <v>37955000</v>
      </c>
      <c r="S22" s="76">
        <f t="shared" si="1"/>
        <v>406565000</v>
      </c>
    </row>
    <row r="23" spans="1:19">
      <c r="K23" s="73"/>
      <c r="L23" s="73"/>
      <c r="M23" s="73"/>
      <c r="N23" s="73"/>
      <c r="O23" s="73"/>
      <c r="P23" s="73"/>
      <c r="Q23" s="73"/>
      <c r="R23" s="73"/>
      <c r="S23" s="73"/>
    </row>
    <row r="24" spans="1:19">
      <c r="A24" s="98" t="s">
        <v>21</v>
      </c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B25" t="s">
        <v>22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C26" t="s">
        <v>23</v>
      </c>
      <c r="K26" s="77">
        <v>32039000</v>
      </c>
      <c r="L26" s="73">
        <v>4768000</v>
      </c>
      <c r="M26" s="73"/>
      <c r="N26" s="73">
        <v>2156000</v>
      </c>
      <c r="O26" s="73"/>
      <c r="P26" s="73">
        <v>33546000</v>
      </c>
      <c r="Q26" s="73">
        <v>7366000</v>
      </c>
      <c r="R26" s="73">
        <v>5078000</v>
      </c>
      <c r="S26" s="73">
        <f t="shared" ref="S26:S31" si="2">SUM(K26:R26)</f>
        <v>84953000</v>
      </c>
    </row>
    <row r="27" spans="1:19">
      <c r="C27" t="s">
        <v>497</v>
      </c>
      <c r="K27" s="73"/>
      <c r="L27" s="73"/>
      <c r="M27" s="73"/>
      <c r="N27" s="73"/>
      <c r="O27" s="73"/>
      <c r="P27" s="73">
        <v>3728000</v>
      </c>
      <c r="Q27" s="73"/>
      <c r="R27" s="73"/>
      <c r="S27" s="73">
        <f t="shared" si="2"/>
        <v>3728000</v>
      </c>
    </row>
    <row r="28" spans="1:19">
      <c r="C28" t="s">
        <v>360</v>
      </c>
      <c r="K28" s="73"/>
      <c r="L28" s="73">
        <v>129000</v>
      </c>
      <c r="M28" s="73"/>
      <c r="N28" s="73">
        <v>155000</v>
      </c>
      <c r="O28" s="73">
        <v>416000</v>
      </c>
      <c r="P28" s="73"/>
      <c r="Q28" s="73">
        <v>94000</v>
      </c>
      <c r="R28" s="73">
        <v>207000</v>
      </c>
      <c r="S28" s="73">
        <f t="shared" si="2"/>
        <v>1001000</v>
      </c>
    </row>
    <row r="29" spans="1:19">
      <c r="C29" t="s">
        <v>27</v>
      </c>
      <c r="K29" s="78">
        <v>27449000</v>
      </c>
      <c r="L29" s="73">
        <v>7281000</v>
      </c>
      <c r="M29" s="73">
        <v>430000</v>
      </c>
      <c r="N29" s="73">
        <v>15815000</v>
      </c>
      <c r="O29" s="73"/>
      <c r="P29" s="73">
        <v>3935000</v>
      </c>
      <c r="Q29" s="73">
        <v>243000</v>
      </c>
      <c r="R29" s="73">
        <v>6976000</v>
      </c>
      <c r="S29" s="73">
        <f t="shared" si="2"/>
        <v>62129000</v>
      </c>
    </row>
    <row r="30" spans="1:19">
      <c r="C30" t="s">
        <v>95</v>
      </c>
      <c r="K30" s="78">
        <v>3845000</v>
      </c>
      <c r="L30" s="73"/>
      <c r="M30" s="73"/>
      <c r="N30" s="73">
        <v>8018000</v>
      </c>
      <c r="O30" s="73"/>
      <c r="P30" s="73"/>
      <c r="Q30" s="73">
        <v>494000</v>
      </c>
      <c r="R30" s="73">
        <v>688000</v>
      </c>
      <c r="S30" s="73">
        <f t="shared" si="2"/>
        <v>13045000</v>
      </c>
    </row>
    <row r="31" spans="1:19">
      <c r="C31" t="s">
        <v>185</v>
      </c>
      <c r="K31" s="73"/>
      <c r="L31" s="73"/>
      <c r="M31" s="73"/>
      <c r="N31" s="73"/>
      <c r="O31" s="73"/>
      <c r="P31" s="73">
        <v>59000</v>
      </c>
      <c r="Q31" s="73"/>
      <c r="R31" s="73"/>
      <c r="S31" s="73">
        <f t="shared" si="2"/>
        <v>59000</v>
      </c>
    </row>
    <row r="32" spans="1:19">
      <c r="C32" t="s">
        <v>498</v>
      </c>
      <c r="K32" s="73"/>
      <c r="L32" s="73"/>
      <c r="M32" s="73"/>
      <c r="N32" s="73"/>
      <c r="O32" s="73"/>
      <c r="P32" s="73"/>
      <c r="Q32" s="73"/>
      <c r="R32" s="73">
        <v>2000</v>
      </c>
      <c r="S32" s="73">
        <f>SUM(K32:R32)</f>
        <v>2000</v>
      </c>
    </row>
    <row r="33" spans="1:19">
      <c r="C33" t="s">
        <v>26</v>
      </c>
      <c r="K33" s="73"/>
      <c r="L33" s="73">
        <v>2744000</v>
      </c>
      <c r="M33" s="73"/>
      <c r="N33" s="73"/>
      <c r="O33" s="73"/>
      <c r="P33" s="73"/>
      <c r="Q33" s="73"/>
      <c r="R33" s="73"/>
      <c r="S33" s="73">
        <f>SUM(K33:R33)</f>
        <v>2744000</v>
      </c>
    </row>
    <row r="34" spans="1:19">
      <c r="K34" s="73"/>
      <c r="L34" s="73"/>
      <c r="M34" s="73"/>
      <c r="N34" s="73"/>
      <c r="O34" s="73"/>
      <c r="P34" s="73"/>
      <c r="Q34" s="73"/>
      <c r="R34" s="73"/>
      <c r="S34" s="73"/>
    </row>
    <row r="35" spans="1:19" s="5" customFormat="1">
      <c r="E35" s="5" t="s">
        <v>28</v>
      </c>
      <c r="K35" s="79">
        <f>SUM(K26:K33)</f>
        <v>63333000</v>
      </c>
      <c r="L35" s="79">
        <f>SUM(L26:L33)</f>
        <v>14922000</v>
      </c>
      <c r="M35" s="79">
        <f>SUM(M26:M31)</f>
        <v>430000</v>
      </c>
      <c r="N35" s="79">
        <f>SUM(N26:N33)</f>
        <v>26144000</v>
      </c>
      <c r="O35" s="79">
        <f>SUM(O26:O33)</f>
        <v>416000</v>
      </c>
      <c r="P35" s="79">
        <f>SUM(P26:P34)</f>
        <v>41268000</v>
      </c>
      <c r="Q35" s="79">
        <f>SUM(Q26:Q33)</f>
        <v>8197000</v>
      </c>
      <c r="R35" s="79">
        <f>SUM(R26:R33)</f>
        <v>12951000</v>
      </c>
      <c r="S35" s="79">
        <f>SUM(S26:S33)</f>
        <v>167661000</v>
      </c>
    </row>
    <row r="36" spans="1:19">
      <c r="K36" s="73"/>
      <c r="L36" s="73"/>
      <c r="M36" s="73"/>
      <c r="N36" s="73"/>
      <c r="O36" s="73"/>
      <c r="P36" s="73"/>
      <c r="Q36" s="73"/>
      <c r="R36" s="73"/>
      <c r="S36" s="73"/>
    </row>
    <row r="37" spans="1:19">
      <c r="A37" s="71" t="s">
        <v>29</v>
      </c>
      <c r="K37" s="73"/>
      <c r="L37" s="73"/>
      <c r="M37" s="73"/>
      <c r="N37" s="73"/>
      <c r="O37" s="73"/>
      <c r="P37" s="73"/>
      <c r="Q37" s="73"/>
      <c r="R37" s="73"/>
      <c r="S37" s="73"/>
    </row>
    <row r="38" spans="1:19">
      <c r="C38" t="s">
        <v>63</v>
      </c>
      <c r="K38" s="73">
        <v>8702000</v>
      </c>
      <c r="L38" s="73">
        <v>3136000</v>
      </c>
      <c r="M38" s="73"/>
      <c r="N38" s="73">
        <v>3862000</v>
      </c>
      <c r="O38" s="73">
        <v>4058000</v>
      </c>
      <c r="P38" s="73">
        <v>33354000</v>
      </c>
      <c r="Q38" s="73">
        <v>3719000</v>
      </c>
      <c r="R38" s="73">
        <v>3047000</v>
      </c>
      <c r="S38" s="73">
        <f>SUM(K38:R38)</f>
        <v>59878000</v>
      </c>
    </row>
    <row r="39" spans="1:19">
      <c r="K39" s="73"/>
      <c r="L39" s="73"/>
      <c r="M39" s="73"/>
      <c r="N39" s="73"/>
      <c r="O39" s="73"/>
      <c r="P39" s="73"/>
      <c r="Q39" s="73"/>
      <c r="R39" s="73"/>
      <c r="S39" s="73"/>
    </row>
    <row r="40" spans="1:19" s="5" customFormat="1">
      <c r="E40" s="5" t="s">
        <v>170</v>
      </c>
      <c r="K40" s="79">
        <f>SUM(K38)</f>
        <v>8702000</v>
      </c>
      <c r="L40" s="79">
        <f t="shared" ref="L40:S40" si="3">SUM(L38)</f>
        <v>3136000</v>
      </c>
      <c r="M40" s="79">
        <f t="shared" si="3"/>
        <v>0</v>
      </c>
      <c r="N40" s="79">
        <f t="shared" si="3"/>
        <v>3862000</v>
      </c>
      <c r="O40" s="79">
        <f t="shared" si="3"/>
        <v>4058000</v>
      </c>
      <c r="P40" s="79">
        <f t="shared" si="3"/>
        <v>33354000</v>
      </c>
      <c r="Q40" s="79">
        <f t="shared" si="3"/>
        <v>3719000</v>
      </c>
      <c r="R40" s="79">
        <f t="shared" si="3"/>
        <v>3047000</v>
      </c>
      <c r="S40" s="79">
        <f t="shared" si="3"/>
        <v>59878000</v>
      </c>
    </row>
    <row r="41" spans="1:19">
      <c r="K41" s="73"/>
      <c r="L41" s="73"/>
      <c r="M41" s="73"/>
      <c r="N41" s="73"/>
      <c r="O41" s="73"/>
      <c r="P41" s="73"/>
      <c r="Q41" s="73"/>
      <c r="R41" s="73"/>
      <c r="S41" s="73"/>
    </row>
    <row r="42" spans="1:19">
      <c r="B42" t="s">
        <v>100</v>
      </c>
      <c r="K42" s="73"/>
      <c r="L42" s="73"/>
      <c r="M42" s="73"/>
      <c r="N42" s="73"/>
      <c r="O42" s="73"/>
      <c r="P42" s="73"/>
      <c r="Q42" s="73"/>
      <c r="R42" s="73"/>
      <c r="S42" s="73"/>
    </row>
    <row r="43" spans="1:19">
      <c r="C43" t="s">
        <v>101</v>
      </c>
      <c r="K43" s="73"/>
      <c r="L43" s="73"/>
      <c r="M43" s="73">
        <v>1517000</v>
      </c>
      <c r="N43" s="73"/>
      <c r="O43" s="73"/>
      <c r="P43" s="73"/>
      <c r="Q43" s="73"/>
      <c r="R43" s="73">
        <v>890000</v>
      </c>
      <c r="S43" s="73">
        <f>SUM(K43:R43)</f>
        <v>2407000</v>
      </c>
    </row>
    <row r="44" spans="1:19">
      <c r="C44" t="s">
        <v>383</v>
      </c>
      <c r="K44" s="73"/>
      <c r="L44" s="73"/>
      <c r="M44" s="73">
        <v>12385000</v>
      </c>
      <c r="N44" s="73"/>
      <c r="O44" s="73">
        <v>77759000</v>
      </c>
      <c r="P44" s="73">
        <v>35445000</v>
      </c>
      <c r="Q44" s="73"/>
      <c r="R44" s="73">
        <v>11524000</v>
      </c>
      <c r="S44" s="73">
        <f>SUM(K44:R44)</f>
        <v>137113000</v>
      </c>
    </row>
    <row r="45" spans="1:19">
      <c r="C45" t="s">
        <v>304</v>
      </c>
      <c r="K45" s="80">
        <v>6036000</v>
      </c>
      <c r="L45" s="73"/>
      <c r="M45" s="73"/>
      <c r="N45" s="73"/>
      <c r="O45" s="73"/>
      <c r="P45" s="73">
        <v>43601000</v>
      </c>
      <c r="Q45" s="73"/>
      <c r="R45" s="73">
        <v>15281000</v>
      </c>
      <c r="S45" s="73">
        <f>SUM(K45:R45)</f>
        <v>64918000</v>
      </c>
    </row>
    <row r="46" spans="1:19">
      <c r="C46" t="s">
        <v>119</v>
      </c>
      <c r="K46" s="99"/>
      <c r="L46" s="73"/>
      <c r="M46" s="73"/>
      <c r="N46" s="73"/>
      <c r="O46" s="73"/>
      <c r="P46" s="73"/>
      <c r="Q46" s="73"/>
      <c r="R46" s="73">
        <v>225000</v>
      </c>
      <c r="S46" s="73">
        <f>SUM(K46:R46)</f>
        <v>225000</v>
      </c>
    </row>
    <row r="47" spans="1:19">
      <c r="C47" t="s">
        <v>48</v>
      </c>
      <c r="K47" s="86">
        <v>10920000</v>
      </c>
      <c r="L47" s="73">
        <v>-8899000</v>
      </c>
      <c r="M47" s="73"/>
      <c r="N47" s="73">
        <v>-19269000</v>
      </c>
      <c r="O47" s="73"/>
      <c r="P47" s="73"/>
      <c r="Q47" s="73">
        <v>-2426000</v>
      </c>
      <c r="R47" s="73">
        <v>-5963000</v>
      </c>
      <c r="S47" s="73">
        <f>SUM(K47:R47)</f>
        <v>-25637000</v>
      </c>
    </row>
    <row r="48" spans="1:19">
      <c r="K48" s="73"/>
      <c r="L48" s="73"/>
      <c r="M48" s="73"/>
      <c r="N48" s="73"/>
      <c r="O48" s="73"/>
      <c r="P48" s="73"/>
      <c r="Q48" s="73"/>
      <c r="R48" s="73"/>
      <c r="S48" s="73"/>
    </row>
    <row r="49" spans="5:19" s="5" customFormat="1">
      <c r="E49" s="5" t="s">
        <v>49</v>
      </c>
      <c r="K49" s="79">
        <f>SUM(K43:K48)</f>
        <v>16956000</v>
      </c>
      <c r="L49" s="79">
        <f>SUM(L44:L47)</f>
        <v>-8899000</v>
      </c>
      <c r="M49" s="79">
        <f>SUM(M43:M47)</f>
        <v>13902000</v>
      </c>
      <c r="N49" s="79">
        <f>SUM(N44:N47)</f>
        <v>-19269000</v>
      </c>
      <c r="O49" s="79">
        <f>SUM(O43:O47)</f>
        <v>77759000</v>
      </c>
      <c r="P49" s="79">
        <f>SUM(P43:P47)</f>
        <v>79046000</v>
      </c>
      <c r="Q49" s="79">
        <f>SUM(Q43:Q47)</f>
        <v>-2426000</v>
      </c>
      <c r="R49" s="79">
        <f>SUM(R43:R47)</f>
        <v>21957000</v>
      </c>
      <c r="S49" s="79">
        <f>SUM(S42:S47)</f>
        <v>179026000</v>
      </c>
    </row>
    <row r="50" spans="5:19">
      <c r="K50" s="73"/>
      <c r="L50" s="73"/>
      <c r="M50" s="73"/>
      <c r="N50" s="73"/>
      <c r="O50" s="73"/>
      <c r="P50" s="73"/>
      <c r="Q50" s="73"/>
      <c r="R50" s="73"/>
      <c r="S50" s="73"/>
    </row>
    <row r="51" spans="5:19" s="7" customFormat="1">
      <c r="E51" s="7" t="s">
        <v>50</v>
      </c>
      <c r="K51" s="81">
        <f>SUM(K49+K35+K40)</f>
        <v>88991000</v>
      </c>
      <c r="L51" s="81">
        <f t="shared" ref="L51:S51" si="4">SUM(L49+L35+L40)</f>
        <v>9159000</v>
      </c>
      <c r="M51" s="81">
        <f t="shared" si="4"/>
        <v>14332000</v>
      </c>
      <c r="N51" s="81">
        <f t="shared" si="4"/>
        <v>10737000</v>
      </c>
      <c r="O51" s="81">
        <f t="shared" si="4"/>
        <v>82233000</v>
      </c>
      <c r="P51" s="81">
        <f t="shared" si="4"/>
        <v>153668000</v>
      </c>
      <c r="Q51" s="81">
        <f t="shared" si="4"/>
        <v>9490000</v>
      </c>
      <c r="R51" s="81">
        <f t="shared" si="4"/>
        <v>37955000</v>
      </c>
      <c r="S51" s="81">
        <f t="shared" si="4"/>
        <v>406565000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41"/>
  <sheetViews>
    <sheetView workbookViewId="0">
      <selection activeCell="N40" sqref="N40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6.5703125" customWidth="1"/>
    <col min="15" max="15" width="19.42578125" customWidth="1"/>
    <col min="16" max="16" width="17" customWidth="1"/>
    <col min="17" max="17" width="18" customWidth="1"/>
    <col min="18" max="18" width="17.7109375" customWidth="1"/>
  </cols>
  <sheetData>
    <row r="1" spans="1:18" ht="18.75">
      <c r="D1" s="125" t="s">
        <v>499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K4" s="127" t="s">
        <v>423</v>
      </c>
      <c r="L4" s="127"/>
      <c r="M4" s="127"/>
    </row>
    <row r="5" spans="1:18" ht="45">
      <c r="K5" s="1" t="s">
        <v>2</v>
      </c>
      <c r="L5" s="1" t="s">
        <v>175</v>
      </c>
      <c r="M5" s="1" t="s">
        <v>500</v>
      </c>
      <c r="N5" s="1" t="s">
        <v>501</v>
      </c>
      <c r="O5" s="1" t="s">
        <v>502</v>
      </c>
      <c r="P5" s="1" t="s">
        <v>503</v>
      </c>
      <c r="Q5" s="1" t="s">
        <v>451</v>
      </c>
      <c r="R5" s="1" t="s">
        <v>9</v>
      </c>
    </row>
    <row r="6" spans="1:18">
      <c r="A6" t="s">
        <v>10</v>
      </c>
    </row>
    <row r="7" spans="1:18">
      <c r="B7" t="s">
        <v>163</v>
      </c>
      <c r="K7" s="72">
        <v>2380204</v>
      </c>
      <c r="L7" s="73">
        <v>3228736</v>
      </c>
      <c r="M7" s="73">
        <v>3372706</v>
      </c>
      <c r="N7" s="73">
        <v>3034986</v>
      </c>
      <c r="O7" s="73">
        <v>2489341</v>
      </c>
      <c r="P7" s="73">
        <v>2747178</v>
      </c>
      <c r="Q7" s="73">
        <v>18935706</v>
      </c>
      <c r="R7" s="73">
        <f>SUM(K7:Q7)</f>
        <v>36188857</v>
      </c>
    </row>
    <row r="8" spans="1:18">
      <c r="B8" t="s">
        <v>12</v>
      </c>
      <c r="K8" s="77">
        <v>2750000</v>
      </c>
      <c r="L8" s="73"/>
      <c r="M8" s="73">
        <v>5263974</v>
      </c>
      <c r="N8" s="73"/>
      <c r="O8" s="73">
        <v>1250000</v>
      </c>
      <c r="P8" s="73"/>
      <c r="Q8" s="73">
        <v>1250000</v>
      </c>
      <c r="R8" s="73">
        <f t="shared" ref="R8:R16" si="0">SUM(K8:Q8)</f>
        <v>10513974</v>
      </c>
    </row>
    <row r="9" spans="1:18">
      <c r="B9" t="s">
        <v>504</v>
      </c>
      <c r="L9" s="73"/>
      <c r="M9" s="73"/>
      <c r="N9" s="73"/>
      <c r="O9" s="73"/>
      <c r="P9" s="73"/>
      <c r="Q9" s="73"/>
      <c r="R9" s="73"/>
    </row>
    <row r="10" spans="1:18">
      <c r="C10" t="s">
        <v>81</v>
      </c>
      <c r="K10" s="74">
        <v>2925265</v>
      </c>
      <c r="L10" s="73"/>
      <c r="M10" s="73">
        <v>9018083</v>
      </c>
      <c r="N10" s="73">
        <v>6984184</v>
      </c>
      <c r="O10" s="73">
        <v>2468301</v>
      </c>
      <c r="P10" s="73">
        <v>8466355</v>
      </c>
      <c r="Q10" s="73">
        <v>1707734</v>
      </c>
      <c r="R10" s="73">
        <f>SUM(K10:Q10)</f>
        <v>31569922</v>
      </c>
    </row>
    <row r="11" spans="1:18">
      <c r="C11" t="s">
        <v>202</v>
      </c>
      <c r="K11" s="73"/>
      <c r="L11" s="73">
        <v>1140452</v>
      </c>
      <c r="M11" s="73">
        <v>1142548</v>
      </c>
      <c r="N11" s="73"/>
      <c r="O11" s="73"/>
      <c r="P11" s="73"/>
      <c r="Q11" s="73"/>
      <c r="R11" s="73">
        <f t="shared" si="0"/>
        <v>2283000</v>
      </c>
    </row>
    <row r="12" spans="1:18">
      <c r="C12" t="s">
        <v>505</v>
      </c>
      <c r="K12" s="73"/>
      <c r="L12" s="73">
        <v>7050</v>
      </c>
      <c r="M12" s="73"/>
      <c r="N12" s="73"/>
      <c r="O12" s="73"/>
      <c r="P12" s="73"/>
      <c r="Q12" s="73">
        <v>191018</v>
      </c>
      <c r="R12" s="73">
        <f t="shared" si="0"/>
        <v>198068</v>
      </c>
    </row>
    <row r="13" spans="1:18">
      <c r="C13" t="s">
        <v>15</v>
      </c>
      <c r="K13" s="74">
        <v>429040</v>
      </c>
      <c r="L13" s="73">
        <v>52943</v>
      </c>
      <c r="M13" s="73">
        <v>3699</v>
      </c>
      <c r="N13" s="73">
        <v>2448</v>
      </c>
      <c r="O13" s="73">
        <v>757</v>
      </c>
      <c r="P13" s="73">
        <v>40996</v>
      </c>
      <c r="Q13" s="73">
        <v>344861</v>
      </c>
      <c r="R13" s="73">
        <f t="shared" si="0"/>
        <v>874744</v>
      </c>
    </row>
    <row r="14" spans="1:18">
      <c r="B14" t="s">
        <v>18</v>
      </c>
      <c r="K14" s="75">
        <v>1497763</v>
      </c>
      <c r="L14" s="73"/>
      <c r="M14" s="73"/>
      <c r="N14" s="73"/>
      <c r="O14" s="73"/>
      <c r="P14" s="73"/>
      <c r="Q14" s="73"/>
      <c r="R14" s="73">
        <f t="shared" si="0"/>
        <v>1497763</v>
      </c>
    </row>
    <row r="15" spans="1:18">
      <c r="B15" t="s">
        <v>60</v>
      </c>
      <c r="K15" s="75">
        <v>400993</v>
      </c>
      <c r="L15" s="73"/>
      <c r="M15" s="73"/>
      <c r="N15" s="73"/>
      <c r="O15" s="73">
        <v>36637</v>
      </c>
      <c r="P15" s="73">
        <v>675508</v>
      </c>
      <c r="Q15" s="73">
        <v>3005576</v>
      </c>
      <c r="R15" s="73">
        <f t="shared" si="0"/>
        <v>4118714</v>
      </c>
    </row>
    <row r="16" spans="1:18">
      <c r="B16" t="s">
        <v>506</v>
      </c>
      <c r="K16" s="85">
        <v>45</v>
      </c>
      <c r="L16" s="73"/>
      <c r="M16" s="73"/>
      <c r="N16" s="73">
        <v>200</v>
      </c>
      <c r="O16" s="73"/>
      <c r="P16" s="73"/>
      <c r="Q16" s="73">
        <v>68751</v>
      </c>
      <c r="R16" s="73">
        <f t="shared" si="0"/>
        <v>68996</v>
      </c>
    </row>
    <row r="17" spans="1:18">
      <c r="B17" t="s">
        <v>183</v>
      </c>
      <c r="K17" s="87">
        <v>5747</v>
      </c>
      <c r="L17" s="73">
        <v>239283</v>
      </c>
      <c r="M17" s="73"/>
      <c r="N17" s="73"/>
      <c r="O17" s="88">
        <v>19844</v>
      </c>
      <c r="P17" s="88">
        <v>110862</v>
      </c>
      <c r="Q17" s="88">
        <v>234586</v>
      </c>
      <c r="R17" s="88">
        <f>SUM(K17:Q17)</f>
        <v>610322</v>
      </c>
    </row>
    <row r="18" spans="1:18">
      <c r="K18" s="109"/>
      <c r="L18" s="109"/>
      <c r="M18" s="109"/>
      <c r="N18" s="109"/>
      <c r="O18" s="73"/>
      <c r="P18" s="73"/>
      <c r="Q18" s="73"/>
      <c r="R18" s="73"/>
    </row>
    <row r="19" spans="1:18" s="3" customFormat="1">
      <c r="A19" s="2"/>
      <c r="B19" s="2"/>
      <c r="C19" s="2"/>
      <c r="D19" s="2"/>
      <c r="E19" s="2" t="s">
        <v>129</v>
      </c>
      <c r="K19" s="76">
        <f>SUM(K7:K17)</f>
        <v>10389057</v>
      </c>
      <c r="L19" s="76">
        <f>SUM(L7:L17)</f>
        <v>4668464</v>
      </c>
      <c r="M19" s="76">
        <f>SUM(M7:M17)</f>
        <v>18801010</v>
      </c>
      <c r="N19" s="76">
        <f>SUM(N7:N17)</f>
        <v>10021818</v>
      </c>
      <c r="O19" s="76">
        <f t="shared" ref="O19:Q19" si="1">SUM(O7:O17)</f>
        <v>6264880</v>
      </c>
      <c r="P19" s="76">
        <f t="shared" si="1"/>
        <v>12040899</v>
      </c>
      <c r="Q19" s="76">
        <f t="shared" si="1"/>
        <v>25738232</v>
      </c>
      <c r="R19" s="76">
        <f>SUM(R7:R17)</f>
        <v>87924360</v>
      </c>
    </row>
    <row r="20" spans="1:18">
      <c r="K20" s="73"/>
      <c r="L20" s="73"/>
      <c r="M20" s="73"/>
      <c r="N20" s="73"/>
      <c r="O20" s="73"/>
      <c r="P20" s="73"/>
      <c r="Q20" s="73"/>
      <c r="R20" s="73"/>
    </row>
    <row r="21" spans="1:18">
      <c r="A21" s="4" t="s">
        <v>21</v>
      </c>
      <c r="K21" s="73"/>
      <c r="L21" s="73"/>
      <c r="M21" s="73"/>
      <c r="N21" s="73"/>
      <c r="O21" s="73"/>
      <c r="P21" s="73"/>
      <c r="Q21" s="73"/>
      <c r="R21" s="73"/>
    </row>
    <row r="22" spans="1:18">
      <c r="B22" t="s">
        <v>22</v>
      </c>
      <c r="K22" s="73"/>
      <c r="L22" s="73"/>
      <c r="M22" s="73"/>
      <c r="N22" s="73"/>
      <c r="O22" s="73"/>
      <c r="P22" s="73"/>
      <c r="Q22" s="73"/>
      <c r="R22" s="73"/>
    </row>
    <row r="23" spans="1:18">
      <c r="C23" t="s">
        <v>429</v>
      </c>
      <c r="K23" s="77">
        <v>1001520</v>
      </c>
      <c r="L23" s="73">
        <v>387943</v>
      </c>
      <c r="M23" s="73">
        <v>619763</v>
      </c>
      <c r="N23" s="73">
        <v>441069</v>
      </c>
      <c r="O23" s="73">
        <v>188536</v>
      </c>
      <c r="P23" s="73">
        <v>736264</v>
      </c>
      <c r="Q23" s="73">
        <v>1818824</v>
      </c>
      <c r="R23" s="73">
        <f>SUM(K23:Q23)</f>
        <v>5193919</v>
      </c>
    </row>
    <row r="24" spans="1:18">
      <c r="C24" t="s">
        <v>27</v>
      </c>
      <c r="K24" s="78">
        <v>138336</v>
      </c>
      <c r="L24" s="73"/>
      <c r="M24" s="73"/>
      <c r="N24" s="73"/>
      <c r="O24" s="73"/>
      <c r="P24" s="73"/>
      <c r="Q24" s="73">
        <v>1413914</v>
      </c>
      <c r="R24" s="73">
        <f t="shared" ref="R24:R26" si="2">SUM(K24:Q24)</f>
        <v>1552250</v>
      </c>
    </row>
    <row r="25" spans="1:18">
      <c r="C25" t="s">
        <v>236</v>
      </c>
      <c r="K25" s="84">
        <v>317461</v>
      </c>
      <c r="L25" s="73">
        <v>27555</v>
      </c>
      <c r="M25" s="73"/>
      <c r="N25" s="73"/>
      <c r="O25" s="73"/>
      <c r="P25" s="73"/>
      <c r="Q25" s="73">
        <v>950170</v>
      </c>
      <c r="R25" s="73">
        <f t="shared" si="2"/>
        <v>1295186</v>
      </c>
    </row>
    <row r="26" spans="1:18">
      <c r="C26" t="s">
        <v>507</v>
      </c>
      <c r="K26" s="83">
        <v>3470</v>
      </c>
      <c r="L26" s="73">
        <v>180079</v>
      </c>
      <c r="M26" s="73"/>
      <c r="N26" s="73"/>
      <c r="O26" s="88"/>
      <c r="P26" s="88">
        <v>5542</v>
      </c>
      <c r="Q26" s="88">
        <v>10975</v>
      </c>
      <c r="R26" s="88">
        <f t="shared" si="2"/>
        <v>200066</v>
      </c>
    </row>
    <row r="27" spans="1:18">
      <c r="K27" s="109"/>
      <c r="L27" s="109"/>
      <c r="M27" s="109"/>
      <c r="N27" s="109"/>
      <c r="O27" s="73"/>
      <c r="P27" s="73"/>
      <c r="Q27" s="73"/>
      <c r="R27" s="73"/>
    </row>
    <row r="28" spans="1:18" s="5" customFormat="1">
      <c r="B28" s="6"/>
      <c r="C28" s="6"/>
      <c r="D28" s="6"/>
      <c r="E28" s="6" t="s">
        <v>28</v>
      </c>
      <c r="K28" s="79">
        <f t="shared" ref="K28:R28" si="3">SUM(K23:K26)</f>
        <v>1460787</v>
      </c>
      <c r="L28" s="79">
        <f t="shared" si="3"/>
        <v>595577</v>
      </c>
      <c r="M28" s="79">
        <f t="shared" si="3"/>
        <v>619763</v>
      </c>
      <c r="N28" s="79">
        <f t="shared" si="3"/>
        <v>441069</v>
      </c>
      <c r="O28" s="79">
        <f t="shared" si="3"/>
        <v>188536</v>
      </c>
      <c r="P28" s="79">
        <f t="shared" si="3"/>
        <v>741806</v>
      </c>
      <c r="Q28" s="79">
        <f t="shared" si="3"/>
        <v>4193883</v>
      </c>
      <c r="R28" s="79">
        <f t="shared" si="3"/>
        <v>8241421</v>
      </c>
    </row>
    <row r="29" spans="1:18">
      <c r="K29" s="73"/>
      <c r="L29" s="73"/>
      <c r="M29" s="73"/>
      <c r="N29" s="73"/>
      <c r="O29" s="73"/>
      <c r="P29" s="73"/>
      <c r="Q29" s="73"/>
      <c r="R29" s="73"/>
    </row>
    <row r="30" spans="1:18">
      <c r="B30" t="s">
        <v>100</v>
      </c>
      <c r="K30" s="73"/>
      <c r="L30" s="73"/>
      <c r="M30" s="73"/>
      <c r="N30" s="73"/>
      <c r="O30" s="73"/>
      <c r="P30" s="73"/>
      <c r="Q30" s="73"/>
      <c r="R30" s="73"/>
    </row>
    <row r="31" spans="1:18">
      <c r="C31" t="s">
        <v>459</v>
      </c>
      <c r="K31" s="73"/>
      <c r="L31" s="73"/>
      <c r="M31" s="73"/>
      <c r="N31" s="73"/>
      <c r="O31" s="73"/>
      <c r="P31" s="73"/>
      <c r="Q31" s="73"/>
      <c r="R31" s="73"/>
    </row>
    <row r="32" spans="1:18">
      <c r="D32" t="s">
        <v>506</v>
      </c>
      <c r="K32" s="80">
        <v>45</v>
      </c>
      <c r="L32" s="73"/>
      <c r="M32" s="73"/>
      <c r="N32" s="73">
        <v>200</v>
      </c>
      <c r="O32" s="73"/>
      <c r="P32" s="73"/>
      <c r="Q32" s="73">
        <v>68751</v>
      </c>
      <c r="R32" s="73">
        <f>SUM(K32:Q32)</f>
        <v>68996</v>
      </c>
    </row>
    <row r="33" spans="3:18">
      <c r="D33" t="s">
        <v>183</v>
      </c>
      <c r="K33" s="80">
        <v>5747</v>
      </c>
      <c r="L33" s="73">
        <v>239283</v>
      </c>
      <c r="M33" s="73"/>
      <c r="N33" s="73"/>
      <c r="O33" s="73">
        <v>19844</v>
      </c>
      <c r="P33" s="73">
        <v>110862</v>
      </c>
      <c r="Q33" s="73">
        <v>234586</v>
      </c>
      <c r="R33" s="73">
        <f t="shared" ref="R33:R36" si="4">SUM(K33:Q33)</f>
        <v>610322</v>
      </c>
    </row>
    <row r="34" spans="3:18">
      <c r="C34" t="s">
        <v>508</v>
      </c>
      <c r="K34" s="73"/>
      <c r="L34" s="73"/>
      <c r="M34" s="73"/>
      <c r="N34" s="73"/>
      <c r="O34" s="73"/>
      <c r="P34" s="73"/>
      <c r="Q34" s="73"/>
      <c r="R34" s="73"/>
    </row>
    <row r="35" spans="3:18">
      <c r="D35" t="s">
        <v>118</v>
      </c>
      <c r="K35" s="73"/>
      <c r="L35" s="73">
        <v>3833604</v>
      </c>
      <c r="M35" s="73">
        <v>18181247</v>
      </c>
      <c r="N35" s="73">
        <v>9580549</v>
      </c>
      <c r="O35" s="73">
        <v>6056500</v>
      </c>
      <c r="P35" s="73">
        <v>11188231</v>
      </c>
      <c r="Q35" s="73">
        <v>20583760</v>
      </c>
      <c r="R35" s="73">
        <f t="shared" si="4"/>
        <v>69423891</v>
      </c>
    </row>
    <row r="36" spans="3:18">
      <c r="D36" t="s">
        <v>304</v>
      </c>
      <c r="K36" s="80">
        <v>4101769</v>
      </c>
      <c r="L36" s="73"/>
      <c r="M36" s="73"/>
      <c r="N36" s="73"/>
      <c r="O36" s="73"/>
      <c r="P36" s="73"/>
      <c r="Q36" s="73">
        <v>657252</v>
      </c>
      <c r="R36" s="73">
        <f t="shared" si="4"/>
        <v>4759021</v>
      </c>
    </row>
    <row r="37" spans="3:18">
      <c r="D37" t="s">
        <v>48</v>
      </c>
      <c r="K37" s="86">
        <v>4820709</v>
      </c>
      <c r="L37" s="73"/>
      <c r="M37" s="73"/>
      <c r="N37" s="73"/>
      <c r="O37" s="88"/>
      <c r="P37" s="88"/>
      <c r="Q37" s="88"/>
      <c r="R37" s="88">
        <f>SUM(K37:Q37)</f>
        <v>4820709</v>
      </c>
    </row>
    <row r="38" spans="3:18">
      <c r="K38" s="109"/>
      <c r="L38" s="109"/>
      <c r="M38" s="109"/>
      <c r="N38" s="109"/>
      <c r="O38" s="73"/>
      <c r="P38" s="73"/>
      <c r="Q38" s="73"/>
      <c r="R38" s="73"/>
    </row>
    <row r="39" spans="3:18" s="5" customFormat="1">
      <c r="D39" s="6"/>
      <c r="E39" s="6" t="s">
        <v>49</v>
      </c>
      <c r="K39" s="79">
        <f>SUM(K31:K38)</f>
        <v>8928270</v>
      </c>
      <c r="L39" s="79">
        <f t="shared" ref="L39:R39" si="5">SUM(L32:L37)</f>
        <v>4072887</v>
      </c>
      <c r="M39" s="79">
        <f t="shared" si="5"/>
        <v>18181247</v>
      </c>
      <c r="N39" s="79">
        <f t="shared" si="5"/>
        <v>9580749</v>
      </c>
      <c r="O39" s="79">
        <f t="shared" si="5"/>
        <v>6076344</v>
      </c>
      <c r="P39" s="79">
        <f t="shared" si="5"/>
        <v>11299093</v>
      </c>
      <c r="Q39" s="79">
        <f t="shared" si="5"/>
        <v>21544349</v>
      </c>
      <c r="R39" s="79">
        <f t="shared" si="5"/>
        <v>79682939</v>
      </c>
    </row>
    <row r="40" spans="3:18">
      <c r="K40" s="73"/>
      <c r="L40" s="73"/>
      <c r="M40" s="73"/>
      <c r="N40" s="73"/>
      <c r="O40" s="73"/>
      <c r="P40" s="73"/>
      <c r="Q40" s="73"/>
      <c r="R40" s="73"/>
    </row>
    <row r="41" spans="3:18" s="7" customFormat="1">
      <c r="D41" s="8"/>
      <c r="E41" s="8" t="s">
        <v>50</v>
      </c>
      <c r="K41" s="81">
        <f>SUM(K39,K28)</f>
        <v>10389057</v>
      </c>
      <c r="L41" s="81">
        <f t="shared" ref="L41:R41" si="6">SUM(L28,L39)</f>
        <v>4668464</v>
      </c>
      <c r="M41" s="81">
        <f t="shared" si="6"/>
        <v>18801010</v>
      </c>
      <c r="N41" s="81">
        <f t="shared" si="6"/>
        <v>10021818</v>
      </c>
      <c r="O41" s="81">
        <f t="shared" si="6"/>
        <v>6264880</v>
      </c>
      <c r="P41" s="81">
        <f t="shared" si="6"/>
        <v>12040899</v>
      </c>
      <c r="Q41" s="81">
        <f t="shared" si="6"/>
        <v>25738232</v>
      </c>
      <c r="R41" s="81">
        <f t="shared" si="6"/>
        <v>87924360</v>
      </c>
    </row>
  </sheetData>
  <mergeCells count="3">
    <mergeCell ref="D1:K1"/>
    <mergeCell ref="D2:K2"/>
    <mergeCell ref="K4:M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48"/>
  <sheetViews>
    <sheetView workbookViewId="0">
      <selection activeCell="J17" sqref="J17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8" width="19.42578125" customWidth="1"/>
    <col min="19" max="19" width="17.7109375" customWidth="1"/>
    <col min="20" max="20" width="17.5703125" customWidth="1"/>
  </cols>
  <sheetData>
    <row r="1" spans="1:20" ht="18.75">
      <c r="D1" s="125" t="s">
        <v>509</v>
      </c>
      <c r="E1" s="125"/>
      <c r="F1" s="125"/>
      <c r="G1" s="125"/>
      <c r="H1" s="125"/>
      <c r="I1" s="125"/>
      <c r="J1" s="125"/>
      <c r="K1" s="125"/>
    </row>
    <row r="2" spans="1:20">
      <c r="D2" s="126" t="s">
        <v>1</v>
      </c>
      <c r="E2" s="126"/>
      <c r="F2" s="126"/>
      <c r="G2" s="126"/>
      <c r="H2" s="126"/>
      <c r="I2" s="126"/>
      <c r="J2" s="126"/>
      <c r="K2" s="126"/>
    </row>
    <row r="3" spans="1:20">
      <c r="D3" s="57"/>
      <c r="E3" s="57"/>
      <c r="F3" s="57"/>
      <c r="G3" s="57"/>
      <c r="H3" s="57"/>
      <c r="I3" s="57"/>
      <c r="J3" s="57"/>
      <c r="K3" s="57"/>
    </row>
    <row r="4" spans="1:20" ht="36.75" customHeight="1">
      <c r="P4" s="57"/>
      <c r="Q4" s="57"/>
    </row>
    <row r="5" spans="1:20" ht="45">
      <c r="K5" s="1" t="s">
        <v>52</v>
      </c>
      <c r="L5" s="1" t="s">
        <v>149</v>
      </c>
      <c r="M5" s="1" t="s">
        <v>510</v>
      </c>
      <c r="N5" s="1" t="s">
        <v>112</v>
      </c>
      <c r="O5" s="1" t="s">
        <v>511</v>
      </c>
      <c r="P5" s="1" t="s">
        <v>512</v>
      </c>
      <c r="Q5" s="1" t="s">
        <v>513</v>
      </c>
      <c r="R5" s="1" t="s">
        <v>161</v>
      </c>
      <c r="S5" s="1" t="s">
        <v>8</v>
      </c>
      <c r="T5" s="1" t="s">
        <v>9</v>
      </c>
    </row>
    <row r="6" spans="1:20">
      <c r="A6" t="s">
        <v>10</v>
      </c>
    </row>
    <row r="7" spans="1:20">
      <c r="B7" t="s">
        <v>163</v>
      </c>
      <c r="K7" s="72">
        <v>15002557</v>
      </c>
      <c r="L7" s="73">
        <v>114796</v>
      </c>
      <c r="M7" s="73">
        <v>144637</v>
      </c>
      <c r="N7" s="73">
        <v>1101304</v>
      </c>
      <c r="O7" s="73">
        <v>12104008</v>
      </c>
      <c r="P7" s="73"/>
      <c r="Q7" s="73">
        <v>59682371</v>
      </c>
      <c r="R7" s="73"/>
      <c r="S7" s="73">
        <v>44555927</v>
      </c>
      <c r="T7" s="73">
        <f>SUM(K7:S7)</f>
        <v>132705600</v>
      </c>
    </row>
    <row r="8" spans="1:20">
      <c r="B8" t="s">
        <v>12</v>
      </c>
      <c r="K8" s="77">
        <v>876035</v>
      </c>
      <c r="L8" s="73">
        <v>3684</v>
      </c>
      <c r="M8" s="73"/>
      <c r="N8" s="73">
        <v>20402</v>
      </c>
      <c r="O8" s="73">
        <v>93672</v>
      </c>
      <c r="P8" s="73"/>
      <c r="Q8" s="73"/>
      <c r="R8" s="73"/>
      <c r="S8" s="73">
        <v>4004663</v>
      </c>
      <c r="T8" s="73">
        <f>SUM(K8:S8)</f>
        <v>4998456</v>
      </c>
    </row>
    <row r="9" spans="1:20">
      <c r="B9" t="s">
        <v>514</v>
      </c>
      <c r="K9" s="74">
        <v>19315448</v>
      </c>
      <c r="L9" s="73">
        <v>1727930</v>
      </c>
      <c r="M9" s="73">
        <v>1234709</v>
      </c>
      <c r="N9" s="73">
        <v>4360176</v>
      </c>
      <c r="O9" s="73">
        <v>1412201</v>
      </c>
      <c r="P9" s="73">
        <v>56363187</v>
      </c>
      <c r="Q9" s="73"/>
      <c r="R9" s="73"/>
      <c r="S9" s="73">
        <v>6682251</v>
      </c>
      <c r="T9" s="73">
        <f>SUM(K9:S9)</f>
        <v>91095902</v>
      </c>
    </row>
    <row r="10" spans="1:20">
      <c r="B10" t="s">
        <v>18</v>
      </c>
      <c r="K10" s="75">
        <v>42684293</v>
      </c>
      <c r="L10" s="73"/>
      <c r="M10" s="73"/>
      <c r="N10" s="73"/>
      <c r="O10" s="73"/>
      <c r="P10" s="73"/>
      <c r="Q10" s="73"/>
      <c r="R10" s="73"/>
      <c r="S10" s="73">
        <v>106839</v>
      </c>
      <c r="T10" s="73">
        <f>SUM(K10:S10)</f>
        <v>42791132</v>
      </c>
    </row>
    <row r="11" spans="1:20">
      <c r="B11" t="s">
        <v>207</v>
      </c>
      <c r="K11" s="85">
        <v>904373</v>
      </c>
      <c r="L11" s="73"/>
      <c r="M11" s="73"/>
      <c r="N11" s="73"/>
      <c r="O11" s="73"/>
      <c r="P11" s="73"/>
      <c r="Q11" s="73"/>
      <c r="R11" s="73"/>
      <c r="S11" s="73"/>
      <c r="T11" s="73">
        <f t="shared" ref="T11:T12" si="0">SUM(K11:R11)</f>
        <v>904373</v>
      </c>
    </row>
    <row r="12" spans="1:20">
      <c r="B12" t="s">
        <v>515</v>
      </c>
      <c r="K12" s="83">
        <v>2073727</v>
      </c>
      <c r="L12" s="73"/>
      <c r="M12" s="73"/>
      <c r="N12" s="73"/>
      <c r="O12" s="73"/>
      <c r="P12" s="73"/>
      <c r="Q12" s="73"/>
      <c r="R12" s="73"/>
      <c r="S12" s="73"/>
      <c r="T12" s="73">
        <f t="shared" si="0"/>
        <v>2073727</v>
      </c>
    </row>
    <row r="13" spans="1:20"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spans="1:20" s="3" customFormat="1">
      <c r="A14" s="2"/>
      <c r="B14" s="2"/>
      <c r="C14" s="2"/>
      <c r="D14" s="2"/>
      <c r="E14" s="2" t="s">
        <v>129</v>
      </c>
      <c r="K14" s="76">
        <f t="shared" ref="K14:T14" si="1">SUM(K7:K12)</f>
        <v>80856433</v>
      </c>
      <c r="L14" s="76">
        <f t="shared" si="1"/>
        <v>1846410</v>
      </c>
      <c r="M14" s="76">
        <f t="shared" si="1"/>
        <v>1379346</v>
      </c>
      <c r="N14" s="76">
        <f t="shared" si="1"/>
        <v>5481882</v>
      </c>
      <c r="O14" s="76">
        <f t="shared" si="1"/>
        <v>13609881</v>
      </c>
      <c r="P14" s="76">
        <f t="shared" si="1"/>
        <v>56363187</v>
      </c>
      <c r="Q14" s="76">
        <f t="shared" si="1"/>
        <v>59682371</v>
      </c>
      <c r="R14" s="76">
        <f t="shared" si="1"/>
        <v>0</v>
      </c>
      <c r="S14" s="76">
        <f t="shared" si="1"/>
        <v>55349680</v>
      </c>
      <c r="T14" s="76">
        <f t="shared" si="1"/>
        <v>274569190</v>
      </c>
    </row>
    <row r="15" spans="1:20"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spans="1:20">
      <c r="A16" s="4" t="s">
        <v>21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</row>
    <row r="17" spans="1:20">
      <c r="B17" t="s">
        <v>22</v>
      </c>
      <c r="K17" s="73"/>
      <c r="L17" s="73"/>
      <c r="M17" s="73"/>
      <c r="N17" s="73"/>
      <c r="O17" s="73"/>
      <c r="P17" s="73"/>
      <c r="Q17" s="73"/>
      <c r="R17" s="73"/>
      <c r="S17" s="73"/>
      <c r="T17" s="73"/>
    </row>
    <row r="18" spans="1:20">
      <c r="C18" t="s">
        <v>260</v>
      </c>
      <c r="K18" s="77">
        <v>6960299</v>
      </c>
      <c r="L18" s="73">
        <v>53674</v>
      </c>
      <c r="M18" s="73">
        <v>61497</v>
      </c>
      <c r="N18">
        <v>200228</v>
      </c>
      <c r="O18" s="73">
        <v>901718</v>
      </c>
      <c r="P18" s="73">
        <v>6274036</v>
      </c>
      <c r="Q18" s="73">
        <v>309215</v>
      </c>
      <c r="S18" s="73">
        <v>4575140</v>
      </c>
      <c r="T18" s="73">
        <f t="shared" ref="T18:T23" si="2">SUM(K18:S18)</f>
        <v>19335807</v>
      </c>
    </row>
    <row r="19" spans="1:20">
      <c r="C19" t="s">
        <v>236</v>
      </c>
      <c r="K19" s="73"/>
      <c r="L19" s="73"/>
      <c r="M19" s="73"/>
      <c r="O19" s="73"/>
      <c r="P19" s="73">
        <v>6684526</v>
      </c>
      <c r="Q19" s="73"/>
      <c r="R19" s="73"/>
      <c r="S19" s="73"/>
      <c r="T19" s="73">
        <f t="shared" si="2"/>
        <v>6684526</v>
      </c>
    </row>
    <row r="20" spans="1:20">
      <c r="C20" t="s">
        <v>332</v>
      </c>
      <c r="K20" s="77">
        <v>768053</v>
      </c>
      <c r="L20" s="73">
        <v>93237</v>
      </c>
      <c r="M20" s="73">
        <v>140608</v>
      </c>
      <c r="N20">
        <v>85558</v>
      </c>
      <c r="O20" s="73"/>
      <c r="P20" s="73"/>
      <c r="Q20" s="73"/>
      <c r="S20" s="73">
        <v>47400</v>
      </c>
      <c r="T20" s="73">
        <f t="shared" si="2"/>
        <v>1134856</v>
      </c>
    </row>
    <row r="21" spans="1:20">
      <c r="C21" t="s">
        <v>516</v>
      </c>
      <c r="K21" s="78">
        <v>51445</v>
      </c>
      <c r="L21" s="73"/>
      <c r="M21" s="73">
        <v>880</v>
      </c>
      <c r="O21" s="73"/>
      <c r="P21" s="73"/>
      <c r="Q21" s="73"/>
      <c r="S21" s="73"/>
      <c r="T21" s="73">
        <f t="shared" si="2"/>
        <v>52325</v>
      </c>
    </row>
    <row r="22" spans="1:20">
      <c r="C22" t="s">
        <v>27</v>
      </c>
      <c r="K22" s="78">
        <v>44918</v>
      </c>
      <c r="L22" s="73"/>
      <c r="M22" s="73"/>
      <c r="O22" s="73"/>
      <c r="P22" s="73">
        <v>38314818</v>
      </c>
      <c r="Q22" s="73">
        <v>1307853</v>
      </c>
      <c r="S22" s="73">
        <v>3063543</v>
      </c>
      <c r="T22" s="73">
        <f t="shared" si="2"/>
        <v>42731132</v>
      </c>
    </row>
    <row r="23" spans="1:20">
      <c r="C23" t="s">
        <v>47</v>
      </c>
      <c r="K23" s="83">
        <v>839837</v>
      </c>
      <c r="L23" s="73">
        <v>47958</v>
      </c>
      <c r="M23" s="73">
        <v>31761</v>
      </c>
      <c r="N23">
        <v>126406</v>
      </c>
      <c r="O23" s="73">
        <v>5981</v>
      </c>
      <c r="P23" s="73"/>
      <c r="Q23" s="73"/>
      <c r="S23" s="73">
        <v>53068</v>
      </c>
      <c r="T23" s="73">
        <f t="shared" si="2"/>
        <v>1105011</v>
      </c>
    </row>
    <row r="24" spans="1:20">
      <c r="K24" s="73"/>
      <c r="L24" s="73"/>
      <c r="M24" s="73"/>
      <c r="N24" s="73"/>
      <c r="O24" s="73"/>
      <c r="P24" s="73"/>
      <c r="Q24" s="73"/>
      <c r="R24" s="73"/>
      <c r="S24" s="73"/>
      <c r="T24" s="73"/>
    </row>
    <row r="25" spans="1:20" s="5" customFormat="1">
      <c r="B25" s="6"/>
      <c r="C25" s="6"/>
      <c r="D25" s="6"/>
      <c r="E25" s="6" t="s">
        <v>28</v>
      </c>
      <c r="K25" s="79">
        <f>SUM(K18:K23)</f>
        <v>8664552</v>
      </c>
      <c r="L25" s="79">
        <f>SUM(L18:L23)</f>
        <v>194869</v>
      </c>
      <c r="M25" s="79">
        <f>SUM(M18:M23)</f>
        <v>234746</v>
      </c>
      <c r="N25" s="79">
        <f>SUM(N18:N24)</f>
        <v>412192</v>
      </c>
      <c r="O25" s="79">
        <f>SUM(O18:O23)</f>
        <v>907699</v>
      </c>
      <c r="P25" s="79">
        <f>SUM(P18:P23)</f>
        <v>51273380</v>
      </c>
      <c r="Q25" s="79">
        <f>SUM(Q18:Q22)</f>
        <v>1617068</v>
      </c>
      <c r="R25" s="79">
        <f>SUM(R18:R23)</f>
        <v>0</v>
      </c>
      <c r="S25" s="79">
        <f>SUM(S18:S23)</f>
        <v>7739151</v>
      </c>
      <c r="T25" s="79">
        <f>SUM(T18:T23)</f>
        <v>71043657</v>
      </c>
    </row>
    <row r="26" spans="1:20"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spans="1:20">
      <c r="A27" s="71" t="s">
        <v>167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</row>
    <row r="28" spans="1:20">
      <c r="C28" t="s">
        <v>155</v>
      </c>
      <c r="K28" s="88">
        <v>3757812</v>
      </c>
      <c r="L28" s="88">
        <v>1527566</v>
      </c>
      <c r="M28" s="88">
        <v>1011650</v>
      </c>
      <c r="N28" s="88">
        <v>4026287</v>
      </c>
      <c r="O28" s="88"/>
      <c r="P28" s="88"/>
      <c r="Q28" s="88"/>
      <c r="R28" s="88">
        <v>1613200</v>
      </c>
      <c r="S28" s="88">
        <v>5926915</v>
      </c>
      <c r="T28" s="88">
        <f>SUM(K28:S28)</f>
        <v>17863430</v>
      </c>
    </row>
    <row r="29" spans="1:20">
      <c r="K29" s="73"/>
      <c r="L29" s="73"/>
      <c r="M29" s="73"/>
      <c r="N29" s="73"/>
      <c r="O29" s="73"/>
      <c r="P29" s="73"/>
      <c r="Q29" s="73"/>
      <c r="R29" s="73"/>
      <c r="S29" s="73"/>
      <c r="T29" s="73"/>
    </row>
    <row r="30" spans="1:20">
      <c r="B30" t="s">
        <v>100</v>
      </c>
      <c r="K30" s="73"/>
      <c r="L30" s="73"/>
      <c r="M30" s="73"/>
      <c r="N30" s="73"/>
      <c r="O30" s="73"/>
      <c r="P30" s="73"/>
      <c r="Q30" s="73"/>
      <c r="R30" s="73"/>
      <c r="S30" s="73"/>
      <c r="T30" s="73"/>
    </row>
    <row r="31" spans="1:20">
      <c r="C31" t="s">
        <v>156</v>
      </c>
      <c r="K31" s="80">
        <v>2978100</v>
      </c>
      <c r="L31" s="73"/>
      <c r="M31" s="73"/>
      <c r="N31" s="73"/>
      <c r="O31" s="73"/>
      <c r="P31" s="73"/>
      <c r="Q31" s="73"/>
      <c r="R31" s="73"/>
      <c r="S31" s="73"/>
      <c r="T31" s="73">
        <f>SUM(K31:R31)</f>
        <v>2978100</v>
      </c>
    </row>
    <row r="32" spans="1:20">
      <c r="C32" t="s">
        <v>118</v>
      </c>
      <c r="K32" s="80">
        <v>2481206</v>
      </c>
      <c r="L32" s="73"/>
      <c r="M32" s="73"/>
      <c r="N32" s="73">
        <v>1038966</v>
      </c>
      <c r="O32" s="73">
        <v>12653272</v>
      </c>
      <c r="P32" s="73">
        <v>5089807</v>
      </c>
      <c r="Q32" s="73">
        <v>58065303</v>
      </c>
      <c r="R32" s="73"/>
      <c r="S32" s="73">
        <v>46594679</v>
      </c>
      <c r="T32" s="73">
        <f>SUM(K32:S32)</f>
        <v>125923233</v>
      </c>
    </row>
    <row r="33" spans="3:20">
      <c r="C33" t="s">
        <v>304</v>
      </c>
      <c r="K33" s="80">
        <v>67089646</v>
      </c>
      <c r="L33" s="73"/>
      <c r="M33" s="73"/>
      <c r="N33" s="73"/>
      <c r="O33" s="73"/>
      <c r="P33" s="73"/>
      <c r="Q33" s="73"/>
      <c r="R33" s="73"/>
      <c r="S33" s="73"/>
      <c r="T33" s="73">
        <f>SUM(K33:R33)</f>
        <v>67089646</v>
      </c>
    </row>
    <row r="34" spans="3:20">
      <c r="C34" t="s">
        <v>119</v>
      </c>
      <c r="K34" s="82">
        <v>1672432</v>
      </c>
      <c r="L34" s="73">
        <v>123975</v>
      </c>
      <c r="M34" s="73">
        <v>132950</v>
      </c>
      <c r="N34" s="73">
        <v>4437</v>
      </c>
      <c r="O34" s="73">
        <v>48910</v>
      </c>
      <c r="P34" s="73"/>
      <c r="Q34" s="73"/>
      <c r="R34" s="73"/>
      <c r="S34" s="73">
        <v>4200</v>
      </c>
      <c r="T34" s="73">
        <f>SUM(K34:S34)</f>
        <v>1986904</v>
      </c>
    </row>
    <row r="35" spans="3:20">
      <c r="C35" t="s">
        <v>517</v>
      </c>
      <c r="K35" s="86">
        <v>-5787315</v>
      </c>
      <c r="L35" s="73"/>
      <c r="M35" s="73"/>
      <c r="N35" s="73"/>
      <c r="O35" s="73"/>
      <c r="P35" s="73"/>
      <c r="Q35" s="73"/>
      <c r="R35" s="73">
        <v>-1613200</v>
      </c>
      <c r="S35" s="73">
        <v>-4915265</v>
      </c>
      <c r="T35" s="73">
        <f>SUM(K35:S35)</f>
        <v>-12315780</v>
      </c>
    </row>
    <row r="36" spans="3:20">
      <c r="K36" s="73"/>
      <c r="L36" s="73"/>
      <c r="M36" s="73"/>
      <c r="N36" s="73"/>
      <c r="O36" s="73"/>
      <c r="P36" s="73"/>
      <c r="Q36" s="73"/>
      <c r="R36" s="73"/>
      <c r="S36" s="73"/>
      <c r="T36" s="73"/>
    </row>
    <row r="37" spans="3:20" s="5" customFormat="1">
      <c r="D37" s="6"/>
      <c r="E37" s="6" t="s">
        <v>49</v>
      </c>
      <c r="K37" s="79">
        <f>SUM(K31:K36)</f>
        <v>68434069</v>
      </c>
      <c r="L37" s="79">
        <f t="shared" ref="L37:T37" si="3">SUM(L31:L35)</f>
        <v>123975</v>
      </c>
      <c r="M37" s="79">
        <f t="shared" si="3"/>
        <v>132950</v>
      </c>
      <c r="N37" s="79">
        <f t="shared" si="3"/>
        <v>1043403</v>
      </c>
      <c r="O37" s="79">
        <f t="shared" si="3"/>
        <v>12702182</v>
      </c>
      <c r="P37" s="79">
        <f t="shared" si="3"/>
        <v>5089807</v>
      </c>
      <c r="Q37" s="79">
        <f t="shared" si="3"/>
        <v>58065303</v>
      </c>
      <c r="R37" s="79">
        <f t="shared" si="3"/>
        <v>-1613200</v>
      </c>
      <c r="S37" s="79">
        <f t="shared" si="3"/>
        <v>41683614</v>
      </c>
      <c r="T37" s="79">
        <f t="shared" si="3"/>
        <v>185662103</v>
      </c>
    </row>
    <row r="38" spans="3:20">
      <c r="K38" s="73"/>
      <c r="L38" s="73"/>
      <c r="M38" s="73"/>
      <c r="N38" s="73"/>
      <c r="O38" s="73"/>
      <c r="P38" s="73"/>
      <c r="Q38" s="73"/>
      <c r="R38" s="73"/>
      <c r="S38" s="73"/>
      <c r="T38" s="73"/>
    </row>
    <row r="39" spans="3:20" s="7" customFormat="1">
      <c r="D39" s="8"/>
      <c r="E39" s="8" t="s">
        <v>50</v>
      </c>
      <c r="K39" s="81">
        <f>SUM(K37,K25,K28)</f>
        <v>80856433</v>
      </c>
      <c r="L39" s="81">
        <f t="shared" ref="L39:T39" si="4">SUM(L37,L25,L28)</f>
        <v>1846410</v>
      </c>
      <c r="M39" s="81">
        <f t="shared" si="4"/>
        <v>1379346</v>
      </c>
      <c r="N39" s="81">
        <f t="shared" si="4"/>
        <v>5481882</v>
      </c>
      <c r="O39" s="81">
        <f t="shared" si="4"/>
        <v>13609881</v>
      </c>
      <c r="P39" s="81">
        <f t="shared" si="4"/>
        <v>56363187</v>
      </c>
      <c r="Q39" s="81">
        <f t="shared" si="4"/>
        <v>59682371</v>
      </c>
      <c r="R39" s="81">
        <f t="shared" si="4"/>
        <v>0</v>
      </c>
      <c r="S39" s="81">
        <f t="shared" si="4"/>
        <v>55349680</v>
      </c>
      <c r="T39" s="81">
        <f t="shared" si="4"/>
        <v>274569190</v>
      </c>
    </row>
    <row r="43" spans="3:20">
      <c r="T43" s="97"/>
    </row>
    <row r="48" spans="3:20">
      <c r="T48" s="93"/>
    </row>
  </sheetData>
  <mergeCells count="2">
    <mergeCell ref="D1:K1"/>
    <mergeCell ref="D2:K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44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7" width="19.42578125" customWidth="1"/>
    <col min="18" max="18" width="17.7109375" customWidth="1"/>
    <col min="19" max="19" width="17.5703125" customWidth="1"/>
  </cols>
  <sheetData>
    <row r="1" spans="1:19" ht="18.75">
      <c r="D1" s="125" t="s">
        <v>518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 ht="36.75" customHeight="1">
      <c r="P4" s="57"/>
      <c r="Q4" s="57"/>
    </row>
    <row r="5" spans="1:19" ht="45">
      <c r="K5" s="1" t="s">
        <v>159</v>
      </c>
      <c r="L5" s="1" t="s">
        <v>122</v>
      </c>
      <c r="M5" s="1" t="s">
        <v>312</v>
      </c>
      <c r="N5" s="1" t="s">
        <v>519</v>
      </c>
      <c r="O5" s="1" t="s">
        <v>520</v>
      </c>
      <c r="P5" s="1" t="s">
        <v>521</v>
      </c>
      <c r="Q5" s="1" t="s">
        <v>522</v>
      </c>
      <c r="R5" s="1" t="s">
        <v>8</v>
      </c>
      <c r="S5" s="1" t="s">
        <v>9</v>
      </c>
    </row>
    <row r="6" spans="1:19">
      <c r="A6" t="s">
        <v>10</v>
      </c>
    </row>
    <row r="7" spans="1:19">
      <c r="B7" t="s">
        <v>163</v>
      </c>
      <c r="K7" s="72">
        <v>237950</v>
      </c>
      <c r="L7" s="73">
        <v>732</v>
      </c>
      <c r="M7" s="73">
        <v>58223</v>
      </c>
      <c r="N7" s="73">
        <v>1174269</v>
      </c>
      <c r="O7" s="73">
        <v>623</v>
      </c>
      <c r="P7" s="73">
        <v>773131</v>
      </c>
      <c r="Q7" s="73">
        <v>182398</v>
      </c>
      <c r="R7" s="73">
        <v>50353</v>
      </c>
      <c r="S7" s="73">
        <f t="shared" ref="S7:S13" si="0">SUM(K7:R7)</f>
        <v>2477679</v>
      </c>
    </row>
    <row r="8" spans="1:19">
      <c r="B8" t="s">
        <v>12</v>
      </c>
      <c r="K8" s="73"/>
      <c r="L8" s="73"/>
      <c r="M8" s="73"/>
      <c r="N8" s="73">
        <v>702328</v>
      </c>
      <c r="O8" s="73"/>
      <c r="P8" s="73"/>
      <c r="Q8" s="73"/>
      <c r="R8" s="73"/>
      <c r="S8" s="73">
        <f t="shared" si="0"/>
        <v>702328</v>
      </c>
    </row>
    <row r="9" spans="1:19">
      <c r="B9" t="s">
        <v>398</v>
      </c>
      <c r="K9" s="74">
        <v>1370598</v>
      </c>
      <c r="L9" s="73">
        <v>103813</v>
      </c>
      <c r="M9" s="73"/>
      <c r="N9" s="73">
        <v>1658671</v>
      </c>
      <c r="O9" s="73">
        <v>21308</v>
      </c>
      <c r="P9" s="73">
        <v>47592</v>
      </c>
      <c r="Q9" s="73">
        <v>178974</v>
      </c>
      <c r="R9" s="73">
        <v>67474</v>
      </c>
      <c r="S9" s="73">
        <f t="shared" si="0"/>
        <v>3448430</v>
      </c>
    </row>
    <row r="10" spans="1:19">
      <c r="B10" t="s">
        <v>60</v>
      </c>
      <c r="K10" s="75">
        <v>553559</v>
      </c>
      <c r="L10" s="73">
        <v>73613</v>
      </c>
      <c r="M10" s="73">
        <v>40398</v>
      </c>
      <c r="N10" s="73"/>
      <c r="O10" s="73"/>
      <c r="P10" s="73"/>
      <c r="Q10" s="73"/>
      <c r="R10" s="73">
        <v>11523</v>
      </c>
      <c r="S10" s="73">
        <f t="shared" si="0"/>
        <v>679093</v>
      </c>
    </row>
    <row r="11" spans="1:19">
      <c r="B11" t="s">
        <v>18</v>
      </c>
      <c r="K11" s="75">
        <v>1918860</v>
      </c>
      <c r="L11" s="73"/>
      <c r="M11" s="73"/>
      <c r="N11" s="73"/>
      <c r="O11" s="73"/>
      <c r="P11" s="73"/>
      <c r="Q11" s="73">
        <v>1190000</v>
      </c>
      <c r="R11" s="73">
        <v>174000</v>
      </c>
      <c r="S11" s="73">
        <f t="shared" si="0"/>
        <v>3282860</v>
      </c>
    </row>
    <row r="12" spans="1:19">
      <c r="B12" t="s">
        <v>207</v>
      </c>
      <c r="K12" s="85">
        <v>62339</v>
      </c>
      <c r="L12" s="73"/>
      <c r="M12" s="73"/>
      <c r="N12" s="73"/>
      <c r="O12" s="73"/>
      <c r="P12" s="73"/>
      <c r="Q12" s="73"/>
      <c r="R12" s="73">
        <v>18</v>
      </c>
      <c r="S12" s="73">
        <f t="shared" si="0"/>
        <v>62357</v>
      </c>
    </row>
    <row r="13" spans="1:19">
      <c r="B13" t="s">
        <v>88</v>
      </c>
      <c r="K13" s="83">
        <v>8585</v>
      </c>
      <c r="L13" s="73">
        <v>13</v>
      </c>
      <c r="M13" s="73"/>
      <c r="N13" s="73"/>
      <c r="O13" s="73"/>
      <c r="P13" s="73"/>
      <c r="Q13" s="73"/>
      <c r="R13" s="73">
        <v>410</v>
      </c>
      <c r="S13" s="73">
        <f t="shared" si="0"/>
        <v>9008</v>
      </c>
    </row>
    <row r="14" spans="1:19">
      <c r="K14" s="73"/>
      <c r="L14" s="73"/>
      <c r="M14" s="73"/>
      <c r="N14" s="73"/>
      <c r="O14" s="73"/>
      <c r="P14" s="73"/>
      <c r="Q14" s="73"/>
      <c r="R14" s="73"/>
      <c r="S14" s="73"/>
    </row>
    <row r="15" spans="1:19" s="3" customFormat="1">
      <c r="A15" s="2"/>
      <c r="B15" s="2"/>
      <c r="C15" s="2"/>
      <c r="D15" s="2"/>
      <c r="E15" s="2" t="s">
        <v>129</v>
      </c>
      <c r="K15" s="76">
        <f t="shared" ref="K15:S15" si="1">SUM(K7:K13)</f>
        <v>4151891</v>
      </c>
      <c r="L15" s="76">
        <f t="shared" si="1"/>
        <v>178171</v>
      </c>
      <c r="M15" s="76">
        <f t="shared" si="1"/>
        <v>98621</v>
      </c>
      <c r="N15" s="76">
        <f t="shared" si="1"/>
        <v>3535268</v>
      </c>
      <c r="O15" s="76">
        <f t="shared" si="1"/>
        <v>21931</v>
      </c>
      <c r="P15" s="76">
        <f t="shared" si="1"/>
        <v>820723</v>
      </c>
      <c r="Q15" s="76">
        <f t="shared" si="1"/>
        <v>1551372</v>
      </c>
      <c r="R15" s="76">
        <f t="shared" si="1"/>
        <v>303778</v>
      </c>
      <c r="S15" s="76">
        <f t="shared" si="1"/>
        <v>10661755</v>
      </c>
    </row>
    <row r="16" spans="1:19"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A17" s="4" t="s">
        <v>21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1:19">
      <c r="B18" t="s">
        <v>22</v>
      </c>
      <c r="K18" s="73"/>
      <c r="L18" s="73"/>
      <c r="M18" s="73"/>
      <c r="N18" s="73"/>
      <c r="O18" s="73"/>
      <c r="P18" s="73"/>
      <c r="Q18" s="73"/>
      <c r="R18" s="73"/>
      <c r="S18" s="73"/>
    </row>
    <row r="19" spans="1:19">
      <c r="C19" t="s">
        <v>429</v>
      </c>
      <c r="K19" s="77">
        <v>602549</v>
      </c>
      <c r="L19" s="73">
        <v>94425</v>
      </c>
      <c r="M19" s="73">
        <v>88579</v>
      </c>
      <c r="N19">
        <v>254546</v>
      </c>
      <c r="O19" s="73">
        <v>73264</v>
      </c>
      <c r="P19" s="73">
        <v>259240</v>
      </c>
      <c r="Q19" s="73"/>
      <c r="R19" s="73">
        <v>28602</v>
      </c>
      <c r="S19" s="73">
        <f>SUM(K19:R19)</f>
        <v>1401205</v>
      </c>
    </row>
    <row r="20" spans="1:19">
      <c r="C20" t="s">
        <v>95</v>
      </c>
      <c r="K20" s="78">
        <v>421609</v>
      </c>
      <c r="L20" s="73"/>
      <c r="M20" s="73"/>
      <c r="O20" s="73">
        <v>1</v>
      </c>
      <c r="P20" s="73"/>
      <c r="Q20" s="73"/>
      <c r="R20" s="73"/>
      <c r="S20" s="73">
        <f>SUM(K20:R20)</f>
        <v>421610</v>
      </c>
    </row>
    <row r="21" spans="1:19">
      <c r="C21" t="s">
        <v>27</v>
      </c>
      <c r="K21" s="78">
        <v>2976000</v>
      </c>
      <c r="L21" s="73">
        <v>92000</v>
      </c>
      <c r="M21" s="73"/>
      <c r="O21" s="73">
        <v>925000</v>
      </c>
      <c r="P21" s="73">
        <v>122000</v>
      </c>
      <c r="Q21" s="73"/>
      <c r="R21" s="73">
        <v>14000</v>
      </c>
      <c r="S21" s="73">
        <f>SUM(K21:R21)</f>
        <v>4129000</v>
      </c>
    </row>
    <row r="22" spans="1:19">
      <c r="K22" s="73"/>
      <c r="L22" s="73"/>
      <c r="M22" s="73"/>
      <c r="N22" s="73"/>
      <c r="O22" s="73"/>
      <c r="P22" s="73"/>
      <c r="Q22" s="73"/>
      <c r="R22" s="73"/>
      <c r="S22" s="73"/>
    </row>
    <row r="23" spans="1:19" s="5" customFormat="1">
      <c r="B23" s="6"/>
      <c r="C23" s="6"/>
      <c r="D23" s="6"/>
      <c r="E23" s="6" t="s">
        <v>28</v>
      </c>
      <c r="K23" s="79">
        <f>SUM(K19:K21)</f>
        <v>4000158</v>
      </c>
      <c r="L23" s="79">
        <f>SUM(L19:L21)</f>
        <v>186425</v>
      </c>
      <c r="M23" s="79">
        <f>SUM(M19:M21)</f>
        <v>88579</v>
      </c>
      <c r="N23" s="79">
        <f>SUM(N19:N22)</f>
        <v>254546</v>
      </c>
      <c r="O23" s="79">
        <f>SUM(O19:O21)</f>
        <v>998265</v>
      </c>
      <c r="P23" s="79">
        <f>SUM(P19:P21)</f>
        <v>381240</v>
      </c>
      <c r="Q23" s="79">
        <f>SUM(Q19:Q21)</f>
        <v>0</v>
      </c>
      <c r="R23" s="79">
        <f>SUM(R19:R21)</f>
        <v>42602</v>
      </c>
      <c r="S23" s="79">
        <f>SUM(S19:S21)</f>
        <v>5951815</v>
      </c>
    </row>
    <row r="24" spans="1:19"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A25" s="71" t="s">
        <v>167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C26" t="s">
        <v>523</v>
      </c>
      <c r="K26" s="88">
        <v>2473</v>
      </c>
      <c r="L26" s="88"/>
      <c r="M26" s="88"/>
      <c r="N26" s="88"/>
      <c r="O26" s="88"/>
      <c r="P26" s="88"/>
      <c r="Q26" s="88"/>
      <c r="R26" s="88"/>
      <c r="S26" s="88">
        <f>SUM(K26:R26)</f>
        <v>2473</v>
      </c>
    </row>
    <row r="27" spans="1:19">
      <c r="K27" s="73"/>
      <c r="L27" s="73"/>
      <c r="M27" s="73"/>
      <c r="N27" s="73"/>
      <c r="O27" s="73"/>
      <c r="P27" s="73"/>
      <c r="Q27" s="73"/>
      <c r="R27" s="73"/>
      <c r="S27" s="73"/>
    </row>
    <row r="28" spans="1:19">
      <c r="B28" t="s">
        <v>100</v>
      </c>
      <c r="K28" s="73"/>
      <c r="L28" s="73"/>
      <c r="M28" s="73"/>
      <c r="N28" s="73"/>
      <c r="O28" s="73"/>
      <c r="P28" s="73"/>
      <c r="Q28" s="73"/>
      <c r="R28" s="73"/>
      <c r="S28" s="73"/>
    </row>
    <row r="29" spans="1:19">
      <c r="C29" t="s">
        <v>118</v>
      </c>
      <c r="K29" s="111"/>
      <c r="L29" s="73"/>
      <c r="M29" s="73"/>
      <c r="N29" s="73">
        <v>159340</v>
      </c>
      <c r="O29" s="73"/>
      <c r="P29" s="73">
        <v>439483</v>
      </c>
      <c r="Q29" s="73">
        <v>1551372</v>
      </c>
      <c r="R29" s="73"/>
      <c r="S29" s="73">
        <f>SUM(K29:R29)</f>
        <v>2150195</v>
      </c>
    </row>
    <row r="30" spans="1:19">
      <c r="C30" t="s">
        <v>304</v>
      </c>
      <c r="K30" s="80">
        <v>149260</v>
      </c>
      <c r="L30" s="73">
        <v>-8254</v>
      </c>
      <c r="M30" s="73">
        <v>10042</v>
      </c>
      <c r="N30" s="73">
        <v>3121382</v>
      </c>
      <c r="O30" s="73"/>
      <c r="P30" s="73"/>
      <c r="Q30" s="73"/>
      <c r="R30" s="73">
        <v>261176</v>
      </c>
      <c r="S30" s="73">
        <f>SUM(K30:R30)</f>
        <v>3533606</v>
      </c>
    </row>
    <row r="31" spans="1:19">
      <c r="C31" t="s">
        <v>48</v>
      </c>
      <c r="K31" s="73"/>
      <c r="L31" s="73"/>
      <c r="M31" s="73"/>
      <c r="N31" s="73"/>
      <c r="O31" s="73">
        <v>-976334</v>
      </c>
      <c r="P31" s="73"/>
      <c r="Q31" s="73"/>
      <c r="R31" s="73"/>
      <c r="S31" s="73">
        <f>SUM(K31:R31)</f>
        <v>-976334</v>
      </c>
    </row>
    <row r="32" spans="1:19">
      <c r="K32" s="73"/>
      <c r="L32" s="73"/>
      <c r="M32" s="73"/>
      <c r="N32" s="73"/>
      <c r="O32" s="73"/>
      <c r="P32" s="73"/>
      <c r="Q32" s="73"/>
      <c r="R32" s="73"/>
      <c r="S32" s="73"/>
    </row>
    <row r="33" spans="4:19" s="5" customFormat="1">
      <c r="D33" s="6"/>
      <c r="E33" s="6" t="s">
        <v>49</v>
      </c>
      <c r="K33" s="79">
        <f>SUM(K29:K32)</f>
        <v>149260</v>
      </c>
      <c r="L33" s="79">
        <f t="shared" ref="L33:S33" si="2">SUM(L29:L31)</f>
        <v>-8254</v>
      </c>
      <c r="M33" s="79">
        <f t="shared" si="2"/>
        <v>10042</v>
      </c>
      <c r="N33" s="79">
        <f t="shared" si="2"/>
        <v>3280722</v>
      </c>
      <c r="O33" s="79">
        <f t="shared" si="2"/>
        <v>-976334</v>
      </c>
      <c r="P33" s="79">
        <f t="shared" si="2"/>
        <v>439483</v>
      </c>
      <c r="Q33" s="79">
        <f t="shared" si="2"/>
        <v>1551372</v>
      </c>
      <c r="R33" s="79">
        <f t="shared" si="2"/>
        <v>261176</v>
      </c>
      <c r="S33" s="79">
        <f t="shared" si="2"/>
        <v>4707467</v>
      </c>
    </row>
    <row r="34" spans="4:19">
      <c r="K34" s="73"/>
      <c r="L34" s="73"/>
      <c r="M34" s="73"/>
      <c r="N34" s="73"/>
      <c r="O34" s="73"/>
      <c r="P34" s="73"/>
      <c r="Q34" s="73"/>
      <c r="R34" s="73"/>
      <c r="S34" s="73"/>
    </row>
    <row r="35" spans="4:19" s="7" customFormat="1">
      <c r="D35" s="8"/>
      <c r="E35" s="8" t="s">
        <v>50</v>
      </c>
      <c r="K35" s="81">
        <f t="shared" ref="K35:S35" si="3">SUM(K33,K23,K26)</f>
        <v>4151891</v>
      </c>
      <c r="L35" s="81">
        <f t="shared" si="3"/>
        <v>178171</v>
      </c>
      <c r="M35" s="81">
        <f t="shared" si="3"/>
        <v>98621</v>
      </c>
      <c r="N35" s="81">
        <f t="shared" si="3"/>
        <v>3535268</v>
      </c>
      <c r="O35" s="81">
        <f t="shared" si="3"/>
        <v>21931</v>
      </c>
      <c r="P35" s="81">
        <f t="shared" si="3"/>
        <v>820723</v>
      </c>
      <c r="Q35" s="81">
        <f t="shared" si="3"/>
        <v>1551372</v>
      </c>
      <c r="R35" s="81">
        <f t="shared" si="3"/>
        <v>303778</v>
      </c>
      <c r="S35" s="81">
        <f t="shared" si="3"/>
        <v>10661755</v>
      </c>
    </row>
    <row r="39" spans="4:19">
      <c r="S39" s="97"/>
    </row>
    <row r="44" spans="4:19">
      <c r="S44" s="93"/>
    </row>
  </sheetData>
  <mergeCells count="2">
    <mergeCell ref="D1:K1"/>
    <mergeCell ref="D2:K2"/>
  </mergeCells>
  <pageMargins left="0.7" right="0.7" top="0.75" bottom="0.75" header="0.3" footer="0.3"/>
  <pageSetup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36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9.42578125" customWidth="1"/>
    <col min="15" max="15" width="18.28515625" customWidth="1"/>
    <col min="16" max="16" width="18" customWidth="1"/>
    <col min="17" max="17" width="18.28515625" customWidth="1"/>
  </cols>
  <sheetData>
    <row r="1" spans="1:16" ht="18.75">
      <c r="D1" s="125" t="s">
        <v>524</v>
      </c>
      <c r="E1" s="125"/>
      <c r="F1" s="125"/>
      <c r="G1" s="125"/>
      <c r="H1" s="125"/>
      <c r="I1" s="125"/>
      <c r="J1" s="125"/>
      <c r="K1" s="125"/>
    </row>
    <row r="2" spans="1:16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6" ht="29.25" customHeight="1">
      <c r="D3" s="57"/>
      <c r="E3" s="57"/>
      <c r="F3" s="57"/>
      <c r="G3" s="57"/>
      <c r="H3" s="57"/>
      <c r="I3" s="57"/>
      <c r="J3" s="57"/>
      <c r="K3" s="126"/>
      <c r="L3" s="126"/>
      <c r="M3" s="126"/>
      <c r="N3" s="126"/>
      <c r="O3" s="57"/>
    </row>
    <row r="4" spans="1:16" ht="15" customHeight="1">
      <c r="K4" s="100"/>
      <c r="L4" s="100"/>
      <c r="M4" s="100"/>
      <c r="N4" s="100"/>
      <c r="O4" s="100"/>
    </row>
    <row r="5" spans="1:16" ht="45">
      <c r="K5" s="1" t="s">
        <v>52</v>
      </c>
      <c r="L5" s="1" t="s">
        <v>525</v>
      </c>
      <c r="M5" s="1" t="s">
        <v>526</v>
      </c>
      <c r="N5" s="1" t="s">
        <v>8</v>
      </c>
      <c r="O5" s="1" t="s">
        <v>527</v>
      </c>
      <c r="P5" s="1" t="s">
        <v>528</v>
      </c>
    </row>
    <row r="6" spans="1:16">
      <c r="A6" t="s">
        <v>10</v>
      </c>
    </row>
    <row r="7" spans="1:16">
      <c r="B7" t="s">
        <v>163</v>
      </c>
      <c r="K7" s="72">
        <v>3068852</v>
      </c>
      <c r="L7" s="73">
        <v>1122621</v>
      </c>
      <c r="M7" s="73">
        <v>4533386</v>
      </c>
      <c r="N7" s="73">
        <v>41299174</v>
      </c>
      <c r="O7" s="73">
        <f>SUM(K7:N7)</f>
        <v>50024033</v>
      </c>
      <c r="P7" s="73">
        <v>25937860</v>
      </c>
    </row>
    <row r="8" spans="1:16">
      <c r="B8" t="s">
        <v>59</v>
      </c>
      <c r="K8" s="74">
        <v>2698736</v>
      </c>
      <c r="L8" s="73">
        <v>482191</v>
      </c>
      <c r="M8" s="73">
        <v>4522300</v>
      </c>
      <c r="N8" s="73">
        <v>14881844</v>
      </c>
      <c r="O8" s="73">
        <f t="shared" ref="O8:O10" si="0">SUM(K8:N8)</f>
        <v>22585071</v>
      </c>
      <c r="P8" s="73">
        <v>18491555</v>
      </c>
    </row>
    <row r="9" spans="1:16">
      <c r="B9" t="s">
        <v>235</v>
      </c>
      <c r="K9" s="74">
        <v>83842</v>
      </c>
      <c r="L9" s="73"/>
      <c r="M9" s="73"/>
      <c r="N9" s="73">
        <v>22702</v>
      </c>
      <c r="O9" s="73">
        <f t="shared" si="0"/>
        <v>106544</v>
      </c>
      <c r="P9" s="73">
        <v>338529</v>
      </c>
    </row>
    <row r="10" spans="1:16">
      <c r="B10" t="s">
        <v>47</v>
      </c>
      <c r="K10" s="73"/>
      <c r="L10" s="73"/>
      <c r="M10" s="73"/>
      <c r="N10" s="73">
        <v>492</v>
      </c>
      <c r="O10" s="73">
        <f t="shared" si="0"/>
        <v>492</v>
      </c>
      <c r="P10" s="73">
        <v>13514</v>
      </c>
    </row>
    <row r="11" spans="1:16">
      <c r="K11" s="73"/>
      <c r="L11" s="73"/>
      <c r="M11" s="73"/>
      <c r="N11" s="73"/>
      <c r="O11" s="73"/>
      <c r="P11" s="73"/>
    </row>
    <row r="12" spans="1:16" s="3" customFormat="1">
      <c r="A12" s="2"/>
      <c r="B12" s="2"/>
      <c r="C12" s="2"/>
      <c r="D12" s="2"/>
      <c r="E12" s="2" t="s">
        <v>129</v>
      </c>
      <c r="K12" s="76">
        <f>SUM(K7:K10)</f>
        <v>5851430</v>
      </c>
      <c r="L12" s="76">
        <f>SUM(L7:L9)</f>
        <v>1604812</v>
      </c>
      <c r="M12" s="76">
        <f>SUM(M7:M9)</f>
        <v>9055686</v>
      </c>
      <c r="N12" s="76">
        <f>SUM(N7:N10)</f>
        <v>56204212</v>
      </c>
      <c r="O12" s="76">
        <f>SUM(O7:O9)</f>
        <v>72715648</v>
      </c>
      <c r="P12" s="76">
        <f>SUM(P7:P10)</f>
        <v>44781458</v>
      </c>
    </row>
    <row r="13" spans="1:16">
      <c r="K13" s="73"/>
      <c r="L13" s="73"/>
      <c r="M13" s="73"/>
      <c r="N13" s="73"/>
      <c r="O13" s="73"/>
      <c r="P13" s="73"/>
    </row>
    <row r="14" spans="1:16">
      <c r="A14" s="4" t="s">
        <v>21</v>
      </c>
      <c r="K14" s="73"/>
      <c r="L14" s="73"/>
      <c r="M14" s="73"/>
      <c r="N14" s="73"/>
      <c r="O14" s="73"/>
      <c r="P14" s="73"/>
    </row>
    <row r="15" spans="1:16">
      <c r="B15" t="s">
        <v>22</v>
      </c>
      <c r="K15" s="73"/>
      <c r="L15" s="73"/>
      <c r="M15" s="73"/>
      <c r="N15" s="73"/>
      <c r="O15" s="73"/>
      <c r="P15" s="73"/>
    </row>
    <row r="16" spans="1:16">
      <c r="C16" t="s">
        <v>23</v>
      </c>
      <c r="K16" s="77">
        <v>568291</v>
      </c>
      <c r="L16" s="73">
        <v>17574</v>
      </c>
      <c r="M16" s="73">
        <v>201080</v>
      </c>
      <c r="N16" s="73">
        <v>489514</v>
      </c>
      <c r="O16" s="73">
        <f>SUM(K16:N16)</f>
        <v>1276459</v>
      </c>
      <c r="P16" s="73">
        <v>618828</v>
      </c>
    </row>
    <row r="17" spans="2:16">
      <c r="C17" t="s">
        <v>237</v>
      </c>
      <c r="K17" s="77">
        <v>22702</v>
      </c>
      <c r="L17" s="73"/>
      <c r="M17" s="73"/>
      <c r="N17" s="73">
        <v>83842</v>
      </c>
      <c r="O17" s="73">
        <f t="shared" ref="O17:O18" si="1">SUM(K17:N17)</f>
        <v>106544</v>
      </c>
      <c r="P17" s="73">
        <v>338529</v>
      </c>
    </row>
    <row r="18" spans="2:16">
      <c r="C18" t="s">
        <v>155</v>
      </c>
      <c r="K18" s="73"/>
      <c r="L18" s="73"/>
      <c r="M18" s="73"/>
      <c r="N18" s="73">
        <v>1693311</v>
      </c>
      <c r="O18" s="73">
        <f t="shared" si="1"/>
        <v>1693311</v>
      </c>
      <c r="P18" s="73">
        <v>412472</v>
      </c>
    </row>
    <row r="19" spans="2:16">
      <c r="K19" s="73"/>
      <c r="L19" s="73"/>
      <c r="M19" s="73"/>
      <c r="N19" s="73"/>
      <c r="O19" s="73"/>
      <c r="P19" s="73"/>
    </row>
    <row r="20" spans="2:16" s="5" customFormat="1">
      <c r="B20" s="6"/>
      <c r="C20" s="6"/>
      <c r="D20" s="6"/>
      <c r="E20" s="6" t="s">
        <v>28</v>
      </c>
      <c r="K20" s="79">
        <f t="shared" ref="K20:P20" si="2">SUM(K16:K18)</f>
        <v>590993</v>
      </c>
      <c r="L20" s="79">
        <f t="shared" si="2"/>
        <v>17574</v>
      </c>
      <c r="M20" s="79">
        <f t="shared" si="2"/>
        <v>201080</v>
      </c>
      <c r="N20" s="79">
        <f t="shared" si="2"/>
        <v>2266667</v>
      </c>
      <c r="O20" s="79">
        <f t="shared" si="2"/>
        <v>3076314</v>
      </c>
      <c r="P20" s="79">
        <f t="shared" si="2"/>
        <v>1369829</v>
      </c>
    </row>
    <row r="21" spans="2:16">
      <c r="K21" s="73"/>
      <c r="L21" s="73"/>
      <c r="M21" s="73"/>
      <c r="N21" s="73"/>
      <c r="O21" s="73"/>
      <c r="P21" s="73"/>
    </row>
    <row r="22" spans="2:16">
      <c r="B22" t="s">
        <v>100</v>
      </c>
      <c r="K22" s="73"/>
      <c r="L22" s="73"/>
      <c r="M22" s="73"/>
      <c r="N22" s="73"/>
      <c r="O22" s="73"/>
      <c r="P22" s="73"/>
    </row>
    <row r="23" spans="2:16">
      <c r="C23" t="s">
        <v>529</v>
      </c>
      <c r="K23" s="73"/>
      <c r="L23" s="73"/>
      <c r="M23" s="73"/>
      <c r="N23" s="73"/>
      <c r="O23" s="73"/>
      <c r="P23" s="73"/>
    </row>
    <row r="24" spans="2:16">
      <c r="D24" t="s">
        <v>67</v>
      </c>
      <c r="K24" s="73"/>
      <c r="L24" s="73"/>
      <c r="M24" s="73"/>
      <c r="N24" s="73">
        <v>168416</v>
      </c>
      <c r="O24" s="73">
        <f>SUM(K24:N24)</f>
        <v>168416</v>
      </c>
      <c r="P24" s="73">
        <v>184692</v>
      </c>
    </row>
    <row r="25" spans="2:16">
      <c r="D25" t="s">
        <v>68</v>
      </c>
      <c r="K25" s="80">
        <v>177898</v>
      </c>
      <c r="L25" s="73"/>
      <c r="M25" s="73"/>
      <c r="N25" s="73">
        <v>179080</v>
      </c>
      <c r="O25" s="73">
        <f t="shared" ref="O25:O32" si="3">SUM(K25:N25)</f>
        <v>356978</v>
      </c>
      <c r="P25" s="73">
        <v>192616</v>
      </c>
    </row>
    <row r="26" spans="2:16">
      <c r="D26" t="s">
        <v>69</v>
      </c>
      <c r="K26" s="80">
        <v>298273</v>
      </c>
      <c r="L26" s="73"/>
      <c r="M26" s="73">
        <v>8854605</v>
      </c>
      <c r="N26" s="73">
        <v>11194167</v>
      </c>
      <c r="O26" s="73">
        <f t="shared" si="3"/>
        <v>20347045</v>
      </c>
      <c r="P26" s="73">
        <v>19732027</v>
      </c>
    </row>
    <row r="27" spans="2:16">
      <c r="D27" t="s">
        <v>70</v>
      </c>
      <c r="K27" s="73"/>
      <c r="L27" s="73">
        <v>1587239</v>
      </c>
      <c r="M27" s="73"/>
      <c r="N27" s="73">
        <v>13436732</v>
      </c>
      <c r="O27" s="73">
        <f t="shared" si="3"/>
        <v>15023971</v>
      </c>
      <c r="P27" s="73">
        <v>14431426</v>
      </c>
    </row>
    <row r="28" spans="2:16">
      <c r="D28" t="s">
        <v>147</v>
      </c>
      <c r="K28" s="73"/>
      <c r="L28" s="73"/>
      <c r="M28" s="73"/>
      <c r="N28" s="73">
        <v>3791353</v>
      </c>
      <c r="O28" s="73">
        <f t="shared" si="3"/>
        <v>3791353</v>
      </c>
      <c r="P28" s="73">
        <v>3544591</v>
      </c>
    </row>
    <row r="29" spans="2:16">
      <c r="D29" t="s">
        <v>109</v>
      </c>
      <c r="K29" s="73"/>
      <c r="L29" s="73"/>
      <c r="M29" s="73"/>
      <c r="N29" s="73">
        <v>22222089</v>
      </c>
      <c r="O29" s="73">
        <f t="shared" si="3"/>
        <v>22222089</v>
      </c>
      <c r="P29" s="73">
        <v>110389</v>
      </c>
    </row>
    <row r="30" spans="2:16">
      <c r="D30" t="s">
        <v>43</v>
      </c>
      <c r="K30" s="73"/>
      <c r="L30" s="73"/>
      <c r="M30" s="73"/>
      <c r="N30" s="73">
        <v>2945708</v>
      </c>
      <c r="O30" s="73">
        <f t="shared" si="3"/>
        <v>2945708</v>
      </c>
      <c r="P30" s="73">
        <v>41385</v>
      </c>
    </row>
    <row r="31" spans="2:16">
      <c r="D31" t="s">
        <v>530</v>
      </c>
      <c r="K31" s="80">
        <v>998122</v>
      </c>
      <c r="L31" s="73"/>
      <c r="M31" s="73"/>
      <c r="N31" s="73"/>
      <c r="O31" s="73">
        <f t="shared" si="3"/>
        <v>998122</v>
      </c>
      <c r="P31" s="73">
        <v>1040372</v>
      </c>
    </row>
    <row r="32" spans="2:16">
      <c r="C32" t="s">
        <v>48</v>
      </c>
      <c r="K32" s="86">
        <v>3786144</v>
      </c>
      <c r="L32" s="73"/>
      <c r="M32" s="73"/>
      <c r="N32" s="73"/>
      <c r="O32" s="73">
        <f t="shared" si="3"/>
        <v>3786144</v>
      </c>
      <c r="P32" s="73">
        <v>4134130</v>
      </c>
    </row>
    <row r="33" spans="4:16">
      <c r="K33" s="73"/>
      <c r="L33" s="73"/>
      <c r="M33" s="73"/>
      <c r="N33" s="73"/>
      <c r="O33" s="73"/>
      <c r="P33" s="73"/>
    </row>
    <row r="34" spans="4:16" s="5" customFormat="1">
      <c r="D34" s="6"/>
      <c r="E34" s="6" t="s">
        <v>49</v>
      </c>
      <c r="K34" s="79">
        <f>SUM(K23:K32)</f>
        <v>5260437</v>
      </c>
      <c r="L34" s="79">
        <f>SUM(L23:L32)</f>
        <v>1587239</v>
      </c>
      <c r="M34" s="79">
        <f>SUM(M23:M32)</f>
        <v>8854605</v>
      </c>
      <c r="N34" s="79">
        <f>SUM(N23:N32)</f>
        <v>53937545</v>
      </c>
      <c r="O34" s="79">
        <f>SUM(O23:O32)</f>
        <v>69639826</v>
      </c>
      <c r="P34" s="79">
        <f>SUM(P23:P33)</f>
        <v>43411628</v>
      </c>
    </row>
    <row r="35" spans="4:16">
      <c r="K35" s="73"/>
      <c r="L35" s="73"/>
      <c r="M35" s="73"/>
      <c r="N35" s="73"/>
      <c r="O35" s="73"/>
      <c r="P35" s="73"/>
    </row>
    <row r="36" spans="4:16" s="7" customFormat="1">
      <c r="D36" s="8"/>
      <c r="E36" s="8" t="s">
        <v>50</v>
      </c>
      <c r="K36" s="81">
        <f>SUM(K34,K20)</f>
        <v>5851430</v>
      </c>
      <c r="L36" s="81">
        <f>SUM(L20,L34)</f>
        <v>1604813</v>
      </c>
      <c r="M36" s="81">
        <f>SUM(M20,M34)</f>
        <v>9055685</v>
      </c>
      <c r="N36" s="81">
        <f>SUM(N20,N34)</f>
        <v>56204212</v>
      </c>
      <c r="O36" s="81">
        <f>SUM(O20,O34)</f>
        <v>72716140</v>
      </c>
      <c r="P36" s="81">
        <f>SUM(P20+P34)</f>
        <v>44781457</v>
      </c>
    </row>
  </sheetData>
  <mergeCells count="3">
    <mergeCell ref="D1:K1"/>
    <mergeCell ref="D2:K2"/>
    <mergeCell ref="K3:N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42"/>
  <sheetViews>
    <sheetView topLeftCell="J1" workbookViewId="0">
      <selection activeCell="K38" sqref="K38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7.140625" customWidth="1"/>
    <col min="15" max="15" width="14.42578125" customWidth="1"/>
    <col min="16" max="16" width="18.42578125" customWidth="1"/>
    <col min="17" max="17" width="19.85546875" bestFit="1" customWidth="1"/>
  </cols>
  <sheetData>
    <row r="1" spans="1:17" ht="18.75">
      <c r="D1" s="125" t="s">
        <v>531</v>
      </c>
      <c r="E1" s="125"/>
      <c r="F1" s="125"/>
      <c r="G1" s="125"/>
      <c r="H1" s="125"/>
      <c r="I1" s="125"/>
      <c r="J1" s="125"/>
      <c r="K1" s="125"/>
    </row>
    <row r="2" spans="1:17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7">
      <c r="D3" s="57"/>
      <c r="E3" s="57"/>
      <c r="F3" s="57"/>
      <c r="G3" s="57"/>
      <c r="H3" s="57"/>
      <c r="I3" s="57"/>
      <c r="J3" s="57"/>
      <c r="K3" s="57"/>
    </row>
    <row r="4" spans="1:17" ht="45">
      <c r="K4" s="1" t="s">
        <v>2</v>
      </c>
      <c r="L4" s="1" t="s">
        <v>4</v>
      </c>
      <c r="M4" s="1" t="s">
        <v>532</v>
      </c>
      <c r="N4" s="1" t="s">
        <v>441</v>
      </c>
      <c r="O4" s="1" t="s">
        <v>533</v>
      </c>
      <c r="P4" s="1" t="s">
        <v>534</v>
      </c>
      <c r="Q4" s="1" t="s">
        <v>427</v>
      </c>
    </row>
    <row r="5" spans="1:17">
      <c r="A5" t="s">
        <v>10</v>
      </c>
    </row>
    <row r="6" spans="1:17">
      <c r="B6" t="s">
        <v>11</v>
      </c>
      <c r="K6" s="72">
        <v>4372969</v>
      </c>
      <c r="L6" s="73">
        <v>1146962</v>
      </c>
      <c r="M6" s="73">
        <v>3619573</v>
      </c>
      <c r="N6" s="73">
        <v>2554456</v>
      </c>
      <c r="O6" s="73">
        <v>576549</v>
      </c>
      <c r="P6" s="73">
        <v>2668650</v>
      </c>
      <c r="Q6" s="73">
        <f>SUM(K6:P6)</f>
        <v>14939159</v>
      </c>
    </row>
    <row r="7" spans="1:17">
      <c r="B7" t="s">
        <v>12</v>
      </c>
      <c r="K7" s="73"/>
      <c r="L7" s="73">
        <v>10572611</v>
      </c>
      <c r="M7" s="73">
        <v>4469391</v>
      </c>
      <c r="N7" s="73">
        <v>645906</v>
      </c>
      <c r="O7" s="73"/>
      <c r="P7" s="73">
        <v>239190</v>
      </c>
      <c r="Q7" s="73">
        <f>SUM(K7:P7)</f>
        <v>15927098</v>
      </c>
    </row>
    <row r="8" spans="1:17">
      <c r="B8" t="s">
        <v>59</v>
      </c>
      <c r="K8" s="74">
        <v>1175017</v>
      </c>
      <c r="L8" s="73">
        <v>116314</v>
      </c>
      <c r="M8" s="73">
        <v>98041</v>
      </c>
      <c r="N8" s="73">
        <v>1572449</v>
      </c>
      <c r="O8" s="73">
        <v>57649</v>
      </c>
      <c r="P8" s="73">
        <v>1212392</v>
      </c>
      <c r="Q8" s="73">
        <f>SUM(K8:P8)</f>
        <v>4231862</v>
      </c>
    </row>
    <row r="9" spans="1:17">
      <c r="B9" t="s">
        <v>18</v>
      </c>
      <c r="K9" s="75">
        <v>31662</v>
      </c>
      <c r="L9" s="73"/>
      <c r="M9" s="73"/>
      <c r="N9" s="73"/>
      <c r="O9" s="73"/>
      <c r="P9" s="73"/>
      <c r="Q9" s="73">
        <f>SUM(K9:P9)</f>
        <v>31662</v>
      </c>
    </row>
    <row r="10" spans="1:17">
      <c r="B10" t="s">
        <v>189</v>
      </c>
      <c r="K10" s="85">
        <v>9185</v>
      </c>
      <c r="L10" s="73"/>
      <c r="M10" s="73">
        <v>8158</v>
      </c>
      <c r="N10" s="73"/>
      <c r="O10" s="88"/>
      <c r="P10" s="88">
        <v>2958</v>
      </c>
      <c r="Q10" s="88">
        <f>SUM(K10:P10)</f>
        <v>20301</v>
      </c>
    </row>
    <row r="11" spans="1:17">
      <c r="K11" s="109"/>
      <c r="L11" s="109"/>
      <c r="M11" s="109"/>
      <c r="N11" s="109"/>
      <c r="O11" s="73"/>
      <c r="P11" s="73"/>
      <c r="Q11" s="73"/>
    </row>
    <row r="12" spans="1:17" s="3" customFormat="1">
      <c r="A12" s="2"/>
      <c r="B12" s="2"/>
      <c r="C12" s="2"/>
      <c r="D12" s="2"/>
      <c r="E12" s="2" t="s">
        <v>129</v>
      </c>
      <c r="K12" s="76">
        <f t="shared" ref="K12:Q12" si="0">SUM(K6:K10)</f>
        <v>5588833</v>
      </c>
      <c r="L12" s="76">
        <f t="shared" si="0"/>
        <v>11835887</v>
      </c>
      <c r="M12" s="76">
        <f t="shared" si="0"/>
        <v>8195163</v>
      </c>
      <c r="N12" s="76">
        <f t="shared" si="0"/>
        <v>4772811</v>
      </c>
      <c r="O12" s="76">
        <f t="shared" si="0"/>
        <v>634198</v>
      </c>
      <c r="P12" s="76">
        <f t="shared" si="0"/>
        <v>4123190</v>
      </c>
      <c r="Q12" s="76">
        <f t="shared" si="0"/>
        <v>35150082</v>
      </c>
    </row>
    <row r="13" spans="1:17">
      <c r="K13" s="73"/>
      <c r="L13" s="73"/>
      <c r="M13" s="73"/>
      <c r="N13" s="73"/>
      <c r="O13" s="73"/>
      <c r="P13" s="73"/>
      <c r="Q13" s="73"/>
    </row>
    <row r="14" spans="1:17">
      <c r="A14" s="4" t="s">
        <v>21</v>
      </c>
      <c r="K14" s="73"/>
      <c r="L14" s="73"/>
      <c r="M14" s="73"/>
      <c r="N14" s="73"/>
      <c r="O14" s="73"/>
      <c r="P14" s="73"/>
      <c r="Q14" s="73"/>
    </row>
    <row r="15" spans="1:17">
      <c r="B15" t="s">
        <v>22</v>
      </c>
      <c r="K15" s="73"/>
      <c r="L15" s="73"/>
      <c r="M15" s="73"/>
      <c r="N15" s="73"/>
      <c r="O15" s="73"/>
      <c r="P15" s="73"/>
      <c r="Q15" s="73"/>
    </row>
    <row r="16" spans="1:17">
      <c r="C16" t="s">
        <v>429</v>
      </c>
      <c r="K16" s="77">
        <v>143962</v>
      </c>
      <c r="L16" s="73"/>
      <c r="M16" s="73">
        <v>23664</v>
      </c>
      <c r="N16" s="73">
        <v>84131</v>
      </c>
      <c r="O16" s="73">
        <v>85824</v>
      </c>
      <c r="P16" s="73">
        <v>44878</v>
      </c>
      <c r="Q16" s="73">
        <f>SUM(K16:P16)</f>
        <v>382459</v>
      </c>
    </row>
    <row r="17" spans="1:17">
      <c r="C17" t="s">
        <v>27</v>
      </c>
      <c r="K17" s="73"/>
      <c r="L17" s="73"/>
      <c r="M17" s="73"/>
      <c r="N17" s="73"/>
      <c r="O17" s="88"/>
      <c r="P17" s="88">
        <v>31662</v>
      </c>
      <c r="Q17" s="88">
        <f>SUM(K17:P17)</f>
        <v>31662</v>
      </c>
    </row>
    <row r="18" spans="1:17">
      <c r="K18" s="109"/>
      <c r="L18" s="109"/>
      <c r="M18" s="109"/>
      <c r="N18" s="109"/>
      <c r="O18" s="73"/>
      <c r="P18" s="73"/>
      <c r="Q18" s="73"/>
    </row>
    <row r="19" spans="1:17" s="5" customFormat="1">
      <c r="B19" s="6"/>
      <c r="C19" s="6"/>
      <c r="D19" s="6"/>
      <c r="E19" s="6" t="s">
        <v>28</v>
      </c>
      <c r="K19" s="79">
        <f t="shared" ref="K19:Q19" si="1">SUM(K16:K17)</f>
        <v>143962</v>
      </c>
      <c r="L19" s="79">
        <f t="shared" si="1"/>
        <v>0</v>
      </c>
      <c r="M19" s="79">
        <f t="shared" si="1"/>
        <v>23664</v>
      </c>
      <c r="N19" s="79">
        <f t="shared" si="1"/>
        <v>84131</v>
      </c>
      <c r="O19" s="79">
        <f t="shared" si="1"/>
        <v>85824</v>
      </c>
      <c r="P19" s="79">
        <f t="shared" si="1"/>
        <v>76540</v>
      </c>
      <c r="Q19" s="79">
        <f t="shared" si="1"/>
        <v>414121</v>
      </c>
    </row>
    <row r="20" spans="1:17">
      <c r="K20" s="73"/>
      <c r="L20" s="73"/>
      <c r="M20" s="73"/>
      <c r="N20" s="73"/>
      <c r="O20" s="73"/>
      <c r="P20" s="73"/>
      <c r="Q20" s="73"/>
    </row>
    <row r="21" spans="1:17">
      <c r="A21" s="71" t="s">
        <v>29</v>
      </c>
      <c r="K21" s="88">
        <v>87620</v>
      </c>
      <c r="L21" s="88"/>
      <c r="M21" s="88"/>
      <c r="N21" s="88">
        <v>151269</v>
      </c>
      <c r="O21" s="88"/>
      <c r="P21" s="88">
        <v>108114</v>
      </c>
      <c r="Q21" s="88">
        <f>SUM(K21:P21)</f>
        <v>347003</v>
      </c>
    </row>
    <row r="22" spans="1:17">
      <c r="K22" s="73"/>
      <c r="L22" s="73"/>
      <c r="M22" s="73"/>
      <c r="N22" s="73"/>
      <c r="O22" s="73"/>
      <c r="P22" s="73"/>
      <c r="Q22" s="73"/>
    </row>
    <row r="23" spans="1:17">
      <c r="B23" t="s">
        <v>100</v>
      </c>
      <c r="K23" s="73"/>
      <c r="L23" s="73"/>
      <c r="M23" s="73"/>
      <c r="N23" s="73"/>
      <c r="O23" s="73"/>
      <c r="P23" s="73"/>
      <c r="Q23" s="73"/>
    </row>
    <row r="24" spans="1:17">
      <c r="C24" t="s">
        <v>188</v>
      </c>
      <c r="K24" s="73"/>
      <c r="L24" s="73"/>
      <c r="M24" s="73"/>
      <c r="N24" s="73"/>
      <c r="O24" s="73"/>
      <c r="P24" s="73"/>
      <c r="Q24" s="73"/>
    </row>
    <row r="25" spans="1:17">
      <c r="D25" t="s">
        <v>189</v>
      </c>
      <c r="K25" s="80">
        <v>9185</v>
      </c>
      <c r="L25" s="73"/>
      <c r="M25" s="73">
        <v>8158</v>
      </c>
      <c r="N25" s="73"/>
      <c r="O25" s="73"/>
      <c r="P25" s="73">
        <v>2958</v>
      </c>
      <c r="Q25" s="73">
        <f>SUM(K25:P25)</f>
        <v>20301</v>
      </c>
    </row>
    <row r="26" spans="1:17">
      <c r="C26" t="s">
        <v>508</v>
      </c>
      <c r="K26" s="73"/>
      <c r="L26" s="73"/>
      <c r="M26" s="73"/>
      <c r="N26" s="73"/>
      <c r="O26" s="73"/>
      <c r="P26" s="73"/>
      <c r="Q26" s="73"/>
    </row>
    <row r="27" spans="1:17">
      <c r="C27" t="s">
        <v>66</v>
      </c>
      <c r="K27" s="73"/>
      <c r="L27" s="73"/>
      <c r="M27" s="73"/>
      <c r="N27" s="73"/>
      <c r="O27" s="73"/>
      <c r="P27" s="73"/>
      <c r="Q27" s="73"/>
    </row>
    <row r="28" spans="1:17">
      <c r="D28" t="s">
        <v>535</v>
      </c>
      <c r="K28" s="80">
        <v>2588727</v>
      </c>
      <c r="L28" s="73"/>
      <c r="M28" s="73"/>
      <c r="N28" s="73">
        <v>4537411</v>
      </c>
      <c r="O28" s="73"/>
      <c r="P28" s="73">
        <v>3087146</v>
      </c>
      <c r="Q28" s="73">
        <f>SUM(K28:P28)</f>
        <v>10213284</v>
      </c>
    </row>
    <row r="29" spans="1:17">
      <c r="D29" t="s">
        <v>536</v>
      </c>
      <c r="K29" s="73"/>
      <c r="L29" s="73"/>
      <c r="M29" s="73">
        <v>6204590</v>
      </c>
      <c r="N29" s="73"/>
      <c r="O29" s="73"/>
      <c r="P29" s="73">
        <v>102438</v>
      </c>
      <c r="Q29" s="73">
        <f>SUM(K29:P29)</f>
        <v>6307028</v>
      </c>
    </row>
    <row r="30" spans="1:17">
      <c r="D30" t="s">
        <v>537</v>
      </c>
      <c r="K30" s="73"/>
      <c r="L30" s="73"/>
      <c r="M30" s="73"/>
      <c r="N30" s="73"/>
      <c r="O30" s="73"/>
      <c r="P30" s="73">
        <v>206111</v>
      </c>
      <c r="Q30" s="73">
        <f>SUM(K30:P30)</f>
        <v>206111</v>
      </c>
    </row>
    <row r="31" spans="1:17">
      <c r="D31" t="s">
        <v>435</v>
      </c>
      <c r="K31" s="73"/>
      <c r="L31" s="73"/>
      <c r="M31" s="73"/>
      <c r="N31" s="73"/>
      <c r="O31" s="73"/>
      <c r="P31" s="73">
        <v>284597</v>
      </c>
      <c r="Q31" s="73">
        <f>SUM(K31:P31)</f>
        <v>284597</v>
      </c>
    </row>
    <row r="32" spans="1:17">
      <c r="C32" t="s">
        <v>72</v>
      </c>
      <c r="K32" s="73"/>
      <c r="L32" s="73"/>
      <c r="M32" s="73"/>
      <c r="N32" s="73"/>
      <c r="O32" s="73"/>
      <c r="P32" s="73"/>
      <c r="Q32" s="73"/>
    </row>
    <row r="33" spans="3:17">
      <c r="D33" t="s">
        <v>538</v>
      </c>
      <c r="K33" s="73"/>
      <c r="L33" s="73"/>
      <c r="M33" s="73"/>
      <c r="N33" s="73"/>
      <c r="O33" s="73"/>
      <c r="P33" s="73">
        <v>100151</v>
      </c>
      <c r="Q33" s="73">
        <f>SUM(K33:P33)</f>
        <v>100151</v>
      </c>
    </row>
    <row r="34" spans="3:17">
      <c r="D34" t="s">
        <v>539</v>
      </c>
      <c r="K34" s="73"/>
      <c r="L34" s="73"/>
      <c r="M34" s="73">
        <v>1958751</v>
      </c>
      <c r="N34" s="73"/>
      <c r="O34" s="73"/>
      <c r="P34" s="73"/>
      <c r="Q34" s="73">
        <f>SUM(K34:P34)</f>
        <v>1958751</v>
      </c>
    </row>
    <row r="35" spans="3:17">
      <c r="D35" t="s">
        <v>540</v>
      </c>
      <c r="K35" s="73"/>
      <c r="L35" s="73"/>
      <c r="M35" s="73"/>
      <c r="N35" s="73"/>
      <c r="O35" s="73">
        <v>548374</v>
      </c>
      <c r="P35" s="73">
        <v>409</v>
      </c>
      <c r="Q35" s="73">
        <f>SUM(K35:P35)</f>
        <v>548783</v>
      </c>
    </row>
    <row r="36" spans="3:17">
      <c r="D36" t="s">
        <v>541</v>
      </c>
      <c r="K36" s="73"/>
      <c r="L36" s="73"/>
      <c r="M36" s="73"/>
      <c r="N36" s="73"/>
      <c r="O36" s="73"/>
      <c r="P36" s="73">
        <v>154726</v>
      </c>
      <c r="Q36" s="73">
        <f t="shared" ref="Q36:Q37" si="2">SUM(K36:P36)</f>
        <v>154726</v>
      </c>
    </row>
    <row r="37" spans="3:17">
      <c r="D37" t="s">
        <v>542</v>
      </c>
      <c r="K37" s="73"/>
      <c r="L37" s="73">
        <v>11835887</v>
      </c>
      <c r="M37" s="73"/>
      <c r="N37" s="73"/>
      <c r="O37" s="73"/>
      <c r="P37" s="73"/>
      <c r="Q37" s="73">
        <f t="shared" si="2"/>
        <v>11835887</v>
      </c>
    </row>
    <row r="38" spans="3:17">
      <c r="C38" t="s">
        <v>48</v>
      </c>
      <c r="K38" s="86">
        <v>2759339</v>
      </c>
      <c r="L38" s="73"/>
      <c r="M38" s="73"/>
      <c r="N38" s="73"/>
      <c r="O38" s="88"/>
      <c r="P38" s="88"/>
      <c r="Q38" s="88">
        <f>SUM(K38:P38)</f>
        <v>2759339</v>
      </c>
    </row>
    <row r="39" spans="3:17">
      <c r="K39" s="109"/>
      <c r="L39" s="109"/>
      <c r="M39" s="109"/>
      <c r="N39" s="109"/>
      <c r="O39" s="73"/>
      <c r="P39" s="73"/>
      <c r="Q39" s="73"/>
    </row>
    <row r="40" spans="3:17" s="5" customFormat="1">
      <c r="D40" s="6"/>
      <c r="E40" s="6" t="s">
        <v>49</v>
      </c>
      <c r="K40" s="79">
        <f>SUM(K25:K39)</f>
        <v>5357251</v>
      </c>
      <c r="L40" s="79">
        <f t="shared" ref="L40:Q40" si="3">SUM(L25:L38)</f>
        <v>11835887</v>
      </c>
      <c r="M40" s="79">
        <f t="shared" si="3"/>
        <v>8171499</v>
      </c>
      <c r="N40" s="79">
        <f t="shared" si="3"/>
        <v>4537411</v>
      </c>
      <c r="O40" s="79">
        <f t="shared" si="3"/>
        <v>548374</v>
      </c>
      <c r="P40" s="79">
        <f t="shared" si="3"/>
        <v>3938536</v>
      </c>
      <c r="Q40" s="79">
        <f t="shared" si="3"/>
        <v>34388958</v>
      </c>
    </row>
    <row r="41" spans="3:17">
      <c r="K41" s="73"/>
      <c r="L41" s="73"/>
      <c r="M41" s="73"/>
      <c r="N41" s="73"/>
      <c r="O41" s="73"/>
      <c r="P41" s="73"/>
      <c r="Q41" s="73"/>
    </row>
    <row r="42" spans="3:17" s="7" customFormat="1">
      <c r="D42" s="8"/>
      <c r="E42" s="8" t="s">
        <v>50</v>
      </c>
      <c r="K42" s="81">
        <f>K40+K21+K19</f>
        <v>5588833</v>
      </c>
      <c r="L42" s="81">
        <f t="shared" ref="L42:Q42" si="4">L40+L21+L19</f>
        <v>11835887</v>
      </c>
      <c r="M42" s="81">
        <f t="shared" si="4"/>
        <v>8195163</v>
      </c>
      <c r="N42" s="81">
        <f t="shared" si="4"/>
        <v>4772811</v>
      </c>
      <c r="O42" s="81">
        <f t="shared" si="4"/>
        <v>634198</v>
      </c>
      <c r="P42" s="81">
        <f t="shared" si="4"/>
        <v>4123190</v>
      </c>
      <c r="Q42" s="81">
        <f t="shared" si="4"/>
        <v>35150082</v>
      </c>
    </row>
  </sheetData>
  <mergeCells count="2">
    <mergeCell ref="D1:K1"/>
    <mergeCell ref="D2:K2"/>
  </mergeCells>
  <pageMargins left="0.7" right="0.7" top="0.75" bottom="0.75" header="0.3" footer="0.3"/>
  <pageSetup orientation="portrait" horizontalDpi="1200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39"/>
  <sheetViews>
    <sheetView topLeftCell="I1" workbookViewId="0">
      <selection activeCell="M5" sqref="M5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2" width="16.42578125" customWidth="1"/>
    <col min="13" max="13" width="13.85546875" customWidth="1"/>
    <col min="14" max="14" width="17.7109375" customWidth="1"/>
    <col min="15" max="15" width="17.28515625" customWidth="1"/>
    <col min="16" max="16" width="17.7109375" customWidth="1"/>
    <col min="17" max="17" width="17.5703125" customWidth="1"/>
  </cols>
  <sheetData>
    <row r="1" spans="1:17" ht="18.75">
      <c r="D1" s="125" t="s">
        <v>543</v>
      </c>
      <c r="E1" s="125"/>
      <c r="F1" s="125"/>
      <c r="G1" s="125"/>
      <c r="H1" s="125"/>
      <c r="I1" s="125"/>
      <c r="J1" s="125"/>
      <c r="K1" s="125"/>
    </row>
    <row r="2" spans="1:17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7">
      <c r="D3" s="57"/>
      <c r="E3" s="57"/>
      <c r="F3" s="57"/>
      <c r="G3" s="57"/>
      <c r="H3" s="57"/>
      <c r="I3" s="57"/>
      <c r="J3" s="57"/>
      <c r="K3" s="57"/>
    </row>
    <row r="4" spans="1:17" ht="36.75" customHeight="1"/>
    <row r="5" spans="1:17" ht="45">
      <c r="K5" s="1" t="s">
        <v>159</v>
      </c>
      <c r="L5" s="1" t="s">
        <v>476</v>
      </c>
      <c r="M5" s="1" t="s">
        <v>149</v>
      </c>
      <c r="N5" s="1" t="s">
        <v>309</v>
      </c>
      <c r="O5" s="1" t="s">
        <v>124</v>
      </c>
      <c r="P5" s="1" t="s">
        <v>8</v>
      </c>
      <c r="Q5" s="1" t="s">
        <v>9</v>
      </c>
    </row>
    <row r="6" spans="1:17">
      <c r="A6" t="s">
        <v>10</v>
      </c>
    </row>
    <row r="7" spans="1:17">
      <c r="B7" t="s">
        <v>11</v>
      </c>
      <c r="K7" s="72">
        <v>1633419</v>
      </c>
      <c r="L7" s="73">
        <v>10760</v>
      </c>
      <c r="M7" s="73">
        <v>1368509</v>
      </c>
      <c r="N7" s="73">
        <v>1554023</v>
      </c>
      <c r="O7" s="73">
        <v>2672884</v>
      </c>
      <c r="P7" s="73">
        <v>637416</v>
      </c>
      <c r="Q7" s="73">
        <f>SUM(K7:P7)</f>
        <v>7877011</v>
      </c>
    </row>
    <row r="8" spans="1:17">
      <c r="B8" t="s">
        <v>59</v>
      </c>
      <c r="K8" s="74">
        <v>1120447</v>
      </c>
      <c r="L8" s="73">
        <v>51750</v>
      </c>
      <c r="M8" s="73">
        <v>52545</v>
      </c>
      <c r="N8" s="73"/>
      <c r="O8" s="73">
        <v>1343506</v>
      </c>
      <c r="P8" s="73">
        <v>235669</v>
      </c>
      <c r="Q8" s="73">
        <f>SUM(K8:P8)</f>
        <v>2803917</v>
      </c>
    </row>
    <row r="9" spans="1:17">
      <c r="B9" t="s">
        <v>18</v>
      </c>
      <c r="K9" s="73"/>
      <c r="L9" s="73"/>
      <c r="M9" s="73"/>
      <c r="N9" s="73">
        <v>8035</v>
      </c>
      <c r="O9" s="73">
        <v>3811</v>
      </c>
      <c r="P9" s="73">
        <v>690</v>
      </c>
      <c r="Q9" s="73">
        <f>SUM(K9:P9)</f>
        <v>12536</v>
      </c>
    </row>
    <row r="10" spans="1:17">
      <c r="K10" s="73"/>
      <c r="L10" s="73"/>
      <c r="M10" s="73"/>
      <c r="N10" s="73"/>
      <c r="O10" s="73"/>
      <c r="P10" s="73"/>
      <c r="Q10" s="73"/>
    </row>
    <row r="11" spans="1:17" s="3" customFormat="1">
      <c r="A11" s="2"/>
      <c r="B11" s="2"/>
      <c r="C11" s="2"/>
      <c r="D11" s="2"/>
      <c r="E11" s="2" t="s">
        <v>129</v>
      </c>
      <c r="K11" s="76">
        <f t="shared" ref="K11:Q11" si="0">SUM(K7:K9)</f>
        <v>2753866</v>
      </c>
      <c r="L11" s="76">
        <f t="shared" si="0"/>
        <v>62510</v>
      </c>
      <c r="M11" s="76">
        <f t="shared" si="0"/>
        <v>1421054</v>
      </c>
      <c r="N11" s="76">
        <f t="shared" si="0"/>
        <v>1562058</v>
      </c>
      <c r="O11" s="76">
        <f t="shared" si="0"/>
        <v>4020201</v>
      </c>
      <c r="P11" s="76">
        <f t="shared" si="0"/>
        <v>873775</v>
      </c>
      <c r="Q11" s="76">
        <f t="shared" si="0"/>
        <v>10693464</v>
      </c>
    </row>
    <row r="12" spans="1:17">
      <c r="K12" s="73"/>
      <c r="L12" s="73"/>
      <c r="M12" s="73"/>
      <c r="N12" s="73"/>
      <c r="O12" s="73"/>
      <c r="P12" s="73"/>
      <c r="Q12" s="73"/>
    </row>
    <row r="13" spans="1:17">
      <c r="A13" s="4" t="s">
        <v>21</v>
      </c>
      <c r="K13" s="73"/>
      <c r="L13" s="73"/>
      <c r="M13" s="73"/>
      <c r="N13" s="73"/>
      <c r="O13" s="73"/>
      <c r="P13" s="73"/>
      <c r="Q13" s="73"/>
    </row>
    <row r="14" spans="1:17">
      <c r="B14" t="s">
        <v>22</v>
      </c>
      <c r="K14" s="73"/>
      <c r="L14" s="73"/>
      <c r="M14" s="73"/>
      <c r="N14" s="73"/>
      <c r="O14" s="73"/>
      <c r="P14" s="73"/>
      <c r="Q14" s="73"/>
    </row>
    <row r="15" spans="1:17">
      <c r="C15" t="s">
        <v>23</v>
      </c>
      <c r="K15" s="77">
        <v>28572</v>
      </c>
      <c r="L15" s="73">
        <v>62510</v>
      </c>
      <c r="M15" s="73">
        <v>79535</v>
      </c>
      <c r="N15">
        <v>10947</v>
      </c>
      <c r="O15" s="73">
        <v>7993</v>
      </c>
      <c r="P15" s="73">
        <v>30278</v>
      </c>
      <c r="Q15" s="73">
        <f>SUM(K15:P15)</f>
        <v>219835</v>
      </c>
    </row>
    <row r="16" spans="1:17">
      <c r="C16" t="s">
        <v>480</v>
      </c>
      <c r="K16" s="83">
        <v>94972</v>
      </c>
      <c r="L16" s="73"/>
      <c r="M16" s="73"/>
      <c r="O16" s="73"/>
      <c r="P16" s="73"/>
      <c r="Q16" s="73">
        <f>SUM(K16:P16)</f>
        <v>94972</v>
      </c>
    </row>
    <row r="17" spans="1:17">
      <c r="C17" t="s">
        <v>27</v>
      </c>
      <c r="K17" s="78">
        <v>4501</v>
      </c>
      <c r="L17" s="73"/>
      <c r="M17" s="73">
        <v>8035</v>
      </c>
      <c r="O17" s="73"/>
      <c r="P17" s="73"/>
      <c r="Q17" s="73">
        <f>SUM(K17:P17)</f>
        <v>12536</v>
      </c>
    </row>
    <row r="18" spans="1:17">
      <c r="K18" s="73"/>
      <c r="L18" s="73"/>
      <c r="M18" s="73"/>
      <c r="N18" s="73"/>
      <c r="O18" s="73"/>
      <c r="P18" s="73"/>
      <c r="Q18" s="73"/>
    </row>
    <row r="19" spans="1:17" s="5" customFormat="1">
      <c r="B19" s="6"/>
      <c r="C19" s="6"/>
      <c r="D19" s="6"/>
      <c r="E19" s="6" t="s">
        <v>28</v>
      </c>
      <c r="K19" s="79">
        <f>SUM(K15:K17)</f>
        <v>128045</v>
      </c>
      <c r="L19" s="79">
        <f>SUM(L15:L17)</f>
        <v>62510</v>
      </c>
      <c r="M19" s="79">
        <f>SUM(M15:M17)</f>
        <v>87570</v>
      </c>
      <c r="N19" s="79">
        <f>SUM(N15:N18)</f>
        <v>10947</v>
      </c>
      <c r="O19" s="79">
        <f>SUM(O15:O17)</f>
        <v>7993</v>
      </c>
      <c r="P19" s="79">
        <f>SUM(P15:P17)</f>
        <v>30278</v>
      </c>
      <c r="Q19" s="79">
        <f>SUM(Q15:Q17)</f>
        <v>327343</v>
      </c>
    </row>
    <row r="20" spans="1:17">
      <c r="K20" s="73"/>
      <c r="L20" s="73"/>
      <c r="M20" s="73"/>
      <c r="N20" s="73"/>
      <c r="O20" s="73"/>
      <c r="P20" s="73"/>
      <c r="Q20" s="73"/>
    </row>
    <row r="21" spans="1:17">
      <c r="A21" s="71" t="s">
        <v>167</v>
      </c>
      <c r="K21" s="73"/>
      <c r="L21" s="73"/>
      <c r="M21" s="73"/>
      <c r="N21" s="73"/>
      <c r="O21" s="73"/>
      <c r="P21" s="73"/>
      <c r="Q21" s="73"/>
    </row>
    <row r="22" spans="1:17">
      <c r="C22" t="s">
        <v>169</v>
      </c>
      <c r="K22" s="88">
        <v>1101174</v>
      </c>
      <c r="L22" s="88"/>
      <c r="M22" s="88"/>
      <c r="N22" s="88"/>
      <c r="O22" s="88">
        <v>1343506</v>
      </c>
      <c r="P22" s="88">
        <v>235669</v>
      </c>
      <c r="Q22" s="88">
        <f>SUM(K22:P22)</f>
        <v>2680349</v>
      </c>
    </row>
    <row r="23" spans="1:17">
      <c r="K23" s="73"/>
      <c r="L23" s="73"/>
      <c r="M23" s="73"/>
      <c r="N23" s="73"/>
      <c r="O23" s="73"/>
      <c r="P23" s="73"/>
      <c r="Q23" s="73"/>
    </row>
    <row r="24" spans="1:17">
      <c r="B24" t="s">
        <v>100</v>
      </c>
      <c r="K24" s="73"/>
      <c r="L24" s="73"/>
      <c r="M24" s="73"/>
      <c r="N24" s="73"/>
      <c r="O24" s="73"/>
      <c r="P24" s="73"/>
      <c r="Q24" s="73"/>
    </row>
    <row r="25" spans="1:17">
      <c r="C25" t="s">
        <v>481</v>
      </c>
      <c r="K25" s="111"/>
      <c r="L25" s="73"/>
      <c r="M25" s="73">
        <v>1333484</v>
      </c>
      <c r="N25" s="73">
        <v>1551111</v>
      </c>
      <c r="O25" s="73">
        <v>2668702</v>
      </c>
      <c r="P25" s="73">
        <v>607828</v>
      </c>
      <c r="Q25" s="73">
        <f>SUM(K25:P25)</f>
        <v>6161125</v>
      </c>
    </row>
    <row r="26" spans="1:17">
      <c r="C26" t="s">
        <v>48</v>
      </c>
      <c r="K26" s="86">
        <v>1524647</v>
      </c>
      <c r="L26" s="73"/>
      <c r="M26" s="73"/>
      <c r="N26" s="73"/>
      <c r="O26" s="73"/>
      <c r="P26" s="73"/>
      <c r="Q26" s="73">
        <f>SUM(K26:P26)</f>
        <v>1524647</v>
      </c>
    </row>
    <row r="27" spans="1:17">
      <c r="K27" s="73"/>
      <c r="L27" s="73"/>
      <c r="M27" s="73"/>
      <c r="N27" s="73"/>
      <c r="O27" s="73"/>
      <c r="P27" s="73"/>
      <c r="Q27" s="73"/>
    </row>
    <row r="28" spans="1:17" s="5" customFormat="1">
      <c r="D28" s="6"/>
      <c r="E28" s="6" t="s">
        <v>49</v>
      </c>
      <c r="K28" s="79">
        <f>SUM(K25:K27)</f>
        <v>1524647</v>
      </c>
      <c r="L28" s="79">
        <f t="shared" ref="L28:Q28" si="1">SUM(L25:L26)</f>
        <v>0</v>
      </c>
      <c r="M28" s="79">
        <f t="shared" si="1"/>
        <v>1333484</v>
      </c>
      <c r="N28" s="79">
        <f t="shared" si="1"/>
        <v>1551111</v>
      </c>
      <c r="O28" s="79">
        <f t="shared" si="1"/>
        <v>2668702</v>
      </c>
      <c r="P28" s="79">
        <f t="shared" si="1"/>
        <v>607828</v>
      </c>
      <c r="Q28" s="79">
        <f t="shared" si="1"/>
        <v>7685772</v>
      </c>
    </row>
    <row r="29" spans="1:17">
      <c r="K29" s="73"/>
      <c r="L29" s="73"/>
      <c r="M29" s="73"/>
      <c r="N29" s="73"/>
      <c r="O29" s="73"/>
      <c r="P29" s="73"/>
      <c r="Q29" s="73"/>
    </row>
    <row r="30" spans="1:17" s="7" customFormat="1">
      <c r="D30" s="8"/>
      <c r="E30" s="8" t="s">
        <v>50</v>
      </c>
      <c r="K30" s="81">
        <f t="shared" ref="K30:Q30" si="2">SUM(K28,K19,K22)</f>
        <v>2753866</v>
      </c>
      <c r="L30" s="81">
        <f t="shared" si="2"/>
        <v>62510</v>
      </c>
      <c r="M30" s="81">
        <f t="shared" si="2"/>
        <v>1421054</v>
      </c>
      <c r="N30" s="81">
        <f t="shared" si="2"/>
        <v>1562058</v>
      </c>
      <c r="O30" s="81">
        <f t="shared" si="2"/>
        <v>4020201</v>
      </c>
      <c r="P30" s="81">
        <f t="shared" si="2"/>
        <v>873775</v>
      </c>
      <c r="Q30" s="81">
        <f t="shared" si="2"/>
        <v>10693464</v>
      </c>
    </row>
    <row r="34" spans="17:17">
      <c r="Q34" s="97"/>
    </row>
    <row r="39" spans="17:17">
      <c r="Q39" s="93"/>
    </row>
  </sheetData>
  <mergeCells count="2">
    <mergeCell ref="D1:K1"/>
    <mergeCell ref="D2:K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6"/>
  <sheetViews>
    <sheetView workbookViewId="0">
      <selection activeCell="P28" sqref="P28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6" width="16.42578125" customWidth="1"/>
    <col min="17" max="17" width="17.7109375" customWidth="1"/>
    <col min="18" max="18" width="18.28515625" customWidth="1"/>
    <col min="19" max="19" width="18" customWidth="1"/>
    <col min="20" max="20" width="18.28515625" customWidth="1"/>
  </cols>
  <sheetData>
    <row r="1" spans="1:19" ht="18.75">
      <c r="D1" s="125" t="s">
        <v>544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9" ht="29.25" customHeight="1">
      <c r="D3" s="57"/>
      <c r="E3" s="57"/>
      <c r="F3" s="57"/>
      <c r="G3" s="57"/>
      <c r="H3" s="57"/>
      <c r="I3" s="57"/>
      <c r="J3" s="57"/>
      <c r="K3" s="126"/>
      <c r="L3" s="126"/>
      <c r="M3" s="126"/>
      <c r="N3" s="126"/>
      <c r="O3" s="126"/>
      <c r="P3" s="126"/>
      <c r="Q3" s="126"/>
      <c r="R3" s="57"/>
    </row>
    <row r="4" spans="1:19" ht="15" customHeight="1">
      <c r="K4" s="100"/>
      <c r="L4" s="100"/>
      <c r="M4" s="100"/>
      <c r="N4" s="100"/>
      <c r="O4" s="100"/>
      <c r="P4" s="100"/>
      <c r="Q4" s="100"/>
      <c r="R4" s="128" t="s">
        <v>427</v>
      </c>
      <c r="S4" s="128"/>
    </row>
    <row r="5" spans="1:19" ht="45">
      <c r="K5" s="1" t="s">
        <v>52</v>
      </c>
      <c r="L5" s="1" t="s">
        <v>545</v>
      </c>
      <c r="M5" s="1" t="s">
        <v>4</v>
      </c>
      <c r="N5" s="1" t="s">
        <v>279</v>
      </c>
      <c r="O5" s="1" t="s">
        <v>546</v>
      </c>
      <c r="P5" s="1" t="s">
        <v>447</v>
      </c>
      <c r="Q5" s="1" t="s">
        <v>8</v>
      </c>
      <c r="R5" s="1">
        <v>2013</v>
      </c>
      <c r="S5" s="1">
        <v>2012</v>
      </c>
    </row>
    <row r="6" spans="1:19">
      <c r="A6" t="s">
        <v>10</v>
      </c>
    </row>
    <row r="7" spans="1:19">
      <c r="B7" t="s">
        <v>163</v>
      </c>
      <c r="K7" s="72">
        <v>3374636</v>
      </c>
      <c r="L7" s="73">
        <v>483394</v>
      </c>
      <c r="M7" s="73">
        <v>358657</v>
      </c>
      <c r="N7" s="73">
        <v>22023</v>
      </c>
      <c r="O7" s="73">
        <v>61038</v>
      </c>
      <c r="P7" s="73">
        <v>1767191</v>
      </c>
      <c r="Q7" s="73">
        <v>2864826</v>
      </c>
      <c r="R7" s="73">
        <f>SUM(K7:Q7)</f>
        <v>8931765</v>
      </c>
      <c r="S7" s="73">
        <v>10539101</v>
      </c>
    </row>
    <row r="8" spans="1:19">
      <c r="B8" t="s">
        <v>59</v>
      </c>
      <c r="K8" s="74">
        <v>1303622</v>
      </c>
      <c r="L8" s="73">
        <v>57042</v>
      </c>
      <c r="M8" s="73">
        <v>6457</v>
      </c>
      <c r="N8" s="73">
        <v>10834</v>
      </c>
      <c r="O8" s="73">
        <v>72978</v>
      </c>
      <c r="P8" s="73">
        <v>154144</v>
      </c>
      <c r="Q8" s="73">
        <v>2310925</v>
      </c>
      <c r="R8" s="73">
        <f>SUM(K8:Q8)</f>
        <v>3916002</v>
      </c>
      <c r="S8" s="73">
        <v>3153470</v>
      </c>
    </row>
    <row r="9" spans="1:19">
      <c r="B9" t="s">
        <v>235</v>
      </c>
      <c r="K9" s="74">
        <v>59226</v>
      </c>
      <c r="L9" s="73"/>
      <c r="M9" s="73"/>
      <c r="N9" s="73"/>
      <c r="O9" s="73"/>
      <c r="P9" s="73"/>
      <c r="Q9" s="73"/>
      <c r="R9" s="73">
        <f>SUM(K9:Q9)</f>
        <v>59226</v>
      </c>
      <c r="S9" s="73">
        <v>58500</v>
      </c>
    </row>
    <row r="10" spans="1:19">
      <c r="K10" s="73"/>
      <c r="L10" s="73"/>
      <c r="M10" s="73"/>
      <c r="N10" s="73"/>
      <c r="O10" s="73"/>
      <c r="P10" s="73"/>
      <c r="Q10" s="73"/>
      <c r="R10" s="73"/>
      <c r="S10" s="73"/>
    </row>
    <row r="11" spans="1:19" s="3" customFormat="1">
      <c r="A11" s="2"/>
      <c r="B11" s="2"/>
      <c r="C11" s="2"/>
      <c r="D11" s="2"/>
      <c r="E11" s="2" t="s">
        <v>129</v>
      </c>
      <c r="K11" s="76">
        <f>SUM(K7:K9)</f>
        <v>4737484</v>
      </c>
      <c r="L11" s="76">
        <f>SUM(L7:L9)</f>
        <v>540436</v>
      </c>
      <c r="M11" s="76">
        <f>SUM(M7:M9)</f>
        <v>365114</v>
      </c>
      <c r="N11" s="76">
        <f t="shared" ref="N11:P11" si="0">SUM(N7:N9)</f>
        <v>32857</v>
      </c>
      <c r="O11" s="76">
        <f t="shared" si="0"/>
        <v>134016</v>
      </c>
      <c r="P11" s="76">
        <f t="shared" si="0"/>
        <v>1921335</v>
      </c>
      <c r="Q11" s="76">
        <f>SUM(Q7:Q9)</f>
        <v>5175751</v>
      </c>
      <c r="R11" s="76">
        <f>SUM(R7:R9)</f>
        <v>12906993</v>
      </c>
      <c r="S11" s="76">
        <f>SUM(S7:S9)</f>
        <v>13751071</v>
      </c>
    </row>
    <row r="12" spans="1:19">
      <c r="K12" s="73"/>
      <c r="L12" s="73"/>
      <c r="M12" s="73"/>
      <c r="N12" s="73"/>
      <c r="O12" s="73"/>
      <c r="P12" s="73"/>
      <c r="Q12" s="73"/>
      <c r="R12" s="73"/>
      <c r="S12" s="73"/>
    </row>
    <row r="13" spans="1:19">
      <c r="A13" s="4" t="s">
        <v>21</v>
      </c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B14" t="s">
        <v>22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C15" t="s">
        <v>131</v>
      </c>
      <c r="K15" s="77">
        <v>57685</v>
      </c>
      <c r="L15" s="73">
        <v>47072</v>
      </c>
      <c r="M15" s="73">
        <v>43307</v>
      </c>
      <c r="N15" s="73">
        <v>11360</v>
      </c>
      <c r="O15" s="73">
        <v>6426</v>
      </c>
      <c r="P15" s="73">
        <v>6108</v>
      </c>
      <c r="Q15" s="73">
        <v>580634</v>
      </c>
      <c r="R15" s="73">
        <f>SUM(K15:Q15)</f>
        <v>752592</v>
      </c>
      <c r="S15" s="73">
        <v>822300</v>
      </c>
    </row>
    <row r="16" spans="1:19">
      <c r="C16" t="s">
        <v>237</v>
      </c>
      <c r="K16" s="73"/>
      <c r="L16" s="73"/>
      <c r="M16" s="73"/>
      <c r="N16" s="73">
        <v>10748</v>
      </c>
      <c r="O16" s="73"/>
      <c r="P16" s="73"/>
      <c r="Q16" s="73">
        <v>48478</v>
      </c>
      <c r="R16" s="73">
        <f>SUM(K16:Q16)</f>
        <v>59226</v>
      </c>
      <c r="S16" s="73">
        <v>58500</v>
      </c>
    </row>
    <row r="17" spans="2:19">
      <c r="K17" s="73"/>
      <c r="L17" s="73"/>
      <c r="M17" s="73"/>
      <c r="N17" s="73"/>
      <c r="O17" s="73"/>
      <c r="P17" s="73"/>
      <c r="Q17" s="73"/>
      <c r="R17" s="73"/>
      <c r="S17" s="73"/>
    </row>
    <row r="18" spans="2:19" s="5" customFormat="1">
      <c r="B18" s="6"/>
      <c r="C18" s="6"/>
      <c r="D18" s="6"/>
      <c r="E18" s="6" t="s">
        <v>28</v>
      </c>
      <c r="K18" s="79">
        <f>SUM(K15:K16)</f>
        <v>57685</v>
      </c>
      <c r="L18" s="79">
        <f>SUM(L15:L16)</f>
        <v>47072</v>
      </c>
      <c r="M18" s="79">
        <f>SUM(M15:M16)</f>
        <v>43307</v>
      </c>
      <c r="N18" s="79">
        <f t="shared" ref="N18:Q18" si="1">SUM(N15:N16)</f>
        <v>22108</v>
      </c>
      <c r="O18" s="79">
        <f t="shared" si="1"/>
        <v>6426</v>
      </c>
      <c r="P18" s="79">
        <f t="shared" si="1"/>
        <v>6108</v>
      </c>
      <c r="Q18" s="79">
        <f t="shared" si="1"/>
        <v>629112</v>
      </c>
      <c r="R18" s="79">
        <f>SUM(R15:R16)</f>
        <v>811818</v>
      </c>
      <c r="S18" s="79">
        <f>SUM(S15:S16)</f>
        <v>880800</v>
      </c>
    </row>
    <row r="19" spans="2:19">
      <c r="K19" s="73"/>
      <c r="L19" s="73"/>
      <c r="M19" s="73"/>
      <c r="N19" s="73"/>
      <c r="O19" s="73"/>
      <c r="P19" s="73"/>
      <c r="Q19" s="73"/>
      <c r="R19" s="73"/>
      <c r="S19" s="73"/>
    </row>
    <row r="20" spans="2:19">
      <c r="B20" t="s">
        <v>100</v>
      </c>
      <c r="K20" s="73"/>
      <c r="L20" s="73"/>
      <c r="M20" s="73"/>
      <c r="N20" s="73"/>
      <c r="O20" s="73"/>
      <c r="P20" s="73"/>
      <c r="Q20" s="73"/>
      <c r="R20" s="73"/>
      <c r="S20" s="73"/>
    </row>
    <row r="21" spans="2:19">
      <c r="C21" t="s">
        <v>547</v>
      </c>
      <c r="K21" s="73"/>
      <c r="L21" s="73">
        <v>493364</v>
      </c>
      <c r="M21" s="73">
        <v>321806</v>
      </c>
      <c r="N21" s="73">
        <v>10749</v>
      </c>
      <c r="O21" s="73">
        <v>127590</v>
      </c>
      <c r="P21" s="73">
        <v>1915227</v>
      </c>
      <c r="Q21" s="73">
        <v>4595334</v>
      </c>
      <c r="R21" s="73">
        <f>SUM(K21:Q21)</f>
        <v>7464070</v>
      </c>
      <c r="S21" s="73">
        <v>184692</v>
      </c>
    </row>
    <row r="22" spans="2:19">
      <c r="C22" t="s">
        <v>48</v>
      </c>
      <c r="K22" s="86">
        <v>4679800</v>
      </c>
      <c r="L22" s="73"/>
      <c r="M22" s="73"/>
      <c r="N22" s="73"/>
      <c r="O22" s="73"/>
      <c r="P22" s="73"/>
      <c r="Q22" s="73">
        <v>-48696</v>
      </c>
      <c r="R22" s="73">
        <f>SUM(K22:Q22)</f>
        <v>4631104</v>
      </c>
      <c r="S22" s="73">
        <v>4134130</v>
      </c>
    </row>
    <row r="23" spans="2:19">
      <c r="K23" s="73"/>
      <c r="L23" s="73"/>
      <c r="M23" s="73"/>
      <c r="N23" s="73"/>
      <c r="O23" s="73"/>
      <c r="P23" s="73"/>
      <c r="Q23" s="73"/>
      <c r="R23" s="73"/>
      <c r="S23" s="73"/>
    </row>
    <row r="24" spans="2:19" s="5" customFormat="1">
      <c r="D24" s="6"/>
      <c r="E24" s="6" t="s">
        <v>49</v>
      </c>
      <c r="K24" s="79">
        <f>SUM(K21:K22)</f>
        <v>4679800</v>
      </c>
      <c r="L24" s="79">
        <f>SUM(L21:L22)</f>
        <v>493364</v>
      </c>
      <c r="M24" s="79">
        <f>SUM(M21:M22)</f>
        <v>321806</v>
      </c>
      <c r="N24" s="79">
        <f t="shared" ref="N24:Q24" si="2">SUM(N21:N22)</f>
        <v>10749</v>
      </c>
      <c r="O24" s="79">
        <f t="shared" si="2"/>
        <v>127590</v>
      </c>
      <c r="P24" s="79">
        <f t="shared" si="2"/>
        <v>1915227</v>
      </c>
      <c r="Q24" s="79">
        <f t="shared" si="2"/>
        <v>4546638</v>
      </c>
      <c r="R24" s="79">
        <f>SUM(R21:R22)</f>
        <v>12095174</v>
      </c>
      <c r="S24" s="79">
        <f>SUM(S21:S23)</f>
        <v>4318822</v>
      </c>
    </row>
    <row r="25" spans="2:19">
      <c r="K25" s="73"/>
      <c r="L25" s="73"/>
      <c r="M25" s="73"/>
      <c r="N25" s="73"/>
      <c r="O25" s="73"/>
      <c r="P25" s="73"/>
      <c r="Q25" s="73"/>
      <c r="R25" s="73"/>
      <c r="S25" s="73"/>
    </row>
    <row r="26" spans="2:19" s="7" customFormat="1">
      <c r="D26" s="8"/>
      <c r="E26" s="8" t="s">
        <v>50</v>
      </c>
      <c r="K26" s="81">
        <f>SUM(K24,K18)</f>
        <v>4737485</v>
      </c>
      <c r="L26" s="81">
        <f>SUM(L18,L24)</f>
        <v>540436</v>
      </c>
      <c r="M26" s="81">
        <f>SUM(M18,M24)</f>
        <v>365113</v>
      </c>
      <c r="N26" s="81">
        <f t="shared" ref="N26:Q26" si="3">SUM(N18,N24)</f>
        <v>32857</v>
      </c>
      <c r="O26" s="81">
        <f t="shared" si="3"/>
        <v>134016</v>
      </c>
      <c r="P26" s="81">
        <f t="shared" si="3"/>
        <v>1921335</v>
      </c>
      <c r="Q26" s="81">
        <f t="shared" si="3"/>
        <v>5175750</v>
      </c>
      <c r="R26" s="81">
        <f>SUM(R18,R24)</f>
        <v>12906992</v>
      </c>
      <c r="S26" s="81">
        <f>SUM(S18+S24)</f>
        <v>5199622</v>
      </c>
    </row>
  </sheetData>
  <mergeCells count="4">
    <mergeCell ref="D1:K1"/>
    <mergeCell ref="D2:K2"/>
    <mergeCell ref="K3:Q3"/>
    <mergeCell ref="R4:S4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56"/>
  <sheetViews>
    <sheetView workbookViewId="0">
      <selection activeCell="O58" sqref="O58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5" width="18.140625" customWidth="1"/>
    <col min="16" max="16" width="18.28515625" customWidth="1"/>
  </cols>
  <sheetData>
    <row r="1" spans="1:15" ht="18.75">
      <c r="D1" s="125" t="s">
        <v>548</v>
      </c>
      <c r="E1" s="125"/>
      <c r="F1" s="125"/>
      <c r="G1" s="125"/>
      <c r="H1" s="125"/>
      <c r="I1" s="125"/>
      <c r="J1" s="125"/>
      <c r="K1" s="125"/>
    </row>
    <row r="2" spans="1:15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5" ht="29.25" customHeight="1">
      <c r="D3" s="57"/>
      <c r="E3" s="57"/>
      <c r="F3" s="57"/>
      <c r="G3" s="57"/>
      <c r="H3" s="57"/>
      <c r="I3" s="57"/>
      <c r="J3" s="57"/>
      <c r="K3" s="126"/>
      <c r="L3" s="126"/>
      <c r="M3" s="126"/>
    </row>
    <row r="4" spans="1:15" ht="15" customHeight="1">
      <c r="K4" s="100"/>
      <c r="L4" s="100"/>
      <c r="M4" s="100"/>
    </row>
    <row r="5" spans="1:15" ht="45">
      <c r="K5" s="1" t="s">
        <v>52</v>
      </c>
      <c r="L5" s="1" t="s">
        <v>549</v>
      </c>
      <c r="M5" s="1" t="s">
        <v>550</v>
      </c>
      <c r="N5" s="1" t="s">
        <v>551</v>
      </c>
      <c r="O5" s="1" t="s">
        <v>9</v>
      </c>
    </row>
    <row r="6" spans="1:15">
      <c r="A6" t="s">
        <v>10</v>
      </c>
    </row>
    <row r="7" spans="1:15">
      <c r="B7" t="s">
        <v>163</v>
      </c>
      <c r="K7" s="72">
        <v>4180606</v>
      </c>
      <c r="L7" s="73">
        <v>122278</v>
      </c>
      <c r="M7" s="73">
        <v>7487436</v>
      </c>
      <c r="N7" s="73">
        <v>19689446</v>
      </c>
      <c r="O7" s="73">
        <f>SUM(K7:N7)</f>
        <v>31479766</v>
      </c>
    </row>
    <row r="8" spans="1:15">
      <c r="B8" t="s">
        <v>552</v>
      </c>
      <c r="K8" s="77">
        <v>5326500</v>
      </c>
      <c r="L8" s="73"/>
      <c r="M8" s="73"/>
      <c r="N8" s="73"/>
      <c r="O8" s="73">
        <f>SUM(K8:N8)</f>
        <v>5326500</v>
      </c>
    </row>
    <row r="9" spans="1:15">
      <c r="B9" t="s">
        <v>504</v>
      </c>
      <c r="K9" s="73"/>
      <c r="L9" s="73"/>
      <c r="M9" s="73"/>
      <c r="N9" s="73"/>
      <c r="O9" s="73">
        <f t="shared" ref="O9:O17" si="0">SUM(K9:N9)</f>
        <v>0</v>
      </c>
    </row>
    <row r="10" spans="1:15">
      <c r="C10" t="s">
        <v>82</v>
      </c>
      <c r="K10" s="74">
        <v>1729591</v>
      </c>
      <c r="L10" s="73"/>
      <c r="M10" s="73"/>
      <c r="N10" s="73">
        <v>576530</v>
      </c>
      <c r="O10" s="73">
        <f t="shared" si="0"/>
        <v>2306121</v>
      </c>
    </row>
    <row r="11" spans="1:15">
      <c r="C11" t="s">
        <v>169</v>
      </c>
      <c r="K11" s="74">
        <v>804293</v>
      </c>
      <c r="L11" s="73"/>
      <c r="M11" s="73"/>
      <c r="N11" s="73">
        <v>11459352</v>
      </c>
      <c r="O11" s="73">
        <f t="shared" si="0"/>
        <v>12263645</v>
      </c>
    </row>
    <row r="12" spans="1:15">
      <c r="C12" t="s">
        <v>553</v>
      </c>
      <c r="K12" s="74">
        <v>99097</v>
      </c>
      <c r="L12" s="73"/>
      <c r="M12" s="73"/>
      <c r="N12" s="73"/>
      <c r="O12" s="73">
        <f t="shared" si="0"/>
        <v>99097</v>
      </c>
    </row>
    <row r="13" spans="1:15">
      <c r="C13" t="s">
        <v>401</v>
      </c>
      <c r="K13" s="74">
        <v>1393626</v>
      </c>
      <c r="L13" s="73">
        <v>3760961</v>
      </c>
      <c r="M13" s="73">
        <v>11764277</v>
      </c>
      <c r="N13" s="73">
        <v>1087389</v>
      </c>
      <c r="O13" s="73">
        <f t="shared" si="0"/>
        <v>18006253</v>
      </c>
    </row>
    <row r="14" spans="1:15">
      <c r="C14" t="s">
        <v>47</v>
      </c>
      <c r="K14" s="74">
        <v>391967</v>
      </c>
      <c r="L14" s="73"/>
      <c r="M14" s="73"/>
      <c r="N14" s="73">
        <v>1299016</v>
      </c>
      <c r="O14" s="73">
        <f t="shared" si="0"/>
        <v>1690983</v>
      </c>
    </row>
    <row r="15" spans="1:15">
      <c r="B15" t="s">
        <v>18</v>
      </c>
      <c r="K15" s="75">
        <v>9104788</v>
      </c>
      <c r="L15" s="73"/>
      <c r="M15" s="73">
        <v>14025396</v>
      </c>
      <c r="N15" s="73">
        <v>3825691</v>
      </c>
      <c r="O15" s="73">
        <f t="shared" si="0"/>
        <v>26955875</v>
      </c>
    </row>
    <row r="16" spans="1:15">
      <c r="B16" t="s">
        <v>554</v>
      </c>
      <c r="K16" s="85">
        <v>84990</v>
      </c>
      <c r="L16" s="73"/>
      <c r="M16" s="73"/>
      <c r="N16" s="73">
        <v>113744</v>
      </c>
      <c r="O16" s="73">
        <f t="shared" si="0"/>
        <v>198734</v>
      </c>
    </row>
    <row r="17" spans="1:15">
      <c r="B17" t="s">
        <v>88</v>
      </c>
      <c r="K17" s="83">
        <v>9714</v>
      </c>
      <c r="L17" s="73"/>
      <c r="M17" s="73"/>
      <c r="N17" s="73"/>
      <c r="O17" s="73">
        <f t="shared" si="0"/>
        <v>9714</v>
      </c>
    </row>
    <row r="18" spans="1:15">
      <c r="K18" s="73"/>
      <c r="L18" s="73"/>
      <c r="M18" s="73"/>
      <c r="N18" s="73"/>
      <c r="O18" s="73"/>
    </row>
    <row r="19" spans="1:15" s="3" customFormat="1">
      <c r="A19" s="2"/>
      <c r="B19" s="2"/>
      <c r="C19" s="2"/>
      <c r="D19" s="2"/>
      <c r="E19" s="2" t="s">
        <v>129</v>
      </c>
      <c r="K19" s="76">
        <f>SUM(K7:K17)</f>
        <v>23125172</v>
      </c>
      <c r="L19" s="76">
        <f>SUM(L7:L15)</f>
        <v>3883239</v>
      </c>
      <c r="M19" s="76">
        <f>SUM(M7:M15)</f>
        <v>33277109</v>
      </c>
      <c r="N19" s="76">
        <f>SUM(N7:N16)</f>
        <v>38051168</v>
      </c>
      <c r="O19" s="76">
        <f>SUM(O7:O17)</f>
        <v>98336688</v>
      </c>
    </row>
    <row r="20" spans="1:15">
      <c r="K20" s="73"/>
      <c r="L20" s="73"/>
      <c r="M20" s="73"/>
      <c r="N20" s="73"/>
      <c r="O20" s="73"/>
    </row>
    <row r="21" spans="1:15">
      <c r="A21" s="4" t="s">
        <v>21</v>
      </c>
      <c r="K21" s="73"/>
      <c r="L21" s="73"/>
      <c r="M21" s="73"/>
      <c r="N21" s="73"/>
      <c r="O21" s="73"/>
    </row>
    <row r="22" spans="1:15">
      <c r="B22" t="s">
        <v>22</v>
      </c>
      <c r="K22" s="73"/>
      <c r="L22" s="73"/>
      <c r="M22" s="73"/>
      <c r="N22" s="73"/>
      <c r="O22" s="73"/>
    </row>
    <row r="23" spans="1:15">
      <c r="C23" t="s">
        <v>23</v>
      </c>
      <c r="K23" s="77">
        <v>1710730</v>
      </c>
      <c r="L23" s="73">
        <v>2255110</v>
      </c>
      <c r="M23" s="73">
        <v>9055049</v>
      </c>
      <c r="N23" s="73">
        <v>3420121</v>
      </c>
      <c r="O23" s="73">
        <f>SUM(K23:N23)</f>
        <v>16441010</v>
      </c>
    </row>
    <row r="24" spans="1:15">
      <c r="C24" t="s">
        <v>24</v>
      </c>
      <c r="K24" s="77">
        <v>20669</v>
      </c>
      <c r="L24" s="73">
        <v>1710274</v>
      </c>
      <c r="M24" s="73">
        <v>6097437</v>
      </c>
      <c r="N24" s="73">
        <v>221812</v>
      </c>
      <c r="O24" s="73">
        <f t="shared" ref="O24:O25" si="1">SUM(K24:N24)</f>
        <v>8050192</v>
      </c>
    </row>
    <row r="25" spans="1:15">
      <c r="C25" t="s">
        <v>555</v>
      </c>
      <c r="K25" s="77">
        <v>528595</v>
      </c>
      <c r="L25" s="73"/>
      <c r="M25" s="73"/>
      <c r="N25" s="73">
        <v>839236</v>
      </c>
      <c r="O25" s="73">
        <f t="shared" si="1"/>
        <v>1367831</v>
      </c>
    </row>
    <row r="26" spans="1:15">
      <c r="C26" t="s">
        <v>27</v>
      </c>
      <c r="K26" s="78">
        <v>8760076</v>
      </c>
      <c r="L26" s="73">
        <v>58026</v>
      </c>
      <c r="M26" s="73">
        <v>14088714</v>
      </c>
      <c r="N26" s="73">
        <v>7057585</v>
      </c>
      <c r="O26" s="73">
        <f>SUM(K26:N26)</f>
        <v>29964401</v>
      </c>
    </row>
    <row r="27" spans="1:15">
      <c r="C27" t="s">
        <v>556</v>
      </c>
      <c r="K27" s="83">
        <v>3150000</v>
      </c>
      <c r="L27" s="73"/>
      <c r="M27" s="73"/>
      <c r="N27" s="73">
        <v>6206000</v>
      </c>
      <c r="O27" s="73">
        <f>SUM(K27:N27)</f>
        <v>9356000</v>
      </c>
    </row>
    <row r="28" spans="1:15">
      <c r="K28" s="73"/>
      <c r="L28" s="73"/>
      <c r="M28" s="73"/>
      <c r="N28" s="73"/>
      <c r="O28" s="73"/>
    </row>
    <row r="29" spans="1:15" s="5" customFormat="1">
      <c r="B29" s="6"/>
      <c r="C29" s="6"/>
      <c r="D29" s="6"/>
      <c r="E29" s="6" t="s">
        <v>28</v>
      </c>
      <c r="K29" s="79">
        <f t="shared" ref="K29:O29" si="2">SUM(K23:K27)</f>
        <v>14170070</v>
      </c>
      <c r="L29" s="79">
        <f t="shared" si="2"/>
        <v>4023410</v>
      </c>
      <c r="M29" s="79">
        <f t="shared" si="2"/>
        <v>29241200</v>
      </c>
      <c r="N29" s="79">
        <f t="shared" si="2"/>
        <v>17744754</v>
      </c>
      <c r="O29" s="79">
        <f t="shared" si="2"/>
        <v>65179434</v>
      </c>
    </row>
    <row r="30" spans="1:15">
      <c r="K30" s="73"/>
      <c r="L30" s="73"/>
      <c r="M30" s="73"/>
      <c r="N30" s="73"/>
      <c r="O30" s="73"/>
    </row>
    <row r="31" spans="1:15">
      <c r="B31" t="s">
        <v>557</v>
      </c>
      <c r="K31" s="88">
        <v>6342461</v>
      </c>
      <c r="L31" s="88">
        <v>2486566</v>
      </c>
      <c r="M31" s="88">
        <v>6810124</v>
      </c>
      <c r="N31" s="88">
        <v>2007573</v>
      </c>
      <c r="O31" s="88">
        <f>SUM(K31:N31)</f>
        <v>17646724</v>
      </c>
    </row>
    <row r="32" spans="1:15">
      <c r="K32" s="73"/>
      <c r="L32" s="73"/>
      <c r="M32" s="73"/>
      <c r="N32" s="73"/>
      <c r="O32" s="73"/>
    </row>
    <row r="33" spans="2:15">
      <c r="B33" t="s">
        <v>100</v>
      </c>
      <c r="K33" s="73"/>
      <c r="L33" s="73"/>
      <c r="M33" s="73"/>
      <c r="N33" s="73"/>
      <c r="O33" s="73"/>
    </row>
    <row r="34" spans="2:15">
      <c r="C34" t="s">
        <v>558</v>
      </c>
      <c r="K34" s="73"/>
      <c r="L34" s="73"/>
      <c r="M34" s="73"/>
      <c r="N34" s="73"/>
      <c r="O34" s="73"/>
    </row>
    <row r="35" spans="2:15">
      <c r="D35" t="s">
        <v>207</v>
      </c>
      <c r="K35" s="80">
        <v>84990</v>
      </c>
      <c r="L35" s="73"/>
      <c r="M35" s="73"/>
      <c r="N35" s="73">
        <v>113744</v>
      </c>
      <c r="O35" s="73">
        <f>SUM(K35:N35)</f>
        <v>198734</v>
      </c>
    </row>
    <row r="36" spans="2:15">
      <c r="C36" t="s">
        <v>32</v>
      </c>
      <c r="K36" s="73"/>
      <c r="L36" s="73"/>
      <c r="M36" s="73"/>
      <c r="N36" s="73"/>
      <c r="O36" s="73"/>
    </row>
    <row r="37" spans="2:15">
      <c r="D37" t="s">
        <v>559</v>
      </c>
      <c r="K37" s="80">
        <v>91185</v>
      </c>
      <c r="L37" s="73"/>
      <c r="M37" s="73"/>
      <c r="N37" s="73"/>
      <c r="O37" s="73">
        <f t="shared" ref="O37:O45" si="3">SUM(K37:N37)</f>
        <v>91185</v>
      </c>
    </row>
    <row r="38" spans="2:15">
      <c r="D38" t="s">
        <v>43</v>
      </c>
      <c r="K38" s="73"/>
      <c r="L38" s="73"/>
      <c r="M38" s="73"/>
      <c r="N38" s="73">
        <v>1232224</v>
      </c>
      <c r="O38" s="73">
        <f t="shared" si="3"/>
        <v>1232224</v>
      </c>
    </row>
    <row r="39" spans="2:15">
      <c r="D39" t="s">
        <v>560</v>
      </c>
      <c r="K39" s="73"/>
      <c r="L39" s="73"/>
      <c r="M39" s="73"/>
      <c r="N39" s="73">
        <v>4324697</v>
      </c>
      <c r="O39" s="73">
        <f t="shared" si="3"/>
        <v>4324697</v>
      </c>
    </row>
    <row r="40" spans="2:15">
      <c r="D40" t="s">
        <v>561</v>
      </c>
      <c r="K40" s="73"/>
      <c r="L40" s="73"/>
      <c r="M40" s="73"/>
      <c r="N40" s="73">
        <v>383237</v>
      </c>
      <c r="O40" s="73">
        <f t="shared" si="3"/>
        <v>383237</v>
      </c>
    </row>
    <row r="41" spans="2:15">
      <c r="D41" t="s">
        <v>107</v>
      </c>
      <c r="K41" s="73"/>
      <c r="L41" s="73"/>
      <c r="M41" s="73"/>
      <c r="N41" s="73"/>
      <c r="O41" s="73">
        <f t="shared" si="3"/>
        <v>0</v>
      </c>
    </row>
    <row r="42" spans="2:15">
      <c r="D42" t="s">
        <v>562</v>
      </c>
      <c r="K42" s="73"/>
      <c r="L42" s="73"/>
      <c r="M42" s="73"/>
      <c r="N42" s="73">
        <v>795290</v>
      </c>
      <c r="O42" s="73">
        <f t="shared" si="3"/>
        <v>795290</v>
      </c>
    </row>
    <row r="43" spans="2:15">
      <c r="D43" t="s">
        <v>563</v>
      </c>
      <c r="K43" s="73"/>
      <c r="L43" s="73"/>
      <c r="M43" s="73"/>
      <c r="N43" s="73">
        <v>385777</v>
      </c>
      <c r="O43" s="73">
        <f t="shared" si="3"/>
        <v>385777</v>
      </c>
    </row>
    <row r="44" spans="2:15">
      <c r="D44" t="s">
        <v>69</v>
      </c>
      <c r="K44" s="73"/>
      <c r="L44" s="73"/>
      <c r="M44" s="73"/>
      <c r="N44" s="73">
        <v>1805358</v>
      </c>
      <c r="O44" s="73">
        <f t="shared" si="3"/>
        <v>1805358</v>
      </c>
    </row>
    <row r="45" spans="2:15">
      <c r="D45" t="s">
        <v>564</v>
      </c>
      <c r="K45" s="73"/>
      <c r="L45" s="73"/>
      <c r="M45" s="73"/>
      <c r="N45" s="73">
        <v>452609</v>
      </c>
      <c r="O45" s="73">
        <f t="shared" si="3"/>
        <v>452609</v>
      </c>
    </row>
    <row r="46" spans="2:15">
      <c r="C46" t="s">
        <v>464</v>
      </c>
      <c r="K46" s="73"/>
      <c r="L46" s="73"/>
      <c r="M46" s="73"/>
      <c r="N46" s="73"/>
    </row>
    <row r="47" spans="2:15">
      <c r="D47" t="s">
        <v>564</v>
      </c>
      <c r="K47" s="73"/>
      <c r="L47" s="73"/>
      <c r="M47" s="73"/>
      <c r="N47" s="73">
        <v>1803029</v>
      </c>
      <c r="O47" s="73">
        <f>SUM(K47:N47)</f>
        <v>1803029</v>
      </c>
    </row>
    <row r="48" spans="2:15">
      <c r="C48" t="s">
        <v>42</v>
      </c>
      <c r="K48" s="73"/>
      <c r="L48" s="73"/>
      <c r="M48" s="73"/>
      <c r="N48" s="73"/>
    </row>
    <row r="49" spans="3:15">
      <c r="D49" t="s">
        <v>565</v>
      </c>
      <c r="K49" s="73"/>
      <c r="L49" s="73"/>
      <c r="M49" s="73"/>
      <c r="N49" s="73">
        <v>138907</v>
      </c>
      <c r="O49" s="73">
        <f>SUM(K49:N49)</f>
        <v>138907</v>
      </c>
    </row>
    <row r="50" spans="3:15">
      <c r="D50" t="s">
        <v>225</v>
      </c>
      <c r="K50" s="73"/>
      <c r="L50" s="73"/>
      <c r="M50" s="73"/>
      <c r="N50" s="73">
        <v>1180614</v>
      </c>
      <c r="O50" s="73">
        <f>SUM(K50:N50)</f>
        <v>1180614</v>
      </c>
    </row>
    <row r="51" spans="3:15">
      <c r="D51" t="s">
        <v>566</v>
      </c>
      <c r="K51" s="73"/>
      <c r="L51" s="73"/>
      <c r="M51" s="73"/>
      <c r="N51" s="73">
        <v>5778104</v>
      </c>
      <c r="O51" s="73">
        <f>SUM(K51:N51)</f>
        <v>5778104</v>
      </c>
    </row>
    <row r="52" spans="3:15">
      <c r="C52" t="s">
        <v>48</v>
      </c>
      <c r="K52" s="86">
        <v>2436466</v>
      </c>
      <c r="L52" s="73">
        <v>-2626737</v>
      </c>
      <c r="M52" s="73">
        <v>-2774215</v>
      </c>
      <c r="N52" s="73">
        <v>-94749</v>
      </c>
      <c r="O52" s="73">
        <f>SUM(K52:N52)</f>
        <v>-3059235</v>
      </c>
    </row>
    <row r="53" spans="3:15">
      <c r="K53" s="73"/>
      <c r="L53" s="73"/>
      <c r="M53" s="73"/>
      <c r="N53" s="73"/>
      <c r="O53" s="73"/>
    </row>
    <row r="54" spans="3:15" s="5" customFormat="1">
      <c r="D54" s="6"/>
      <c r="E54" s="6" t="s">
        <v>49</v>
      </c>
      <c r="K54" s="79">
        <f>SUM(K35:K52)</f>
        <v>2612641</v>
      </c>
      <c r="L54" s="79">
        <f>SUM(L36:L52)</f>
        <v>-2626737</v>
      </c>
      <c r="M54" s="79">
        <f>SUM(M36:M52)</f>
        <v>-2774215</v>
      </c>
      <c r="N54" s="79">
        <f>SUM(N36:N52)</f>
        <v>18185097</v>
      </c>
      <c r="O54" s="79">
        <f>SUM(O35:O53)</f>
        <v>15510530</v>
      </c>
    </row>
    <row r="55" spans="3:15">
      <c r="K55" s="73"/>
      <c r="L55" s="73"/>
      <c r="M55" s="73"/>
      <c r="N55" s="73"/>
      <c r="O55" s="73"/>
    </row>
    <row r="56" spans="3:15" s="7" customFormat="1">
      <c r="D56" s="8"/>
      <c r="E56" s="8" t="s">
        <v>50</v>
      </c>
      <c r="K56" s="81">
        <f>SUM(K54,K29,K31)</f>
        <v>23125172</v>
      </c>
      <c r="L56" s="81">
        <f t="shared" ref="L56:O56" si="4">SUM(L54,L29,L31)</f>
        <v>3883239</v>
      </c>
      <c r="M56" s="81">
        <f t="shared" si="4"/>
        <v>33277109</v>
      </c>
      <c r="N56" s="81">
        <f t="shared" si="4"/>
        <v>37937424</v>
      </c>
      <c r="O56" s="81">
        <f t="shared" si="4"/>
        <v>98336688</v>
      </c>
    </row>
  </sheetData>
  <mergeCells count="3">
    <mergeCell ref="D1:K1"/>
    <mergeCell ref="D2:K2"/>
    <mergeCell ref="K3:M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47"/>
  <sheetViews>
    <sheetView topLeftCell="L1" workbookViewId="0">
      <selection activeCell="O44" sqref="O44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6" width="19.42578125" customWidth="1"/>
  </cols>
  <sheetData>
    <row r="1" spans="1:16" ht="18.75">
      <c r="D1" s="125" t="s">
        <v>567</v>
      </c>
      <c r="E1" s="125"/>
      <c r="F1" s="125"/>
      <c r="G1" s="125"/>
      <c r="H1" s="125"/>
      <c r="I1" s="125"/>
      <c r="J1" s="125"/>
      <c r="K1" s="125"/>
    </row>
    <row r="2" spans="1:16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6" ht="29.25" customHeight="1">
      <c r="D3" s="57"/>
      <c r="E3" s="57"/>
      <c r="F3" s="57"/>
      <c r="G3" s="57"/>
      <c r="H3" s="57"/>
      <c r="I3" s="57"/>
      <c r="J3" s="57"/>
      <c r="K3" s="89"/>
      <c r="L3" s="89"/>
      <c r="M3" s="89"/>
      <c r="N3" s="89"/>
      <c r="O3" s="89"/>
      <c r="P3" s="89"/>
    </row>
    <row r="4" spans="1:16" ht="28.5" customHeight="1">
      <c r="K4" s="100"/>
      <c r="L4" s="102"/>
      <c r="M4" s="102"/>
      <c r="N4" s="102"/>
      <c r="O4" s="102"/>
      <c r="P4" s="102"/>
    </row>
    <row r="5" spans="1:16" ht="45">
      <c r="K5" s="1" t="s">
        <v>52</v>
      </c>
      <c r="L5" s="1" t="s">
        <v>568</v>
      </c>
      <c r="M5" s="1" t="s">
        <v>569</v>
      </c>
      <c r="N5" s="1" t="s">
        <v>570</v>
      </c>
      <c r="O5" s="1" t="s">
        <v>58</v>
      </c>
      <c r="P5" s="1" t="s">
        <v>9</v>
      </c>
    </row>
    <row r="6" spans="1:16">
      <c r="A6" t="s">
        <v>10</v>
      </c>
    </row>
    <row r="7" spans="1:16">
      <c r="B7" t="s">
        <v>571</v>
      </c>
      <c r="K7" s="72">
        <v>1886129</v>
      </c>
      <c r="L7" s="73">
        <v>1518524</v>
      </c>
      <c r="M7" s="73">
        <v>970</v>
      </c>
      <c r="N7" s="101">
        <v>1595</v>
      </c>
      <c r="O7" s="73">
        <v>70261</v>
      </c>
      <c r="P7" s="73">
        <f>SUM(K7:O7)</f>
        <v>3477479</v>
      </c>
    </row>
    <row r="8" spans="1:16">
      <c r="B8" t="s">
        <v>12</v>
      </c>
      <c r="K8" s="77">
        <v>40234565</v>
      </c>
      <c r="L8" s="73">
        <v>33207131</v>
      </c>
      <c r="M8" s="73">
        <v>335100</v>
      </c>
      <c r="N8" s="101">
        <v>3818504</v>
      </c>
      <c r="O8" s="73">
        <v>8407062</v>
      </c>
      <c r="P8" s="73">
        <f>SUM(K8:O8)</f>
        <v>86002362</v>
      </c>
    </row>
    <row r="9" spans="1:16">
      <c r="B9" t="s">
        <v>233</v>
      </c>
      <c r="K9" s="73"/>
      <c r="L9" s="73"/>
      <c r="M9" s="73"/>
      <c r="N9" s="101"/>
      <c r="O9" s="73"/>
      <c r="P9" s="73"/>
    </row>
    <row r="10" spans="1:16">
      <c r="C10" t="s">
        <v>81</v>
      </c>
      <c r="K10" s="74">
        <v>3701000</v>
      </c>
      <c r="L10" s="73">
        <v>6936000</v>
      </c>
      <c r="M10" s="73">
        <v>3468000</v>
      </c>
      <c r="N10" s="101">
        <v>3036000</v>
      </c>
      <c r="O10" s="73">
        <v>7761000</v>
      </c>
      <c r="P10" s="73">
        <f t="shared" ref="P10:P18" si="0">SUM(K10:O10)</f>
        <v>24902000</v>
      </c>
    </row>
    <row r="11" spans="1:16">
      <c r="C11" t="s">
        <v>202</v>
      </c>
      <c r="K11" s="74">
        <v>1604853</v>
      </c>
      <c r="L11" s="73">
        <v>1834115</v>
      </c>
      <c r="M11" s="73"/>
      <c r="N11" s="101"/>
      <c r="O11" s="73">
        <v>229265</v>
      </c>
      <c r="P11" s="73">
        <f t="shared" si="0"/>
        <v>3668233</v>
      </c>
    </row>
    <row r="12" spans="1:16">
      <c r="C12" t="s">
        <v>313</v>
      </c>
      <c r="K12" s="74">
        <v>21919</v>
      </c>
      <c r="L12" s="73"/>
      <c r="M12" s="73">
        <v>1857</v>
      </c>
      <c r="N12" s="101"/>
      <c r="O12" s="73"/>
      <c r="P12" s="73">
        <f t="shared" si="0"/>
        <v>23776</v>
      </c>
    </row>
    <row r="13" spans="1:16">
      <c r="C13" t="s">
        <v>47</v>
      </c>
      <c r="K13" s="74">
        <v>1162159</v>
      </c>
      <c r="L13" s="73">
        <v>67242</v>
      </c>
      <c r="M13" s="73">
        <v>5479</v>
      </c>
      <c r="N13" s="101">
        <v>1819</v>
      </c>
      <c r="O13" s="73">
        <v>45583</v>
      </c>
      <c r="P13" s="73">
        <f t="shared" si="0"/>
        <v>1282282</v>
      </c>
    </row>
    <row r="14" spans="1:16">
      <c r="B14" t="s">
        <v>18</v>
      </c>
      <c r="K14" s="75">
        <v>12875</v>
      </c>
      <c r="L14" s="73">
        <v>170400</v>
      </c>
      <c r="M14" s="73"/>
      <c r="N14" s="101"/>
      <c r="O14" s="73">
        <v>17746</v>
      </c>
      <c r="P14" s="73">
        <f t="shared" si="0"/>
        <v>201021</v>
      </c>
    </row>
    <row r="15" spans="1:16">
      <c r="B15" t="s">
        <v>19</v>
      </c>
      <c r="K15" s="75">
        <v>40</v>
      </c>
      <c r="L15" s="73"/>
      <c r="M15" s="73"/>
      <c r="N15" s="101"/>
      <c r="O15" s="73"/>
      <c r="P15" s="73">
        <f t="shared" si="0"/>
        <v>40</v>
      </c>
    </row>
    <row r="16" spans="1:16">
      <c r="B16" t="s">
        <v>60</v>
      </c>
      <c r="K16" s="75">
        <v>1143430</v>
      </c>
      <c r="L16" s="73">
        <v>1281960</v>
      </c>
      <c r="M16" s="73">
        <v>1888</v>
      </c>
      <c r="N16" s="101"/>
      <c r="O16" s="73">
        <v>793149</v>
      </c>
      <c r="P16" s="73">
        <f t="shared" si="0"/>
        <v>3220427</v>
      </c>
    </row>
    <row r="17" spans="1:16">
      <c r="B17" t="s">
        <v>572</v>
      </c>
      <c r="K17" s="85">
        <v>556807</v>
      </c>
      <c r="L17" s="73">
        <v>852</v>
      </c>
      <c r="M17" s="73">
        <v>1000</v>
      </c>
      <c r="N17" s="101"/>
      <c r="O17" s="73">
        <v>1476</v>
      </c>
      <c r="P17" s="73">
        <f t="shared" si="0"/>
        <v>560135</v>
      </c>
    </row>
    <row r="18" spans="1:16">
      <c r="B18" t="s">
        <v>88</v>
      </c>
      <c r="K18" s="83">
        <v>2170</v>
      </c>
      <c r="L18" s="73">
        <v>1123</v>
      </c>
      <c r="M18" s="73">
        <v>450</v>
      </c>
      <c r="N18" s="101"/>
      <c r="O18" s="73">
        <v>600</v>
      </c>
      <c r="P18" s="73">
        <f t="shared" si="0"/>
        <v>4343</v>
      </c>
    </row>
    <row r="19" spans="1:16">
      <c r="K19" s="73"/>
      <c r="L19" s="73"/>
      <c r="M19" s="73"/>
      <c r="N19" s="73"/>
      <c r="O19" s="73"/>
      <c r="P19" s="73"/>
    </row>
    <row r="20" spans="1:16" s="3" customFormat="1">
      <c r="A20" s="2"/>
      <c r="B20" s="2"/>
      <c r="C20" s="2"/>
      <c r="D20" s="2"/>
      <c r="E20" s="2" t="s">
        <v>129</v>
      </c>
      <c r="K20" s="76">
        <f t="shared" ref="K20:P20" si="1">SUM(K7:K18)</f>
        <v>50325947</v>
      </c>
      <c r="L20" s="76">
        <f t="shared" si="1"/>
        <v>45017347</v>
      </c>
      <c r="M20" s="76">
        <f t="shared" si="1"/>
        <v>3814744</v>
      </c>
      <c r="N20" s="76">
        <f t="shared" si="1"/>
        <v>6857918</v>
      </c>
      <c r="O20" s="76">
        <f t="shared" si="1"/>
        <v>17326142</v>
      </c>
      <c r="P20" s="76">
        <f t="shared" si="1"/>
        <v>123342098</v>
      </c>
    </row>
    <row r="21" spans="1:16">
      <c r="K21" s="73"/>
      <c r="L21" s="73"/>
      <c r="M21" s="73"/>
      <c r="N21" s="73"/>
      <c r="O21" s="73"/>
      <c r="P21" s="73"/>
    </row>
    <row r="22" spans="1:16">
      <c r="A22" s="4" t="s">
        <v>21</v>
      </c>
      <c r="K22" s="73"/>
      <c r="L22" s="73"/>
      <c r="M22" s="73"/>
      <c r="N22" s="73"/>
      <c r="O22" s="73"/>
      <c r="P22" s="73"/>
    </row>
    <row r="23" spans="1:16">
      <c r="B23" t="s">
        <v>22</v>
      </c>
      <c r="K23" s="73"/>
      <c r="L23" s="73"/>
      <c r="M23" s="73"/>
      <c r="N23" s="73"/>
      <c r="O23" s="73"/>
      <c r="P23" s="73"/>
    </row>
    <row r="24" spans="1:16">
      <c r="D24" t="s">
        <v>23</v>
      </c>
      <c r="K24" s="77">
        <v>3874507</v>
      </c>
      <c r="L24" s="73">
        <v>1451174</v>
      </c>
      <c r="M24" s="73">
        <v>159534</v>
      </c>
      <c r="N24" s="73">
        <v>152</v>
      </c>
      <c r="O24" s="73">
        <v>699121</v>
      </c>
      <c r="P24" s="73">
        <f t="shared" ref="P24:P29" si="2">SUM(K24:O24)</f>
        <v>6184488</v>
      </c>
    </row>
    <row r="25" spans="1:16">
      <c r="D25" t="s">
        <v>90</v>
      </c>
      <c r="K25" s="77">
        <v>39998</v>
      </c>
      <c r="L25" s="73">
        <v>312664</v>
      </c>
      <c r="M25" s="73">
        <v>13261</v>
      </c>
      <c r="N25" s="73"/>
      <c r="O25" s="73"/>
      <c r="P25" s="73">
        <f t="shared" si="2"/>
        <v>365923</v>
      </c>
    </row>
    <row r="26" spans="1:16">
      <c r="D26" t="s">
        <v>27</v>
      </c>
      <c r="K26" s="78">
        <v>52621</v>
      </c>
      <c r="L26" s="73">
        <v>4669</v>
      </c>
      <c r="M26" s="73">
        <v>654</v>
      </c>
      <c r="N26" s="73"/>
      <c r="O26" s="73">
        <v>178821</v>
      </c>
      <c r="P26" s="73">
        <f t="shared" si="2"/>
        <v>236765</v>
      </c>
    </row>
    <row r="27" spans="1:16">
      <c r="D27" t="s">
        <v>185</v>
      </c>
      <c r="K27" s="73"/>
      <c r="L27" s="73"/>
      <c r="M27" s="73"/>
      <c r="N27" s="73"/>
      <c r="O27" s="73">
        <v>85495</v>
      </c>
      <c r="P27" s="73">
        <f t="shared" si="2"/>
        <v>85495</v>
      </c>
    </row>
    <row r="28" spans="1:16">
      <c r="D28" t="s">
        <v>95</v>
      </c>
      <c r="K28" s="78">
        <v>97331</v>
      </c>
      <c r="L28" s="73">
        <v>93392</v>
      </c>
      <c r="M28" s="73"/>
      <c r="N28" s="73"/>
      <c r="O28" s="73">
        <v>179323</v>
      </c>
      <c r="P28" s="73">
        <f t="shared" si="2"/>
        <v>370046</v>
      </c>
    </row>
    <row r="29" spans="1:16">
      <c r="D29" t="s">
        <v>117</v>
      </c>
      <c r="K29" s="83">
        <v>852690</v>
      </c>
      <c r="L29" s="73">
        <v>251766</v>
      </c>
      <c r="M29" s="73">
        <v>50295</v>
      </c>
      <c r="N29" s="73"/>
      <c r="O29" s="73">
        <v>70141</v>
      </c>
      <c r="P29" s="73">
        <f t="shared" si="2"/>
        <v>1224892</v>
      </c>
    </row>
    <row r="30" spans="1:16">
      <c r="K30" s="73"/>
      <c r="L30" s="73"/>
      <c r="M30" s="73"/>
      <c r="N30" s="73"/>
      <c r="O30" s="73"/>
      <c r="P30" s="73"/>
    </row>
    <row r="31" spans="1:16" s="5" customFormat="1">
      <c r="B31" s="6"/>
      <c r="C31" s="6"/>
      <c r="D31" s="6"/>
      <c r="E31" s="6" t="s">
        <v>28</v>
      </c>
      <c r="K31" s="79">
        <f>SUM(K24:K29)</f>
        <v>4917147</v>
      </c>
      <c r="L31" s="79">
        <f>SUM(L24:L29)</f>
        <v>2113665</v>
      </c>
      <c r="M31" s="79">
        <f t="shared" ref="M31:N31" si="3">SUM(M24:M29)</f>
        <v>223744</v>
      </c>
      <c r="N31" s="79">
        <f t="shared" si="3"/>
        <v>152</v>
      </c>
      <c r="O31" s="79">
        <f>SUM(O24:O29)</f>
        <v>1212901</v>
      </c>
      <c r="P31" s="79">
        <f>SUM(P24:P29)</f>
        <v>8467609</v>
      </c>
    </row>
    <row r="32" spans="1:16">
      <c r="K32" s="73"/>
      <c r="L32" s="73"/>
      <c r="M32" s="73"/>
      <c r="N32" s="73"/>
      <c r="O32" s="73"/>
      <c r="P32" s="73"/>
    </row>
    <row r="33" spans="1:16">
      <c r="A33" s="71" t="s">
        <v>29</v>
      </c>
      <c r="K33" s="73"/>
      <c r="L33" s="73"/>
      <c r="M33" s="73"/>
      <c r="N33" s="73"/>
      <c r="O33" s="73"/>
      <c r="P33" s="73"/>
    </row>
    <row r="34" spans="1:16">
      <c r="D34" t="s">
        <v>460</v>
      </c>
      <c r="K34" s="73">
        <v>3857754</v>
      </c>
      <c r="L34" s="73">
        <v>6981699</v>
      </c>
      <c r="M34" s="73">
        <v>3468000</v>
      </c>
      <c r="N34" s="73">
        <v>3036000</v>
      </c>
      <c r="O34" s="73">
        <v>7767764</v>
      </c>
      <c r="P34" s="73">
        <f>SUM(K34:O34)</f>
        <v>25111217</v>
      </c>
    </row>
    <row r="35" spans="1:16">
      <c r="K35" s="73"/>
      <c r="L35" s="73"/>
      <c r="M35" s="73"/>
      <c r="N35" s="73"/>
      <c r="O35" s="73"/>
      <c r="P35" s="73"/>
    </row>
    <row r="36" spans="1:16" s="5" customFormat="1">
      <c r="B36" s="6"/>
      <c r="C36" s="6"/>
      <c r="D36" s="6"/>
      <c r="E36" s="6" t="s">
        <v>170</v>
      </c>
      <c r="K36" s="79">
        <f>SUM(K34)</f>
        <v>3857754</v>
      </c>
      <c r="L36" s="79">
        <f t="shared" ref="L36:P36" si="4">SUM(L34)</f>
        <v>6981699</v>
      </c>
      <c r="M36" s="79">
        <f t="shared" si="4"/>
        <v>3468000</v>
      </c>
      <c r="N36" s="79">
        <f t="shared" si="4"/>
        <v>3036000</v>
      </c>
      <c r="O36" s="79">
        <f t="shared" si="4"/>
        <v>7767764</v>
      </c>
      <c r="P36" s="79">
        <f t="shared" si="4"/>
        <v>25111217</v>
      </c>
    </row>
    <row r="37" spans="1:16">
      <c r="K37" s="73"/>
      <c r="L37" s="73"/>
      <c r="M37" s="73"/>
      <c r="N37" s="73"/>
      <c r="O37" s="73"/>
      <c r="P37" s="73"/>
    </row>
    <row r="38" spans="1:16">
      <c r="B38" t="s">
        <v>100</v>
      </c>
      <c r="K38" s="73"/>
      <c r="L38" s="73"/>
      <c r="M38" s="73"/>
      <c r="N38" s="73"/>
      <c r="O38" s="73"/>
      <c r="P38" s="73"/>
    </row>
    <row r="39" spans="1:16">
      <c r="C39" t="s">
        <v>573</v>
      </c>
      <c r="K39" s="80">
        <v>556807</v>
      </c>
      <c r="L39" s="73">
        <v>852</v>
      </c>
      <c r="M39" s="73">
        <v>1000</v>
      </c>
      <c r="N39" s="73"/>
      <c r="O39" s="73">
        <v>1476</v>
      </c>
      <c r="P39" s="73">
        <f>SUM(K39:O39)</f>
        <v>560135</v>
      </c>
    </row>
    <row r="40" spans="1:16">
      <c r="C40" t="s">
        <v>118</v>
      </c>
      <c r="K40" s="80">
        <v>373827</v>
      </c>
      <c r="L40" s="73">
        <v>32059049</v>
      </c>
      <c r="M40" s="73"/>
      <c r="N40" s="73">
        <v>3821766</v>
      </c>
      <c r="O40" s="73">
        <v>6849828</v>
      </c>
      <c r="P40" s="73">
        <f>SUM(K40:O40)</f>
        <v>43104470</v>
      </c>
    </row>
    <row r="41" spans="1:16">
      <c r="C41" t="s">
        <v>574</v>
      </c>
      <c r="K41" s="80">
        <v>11017325</v>
      </c>
      <c r="L41" s="73">
        <v>3862082</v>
      </c>
      <c r="M41" s="73">
        <v>122000</v>
      </c>
      <c r="N41" s="73"/>
      <c r="O41" s="73">
        <v>1459907</v>
      </c>
      <c r="P41" s="73">
        <f>SUM(K41:O41)</f>
        <v>16461314</v>
      </c>
    </row>
    <row r="42" spans="1:16">
      <c r="C42" t="s">
        <v>119</v>
      </c>
      <c r="K42" s="82">
        <v>21550766</v>
      </c>
      <c r="L42" s="73"/>
      <c r="M42" s="73"/>
      <c r="N42" s="73"/>
      <c r="O42" s="73">
        <v>35742</v>
      </c>
      <c r="P42" s="73">
        <f>SUM(K42:O42)</f>
        <v>21586508</v>
      </c>
    </row>
    <row r="43" spans="1:16">
      <c r="C43" t="s">
        <v>48</v>
      </c>
      <c r="K43" s="86">
        <v>8052321</v>
      </c>
      <c r="L43" s="73"/>
      <c r="M43" s="73"/>
      <c r="N43" s="73"/>
      <c r="O43" s="73">
        <v>-1476</v>
      </c>
      <c r="P43" s="73">
        <f>SUM(K43:O43)</f>
        <v>8050845</v>
      </c>
    </row>
    <row r="44" spans="1:16">
      <c r="K44" s="73"/>
      <c r="L44" s="73"/>
      <c r="M44" s="73"/>
      <c r="N44" s="73"/>
      <c r="O44" s="73"/>
      <c r="P44" s="73"/>
    </row>
    <row r="45" spans="1:16" s="5" customFormat="1">
      <c r="D45" s="6"/>
      <c r="E45" s="6" t="s">
        <v>49</v>
      </c>
      <c r="K45" s="79">
        <f>SUM(K39:K43)</f>
        <v>41551046</v>
      </c>
      <c r="L45" s="79">
        <f>SUM(L39:L43)</f>
        <v>35921983</v>
      </c>
      <c r="M45" s="79">
        <f>SUM(M39:M43)</f>
        <v>123000</v>
      </c>
      <c r="N45" s="79">
        <f>SUM(N40:N43)</f>
        <v>3821766</v>
      </c>
      <c r="O45" s="79">
        <f>SUM(O39:O43)</f>
        <v>8345477</v>
      </c>
      <c r="P45" s="79">
        <f>SUM(P39:P43)</f>
        <v>89763272</v>
      </c>
    </row>
    <row r="46" spans="1:16">
      <c r="K46" s="73"/>
      <c r="L46" s="73"/>
      <c r="M46" s="73"/>
      <c r="N46" s="73"/>
      <c r="O46" s="73"/>
      <c r="P46" s="73"/>
    </row>
    <row r="47" spans="1:16" s="7" customFormat="1">
      <c r="D47" s="8"/>
      <c r="E47" s="8" t="s">
        <v>50</v>
      </c>
      <c r="K47" s="81">
        <f>SUM(K45,K31,K36)</f>
        <v>50325947</v>
      </c>
      <c r="L47" s="81">
        <f t="shared" ref="L47:P47" si="5">SUM(L45,L31,L36)</f>
        <v>45017347</v>
      </c>
      <c r="M47" s="81">
        <f t="shared" si="5"/>
        <v>3814744</v>
      </c>
      <c r="N47" s="81">
        <f t="shared" si="5"/>
        <v>6857918</v>
      </c>
      <c r="O47" s="81">
        <f t="shared" si="5"/>
        <v>17326142</v>
      </c>
      <c r="P47" s="81">
        <f t="shared" si="5"/>
        <v>123342098</v>
      </c>
    </row>
  </sheetData>
  <mergeCells count="2">
    <mergeCell ref="D1:K1"/>
    <mergeCell ref="D2:K2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R28"/>
  <sheetViews>
    <sheetView workbookViewId="0">
      <selection activeCell="R28" sqref="R28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6.42578125" customWidth="1"/>
    <col min="13" max="13" width="15.28515625" customWidth="1"/>
    <col min="14" max="14" width="17.5703125" customWidth="1"/>
    <col min="15" max="16" width="19" customWidth="1"/>
    <col min="17" max="17" width="18.5703125" customWidth="1"/>
    <col min="18" max="18" width="17.7109375" customWidth="1"/>
  </cols>
  <sheetData>
    <row r="1" spans="1:18" ht="18.75">
      <c r="D1" s="125" t="s">
        <v>575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8" ht="45">
      <c r="K4" s="1" t="s">
        <v>52</v>
      </c>
      <c r="L4" s="1" t="s">
        <v>576</v>
      </c>
      <c r="M4" s="1" t="s">
        <v>53</v>
      </c>
      <c r="N4" s="1" t="s">
        <v>577</v>
      </c>
      <c r="O4" s="1" t="s">
        <v>578</v>
      </c>
      <c r="P4" s="1" t="s">
        <v>579</v>
      </c>
      <c r="Q4" s="1" t="s">
        <v>8</v>
      </c>
      <c r="R4" s="1" t="s">
        <v>9</v>
      </c>
    </row>
    <row r="5" spans="1:18">
      <c r="A5" t="s">
        <v>10</v>
      </c>
    </row>
    <row r="6" spans="1:18">
      <c r="B6" t="s">
        <v>153</v>
      </c>
      <c r="K6" s="72">
        <v>572576</v>
      </c>
      <c r="L6" s="73">
        <v>2615496</v>
      </c>
      <c r="M6" s="73">
        <v>1074056</v>
      </c>
      <c r="N6" s="73">
        <v>67853</v>
      </c>
      <c r="O6" s="73">
        <v>6121</v>
      </c>
      <c r="P6" s="73">
        <v>141712</v>
      </c>
      <c r="Q6" s="73">
        <v>1552353</v>
      </c>
      <c r="R6" s="73">
        <f t="shared" ref="R6:R10" si="0">SUM(K6:Q6)</f>
        <v>6030167</v>
      </c>
    </row>
    <row r="7" spans="1:18">
      <c r="B7" t="s">
        <v>12</v>
      </c>
      <c r="K7" s="73"/>
      <c r="L7" s="73"/>
      <c r="M7" s="73">
        <v>425323</v>
      </c>
      <c r="N7" s="73"/>
      <c r="O7" s="73"/>
      <c r="P7" s="73"/>
      <c r="Q7" s="73">
        <v>555285</v>
      </c>
      <c r="R7" s="73">
        <f t="shared" ref="R7:R9" si="1">SUM(K7:Q7)</f>
        <v>980608</v>
      </c>
    </row>
    <row r="8" spans="1:18">
      <c r="B8" t="s">
        <v>233</v>
      </c>
      <c r="K8" s="74">
        <v>362286</v>
      </c>
      <c r="L8" s="73">
        <v>535437</v>
      </c>
      <c r="M8" s="73">
        <v>59309</v>
      </c>
      <c r="N8" s="73">
        <v>34948</v>
      </c>
      <c r="O8" s="73">
        <v>52698</v>
      </c>
      <c r="P8" s="73">
        <v>9020</v>
      </c>
      <c r="Q8" s="73">
        <v>1164540</v>
      </c>
      <c r="R8" s="73">
        <f t="shared" si="1"/>
        <v>2218238</v>
      </c>
    </row>
    <row r="9" spans="1:18">
      <c r="B9" t="s">
        <v>18</v>
      </c>
      <c r="K9" s="75">
        <v>224619</v>
      </c>
      <c r="L9" s="73"/>
      <c r="M9" s="73"/>
      <c r="N9" s="73"/>
      <c r="O9" s="73"/>
      <c r="P9" s="73"/>
      <c r="Q9" s="73">
        <v>174716</v>
      </c>
      <c r="R9" s="73">
        <f t="shared" si="1"/>
        <v>399335</v>
      </c>
    </row>
    <row r="10" spans="1:18">
      <c r="B10" t="s">
        <v>164</v>
      </c>
      <c r="K10" s="73"/>
      <c r="L10" s="73"/>
      <c r="M10" s="73"/>
      <c r="N10" s="73"/>
      <c r="O10" s="73"/>
      <c r="P10" s="73"/>
      <c r="Q10" s="73">
        <v>420892</v>
      </c>
      <c r="R10" s="73">
        <f t="shared" si="0"/>
        <v>420892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 s="3" customFormat="1">
      <c r="A12" s="2"/>
      <c r="B12" s="2"/>
      <c r="C12" s="2"/>
      <c r="D12" s="2"/>
      <c r="E12" s="2" t="s">
        <v>20</v>
      </c>
      <c r="K12" s="76">
        <f t="shared" ref="K12:P12" si="2">SUM(K6:K10)</f>
        <v>1159481</v>
      </c>
      <c r="L12" s="76">
        <f t="shared" si="2"/>
        <v>3150933</v>
      </c>
      <c r="M12" s="76">
        <f t="shared" si="2"/>
        <v>1558688</v>
      </c>
      <c r="N12" s="76">
        <f t="shared" si="2"/>
        <v>102801</v>
      </c>
      <c r="O12" s="76">
        <f t="shared" si="2"/>
        <v>58819</v>
      </c>
      <c r="P12" s="76">
        <f t="shared" si="2"/>
        <v>150732</v>
      </c>
      <c r="Q12" s="76">
        <f>SUM(Q6:Q11)</f>
        <v>3867786</v>
      </c>
      <c r="R12" s="76">
        <f>SUM(R6:R10)</f>
        <v>10049240</v>
      </c>
    </row>
    <row r="13" spans="1:18">
      <c r="K13" s="73"/>
      <c r="L13" s="73"/>
      <c r="M13" s="73"/>
      <c r="N13" s="73"/>
      <c r="O13" s="73"/>
      <c r="P13" s="73"/>
      <c r="Q13" s="73"/>
      <c r="R13" s="73"/>
    </row>
    <row r="14" spans="1:18">
      <c r="A14" s="4" t="s">
        <v>21</v>
      </c>
      <c r="K14" s="73"/>
      <c r="L14" s="73"/>
      <c r="M14" s="73"/>
      <c r="N14" s="73"/>
      <c r="O14" s="73"/>
      <c r="P14" s="73"/>
      <c r="Q14" s="73"/>
      <c r="R14" s="73"/>
    </row>
    <row r="15" spans="1:18">
      <c r="B15" t="s">
        <v>22</v>
      </c>
      <c r="K15" s="73"/>
      <c r="L15" s="73"/>
      <c r="M15" s="73"/>
      <c r="N15" s="73"/>
      <c r="O15" s="73"/>
      <c r="P15" s="73"/>
      <c r="Q15" s="73"/>
      <c r="R15" s="73"/>
    </row>
    <row r="16" spans="1:18">
      <c r="C16" t="s">
        <v>23</v>
      </c>
      <c r="K16" s="77">
        <v>89242</v>
      </c>
      <c r="L16" s="73">
        <v>101578</v>
      </c>
      <c r="M16" s="73">
        <v>5253</v>
      </c>
      <c r="N16" s="73">
        <v>767</v>
      </c>
      <c r="O16" s="73">
        <v>123513</v>
      </c>
      <c r="P16" s="73">
        <v>12026</v>
      </c>
      <c r="Q16" s="73">
        <v>74899</v>
      </c>
      <c r="R16" s="73">
        <f t="shared" ref="R16:R18" si="3">SUM(K16:Q16)</f>
        <v>407278</v>
      </c>
    </row>
    <row r="17" spans="2:18">
      <c r="C17" t="s">
        <v>580</v>
      </c>
      <c r="K17" s="83">
        <v>3751</v>
      </c>
      <c r="L17" s="73">
        <v>15962</v>
      </c>
      <c r="M17" s="73"/>
      <c r="N17" s="73"/>
      <c r="O17" s="73"/>
      <c r="P17" s="73"/>
      <c r="Q17" s="73">
        <v>40525</v>
      </c>
      <c r="R17" s="73">
        <f t="shared" si="3"/>
        <v>60238</v>
      </c>
    </row>
    <row r="18" spans="2:18">
      <c r="C18" t="s">
        <v>27</v>
      </c>
      <c r="K18" s="73"/>
      <c r="L18" s="73"/>
      <c r="M18" s="73"/>
      <c r="N18" s="73">
        <v>122139</v>
      </c>
      <c r="O18" s="73">
        <v>14706</v>
      </c>
      <c r="P18" s="73">
        <v>162492</v>
      </c>
      <c r="Q18" s="73">
        <v>99998</v>
      </c>
      <c r="R18" s="73">
        <f t="shared" si="3"/>
        <v>399335</v>
      </c>
    </row>
    <row r="19" spans="2:18">
      <c r="K19" s="73"/>
      <c r="L19" s="73"/>
      <c r="M19" s="73"/>
      <c r="N19" s="73"/>
      <c r="O19" s="73"/>
      <c r="P19" s="73"/>
      <c r="Q19" s="73"/>
      <c r="R19" s="73"/>
    </row>
    <row r="20" spans="2:18" s="5" customFormat="1">
      <c r="B20" s="6"/>
      <c r="C20" s="6"/>
      <c r="D20" s="6"/>
      <c r="E20" s="6" t="s">
        <v>28</v>
      </c>
      <c r="K20" s="79">
        <f t="shared" ref="K20:R20" si="4">SUM(K16:K18)</f>
        <v>92993</v>
      </c>
      <c r="L20" s="79">
        <f t="shared" si="4"/>
        <v>117540</v>
      </c>
      <c r="M20" s="79">
        <f t="shared" si="4"/>
        <v>5253</v>
      </c>
      <c r="N20" s="79">
        <f t="shared" si="4"/>
        <v>122906</v>
      </c>
      <c r="O20" s="79">
        <f t="shared" si="4"/>
        <v>138219</v>
      </c>
      <c r="P20" s="79">
        <f t="shared" si="4"/>
        <v>174518</v>
      </c>
      <c r="Q20" s="79">
        <f t="shared" si="4"/>
        <v>215422</v>
      </c>
      <c r="R20" s="79">
        <f t="shared" si="4"/>
        <v>866851</v>
      </c>
    </row>
    <row r="21" spans="2:18">
      <c r="K21" s="73"/>
      <c r="L21" s="73"/>
      <c r="M21" s="73"/>
      <c r="N21" s="73"/>
      <c r="O21" s="73"/>
      <c r="P21" s="73"/>
      <c r="Q21" s="73"/>
      <c r="R21" s="73"/>
    </row>
    <row r="22" spans="2:18">
      <c r="B22" t="s">
        <v>100</v>
      </c>
      <c r="K22" s="73"/>
      <c r="L22" s="73"/>
      <c r="M22" s="73"/>
      <c r="N22" s="73"/>
      <c r="O22" s="73"/>
      <c r="P22" s="73"/>
      <c r="Q22" s="73"/>
      <c r="R22" s="73"/>
    </row>
    <row r="23" spans="2:18">
      <c r="C23" t="s">
        <v>118</v>
      </c>
      <c r="K23" s="73"/>
      <c r="L23" s="73">
        <v>3033393</v>
      </c>
      <c r="M23" s="73">
        <v>1553435</v>
      </c>
      <c r="N23" s="73"/>
      <c r="O23" s="73"/>
      <c r="P23" s="73"/>
      <c r="Q23" s="73">
        <v>3769731</v>
      </c>
      <c r="R23" s="73">
        <f t="shared" ref="R23:R24" si="5">SUM(K23:Q23)</f>
        <v>8356559</v>
      </c>
    </row>
    <row r="24" spans="2:18">
      <c r="C24" t="s">
        <v>48</v>
      </c>
      <c r="K24" s="86">
        <v>1066488</v>
      </c>
      <c r="L24" s="73"/>
      <c r="M24" s="73"/>
      <c r="N24" s="73">
        <v>-20105</v>
      </c>
      <c r="O24" s="73">
        <v>-79400</v>
      </c>
      <c r="P24" s="73">
        <v>-23786</v>
      </c>
      <c r="Q24" s="73">
        <v>-117367</v>
      </c>
      <c r="R24" s="73">
        <f t="shared" si="5"/>
        <v>825830</v>
      </c>
    </row>
    <row r="25" spans="2:18">
      <c r="K25" s="73"/>
      <c r="L25" s="73"/>
      <c r="M25" s="73"/>
      <c r="N25" s="73"/>
      <c r="O25" s="73"/>
      <c r="P25" s="73"/>
      <c r="Q25" s="73"/>
      <c r="R25" s="73"/>
    </row>
    <row r="26" spans="2:18" s="5" customFormat="1">
      <c r="D26" s="6"/>
      <c r="E26" s="6" t="s">
        <v>49</v>
      </c>
      <c r="K26" s="79">
        <f t="shared" ref="K26:R26" si="6">SUM(K23:K24)</f>
        <v>1066488</v>
      </c>
      <c r="L26" s="79">
        <f t="shared" si="6"/>
        <v>3033393</v>
      </c>
      <c r="M26" s="79">
        <f t="shared" si="6"/>
        <v>1553435</v>
      </c>
      <c r="N26" s="79">
        <f t="shared" si="6"/>
        <v>-20105</v>
      </c>
      <c r="O26" s="79">
        <f t="shared" si="6"/>
        <v>-79400</v>
      </c>
      <c r="P26" s="79">
        <f t="shared" si="6"/>
        <v>-23786</v>
      </c>
      <c r="Q26" s="79">
        <f t="shared" si="6"/>
        <v>3652364</v>
      </c>
      <c r="R26" s="79">
        <f t="shared" si="6"/>
        <v>9182389</v>
      </c>
    </row>
    <row r="27" spans="2:18">
      <c r="K27" s="73"/>
      <c r="L27" s="73"/>
      <c r="M27" s="73"/>
      <c r="N27" s="73"/>
      <c r="O27" s="73"/>
      <c r="P27" s="73"/>
      <c r="Q27" s="73"/>
      <c r="R27" s="73"/>
    </row>
    <row r="28" spans="2:18" s="7" customFormat="1">
      <c r="D28" s="8"/>
      <c r="E28" s="8" t="s">
        <v>50</v>
      </c>
      <c r="K28" s="81">
        <f>SUM(K26,K20)</f>
        <v>1159481</v>
      </c>
      <c r="L28" s="81">
        <f>SUM(L20,L26)</f>
        <v>3150933</v>
      </c>
      <c r="M28" s="81">
        <f>SUM(M20,M26)</f>
        <v>1558688</v>
      </c>
      <c r="N28" s="81">
        <f>SUM(N20,N26)</f>
        <v>102801</v>
      </c>
      <c r="O28" s="81">
        <f>SUM(O20+O26)</f>
        <v>58819</v>
      </c>
      <c r="P28" s="81">
        <f>SUM(P20+P26)</f>
        <v>150732</v>
      </c>
      <c r="Q28" s="81">
        <f>SUM(Q20,Q26)</f>
        <v>3867786</v>
      </c>
      <c r="R28" s="81">
        <f>SUM(R20,R26)</f>
        <v>10049240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47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5" width="19.42578125" customWidth="1"/>
    <col min="16" max="16" width="18.42578125" customWidth="1"/>
    <col min="17" max="17" width="18" customWidth="1"/>
    <col min="18" max="18" width="18.28515625" customWidth="1"/>
  </cols>
  <sheetData>
    <row r="1" spans="1:17" ht="18.75">
      <c r="D1" s="125" t="s">
        <v>581</v>
      </c>
      <c r="E1" s="125"/>
      <c r="F1" s="125"/>
      <c r="G1" s="125"/>
      <c r="H1" s="125"/>
      <c r="I1" s="125"/>
      <c r="J1" s="125"/>
      <c r="K1" s="125"/>
    </row>
    <row r="2" spans="1:17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7" ht="29.25" customHeight="1">
      <c r="D3" s="57"/>
      <c r="E3" s="57"/>
      <c r="F3" s="57"/>
      <c r="G3" s="57"/>
      <c r="H3" s="57"/>
      <c r="I3" s="57"/>
      <c r="J3" s="57"/>
      <c r="K3" s="126"/>
      <c r="L3" s="126"/>
      <c r="M3" s="126"/>
      <c r="N3" s="126"/>
      <c r="O3" s="57"/>
    </row>
    <row r="4" spans="1:17" ht="15" customHeight="1">
      <c r="K4" s="100"/>
      <c r="L4" s="100"/>
      <c r="M4" s="100"/>
      <c r="N4" s="100"/>
      <c r="O4" s="100"/>
    </row>
    <row r="5" spans="1:17" ht="60">
      <c r="K5" s="1" t="s">
        <v>2</v>
      </c>
      <c r="L5" s="1" t="s">
        <v>582</v>
      </c>
      <c r="M5" s="1" t="s">
        <v>583</v>
      </c>
      <c r="N5" s="1" t="s">
        <v>584</v>
      </c>
      <c r="O5" s="1" t="s">
        <v>585</v>
      </c>
      <c r="P5" s="1" t="s">
        <v>8</v>
      </c>
      <c r="Q5" s="1" t="s">
        <v>586</v>
      </c>
    </row>
    <row r="6" spans="1:17">
      <c r="A6" t="s">
        <v>10</v>
      </c>
    </row>
    <row r="7" spans="1:17">
      <c r="B7" t="s">
        <v>163</v>
      </c>
      <c r="K7" s="72">
        <v>4427207</v>
      </c>
      <c r="L7" s="73">
        <v>16964</v>
      </c>
      <c r="M7" s="73">
        <v>2217465</v>
      </c>
      <c r="N7" s="73">
        <v>10222</v>
      </c>
      <c r="O7" s="73">
        <v>1123344</v>
      </c>
      <c r="P7" s="73">
        <v>12364115</v>
      </c>
      <c r="Q7" s="73">
        <f>SUM(K7:P7)</f>
        <v>20159317</v>
      </c>
    </row>
    <row r="8" spans="1:17">
      <c r="B8" t="s">
        <v>12</v>
      </c>
      <c r="K8" s="77">
        <v>132105</v>
      </c>
      <c r="L8" s="73"/>
      <c r="M8" s="73">
        <v>1121034</v>
      </c>
      <c r="N8" s="73"/>
      <c r="O8" s="73"/>
      <c r="P8" s="73">
        <v>8664579</v>
      </c>
      <c r="Q8" s="73">
        <f>SUM(K8:P8)</f>
        <v>9917718</v>
      </c>
    </row>
    <row r="9" spans="1:17">
      <c r="B9" t="s">
        <v>514</v>
      </c>
      <c r="K9" s="74">
        <v>4627510</v>
      </c>
      <c r="L9" s="73"/>
      <c r="M9" s="73">
        <v>2724967</v>
      </c>
      <c r="N9" s="73">
        <v>490221</v>
      </c>
      <c r="O9" s="73"/>
      <c r="P9" s="73">
        <v>12082573</v>
      </c>
      <c r="Q9" s="73">
        <f>SUM(K9:P9)</f>
        <v>19925271</v>
      </c>
    </row>
    <row r="10" spans="1:17">
      <c r="B10" t="s">
        <v>18</v>
      </c>
      <c r="K10" s="75">
        <v>671240</v>
      </c>
      <c r="L10" s="73">
        <v>500</v>
      </c>
      <c r="M10" s="73">
        <v>604976</v>
      </c>
      <c r="N10" s="73">
        <v>0</v>
      </c>
      <c r="O10" s="73"/>
      <c r="P10" s="73">
        <v>48763</v>
      </c>
      <c r="Q10" s="73">
        <f>SUM(K10:P10)</f>
        <v>1325479</v>
      </c>
    </row>
    <row r="11" spans="1:17">
      <c r="B11" t="s">
        <v>453</v>
      </c>
      <c r="K11" s="87">
        <v>35049</v>
      </c>
      <c r="L11" s="73"/>
      <c r="M11" s="73"/>
      <c r="N11" s="73"/>
      <c r="O11" s="73"/>
      <c r="P11" s="73"/>
      <c r="Q11" s="73">
        <f>SUM(K11:P11)</f>
        <v>35049</v>
      </c>
    </row>
    <row r="12" spans="1:17">
      <c r="K12" s="73"/>
      <c r="L12" s="73"/>
      <c r="M12" s="73"/>
      <c r="N12" s="73"/>
      <c r="O12" s="73"/>
      <c r="P12" s="73"/>
      <c r="Q12" s="73"/>
    </row>
    <row r="13" spans="1:17" s="3" customFormat="1">
      <c r="A13" s="2"/>
      <c r="B13" s="2"/>
      <c r="C13" s="2"/>
      <c r="D13" s="2"/>
      <c r="E13" s="2" t="s">
        <v>129</v>
      </c>
      <c r="K13" s="76">
        <f>SUM(K7:K11)</f>
        <v>9893111</v>
      </c>
      <c r="L13" s="76">
        <f>SUM(L7:L10)</f>
        <v>17464</v>
      </c>
      <c r="M13" s="76">
        <f>SUM(M7:M10)</f>
        <v>6668442</v>
      </c>
      <c r="N13" s="76">
        <f>SUM(N7:N10)</f>
        <v>500443</v>
      </c>
      <c r="O13" s="76">
        <f>SUM(O7:O10)</f>
        <v>1123344</v>
      </c>
      <c r="P13" s="76">
        <f>SUM(P7:P10)</f>
        <v>33160030</v>
      </c>
      <c r="Q13" s="76">
        <f>SUM(Q7:Q11)</f>
        <v>51362834</v>
      </c>
    </row>
    <row r="14" spans="1:17">
      <c r="K14" s="73"/>
      <c r="L14" s="73"/>
      <c r="M14" s="73"/>
      <c r="N14" s="73"/>
      <c r="O14" s="73"/>
      <c r="P14" s="73"/>
      <c r="Q14" s="73"/>
    </row>
    <row r="15" spans="1:17">
      <c r="A15" s="4" t="s">
        <v>21</v>
      </c>
      <c r="K15" s="73"/>
      <c r="L15" s="73"/>
      <c r="M15" s="73"/>
      <c r="N15" s="73"/>
      <c r="O15" s="73"/>
      <c r="P15" s="73"/>
      <c r="Q15" s="73"/>
    </row>
    <row r="16" spans="1:17">
      <c r="B16" t="s">
        <v>22</v>
      </c>
      <c r="K16" s="73"/>
      <c r="L16" s="73"/>
      <c r="M16" s="73"/>
      <c r="N16" s="73"/>
      <c r="O16" s="73"/>
      <c r="P16" s="73"/>
      <c r="Q16" s="73"/>
    </row>
    <row r="17" spans="2:17">
      <c r="C17" t="s">
        <v>23</v>
      </c>
      <c r="K17" s="77">
        <v>1103652</v>
      </c>
      <c r="L17" s="73">
        <v>4732</v>
      </c>
      <c r="M17" s="73">
        <v>212243</v>
      </c>
      <c r="N17" s="73">
        <v>31182</v>
      </c>
      <c r="O17" s="73">
        <v>811197</v>
      </c>
      <c r="P17" s="73">
        <v>1085702</v>
      </c>
      <c r="Q17" s="73">
        <f>SUM(K17:P17)</f>
        <v>3248708</v>
      </c>
    </row>
    <row r="18" spans="2:17">
      <c r="C18" t="s">
        <v>587</v>
      </c>
      <c r="K18" s="77">
        <v>151989</v>
      </c>
      <c r="L18" s="73"/>
      <c r="M18" s="73">
        <v>43308</v>
      </c>
      <c r="N18" s="73"/>
      <c r="O18" s="73"/>
      <c r="P18" s="73">
        <v>298328</v>
      </c>
      <c r="Q18" s="73">
        <f>SUM(K18:P18)</f>
        <v>493625</v>
      </c>
    </row>
    <row r="19" spans="2:17">
      <c r="C19" t="s">
        <v>27</v>
      </c>
      <c r="K19" s="78">
        <v>4684</v>
      </c>
      <c r="L19" s="73"/>
      <c r="M19" s="73"/>
      <c r="N19" s="73">
        <v>506377</v>
      </c>
      <c r="O19" s="73"/>
      <c r="P19" s="73">
        <v>770431</v>
      </c>
      <c r="Q19" s="73">
        <f>SUM(K19:P19)</f>
        <v>1281492</v>
      </c>
    </row>
    <row r="20" spans="2:17">
      <c r="C20" t="s">
        <v>117</v>
      </c>
      <c r="K20" s="73"/>
      <c r="L20" s="73"/>
      <c r="M20" s="73"/>
      <c r="N20" s="73"/>
      <c r="O20" s="73"/>
      <c r="P20" s="73">
        <v>59973</v>
      </c>
      <c r="Q20" s="73">
        <f>SUM(K20:P20)</f>
        <v>59973</v>
      </c>
    </row>
    <row r="21" spans="2:17">
      <c r="K21" s="73"/>
      <c r="L21" s="73"/>
      <c r="M21" s="73"/>
      <c r="N21" s="73"/>
      <c r="O21" s="73"/>
      <c r="P21" s="73"/>
      <c r="Q21" s="73"/>
    </row>
    <row r="22" spans="2:17" s="5" customFormat="1">
      <c r="B22" s="6"/>
      <c r="C22" s="6"/>
      <c r="D22" s="6"/>
      <c r="E22" s="6" t="s">
        <v>28</v>
      </c>
      <c r="K22" s="79">
        <f t="shared" ref="K22:Q22" si="0">SUM(K17:K20)</f>
        <v>1260325</v>
      </c>
      <c r="L22" s="79">
        <f t="shared" si="0"/>
        <v>4732</v>
      </c>
      <c r="M22" s="79">
        <f t="shared" si="0"/>
        <v>255551</v>
      </c>
      <c r="N22" s="79">
        <f t="shared" si="0"/>
        <v>537559</v>
      </c>
      <c r="O22" s="79">
        <f t="shared" si="0"/>
        <v>811197</v>
      </c>
      <c r="P22" s="79">
        <f t="shared" si="0"/>
        <v>2214434</v>
      </c>
      <c r="Q22" s="79">
        <f t="shared" si="0"/>
        <v>5083798</v>
      </c>
    </row>
    <row r="23" spans="2:17">
      <c r="K23" s="73"/>
      <c r="L23" s="73"/>
      <c r="M23" s="73"/>
      <c r="N23" s="73"/>
      <c r="O23" s="73"/>
      <c r="P23" s="73"/>
      <c r="Q23" s="73"/>
    </row>
    <row r="24" spans="2:17">
      <c r="B24" t="s">
        <v>100</v>
      </c>
      <c r="K24" s="73"/>
      <c r="L24" s="73"/>
      <c r="M24" s="73"/>
      <c r="N24" s="73"/>
      <c r="O24" s="73"/>
      <c r="P24" s="73"/>
      <c r="Q24" s="73"/>
    </row>
    <row r="25" spans="2:17">
      <c r="C25" t="s">
        <v>588</v>
      </c>
      <c r="K25" s="80">
        <v>35049</v>
      </c>
      <c r="L25" s="73"/>
      <c r="M25" s="73"/>
      <c r="N25" s="73"/>
      <c r="O25" s="73"/>
      <c r="P25" s="73"/>
      <c r="Q25" s="73">
        <f>SUM(K25:P25)</f>
        <v>35049</v>
      </c>
    </row>
    <row r="26" spans="2:17">
      <c r="C26" t="s">
        <v>589</v>
      </c>
      <c r="K26" s="73"/>
      <c r="L26" s="73"/>
      <c r="M26" s="73"/>
      <c r="N26" s="73"/>
      <c r="O26" s="73"/>
      <c r="P26" s="73"/>
      <c r="Q26" s="73"/>
    </row>
    <row r="27" spans="2:17">
      <c r="D27" t="s">
        <v>109</v>
      </c>
      <c r="K27" s="73"/>
      <c r="L27" s="73"/>
      <c r="M27" s="73"/>
      <c r="N27" s="73"/>
      <c r="O27" s="73"/>
      <c r="P27" s="73">
        <v>5902557</v>
      </c>
      <c r="Q27" s="73">
        <f t="shared" ref="Q27:Q34" si="1">SUM(K27:P27)</f>
        <v>5902557</v>
      </c>
    </row>
    <row r="28" spans="2:17">
      <c r="D28" t="s">
        <v>43</v>
      </c>
      <c r="K28" s="73"/>
      <c r="L28" s="73"/>
      <c r="M28" s="73"/>
      <c r="N28" s="73"/>
      <c r="O28" s="73"/>
      <c r="P28" s="73">
        <v>1799099</v>
      </c>
      <c r="Q28" s="73">
        <f t="shared" si="1"/>
        <v>1799099</v>
      </c>
    </row>
    <row r="29" spans="2:17">
      <c r="D29" t="s">
        <v>44</v>
      </c>
      <c r="K29" s="73"/>
      <c r="L29" s="73"/>
      <c r="M29" s="73"/>
      <c r="N29" s="73"/>
      <c r="O29" s="73"/>
      <c r="P29" s="73">
        <v>1107620</v>
      </c>
      <c r="Q29" s="73">
        <f t="shared" si="1"/>
        <v>1107620</v>
      </c>
    </row>
    <row r="30" spans="2:17">
      <c r="D30" t="s">
        <v>147</v>
      </c>
      <c r="K30" s="80">
        <v>4370193</v>
      </c>
      <c r="L30" s="73"/>
      <c r="M30" s="73"/>
      <c r="N30" s="73"/>
      <c r="O30" s="73"/>
      <c r="P30" s="73">
        <v>1318493</v>
      </c>
      <c r="Q30" s="73">
        <f t="shared" si="1"/>
        <v>5688686</v>
      </c>
    </row>
    <row r="31" spans="2:17">
      <c r="D31" t="s">
        <v>590</v>
      </c>
      <c r="K31" s="73"/>
      <c r="L31" s="73"/>
      <c r="M31" s="73"/>
      <c r="N31" s="73"/>
      <c r="O31" s="73"/>
      <c r="P31" s="73">
        <v>4446611</v>
      </c>
      <c r="Q31" s="73">
        <f t="shared" si="1"/>
        <v>4446611</v>
      </c>
    </row>
    <row r="32" spans="2:17">
      <c r="D32" t="s">
        <v>69</v>
      </c>
      <c r="K32" s="73"/>
      <c r="L32" s="73"/>
      <c r="M32" s="73"/>
      <c r="N32" s="73"/>
      <c r="O32" s="73"/>
      <c r="P32" s="73">
        <v>12088337</v>
      </c>
      <c r="Q32" s="73">
        <f t="shared" si="1"/>
        <v>12088337</v>
      </c>
    </row>
    <row r="33" spans="3:17">
      <c r="D33" t="s">
        <v>71</v>
      </c>
      <c r="K33" s="73"/>
      <c r="L33" s="73"/>
      <c r="M33" s="73"/>
      <c r="N33" s="73"/>
      <c r="O33" s="73"/>
      <c r="P33" s="73">
        <v>3537788</v>
      </c>
      <c r="Q33" s="73">
        <f t="shared" si="1"/>
        <v>3537788</v>
      </c>
    </row>
    <row r="34" spans="3:17">
      <c r="D34" t="s">
        <v>108</v>
      </c>
      <c r="K34" s="73"/>
      <c r="L34" s="73"/>
      <c r="M34" s="73">
        <v>6412891</v>
      </c>
      <c r="N34" s="73"/>
      <c r="O34" s="73"/>
      <c r="P34" s="73">
        <v>0</v>
      </c>
      <c r="Q34" s="73">
        <f t="shared" si="1"/>
        <v>6412891</v>
      </c>
    </row>
    <row r="35" spans="3:17">
      <c r="C35" t="s">
        <v>591</v>
      </c>
      <c r="K35" s="73"/>
      <c r="L35" s="73"/>
      <c r="M35" s="73"/>
      <c r="N35" s="73"/>
      <c r="O35" s="73"/>
      <c r="P35" s="73"/>
    </row>
    <row r="36" spans="3:17">
      <c r="D36" t="s">
        <v>67</v>
      </c>
      <c r="K36" s="73"/>
      <c r="L36" s="73"/>
      <c r="M36" s="73"/>
      <c r="N36" s="73"/>
      <c r="O36" s="73"/>
      <c r="P36" s="73">
        <v>479074</v>
      </c>
      <c r="Q36" s="73">
        <f>SUM(K36:P36)</f>
        <v>479074</v>
      </c>
    </row>
    <row r="37" spans="3:17">
      <c r="D37" t="s">
        <v>590</v>
      </c>
      <c r="K37" s="73"/>
      <c r="L37" s="73"/>
      <c r="M37" s="73"/>
      <c r="N37" s="73"/>
      <c r="O37" s="73">
        <v>312147</v>
      </c>
      <c r="P37" s="73">
        <v>90270</v>
      </c>
      <c r="Q37" s="73">
        <f>SUM(K37:P37)</f>
        <v>402417</v>
      </c>
    </row>
    <row r="38" spans="3:17">
      <c r="D38" t="s">
        <v>592</v>
      </c>
      <c r="K38" s="73"/>
      <c r="L38" s="73"/>
      <c r="M38" s="73"/>
      <c r="N38" s="73"/>
      <c r="O38" s="73"/>
      <c r="P38" s="73">
        <v>27385</v>
      </c>
      <c r="Q38" s="73">
        <f>SUM(K38:P38)</f>
        <v>27385</v>
      </c>
    </row>
    <row r="39" spans="3:17">
      <c r="C39" t="s">
        <v>593</v>
      </c>
      <c r="K39" s="73"/>
      <c r="L39" s="73"/>
      <c r="M39" s="73"/>
      <c r="N39" s="73"/>
      <c r="O39" s="73"/>
      <c r="P39" s="73"/>
    </row>
    <row r="40" spans="3:17">
      <c r="D40" t="s">
        <v>67</v>
      </c>
      <c r="K40" s="73"/>
      <c r="L40" s="73"/>
      <c r="M40" s="73"/>
      <c r="N40" s="73"/>
      <c r="O40" s="73"/>
      <c r="P40" s="73">
        <v>4819</v>
      </c>
      <c r="Q40" s="73">
        <f>SUM(K40:P40)</f>
        <v>4819</v>
      </c>
    </row>
    <row r="41" spans="3:17">
      <c r="D41" t="s">
        <v>147</v>
      </c>
      <c r="K41" s="73"/>
      <c r="L41" s="73"/>
      <c r="M41" s="73"/>
      <c r="N41" s="73"/>
      <c r="O41" s="73"/>
      <c r="P41" s="73">
        <v>9026</v>
      </c>
      <c r="Q41" s="73">
        <f>SUM(K41:P41)</f>
        <v>9026</v>
      </c>
    </row>
    <row r="42" spans="3:17">
      <c r="D42" t="s">
        <v>108</v>
      </c>
      <c r="K42" s="73"/>
      <c r="L42" s="73">
        <v>12732</v>
      </c>
      <c r="M42" s="73"/>
      <c r="N42" s="73"/>
      <c r="O42" s="73"/>
      <c r="P42" s="73">
        <v>134822</v>
      </c>
      <c r="Q42" s="73">
        <f>SUM(K42:P42)</f>
        <v>147554</v>
      </c>
    </row>
    <row r="43" spans="3:17">
      <c r="C43" t="s">
        <v>48</v>
      </c>
      <c r="K43" s="86">
        <v>4227544</v>
      </c>
      <c r="L43" s="73"/>
      <c r="M43" s="73"/>
      <c r="N43" s="73">
        <v>-37116</v>
      </c>
      <c r="O43" s="73"/>
      <c r="P43" s="73">
        <v>-305</v>
      </c>
      <c r="Q43" s="73">
        <f>SUM(K43:P43)</f>
        <v>4190123</v>
      </c>
    </row>
    <row r="44" spans="3:17">
      <c r="K44" s="73"/>
      <c r="L44" s="73"/>
      <c r="M44" s="73"/>
      <c r="N44" s="73"/>
      <c r="O44" s="73"/>
      <c r="P44" s="73"/>
      <c r="Q44" s="73"/>
    </row>
    <row r="45" spans="3:17" s="5" customFormat="1">
      <c r="D45" s="6"/>
      <c r="E45" s="6" t="s">
        <v>49</v>
      </c>
      <c r="K45" s="79">
        <f>SUM(K25:K43)</f>
        <v>8632786</v>
      </c>
      <c r="L45" s="79">
        <f>SUM(L26:L43)</f>
        <v>12732</v>
      </c>
      <c r="M45" s="79">
        <f>SUM(M26:M43)</f>
        <v>6412891</v>
      </c>
      <c r="N45" s="79">
        <f>SUM(N26:N43)</f>
        <v>-37116</v>
      </c>
      <c r="O45" s="79">
        <f>SUM(O26:O43)</f>
        <v>312147</v>
      </c>
      <c r="P45" s="79">
        <f>SUM(P26:P43)</f>
        <v>30945596</v>
      </c>
      <c r="Q45" s="79">
        <f>SUM(Q25:Q44)</f>
        <v>46279036</v>
      </c>
    </row>
    <row r="46" spans="3:17">
      <c r="K46" s="73"/>
      <c r="L46" s="73"/>
      <c r="M46" s="73"/>
      <c r="N46" s="73"/>
      <c r="O46" s="73"/>
      <c r="P46" s="73"/>
      <c r="Q46" s="73"/>
    </row>
    <row r="47" spans="3:17" s="7" customFormat="1">
      <c r="D47" s="8"/>
      <c r="E47" s="8" t="s">
        <v>50</v>
      </c>
      <c r="K47" s="81">
        <f>SUM(K45,K22)</f>
        <v>9893111</v>
      </c>
      <c r="L47" s="81">
        <f>SUM(L22,L45)</f>
        <v>17464</v>
      </c>
      <c r="M47" s="81">
        <f>SUM(M22,M45)</f>
        <v>6668442</v>
      </c>
      <c r="N47" s="81">
        <f>SUM(N22,N45)</f>
        <v>500443</v>
      </c>
      <c r="O47" s="81">
        <f>SUM(O22,O45)</f>
        <v>1123344</v>
      </c>
      <c r="P47" s="81">
        <f>SUM(P45+P22)</f>
        <v>33160030</v>
      </c>
      <c r="Q47" s="81">
        <f>SUM(Q22+Q45)</f>
        <v>51362834</v>
      </c>
    </row>
  </sheetData>
  <mergeCells count="3">
    <mergeCell ref="D1:K1"/>
    <mergeCell ref="D2:K2"/>
    <mergeCell ref="K3:N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40"/>
  <sheetViews>
    <sheetView topLeftCell="N1" workbookViewId="0">
      <selection activeCell="Q42" sqref="Q42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5" width="19" customWidth="1"/>
    <col min="16" max="16" width="19.42578125" customWidth="1"/>
    <col min="17" max="17" width="19.85546875" bestFit="1" customWidth="1"/>
  </cols>
  <sheetData>
    <row r="1" spans="1:17" ht="18.75">
      <c r="D1" s="125" t="s">
        <v>594</v>
      </c>
      <c r="E1" s="125"/>
      <c r="F1" s="125"/>
      <c r="G1" s="125"/>
      <c r="H1" s="125"/>
      <c r="I1" s="125"/>
      <c r="J1" s="125"/>
      <c r="K1" s="125"/>
    </row>
    <row r="2" spans="1:17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7" ht="45">
      <c r="K4" s="1" t="s">
        <v>52</v>
      </c>
      <c r="L4" s="1" t="s">
        <v>595</v>
      </c>
      <c r="M4" s="1" t="s">
        <v>312</v>
      </c>
      <c r="N4" s="1" t="s">
        <v>596</v>
      </c>
      <c r="O4" s="1" t="s">
        <v>597</v>
      </c>
      <c r="P4" s="1" t="s">
        <v>551</v>
      </c>
      <c r="Q4" s="1" t="s">
        <v>9</v>
      </c>
    </row>
    <row r="5" spans="1:17">
      <c r="A5" t="s">
        <v>10</v>
      </c>
    </row>
    <row r="6" spans="1:17">
      <c r="B6" t="s">
        <v>163</v>
      </c>
      <c r="K6" s="72">
        <v>161547</v>
      </c>
      <c r="L6" s="73">
        <v>7415314</v>
      </c>
      <c r="M6" s="73">
        <v>488643</v>
      </c>
      <c r="N6" s="73">
        <v>5951233</v>
      </c>
      <c r="O6" s="73">
        <v>13947003</v>
      </c>
      <c r="P6" s="73">
        <v>30282362</v>
      </c>
      <c r="Q6" s="73">
        <f t="shared" ref="Q6:Q14" si="0">SUM(K6:P6)</f>
        <v>58246102</v>
      </c>
    </row>
    <row r="7" spans="1:17">
      <c r="B7" t="s">
        <v>598</v>
      </c>
      <c r="K7" s="73"/>
      <c r="L7" s="73"/>
      <c r="M7" s="73"/>
      <c r="N7" s="73"/>
      <c r="O7" s="73"/>
      <c r="P7" s="73"/>
      <c r="Q7" s="73">
        <f t="shared" si="0"/>
        <v>0</v>
      </c>
    </row>
    <row r="8" spans="1:17">
      <c r="C8" t="s">
        <v>313</v>
      </c>
      <c r="K8" s="74">
        <v>99973</v>
      </c>
      <c r="L8" s="73"/>
      <c r="M8" s="73">
        <v>2152</v>
      </c>
      <c r="N8" s="73"/>
      <c r="O8" s="73"/>
      <c r="P8" s="73">
        <v>1342810</v>
      </c>
      <c r="Q8" s="73">
        <f t="shared" si="0"/>
        <v>1444935</v>
      </c>
    </row>
    <row r="9" spans="1:17">
      <c r="C9" t="s">
        <v>81</v>
      </c>
      <c r="K9" s="74">
        <v>2129855</v>
      </c>
      <c r="L9" s="73"/>
      <c r="M9" s="73"/>
      <c r="N9" s="73">
        <v>5240979</v>
      </c>
      <c r="O9" s="73"/>
      <c r="P9" s="73">
        <v>4531205</v>
      </c>
      <c r="Q9" s="73">
        <f t="shared" si="0"/>
        <v>11902039</v>
      </c>
    </row>
    <row r="10" spans="1:17">
      <c r="C10" t="s">
        <v>82</v>
      </c>
      <c r="K10" s="74">
        <v>17499</v>
      </c>
      <c r="L10" s="73">
        <v>1452780</v>
      </c>
      <c r="M10" s="73">
        <v>603362</v>
      </c>
      <c r="N10" s="73"/>
      <c r="O10" s="73"/>
      <c r="P10" s="73">
        <v>1407838</v>
      </c>
      <c r="Q10" s="73">
        <f t="shared" si="0"/>
        <v>3481479</v>
      </c>
    </row>
    <row r="11" spans="1:17">
      <c r="C11" t="s">
        <v>47</v>
      </c>
      <c r="K11" s="73"/>
      <c r="L11" s="73"/>
      <c r="M11" s="73">
        <v>216103</v>
      </c>
      <c r="N11" s="73"/>
      <c r="O11" s="73"/>
      <c r="P11" s="73">
        <v>99804</v>
      </c>
      <c r="Q11" s="73">
        <f t="shared" si="0"/>
        <v>315907</v>
      </c>
    </row>
    <row r="12" spans="1:17">
      <c r="B12" t="s">
        <v>18</v>
      </c>
      <c r="K12" s="75">
        <v>1689144</v>
      </c>
      <c r="L12" s="73">
        <v>1629607</v>
      </c>
      <c r="M12" s="73">
        <v>1818687</v>
      </c>
      <c r="N12" s="73"/>
      <c r="O12" s="73"/>
      <c r="P12" s="73">
        <v>692780</v>
      </c>
      <c r="Q12" s="73">
        <f t="shared" si="0"/>
        <v>5830218</v>
      </c>
    </row>
    <row r="13" spans="1:17">
      <c r="B13" t="s">
        <v>60</v>
      </c>
      <c r="K13" s="75">
        <v>48109</v>
      </c>
      <c r="L13" s="73"/>
      <c r="M13" s="73">
        <v>698633</v>
      </c>
      <c r="N13" s="73"/>
      <c r="O13" s="73"/>
      <c r="P13" s="73">
        <v>35301</v>
      </c>
      <c r="Q13" s="73">
        <f t="shared" si="0"/>
        <v>782043</v>
      </c>
    </row>
    <row r="14" spans="1:17">
      <c r="B14" t="s">
        <v>207</v>
      </c>
      <c r="K14" s="85">
        <v>45599</v>
      </c>
      <c r="L14" s="73"/>
      <c r="M14" s="73">
        <v>72560</v>
      </c>
      <c r="N14" s="73"/>
      <c r="O14" s="73"/>
      <c r="P14" s="73">
        <v>19701</v>
      </c>
      <c r="Q14" s="73">
        <f t="shared" si="0"/>
        <v>137860</v>
      </c>
    </row>
    <row r="15" spans="1:17">
      <c r="K15" s="73"/>
      <c r="L15" s="73"/>
      <c r="M15" s="73"/>
      <c r="N15" s="73"/>
      <c r="O15" s="73"/>
      <c r="P15" s="73"/>
      <c r="Q15" s="73"/>
    </row>
    <row r="16" spans="1:17" s="3" customFormat="1">
      <c r="A16" s="2"/>
      <c r="B16" s="2"/>
      <c r="C16" s="2"/>
      <c r="D16" s="2"/>
      <c r="E16" s="2" t="s">
        <v>20</v>
      </c>
      <c r="K16" s="76">
        <f>SUM(K6:K14)</f>
        <v>4191726</v>
      </c>
      <c r="L16" s="76">
        <f>SUM(L6:L14)</f>
        <v>10497701</v>
      </c>
      <c r="M16" s="76">
        <f>SUM(M6:M14)</f>
        <v>3900140</v>
      </c>
      <c r="N16" s="76">
        <f>SUM(N6:N14)</f>
        <v>11192212</v>
      </c>
      <c r="O16" s="76">
        <f>SUM(O6:O14)</f>
        <v>13947003</v>
      </c>
      <c r="P16" s="76">
        <f>SUM(P6:P15)</f>
        <v>38411801</v>
      </c>
      <c r="Q16" s="76">
        <f>SUM(Q6:Q14)</f>
        <v>82140583</v>
      </c>
    </row>
    <row r="17" spans="1:17">
      <c r="K17" s="73"/>
      <c r="L17" s="73"/>
      <c r="M17" s="73"/>
      <c r="N17" s="73"/>
      <c r="O17" s="73"/>
      <c r="P17" s="73"/>
      <c r="Q17" s="73"/>
    </row>
    <row r="18" spans="1:17">
      <c r="A18" s="4" t="s">
        <v>21</v>
      </c>
      <c r="K18" s="73"/>
      <c r="L18" s="73"/>
      <c r="M18" s="73"/>
      <c r="N18" s="73"/>
      <c r="O18" s="73"/>
      <c r="P18" s="73"/>
      <c r="Q18" s="73"/>
    </row>
    <row r="19" spans="1:17">
      <c r="B19" t="s">
        <v>22</v>
      </c>
      <c r="K19" s="73"/>
      <c r="L19" s="73"/>
      <c r="M19" s="73"/>
      <c r="N19" s="73"/>
      <c r="O19" s="73"/>
      <c r="P19" s="73"/>
      <c r="Q19" s="73"/>
    </row>
    <row r="20" spans="1:17">
      <c r="C20" t="s">
        <v>260</v>
      </c>
      <c r="K20" s="77">
        <v>617444</v>
      </c>
      <c r="L20" s="73"/>
      <c r="M20" s="73">
        <v>1655831</v>
      </c>
      <c r="N20" s="73"/>
      <c r="O20" s="73">
        <v>17573</v>
      </c>
      <c r="P20" s="73">
        <v>1465140</v>
      </c>
      <c r="Q20" s="73">
        <f>SUM(K20:P20)</f>
        <v>3755988</v>
      </c>
    </row>
    <row r="21" spans="1:17">
      <c r="C21" t="s">
        <v>90</v>
      </c>
      <c r="K21" s="73"/>
      <c r="L21" s="73"/>
      <c r="M21" s="73">
        <v>19863</v>
      </c>
      <c r="N21" s="73"/>
      <c r="O21" s="73"/>
      <c r="P21" s="73">
        <v>58929</v>
      </c>
      <c r="Q21" s="73">
        <f>SUM(K21:P21)</f>
        <v>78792</v>
      </c>
    </row>
    <row r="22" spans="1:17">
      <c r="C22" t="s">
        <v>27</v>
      </c>
      <c r="K22" s="78">
        <v>1393948</v>
      </c>
      <c r="L22" s="73">
        <v>700000</v>
      </c>
      <c r="M22" s="73">
        <v>515238</v>
      </c>
      <c r="N22" s="73"/>
      <c r="O22" s="73"/>
      <c r="P22" s="73">
        <v>2818688</v>
      </c>
      <c r="Q22" s="73">
        <f>SUM(K22:P22)</f>
        <v>5427874</v>
      </c>
    </row>
    <row r="23" spans="1:17">
      <c r="C23" t="s">
        <v>117</v>
      </c>
      <c r="K23" s="83">
        <v>417</v>
      </c>
      <c r="L23" s="73"/>
      <c r="M23" s="73"/>
      <c r="N23" s="73"/>
      <c r="O23" s="73"/>
      <c r="P23" s="73">
        <v>53187</v>
      </c>
      <c r="Q23" s="73">
        <f>SUM(K23:P23)</f>
        <v>53604</v>
      </c>
    </row>
    <row r="24" spans="1:17">
      <c r="K24" s="73"/>
      <c r="L24" s="73"/>
      <c r="M24" s="73"/>
      <c r="N24" s="73"/>
      <c r="O24" s="73"/>
      <c r="P24" s="73"/>
      <c r="Q24" s="73"/>
    </row>
    <row r="25" spans="1:17" s="5" customFormat="1">
      <c r="B25" s="6"/>
      <c r="C25" s="6"/>
      <c r="D25" s="6"/>
      <c r="E25" s="6" t="s">
        <v>28</v>
      </c>
      <c r="K25" s="79">
        <f>SUM(K20:K23)</f>
        <v>2011809</v>
      </c>
      <c r="L25" s="79">
        <f>SUM(L20:L22)</f>
        <v>700000</v>
      </c>
      <c r="M25" s="79">
        <f>SUM(M20:M22)</f>
        <v>2190932</v>
      </c>
      <c r="N25" s="79">
        <f>SUM(N20:N22)</f>
        <v>0</v>
      </c>
      <c r="O25" s="79">
        <f>SUM(O20:O22)</f>
        <v>17573</v>
      </c>
      <c r="P25" s="79">
        <f>SUM(P20:P23)</f>
        <v>4395944</v>
      </c>
      <c r="Q25" s="79">
        <f>SUM(Q20:Q23)</f>
        <v>9316258</v>
      </c>
    </row>
    <row r="26" spans="1:17">
      <c r="K26" s="73"/>
      <c r="L26" s="73"/>
      <c r="M26" s="73"/>
      <c r="N26" s="73"/>
      <c r="O26" s="73"/>
      <c r="P26" s="73"/>
      <c r="Q26" s="73"/>
    </row>
    <row r="27" spans="1:17">
      <c r="A27" s="71" t="s">
        <v>29</v>
      </c>
      <c r="K27" s="73"/>
      <c r="L27" s="73"/>
      <c r="M27" s="73"/>
      <c r="N27" s="73"/>
      <c r="O27" s="73"/>
      <c r="P27" s="73"/>
      <c r="Q27" s="73"/>
    </row>
    <row r="28" spans="1:17">
      <c r="C28" t="s">
        <v>63</v>
      </c>
      <c r="K28" s="73"/>
      <c r="L28" s="73"/>
      <c r="M28" s="73">
        <v>187531</v>
      </c>
      <c r="N28" s="73"/>
      <c r="O28" s="73"/>
      <c r="P28" s="73"/>
      <c r="Q28" s="73">
        <f>SUM(K28:P28)</f>
        <v>187531</v>
      </c>
    </row>
    <row r="29" spans="1:17">
      <c r="K29" s="73"/>
      <c r="L29" s="73"/>
      <c r="M29" s="73"/>
      <c r="N29" s="73"/>
      <c r="O29" s="73"/>
      <c r="P29" s="73"/>
      <c r="Q29" s="73"/>
    </row>
    <row r="30" spans="1:17" s="5" customFormat="1">
      <c r="B30" s="6"/>
      <c r="C30" s="6"/>
      <c r="D30" s="6"/>
      <c r="E30" s="6" t="s">
        <v>170</v>
      </c>
      <c r="K30" s="79">
        <f>K28</f>
        <v>0</v>
      </c>
      <c r="L30" s="79">
        <f>SUM(L28)</f>
        <v>0</v>
      </c>
      <c r="M30" s="79">
        <f t="shared" ref="M30:Q30" si="1">SUM(M28)</f>
        <v>187531</v>
      </c>
      <c r="N30" s="79">
        <f t="shared" si="1"/>
        <v>0</v>
      </c>
      <c r="O30" s="79">
        <f t="shared" si="1"/>
        <v>0</v>
      </c>
      <c r="P30" s="79">
        <f t="shared" si="1"/>
        <v>0</v>
      </c>
      <c r="Q30" s="79">
        <f t="shared" si="1"/>
        <v>187531</v>
      </c>
    </row>
    <row r="31" spans="1:17">
      <c r="K31" s="73"/>
      <c r="L31" s="73"/>
      <c r="M31" s="73"/>
      <c r="N31" s="73"/>
      <c r="O31" s="73"/>
      <c r="P31" s="73"/>
      <c r="Q31" s="73"/>
    </row>
    <row r="32" spans="1:17">
      <c r="B32" t="s">
        <v>100</v>
      </c>
      <c r="K32" s="73"/>
      <c r="L32" s="73"/>
      <c r="M32" s="73"/>
      <c r="N32" s="73"/>
      <c r="O32" s="73"/>
      <c r="P32" s="73"/>
      <c r="Q32" s="73"/>
    </row>
    <row r="33" spans="3:17">
      <c r="C33" t="s">
        <v>459</v>
      </c>
      <c r="K33" s="80">
        <v>45599</v>
      </c>
      <c r="L33" s="73"/>
      <c r="M33" s="73">
        <v>72560</v>
      </c>
      <c r="N33" s="73"/>
      <c r="O33" s="73"/>
      <c r="P33" s="73">
        <v>19701</v>
      </c>
      <c r="Q33" s="73">
        <f>SUM(K33:P33)</f>
        <v>137860</v>
      </c>
    </row>
    <row r="34" spans="3:17">
      <c r="C34" t="s">
        <v>118</v>
      </c>
      <c r="K34" s="73"/>
      <c r="L34" s="73">
        <v>9797701</v>
      </c>
      <c r="M34" s="73">
        <v>1449117</v>
      </c>
      <c r="N34" s="73">
        <v>11192212</v>
      </c>
      <c r="O34" s="73"/>
      <c r="P34" s="73">
        <v>34117159</v>
      </c>
      <c r="Q34" s="73">
        <f>SUM(K34:P34)</f>
        <v>56556189</v>
      </c>
    </row>
    <row r="35" spans="3:17">
      <c r="C35" t="s">
        <v>304</v>
      </c>
      <c r="K35" s="73"/>
      <c r="L35" s="73"/>
      <c r="M35" s="73"/>
      <c r="N35" s="73"/>
      <c r="O35" s="73">
        <v>13929430</v>
      </c>
      <c r="P35" s="73"/>
      <c r="Q35" s="73">
        <f t="shared" ref="Q35:Q36" si="2">SUM(K35:P35)</f>
        <v>13929430</v>
      </c>
    </row>
    <row r="36" spans="3:17">
      <c r="C36" t="s">
        <v>48</v>
      </c>
      <c r="K36" s="86">
        <v>2134318</v>
      </c>
      <c r="L36" s="73"/>
      <c r="M36" s="73"/>
      <c r="N36" s="73"/>
      <c r="O36" s="73"/>
      <c r="P36" s="73">
        <v>-121003</v>
      </c>
      <c r="Q36" s="73">
        <f t="shared" si="2"/>
        <v>2013315</v>
      </c>
    </row>
    <row r="37" spans="3:17">
      <c r="K37" s="73"/>
      <c r="L37" s="73"/>
      <c r="M37" s="73"/>
      <c r="N37" s="73"/>
      <c r="O37" s="73"/>
      <c r="P37" s="73"/>
      <c r="Q37" s="73"/>
    </row>
    <row r="38" spans="3:17" s="5" customFormat="1">
      <c r="D38" s="6"/>
      <c r="E38" s="6" t="s">
        <v>49</v>
      </c>
      <c r="K38" s="79">
        <f>SUM(K33:K36)</f>
        <v>2179917</v>
      </c>
      <c r="L38" s="79">
        <f t="shared" ref="L38:P38" si="3">SUM(L33:L36)</f>
        <v>9797701</v>
      </c>
      <c r="M38" s="79">
        <f t="shared" si="3"/>
        <v>1521677</v>
      </c>
      <c r="N38" s="79">
        <f t="shared" si="3"/>
        <v>11192212</v>
      </c>
      <c r="O38" s="79">
        <f t="shared" si="3"/>
        <v>13929430</v>
      </c>
      <c r="P38" s="79">
        <f t="shared" si="3"/>
        <v>34015857</v>
      </c>
      <c r="Q38" s="79">
        <f>SUM(Q33:Q36)</f>
        <v>72636794</v>
      </c>
    </row>
    <row r="39" spans="3:17">
      <c r="K39" s="73"/>
      <c r="L39" s="73"/>
      <c r="M39" s="73"/>
      <c r="N39" s="73"/>
      <c r="O39" s="73"/>
      <c r="P39" s="73"/>
      <c r="Q39" s="73"/>
    </row>
    <row r="40" spans="3:17" s="7" customFormat="1">
      <c r="D40" s="8"/>
      <c r="E40" s="8" t="s">
        <v>50</v>
      </c>
      <c r="K40" s="81">
        <f>SUM(K38,K25,K30)</f>
        <v>4191726</v>
      </c>
      <c r="L40" s="81">
        <f t="shared" ref="L40:Q40" si="4">SUM(L38,L25,L30)</f>
        <v>10497701</v>
      </c>
      <c r="M40" s="81">
        <f t="shared" si="4"/>
        <v>3900140</v>
      </c>
      <c r="N40" s="81">
        <f t="shared" si="4"/>
        <v>11192212</v>
      </c>
      <c r="O40" s="81">
        <f t="shared" si="4"/>
        <v>13947003</v>
      </c>
      <c r="P40" s="81">
        <f t="shared" si="4"/>
        <v>38411801</v>
      </c>
      <c r="Q40" s="81">
        <f t="shared" si="4"/>
        <v>82140583</v>
      </c>
    </row>
  </sheetData>
  <mergeCells count="2">
    <mergeCell ref="D1:K1"/>
    <mergeCell ref="D2:K2"/>
  </mergeCells>
  <pageMargins left="0.7" right="0.7" top="0.75" bottom="0.75" header="0.3" footer="0.3"/>
  <pageSetup orientation="portrait" horizontalDpi="1200" verticalDpi="12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52"/>
  <sheetViews>
    <sheetView workbookViewId="0">
      <selection activeCell="Q51" sqref="Q51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7.28515625" customWidth="1"/>
    <col min="15" max="16" width="19" customWidth="1"/>
    <col min="17" max="17" width="19.42578125" customWidth="1"/>
    <col min="18" max="18" width="19.85546875" bestFit="1" customWidth="1"/>
  </cols>
  <sheetData>
    <row r="1" spans="1:18" ht="18.75">
      <c r="D1" s="125" t="s">
        <v>599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4" spans="1:18" ht="45">
      <c r="K4" s="1" t="s">
        <v>52</v>
      </c>
      <c r="L4" s="1" t="s">
        <v>600</v>
      </c>
      <c r="M4" s="1" t="s">
        <v>601</v>
      </c>
      <c r="N4" s="1" t="s">
        <v>602</v>
      </c>
      <c r="O4" s="1" t="s">
        <v>603</v>
      </c>
      <c r="P4" s="1" t="s">
        <v>604</v>
      </c>
      <c r="Q4" s="1" t="s">
        <v>8</v>
      </c>
      <c r="R4" s="1" t="s">
        <v>9</v>
      </c>
    </row>
    <row r="5" spans="1:18">
      <c r="A5" t="s">
        <v>10</v>
      </c>
    </row>
    <row r="6" spans="1:18">
      <c r="B6" t="s">
        <v>127</v>
      </c>
      <c r="K6" s="72">
        <v>1006494</v>
      </c>
      <c r="L6" s="73">
        <v>74476</v>
      </c>
      <c r="M6" s="73">
        <v>56318</v>
      </c>
      <c r="N6" s="73">
        <v>10170</v>
      </c>
      <c r="O6" s="73">
        <v>4750</v>
      </c>
      <c r="P6" s="73"/>
      <c r="Q6" s="73">
        <v>403056</v>
      </c>
      <c r="R6" s="73">
        <f t="shared" ref="R6:R12" si="0">SUM(K6:Q6)</f>
        <v>1555264</v>
      </c>
    </row>
    <row r="7" spans="1:18">
      <c r="B7" t="s">
        <v>605</v>
      </c>
      <c r="K7" s="74">
        <v>2266186</v>
      </c>
      <c r="L7" s="73">
        <v>138273</v>
      </c>
      <c r="M7" s="73">
        <v>1297324</v>
      </c>
      <c r="N7" s="73">
        <v>38070</v>
      </c>
      <c r="O7" s="73">
        <v>511211</v>
      </c>
      <c r="P7" s="73"/>
      <c r="Q7" s="73">
        <v>1441141</v>
      </c>
      <c r="R7" s="73">
        <f t="shared" si="0"/>
        <v>5692205</v>
      </c>
    </row>
    <row r="8" spans="1:18">
      <c r="B8" t="s">
        <v>207</v>
      </c>
      <c r="K8" s="85">
        <v>24303</v>
      </c>
      <c r="L8" s="73">
        <v>10682</v>
      </c>
      <c r="M8" s="73">
        <v>6405</v>
      </c>
      <c r="N8" s="73">
        <v>712</v>
      </c>
      <c r="O8" s="73"/>
      <c r="P8" s="73"/>
      <c r="Q8" s="73">
        <v>356</v>
      </c>
      <c r="R8" s="73">
        <f t="shared" si="0"/>
        <v>42458</v>
      </c>
    </row>
    <row r="9" spans="1:18">
      <c r="B9" t="s">
        <v>18</v>
      </c>
      <c r="K9" s="75">
        <v>448010</v>
      </c>
      <c r="L9" s="73">
        <v>104</v>
      </c>
      <c r="M9" s="73">
        <v>110463</v>
      </c>
      <c r="N9" s="73"/>
      <c r="O9" s="73">
        <v>4980</v>
      </c>
      <c r="P9" s="73"/>
      <c r="Q9" s="73">
        <v>98906</v>
      </c>
      <c r="R9" s="73">
        <f t="shared" si="0"/>
        <v>662463</v>
      </c>
    </row>
    <row r="10" spans="1:18">
      <c r="B10" t="s">
        <v>606</v>
      </c>
      <c r="K10" s="75">
        <v>46354</v>
      </c>
      <c r="L10" s="73">
        <v>240833</v>
      </c>
      <c r="M10" s="73"/>
      <c r="N10" s="73">
        <v>3067</v>
      </c>
      <c r="O10" s="73"/>
      <c r="P10" s="73"/>
      <c r="Q10" s="73"/>
      <c r="R10" s="73">
        <f t="shared" si="0"/>
        <v>290254</v>
      </c>
    </row>
    <row r="11" spans="1:18">
      <c r="B11" t="s">
        <v>19</v>
      </c>
      <c r="K11" s="75">
        <v>4357</v>
      </c>
      <c r="L11" s="73"/>
      <c r="M11" s="73"/>
      <c r="N11" s="73"/>
      <c r="O11" s="73"/>
      <c r="P11" s="73"/>
      <c r="Q11" s="73"/>
      <c r="R11" s="73">
        <f t="shared" si="0"/>
        <v>4357</v>
      </c>
    </row>
    <row r="12" spans="1:18">
      <c r="B12" t="s">
        <v>60</v>
      </c>
      <c r="K12" s="75">
        <v>20051</v>
      </c>
      <c r="L12" s="73"/>
      <c r="M12" s="73"/>
      <c r="N12" s="73"/>
      <c r="O12" s="73"/>
      <c r="P12" s="73"/>
      <c r="Q12" s="73"/>
      <c r="R12" s="73">
        <f t="shared" si="0"/>
        <v>20051</v>
      </c>
    </row>
    <row r="13" spans="1:18">
      <c r="K13" s="73"/>
      <c r="L13" s="73"/>
      <c r="M13" s="73"/>
      <c r="N13" s="73"/>
      <c r="O13" s="73"/>
      <c r="P13" s="73"/>
      <c r="Q13" s="73"/>
      <c r="R13" s="73"/>
    </row>
    <row r="14" spans="1:18" s="3" customFormat="1">
      <c r="A14" s="2"/>
      <c r="B14" s="2"/>
      <c r="C14" s="2"/>
      <c r="D14" s="2"/>
      <c r="E14" s="2" t="s">
        <v>20</v>
      </c>
      <c r="K14" s="76">
        <f t="shared" ref="K14:P14" si="1">SUM(K6:K12)</f>
        <v>3815755</v>
      </c>
      <c r="L14" s="76">
        <f t="shared" si="1"/>
        <v>464368</v>
      </c>
      <c r="M14" s="76">
        <f t="shared" si="1"/>
        <v>1470510</v>
      </c>
      <c r="N14" s="76">
        <f t="shared" si="1"/>
        <v>52019</v>
      </c>
      <c r="O14" s="76">
        <f t="shared" si="1"/>
        <v>520941</v>
      </c>
      <c r="P14" s="76">
        <f t="shared" si="1"/>
        <v>0</v>
      </c>
      <c r="Q14" s="76">
        <f>SUM(Q6:Q13)</f>
        <v>1943459</v>
      </c>
      <c r="R14" s="76">
        <f>SUM(R6:R12)</f>
        <v>8267052</v>
      </c>
    </row>
    <row r="15" spans="1:18">
      <c r="K15" s="73"/>
      <c r="L15" s="73"/>
      <c r="M15" s="73"/>
      <c r="N15" s="73"/>
      <c r="O15" s="73"/>
      <c r="P15" s="73"/>
      <c r="Q15" s="73"/>
      <c r="R15" s="73"/>
    </row>
    <row r="16" spans="1:18">
      <c r="A16" s="4" t="s">
        <v>21</v>
      </c>
      <c r="K16" s="73"/>
      <c r="L16" s="73"/>
      <c r="M16" s="73"/>
      <c r="N16" s="73"/>
      <c r="O16" s="73"/>
      <c r="P16" s="73"/>
      <c r="Q16" s="73"/>
      <c r="R16" s="73"/>
    </row>
    <row r="17" spans="2:18">
      <c r="B17" t="s">
        <v>22</v>
      </c>
      <c r="K17" s="73"/>
      <c r="L17" s="73"/>
      <c r="M17" s="73"/>
      <c r="N17" s="73"/>
      <c r="O17" s="73"/>
      <c r="P17" s="73"/>
      <c r="Q17" s="73"/>
      <c r="R17" s="73"/>
    </row>
    <row r="18" spans="2:18">
      <c r="C18" t="s">
        <v>23</v>
      </c>
      <c r="K18" s="77">
        <v>635457</v>
      </c>
      <c r="L18" s="73">
        <v>314127</v>
      </c>
      <c r="M18" s="73">
        <v>98348</v>
      </c>
      <c r="N18" s="73">
        <v>34864</v>
      </c>
      <c r="O18" s="73">
        <v>738580</v>
      </c>
      <c r="P18" s="73"/>
      <c r="Q18" s="73">
        <v>278707</v>
      </c>
      <c r="R18" s="73">
        <f t="shared" ref="R18:R23" si="2">SUM(K18:Q18)</f>
        <v>2100083</v>
      </c>
    </row>
    <row r="19" spans="2:18">
      <c r="C19" t="s">
        <v>607</v>
      </c>
      <c r="K19" s="77">
        <v>214419</v>
      </c>
      <c r="L19" s="73"/>
      <c r="M19" s="73"/>
      <c r="N19" s="73"/>
      <c r="O19" s="73"/>
      <c r="P19" s="73"/>
      <c r="Q19" s="73"/>
      <c r="R19" s="73">
        <f t="shared" si="2"/>
        <v>214419</v>
      </c>
    </row>
    <row r="20" spans="2:18">
      <c r="C20" t="s">
        <v>608</v>
      </c>
      <c r="K20" s="73"/>
      <c r="L20" s="73"/>
      <c r="M20" s="73"/>
      <c r="N20" s="73">
        <v>4737</v>
      </c>
      <c r="O20" s="73"/>
      <c r="P20" s="73"/>
      <c r="Q20" s="73"/>
      <c r="R20" s="73">
        <f t="shared" si="2"/>
        <v>4737</v>
      </c>
    </row>
    <row r="21" spans="2:18">
      <c r="C21" t="s">
        <v>609</v>
      </c>
      <c r="K21" s="78">
        <v>95000</v>
      </c>
      <c r="L21" s="73"/>
      <c r="M21" s="73"/>
      <c r="N21" s="73"/>
      <c r="O21" s="73"/>
      <c r="P21" s="73"/>
      <c r="Q21" s="73"/>
      <c r="R21" s="73">
        <f t="shared" si="2"/>
        <v>95000</v>
      </c>
    </row>
    <row r="22" spans="2:18">
      <c r="C22" t="s">
        <v>27</v>
      </c>
      <c r="K22" s="78">
        <v>120622</v>
      </c>
      <c r="L22" s="73">
        <v>136307</v>
      </c>
      <c r="M22" s="73">
        <v>71354</v>
      </c>
      <c r="N22" s="73">
        <v>53081</v>
      </c>
      <c r="O22" s="73"/>
      <c r="P22" s="73"/>
      <c r="Q22" s="73">
        <v>281099</v>
      </c>
      <c r="R22" s="73">
        <f t="shared" si="2"/>
        <v>662463</v>
      </c>
    </row>
    <row r="23" spans="2:18">
      <c r="C23" t="s">
        <v>185</v>
      </c>
      <c r="K23" s="78">
        <v>6389</v>
      </c>
      <c r="L23" s="73"/>
      <c r="M23" s="73"/>
      <c r="N23" s="73"/>
      <c r="O23" s="73"/>
      <c r="P23" s="73"/>
      <c r="Q23" s="73"/>
      <c r="R23" s="73">
        <f t="shared" si="2"/>
        <v>6389</v>
      </c>
    </row>
    <row r="24" spans="2:18">
      <c r="K24" s="73"/>
      <c r="L24" s="73"/>
      <c r="M24" s="73"/>
      <c r="N24" s="73"/>
      <c r="O24" s="73"/>
      <c r="P24" s="73"/>
      <c r="Q24" s="73"/>
      <c r="R24" s="73"/>
    </row>
    <row r="25" spans="2:18" s="5" customFormat="1">
      <c r="B25" s="6"/>
      <c r="C25" s="6"/>
      <c r="D25" s="6"/>
      <c r="E25" s="6" t="s">
        <v>28</v>
      </c>
      <c r="K25" s="79">
        <f t="shared" ref="K25:R25" si="3">SUM(K18:K23)</f>
        <v>1071887</v>
      </c>
      <c r="L25" s="79">
        <f t="shared" si="3"/>
        <v>450434</v>
      </c>
      <c r="M25" s="79">
        <f t="shared" si="3"/>
        <v>169702</v>
      </c>
      <c r="N25" s="79">
        <f t="shared" si="3"/>
        <v>92682</v>
      </c>
      <c r="O25" s="79">
        <f t="shared" si="3"/>
        <v>738580</v>
      </c>
      <c r="P25" s="79">
        <f t="shared" si="3"/>
        <v>0</v>
      </c>
      <c r="Q25" s="79">
        <f t="shared" si="3"/>
        <v>559806</v>
      </c>
      <c r="R25" s="79">
        <f t="shared" si="3"/>
        <v>3083091</v>
      </c>
    </row>
    <row r="26" spans="2:18">
      <c r="K26" s="73"/>
      <c r="L26" s="73"/>
      <c r="M26" s="73"/>
      <c r="N26" s="73"/>
      <c r="O26" s="73"/>
      <c r="P26" s="73"/>
      <c r="Q26" s="73"/>
      <c r="R26" s="73"/>
    </row>
    <row r="27" spans="2:18">
      <c r="B27" t="s">
        <v>100</v>
      </c>
      <c r="K27" s="73"/>
      <c r="L27" s="73"/>
      <c r="M27" s="73"/>
      <c r="N27" s="73"/>
      <c r="O27" s="73"/>
      <c r="P27" s="73"/>
      <c r="Q27" s="73"/>
      <c r="R27" s="73"/>
    </row>
    <row r="28" spans="2:18">
      <c r="C28" t="s">
        <v>459</v>
      </c>
      <c r="K28" s="73"/>
      <c r="L28" s="73"/>
      <c r="M28" s="73"/>
      <c r="N28" s="73"/>
      <c r="O28" s="73"/>
      <c r="P28" s="73"/>
      <c r="Q28" s="73"/>
      <c r="R28" s="73"/>
    </row>
    <row r="29" spans="2:18">
      <c r="D29" t="s">
        <v>554</v>
      </c>
      <c r="K29" s="80">
        <v>24303</v>
      </c>
      <c r="L29" s="73">
        <v>10682</v>
      </c>
      <c r="M29" s="73">
        <v>6405</v>
      </c>
      <c r="N29" s="73">
        <v>712</v>
      </c>
      <c r="O29" s="73"/>
      <c r="P29" s="73"/>
      <c r="Q29" s="73">
        <v>356</v>
      </c>
      <c r="R29" s="73">
        <f>SUM(K29:Q29)</f>
        <v>42458</v>
      </c>
    </row>
    <row r="30" spans="2:18">
      <c r="C30" t="s">
        <v>32</v>
      </c>
      <c r="K30" s="73"/>
      <c r="L30" s="73"/>
      <c r="M30" s="73"/>
      <c r="N30" s="73"/>
      <c r="O30" s="73"/>
      <c r="P30" s="73"/>
      <c r="Q30" s="73"/>
      <c r="R30" s="73"/>
    </row>
    <row r="31" spans="2:18">
      <c r="D31" t="s">
        <v>68</v>
      </c>
      <c r="K31" s="73"/>
      <c r="L31" s="73"/>
      <c r="M31" s="73"/>
      <c r="N31" s="73"/>
      <c r="O31" s="73"/>
      <c r="P31" s="73"/>
      <c r="Q31" s="73">
        <v>143529</v>
      </c>
      <c r="R31" s="73">
        <f t="shared" ref="R31:R40" si="4">SUM(K31:Q31)</f>
        <v>143529</v>
      </c>
    </row>
    <row r="32" spans="2:18">
      <c r="D32" t="s">
        <v>70</v>
      </c>
      <c r="K32" s="73"/>
      <c r="L32" s="73"/>
      <c r="M32" s="73"/>
      <c r="N32" s="73"/>
      <c r="O32" s="73"/>
      <c r="P32" s="73"/>
      <c r="Q32" s="73">
        <v>704905</v>
      </c>
      <c r="R32" s="73">
        <f t="shared" si="4"/>
        <v>704905</v>
      </c>
    </row>
    <row r="33" spans="3:18">
      <c r="D33" t="s">
        <v>610</v>
      </c>
      <c r="K33" s="80">
        <v>413037</v>
      </c>
      <c r="L33" s="73"/>
      <c r="M33" s="73"/>
      <c r="N33" s="73"/>
      <c r="O33" s="73"/>
      <c r="P33" s="73"/>
      <c r="Q33" s="73"/>
      <c r="R33" s="73">
        <f t="shared" si="4"/>
        <v>413037</v>
      </c>
    </row>
    <row r="34" spans="3:18">
      <c r="D34" t="s">
        <v>611</v>
      </c>
      <c r="K34" s="80">
        <v>25325</v>
      </c>
      <c r="L34" s="73"/>
      <c r="M34" s="73"/>
      <c r="N34" s="73"/>
      <c r="O34" s="73"/>
      <c r="P34" s="73"/>
      <c r="Q34" s="73"/>
      <c r="R34" s="73">
        <f t="shared" si="4"/>
        <v>25325</v>
      </c>
    </row>
    <row r="35" spans="3:18">
      <c r="D35" t="s">
        <v>69</v>
      </c>
      <c r="K35" s="73"/>
      <c r="L35" s="73"/>
      <c r="M35" s="73"/>
      <c r="N35" s="73"/>
      <c r="O35" s="73"/>
      <c r="P35" s="73"/>
      <c r="Q35" s="73">
        <v>461814</v>
      </c>
      <c r="R35" s="73">
        <f t="shared" si="4"/>
        <v>461814</v>
      </c>
    </row>
    <row r="36" spans="3:18">
      <c r="D36" t="s">
        <v>45</v>
      </c>
      <c r="K36" s="73"/>
      <c r="L36" s="73"/>
      <c r="M36" s="73"/>
      <c r="N36" s="73"/>
      <c r="O36" s="73"/>
      <c r="P36" s="73"/>
      <c r="Q36" s="73">
        <v>37718</v>
      </c>
      <c r="R36" s="73">
        <f t="shared" si="4"/>
        <v>37718</v>
      </c>
    </row>
    <row r="37" spans="3:18">
      <c r="D37" t="s">
        <v>147</v>
      </c>
      <c r="K37" s="73"/>
      <c r="L37" s="73"/>
      <c r="M37" s="73">
        <v>1294403</v>
      </c>
      <c r="N37" s="73"/>
      <c r="O37" s="73"/>
      <c r="P37" s="73"/>
      <c r="Q37" s="73"/>
      <c r="R37" s="73">
        <f t="shared" si="4"/>
        <v>1294403</v>
      </c>
    </row>
    <row r="38" spans="3:18">
      <c r="D38" t="s">
        <v>612</v>
      </c>
      <c r="K38" s="80">
        <v>225153</v>
      </c>
      <c r="L38" s="73"/>
      <c r="M38" s="73"/>
      <c r="N38" s="73"/>
      <c r="O38" s="73"/>
      <c r="P38" s="73"/>
      <c r="Q38" s="73"/>
      <c r="R38" s="73">
        <f t="shared" si="4"/>
        <v>225153</v>
      </c>
    </row>
    <row r="39" spans="3:18">
      <c r="D39" t="s">
        <v>44</v>
      </c>
      <c r="K39" s="73"/>
      <c r="L39" s="73"/>
      <c r="M39" s="73"/>
      <c r="N39" s="73"/>
      <c r="O39" s="73"/>
      <c r="P39" s="73"/>
      <c r="Q39" s="73">
        <v>2587</v>
      </c>
      <c r="R39" s="73">
        <f t="shared" si="4"/>
        <v>2587</v>
      </c>
    </row>
    <row r="40" spans="3:18">
      <c r="D40" t="s">
        <v>43</v>
      </c>
      <c r="K40" s="73"/>
      <c r="L40" s="73"/>
      <c r="M40" s="73"/>
      <c r="N40" s="73"/>
      <c r="O40" s="73"/>
      <c r="P40" s="73"/>
      <c r="Q40" s="73">
        <v>34084</v>
      </c>
      <c r="R40" s="73">
        <f t="shared" si="4"/>
        <v>34084</v>
      </c>
    </row>
    <row r="41" spans="3:18">
      <c r="C41" t="s">
        <v>613</v>
      </c>
      <c r="K41" s="73"/>
      <c r="L41" s="73"/>
      <c r="M41" s="73"/>
      <c r="N41" s="73"/>
      <c r="O41" s="73"/>
      <c r="P41" s="73"/>
      <c r="Q41" s="73"/>
      <c r="R41" s="73">
        <f t="shared" ref="R41:R48" si="5">SUM(K41:Q41)</f>
        <v>0</v>
      </c>
    </row>
    <row r="42" spans="3:18">
      <c r="D42" t="s">
        <v>614</v>
      </c>
      <c r="K42" s="82">
        <v>5587</v>
      </c>
      <c r="L42" s="73">
        <v>3252</v>
      </c>
      <c r="M42" s="73"/>
      <c r="N42" s="73"/>
      <c r="O42" s="73"/>
      <c r="P42" s="73"/>
      <c r="Q42" s="73"/>
      <c r="R42" s="73">
        <f t="shared" si="5"/>
        <v>8839</v>
      </c>
    </row>
    <row r="43" spans="3:18">
      <c r="D43" t="s">
        <v>615</v>
      </c>
      <c r="K43" s="82">
        <v>865</v>
      </c>
      <c r="L43" s="73"/>
      <c r="M43" s="73"/>
      <c r="N43" s="73"/>
      <c r="O43" s="73"/>
      <c r="P43" s="73"/>
      <c r="Q43" s="73"/>
      <c r="R43" s="73">
        <f t="shared" si="5"/>
        <v>865</v>
      </c>
    </row>
    <row r="44" spans="3:18">
      <c r="D44" t="s">
        <v>616</v>
      </c>
      <c r="K44" s="73"/>
      <c r="L44" s="73"/>
      <c r="M44" s="73"/>
      <c r="N44" s="73"/>
      <c r="O44" s="73"/>
      <c r="P44" s="73"/>
      <c r="Q44" s="73"/>
      <c r="R44" s="73">
        <f t="shared" si="5"/>
        <v>0</v>
      </c>
    </row>
    <row r="45" spans="3:18">
      <c r="D45" t="s">
        <v>70</v>
      </c>
      <c r="K45" s="82">
        <v>148301</v>
      </c>
      <c r="L45" s="73"/>
      <c r="M45" s="73"/>
      <c r="N45" s="73"/>
      <c r="O45" s="73"/>
      <c r="P45" s="73"/>
      <c r="Q45" s="73"/>
      <c r="R45" s="73">
        <f t="shared" si="5"/>
        <v>148301</v>
      </c>
    </row>
    <row r="46" spans="3:18">
      <c r="D46" t="s">
        <v>611</v>
      </c>
      <c r="K46" s="82">
        <v>164856</v>
      </c>
      <c r="L46" s="73"/>
      <c r="M46" s="73"/>
      <c r="N46" s="73"/>
      <c r="O46" s="73"/>
      <c r="P46" s="73"/>
      <c r="Q46" s="73"/>
      <c r="R46" s="73">
        <f t="shared" si="5"/>
        <v>164856</v>
      </c>
    </row>
    <row r="47" spans="3:18">
      <c r="D47" t="s">
        <v>69</v>
      </c>
      <c r="K47" s="82">
        <v>44708</v>
      </c>
      <c r="L47" s="73"/>
      <c r="M47" s="73"/>
      <c r="N47" s="73"/>
      <c r="O47" s="73"/>
      <c r="P47" s="73"/>
      <c r="Q47" s="73"/>
      <c r="R47" s="73">
        <f t="shared" si="5"/>
        <v>44708</v>
      </c>
    </row>
    <row r="48" spans="3:18">
      <c r="C48" t="s">
        <v>48</v>
      </c>
      <c r="K48" s="86">
        <v>1691733</v>
      </c>
      <c r="L48" s="73"/>
      <c r="M48" s="73"/>
      <c r="N48" s="73">
        <v>-41375</v>
      </c>
      <c r="O48" s="73">
        <v>-217639</v>
      </c>
      <c r="P48" s="73"/>
      <c r="Q48" s="73">
        <v>-1340</v>
      </c>
      <c r="R48" s="73">
        <f t="shared" si="5"/>
        <v>1431379</v>
      </c>
    </row>
    <row r="49" spans="4:18">
      <c r="K49" s="73"/>
      <c r="L49" s="73"/>
      <c r="M49" s="73"/>
      <c r="N49" s="73"/>
      <c r="O49" s="73"/>
      <c r="P49" s="73"/>
      <c r="Q49" s="73"/>
      <c r="R49" s="73"/>
    </row>
    <row r="50" spans="4:18" s="5" customFormat="1">
      <c r="D50" s="6"/>
      <c r="E50" s="6" t="s">
        <v>49</v>
      </c>
      <c r="K50" s="79">
        <f>SUM(K29:K48)</f>
        <v>2743868</v>
      </c>
      <c r="L50" s="79">
        <f>SUM(L29:L48)</f>
        <v>13934</v>
      </c>
      <c r="M50" s="79">
        <f>SUM(M29:M48)</f>
        <v>1300808</v>
      </c>
      <c r="N50" s="79">
        <f t="shared" ref="N50:P50" si="6">SUM(N29:N48)</f>
        <v>-40663</v>
      </c>
      <c r="O50" s="79">
        <f t="shared" si="6"/>
        <v>-217639</v>
      </c>
      <c r="P50" s="79">
        <f t="shared" si="6"/>
        <v>0</v>
      </c>
      <c r="Q50" s="79">
        <f>SUM(Q29:Q48)</f>
        <v>1383653</v>
      </c>
      <c r="R50" s="79">
        <f>SUM(R29:R48)</f>
        <v>5183961</v>
      </c>
    </row>
    <row r="51" spans="4:18">
      <c r="K51" s="73"/>
      <c r="L51" s="73"/>
      <c r="M51" s="73"/>
      <c r="N51" s="73"/>
      <c r="O51" s="73"/>
      <c r="P51" s="73"/>
      <c r="Q51" s="73"/>
      <c r="R51" s="73"/>
    </row>
    <row r="52" spans="4:18" s="7" customFormat="1">
      <c r="D52" s="8"/>
      <c r="E52" s="8" t="s">
        <v>50</v>
      </c>
      <c r="K52" s="81">
        <f>SUM(K50,K25)</f>
        <v>3815755</v>
      </c>
      <c r="L52" s="81">
        <f>SUM(L25,L50)</f>
        <v>464368</v>
      </c>
      <c r="M52" s="81">
        <f>SUM(M25,M50)</f>
        <v>1470510</v>
      </c>
      <c r="N52" s="81">
        <f>SUM(N25,N50)</f>
        <v>52019</v>
      </c>
      <c r="O52" s="81">
        <f>SUM(O25+O50)</f>
        <v>520941</v>
      </c>
      <c r="P52" s="81">
        <f>SUM(P25+P50)</f>
        <v>0</v>
      </c>
      <c r="Q52" s="81">
        <f>SUM(Q25,Q50)</f>
        <v>1943459</v>
      </c>
      <c r="R52" s="81">
        <f>SUM(R25,R50)</f>
        <v>8267052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W50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20" width="19.42578125" customWidth="1"/>
    <col min="21" max="21" width="16.85546875" customWidth="1"/>
    <col min="22" max="22" width="17.5703125" customWidth="1"/>
    <col min="23" max="23" width="17" customWidth="1"/>
    <col min="24" max="24" width="18.28515625" customWidth="1"/>
  </cols>
  <sheetData>
    <row r="1" spans="1:23" ht="18.75">
      <c r="D1" s="125" t="s">
        <v>617</v>
      </c>
      <c r="E1" s="125"/>
      <c r="F1" s="125"/>
      <c r="G1" s="125"/>
      <c r="H1" s="125"/>
      <c r="I1" s="125"/>
      <c r="J1" s="125"/>
      <c r="K1" s="125"/>
    </row>
    <row r="2" spans="1:23">
      <c r="D2" s="126" t="s">
        <v>265</v>
      </c>
      <c r="E2" s="126"/>
      <c r="F2" s="126"/>
      <c r="G2" s="126"/>
      <c r="H2" s="126"/>
      <c r="I2" s="126"/>
      <c r="J2" s="126"/>
      <c r="K2" s="126"/>
    </row>
    <row r="3" spans="1:23" ht="29.25" customHeight="1">
      <c r="D3" s="57"/>
      <c r="E3" s="57"/>
      <c r="F3" s="57"/>
      <c r="G3" s="57"/>
      <c r="H3" s="57"/>
      <c r="I3" s="57"/>
      <c r="J3" s="57"/>
      <c r="K3" s="126"/>
      <c r="L3" s="126"/>
      <c r="M3" s="126"/>
      <c r="N3" s="126"/>
      <c r="O3" s="57"/>
    </row>
    <row r="4" spans="1:23" ht="15" customHeight="1">
      <c r="K4" s="100"/>
      <c r="L4" s="100"/>
      <c r="M4" s="100"/>
      <c r="N4" s="100"/>
      <c r="O4" s="100"/>
    </row>
    <row r="5" spans="1:23" ht="45">
      <c r="K5" s="1" t="s">
        <v>52</v>
      </c>
      <c r="L5" s="1" t="s">
        <v>618</v>
      </c>
      <c r="M5" s="1" t="s">
        <v>619</v>
      </c>
      <c r="N5" s="1" t="s">
        <v>175</v>
      </c>
      <c r="O5" s="1" t="s">
        <v>620</v>
      </c>
      <c r="P5" s="1" t="s">
        <v>621</v>
      </c>
      <c r="Q5" s="1" t="s">
        <v>601</v>
      </c>
      <c r="R5" s="1" t="s">
        <v>622</v>
      </c>
      <c r="S5" s="1" t="s">
        <v>439</v>
      </c>
      <c r="T5" s="1" t="s">
        <v>150</v>
      </c>
      <c r="U5" s="1" t="s">
        <v>178</v>
      </c>
      <c r="V5" s="1" t="s">
        <v>8</v>
      </c>
      <c r="W5" s="1" t="s">
        <v>9</v>
      </c>
    </row>
    <row r="6" spans="1:23">
      <c r="A6" t="s">
        <v>10</v>
      </c>
    </row>
    <row r="7" spans="1:23">
      <c r="B7" t="s">
        <v>163</v>
      </c>
      <c r="K7" s="72">
        <v>5092141</v>
      </c>
      <c r="L7" s="73">
        <v>8633417</v>
      </c>
      <c r="M7" s="73">
        <v>7524292</v>
      </c>
      <c r="N7" s="73"/>
      <c r="O7" s="73"/>
      <c r="P7" s="73"/>
      <c r="Q7" s="73">
        <v>55669</v>
      </c>
      <c r="R7" s="73">
        <v>135805</v>
      </c>
      <c r="S7" s="73">
        <v>952393</v>
      </c>
      <c r="T7" s="73">
        <v>11079</v>
      </c>
      <c r="U7" s="73"/>
      <c r="V7" s="73">
        <v>743776</v>
      </c>
      <c r="W7" s="73">
        <f>SUM(K7:V7)</f>
        <v>23148572</v>
      </c>
    </row>
    <row r="8" spans="1:23">
      <c r="B8" t="s">
        <v>59</v>
      </c>
      <c r="K8" s="74">
        <v>853321</v>
      </c>
      <c r="L8" s="73">
        <v>254460</v>
      </c>
      <c r="M8" s="73">
        <v>119088</v>
      </c>
      <c r="N8" s="73">
        <v>4093176</v>
      </c>
      <c r="O8" s="73">
        <v>144196</v>
      </c>
      <c r="P8" s="73">
        <v>1441613</v>
      </c>
      <c r="Q8" s="73">
        <v>850705</v>
      </c>
      <c r="R8" s="73">
        <v>1258801</v>
      </c>
      <c r="S8" s="73"/>
      <c r="T8" s="73">
        <v>402078</v>
      </c>
      <c r="U8" s="73"/>
      <c r="V8" s="73">
        <v>1587257</v>
      </c>
      <c r="W8" s="73">
        <f>SUM(K8:V8)</f>
        <v>11004695</v>
      </c>
    </row>
    <row r="9" spans="1:23">
      <c r="B9" t="s">
        <v>623</v>
      </c>
      <c r="K9" s="75">
        <v>183431</v>
      </c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>
        <f>SUM(K9:V9)</f>
        <v>183431</v>
      </c>
    </row>
    <row r="10" spans="1:23">
      <c r="B10" t="s">
        <v>18</v>
      </c>
      <c r="K10" s="73"/>
      <c r="L10" s="73"/>
      <c r="M10" s="73"/>
      <c r="N10" s="73">
        <v>3805601</v>
      </c>
      <c r="O10" s="73">
        <v>3110193</v>
      </c>
      <c r="P10" s="73">
        <v>1573308</v>
      </c>
      <c r="Q10" s="73">
        <v>1054661</v>
      </c>
      <c r="R10" s="73">
        <v>3072393</v>
      </c>
      <c r="S10" s="73"/>
      <c r="T10" s="73"/>
      <c r="U10" s="73"/>
      <c r="V10" s="73">
        <v>3618368</v>
      </c>
      <c r="W10" s="73">
        <f>SUM(K10:V10)</f>
        <v>16234524</v>
      </c>
    </row>
    <row r="11" spans="1:23"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</row>
    <row r="12" spans="1:23" s="3" customFormat="1">
      <c r="A12" s="2"/>
      <c r="B12" s="2"/>
      <c r="C12" s="2"/>
      <c r="D12" s="2"/>
      <c r="E12" s="2" t="s">
        <v>129</v>
      </c>
      <c r="K12" s="76">
        <f>SUM(K7:K10)</f>
        <v>6128893</v>
      </c>
      <c r="L12" s="76">
        <f>SUM(L7:L10)</f>
        <v>8887877</v>
      </c>
      <c r="M12" s="76">
        <f>SUM(M7:M10)</f>
        <v>7643380</v>
      </c>
      <c r="N12" s="76">
        <f>SUM(N7:N10)</f>
        <v>7898777</v>
      </c>
      <c r="O12" s="76">
        <f>SUM(O7:O10)</f>
        <v>3254389</v>
      </c>
      <c r="P12" s="76">
        <f t="shared" ref="P12:T12" si="0">SUM(P7:P10)</f>
        <v>3014921</v>
      </c>
      <c r="Q12" s="76">
        <f t="shared" si="0"/>
        <v>1961035</v>
      </c>
      <c r="R12" s="76">
        <f t="shared" si="0"/>
        <v>4466999</v>
      </c>
      <c r="S12" s="76">
        <f t="shared" si="0"/>
        <v>952393</v>
      </c>
      <c r="T12" s="76">
        <f t="shared" si="0"/>
        <v>413157</v>
      </c>
      <c r="U12" s="76">
        <f>SUM(U7:U10)</f>
        <v>0</v>
      </c>
      <c r="V12" s="76">
        <f>SUM(V7:V10)</f>
        <v>5949401</v>
      </c>
      <c r="W12" s="76">
        <f>SUM(W7:W10)</f>
        <v>50571222</v>
      </c>
    </row>
    <row r="13" spans="1:23"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</row>
    <row r="14" spans="1:23">
      <c r="A14" s="4" t="s">
        <v>21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</row>
    <row r="15" spans="1:23">
      <c r="B15" t="s">
        <v>22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</row>
    <row r="16" spans="1:23">
      <c r="C16" t="s">
        <v>23</v>
      </c>
      <c r="K16" s="77">
        <v>164488</v>
      </c>
      <c r="L16" s="73">
        <v>16100</v>
      </c>
      <c r="M16" s="73">
        <v>829</v>
      </c>
      <c r="N16" s="73">
        <v>64309</v>
      </c>
      <c r="O16" s="73"/>
      <c r="P16" s="73">
        <v>51434</v>
      </c>
      <c r="Q16" s="73">
        <v>35314</v>
      </c>
      <c r="R16" s="73"/>
      <c r="S16" s="73">
        <v>45773</v>
      </c>
      <c r="T16" s="73">
        <v>108820</v>
      </c>
      <c r="U16" s="73">
        <v>20984</v>
      </c>
      <c r="V16" s="73">
        <v>255550</v>
      </c>
      <c r="W16" s="73">
        <f>SUM(K16:V16)</f>
        <v>763601</v>
      </c>
    </row>
    <row r="17" spans="1:23">
      <c r="C17" t="s">
        <v>184</v>
      </c>
      <c r="K17" s="77">
        <v>22095</v>
      </c>
      <c r="L17" s="73"/>
      <c r="M17" s="73">
        <v>1202</v>
      </c>
      <c r="N17" s="73">
        <v>32798</v>
      </c>
      <c r="O17" s="73">
        <v>1465</v>
      </c>
      <c r="P17" s="73">
        <v>1181</v>
      </c>
      <c r="Q17" s="73">
        <v>12571</v>
      </c>
      <c r="R17" s="73"/>
      <c r="S17" s="73"/>
      <c r="T17" s="73"/>
      <c r="U17" s="73"/>
      <c r="V17" s="73">
        <v>20168</v>
      </c>
      <c r="W17" s="73">
        <f>SUM(K17:V17)</f>
        <v>91480</v>
      </c>
    </row>
    <row r="18" spans="1:23">
      <c r="C18" t="s">
        <v>27</v>
      </c>
      <c r="K18" s="78">
        <v>1619718</v>
      </c>
      <c r="L18" s="73">
        <v>1546354</v>
      </c>
      <c r="M18" s="73">
        <v>4194714</v>
      </c>
      <c r="N18" s="73"/>
      <c r="O18" s="73"/>
      <c r="P18" s="73"/>
      <c r="Q18" s="73">
        <v>1231186</v>
      </c>
      <c r="R18" s="73"/>
      <c r="S18" s="73">
        <v>2352478</v>
      </c>
      <c r="T18" s="73">
        <v>1132578</v>
      </c>
      <c r="U18" s="73">
        <v>2553795</v>
      </c>
      <c r="V18" s="73">
        <v>1398811</v>
      </c>
      <c r="W18" s="73">
        <f>SUM(K18:V18)</f>
        <v>16029634</v>
      </c>
    </row>
    <row r="19" spans="1:23">
      <c r="C19" t="s">
        <v>624</v>
      </c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>
        <v>93304</v>
      </c>
      <c r="W19" s="73">
        <f>SUM(K19:V19)</f>
        <v>93304</v>
      </c>
    </row>
    <row r="20" spans="1:23">
      <c r="C20" t="s">
        <v>117</v>
      </c>
      <c r="K20" s="83">
        <v>217436</v>
      </c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>
        <f>SUM(K20:V20)</f>
        <v>217436</v>
      </c>
    </row>
    <row r="21" spans="1:23"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</row>
    <row r="22" spans="1:23" s="5" customFormat="1">
      <c r="B22" s="6"/>
      <c r="C22" s="6"/>
      <c r="D22" s="6"/>
      <c r="E22" s="6" t="s">
        <v>28</v>
      </c>
      <c r="K22" s="79">
        <f t="shared" ref="K22:P22" si="1">SUM(K16:K20)</f>
        <v>2023737</v>
      </c>
      <c r="L22" s="79">
        <f t="shared" si="1"/>
        <v>1562454</v>
      </c>
      <c r="M22" s="79">
        <f t="shared" si="1"/>
        <v>4196745</v>
      </c>
      <c r="N22" s="79">
        <f t="shared" si="1"/>
        <v>97107</v>
      </c>
      <c r="O22" s="79">
        <f t="shared" si="1"/>
        <v>1465</v>
      </c>
      <c r="P22" s="79">
        <f t="shared" si="1"/>
        <v>52615</v>
      </c>
      <c r="Q22" s="79">
        <f t="shared" ref="Q22:U22" si="2">SUM(Q16:Q20)</f>
        <v>1279071</v>
      </c>
      <c r="R22" s="79">
        <f t="shared" si="2"/>
        <v>0</v>
      </c>
      <c r="S22" s="79">
        <f t="shared" si="2"/>
        <v>2398251</v>
      </c>
      <c r="T22" s="79">
        <f t="shared" si="2"/>
        <v>1241398</v>
      </c>
      <c r="U22" s="79">
        <f t="shared" si="2"/>
        <v>2574779</v>
      </c>
      <c r="V22" s="79">
        <f>SUM(V16:V20)</f>
        <v>1767833</v>
      </c>
      <c r="W22" s="79">
        <f>SUM(W16:W20)</f>
        <v>17195455</v>
      </c>
    </row>
    <row r="23" spans="1:23"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</row>
    <row r="24" spans="1:23">
      <c r="A24" s="71" t="s">
        <v>625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</row>
    <row r="25" spans="1:23">
      <c r="C25" t="s">
        <v>98</v>
      </c>
      <c r="K25" s="88">
        <v>46150</v>
      </c>
      <c r="L25" s="88"/>
      <c r="M25" s="88">
        <v>24030</v>
      </c>
      <c r="N25" s="88">
        <v>105350</v>
      </c>
      <c r="O25" s="88"/>
      <c r="P25" s="88">
        <v>48600</v>
      </c>
      <c r="Q25" s="88">
        <v>31138</v>
      </c>
      <c r="R25" s="88"/>
      <c r="S25" s="88"/>
      <c r="T25" s="88"/>
      <c r="U25" s="88"/>
      <c r="V25" s="88">
        <v>40030</v>
      </c>
      <c r="W25" s="88">
        <f>SUM(K25:V25)</f>
        <v>295298</v>
      </c>
    </row>
    <row r="26" spans="1:23"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</row>
    <row r="27" spans="1:23">
      <c r="B27" t="s">
        <v>31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</row>
    <row r="28" spans="1:23">
      <c r="C28" t="s">
        <v>32</v>
      </c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</row>
    <row r="29" spans="1:23">
      <c r="D29" t="s">
        <v>626</v>
      </c>
      <c r="K29" s="73"/>
      <c r="L29" s="73">
        <v>7325423</v>
      </c>
      <c r="M29" s="73">
        <v>3422605</v>
      </c>
      <c r="N29" s="73"/>
      <c r="O29" s="73"/>
      <c r="P29" s="73"/>
      <c r="Q29" s="73"/>
      <c r="R29" s="73"/>
      <c r="S29" s="73"/>
      <c r="T29" s="73"/>
      <c r="U29" s="73"/>
      <c r="V29" s="73"/>
      <c r="W29" s="73">
        <f>SUM(K29:V29)</f>
        <v>10748028</v>
      </c>
    </row>
    <row r="30" spans="1:23">
      <c r="D30" t="s">
        <v>68</v>
      </c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>
        <v>119840</v>
      </c>
      <c r="W30" s="73">
        <f t="shared" ref="W30:W46" si="3">SUM(K30:V30)</f>
        <v>119840</v>
      </c>
    </row>
    <row r="31" spans="1:23">
      <c r="D31" t="s">
        <v>70</v>
      </c>
      <c r="K31" s="73"/>
      <c r="L31" s="73"/>
      <c r="M31" s="73"/>
      <c r="N31" s="73">
        <v>7696320</v>
      </c>
      <c r="O31" s="73"/>
      <c r="P31" s="73"/>
      <c r="Q31" s="73"/>
      <c r="R31" s="73"/>
      <c r="S31" s="73"/>
      <c r="T31" s="73"/>
      <c r="U31" s="73"/>
      <c r="V31" s="73">
        <v>590667</v>
      </c>
      <c r="W31" s="73">
        <f t="shared" si="3"/>
        <v>8286987</v>
      </c>
    </row>
    <row r="32" spans="1:23">
      <c r="D32" t="s">
        <v>69</v>
      </c>
      <c r="K32" s="73"/>
      <c r="L32" s="73"/>
      <c r="M32" s="73"/>
      <c r="N32" s="73"/>
      <c r="O32" s="73"/>
      <c r="P32" s="73">
        <v>2913706</v>
      </c>
      <c r="Q32" s="73"/>
      <c r="R32" s="73"/>
      <c r="S32" s="73"/>
      <c r="T32" s="73"/>
      <c r="U32" s="73"/>
      <c r="V32" s="73">
        <v>379995</v>
      </c>
      <c r="W32" s="73">
        <f t="shared" si="3"/>
        <v>3293701</v>
      </c>
    </row>
    <row r="33" spans="3:23">
      <c r="D33" t="s">
        <v>45</v>
      </c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>
        <v>1408560</v>
      </c>
      <c r="W33" s="73">
        <f t="shared" si="3"/>
        <v>1408560</v>
      </c>
    </row>
    <row r="34" spans="3:23">
      <c r="D34" t="s">
        <v>147</v>
      </c>
      <c r="K34" s="73"/>
      <c r="L34" s="73"/>
      <c r="M34" s="73"/>
      <c r="N34" s="73"/>
      <c r="O34" s="73"/>
      <c r="P34" s="73"/>
      <c r="Q34" s="73">
        <v>650826</v>
      </c>
      <c r="R34" s="73"/>
      <c r="S34" s="73"/>
      <c r="T34" s="73"/>
      <c r="U34" s="73"/>
      <c r="V34" s="73">
        <v>81171</v>
      </c>
      <c r="W34" s="73">
        <f t="shared" si="3"/>
        <v>731997</v>
      </c>
    </row>
    <row r="35" spans="3:23">
      <c r="D35" t="s">
        <v>43</v>
      </c>
      <c r="K35" s="73"/>
      <c r="L35" s="73"/>
      <c r="M35" s="73"/>
      <c r="N35" s="73"/>
      <c r="O35" s="73"/>
      <c r="P35" s="73"/>
      <c r="Q35" s="73"/>
      <c r="R35" s="73">
        <v>4466999</v>
      </c>
      <c r="S35" s="73"/>
      <c r="T35" s="73"/>
      <c r="U35" s="73"/>
      <c r="V35" s="73">
        <v>141472</v>
      </c>
      <c r="W35" s="73">
        <f t="shared" si="3"/>
        <v>4608471</v>
      </c>
    </row>
    <row r="36" spans="3:23">
      <c r="D36" t="s">
        <v>564</v>
      </c>
      <c r="K36" s="73"/>
      <c r="L36" s="73"/>
      <c r="M36" s="73"/>
      <c r="N36" s="73"/>
      <c r="O36" s="73"/>
      <c r="P36" s="73"/>
      <c r="Q36" s="73"/>
      <c r="R36" s="73"/>
      <c r="S36" s="73">
        <v>-1445858</v>
      </c>
      <c r="T36" s="73"/>
      <c r="U36" s="73"/>
      <c r="V36" s="73"/>
      <c r="W36" s="73">
        <f t="shared" si="3"/>
        <v>-1445858</v>
      </c>
    </row>
    <row r="37" spans="3:23">
      <c r="C37" t="s">
        <v>464</v>
      </c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>
        <f t="shared" si="3"/>
        <v>0</v>
      </c>
    </row>
    <row r="38" spans="3:23">
      <c r="D38" t="s">
        <v>68</v>
      </c>
      <c r="K38" s="73"/>
      <c r="L38" s="73"/>
      <c r="M38" s="73"/>
      <c r="N38" s="73"/>
      <c r="O38" s="73">
        <v>2920764</v>
      </c>
      <c r="P38" s="73"/>
      <c r="Q38" s="73"/>
      <c r="R38" s="73"/>
      <c r="S38" s="73"/>
      <c r="T38" s="73"/>
      <c r="U38" s="73"/>
      <c r="V38" s="73">
        <v>223623</v>
      </c>
      <c r="W38" s="73">
        <f t="shared" si="3"/>
        <v>3144387</v>
      </c>
    </row>
    <row r="39" spans="3:23">
      <c r="D39" t="s">
        <v>70</v>
      </c>
      <c r="K39" s="73"/>
      <c r="L39" s="73"/>
      <c r="M39" s="73"/>
      <c r="N39" s="73"/>
      <c r="O39" s="73">
        <v>150000</v>
      </c>
      <c r="P39" s="73"/>
      <c r="Q39" s="73"/>
      <c r="R39" s="73"/>
      <c r="S39" s="73"/>
      <c r="T39" s="73"/>
      <c r="U39" s="73"/>
      <c r="V39" s="73">
        <v>316403</v>
      </c>
      <c r="W39" s="73">
        <f t="shared" si="3"/>
        <v>466403</v>
      </c>
    </row>
    <row r="40" spans="3:23">
      <c r="D40" t="s">
        <v>69</v>
      </c>
      <c r="K40" s="73"/>
      <c r="L40" s="73"/>
      <c r="M40" s="73"/>
      <c r="N40" s="73"/>
      <c r="O40" s="73">
        <v>78600</v>
      </c>
      <c r="P40" s="73"/>
      <c r="Q40" s="73"/>
      <c r="R40" s="73"/>
      <c r="S40" s="73"/>
      <c r="T40" s="73"/>
      <c r="U40" s="73"/>
      <c r="V40" s="73"/>
      <c r="W40" s="73">
        <f t="shared" si="3"/>
        <v>78600</v>
      </c>
    </row>
    <row r="41" spans="3:23">
      <c r="D41" t="s">
        <v>45</v>
      </c>
      <c r="K41" s="73"/>
      <c r="L41" s="73"/>
      <c r="M41" s="73"/>
      <c r="N41" s="73"/>
      <c r="O41" s="73">
        <v>103560</v>
      </c>
      <c r="P41" s="73"/>
      <c r="Q41" s="73"/>
      <c r="R41" s="73"/>
      <c r="S41" s="73"/>
      <c r="T41" s="73"/>
      <c r="U41" s="73"/>
      <c r="V41" s="73"/>
      <c r="W41" s="73">
        <f t="shared" si="3"/>
        <v>103560</v>
      </c>
    </row>
    <row r="42" spans="3:23">
      <c r="D42" t="s">
        <v>564</v>
      </c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>
        <f t="shared" si="3"/>
        <v>0</v>
      </c>
    </row>
    <row r="43" spans="3:23">
      <c r="C43" t="s">
        <v>42</v>
      </c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>
        <f t="shared" si="3"/>
        <v>0</v>
      </c>
    </row>
    <row r="44" spans="3:23">
      <c r="D44" t="s">
        <v>45</v>
      </c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>
        <v>1273149</v>
      </c>
      <c r="W44" s="73">
        <f t="shared" si="3"/>
        <v>1273149</v>
      </c>
    </row>
    <row r="45" spans="3:23">
      <c r="D45" t="s">
        <v>43</v>
      </c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>
        <v>18053</v>
      </c>
      <c r="W45" s="73">
        <f t="shared" si="3"/>
        <v>18053</v>
      </c>
    </row>
    <row r="46" spans="3:23">
      <c r="C46" t="s">
        <v>48</v>
      </c>
      <c r="K46" s="86">
        <v>4059006</v>
      </c>
      <c r="L46" s="73"/>
      <c r="M46" s="73"/>
      <c r="N46" s="73"/>
      <c r="O46" s="73"/>
      <c r="P46" s="73"/>
      <c r="Q46" s="73"/>
      <c r="R46" s="73"/>
      <c r="S46" s="73"/>
      <c r="T46" s="73">
        <v>-828241</v>
      </c>
      <c r="U46" s="73">
        <v>-2574779</v>
      </c>
      <c r="V46" s="73">
        <v>-411395</v>
      </c>
      <c r="W46" s="73">
        <f t="shared" si="3"/>
        <v>244591</v>
      </c>
    </row>
    <row r="47" spans="3:23"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</row>
    <row r="48" spans="3:23" s="5" customFormat="1">
      <c r="D48" s="6"/>
      <c r="E48" s="6" t="s">
        <v>49</v>
      </c>
      <c r="K48" s="79">
        <f t="shared" ref="K48:P48" si="4">SUM(K28:K46)</f>
        <v>4059006</v>
      </c>
      <c r="L48" s="79">
        <f t="shared" si="4"/>
        <v>7325423</v>
      </c>
      <c r="M48" s="79">
        <f t="shared" si="4"/>
        <v>3422605</v>
      </c>
      <c r="N48" s="79">
        <f t="shared" si="4"/>
        <v>7696320</v>
      </c>
      <c r="O48" s="79">
        <f t="shared" si="4"/>
        <v>3252924</v>
      </c>
      <c r="P48" s="79">
        <f t="shared" si="4"/>
        <v>2913706</v>
      </c>
      <c r="Q48" s="79">
        <f t="shared" ref="Q48:U48" si="5">SUM(Q28:Q46)</f>
        <v>650826</v>
      </c>
      <c r="R48" s="79">
        <f t="shared" si="5"/>
        <v>4466999</v>
      </c>
      <c r="S48" s="79">
        <f t="shared" si="5"/>
        <v>-1445858</v>
      </c>
      <c r="T48" s="79">
        <f t="shared" si="5"/>
        <v>-828241</v>
      </c>
      <c r="U48" s="79">
        <f t="shared" si="5"/>
        <v>-2574779</v>
      </c>
      <c r="V48" s="79">
        <f>SUM(V28:V46)</f>
        <v>4141538</v>
      </c>
      <c r="W48" s="79">
        <f>SUM(W28:W46)</f>
        <v>33080469</v>
      </c>
    </row>
    <row r="49" spans="4:23"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</row>
    <row r="50" spans="4:23" s="7" customFormat="1">
      <c r="D50" s="8"/>
      <c r="E50" s="8" t="s">
        <v>50</v>
      </c>
      <c r="K50" s="81">
        <f>SUM(K48,K22,K25)</f>
        <v>6128893</v>
      </c>
      <c r="L50" s="81">
        <f t="shared" ref="L50:W50" si="6">SUM(L48,L22,L25)</f>
        <v>8887877</v>
      </c>
      <c r="M50" s="81">
        <f t="shared" si="6"/>
        <v>7643380</v>
      </c>
      <c r="N50" s="81">
        <f t="shared" si="6"/>
        <v>7898777</v>
      </c>
      <c r="O50" s="81">
        <f t="shared" si="6"/>
        <v>3254389</v>
      </c>
      <c r="P50" s="81">
        <f t="shared" si="6"/>
        <v>3014921</v>
      </c>
      <c r="Q50" s="81">
        <f t="shared" si="6"/>
        <v>1961035</v>
      </c>
      <c r="R50" s="81">
        <f t="shared" si="6"/>
        <v>4466999</v>
      </c>
      <c r="S50" s="81">
        <f t="shared" si="6"/>
        <v>952393</v>
      </c>
      <c r="T50" s="81">
        <f t="shared" si="6"/>
        <v>413157</v>
      </c>
      <c r="U50" s="81">
        <f t="shared" si="6"/>
        <v>0</v>
      </c>
      <c r="V50" s="81">
        <f t="shared" si="6"/>
        <v>5949401</v>
      </c>
      <c r="W50" s="81">
        <f t="shared" si="6"/>
        <v>50571222</v>
      </c>
    </row>
  </sheetData>
  <mergeCells count="3">
    <mergeCell ref="D1:K1"/>
    <mergeCell ref="D2:K2"/>
    <mergeCell ref="K3:N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R47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7" width="19.42578125" customWidth="1"/>
    <col min="18" max="18" width="19.85546875" bestFit="1" customWidth="1"/>
    <col min="19" max="19" width="18.28515625" customWidth="1"/>
  </cols>
  <sheetData>
    <row r="1" spans="1:18" ht="18.75">
      <c r="D1" s="125" t="s">
        <v>627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265</v>
      </c>
      <c r="E2" s="126"/>
      <c r="F2" s="126"/>
      <c r="G2" s="126"/>
      <c r="H2" s="126"/>
      <c r="I2" s="126"/>
      <c r="J2" s="126"/>
      <c r="K2" s="126"/>
    </row>
    <row r="3" spans="1:18" ht="29.25" customHeight="1">
      <c r="D3" s="57"/>
      <c r="E3" s="57"/>
      <c r="F3" s="57"/>
      <c r="G3" s="57"/>
      <c r="H3" s="57"/>
      <c r="I3" s="57"/>
      <c r="J3" s="57"/>
      <c r="K3" s="126"/>
      <c r="L3" s="126"/>
      <c r="M3" s="126"/>
      <c r="N3" s="126"/>
      <c r="O3" s="57"/>
    </row>
    <row r="4" spans="1:18" ht="15" customHeight="1">
      <c r="K4" s="100"/>
      <c r="L4" s="100"/>
      <c r="M4" s="100"/>
      <c r="N4" s="100"/>
      <c r="O4" s="100"/>
    </row>
    <row r="5" spans="1:18" ht="60">
      <c r="K5" s="1" t="s">
        <v>52</v>
      </c>
      <c r="L5" s="1" t="s">
        <v>628</v>
      </c>
      <c r="M5" s="1" t="s">
        <v>629</v>
      </c>
      <c r="N5" s="1" t="s">
        <v>630</v>
      </c>
      <c r="O5" s="1" t="s">
        <v>631</v>
      </c>
      <c r="P5" s="1" t="s">
        <v>632</v>
      </c>
      <c r="Q5" s="1" t="s">
        <v>8</v>
      </c>
      <c r="R5" s="1" t="s">
        <v>9</v>
      </c>
    </row>
    <row r="6" spans="1:18">
      <c r="A6" t="s">
        <v>10</v>
      </c>
    </row>
    <row r="7" spans="1:18">
      <c r="B7" t="s">
        <v>163</v>
      </c>
      <c r="K7" s="72">
        <v>224283</v>
      </c>
      <c r="L7" s="73">
        <v>122</v>
      </c>
      <c r="M7" s="73">
        <v>1</v>
      </c>
      <c r="N7" s="73"/>
      <c r="O7" s="73">
        <v>125</v>
      </c>
      <c r="P7" s="73"/>
      <c r="Q7" s="73">
        <v>4167813</v>
      </c>
      <c r="R7" s="73">
        <f t="shared" ref="R7:R13" si="0">SUM(K7:Q7)</f>
        <v>4392344</v>
      </c>
    </row>
    <row r="8" spans="1:18">
      <c r="B8" t="s">
        <v>12</v>
      </c>
      <c r="K8" s="73"/>
      <c r="L8" s="73">
        <v>210305</v>
      </c>
      <c r="M8" s="73">
        <v>1954939</v>
      </c>
      <c r="N8" s="73">
        <v>4484697</v>
      </c>
      <c r="O8" s="73"/>
      <c r="P8" s="73">
        <v>4289816</v>
      </c>
      <c r="Q8" s="73">
        <v>3835744</v>
      </c>
      <c r="R8" s="73">
        <f t="shared" si="0"/>
        <v>14775501</v>
      </c>
    </row>
    <row r="9" spans="1:18">
      <c r="B9" t="s">
        <v>514</v>
      </c>
      <c r="K9" s="74">
        <v>494223</v>
      </c>
      <c r="L9" s="73">
        <v>151285</v>
      </c>
      <c r="M9" s="73">
        <v>27301</v>
      </c>
      <c r="N9" s="73">
        <v>4668</v>
      </c>
      <c r="O9" s="73"/>
      <c r="P9" s="73">
        <v>216891</v>
      </c>
      <c r="Q9" s="73">
        <v>272590</v>
      </c>
      <c r="R9" s="73">
        <f t="shared" si="0"/>
        <v>1166958</v>
      </c>
    </row>
    <row r="10" spans="1:18">
      <c r="B10" t="s">
        <v>19</v>
      </c>
      <c r="K10" s="75">
        <v>1572918</v>
      </c>
      <c r="L10" s="73">
        <v>2125</v>
      </c>
      <c r="M10" s="73">
        <v>236281</v>
      </c>
      <c r="N10" s="73">
        <v>2310</v>
      </c>
      <c r="O10" s="73"/>
      <c r="P10" s="73">
        <v>162246</v>
      </c>
      <c r="Q10" s="73"/>
      <c r="R10" s="73">
        <f t="shared" si="0"/>
        <v>1975880</v>
      </c>
    </row>
    <row r="11" spans="1:18">
      <c r="B11" t="s">
        <v>60</v>
      </c>
      <c r="K11" s="75">
        <v>3341998</v>
      </c>
      <c r="L11" s="73">
        <v>2724708</v>
      </c>
      <c r="M11" s="73">
        <v>609893</v>
      </c>
      <c r="N11" s="73">
        <v>1678153</v>
      </c>
      <c r="O11" s="73"/>
      <c r="P11" s="73"/>
      <c r="Q11" s="73">
        <v>2409504</v>
      </c>
      <c r="R11" s="73">
        <f t="shared" si="0"/>
        <v>10764256</v>
      </c>
    </row>
    <row r="12" spans="1:18">
      <c r="B12" t="s">
        <v>633</v>
      </c>
      <c r="K12" s="83">
        <v>246000</v>
      </c>
      <c r="L12" s="73">
        <v>1365519</v>
      </c>
      <c r="M12" s="73">
        <v>958000</v>
      </c>
      <c r="N12" s="73"/>
      <c r="O12" s="73"/>
      <c r="P12" s="73">
        <v>954310</v>
      </c>
      <c r="Q12" s="73">
        <v>986354</v>
      </c>
      <c r="R12" s="73">
        <f t="shared" si="0"/>
        <v>4510183</v>
      </c>
    </row>
    <row r="13" spans="1:18">
      <c r="B13" t="s">
        <v>88</v>
      </c>
      <c r="K13" s="73"/>
      <c r="L13" s="73"/>
      <c r="M13" s="73"/>
      <c r="N13" s="73"/>
      <c r="O13" s="73"/>
      <c r="P13" s="73"/>
      <c r="Q13" s="73">
        <v>4220</v>
      </c>
      <c r="R13" s="73">
        <f t="shared" si="0"/>
        <v>4220</v>
      </c>
    </row>
    <row r="14" spans="1:18">
      <c r="K14" s="73"/>
      <c r="L14" s="73"/>
      <c r="M14" s="73"/>
      <c r="N14" s="73"/>
      <c r="O14" s="73"/>
      <c r="P14" s="73"/>
      <c r="Q14" s="73"/>
      <c r="R14" s="73"/>
    </row>
    <row r="15" spans="1:18" s="3" customFormat="1">
      <c r="A15" s="2"/>
      <c r="B15" s="2"/>
      <c r="C15" s="2"/>
      <c r="D15" s="2"/>
      <c r="E15" s="2" t="s">
        <v>129</v>
      </c>
      <c r="K15" s="76">
        <f t="shared" ref="K15:R15" si="1">SUM(K7:K13)</f>
        <v>5879422</v>
      </c>
      <c r="L15" s="76">
        <f t="shared" si="1"/>
        <v>4454064</v>
      </c>
      <c r="M15" s="76">
        <f t="shared" si="1"/>
        <v>3786415</v>
      </c>
      <c r="N15" s="76">
        <f t="shared" si="1"/>
        <v>6169828</v>
      </c>
      <c r="O15" s="76">
        <f t="shared" si="1"/>
        <v>125</v>
      </c>
      <c r="P15" s="76">
        <f t="shared" si="1"/>
        <v>5623263</v>
      </c>
      <c r="Q15" s="76">
        <f t="shared" si="1"/>
        <v>11676225</v>
      </c>
      <c r="R15" s="76">
        <f t="shared" si="1"/>
        <v>37589342</v>
      </c>
    </row>
    <row r="16" spans="1:18">
      <c r="K16" s="73"/>
      <c r="L16" s="73"/>
      <c r="M16" s="73"/>
      <c r="N16" s="73"/>
      <c r="O16" s="73"/>
      <c r="P16" s="73"/>
      <c r="Q16" s="73"/>
      <c r="R16" s="73"/>
    </row>
    <row r="17" spans="1:18">
      <c r="A17" s="4" t="s">
        <v>21</v>
      </c>
      <c r="K17" s="73"/>
      <c r="L17" s="73"/>
      <c r="M17" s="73"/>
      <c r="N17" s="73"/>
      <c r="O17" s="73"/>
      <c r="P17" s="73"/>
      <c r="Q17" s="73"/>
      <c r="R17" s="73"/>
    </row>
    <row r="18" spans="1:18">
      <c r="B18" t="s">
        <v>22</v>
      </c>
      <c r="K18" s="73"/>
      <c r="L18" s="73"/>
      <c r="M18" s="73"/>
      <c r="N18" s="73"/>
      <c r="O18" s="73"/>
      <c r="P18" s="73"/>
      <c r="Q18" s="73"/>
      <c r="R18" s="73"/>
    </row>
    <row r="19" spans="1:18">
      <c r="C19" t="s">
        <v>23</v>
      </c>
      <c r="K19" s="77">
        <v>407973</v>
      </c>
      <c r="L19" s="73">
        <v>24130</v>
      </c>
      <c r="M19" s="73">
        <v>193945</v>
      </c>
      <c r="N19" s="73">
        <v>167735</v>
      </c>
      <c r="O19" s="73"/>
      <c r="P19" s="73"/>
      <c r="Q19" s="73">
        <v>289763</v>
      </c>
      <c r="R19" s="73">
        <f>SUM(K19:Q19)</f>
        <v>1083546</v>
      </c>
    </row>
    <row r="20" spans="1:18">
      <c r="C20" t="s">
        <v>24</v>
      </c>
      <c r="K20" s="73"/>
      <c r="L20" s="73"/>
      <c r="M20" s="73"/>
      <c r="N20" s="73">
        <v>159540</v>
      </c>
      <c r="O20" s="73"/>
      <c r="P20" s="73"/>
      <c r="Q20" s="73"/>
      <c r="R20" s="73">
        <f>SUM(K20:Q20)</f>
        <v>159540</v>
      </c>
    </row>
    <row r="21" spans="1:18">
      <c r="C21" t="s">
        <v>184</v>
      </c>
      <c r="K21" s="77">
        <v>227211</v>
      </c>
      <c r="L21" s="73">
        <v>88581</v>
      </c>
      <c r="M21" s="73">
        <v>2769</v>
      </c>
      <c r="N21" s="73"/>
      <c r="O21" s="73"/>
      <c r="P21" s="73"/>
      <c r="Q21" s="73">
        <v>109630</v>
      </c>
      <c r="R21" s="73">
        <f>SUM(K21:Q21)</f>
        <v>428191</v>
      </c>
    </row>
    <row r="22" spans="1:18">
      <c r="C22" t="s">
        <v>95</v>
      </c>
      <c r="K22" s="73"/>
      <c r="L22" s="73"/>
      <c r="M22" s="73"/>
      <c r="N22" s="73"/>
      <c r="O22" s="73"/>
      <c r="P22" s="73"/>
      <c r="Q22" s="73">
        <v>673621</v>
      </c>
      <c r="R22" s="73">
        <f>SUM(K22:Q22)</f>
        <v>673621</v>
      </c>
    </row>
    <row r="23" spans="1:18">
      <c r="C23" t="s">
        <v>634</v>
      </c>
      <c r="K23" s="83">
        <v>3391452</v>
      </c>
      <c r="L23" s="73">
        <v>123000</v>
      </c>
      <c r="M23" s="73">
        <v>1702378</v>
      </c>
      <c r="N23" s="73">
        <v>2280642</v>
      </c>
      <c r="O23" s="73"/>
      <c r="P23" s="73">
        <v>4473594</v>
      </c>
      <c r="Q23" s="73">
        <v>650290</v>
      </c>
      <c r="R23" s="73">
        <f>SUM(K23:Q23)</f>
        <v>12621356</v>
      </c>
    </row>
    <row r="24" spans="1:18">
      <c r="K24" s="73"/>
      <c r="L24" s="73"/>
      <c r="M24" s="73"/>
      <c r="N24" s="73"/>
      <c r="O24" s="73"/>
      <c r="P24" s="73"/>
      <c r="Q24" s="73"/>
      <c r="R24" s="73"/>
    </row>
    <row r="25" spans="1:18" s="5" customFormat="1">
      <c r="B25" s="6"/>
      <c r="C25" s="6"/>
      <c r="D25" s="6"/>
      <c r="E25" s="6" t="s">
        <v>28</v>
      </c>
      <c r="K25" s="79">
        <f t="shared" ref="K25:R25" si="2">SUM(K19:K23)</f>
        <v>4026636</v>
      </c>
      <c r="L25" s="79">
        <f t="shared" si="2"/>
        <v>235711</v>
      </c>
      <c r="M25" s="79">
        <f t="shared" si="2"/>
        <v>1899092</v>
      </c>
      <c r="N25" s="79">
        <f t="shared" si="2"/>
        <v>2607917</v>
      </c>
      <c r="O25" s="79">
        <f t="shared" si="2"/>
        <v>0</v>
      </c>
      <c r="P25" s="79">
        <f t="shared" si="2"/>
        <v>4473594</v>
      </c>
      <c r="Q25" s="79">
        <f t="shared" si="2"/>
        <v>1723304</v>
      </c>
      <c r="R25" s="79">
        <f t="shared" si="2"/>
        <v>14966254</v>
      </c>
    </row>
    <row r="26" spans="1:18">
      <c r="K26" s="73"/>
      <c r="L26" s="73"/>
      <c r="M26" s="73"/>
      <c r="N26" s="73"/>
      <c r="O26" s="73"/>
      <c r="P26" s="73"/>
      <c r="Q26" s="73"/>
      <c r="R26" s="73"/>
    </row>
    <row r="27" spans="1:18">
      <c r="B27" t="s">
        <v>635</v>
      </c>
      <c r="K27" s="73"/>
      <c r="L27" s="73"/>
      <c r="M27" s="73"/>
      <c r="N27" s="73"/>
      <c r="O27" s="73"/>
      <c r="P27" s="73"/>
      <c r="Q27" s="73"/>
      <c r="R27" s="73"/>
    </row>
    <row r="28" spans="1:18">
      <c r="C28" t="s">
        <v>636</v>
      </c>
      <c r="K28" s="80">
        <v>1550000</v>
      </c>
      <c r="L28" s="73">
        <v>958000</v>
      </c>
      <c r="M28" s="73"/>
      <c r="N28" s="73"/>
      <c r="O28" s="73"/>
      <c r="P28" s="73"/>
      <c r="Q28" s="73">
        <v>268276</v>
      </c>
      <c r="R28" s="73">
        <f>SUM(K28:Q28)</f>
        <v>2776276</v>
      </c>
    </row>
    <row r="29" spans="1:18">
      <c r="C29" t="s">
        <v>589</v>
      </c>
      <c r="K29" s="73"/>
      <c r="L29" s="73"/>
      <c r="M29" s="73"/>
      <c r="N29" s="73"/>
      <c r="O29" s="73"/>
      <c r="P29" s="73"/>
      <c r="Q29" s="73"/>
      <c r="R29" s="73"/>
    </row>
    <row r="30" spans="1:18">
      <c r="D30" t="s">
        <v>637</v>
      </c>
      <c r="K30" s="73"/>
      <c r="L30" s="73"/>
      <c r="M30" s="73"/>
      <c r="N30" s="73"/>
      <c r="O30" s="73"/>
      <c r="P30" s="73"/>
      <c r="Q30" s="73">
        <v>1657063</v>
      </c>
      <c r="R30" s="73">
        <f>SUM(K30:Q30)</f>
        <v>1657063</v>
      </c>
    </row>
    <row r="31" spans="1:18">
      <c r="D31" t="s">
        <v>43</v>
      </c>
      <c r="K31" s="73"/>
      <c r="L31" s="73"/>
      <c r="M31" s="73"/>
      <c r="N31" s="73"/>
      <c r="O31" s="73"/>
      <c r="P31" s="73"/>
      <c r="Q31" s="73">
        <v>2600321</v>
      </c>
      <c r="R31" s="73">
        <f>SUM(K31:Q31)</f>
        <v>2600321</v>
      </c>
    </row>
    <row r="32" spans="1:18">
      <c r="C32" t="s">
        <v>638</v>
      </c>
      <c r="K32" s="73"/>
      <c r="L32" s="73"/>
      <c r="M32" s="73"/>
      <c r="N32" s="73"/>
      <c r="O32" s="73"/>
      <c r="P32" s="73"/>
      <c r="Q32" s="73">
        <v>832832</v>
      </c>
      <c r="R32" s="73">
        <f>SUM(K32:Q32)</f>
        <v>832832</v>
      </c>
    </row>
    <row r="33" spans="3:18">
      <c r="C33" t="s">
        <v>593</v>
      </c>
      <c r="K33" s="73"/>
      <c r="L33" s="73"/>
      <c r="M33" s="73"/>
      <c r="N33" s="73"/>
      <c r="O33" s="73"/>
      <c r="P33" s="73"/>
      <c r="Q33" s="73"/>
      <c r="R33" s="73"/>
    </row>
    <row r="34" spans="3:18">
      <c r="D34" t="s">
        <v>639</v>
      </c>
      <c r="K34" s="73"/>
      <c r="L34" s="73"/>
      <c r="M34" s="73"/>
      <c r="N34" s="73"/>
      <c r="O34" s="73"/>
      <c r="P34" s="73"/>
      <c r="Q34" s="73">
        <v>99989</v>
      </c>
      <c r="R34" s="73">
        <f t="shared" ref="R34:R43" si="3">SUM(K34:Q34)</f>
        <v>99989</v>
      </c>
    </row>
    <row r="35" spans="3:18">
      <c r="D35" t="s">
        <v>69</v>
      </c>
      <c r="K35" s="73"/>
      <c r="L35" s="73"/>
      <c r="M35" s="73"/>
      <c r="N35" s="73"/>
      <c r="O35" s="73"/>
      <c r="P35" s="73"/>
      <c r="Q35" s="73">
        <v>60557</v>
      </c>
      <c r="R35" s="73">
        <f t="shared" si="3"/>
        <v>60557</v>
      </c>
    </row>
    <row r="36" spans="3:18">
      <c r="D36" t="s">
        <v>70</v>
      </c>
      <c r="K36" s="73"/>
      <c r="L36" s="73">
        <v>3260353</v>
      </c>
      <c r="M36" s="73"/>
      <c r="N36" s="73"/>
      <c r="O36" s="73"/>
      <c r="P36" s="73"/>
      <c r="Q36" s="73">
        <v>150478</v>
      </c>
      <c r="R36" s="73">
        <f t="shared" si="3"/>
        <v>3410831</v>
      </c>
    </row>
    <row r="37" spans="3:18">
      <c r="D37" t="s">
        <v>640</v>
      </c>
      <c r="K37" s="73"/>
      <c r="L37" s="73"/>
      <c r="M37" s="73"/>
      <c r="N37" s="73"/>
      <c r="O37" s="73"/>
      <c r="P37" s="73"/>
      <c r="Q37" s="73">
        <v>271656</v>
      </c>
      <c r="R37" s="73">
        <f t="shared" si="3"/>
        <v>271656</v>
      </c>
    </row>
    <row r="38" spans="3:18">
      <c r="D38" t="s">
        <v>147</v>
      </c>
      <c r="K38" s="73"/>
      <c r="L38" s="73"/>
      <c r="M38" s="73"/>
      <c r="N38" s="73"/>
      <c r="O38" s="73"/>
      <c r="P38" s="73"/>
      <c r="Q38" s="73">
        <v>510139</v>
      </c>
      <c r="R38" s="73">
        <f t="shared" si="3"/>
        <v>510139</v>
      </c>
    </row>
    <row r="39" spans="3:18">
      <c r="D39" t="s">
        <v>641</v>
      </c>
      <c r="K39" s="73"/>
      <c r="L39" s="73"/>
      <c r="M39" s="73"/>
      <c r="N39" s="73"/>
      <c r="O39" s="73"/>
      <c r="P39" s="73"/>
      <c r="Q39" s="73">
        <v>592</v>
      </c>
      <c r="R39" s="73">
        <f t="shared" si="3"/>
        <v>592</v>
      </c>
    </row>
    <row r="40" spans="3:18">
      <c r="D40" t="s">
        <v>43</v>
      </c>
      <c r="K40" s="73"/>
      <c r="L40" s="73"/>
      <c r="M40" s="73"/>
      <c r="N40" s="73"/>
      <c r="O40" s="73"/>
      <c r="P40" s="73"/>
      <c r="Q40" s="73">
        <v>3332035</v>
      </c>
      <c r="R40" s="73">
        <f t="shared" si="3"/>
        <v>3332035</v>
      </c>
    </row>
    <row r="41" spans="3:18">
      <c r="D41" t="s">
        <v>44</v>
      </c>
      <c r="K41" s="73"/>
      <c r="L41" s="73"/>
      <c r="M41" s="73"/>
      <c r="N41" s="73">
        <v>3561911</v>
      </c>
      <c r="O41" s="73">
        <v>125</v>
      </c>
      <c r="P41" s="73">
        <v>1149669</v>
      </c>
      <c r="Q41" s="73">
        <v>288837</v>
      </c>
      <c r="R41" s="73">
        <f t="shared" si="3"/>
        <v>5000542</v>
      </c>
    </row>
    <row r="42" spans="3:18">
      <c r="D42" t="s">
        <v>71</v>
      </c>
      <c r="K42" s="73"/>
      <c r="L42" s="73"/>
      <c r="M42" s="73">
        <v>1887323</v>
      </c>
      <c r="N42" s="73"/>
      <c r="O42" s="73"/>
      <c r="P42" s="73"/>
      <c r="R42" s="73">
        <f t="shared" si="3"/>
        <v>1887323</v>
      </c>
    </row>
    <row r="43" spans="3:18">
      <c r="C43" t="s">
        <v>48</v>
      </c>
      <c r="K43" s="86">
        <v>302786</v>
      </c>
      <c r="L43" s="73"/>
      <c r="M43" s="73"/>
      <c r="N43" s="73"/>
      <c r="O43" s="73"/>
      <c r="P43" s="73"/>
      <c r="Q43" s="73">
        <v>-119854</v>
      </c>
      <c r="R43" s="73">
        <f t="shared" si="3"/>
        <v>182932</v>
      </c>
    </row>
    <row r="44" spans="3:18">
      <c r="K44" s="73"/>
      <c r="L44" s="73"/>
      <c r="M44" s="73"/>
      <c r="N44" s="73"/>
      <c r="O44" s="73"/>
      <c r="P44" s="73"/>
      <c r="Q44" s="73"/>
      <c r="R44" s="73"/>
    </row>
    <row r="45" spans="3:18" s="5" customFormat="1">
      <c r="D45" s="6"/>
      <c r="E45" s="6" t="s">
        <v>49</v>
      </c>
      <c r="K45" s="79">
        <f>SUM(K28:K43)</f>
        <v>1852786</v>
      </c>
      <c r="L45" s="79">
        <f t="shared" ref="L45:P45" si="4">SUM(L28:L43)</f>
        <v>4218353</v>
      </c>
      <c r="M45" s="79">
        <f t="shared" si="4"/>
        <v>1887323</v>
      </c>
      <c r="N45" s="79">
        <f t="shared" si="4"/>
        <v>3561911</v>
      </c>
      <c r="O45" s="79">
        <f t="shared" si="4"/>
        <v>125</v>
      </c>
      <c r="P45" s="79">
        <f t="shared" si="4"/>
        <v>1149669</v>
      </c>
      <c r="Q45" s="79">
        <f>SUM(Q28:Q44)</f>
        <v>9952921</v>
      </c>
      <c r="R45" s="79">
        <f>SUM(R28:R43)</f>
        <v>22623088</v>
      </c>
    </row>
    <row r="46" spans="3:18">
      <c r="K46" s="73"/>
      <c r="L46" s="73"/>
      <c r="M46" s="73"/>
      <c r="N46" s="73"/>
      <c r="O46" s="73"/>
      <c r="P46" s="73"/>
      <c r="Q46" s="73"/>
      <c r="R46" s="73"/>
    </row>
    <row r="47" spans="3:18" s="7" customFormat="1">
      <c r="D47" s="8"/>
      <c r="E47" s="8" t="s">
        <v>50</v>
      </c>
      <c r="K47" s="81">
        <f>SUM(K45,K25)</f>
        <v>5879422</v>
      </c>
      <c r="L47" s="81">
        <f>SUM(L25,L45)</f>
        <v>4454064</v>
      </c>
      <c r="M47" s="81">
        <f>SUM(M25,M45)</f>
        <v>3786415</v>
      </c>
      <c r="N47" s="81">
        <f>SUM(N25,N45)</f>
        <v>6169828</v>
      </c>
      <c r="O47" s="81">
        <f>SUM(O25+O45)</f>
        <v>125</v>
      </c>
      <c r="P47" s="81">
        <f>SUM(P45+P25)</f>
        <v>5623263</v>
      </c>
      <c r="Q47" s="81">
        <f>SUM(Q25+Q45)</f>
        <v>11676225</v>
      </c>
      <c r="R47" s="81">
        <f>SUM(R25,R45)</f>
        <v>37589342</v>
      </c>
    </row>
  </sheetData>
  <mergeCells count="3">
    <mergeCell ref="D1:K1"/>
    <mergeCell ref="D2:K2"/>
    <mergeCell ref="K3:N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49"/>
  <sheetViews>
    <sheetView topLeftCell="M1" workbookViewId="0">
      <selection activeCell="P50" sqref="P50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6" width="19.42578125" customWidth="1"/>
  </cols>
  <sheetData>
    <row r="1" spans="1:16" ht="18.75">
      <c r="D1" s="125" t="s">
        <v>642</v>
      </c>
      <c r="E1" s="125"/>
      <c r="F1" s="125"/>
      <c r="G1" s="125"/>
      <c r="H1" s="125"/>
      <c r="I1" s="125"/>
      <c r="J1" s="125"/>
      <c r="K1" s="125"/>
    </row>
    <row r="2" spans="1:16">
      <c r="D2" s="126" t="s">
        <v>643</v>
      </c>
      <c r="E2" s="126"/>
      <c r="F2" s="126"/>
      <c r="G2" s="126"/>
      <c r="H2" s="126"/>
      <c r="I2" s="126"/>
      <c r="J2" s="126"/>
      <c r="K2" s="126"/>
    </row>
    <row r="3" spans="1:16" ht="29.25" customHeight="1">
      <c r="D3" s="57"/>
      <c r="E3" s="57"/>
      <c r="F3" s="57"/>
      <c r="G3" s="57"/>
      <c r="H3" s="57"/>
      <c r="I3" s="57"/>
      <c r="J3" s="57"/>
      <c r="K3" s="89"/>
      <c r="L3" s="89"/>
      <c r="M3" s="89"/>
      <c r="N3" s="89"/>
      <c r="O3" s="89"/>
      <c r="P3" s="89"/>
    </row>
    <row r="4" spans="1:16" ht="28.5" customHeight="1">
      <c r="K4" s="129" t="s">
        <v>423</v>
      </c>
      <c r="L4" s="129"/>
      <c r="M4" s="129"/>
      <c r="N4" s="129"/>
      <c r="O4" s="102"/>
      <c r="P4" s="102"/>
    </row>
    <row r="5" spans="1:16" ht="45">
      <c r="K5" s="1" t="s">
        <v>644</v>
      </c>
      <c r="L5" s="1" t="s">
        <v>645</v>
      </c>
      <c r="M5" s="1" t="s">
        <v>646</v>
      </c>
      <c r="N5" s="1" t="s">
        <v>647</v>
      </c>
      <c r="O5" s="1" t="s">
        <v>648</v>
      </c>
      <c r="P5" s="1" t="s">
        <v>9</v>
      </c>
    </row>
    <row r="6" spans="1:16">
      <c r="A6" t="s">
        <v>10</v>
      </c>
    </row>
    <row r="7" spans="1:16">
      <c r="B7" t="s">
        <v>571</v>
      </c>
      <c r="K7" s="72">
        <v>937582</v>
      </c>
      <c r="L7" s="73">
        <v>450596</v>
      </c>
      <c r="M7" s="73">
        <v>788818</v>
      </c>
      <c r="N7" s="101">
        <v>1244542</v>
      </c>
      <c r="O7" s="73">
        <v>28286428</v>
      </c>
      <c r="P7" s="73">
        <f>SUM(K7:O7)</f>
        <v>31707966</v>
      </c>
    </row>
    <row r="8" spans="1:16">
      <c r="B8" t="s">
        <v>12</v>
      </c>
      <c r="K8" s="77">
        <v>6644390</v>
      </c>
      <c r="L8" s="73"/>
      <c r="M8" s="73">
        <v>15634184</v>
      </c>
      <c r="N8" s="101">
        <v>29648369</v>
      </c>
      <c r="O8" s="73">
        <v>69944229</v>
      </c>
      <c r="P8" s="73">
        <f>SUM(K8:O8)</f>
        <v>121871172</v>
      </c>
    </row>
    <row r="9" spans="1:16">
      <c r="B9" t="s">
        <v>649</v>
      </c>
      <c r="K9" s="73"/>
      <c r="L9" s="73"/>
      <c r="M9" s="73"/>
      <c r="N9" s="101"/>
      <c r="O9" s="73"/>
      <c r="P9" s="73"/>
    </row>
    <row r="10" spans="1:16">
      <c r="C10" t="s">
        <v>650</v>
      </c>
      <c r="K10" s="74">
        <v>4175901</v>
      </c>
      <c r="L10" s="73">
        <v>8607566</v>
      </c>
      <c r="M10" s="73"/>
      <c r="N10" s="101"/>
      <c r="O10" s="73">
        <v>15671824</v>
      </c>
      <c r="P10" s="73">
        <f t="shared" ref="P10:P15" si="0">SUM(K10:O10)</f>
        <v>28455291</v>
      </c>
    </row>
    <row r="11" spans="1:16">
      <c r="C11" t="s">
        <v>651</v>
      </c>
      <c r="K11" s="73"/>
      <c r="L11" s="73"/>
      <c r="M11" s="73">
        <v>7014271</v>
      </c>
      <c r="N11" s="101"/>
      <c r="O11" s="73">
        <v>3966853</v>
      </c>
      <c r="P11" s="73">
        <f t="shared" si="0"/>
        <v>10981124</v>
      </c>
    </row>
    <row r="12" spans="1:16">
      <c r="C12" t="s">
        <v>47</v>
      </c>
      <c r="K12" s="74">
        <v>1714035</v>
      </c>
      <c r="L12" s="73">
        <v>141173</v>
      </c>
      <c r="M12" s="73">
        <v>355481</v>
      </c>
      <c r="N12" s="101">
        <v>89154</v>
      </c>
      <c r="O12" s="73">
        <v>8015915</v>
      </c>
      <c r="P12" s="73">
        <f t="shared" si="0"/>
        <v>10315758</v>
      </c>
    </row>
    <row r="13" spans="1:16">
      <c r="B13" t="s">
        <v>19</v>
      </c>
      <c r="K13" s="75">
        <v>24006</v>
      </c>
      <c r="L13" s="73"/>
      <c r="M13" s="73"/>
      <c r="N13" s="101"/>
      <c r="O13" s="73"/>
      <c r="P13" s="73">
        <f t="shared" si="0"/>
        <v>24006</v>
      </c>
    </row>
    <row r="14" spans="1:16">
      <c r="B14" t="s">
        <v>207</v>
      </c>
      <c r="K14" s="85">
        <v>5861</v>
      </c>
      <c r="L14" s="73"/>
      <c r="M14" s="73">
        <v>3359</v>
      </c>
      <c r="N14" s="101"/>
      <c r="O14" s="73">
        <v>5883</v>
      </c>
      <c r="P14" s="73">
        <f t="shared" si="0"/>
        <v>15103</v>
      </c>
    </row>
    <row r="15" spans="1:16">
      <c r="B15" t="s">
        <v>652</v>
      </c>
      <c r="K15" s="73"/>
      <c r="L15" s="73"/>
      <c r="M15" s="73"/>
      <c r="N15" s="101"/>
      <c r="O15" s="73">
        <v>9765448</v>
      </c>
      <c r="P15" s="73">
        <f t="shared" si="0"/>
        <v>9765448</v>
      </c>
    </row>
    <row r="16" spans="1:16">
      <c r="K16" s="73"/>
      <c r="L16" s="73"/>
      <c r="M16" s="73"/>
      <c r="N16" s="73"/>
      <c r="O16" s="73"/>
      <c r="P16" s="73"/>
    </row>
    <row r="17" spans="1:16" s="3" customFormat="1">
      <c r="A17" s="2"/>
      <c r="B17" s="2"/>
      <c r="C17" s="2"/>
      <c r="D17" s="2"/>
      <c r="E17" s="2" t="s">
        <v>129</v>
      </c>
      <c r="K17" s="76">
        <f t="shared" ref="K17:P17" si="1">SUM(K7:K15)</f>
        <v>13501775</v>
      </c>
      <c r="L17" s="76">
        <f t="shared" si="1"/>
        <v>9199335</v>
      </c>
      <c r="M17" s="76">
        <f t="shared" si="1"/>
        <v>23796113</v>
      </c>
      <c r="N17" s="76">
        <f t="shared" si="1"/>
        <v>30982065</v>
      </c>
      <c r="O17" s="76">
        <f t="shared" si="1"/>
        <v>135656580</v>
      </c>
      <c r="P17" s="76">
        <f t="shared" si="1"/>
        <v>213135868</v>
      </c>
    </row>
    <row r="18" spans="1:16">
      <c r="K18" s="73"/>
      <c r="L18" s="73"/>
      <c r="M18" s="73"/>
      <c r="N18" s="73"/>
      <c r="O18" s="73"/>
      <c r="P18" s="73"/>
    </row>
    <row r="19" spans="1:16">
      <c r="A19" s="4" t="s">
        <v>21</v>
      </c>
      <c r="K19" s="73"/>
      <c r="L19" s="73"/>
      <c r="M19" s="73"/>
      <c r="N19" s="73"/>
      <c r="O19" s="73"/>
      <c r="P19" s="73"/>
    </row>
    <row r="20" spans="1:16">
      <c r="B20" t="s">
        <v>22</v>
      </c>
      <c r="K20" s="73"/>
      <c r="L20" s="73"/>
      <c r="M20" s="73"/>
      <c r="N20" s="73"/>
      <c r="O20" s="73"/>
      <c r="P20" s="73"/>
    </row>
    <row r="21" spans="1:16">
      <c r="C21" t="s">
        <v>131</v>
      </c>
      <c r="K21" s="77">
        <v>1969499</v>
      </c>
      <c r="L21" s="73">
        <v>643611</v>
      </c>
      <c r="M21" s="73">
        <v>1274720</v>
      </c>
      <c r="N21" s="73">
        <v>2550649</v>
      </c>
      <c r="O21" s="73">
        <v>12688157</v>
      </c>
      <c r="P21" s="73">
        <f>SUM(K21:O21)</f>
        <v>19126636</v>
      </c>
    </row>
    <row r="22" spans="1:16">
      <c r="C22" t="s">
        <v>27</v>
      </c>
      <c r="K22" s="73"/>
      <c r="L22" s="73"/>
      <c r="M22" s="73"/>
      <c r="N22" s="73"/>
      <c r="O22" s="73">
        <v>1822508</v>
      </c>
      <c r="P22" s="73">
        <f>SUM(K22:O22)</f>
        <v>1822508</v>
      </c>
    </row>
    <row r="23" spans="1:16">
      <c r="C23" t="s">
        <v>185</v>
      </c>
      <c r="K23" s="73"/>
      <c r="L23" s="73">
        <v>8555724</v>
      </c>
      <c r="M23" s="73"/>
      <c r="N23" s="73"/>
      <c r="O23" s="73"/>
      <c r="P23" s="73">
        <f>SUM(K23:O23)</f>
        <v>8555724</v>
      </c>
    </row>
    <row r="24" spans="1:16">
      <c r="C24" t="s">
        <v>26</v>
      </c>
      <c r="K24" s="84">
        <v>8410</v>
      </c>
      <c r="L24" s="73"/>
      <c r="M24" s="73">
        <v>266990</v>
      </c>
      <c r="N24" s="73"/>
      <c r="O24" s="73">
        <v>3216506</v>
      </c>
      <c r="P24" s="73">
        <f>SUM(K24:O24)</f>
        <v>3491906</v>
      </c>
    </row>
    <row r="25" spans="1:16">
      <c r="C25" t="s">
        <v>117</v>
      </c>
      <c r="K25" s="83">
        <v>1513798</v>
      </c>
      <c r="L25" s="73"/>
      <c r="M25" s="73">
        <v>28500</v>
      </c>
      <c r="N25" s="73"/>
      <c r="O25" s="73">
        <v>692804</v>
      </c>
      <c r="P25" s="73">
        <f>SUM(K25:O25)</f>
        <v>2235102</v>
      </c>
    </row>
    <row r="26" spans="1:16">
      <c r="K26" s="73"/>
      <c r="L26" s="73"/>
      <c r="M26" s="73"/>
      <c r="N26" s="73"/>
      <c r="O26" s="73"/>
      <c r="P26" s="73"/>
    </row>
    <row r="27" spans="1:16" s="5" customFormat="1">
      <c r="B27" s="6"/>
      <c r="C27" s="6"/>
      <c r="D27" s="6"/>
      <c r="E27" s="6" t="s">
        <v>28</v>
      </c>
      <c r="K27" s="79">
        <f>SUM(K21:K25)</f>
        <v>3491707</v>
      </c>
      <c r="L27" s="79">
        <f>SUM(L21:L25)</f>
        <v>9199335</v>
      </c>
      <c r="M27" s="79">
        <f t="shared" ref="M27" si="2">SUM(M21:M25)</f>
        <v>1570210</v>
      </c>
      <c r="N27" s="79">
        <f t="shared" ref="N27:P27" si="3">SUM(N21:N25)</f>
        <v>2550649</v>
      </c>
      <c r="O27" s="79">
        <f t="shared" si="3"/>
        <v>18419975</v>
      </c>
      <c r="P27" s="79">
        <f t="shared" si="3"/>
        <v>35231876</v>
      </c>
    </row>
    <row r="28" spans="1:16">
      <c r="K28" s="73"/>
      <c r="L28" s="73"/>
      <c r="M28" s="73"/>
      <c r="N28" s="73"/>
      <c r="O28" s="73"/>
      <c r="P28" s="73"/>
    </row>
    <row r="29" spans="1:16">
      <c r="B29" t="s">
        <v>100</v>
      </c>
      <c r="K29" s="73"/>
      <c r="L29" s="73"/>
      <c r="M29" s="73"/>
      <c r="N29" s="73"/>
      <c r="O29" s="73"/>
      <c r="P29" s="73"/>
    </row>
    <row r="30" spans="1:16">
      <c r="C30" t="s">
        <v>653</v>
      </c>
      <c r="K30" s="80">
        <v>5861</v>
      </c>
      <c r="L30" s="73"/>
      <c r="M30" s="73">
        <v>3359</v>
      </c>
      <c r="N30" s="73"/>
      <c r="O30" s="73">
        <v>5883</v>
      </c>
      <c r="P30" s="73">
        <f>SUM(K30:O30)</f>
        <v>15103</v>
      </c>
    </row>
    <row r="31" spans="1:16">
      <c r="C31" t="s">
        <v>118</v>
      </c>
      <c r="K31" s="73"/>
      <c r="L31" s="73"/>
      <c r="M31" s="73">
        <v>21508462</v>
      </c>
      <c r="N31" s="73">
        <v>28431416</v>
      </c>
      <c r="O31" s="73">
        <v>93923422</v>
      </c>
      <c r="P31" s="73">
        <f>SUM(K31:O31)</f>
        <v>143863300</v>
      </c>
    </row>
    <row r="32" spans="1:16">
      <c r="C32" t="s">
        <v>574</v>
      </c>
      <c r="K32" s="73"/>
      <c r="L32" s="73"/>
      <c r="M32" s="73">
        <v>714082</v>
      </c>
      <c r="N32" s="73"/>
      <c r="O32" s="73">
        <v>23307300</v>
      </c>
      <c r="P32" s="73">
        <f>SUM(K32:O32)</f>
        <v>24021382</v>
      </c>
    </row>
    <row r="33" spans="3:16">
      <c r="C33" t="s">
        <v>48</v>
      </c>
      <c r="K33" s="86">
        <v>10004207</v>
      </c>
      <c r="L33" s="73"/>
      <c r="M33" s="73"/>
      <c r="N33" s="73"/>
      <c r="O33" s="73"/>
      <c r="P33" s="73">
        <f>SUM(K33:O33)</f>
        <v>10004207</v>
      </c>
    </row>
    <row r="34" spans="3:16">
      <c r="K34" s="73"/>
      <c r="L34" s="73"/>
      <c r="M34" s="73"/>
      <c r="N34" s="73"/>
      <c r="O34" s="73"/>
      <c r="P34" s="73"/>
    </row>
    <row r="35" spans="3:16" s="5" customFormat="1">
      <c r="D35" s="6"/>
      <c r="E35" s="6" t="s">
        <v>49</v>
      </c>
      <c r="K35" s="79">
        <f t="shared" ref="K35:P35" si="4">SUM(K30:K33)</f>
        <v>10010068</v>
      </c>
      <c r="L35" s="79">
        <f t="shared" si="4"/>
        <v>0</v>
      </c>
      <c r="M35" s="79">
        <f t="shared" si="4"/>
        <v>22225903</v>
      </c>
      <c r="N35" s="79">
        <f t="shared" si="4"/>
        <v>28431416</v>
      </c>
      <c r="O35" s="79">
        <f t="shared" si="4"/>
        <v>117236605</v>
      </c>
      <c r="P35" s="79">
        <f t="shared" si="4"/>
        <v>177903992</v>
      </c>
    </row>
    <row r="36" spans="3:16">
      <c r="K36" s="73"/>
      <c r="L36" s="73"/>
      <c r="M36" s="73"/>
      <c r="N36" s="73"/>
      <c r="O36" s="73"/>
      <c r="P36" s="73"/>
    </row>
    <row r="37" spans="3:16" s="7" customFormat="1">
      <c r="D37" s="8"/>
      <c r="E37" s="8" t="s">
        <v>50</v>
      </c>
      <c r="K37" s="81">
        <f>SUM(K35,K27)</f>
        <v>13501775</v>
      </c>
      <c r="L37" s="81">
        <f>SUM(L27,L35)</f>
        <v>9199335</v>
      </c>
      <c r="M37" s="81">
        <f>SUM(M27,M35)</f>
        <v>23796113</v>
      </c>
      <c r="N37" s="81">
        <f>SUM(N27+N35)</f>
        <v>30982065</v>
      </c>
      <c r="O37" s="81">
        <f>SUM(O35+O27)</f>
        <v>135656580</v>
      </c>
      <c r="P37" s="81"/>
    </row>
    <row r="41" spans="3:16">
      <c r="P41">
        <v>390668633</v>
      </c>
    </row>
    <row r="45" spans="3:16">
      <c r="P45">
        <v>44174936</v>
      </c>
    </row>
    <row r="48" spans="3:16">
      <c r="P48" s="91">
        <v>-95974121</v>
      </c>
    </row>
    <row r="49" spans="16:16">
      <c r="P49">
        <v>516773440</v>
      </c>
    </row>
  </sheetData>
  <mergeCells count="3">
    <mergeCell ref="D1:K1"/>
    <mergeCell ref="D2:K2"/>
    <mergeCell ref="K4:N4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38"/>
  <sheetViews>
    <sheetView workbookViewId="0">
      <selection activeCell="Q40" sqref="Q40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7" width="19.42578125" customWidth="1"/>
  </cols>
  <sheetData>
    <row r="1" spans="1:17" ht="18.75">
      <c r="D1" s="125" t="s">
        <v>654</v>
      </c>
      <c r="E1" s="125"/>
      <c r="F1" s="125"/>
      <c r="G1" s="125"/>
      <c r="H1" s="125"/>
      <c r="I1" s="125"/>
      <c r="J1" s="125"/>
      <c r="K1" s="125"/>
    </row>
    <row r="2" spans="1:17">
      <c r="D2" s="126" t="s">
        <v>643</v>
      </c>
      <c r="E2" s="126"/>
      <c r="F2" s="126"/>
      <c r="G2" s="126"/>
      <c r="H2" s="126"/>
      <c r="I2" s="126"/>
      <c r="J2" s="126"/>
      <c r="K2" s="126"/>
    </row>
    <row r="3" spans="1:17" ht="29.25" customHeight="1">
      <c r="D3" s="57"/>
      <c r="E3" s="57"/>
      <c r="F3" s="57"/>
      <c r="G3" s="57"/>
      <c r="H3" s="57"/>
      <c r="I3" s="57"/>
      <c r="J3" s="57"/>
      <c r="K3" s="89"/>
      <c r="L3" s="89"/>
      <c r="M3" s="89"/>
      <c r="N3" s="89"/>
      <c r="O3" s="89"/>
      <c r="P3" s="89"/>
      <c r="Q3" s="89"/>
    </row>
    <row r="4" spans="1:17" ht="28.5" customHeight="1">
      <c r="K4" s="103"/>
      <c r="L4" s="103"/>
      <c r="M4" s="103"/>
      <c r="N4" s="103"/>
      <c r="O4" s="103"/>
      <c r="P4" s="103"/>
      <c r="Q4" s="103"/>
    </row>
    <row r="5" spans="1:17" ht="45">
      <c r="K5" s="1" t="s">
        <v>655</v>
      </c>
      <c r="L5" s="1" t="s">
        <v>656</v>
      </c>
      <c r="M5" s="1" t="s">
        <v>308</v>
      </c>
      <c r="N5" s="1" t="s">
        <v>123</v>
      </c>
      <c r="O5" s="1" t="s">
        <v>657</v>
      </c>
      <c r="P5" s="1" t="s">
        <v>8</v>
      </c>
      <c r="Q5" s="1" t="s">
        <v>9</v>
      </c>
    </row>
    <row r="6" spans="1:17">
      <c r="A6" t="s">
        <v>10</v>
      </c>
    </row>
    <row r="7" spans="1:17">
      <c r="B7" t="s">
        <v>571</v>
      </c>
      <c r="K7" s="72">
        <v>88217</v>
      </c>
      <c r="L7" s="73">
        <v>9236318</v>
      </c>
      <c r="M7" s="73">
        <v>2147274</v>
      </c>
      <c r="N7" s="101">
        <v>732325</v>
      </c>
      <c r="O7" s="101">
        <v>1045110</v>
      </c>
      <c r="P7" s="101">
        <v>3900107</v>
      </c>
      <c r="Q7" s="101">
        <f>SUM(K7:P7)</f>
        <v>17149351</v>
      </c>
    </row>
    <row r="8" spans="1:17">
      <c r="B8" t="s">
        <v>658</v>
      </c>
      <c r="K8" s="74">
        <v>1760197</v>
      </c>
      <c r="L8" s="73">
        <v>1201824</v>
      </c>
      <c r="M8" s="73">
        <v>2721552</v>
      </c>
      <c r="N8" s="101">
        <v>2017555</v>
      </c>
      <c r="O8" s="101">
        <v>402248</v>
      </c>
      <c r="P8" s="101">
        <v>830272</v>
      </c>
      <c r="Q8" s="101">
        <f>SUM(K8:P8)</f>
        <v>8933648</v>
      </c>
    </row>
    <row r="9" spans="1:17">
      <c r="B9" t="s">
        <v>60</v>
      </c>
      <c r="K9" s="75">
        <v>42692</v>
      </c>
      <c r="L9" s="73"/>
      <c r="M9" s="73"/>
      <c r="N9" s="101"/>
      <c r="O9" s="101"/>
      <c r="P9" s="101"/>
      <c r="Q9" s="101">
        <f>SUM(K9:P9)</f>
        <v>42692</v>
      </c>
    </row>
    <row r="10" spans="1:17">
      <c r="B10" t="s">
        <v>18</v>
      </c>
      <c r="K10" s="75">
        <v>328100</v>
      </c>
      <c r="L10" s="73"/>
      <c r="M10" s="73"/>
      <c r="N10" s="101">
        <v>350000</v>
      </c>
      <c r="O10" s="101"/>
      <c r="P10" s="101">
        <v>32235</v>
      </c>
      <c r="Q10" s="101">
        <f>SUM(K10:P10)</f>
        <v>710335</v>
      </c>
    </row>
    <row r="11" spans="1:17">
      <c r="B11" t="s">
        <v>659</v>
      </c>
      <c r="K11" s="72">
        <v>511411</v>
      </c>
      <c r="L11" s="73">
        <v>77831</v>
      </c>
      <c r="M11" s="73">
        <v>223918</v>
      </c>
      <c r="N11" s="101">
        <v>14965</v>
      </c>
      <c r="O11" s="101"/>
      <c r="P11" s="101">
        <v>61448</v>
      </c>
      <c r="Q11" s="101">
        <f>SUM(K11:P11)</f>
        <v>889573</v>
      </c>
    </row>
    <row r="12" spans="1:17">
      <c r="K12" s="73"/>
      <c r="L12" s="73"/>
      <c r="M12" s="73"/>
      <c r="N12" s="73"/>
      <c r="O12" s="73"/>
      <c r="P12" s="73"/>
      <c r="Q12" s="73"/>
    </row>
    <row r="13" spans="1:17" s="3" customFormat="1">
      <c r="A13" s="2"/>
      <c r="B13" s="2"/>
      <c r="C13" s="2"/>
      <c r="D13" s="2"/>
      <c r="E13" s="2" t="s">
        <v>129</v>
      </c>
      <c r="K13" s="76">
        <f t="shared" ref="K13:Q13" si="0">SUM(K7:K11)</f>
        <v>2730617</v>
      </c>
      <c r="L13" s="76">
        <f t="shared" si="0"/>
        <v>10515973</v>
      </c>
      <c r="M13" s="76">
        <f t="shared" si="0"/>
        <v>5092744</v>
      </c>
      <c r="N13" s="76">
        <f t="shared" si="0"/>
        <v>3114845</v>
      </c>
      <c r="O13" s="76">
        <f t="shared" si="0"/>
        <v>1447358</v>
      </c>
      <c r="P13" s="76">
        <f t="shared" si="0"/>
        <v>4824062</v>
      </c>
      <c r="Q13" s="76">
        <f t="shared" si="0"/>
        <v>27725599</v>
      </c>
    </row>
    <row r="14" spans="1:17">
      <c r="K14" s="73"/>
      <c r="L14" s="73"/>
      <c r="M14" s="73"/>
      <c r="N14" s="73"/>
      <c r="O14" s="73"/>
      <c r="P14" s="73"/>
      <c r="Q14" s="73"/>
    </row>
    <row r="15" spans="1:17">
      <c r="A15" s="4" t="s">
        <v>21</v>
      </c>
      <c r="K15" s="73"/>
      <c r="L15" s="73"/>
      <c r="M15" s="73"/>
      <c r="N15" s="73"/>
      <c r="O15" s="73"/>
      <c r="P15" s="73"/>
      <c r="Q15" s="73"/>
    </row>
    <row r="16" spans="1:17">
      <c r="B16" t="s">
        <v>22</v>
      </c>
      <c r="K16" s="73"/>
      <c r="L16" s="73"/>
      <c r="M16" s="73"/>
      <c r="N16" s="73"/>
      <c r="O16" s="73"/>
      <c r="P16" s="73"/>
      <c r="Q16" s="73"/>
    </row>
    <row r="17" spans="1:17">
      <c r="C17" t="s">
        <v>330</v>
      </c>
      <c r="K17" s="73"/>
      <c r="L17" s="73"/>
      <c r="M17" s="73"/>
      <c r="N17" s="73"/>
      <c r="O17" s="73"/>
      <c r="P17" s="73">
        <v>515</v>
      </c>
      <c r="Q17" s="73">
        <f>SUM(K17:P17)</f>
        <v>515</v>
      </c>
    </row>
    <row r="18" spans="1:17">
      <c r="C18" t="s">
        <v>131</v>
      </c>
      <c r="K18" s="77">
        <v>543569</v>
      </c>
      <c r="L18" s="73">
        <v>1563052</v>
      </c>
      <c r="M18" s="73">
        <v>602956</v>
      </c>
      <c r="N18" s="73">
        <v>177012</v>
      </c>
      <c r="O18" s="73">
        <v>1023759</v>
      </c>
      <c r="P18" s="73">
        <v>188452</v>
      </c>
      <c r="Q18" s="73">
        <f>SUM(K18:P18)</f>
        <v>4098800</v>
      </c>
    </row>
    <row r="19" spans="1:17">
      <c r="C19" t="s">
        <v>95</v>
      </c>
      <c r="K19" s="78">
        <v>47796</v>
      </c>
      <c r="L19" s="73"/>
      <c r="M19" s="73">
        <v>103807</v>
      </c>
      <c r="N19" s="73"/>
      <c r="O19" s="73"/>
      <c r="P19" s="73">
        <v>231721</v>
      </c>
      <c r="Q19" s="73">
        <f>SUM(K19:P19)</f>
        <v>383324</v>
      </c>
    </row>
    <row r="20" spans="1:17">
      <c r="C20" t="s">
        <v>27</v>
      </c>
      <c r="K20" s="78">
        <v>382235</v>
      </c>
      <c r="L20" s="73"/>
      <c r="M20" s="73"/>
      <c r="N20" s="73"/>
      <c r="O20" s="73">
        <v>129100</v>
      </c>
      <c r="P20" s="73">
        <v>204400</v>
      </c>
      <c r="Q20" s="73">
        <f>SUM(K20:P20)</f>
        <v>715735</v>
      </c>
    </row>
    <row r="21" spans="1:17">
      <c r="K21" s="73"/>
      <c r="L21" s="73"/>
      <c r="M21" s="73"/>
      <c r="N21" s="73"/>
      <c r="O21" s="73"/>
      <c r="P21" s="73"/>
      <c r="Q21" s="73"/>
    </row>
    <row r="22" spans="1:17" s="5" customFormat="1">
      <c r="B22" s="6"/>
      <c r="C22" s="6"/>
      <c r="D22" s="6"/>
      <c r="E22" s="6" t="s">
        <v>28</v>
      </c>
      <c r="K22" s="79">
        <f>SUM(K17:K20)</f>
        <v>973600</v>
      </c>
      <c r="L22" s="79">
        <f>SUM(L17:L20)</f>
        <v>1563052</v>
      </c>
      <c r="M22" s="79">
        <f>SUM(M17:M19)</f>
        <v>706763</v>
      </c>
      <c r="N22" s="79">
        <f>SUM(N17:N21)</f>
        <v>177012</v>
      </c>
      <c r="O22" s="79">
        <f>SUM(O17:O20)</f>
        <v>1152859</v>
      </c>
      <c r="P22" s="79">
        <f>SUM(P17:P20)</f>
        <v>625088</v>
      </c>
      <c r="Q22" s="79">
        <f>SUM(Q17:Q20)</f>
        <v>5198374</v>
      </c>
    </row>
    <row r="23" spans="1:17">
      <c r="K23" s="73"/>
      <c r="L23" s="73"/>
      <c r="M23" s="73"/>
      <c r="N23" s="73"/>
      <c r="O23" s="73"/>
      <c r="P23" s="73"/>
      <c r="Q23" s="73"/>
    </row>
    <row r="24" spans="1:17">
      <c r="A24" s="71" t="s">
        <v>660</v>
      </c>
      <c r="K24" s="73"/>
      <c r="L24" s="73"/>
      <c r="M24" s="73"/>
      <c r="N24" s="73"/>
      <c r="O24" s="73"/>
      <c r="P24" s="73"/>
      <c r="Q24" s="73"/>
    </row>
    <row r="25" spans="1:17">
      <c r="B25" t="s">
        <v>661</v>
      </c>
      <c r="K25" s="94">
        <v>0</v>
      </c>
      <c r="L25" s="95">
        <v>0</v>
      </c>
      <c r="M25" s="95">
        <v>0</v>
      </c>
      <c r="N25" s="95">
        <v>0</v>
      </c>
      <c r="O25" s="95">
        <v>0</v>
      </c>
      <c r="P25" s="95">
        <v>53394</v>
      </c>
      <c r="Q25" s="95">
        <f>SUM(K25:P25)</f>
        <v>53394</v>
      </c>
    </row>
    <row r="26" spans="1:17">
      <c r="K26" s="104"/>
      <c r="L26" s="90"/>
      <c r="M26" s="90"/>
      <c r="N26" s="90"/>
      <c r="O26" s="90"/>
      <c r="P26" s="90"/>
      <c r="Q26" s="90"/>
    </row>
    <row r="27" spans="1:17">
      <c r="E27" t="s">
        <v>662</v>
      </c>
      <c r="K27" s="104">
        <v>0</v>
      </c>
      <c r="L27" s="90">
        <v>0</v>
      </c>
      <c r="M27" s="90">
        <v>0</v>
      </c>
      <c r="N27" s="90">
        <v>0</v>
      </c>
      <c r="O27" s="90">
        <v>0</v>
      </c>
      <c r="P27" s="90">
        <f>SUM(P25:P25)</f>
        <v>53394</v>
      </c>
      <c r="Q27" s="90">
        <f>SUM(Q25:Q25)</f>
        <v>53394</v>
      </c>
    </row>
    <row r="28" spans="1:17">
      <c r="K28" s="73"/>
      <c r="L28" s="73"/>
      <c r="M28" s="73"/>
      <c r="N28" s="73"/>
      <c r="O28" s="73"/>
      <c r="P28" s="73"/>
      <c r="Q28" s="73"/>
    </row>
    <row r="29" spans="1:17">
      <c r="B29" t="s">
        <v>100</v>
      </c>
      <c r="K29" s="73"/>
      <c r="L29" s="73"/>
      <c r="M29" s="73"/>
      <c r="N29" s="73"/>
      <c r="O29" s="73"/>
      <c r="P29" s="73"/>
      <c r="Q29" s="73"/>
    </row>
    <row r="30" spans="1:17">
      <c r="C30" t="s">
        <v>118</v>
      </c>
      <c r="K30" s="80">
        <v>117349</v>
      </c>
      <c r="L30" s="73">
        <v>8875090</v>
      </c>
      <c r="M30" s="73">
        <v>4365264</v>
      </c>
      <c r="N30" s="73">
        <v>2922869</v>
      </c>
      <c r="O30" s="73">
        <v>294499</v>
      </c>
      <c r="P30" s="73">
        <v>4067236</v>
      </c>
      <c r="Q30" s="73">
        <f>SUM(K30:P30)</f>
        <v>20642307</v>
      </c>
    </row>
    <row r="31" spans="1:17">
      <c r="C31" t="s">
        <v>574</v>
      </c>
      <c r="K31" s="105">
        <v>445733</v>
      </c>
      <c r="L31" s="73"/>
      <c r="M31" s="73"/>
      <c r="N31" s="73"/>
      <c r="O31" s="73"/>
      <c r="P31" s="73">
        <v>43583</v>
      </c>
      <c r="Q31" s="73">
        <f>SUM(K31:P31)</f>
        <v>489316</v>
      </c>
    </row>
    <row r="32" spans="1:17">
      <c r="C32" t="s">
        <v>119</v>
      </c>
      <c r="K32" s="82">
        <v>65678</v>
      </c>
      <c r="L32" s="73">
        <v>77831</v>
      </c>
      <c r="M32" s="73">
        <v>20717</v>
      </c>
      <c r="N32" s="73">
        <v>14964</v>
      </c>
      <c r="O32" s="73"/>
      <c r="P32" s="73">
        <v>37694</v>
      </c>
      <c r="Q32" s="73">
        <f>SUM(K32:P32)</f>
        <v>216884</v>
      </c>
    </row>
    <row r="33" spans="3:17">
      <c r="C33" t="s">
        <v>48</v>
      </c>
      <c r="K33" s="86">
        <v>1128257</v>
      </c>
      <c r="L33" s="73"/>
      <c r="M33" s="73"/>
      <c r="N33" s="73"/>
      <c r="O33" s="73"/>
      <c r="P33" s="73">
        <v>-2933</v>
      </c>
      <c r="Q33" s="73">
        <f>SUM(K33:P33)</f>
        <v>1125324</v>
      </c>
    </row>
    <row r="34" spans="3:17">
      <c r="K34" s="73"/>
      <c r="L34" s="73"/>
      <c r="M34" s="73"/>
      <c r="N34" s="73"/>
      <c r="O34" s="73"/>
      <c r="P34" s="73"/>
      <c r="Q34" s="73"/>
    </row>
    <row r="35" spans="3:17" s="5" customFormat="1">
      <c r="D35" s="6"/>
      <c r="E35" s="6" t="s">
        <v>49</v>
      </c>
      <c r="K35" s="79">
        <f>SUM(K30:K33)</f>
        <v>1757017</v>
      </c>
      <c r="L35" s="79">
        <f>SUM(L30:L33)</f>
        <v>8952921</v>
      </c>
      <c r="M35" s="79">
        <f>SUM(M30:M33)</f>
        <v>4385981</v>
      </c>
      <c r="N35" s="79">
        <f>SUM(N31:N33)</f>
        <v>14964</v>
      </c>
      <c r="O35" s="79"/>
      <c r="P35" s="79">
        <f>SUM(P30:P33)</f>
        <v>4145580</v>
      </c>
      <c r="Q35" s="79">
        <f>SUM(Q30:Q33)</f>
        <v>22473831</v>
      </c>
    </row>
    <row r="36" spans="3:17">
      <c r="K36" s="73"/>
      <c r="L36" s="73"/>
      <c r="M36" s="73"/>
      <c r="N36" s="73"/>
      <c r="O36" s="73"/>
      <c r="P36" s="73"/>
      <c r="Q36" s="73"/>
    </row>
    <row r="37" spans="3:17" s="7" customFormat="1">
      <c r="D37" s="8"/>
      <c r="E37" s="8" t="s">
        <v>663</v>
      </c>
      <c r="K37" s="81">
        <f>SUM(K35,K22,K27)</f>
        <v>2730617</v>
      </c>
      <c r="L37" s="81">
        <f t="shared" ref="L37:Q37" si="1">SUM(L35,L22,L27)</f>
        <v>10515973</v>
      </c>
      <c r="M37" s="81">
        <f t="shared" si="1"/>
        <v>5092744</v>
      </c>
      <c r="N37" s="81">
        <f t="shared" si="1"/>
        <v>191976</v>
      </c>
      <c r="O37" s="81">
        <f t="shared" si="1"/>
        <v>1152859</v>
      </c>
      <c r="P37" s="81">
        <f t="shared" si="1"/>
        <v>4824062</v>
      </c>
      <c r="Q37" s="81">
        <f t="shared" si="1"/>
        <v>27725599</v>
      </c>
    </row>
    <row r="38" spans="3:17" s="7" customFormat="1">
      <c r="F38" s="7" t="s">
        <v>664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70"/>
  <sheetViews>
    <sheetView workbookViewId="0">
      <selection activeCell="I16" sqref="I1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6" width="19.42578125" customWidth="1"/>
    <col min="17" max="17" width="16.85546875" customWidth="1"/>
    <col min="18" max="18" width="17.5703125" customWidth="1"/>
    <col min="19" max="19" width="17" customWidth="1"/>
    <col min="20" max="20" width="18.28515625" customWidth="1"/>
  </cols>
  <sheetData>
    <row r="1" spans="1:19" ht="18.75">
      <c r="D1" s="125" t="s">
        <v>665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265</v>
      </c>
      <c r="E2" s="126"/>
      <c r="F2" s="126"/>
      <c r="G2" s="126"/>
      <c r="H2" s="126"/>
      <c r="I2" s="126"/>
      <c r="J2" s="126"/>
      <c r="K2" s="126"/>
    </row>
    <row r="3" spans="1:19" ht="29.25" customHeight="1">
      <c r="D3" s="57"/>
      <c r="E3" s="57"/>
      <c r="F3" s="57"/>
      <c r="G3" s="57"/>
      <c r="H3" s="57"/>
      <c r="I3" s="57"/>
      <c r="J3" s="57"/>
      <c r="K3" s="126"/>
      <c r="L3" s="126"/>
      <c r="M3" s="126"/>
      <c r="N3" s="126"/>
      <c r="O3" s="57"/>
    </row>
    <row r="4" spans="1:19" ht="15" customHeight="1">
      <c r="K4" s="100"/>
      <c r="L4" s="100"/>
      <c r="M4" s="100"/>
      <c r="N4" s="100"/>
      <c r="O4" s="100"/>
    </row>
    <row r="5" spans="1:19" ht="45">
      <c r="K5" s="1" t="s">
        <v>52</v>
      </c>
      <c r="L5" s="1" t="s">
        <v>666</v>
      </c>
      <c r="M5" s="1" t="s">
        <v>667</v>
      </c>
      <c r="N5" s="1" t="s">
        <v>600</v>
      </c>
      <c r="O5" s="1" t="s">
        <v>668</v>
      </c>
      <c r="P5" s="1" t="s">
        <v>669</v>
      </c>
      <c r="Q5" s="1" t="s">
        <v>292</v>
      </c>
      <c r="R5" s="1" t="s">
        <v>8</v>
      </c>
      <c r="S5" s="1" t="s">
        <v>9</v>
      </c>
    </row>
    <row r="6" spans="1:19">
      <c r="A6" t="s">
        <v>10</v>
      </c>
    </row>
    <row r="7" spans="1:19">
      <c r="B7" t="s">
        <v>163</v>
      </c>
      <c r="K7" s="72">
        <v>2146308</v>
      </c>
      <c r="L7" s="73">
        <v>379080</v>
      </c>
      <c r="M7" s="73">
        <v>5293398</v>
      </c>
      <c r="N7" s="73">
        <v>347316</v>
      </c>
      <c r="O7" s="73">
        <v>69124</v>
      </c>
      <c r="P7" s="73">
        <v>2373744</v>
      </c>
      <c r="Q7" s="73">
        <v>2139098</v>
      </c>
      <c r="R7" s="73">
        <v>4892979</v>
      </c>
      <c r="S7" s="73">
        <f>SUM(K7:R7)</f>
        <v>17641047</v>
      </c>
    </row>
    <row r="8" spans="1:19">
      <c r="B8" t="s">
        <v>12</v>
      </c>
      <c r="K8" s="77">
        <v>7394525</v>
      </c>
      <c r="L8" s="73">
        <v>2639090</v>
      </c>
      <c r="M8" s="73">
        <v>902</v>
      </c>
      <c r="N8" s="73">
        <v>1691475</v>
      </c>
      <c r="O8" s="73">
        <v>6067598</v>
      </c>
      <c r="P8" s="73">
        <v>7158264</v>
      </c>
      <c r="Q8" s="73">
        <v>48894771</v>
      </c>
      <c r="R8" s="73">
        <v>17858297</v>
      </c>
      <c r="S8" s="73">
        <f>SUM(K8:R8)</f>
        <v>91704922</v>
      </c>
    </row>
    <row r="9" spans="1:19">
      <c r="B9" t="s">
        <v>670</v>
      </c>
      <c r="K9" s="73"/>
      <c r="L9" s="73"/>
      <c r="M9" s="73"/>
      <c r="N9" s="73"/>
      <c r="O9" s="73"/>
      <c r="P9" s="73"/>
      <c r="Q9" s="73"/>
      <c r="R9" s="73"/>
      <c r="S9" s="73">
        <f>SUM(K9:Q9)</f>
        <v>0</v>
      </c>
    </row>
    <row r="10" spans="1:19">
      <c r="C10" t="s">
        <v>671</v>
      </c>
      <c r="K10" s="73"/>
      <c r="L10" s="73"/>
      <c r="M10" s="73"/>
      <c r="N10" s="73"/>
      <c r="O10" s="73"/>
      <c r="P10" s="73"/>
      <c r="Q10" s="73"/>
      <c r="R10" s="73"/>
      <c r="S10" s="73"/>
    </row>
    <row r="11" spans="1:19">
      <c r="C11" t="s">
        <v>314</v>
      </c>
      <c r="K11" s="74">
        <v>392672</v>
      </c>
      <c r="L11" s="73">
        <v>539101</v>
      </c>
      <c r="M11" s="73"/>
      <c r="N11" s="73"/>
      <c r="O11" s="73">
        <v>1017678</v>
      </c>
      <c r="P11" s="73"/>
      <c r="Q11" s="73"/>
      <c r="R11" s="73">
        <v>2184694</v>
      </c>
      <c r="S11" s="73">
        <f t="shared" ref="S11:S15" si="0">SUM(K11:R11)</f>
        <v>4134145</v>
      </c>
    </row>
    <row r="12" spans="1:19">
      <c r="C12" t="s">
        <v>313</v>
      </c>
      <c r="K12" s="74">
        <v>565086</v>
      </c>
      <c r="L12" s="73">
        <v>10661</v>
      </c>
      <c r="M12" s="73">
        <v>152168</v>
      </c>
      <c r="N12" s="73">
        <v>989</v>
      </c>
      <c r="O12" s="73">
        <v>7217</v>
      </c>
      <c r="P12" s="73"/>
      <c r="Q12" s="73">
        <v>189140</v>
      </c>
      <c r="R12" s="73">
        <v>32746</v>
      </c>
      <c r="S12" s="73">
        <f t="shared" si="0"/>
        <v>958007</v>
      </c>
    </row>
    <row r="13" spans="1:19">
      <c r="C13" t="s">
        <v>47</v>
      </c>
      <c r="K13" s="74">
        <v>113</v>
      </c>
      <c r="L13" s="73"/>
      <c r="M13" s="73">
        <v>323</v>
      </c>
      <c r="N13" s="73"/>
      <c r="O13" s="73"/>
      <c r="P13" s="73"/>
      <c r="Q13" s="73"/>
      <c r="R13" s="73">
        <v>119860</v>
      </c>
      <c r="S13" s="73">
        <f t="shared" si="0"/>
        <v>120296</v>
      </c>
    </row>
    <row r="14" spans="1:19">
      <c r="C14" t="s">
        <v>672</v>
      </c>
      <c r="K14" s="73"/>
      <c r="L14" s="73"/>
      <c r="M14" s="73">
        <v>3491084</v>
      </c>
      <c r="N14" s="73"/>
      <c r="O14" s="73"/>
      <c r="P14" s="73"/>
      <c r="Q14" s="73"/>
      <c r="R14" s="73"/>
      <c r="S14" s="73">
        <f t="shared" si="0"/>
        <v>3491084</v>
      </c>
    </row>
    <row r="15" spans="1:19">
      <c r="B15" t="s">
        <v>18</v>
      </c>
      <c r="K15" s="75">
        <v>36726516</v>
      </c>
      <c r="L15" s="73">
        <v>37029</v>
      </c>
      <c r="M15" s="73">
        <v>768113</v>
      </c>
      <c r="N15" s="73">
        <v>683537</v>
      </c>
      <c r="O15" s="73">
        <v>101273</v>
      </c>
      <c r="P15" s="73"/>
      <c r="Q15" s="73">
        <v>10711234</v>
      </c>
      <c r="R15" s="73">
        <v>3215798</v>
      </c>
      <c r="S15" s="73">
        <f t="shared" si="0"/>
        <v>52243500</v>
      </c>
    </row>
    <row r="16" spans="1:19">
      <c r="B16" t="s">
        <v>128</v>
      </c>
      <c r="K16" s="75">
        <v>6449332</v>
      </c>
      <c r="L16" s="73">
        <v>5545951</v>
      </c>
      <c r="M16" s="73">
        <v>17614943</v>
      </c>
      <c r="N16" s="73">
        <v>1293918</v>
      </c>
      <c r="O16" s="73">
        <v>7491927</v>
      </c>
      <c r="P16" s="73">
        <v>1136365</v>
      </c>
      <c r="Q16" s="73">
        <v>16751287</v>
      </c>
      <c r="R16" s="73">
        <v>13417009</v>
      </c>
      <c r="S16" s="73">
        <f>SUM(K16:R16)</f>
        <v>69700732</v>
      </c>
    </row>
    <row r="17" spans="1:19">
      <c r="B17" t="s">
        <v>19</v>
      </c>
      <c r="K17" s="75">
        <v>28642</v>
      </c>
      <c r="L17" s="73"/>
      <c r="M17" s="73"/>
      <c r="N17" s="73"/>
      <c r="O17" s="73"/>
      <c r="P17" s="73"/>
      <c r="Q17" s="73"/>
      <c r="R17" s="73"/>
      <c r="S17" s="73">
        <f t="shared" ref="S17:S21" si="1">SUM(K17:R17)</f>
        <v>28642</v>
      </c>
    </row>
    <row r="18" spans="1:19">
      <c r="B18" t="s">
        <v>183</v>
      </c>
      <c r="K18" s="73"/>
      <c r="L18" s="73"/>
      <c r="M18" s="73">
        <v>18672</v>
      </c>
      <c r="N18" s="73"/>
      <c r="O18" s="73"/>
      <c r="P18" s="73"/>
      <c r="Q18" s="73"/>
      <c r="R18" s="73"/>
      <c r="S18" s="73">
        <f t="shared" si="1"/>
        <v>18672</v>
      </c>
    </row>
    <row r="19" spans="1:19">
      <c r="B19" t="s">
        <v>88</v>
      </c>
      <c r="K19" s="83">
        <v>3421</v>
      </c>
      <c r="L19" s="73"/>
      <c r="M19" s="73">
        <v>650</v>
      </c>
      <c r="N19" s="73">
        <v>40</v>
      </c>
      <c r="O19" s="73"/>
      <c r="P19" s="73"/>
      <c r="Q19" s="73"/>
      <c r="R19" s="73"/>
      <c r="S19" s="73">
        <f t="shared" si="1"/>
        <v>4111</v>
      </c>
    </row>
    <row r="20" spans="1:19">
      <c r="B20" t="s">
        <v>329</v>
      </c>
      <c r="K20" s="73"/>
      <c r="L20" s="73"/>
      <c r="M20" s="73"/>
      <c r="N20" s="73"/>
      <c r="O20" s="73"/>
      <c r="P20" s="73"/>
      <c r="Q20" s="73"/>
      <c r="R20" s="73"/>
      <c r="S20" s="73">
        <f t="shared" si="1"/>
        <v>0</v>
      </c>
    </row>
    <row r="21" spans="1:19">
      <c r="C21" t="s">
        <v>163</v>
      </c>
      <c r="K21" s="72">
        <v>69690</v>
      </c>
      <c r="L21" s="73"/>
      <c r="M21" s="73">
        <v>135795</v>
      </c>
      <c r="N21" s="73"/>
      <c r="O21" s="73"/>
      <c r="P21" s="73"/>
      <c r="Q21" s="73"/>
      <c r="R21" s="73"/>
      <c r="S21" s="73">
        <f t="shared" si="1"/>
        <v>205485</v>
      </c>
    </row>
    <row r="22" spans="1:19">
      <c r="K22" s="73"/>
      <c r="L22" s="73"/>
      <c r="M22" s="73"/>
      <c r="N22" s="73"/>
      <c r="O22" s="73"/>
      <c r="P22" s="73"/>
      <c r="Q22" s="73"/>
      <c r="R22" s="73"/>
      <c r="S22" s="73"/>
    </row>
    <row r="23" spans="1:19" s="3" customFormat="1">
      <c r="A23" s="2"/>
      <c r="B23" s="2"/>
      <c r="C23" s="2"/>
      <c r="D23" s="2"/>
      <c r="E23" s="2" t="s">
        <v>129</v>
      </c>
      <c r="K23" s="76">
        <f t="shared" ref="K23:R23" si="2">SUM(K7:K21)</f>
        <v>53776305</v>
      </c>
      <c r="L23" s="76">
        <f t="shared" si="2"/>
        <v>9150912</v>
      </c>
      <c r="M23" s="76">
        <f t="shared" si="2"/>
        <v>27476048</v>
      </c>
      <c r="N23" s="76">
        <f t="shared" si="2"/>
        <v>4017275</v>
      </c>
      <c r="O23" s="76">
        <f t="shared" si="2"/>
        <v>14754817</v>
      </c>
      <c r="P23" s="76">
        <f t="shared" si="2"/>
        <v>10668373</v>
      </c>
      <c r="Q23" s="76">
        <f t="shared" si="2"/>
        <v>78685530</v>
      </c>
      <c r="R23" s="76">
        <f t="shared" si="2"/>
        <v>41721383</v>
      </c>
      <c r="S23" s="76">
        <f>SUM(S7:S21)</f>
        <v>240250643</v>
      </c>
    </row>
    <row r="24" spans="1:19"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A25" s="4" t="s">
        <v>21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B26" t="s">
        <v>22</v>
      </c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C27" t="s">
        <v>673</v>
      </c>
      <c r="K27" s="77">
        <v>711436</v>
      </c>
      <c r="L27" s="73">
        <v>313647</v>
      </c>
      <c r="M27" s="73">
        <v>3069784</v>
      </c>
      <c r="N27" s="73">
        <v>218686</v>
      </c>
      <c r="O27" s="73">
        <v>302866</v>
      </c>
      <c r="P27" s="73"/>
      <c r="Q27" s="73">
        <v>3815587</v>
      </c>
      <c r="R27" s="73">
        <v>309564</v>
      </c>
      <c r="S27" s="73">
        <f>SUM(K27:R27)</f>
        <v>8741570</v>
      </c>
    </row>
    <row r="28" spans="1:19">
      <c r="C28" t="s">
        <v>674</v>
      </c>
      <c r="K28" s="83">
        <v>1446</v>
      </c>
      <c r="L28" s="73"/>
      <c r="M28" s="73">
        <v>3201</v>
      </c>
      <c r="N28" s="73">
        <v>12300</v>
      </c>
      <c r="O28" s="73"/>
      <c r="P28" s="73"/>
      <c r="Q28" s="73">
        <v>1764635</v>
      </c>
      <c r="R28" s="73">
        <v>5000</v>
      </c>
      <c r="S28" s="73">
        <f t="shared" ref="S28:S35" si="3">SUM(K28:R28)</f>
        <v>1786582</v>
      </c>
    </row>
    <row r="29" spans="1:19">
      <c r="C29" t="s">
        <v>63</v>
      </c>
      <c r="K29" s="83">
        <v>2558930</v>
      </c>
      <c r="L29" s="73">
        <v>4335933</v>
      </c>
      <c r="M29" s="73"/>
      <c r="N29" s="73"/>
      <c r="O29" s="73">
        <v>6504012</v>
      </c>
      <c r="P29" s="73"/>
      <c r="Q29" s="73"/>
      <c r="R29" s="73">
        <v>13795042</v>
      </c>
      <c r="S29" s="73">
        <f t="shared" si="3"/>
        <v>27193917</v>
      </c>
    </row>
    <row r="30" spans="1:19">
      <c r="C30" t="s">
        <v>675</v>
      </c>
      <c r="K30" s="73"/>
      <c r="L30" s="73"/>
      <c r="M30" s="73">
        <v>3755911</v>
      </c>
      <c r="N30" s="73"/>
      <c r="O30" s="73"/>
      <c r="P30" s="73"/>
      <c r="Q30" s="73"/>
      <c r="R30" s="73"/>
      <c r="S30" s="73">
        <f t="shared" si="3"/>
        <v>3755911</v>
      </c>
    </row>
    <row r="31" spans="1:19">
      <c r="C31" t="s">
        <v>27</v>
      </c>
      <c r="K31" s="78">
        <v>36282788</v>
      </c>
      <c r="L31" s="73">
        <v>499669</v>
      </c>
      <c r="M31" s="73">
        <v>15680023</v>
      </c>
      <c r="N31" s="73">
        <v>469682</v>
      </c>
      <c r="O31" s="73">
        <v>910018</v>
      </c>
      <c r="P31" s="73">
        <v>84265</v>
      </c>
      <c r="Q31" s="73">
        <v>3173593</v>
      </c>
      <c r="R31" s="73">
        <v>1781758</v>
      </c>
      <c r="S31" s="73">
        <f t="shared" si="3"/>
        <v>58881796</v>
      </c>
    </row>
    <row r="32" spans="1:19">
      <c r="C32" t="s">
        <v>133</v>
      </c>
      <c r="K32" s="78">
        <v>172092</v>
      </c>
      <c r="L32" s="73">
        <v>13026</v>
      </c>
      <c r="M32" s="73">
        <v>12999</v>
      </c>
      <c r="N32" s="73">
        <v>219</v>
      </c>
      <c r="O32" s="73">
        <v>12392</v>
      </c>
      <c r="P32" s="73"/>
      <c r="Q32" s="73">
        <v>7054373</v>
      </c>
      <c r="R32" s="73">
        <v>323590</v>
      </c>
      <c r="S32" s="73">
        <f t="shared" si="3"/>
        <v>7588691</v>
      </c>
    </row>
    <row r="33" spans="2:19">
      <c r="C33" t="s">
        <v>185</v>
      </c>
      <c r="K33" s="78">
        <v>2438</v>
      </c>
      <c r="L33" s="73"/>
      <c r="M33" s="73"/>
      <c r="N33" s="73"/>
      <c r="O33" s="73"/>
      <c r="P33" s="73"/>
      <c r="Q33" s="73"/>
      <c r="R33" s="73"/>
      <c r="S33" s="73">
        <f t="shared" si="3"/>
        <v>2438</v>
      </c>
    </row>
    <row r="34" spans="2:19">
      <c r="C34" t="s">
        <v>676</v>
      </c>
      <c r="K34" s="73"/>
      <c r="L34" s="73"/>
      <c r="M34" s="73"/>
      <c r="N34" s="73"/>
      <c r="O34" s="73"/>
      <c r="P34" s="73"/>
      <c r="Q34" s="73"/>
      <c r="R34" s="73"/>
      <c r="S34" s="73"/>
    </row>
    <row r="35" spans="2:19">
      <c r="D35" t="s">
        <v>677</v>
      </c>
      <c r="K35" s="73"/>
      <c r="L35" s="73"/>
      <c r="M35" s="73">
        <v>135065</v>
      </c>
      <c r="N35" s="73"/>
      <c r="O35" s="73"/>
      <c r="P35" s="73"/>
      <c r="Q35" s="73"/>
      <c r="R35" s="73"/>
      <c r="S35" s="73">
        <f t="shared" si="3"/>
        <v>135065</v>
      </c>
    </row>
    <row r="36" spans="2:19">
      <c r="K36" s="73"/>
      <c r="L36" s="73"/>
      <c r="M36" s="73"/>
      <c r="N36" s="73"/>
      <c r="O36" s="73"/>
      <c r="P36" s="73"/>
      <c r="Q36" s="73"/>
      <c r="R36" s="73"/>
      <c r="S36" s="73"/>
    </row>
    <row r="37" spans="2:19" s="5" customFormat="1">
      <c r="B37" s="6"/>
      <c r="C37" s="6"/>
      <c r="D37" s="6"/>
      <c r="E37" s="6" t="s">
        <v>28</v>
      </c>
      <c r="K37" s="79">
        <f>SUM(K27:K35)</f>
        <v>39729130</v>
      </c>
      <c r="L37" s="79">
        <f>SUM(L27:L35)</f>
        <v>5162275</v>
      </c>
      <c r="M37" s="79">
        <f>SUM(M27:M35)</f>
        <v>22656983</v>
      </c>
      <c r="N37" s="79">
        <f>SUM(N27:N35)</f>
        <v>700887</v>
      </c>
      <c r="O37" s="79">
        <f>SUM(O27:O35)</f>
        <v>7729288</v>
      </c>
      <c r="P37" s="79">
        <f>SUM(P27:P32)</f>
        <v>84265</v>
      </c>
      <c r="Q37" s="79">
        <f>SUM(Q27:Q32)</f>
        <v>15808188</v>
      </c>
      <c r="R37" s="79">
        <f>SUM(R27:R35)</f>
        <v>16214954</v>
      </c>
      <c r="S37" s="79">
        <f>SUM(S27:S35)</f>
        <v>108085970</v>
      </c>
    </row>
    <row r="38" spans="2:19">
      <c r="K38" s="73"/>
      <c r="L38" s="73"/>
      <c r="M38" s="73"/>
      <c r="N38" s="73"/>
      <c r="O38" s="73"/>
      <c r="P38" s="73"/>
      <c r="Q38" s="73"/>
      <c r="R38" s="73"/>
      <c r="S38" s="73"/>
    </row>
    <row r="39" spans="2:19">
      <c r="B39" t="s">
        <v>635</v>
      </c>
      <c r="K39" s="73"/>
      <c r="L39" s="73"/>
      <c r="M39" s="73"/>
      <c r="N39" s="73"/>
      <c r="O39" s="73"/>
      <c r="P39" s="73"/>
      <c r="Q39" s="73"/>
      <c r="R39" s="73"/>
      <c r="S39" s="73"/>
    </row>
    <row r="40" spans="2:19">
      <c r="C40" t="s">
        <v>188</v>
      </c>
      <c r="K40" s="73"/>
      <c r="L40" s="73"/>
      <c r="M40" s="73"/>
      <c r="N40" s="73"/>
      <c r="O40" s="73"/>
      <c r="P40" s="73"/>
      <c r="Q40" s="73"/>
      <c r="R40" s="73"/>
      <c r="S40" s="73"/>
    </row>
    <row r="41" spans="2:19">
      <c r="D41" t="s">
        <v>678</v>
      </c>
      <c r="K41" s="80">
        <v>65029</v>
      </c>
      <c r="L41" s="73"/>
      <c r="M41" s="73"/>
      <c r="N41" s="73"/>
      <c r="O41" s="73"/>
      <c r="P41" s="73"/>
      <c r="Q41" s="73"/>
      <c r="R41" s="73"/>
      <c r="S41" s="73">
        <f>SUM(K41:R41)</f>
        <v>65029</v>
      </c>
    </row>
    <row r="42" spans="2:19">
      <c r="C42" t="s">
        <v>32</v>
      </c>
      <c r="K42" s="73"/>
      <c r="L42" s="73"/>
      <c r="M42" s="73"/>
      <c r="N42" s="73"/>
      <c r="O42" s="73"/>
      <c r="P42" s="73"/>
      <c r="Q42" s="73"/>
      <c r="R42" s="73"/>
      <c r="S42" s="73"/>
    </row>
    <row r="43" spans="2:19">
      <c r="D43" t="s">
        <v>679</v>
      </c>
      <c r="K43" s="80">
        <v>2163347</v>
      </c>
      <c r="L43" s="73"/>
      <c r="M43" s="73"/>
      <c r="N43" s="73"/>
      <c r="O43" s="73"/>
      <c r="P43" s="73"/>
      <c r="Q43" s="73"/>
      <c r="R43" s="73"/>
      <c r="S43" s="73">
        <f>SUM(K43:Q43)</f>
        <v>2163347</v>
      </c>
    </row>
    <row r="44" spans="2:19">
      <c r="D44" t="s">
        <v>680</v>
      </c>
      <c r="K44" s="80">
        <v>69690</v>
      </c>
      <c r="L44" s="73"/>
      <c r="M44" s="73"/>
      <c r="N44" s="73"/>
      <c r="O44" s="73"/>
      <c r="P44" s="73"/>
      <c r="Q44" s="73"/>
      <c r="R44" s="73"/>
      <c r="S44" s="73">
        <f>SUM(K44:Q44)</f>
        <v>69690</v>
      </c>
    </row>
    <row r="45" spans="2:19">
      <c r="D45" t="s">
        <v>87</v>
      </c>
      <c r="K45" s="73"/>
      <c r="L45" s="73"/>
      <c r="M45" s="73">
        <v>3074445</v>
      </c>
      <c r="N45" s="73"/>
      <c r="O45" s="73"/>
      <c r="P45" s="73"/>
      <c r="Q45" s="73"/>
      <c r="R45" s="73"/>
      <c r="S45" s="73">
        <f>SUM(K45:Q45)</f>
        <v>3074445</v>
      </c>
    </row>
    <row r="46" spans="2:19">
      <c r="D46" t="s">
        <v>44</v>
      </c>
      <c r="K46" s="73"/>
      <c r="L46" s="73"/>
      <c r="M46" s="73"/>
      <c r="N46" s="73"/>
      <c r="O46" s="73"/>
      <c r="P46" s="73"/>
      <c r="Q46" s="73">
        <v>23418827</v>
      </c>
      <c r="R46" s="73"/>
      <c r="S46" s="73">
        <f>SUM(K46:Q46)</f>
        <v>23418827</v>
      </c>
    </row>
    <row r="47" spans="2:19">
      <c r="D47" t="s">
        <v>681</v>
      </c>
      <c r="K47" s="73"/>
      <c r="L47" s="73"/>
      <c r="M47" s="73"/>
      <c r="N47" s="73">
        <v>192480</v>
      </c>
      <c r="O47" s="73"/>
      <c r="P47" s="73"/>
      <c r="Q47" s="73"/>
      <c r="R47" s="73"/>
      <c r="S47" s="73">
        <f t="shared" ref="S47:S48" si="4">SUM(K47:Q47)</f>
        <v>192480</v>
      </c>
    </row>
    <row r="48" spans="2:19">
      <c r="D48" t="s">
        <v>122</v>
      </c>
      <c r="K48" s="73"/>
      <c r="L48" s="73"/>
      <c r="M48" s="73"/>
      <c r="N48" s="73"/>
      <c r="O48" s="73">
        <v>1583295</v>
      </c>
      <c r="P48" s="73"/>
      <c r="Q48" s="73"/>
      <c r="R48" s="73"/>
      <c r="S48" s="73">
        <f t="shared" si="4"/>
        <v>1583295</v>
      </c>
    </row>
    <row r="49" spans="3:19">
      <c r="D49" t="s">
        <v>682</v>
      </c>
      <c r="K49" s="73"/>
      <c r="L49" s="73"/>
      <c r="M49" s="73"/>
      <c r="N49" s="73"/>
      <c r="O49" s="73"/>
      <c r="P49" s="73">
        <v>10584108</v>
      </c>
      <c r="Q49" s="73"/>
      <c r="R49" s="73"/>
      <c r="S49" s="73">
        <f>SUM(K49:R49)</f>
        <v>10584108</v>
      </c>
    </row>
    <row r="50" spans="3:19">
      <c r="D50" t="s">
        <v>43</v>
      </c>
      <c r="K50" s="73"/>
      <c r="L50" s="73"/>
      <c r="M50" s="73"/>
      <c r="N50" s="73"/>
      <c r="O50" s="73"/>
      <c r="P50" s="73"/>
      <c r="Q50" s="73"/>
      <c r="R50" s="73">
        <v>14734095</v>
      </c>
      <c r="S50" s="73">
        <f>SUM(K50:R50)</f>
        <v>14734095</v>
      </c>
    </row>
    <row r="51" spans="3:19">
      <c r="D51" t="s">
        <v>683</v>
      </c>
      <c r="K51" s="73"/>
      <c r="L51" s="73"/>
      <c r="M51" s="73"/>
      <c r="N51" s="73"/>
      <c r="O51" s="73"/>
      <c r="P51" s="73"/>
      <c r="Q51" s="73"/>
      <c r="R51" s="73">
        <v>10187323</v>
      </c>
      <c r="S51" s="73">
        <f>SUM(K51:R51)</f>
        <v>10187323</v>
      </c>
    </row>
    <row r="52" spans="3:19">
      <c r="C52" t="s">
        <v>684</v>
      </c>
      <c r="K52" s="73"/>
      <c r="L52" s="73"/>
      <c r="M52" s="73"/>
      <c r="N52" s="73"/>
      <c r="O52" s="73"/>
      <c r="P52" s="73"/>
      <c r="Q52" s="73"/>
      <c r="R52" s="73"/>
      <c r="S52" s="73"/>
    </row>
    <row r="53" spans="3:19">
      <c r="D53" t="s">
        <v>44</v>
      </c>
      <c r="K53" s="73"/>
      <c r="L53" s="73"/>
      <c r="M53" s="73"/>
      <c r="N53" s="73"/>
      <c r="O53" s="73"/>
      <c r="P53" s="73"/>
      <c r="Q53" s="73">
        <v>2181540</v>
      </c>
      <c r="R53" s="73"/>
      <c r="S53" s="73">
        <f>SUM(K53:R53)</f>
        <v>2181540</v>
      </c>
    </row>
    <row r="54" spans="3:19">
      <c r="C54" t="s">
        <v>390</v>
      </c>
      <c r="K54" s="73"/>
      <c r="L54" s="73"/>
      <c r="M54" s="73"/>
      <c r="N54" s="73"/>
      <c r="O54" s="73"/>
      <c r="P54" s="73"/>
      <c r="Q54" s="73"/>
      <c r="R54" s="73"/>
      <c r="S54" s="73"/>
    </row>
    <row r="55" spans="3:19">
      <c r="D55" t="s">
        <v>194</v>
      </c>
      <c r="K55" s="82">
        <v>126433</v>
      </c>
      <c r="L55" s="73"/>
      <c r="M55" s="73"/>
      <c r="N55" s="73"/>
      <c r="O55" s="73"/>
      <c r="P55" s="73"/>
      <c r="Q55" s="73"/>
      <c r="R55" s="73">
        <v>54206</v>
      </c>
      <c r="S55" s="73">
        <f>SUM(K55:R55)</f>
        <v>180639</v>
      </c>
    </row>
    <row r="56" spans="3:19">
      <c r="D56" t="s">
        <v>685</v>
      </c>
      <c r="K56" s="82">
        <v>226688</v>
      </c>
      <c r="L56" s="73"/>
      <c r="M56" s="73"/>
      <c r="N56" s="73"/>
      <c r="O56" s="73"/>
      <c r="P56" s="73"/>
      <c r="Q56" s="73"/>
      <c r="R56" s="73"/>
      <c r="S56" s="73">
        <f t="shared" ref="S56:S66" si="5">SUM(K56:R56)</f>
        <v>226688</v>
      </c>
    </row>
    <row r="57" spans="3:19">
      <c r="D57" t="s">
        <v>686</v>
      </c>
      <c r="K57" s="82">
        <v>702414</v>
      </c>
      <c r="L57" s="73"/>
      <c r="M57" s="73"/>
      <c r="N57" s="73"/>
      <c r="O57" s="73"/>
      <c r="P57" s="73"/>
      <c r="Q57" s="73"/>
      <c r="R57" s="73"/>
      <c r="S57" s="73">
        <f t="shared" si="5"/>
        <v>702414</v>
      </c>
    </row>
    <row r="58" spans="3:19">
      <c r="D58" t="s">
        <v>687</v>
      </c>
      <c r="K58" s="82">
        <v>199254</v>
      </c>
      <c r="L58" s="73"/>
      <c r="M58" s="73"/>
      <c r="N58" s="73"/>
      <c r="O58" s="73"/>
      <c r="P58" s="73"/>
      <c r="Q58" s="73"/>
      <c r="R58" s="73"/>
      <c r="S58" s="73">
        <f t="shared" si="5"/>
        <v>199254</v>
      </c>
    </row>
    <row r="59" spans="3:19">
      <c r="D59" t="s">
        <v>688</v>
      </c>
      <c r="K59" s="82">
        <v>211623</v>
      </c>
      <c r="L59" s="73"/>
      <c r="M59" s="73"/>
      <c r="N59" s="73"/>
      <c r="O59" s="73"/>
      <c r="P59" s="73"/>
      <c r="Q59" s="73"/>
      <c r="R59" s="73"/>
      <c r="S59" s="73">
        <f t="shared" si="5"/>
        <v>211623</v>
      </c>
    </row>
    <row r="60" spans="3:19">
      <c r="D60" t="s">
        <v>69</v>
      </c>
      <c r="K60" s="73"/>
      <c r="L60" s="73">
        <v>3988637</v>
      </c>
      <c r="M60" s="73"/>
      <c r="N60" s="73"/>
      <c r="O60" s="73"/>
      <c r="P60" s="73"/>
      <c r="Q60" s="73"/>
      <c r="R60" s="73"/>
      <c r="S60" s="73">
        <f t="shared" si="5"/>
        <v>3988637</v>
      </c>
    </row>
    <row r="61" spans="3:19">
      <c r="D61" t="s">
        <v>44</v>
      </c>
      <c r="K61" s="73"/>
      <c r="L61" s="73"/>
      <c r="M61" s="73"/>
      <c r="N61" s="73"/>
      <c r="O61" s="73"/>
      <c r="P61" s="73"/>
      <c r="Q61" s="73">
        <v>37276975</v>
      </c>
      <c r="R61" s="73"/>
      <c r="S61" s="73">
        <f t="shared" si="5"/>
        <v>37276975</v>
      </c>
    </row>
    <row r="62" spans="3:19">
      <c r="D62" t="s">
        <v>87</v>
      </c>
      <c r="K62" s="73"/>
      <c r="L62" s="73"/>
      <c r="M62" s="73">
        <v>1744620</v>
      </c>
      <c r="N62" s="73"/>
      <c r="O62" s="73"/>
      <c r="P62" s="73"/>
      <c r="Q62" s="73"/>
      <c r="R62" s="73"/>
      <c r="S62" s="73">
        <f t="shared" si="5"/>
        <v>1744620</v>
      </c>
    </row>
    <row r="63" spans="3:19">
      <c r="D63" t="s">
        <v>681</v>
      </c>
      <c r="K63" s="73"/>
      <c r="L63" s="73"/>
      <c r="M63" s="73"/>
      <c r="N63" s="73">
        <v>3123908</v>
      </c>
      <c r="O63" s="73"/>
      <c r="P63" s="73"/>
      <c r="Q63" s="73"/>
      <c r="R63" s="73"/>
      <c r="S63" s="73">
        <f t="shared" si="5"/>
        <v>3123908</v>
      </c>
    </row>
    <row r="64" spans="3:19">
      <c r="D64" t="s">
        <v>122</v>
      </c>
      <c r="K64" s="73"/>
      <c r="L64" s="73"/>
      <c r="M64" s="73"/>
      <c r="N64" s="73"/>
      <c r="O64" s="73">
        <v>5442234</v>
      </c>
      <c r="P64" s="73"/>
      <c r="Q64" s="73"/>
      <c r="R64" s="73"/>
      <c r="S64" s="73">
        <f t="shared" si="5"/>
        <v>5442234</v>
      </c>
    </row>
    <row r="65" spans="3:19">
      <c r="D65" t="s">
        <v>683</v>
      </c>
      <c r="K65" s="73"/>
      <c r="L65" s="73"/>
      <c r="M65" s="73"/>
      <c r="N65" s="73"/>
      <c r="O65" s="73"/>
      <c r="P65" s="73"/>
      <c r="Q65" s="73"/>
      <c r="R65" s="73">
        <v>530805</v>
      </c>
      <c r="S65" s="73">
        <f t="shared" si="5"/>
        <v>530805</v>
      </c>
    </row>
    <row r="66" spans="3:19">
      <c r="C66" t="s">
        <v>48</v>
      </c>
      <c r="K66" s="86">
        <v>10282697</v>
      </c>
      <c r="L66" s="73"/>
      <c r="M66" s="73"/>
      <c r="N66" s="73"/>
      <c r="O66" s="73"/>
      <c r="P66" s="73"/>
      <c r="Q66" s="73"/>
      <c r="R66" s="73"/>
      <c r="S66" s="73">
        <f t="shared" si="5"/>
        <v>10282697</v>
      </c>
    </row>
    <row r="67" spans="3:19">
      <c r="K67" s="73"/>
      <c r="L67" s="73"/>
      <c r="M67" s="73"/>
      <c r="N67" s="73"/>
      <c r="O67" s="73"/>
      <c r="P67" s="73"/>
      <c r="Q67" s="73"/>
      <c r="R67" s="73"/>
      <c r="S67" s="73"/>
    </row>
    <row r="68" spans="3:19" s="5" customFormat="1">
      <c r="D68" s="6"/>
      <c r="E68" s="6" t="s">
        <v>49</v>
      </c>
      <c r="K68" s="79">
        <f>SUM(K40:K66)</f>
        <v>14047175</v>
      </c>
      <c r="L68" s="79">
        <f>SUM(L42:L66)</f>
        <v>3988637</v>
      </c>
      <c r="M68" s="79">
        <f>SUM(M42:M66)</f>
        <v>4819065</v>
      </c>
      <c r="N68" s="79">
        <f>SUM(N42:N66)</f>
        <v>3316388</v>
      </c>
      <c r="O68" s="79">
        <f>SUM(O41:O66)</f>
        <v>7025529</v>
      </c>
      <c r="P68" s="79">
        <f>SUM(P42:P66)</f>
        <v>10584108</v>
      </c>
      <c r="Q68" s="79">
        <f>SUM(Q40:Q67)</f>
        <v>62877342</v>
      </c>
      <c r="R68" s="79">
        <f>SUM(R41:R66)</f>
        <v>25506429</v>
      </c>
      <c r="S68" s="79">
        <f>SUM(S40:S66)</f>
        <v>132164673</v>
      </c>
    </row>
    <row r="69" spans="3:19">
      <c r="K69" s="73"/>
      <c r="L69" s="73"/>
      <c r="M69" s="73"/>
      <c r="N69" s="73"/>
      <c r="O69" s="73"/>
      <c r="P69" s="73"/>
      <c r="Q69" s="73"/>
      <c r="R69" s="73"/>
      <c r="S69" s="73"/>
    </row>
    <row r="70" spans="3:19" s="7" customFormat="1">
      <c r="D70" s="8"/>
      <c r="E70" s="8" t="s">
        <v>50</v>
      </c>
      <c r="K70" s="81">
        <f>SUM(K68,K37,)</f>
        <v>53776305</v>
      </c>
      <c r="L70" s="81">
        <f t="shared" ref="L70:S70" si="6">SUM(L68,L37,)</f>
        <v>9150912</v>
      </c>
      <c r="M70" s="81">
        <f t="shared" si="6"/>
        <v>27476048</v>
      </c>
      <c r="N70" s="81">
        <f t="shared" si="6"/>
        <v>4017275</v>
      </c>
      <c r="O70" s="81">
        <f t="shared" si="6"/>
        <v>14754817</v>
      </c>
      <c r="P70" s="81">
        <f t="shared" si="6"/>
        <v>10668373</v>
      </c>
      <c r="Q70" s="81">
        <f t="shared" si="6"/>
        <v>78685530</v>
      </c>
      <c r="R70" s="81">
        <f t="shared" si="6"/>
        <v>41721383</v>
      </c>
      <c r="S70" s="81">
        <f t="shared" si="6"/>
        <v>240250643</v>
      </c>
    </row>
  </sheetData>
  <mergeCells count="3">
    <mergeCell ref="D1:K1"/>
    <mergeCell ref="D2:K2"/>
    <mergeCell ref="K3:N3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36"/>
  <sheetViews>
    <sheetView workbookViewId="0">
      <selection activeCell="K36" sqref="K3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4" customWidth="1"/>
    <col min="12" max="12" width="13.7109375" customWidth="1"/>
    <col min="13" max="13" width="11.85546875" customWidth="1"/>
    <col min="14" max="14" width="15" customWidth="1"/>
    <col min="15" max="15" width="17" customWidth="1"/>
    <col min="16" max="16" width="13.42578125" customWidth="1"/>
    <col min="17" max="17" width="15.140625" customWidth="1"/>
    <col min="18" max="18" width="16.42578125" customWidth="1"/>
    <col min="19" max="19" width="15.85546875" customWidth="1"/>
    <col min="20" max="20" width="18.28515625" customWidth="1"/>
  </cols>
  <sheetData>
    <row r="1" spans="1:19" ht="18.75">
      <c r="D1" s="125" t="s">
        <v>689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265</v>
      </c>
      <c r="E2" s="126"/>
      <c r="F2" s="126"/>
      <c r="G2" s="126"/>
      <c r="H2" s="126"/>
      <c r="I2" s="126"/>
      <c r="J2" s="126"/>
      <c r="K2" s="126"/>
    </row>
    <row r="3" spans="1:19" ht="29.25" customHeight="1">
      <c r="D3" s="57"/>
      <c r="E3" s="57"/>
      <c r="F3" s="57"/>
      <c r="G3" s="57"/>
      <c r="H3" s="57"/>
      <c r="I3" s="57"/>
      <c r="J3" s="57"/>
      <c r="K3" s="126"/>
      <c r="L3" s="126"/>
      <c r="M3" s="126"/>
      <c r="N3" s="126"/>
      <c r="O3" s="57"/>
    </row>
    <row r="4" spans="1:19" ht="15" customHeight="1">
      <c r="K4" s="100"/>
      <c r="L4" s="100"/>
      <c r="M4" s="100"/>
      <c r="N4" s="100"/>
      <c r="O4" s="100"/>
    </row>
    <row r="5" spans="1:19" ht="45">
      <c r="K5" s="1" t="s">
        <v>52</v>
      </c>
      <c r="L5" s="1" t="s">
        <v>276</v>
      </c>
      <c r="M5" s="1" t="s">
        <v>690</v>
      </c>
      <c r="N5" s="1" t="s">
        <v>447</v>
      </c>
      <c r="O5" s="1" t="s">
        <v>691</v>
      </c>
      <c r="P5" s="1" t="s">
        <v>692</v>
      </c>
      <c r="Q5" s="1" t="s">
        <v>693</v>
      </c>
      <c r="R5" s="1" t="s">
        <v>8</v>
      </c>
      <c r="S5" s="1" t="s">
        <v>9</v>
      </c>
    </row>
    <row r="6" spans="1:19">
      <c r="A6" t="s">
        <v>10</v>
      </c>
    </row>
    <row r="7" spans="1:19">
      <c r="B7" t="s">
        <v>163</v>
      </c>
      <c r="K7" s="72">
        <v>647472</v>
      </c>
      <c r="L7" s="73">
        <v>92274</v>
      </c>
      <c r="M7" s="73">
        <v>50063</v>
      </c>
      <c r="N7" s="73">
        <v>521608</v>
      </c>
      <c r="O7" s="73"/>
      <c r="P7" s="73">
        <v>920</v>
      </c>
      <c r="Q7" s="73">
        <v>26526</v>
      </c>
      <c r="R7" s="73">
        <v>990980</v>
      </c>
      <c r="S7" s="73">
        <f>SUM(K7:R7)</f>
        <v>2329843</v>
      </c>
    </row>
    <row r="8" spans="1:19">
      <c r="B8" t="s">
        <v>59</v>
      </c>
      <c r="K8" s="74">
        <v>267562</v>
      </c>
      <c r="L8" s="73">
        <v>69172</v>
      </c>
      <c r="M8" s="73">
        <v>66559</v>
      </c>
      <c r="N8" s="73">
        <v>88939</v>
      </c>
      <c r="O8" s="73"/>
      <c r="P8" s="73"/>
      <c r="Q8" s="73">
        <v>15366</v>
      </c>
      <c r="R8" s="73">
        <v>255511</v>
      </c>
      <c r="S8" s="73">
        <f>SUM(K8:R8)</f>
        <v>763109</v>
      </c>
    </row>
    <row r="9" spans="1:19">
      <c r="B9" t="s">
        <v>694</v>
      </c>
      <c r="K9" s="73"/>
      <c r="L9" s="73"/>
      <c r="M9" s="73"/>
      <c r="N9" s="73"/>
      <c r="O9" s="73"/>
      <c r="P9" s="73"/>
      <c r="Q9" s="73"/>
      <c r="R9" s="73"/>
      <c r="S9" s="73"/>
    </row>
    <row r="10" spans="1:19">
      <c r="C10" t="s">
        <v>695</v>
      </c>
      <c r="K10" s="73"/>
      <c r="L10" s="73"/>
      <c r="M10" s="73"/>
      <c r="N10" s="73"/>
      <c r="O10" s="73"/>
      <c r="P10" s="73">
        <v>944665</v>
      </c>
      <c r="Q10" s="73"/>
      <c r="R10" s="73"/>
      <c r="S10" s="73">
        <f>SUM(K10:R10)</f>
        <v>944665</v>
      </c>
    </row>
    <row r="11" spans="1:19">
      <c r="B11" t="s">
        <v>652</v>
      </c>
      <c r="K11" s="73"/>
      <c r="L11" s="73"/>
      <c r="M11" s="73"/>
      <c r="N11" s="73"/>
      <c r="O11" s="73"/>
      <c r="P11" s="73"/>
      <c r="Q11" s="73"/>
      <c r="R11" s="73">
        <v>29094</v>
      </c>
      <c r="S11" s="73">
        <f>SUM(K11:R11)</f>
        <v>29094</v>
      </c>
    </row>
    <row r="12" spans="1:19">
      <c r="B12" t="s">
        <v>18</v>
      </c>
      <c r="K12" s="73"/>
      <c r="L12" s="73">
        <v>24330</v>
      </c>
      <c r="M12" s="73">
        <v>26347</v>
      </c>
      <c r="N12" s="73"/>
      <c r="O12" s="73"/>
      <c r="P12" s="73"/>
      <c r="Q12" s="73">
        <v>6082</v>
      </c>
      <c r="R12" s="73">
        <v>28381</v>
      </c>
      <c r="S12" s="73">
        <f>SUM(K12:R12)</f>
        <v>85140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 s="3" customFormat="1">
      <c r="A14" s="2"/>
      <c r="B14" s="2"/>
      <c r="C14" s="2"/>
      <c r="D14" s="2"/>
      <c r="E14" s="2" t="s">
        <v>129</v>
      </c>
      <c r="K14" s="76">
        <f t="shared" ref="K14:S14" si="0">SUM(K7:K12)</f>
        <v>915034</v>
      </c>
      <c r="L14" s="76">
        <f t="shared" si="0"/>
        <v>185776</v>
      </c>
      <c r="M14" s="76">
        <f t="shared" si="0"/>
        <v>142969</v>
      </c>
      <c r="N14" s="76">
        <f t="shared" si="0"/>
        <v>610547</v>
      </c>
      <c r="O14" s="76">
        <f t="shared" si="0"/>
        <v>0</v>
      </c>
      <c r="P14" s="76">
        <f t="shared" si="0"/>
        <v>945585</v>
      </c>
      <c r="Q14" s="76">
        <f t="shared" si="0"/>
        <v>47974</v>
      </c>
      <c r="R14" s="76">
        <f t="shared" si="0"/>
        <v>1303966</v>
      </c>
      <c r="S14" s="76">
        <f t="shared" si="0"/>
        <v>4151851</v>
      </c>
    </row>
    <row r="15" spans="1:19"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A16" s="4" t="s">
        <v>21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2:19">
      <c r="B17" t="s">
        <v>22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2:19">
      <c r="C18" t="s">
        <v>131</v>
      </c>
      <c r="K18" s="77">
        <v>24370</v>
      </c>
      <c r="L18" s="73">
        <v>26679</v>
      </c>
      <c r="M18" s="73">
        <v>30612</v>
      </c>
      <c r="N18" s="73">
        <v>10235</v>
      </c>
      <c r="O18" s="73"/>
      <c r="P18" s="73"/>
      <c r="Q18" s="73"/>
      <c r="R18" s="73">
        <v>64153</v>
      </c>
      <c r="S18" s="73">
        <f>SUM(K18:R18)</f>
        <v>156049</v>
      </c>
    </row>
    <row r="19" spans="2:19">
      <c r="C19" t="s">
        <v>479</v>
      </c>
      <c r="K19" s="73"/>
      <c r="L19" s="73"/>
      <c r="M19" s="73"/>
      <c r="N19" s="73"/>
      <c r="O19" s="73">
        <v>16499</v>
      </c>
      <c r="P19" s="73"/>
      <c r="Q19" s="73"/>
      <c r="R19" s="73"/>
      <c r="S19" s="73">
        <f>SUM(K19:R19)</f>
        <v>16499</v>
      </c>
    </row>
    <row r="20" spans="2:19">
      <c r="C20" t="s">
        <v>27</v>
      </c>
      <c r="K20" s="78">
        <v>85140</v>
      </c>
      <c r="L20" s="73"/>
      <c r="M20" s="73"/>
      <c r="N20" s="73"/>
      <c r="O20" s="73"/>
      <c r="P20" s="73"/>
      <c r="Q20" s="73"/>
      <c r="R20" s="73"/>
      <c r="S20" s="73">
        <f>SUM(K20:R20)</f>
        <v>85140</v>
      </c>
    </row>
    <row r="21" spans="2:19">
      <c r="C21" t="s">
        <v>696</v>
      </c>
      <c r="K21" s="73"/>
      <c r="L21" s="73"/>
      <c r="M21" s="73"/>
      <c r="N21" s="73"/>
      <c r="O21" s="73"/>
      <c r="P21" s="73"/>
      <c r="Q21" s="73">
        <v>54048</v>
      </c>
      <c r="R21" s="73"/>
      <c r="S21" s="73">
        <f>SUM(K21:R21)</f>
        <v>54048</v>
      </c>
    </row>
    <row r="22" spans="2:19">
      <c r="K22" s="73"/>
      <c r="L22" s="73"/>
      <c r="M22" s="73"/>
      <c r="N22" s="73"/>
      <c r="O22" s="73"/>
      <c r="P22" s="73"/>
      <c r="Q22" s="73"/>
      <c r="R22" s="73"/>
      <c r="S22" s="73"/>
    </row>
    <row r="23" spans="2:19" s="5" customFormat="1">
      <c r="B23" s="6"/>
      <c r="C23" s="6"/>
      <c r="D23" s="6"/>
      <c r="E23" s="6" t="s">
        <v>28</v>
      </c>
      <c r="K23" s="79">
        <f t="shared" ref="K23:S23" si="1">SUM(K18:K21)</f>
        <v>109510</v>
      </c>
      <c r="L23" s="79">
        <f t="shared" si="1"/>
        <v>26679</v>
      </c>
      <c r="M23" s="79">
        <f t="shared" si="1"/>
        <v>30612</v>
      </c>
      <c r="N23" s="79">
        <f t="shared" si="1"/>
        <v>10235</v>
      </c>
      <c r="O23" s="79">
        <f t="shared" si="1"/>
        <v>16499</v>
      </c>
      <c r="P23" s="79">
        <f t="shared" si="1"/>
        <v>0</v>
      </c>
      <c r="Q23" s="79">
        <f t="shared" si="1"/>
        <v>54048</v>
      </c>
      <c r="R23" s="79">
        <f t="shared" si="1"/>
        <v>64153</v>
      </c>
      <c r="S23" s="79">
        <f t="shared" si="1"/>
        <v>311736</v>
      </c>
    </row>
    <row r="24" spans="2:19">
      <c r="K24" s="73"/>
      <c r="L24" s="73"/>
      <c r="M24" s="73"/>
      <c r="N24" s="73"/>
      <c r="O24" s="73"/>
      <c r="P24" s="73"/>
      <c r="Q24" s="73"/>
      <c r="R24" s="73"/>
      <c r="S24" s="73"/>
    </row>
    <row r="25" spans="2:19">
      <c r="B25" t="s">
        <v>635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2:19">
      <c r="C26" t="s">
        <v>32</v>
      </c>
      <c r="K26" s="73"/>
      <c r="L26" s="73"/>
      <c r="M26" s="73"/>
      <c r="N26" s="73"/>
      <c r="O26" s="73"/>
      <c r="P26" s="73"/>
      <c r="Q26" s="73"/>
      <c r="R26" s="73"/>
      <c r="S26" s="73"/>
    </row>
    <row r="27" spans="2:19">
      <c r="D27" t="s">
        <v>43</v>
      </c>
      <c r="K27" s="73"/>
      <c r="L27" s="73"/>
      <c r="M27" s="73"/>
      <c r="N27" s="73"/>
      <c r="O27" s="73"/>
      <c r="P27" s="73"/>
      <c r="Q27" s="73"/>
      <c r="R27" s="73">
        <v>29094</v>
      </c>
      <c r="S27" s="73">
        <f>SUM(K27:R27)</f>
        <v>29094</v>
      </c>
    </row>
    <row r="28" spans="2:19">
      <c r="D28" t="s">
        <v>697</v>
      </c>
      <c r="K28" s="73"/>
      <c r="L28" s="73"/>
      <c r="M28" s="73"/>
      <c r="N28" s="73"/>
      <c r="O28" s="73"/>
      <c r="P28" s="73">
        <v>945585</v>
      </c>
      <c r="Q28" s="73"/>
      <c r="R28" s="73"/>
      <c r="S28" s="73">
        <f>SUM(K28:R28)</f>
        <v>945585</v>
      </c>
    </row>
    <row r="29" spans="2:19">
      <c r="C29" t="s">
        <v>272</v>
      </c>
      <c r="K29" s="73"/>
      <c r="L29" s="73"/>
      <c r="M29" s="73"/>
      <c r="N29" s="73"/>
      <c r="O29" s="73"/>
      <c r="P29" s="73"/>
      <c r="Q29" s="73"/>
      <c r="R29" s="73"/>
      <c r="S29" s="73"/>
    </row>
    <row r="30" spans="2:19">
      <c r="D30" t="s">
        <v>273</v>
      </c>
      <c r="K30" s="73"/>
      <c r="L30" s="73">
        <v>159097</v>
      </c>
      <c r="M30" s="73">
        <v>112357</v>
      </c>
      <c r="N30" s="73">
        <v>600312</v>
      </c>
      <c r="O30" s="73">
        <v>-16499</v>
      </c>
      <c r="P30" s="73"/>
      <c r="Q30" s="73">
        <v>-6074</v>
      </c>
      <c r="R30" s="73">
        <v>1210719</v>
      </c>
      <c r="S30" s="73">
        <f>SUM(K30:R30)</f>
        <v>2059912</v>
      </c>
    </row>
    <row r="31" spans="2:19">
      <c r="C31" t="s">
        <v>274</v>
      </c>
      <c r="K31" s="73"/>
      <c r="L31" s="73"/>
      <c r="M31" s="73"/>
      <c r="N31" s="73"/>
      <c r="O31" s="73"/>
      <c r="P31" s="73"/>
      <c r="Q31" s="73"/>
      <c r="R31" s="73"/>
      <c r="S31" s="73"/>
    </row>
    <row r="32" spans="2:19">
      <c r="D32" t="s">
        <v>159</v>
      </c>
      <c r="K32" s="86">
        <v>805524</v>
      </c>
      <c r="L32" s="73"/>
      <c r="M32" s="73"/>
      <c r="N32" s="73"/>
      <c r="O32" s="73"/>
      <c r="P32" s="73"/>
      <c r="Q32" s="73"/>
      <c r="R32" s="73"/>
      <c r="S32" s="73">
        <f>SUM(K32:R32)</f>
        <v>805524</v>
      </c>
    </row>
    <row r="33" spans="4:19">
      <c r="K33" s="73"/>
      <c r="L33" s="73"/>
      <c r="M33" s="73"/>
      <c r="N33" s="73"/>
      <c r="O33" s="73"/>
      <c r="P33" s="73"/>
      <c r="Q33" s="73"/>
      <c r="R33" s="73"/>
      <c r="S33" s="73"/>
    </row>
    <row r="34" spans="4:19" s="5" customFormat="1">
      <c r="D34" s="6"/>
      <c r="E34" s="6" t="s">
        <v>49</v>
      </c>
      <c r="K34" s="79">
        <f t="shared" ref="K34:P34" si="2">SUM(K26:K32)</f>
        <v>805524</v>
      </c>
      <c r="L34" s="79">
        <f t="shared" si="2"/>
        <v>159097</v>
      </c>
      <c r="M34" s="79">
        <f t="shared" si="2"/>
        <v>112357</v>
      </c>
      <c r="N34" s="79">
        <f t="shared" si="2"/>
        <v>600312</v>
      </c>
      <c r="O34" s="79">
        <f t="shared" si="2"/>
        <v>-16499</v>
      </c>
      <c r="P34" s="79">
        <f t="shared" si="2"/>
        <v>945585</v>
      </c>
      <c r="Q34" s="79">
        <f>SUM(Q27:Q32)</f>
        <v>-6074</v>
      </c>
      <c r="R34" s="79">
        <f>SUM(R26:R33)</f>
        <v>1239813</v>
      </c>
      <c r="S34" s="79">
        <f>SUM(S26:S32)</f>
        <v>3840115</v>
      </c>
    </row>
    <row r="35" spans="4:19">
      <c r="K35" s="73"/>
      <c r="L35" s="73"/>
      <c r="M35" s="73"/>
      <c r="N35" s="73"/>
      <c r="O35" s="73"/>
      <c r="P35" s="73"/>
      <c r="Q35" s="73"/>
      <c r="R35" s="73"/>
      <c r="S35" s="73"/>
    </row>
    <row r="36" spans="4:19" s="7" customFormat="1">
      <c r="D36" s="8"/>
      <c r="E36" s="8" t="s">
        <v>50</v>
      </c>
      <c r="K36" s="81">
        <f>SUM(K34,K23)</f>
        <v>915034</v>
      </c>
      <c r="L36" s="81">
        <f>SUM(L23,L34)</f>
        <v>185776</v>
      </c>
      <c r="M36" s="81">
        <f>SUM(M23,M34)</f>
        <v>142969</v>
      </c>
      <c r="N36" s="81">
        <f>SUM(N23,N34)</f>
        <v>610547</v>
      </c>
      <c r="O36" s="81">
        <f>SUM(O23+O34)</f>
        <v>0</v>
      </c>
      <c r="P36" s="81">
        <f>SUM(P34+P23)</f>
        <v>945585</v>
      </c>
      <c r="Q36" s="81">
        <f>SUM(Q34+Q23)</f>
        <v>47974</v>
      </c>
      <c r="R36" s="81">
        <f>SUM(R23+R34)</f>
        <v>1303966</v>
      </c>
      <c r="S36" s="81">
        <f>SUM(S23,S34)</f>
        <v>4151851</v>
      </c>
    </row>
  </sheetData>
  <mergeCells count="3">
    <mergeCell ref="D1:K1"/>
    <mergeCell ref="D2:K2"/>
    <mergeCell ref="K3:N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30"/>
  <sheetViews>
    <sheetView workbookViewId="0">
      <selection activeCell="H36" sqref="H3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85546875" customWidth="1"/>
    <col min="13" max="13" width="16.42578125" customWidth="1"/>
    <col min="14" max="14" width="15.5703125" customWidth="1"/>
    <col min="15" max="15" width="15.140625" customWidth="1"/>
    <col min="16" max="16" width="17.140625" customWidth="1"/>
    <col min="17" max="17" width="17.28515625" customWidth="1"/>
  </cols>
  <sheetData>
    <row r="1" spans="1:17" ht="18.75">
      <c r="D1" s="125" t="s">
        <v>698</v>
      </c>
      <c r="E1" s="125"/>
      <c r="F1" s="125"/>
      <c r="G1" s="125"/>
      <c r="H1" s="125"/>
      <c r="I1" s="125"/>
      <c r="J1" s="125"/>
      <c r="K1" s="125"/>
    </row>
    <row r="2" spans="1:17">
      <c r="D2" s="126" t="s">
        <v>699</v>
      </c>
      <c r="E2" s="126"/>
      <c r="F2" s="126"/>
      <c r="G2" s="126"/>
      <c r="H2" s="126"/>
      <c r="I2" s="126"/>
      <c r="J2" s="126"/>
      <c r="K2" s="126"/>
    </row>
    <row r="4" spans="1:17" ht="45">
      <c r="K4" s="1" t="s">
        <v>52</v>
      </c>
      <c r="L4" s="1" t="s">
        <v>149</v>
      </c>
      <c r="M4" s="1" t="s">
        <v>521</v>
      </c>
      <c r="N4" s="1" t="s">
        <v>700</v>
      </c>
      <c r="O4" s="1" t="s">
        <v>520</v>
      </c>
      <c r="P4" s="1" t="s">
        <v>8</v>
      </c>
      <c r="Q4" s="1" t="s">
        <v>9</v>
      </c>
    </row>
    <row r="5" spans="1:17">
      <c r="A5" t="s">
        <v>10</v>
      </c>
    </row>
    <row r="6" spans="1:17">
      <c r="B6" t="s">
        <v>163</v>
      </c>
      <c r="K6" s="72">
        <v>437663</v>
      </c>
      <c r="L6" s="73">
        <v>617051</v>
      </c>
      <c r="M6" s="73">
        <v>1476986</v>
      </c>
      <c r="N6" s="73">
        <v>2819039</v>
      </c>
      <c r="O6" s="73">
        <v>500</v>
      </c>
      <c r="P6" s="73">
        <v>1759235</v>
      </c>
      <c r="Q6" s="73">
        <f>SUM(K6:P6)</f>
        <v>7110474</v>
      </c>
    </row>
    <row r="7" spans="1:17">
      <c r="B7" t="s">
        <v>12</v>
      </c>
      <c r="K7" s="77">
        <v>499160</v>
      </c>
      <c r="L7" s="73">
        <v>152352</v>
      </c>
      <c r="M7" s="73">
        <v>290996</v>
      </c>
      <c r="N7" s="73">
        <v>5560482</v>
      </c>
      <c r="O7" s="73">
        <v>37989</v>
      </c>
      <c r="P7" s="73">
        <v>699304</v>
      </c>
      <c r="Q7" s="73">
        <f>SUM(K7:P7)</f>
        <v>7240283</v>
      </c>
    </row>
    <row r="8" spans="1:17">
      <c r="B8" t="s">
        <v>59</v>
      </c>
      <c r="K8" s="74">
        <v>863953</v>
      </c>
      <c r="L8" s="73">
        <v>1091659</v>
      </c>
      <c r="M8" s="73">
        <v>808664</v>
      </c>
      <c r="N8" s="73">
        <v>394789</v>
      </c>
      <c r="O8" s="73">
        <v>183999</v>
      </c>
      <c r="P8" s="73">
        <v>1406640</v>
      </c>
      <c r="Q8" s="73">
        <f>SUM(K8:P8)</f>
        <v>4749704</v>
      </c>
    </row>
    <row r="9" spans="1:17">
      <c r="K9" s="73"/>
      <c r="L9" s="73"/>
      <c r="M9" s="73"/>
      <c r="N9" s="73"/>
      <c r="O9" s="73"/>
      <c r="P9" s="73"/>
      <c r="Q9" s="73"/>
    </row>
    <row r="10" spans="1:17" s="3" customFormat="1">
      <c r="A10" s="2"/>
      <c r="B10" s="2"/>
      <c r="C10" s="2"/>
      <c r="D10" s="2"/>
      <c r="E10" s="2" t="s">
        <v>20</v>
      </c>
      <c r="K10" s="76">
        <f t="shared" ref="K10:Q10" si="0">SUM(K6:K8)</f>
        <v>1800776</v>
      </c>
      <c r="L10" s="76">
        <f t="shared" si="0"/>
        <v>1861062</v>
      </c>
      <c r="M10" s="76">
        <f t="shared" si="0"/>
        <v>2576646</v>
      </c>
      <c r="N10" s="76">
        <f t="shared" si="0"/>
        <v>8774310</v>
      </c>
      <c r="O10" s="76">
        <f t="shared" si="0"/>
        <v>222488</v>
      </c>
      <c r="P10" s="76">
        <f t="shared" si="0"/>
        <v>3865179</v>
      </c>
      <c r="Q10" s="76">
        <f t="shared" si="0"/>
        <v>19100461</v>
      </c>
    </row>
    <row r="11" spans="1:17">
      <c r="K11" s="73"/>
      <c r="L11" s="73"/>
      <c r="M11" s="73"/>
      <c r="N11" s="73"/>
      <c r="O11" s="73"/>
      <c r="P11" s="73"/>
      <c r="Q11" s="73"/>
    </row>
    <row r="12" spans="1:17">
      <c r="A12" s="4" t="s">
        <v>21</v>
      </c>
      <c r="K12" s="73"/>
      <c r="L12" s="73"/>
      <c r="M12" s="73"/>
      <c r="N12" s="73"/>
      <c r="O12" s="73"/>
      <c r="P12" s="73"/>
      <c r="Q12" s="73"/>
    </row>
    <row r="13" spans="1:17">
      <c r="B13" t="s">
        <v>22</v>
      </c>
      <c r="K13" s="73"/>
      <c r="L13" s="73"/>
      <c r="M13" s="73"/>
      <c r="N13" s="73"/>
      <c r="O13" s="73"/>
      <c r="P13" s="73"/>
      <c r="Q13" s="73"/>
    </row>
    <row r="14" spans="1:17">
      <c r="C14" t="s">
        <v>330</v>
      </c>
      <c r="K14" s="111"/>
      <c r="L14" s="73"/>
      <c r="M14" s="73"/>
      <c r="N14" s="73"/>
      <c r="O14" s="73">
        <v>963561</v>
      </c>
      <c r="P14" s="73">
        <v>23604</v>
      </c>
      <c r="Q14" s="73">
        <f>SUM(K14:P14)</f>
        <v>987165</v>
      </c>
    </row>
    <row r="15" spans="1:17">
      <c r="C15" t="s">
        <v>23</v>
      </c>
      <c r="K15" s="77">
        <v>326744</v>
      </c>
      <c r="L15" s="73">
        <v>61234</v>
      </c>
      <c r="M15" s="73">
        <v>34292</v>
      </c>
      <c r="N15" s="73">
        <v>31553</v>
      </c>
      <c r="O15" s="73">
        <v>74736</v>
      </c>
      <c r="P15" s="73">
        <v>619949</v>
      </c>
      <c r="Q15" s="73">
        <f>SUM(K15:P15)</f>
        <v>1148508</v>
      </c>
    </row>
    <row r="16" spans="1:17">
      <c r="C16" t="s">
        <v>250</v>
      </c>
      <c r="K16" s="77">
        <v>139106</v>
      </c>
      <c r="L16" s="73">
        <v>14426</v>
      </c>
      <c r="M16" s="73"/>
      <c r="N16" s="73">
        <v>9569</v>
      </c>
      <c r="O16" s="73">
        <v>44934</v>
      </c>
      <c r="P16" s="73">
        <v>17302</v>
      </c>
      <c r="Q16" s="73">
        <f>SUM(K16:P16)</f>
        <v>225337</v>
      </c>
    </row>
    <row r="17" spans="1:17">
      <c r="C17" t="s">
        <v>516</v>
      </c>
      <c r="K17" s="73"/>
      <c r="L17" s="73">
        <v>260020</v>
      </c>
      <c r="M17" s="73"/>
      <c r="N17" s="73"/>
      <c r="O17" s="73"/>
      <c r="P17" s="73"/>
      <c r="Q17" s="73">
        <f>SUM(K17:P17)</f>
        <v>260020</v>
      </c>
    </row>
    <row r="18" spans="1:17">
      <c r="K18" s="73"/>
      <c r="L18" s="73"/>
      <c r="M18" s="73"/>
      <c r="N18" s="73"/>
      <c r="O18" s="73"/>
      <c r="P18" s="73"/>
      <c r="Q18" s="73"/>
    </row>
    <row r="19" spans="1:17" s="5" customFormat="1">
      <c r="B19" s="6"/>
      <c r="C19" s="6"/>
      <c r="D19" s="6"/>
      <c r="E19" s="6" t="s">
        <v>28</v>
      </c>
      <c r="K19" s="79">
        <f t="shared" ref="K19:Q19" si="1">SUM(K14:K17)</f>
        <v>465850</v>
      </c>
      <c r="L19" s="79">
        <f t="shared" si="1"/>
        <v>335680</v>
      </c>
      <c r="M19" s="79">
        <f t="shared" si="1"/>
        <v>34292</v>
      </c>
      <c r="N19" s="79">
        <f t="shared" si="1"/>
        <v>41122</v>
      </c>
      <c r="O19" s="79">
        <f t="shared" si="1"/>
        <v>1083231</v>
      </c>
      <c r="P19" s="79">
        <f t="shared" si="1"/>
        <v>660855</v>
      </c>
      <c r="Q19" s="79">
        <f t="shared" si="1"/>
        <v>2621030</v>
      </c>
    </row>
    <row r="20" spans="1:17">
      <c r="K20" s="73"/>
      <c r="L20" s="73"/>
      <c r="M20" s="73"/>
      <c r="N20" s="73"/>
      <c r="O20" s="73"/>
      <c r="P20" s="73"/>
      <c r="Q20" s="73"/>
    </row>
    <row r="21" spans="1:17">
      <c r="A21" s="89" t="s">
        <v>701</v>
      </c>
      <c r="K21" s="73"/>
      <c r="L21" s="73"/>
      <c r="M21" s="73"/>
      <c r="N21" s="73"/>
      <c r="O21" s="73"/>
      <c r="P21" s="73"/>
      <c r="Q21" s="73"/>
    </row>
    <row r="22" spans="1:17">
      <c r="B22" t="s">
        <v>702</v>
      </c>
      <c r="K22" s="88"/>
      <c r="L22" s="88"/>
      <c r="M22" s="88"/>
      <c r="N22" s="88"/>
      <c r="O22" s="88"/>
      <c r="P22" s="88">
        <v>14194</v>
      </c>
      <c r="Q22" s="88">
        <f>SUM(K22:P22)</f>
        <v>14194</v>
      </c>
    </row>
    <row r="23" spans="1:17">
      <c r="K23" s="73"/>
      <c r="L23" s="73"/>
      <c r="M23" s="73"/>
      <c r="N23" s="73"/>
      <c r="O23" s="73"/>
      <c r="P23" s="73"/>
      <c r="Q23" s="73"/>
    </row>
    <row r="24" spans="1:17">
      <c r="B24" t="s">
        <v>100</v>
      </c>
      <c r="K24" s="73"/>
      <c r="L24" s="73"/>
      <c r="M24" s="73"/>
      <c r="N24" s="73"/>
      <c r="O24" s="73"/>
      <c r="P24" s="73"/>
      <c r="Q24" s="73"/>
    </row>
    <row r="25" spans="1:17">
      <c r="C25" t="s">
        <v>118</v>
      </c>
      <c r="K25" s="73"/>
      <c r="L25" s="73">
        <v>1525382</v>
      </c>
      <c r="M25" s="73">
        <v>2542354</v>
      </c>
      <c r="N25" s="73">
        <v>8733188</v>
      </c>
      <c r="O25" s="73"/>
      <c r="P25" s="73">
        <v>3204697</v>
      </c>
      <c r="Q25" s="73">
        <f>SUM(K25:P25)</f>
        <v>16005621</v>
      </c>
    </row>
    <row r="26" spans="1:17">
      <c r="C26" t="s">
        <v>48</v>
      </c>
      <c r="K26" s="86">
        <v>1334926</v>
      </c>
      <c r="L26" s="73"/>
      <c r="M26" s="73"/>
      <c r="N26" s="73"/>
      <c r="O26" s="73">
        <v>-860743</v>
      </c>
      <c r="P26" s="73">
        <v>-14567</v>
      </c>
      <c r="Q26" s="73">
        <f>SUM(K26:P26)</f>
        <v>459616</v>
      </c>
    </row>
    <row r="27" spans="1:17">
      <c r="K27" s="73"/>
      <c r="L27" s="73"/>
      <c r="M27" s="73"/>
      <c r="N27" s="73"/>
      <c r="O27" s="73"/>
      <c r="P27" s="73"/>
      <c r="Q27" s="73"/>
    </row>
    <row r="28" spans="1:17" s="5" customFormat="1">
      <c r="D28" s="6"/>
      <c r="E28" s="6" t="s">
        <v>49</v>
      </c>
      <c r="K28" s="79">
        <f t="shared" ref="K28:Q28" si="2">SUM(K25:K26)</f>
        <v>1334926</v>
      </c>
      <c r="L28" s="79">
        <f t="shared" si="2"/>
        <v>1525382</v>
      </c>
      <c r="M28" s="79">
        <f t="shared" si="2"/>
        <v>2542354</v>
      </c>
      <c r="N28" s="79">
        <f t="shared" si="2"/>
        <v>8733188</v>
      </c>
      <c r="O28" s="79">
        <f t="shared" si="2"/>
        <v>-860743</v>
      </c>
      <c r="P28" s="79">
        <f t="shared" si="2"/>
        <v>3190130</v>
      </c>
      <c r="Q28" s="79">
        <f t="shared" si="2"/>
        <v>16465237</v>
      </c>
    </row>
    <row r="29" spans="1:17">
      <c r="K29" s="73"/>
      <c r="L29" s="73"/>
      <c r="M29" s="73"/>
      <c r="N29" s="73"/>
      <c r="O29" s="73"/>
      <c r="P29" s="73"/>
      <c r="Q29" s="73"/>
    </row>
    <row r="30" spans="1:17" s="7" customFormat="1">
      <c r="D30" s="8"/>
      <c r="E30" s="8" t="s">
        <v>50</v>
      </c>
      <c r="K30" s="81">
        <f>K28+K22+K19</f>
        <v>1800776</v>
      </c>
      <c r="L30" s="81">
        <f t="shared" ref="L30:Q30" si="3">L28+L22+L19</f>
        <v>1861062</v>
      </c>
      <c r="M30" s="81">
        <f t="shared" si="3"/>
        <v>2576646</v>
      </c>
      <c r="N30" s="81">
        <f t="shared" si="3"/>
        <v>8774310</v>
      </c>
      <c r="O30" s="81">
        <f t="shared" si="3"/>
        <v>222488</v>
      </c>
      <c r="P30" s="81">
        <f t="shared" si="3"/>
        <v>3865179</v>
      </c>
      <c r="Q30" s="81">
        <f t="shared" si="3"/>
        <v>19100461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51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2" width="16.42578125" customWidth="1"/>
    <col min="13" max="13" width="15.140625" customWidth="1"/>
    <col min="14" max="14" width="16" customWidth="1"/>
    <col min="15" max="15" width="16.140625" customWidth="1"/>
    <col min="16" max="16" width="16.28515625" customWidth="1"/>
    <col min="17" max="17" width="15.140625" customWidth="1"/>
    <col min="18" max="18" width="17.7109375" customWidth="1"/>
    <col min="19" max="19" width="17.5703125" customWidth="1"/>
  </cols>
  <sheetData>
    <row r="1" spans="1:19" ht="18.75">
      <c r="D1" s="125" t="s">
        <v>703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 ht="36.75" customHeight="1">
      <c r="P4" s="57"/>
      <c r="Q4" s="57"/>
    </row>
    <row r="5" spans="1:19" ht="76.5" customHeight="1">
      <c r="K5" s="1" t="s">
        <v>159</v>
      </c>
      <c r="L5" s="1" t="s">
        <v>704</v>
      </c>
      <c r="M5" s="1" t="s">
        <v>705</v>
      </c>
      <c r="N5" s="1" t="s">
        <v>706</v>
      </c>
      <c r="O5" s="1" t="s">
        <v>707</v>
      </c>
      <c r="P5" s="1" t="s">
        <v>708</v>
      </c>
      <c r="Q5" s="1" t="s">
        <v>709</v>
      </c>
      <c r="R5" s="1" t="s">
        <v>8</v>
      </c>
      <c r="S5" s="1" t="s">
        <v>710</v>
      </c>
    </row>
    <row r="6" spans="1:19">
      <c r="A6" t="s">
        <v>10</v>
      </c>
    </row>
    <row r="7" spans="1:19">
      <c r="B7" t="s">
        <v>127</v>
      </c>
      <c r="K7" s="72">
        <v>499063</v>
      </c>
      <c r="L7" s="73">
        <v>10223763</v>
      </c>
      <c r="M7" s="73">
        <v>10722082</v>
      </c>
      <c r="N7" s="73">
        <v>12829492</v>
      </c>
      <c r="O7" s="73">
        <v>9406850</v>
      </c>
      <c r="P7" s="73">
        <v>660055</v>
      </c>
      <c r="Q7" s="73">
        <v>321774</v>
      </c>
      <c r="R7" s="73">
        <v>8465239</v>
      </c>
      <c r="S7" s="73">
        <f t="shared" ref="S7:S15" si="0">SUM(K7:R7)</f>
        <v>53128318</v>
      </c>
    </row>
    <row r="8" spans="1:19">
      <c r="B8" t="s">
        <v>711</v>
      </c>
      <c r="K8" s="73"/>
      <c r="L8" s="73"/>
      <c r="M8" s="73"/>
      <c r="N8" s="73">
        <v>28896</v>
      </c>
      <c r="O8" s="73"/>
      <c r="P8" s="73"/>
      <c r="Q8" s="73"/>
      <c r="R8" s="73">
        <v>81526</v>
      </c>
      <c r="S8" s="73">
        <f t="shared" si="0"/>
        <v>110422</v>
      </c>
    </row>
    <row r="9" spans="1:19">
      <c r="B9" t="s">
        <v>712</v>
      </c>
      <c r="K9" s="74">
        <v>39595</v>
      </c>
      <c r="L9" s="73"/>
      <c r="M9" s="73"/>
      <c r="N9" s="73"/>
      <c r="O9" s="73"/>
      <c r="P9" s="73">
        <v>35575</v>
      </c>
      <c r="Q9" s="73"/>
      <c r="R9" s="73">
        <v>111472</v>
      </c>
      <c r="S9" s="73">
        <f>SUM(K9:R9)</f>
        <v>186642</v>
      </c>
    </row>
    <row r="10" spans="1:19">
      <c r="B10" t="s">
        <v>298</v>
      </c>
      <c r="K10" s="73"/>
      <c r="L10" s="73">
        <v>12537</v>
      </c>
      <c r="M10" s="73">
        <v>4235</v>
      </c>
      <c r="N10" s="73">
        <v>14722</v>
      </c>
      <c r="O10" s="73">
        <v>7419</v>
      </c>
      <c r="P10" s="73"/>
      <c r="Q10" s="73"/>
      <c r="R10" s="73">
        <v>1216</v>
      </c>
      <c r="S10" s="73">
        <f t="shared" ref="S10:S14" si="1">SUM(K10:R10)</f>
        <v>40129</v>
      </c>
    </row>
    <row r="11" spans="1:19">
      <c r="B11" t="s">
        <v>18</v>
      </c>
      <c r="K11" s="75">
        <v>279281</v>
      </c>
      <c r="L11" s="73">
        <v>6273</v>
      </c>
      <c r="M11" s="73">
        <v>21634</v>
      </c>
      <c r="N11" s="73"/>
      <c r="O11" s="73">
        <v>84830</v>
      </c>
      <c r="P11" s="73">
        <v>41301</v>
      </c>
      <c r="Q11" s="73"/>
      <c r="R11" s="73"/>
      <c r="S11" s="73">
        <f t="shared" si="1"/>
        <v>433319</v>
      </c>
    </row>
    <row r="12" spans="1:19">
      <c r="B12" t="s">
        <v>713</v>
      </c>
      <c r="K12" s="75">
        <v>111</v>
      </c>
      <c r="L12" s="73"/>
      <c r="M12" s="73"/>
      <c r="N12" s="73"/>
      <c r="O12" s="73">
        <v>519</v>
      </c>
      <c r="P12" s="73"/>
      <c r="Q12" s="73"/>
      <c r="R12" s="73"/>
      <c r="S12" s="73">
        <f t="shared" si="1"/>
        <v>630</v>
      </c>
    </row>
    <row r="13" spans="1:19">
      <c r="B13" t="s">
        <v>128</v>
      </c>
      <c r="K13" s="75">
        <v>1141121</v>
      </c>
      <c r="L13" s="73">
        <v>722841</v>
      </c>
      <c r="M13" s="73">
        <v>722841</v>
      </c>
      <c r="N13" s="73">
        <v>722841</v>
      </c>
      <c r="O13" s="73">
        <v>444794</v>
      </c>
      <c r="P13" s="73">
        <v>1082785</v>
      </c>
      <c r="Q13" s="73">
        <v>885246</v>
      </c>
      <c r="R13" s="73">
        <v>2912573</v>
      </c>
      <c r="S13" s="73">
        <f t="shared" si="1"/>
        <v>8635042</v>
      </c>
    </row>
    <row r="14" spans="1:19">
      <c r="B14" t="s">
        <v>15</v>
      </c>
      <c r="K14" s="74">
        <v>44069</v>
      </c>
      <c r="L14" s="73"/>
      <c r="M14" s="73"/>
      <c r="N14" s="73"/>
      <c r="O14" s="73"/>
      <c r="P14" s="73"/>
      <c r="Q14" s="73"/>
      <c r="R14" s="73"/>
      <c r="S14" s="73">
        <f t="shared" si="1"/>
        <v>44069</v>
      </c>
    </row>
    <row r="15" spans="1:19">
      <c r="B15" t="s">
        <v>189</v>
      </c>
      <c r="K15" s="73"/>
      <c r="L15" s="73">
        <v>1345</v>
      </c>
      <c r="M15" s="73"/>
      <c r="N15" s="73">
        <v>11368</v>
      </c>
      <c r="O15" s="73">
        <v>35461</v>
      </c>
      <c r="P15" s="73">
        <v>7768</v>
      </c>
      <c r="Q15" s="73"/>
      <c r="R15" s="73">
        <v>502</v>
      </c>
      <c r="S15" s="73">
        <f t="shared" si="0"/>
        <v>56444</v>
      </c>
    </row>
    <row r="16" spans="1:19">
      <c r="K16" s="73"/>
      <c r="L16" s="73"/>
      <c r="M16" s="73"/>
      <c r="N16" s="73"/>
      <c r="O16" s="73"/>
      <c r="P16" s="73"/>
      <c r="Q16" s="73"/>
      <c r="R16" s="73"/>
      <c r="S16" s="73"/>
    </row>
    <row r="17" spans="1:19" s="3" customFormat="1">
      <c r="A17" s="2"/>
      <c r="B17" s="2"/>
      <c r="C17" s="2"/>
      <c r="D17" s="2"/>
      <c r="E17" s="2" t="s">
        <v>129</v>
      </c>
      <c r="K17" s="76">
        <f t="shared" ref="K17:S17" si="2">SUM(K7:K15)</f>
        <v>2003240</v>
      </c>
      <c r="L17" s="76">
        <f t="shared" si="2"/>
        <v>10966759</v>
      </c>
      <c r="M17" s="76">
        <f t="shared" si="2"/>
        <v>11470792</v>
      </c>
      <c r="N17" s="76">
        <f t="shared" si="2"/>
        <v>13607319</v>
      </c>
      <c r="O17" s="76">
        <f t="shared" si="2"/>
        <v>9979873</v>
      </c>
      <c r="P17" s="76">
        <f t="shared" si="2"/>
        <v>1827484</v>
      </c>
      <c r="Q17" s="76">
        <f t="shared" si="2"/>
        <v>1207020</v>
      </c>
      <c r="R17" s="76">
        <f t="shared" si="2"/>
        <v>11572528</v>
      </c>
      <c r="S17" s="76">
        <f t="shared" si="2"/>
        <v>62635015</v>
      </c>
    </row>
    <row r="18" spans="1:19">
      <c r="K18" s="73"/>
      <c r="L18" s="73"/>
      <c r="M18" s="73"/>
      <c r="N18" s="73"/>
      <c r="O18" s="73"/>
      <c r="P18" s="73"/>
      <c r="Q18" s="73"/>
      <c r="R18" s="73"/>
      <c r="S18" s="73"/>
    </row>
    <row r="19" spans="1:19">
      <c r="A19" s="4" t="s">
        <v>21</v>
      </c>
      <c r="K19" s="73"/>
      <c r="L19" s="73"/>
      <c r="M19" s="73"/>
      <c r="N19" s="73"/>
      <c r="O19" s="73"/>
      <c r="P19" s="73"/>
      <c r="Q19" s="73"/>
      <c r="R19" s="73"/>
      <c r="S19" s="73"/>
    </row>
    <row r="20" spans="1:19">
      <c r="B20" t="s">
        <v>22</v>
      </c>
      <c r="K20" s="73"/>
      <c r="L20" s="73"/>
      <c r="M20" s="73"/>
      <c r="N20" s="73"/>
      <c r="O20" s="73"/>
      <c r="P20" s="73"/>
      <c r="Q20" s="73"/>
      <c r="R20" s="73"/>
      <c r="S20" s="73"/>
    </row>
    <row r="21" spans="1:19">
      <c r="C21" t="s">
        <v>23</v>
      </c>
      <c r="K21" s="77">
        <v>109499</v>
      </c>
      <c r="L21" s="73">
        <v>4339</v>
      </c>
      <c r="M21" s="73">
        <v>10502</v>
      </c>
      <c r="N21">
        <v>204383</v>
      </c>
      <c r="O21" s="73">
        <v>1990</v>
      </c>
      <c r="P21" s="73">
        <v>59897</v>
      </c>
      <c r="Q21" s="73">
        <v>133887</v>
      </c>
      <c r="R21" s="73">
        <v>290920</v>
      </c>
      <c r="S21" s="73">
        <f>SUM(K21:R21)</f>
        <v>815417</v>
      </c>
    </row>
    <row r="22" spans="1:19">
      <c r="C22" t="s">
        <v>90</v>
      </c>
      <c r="K22" s="77">
        <v>60845</v>
      </c>
      <c r="L22" s="73"/>
      <c r="M22" s="73"/>
      <c r="O22" s="73">
        <v>217244</v>
      </c>
      <c r="P22" s="73"/>
      <c r="Q22" s="73">
        <v>532763</v>
      </c>
      <c r="R22" s="73">
        <v>7721</v>
      </c>
      <c r="S22" s="73">
        <f>SUM(K22:R22)</f>
        <v>818573</v>
      </c>
    </row>
    <row r="23" spans="1:19">
      <c r="C23" t="s">
        <v>24</v>
      </c>
      <c r="K23" s="73"/>
      <c r="L23" s="73"/>
      <c r="M23" s="73"/>
      <c r="O23" s="73">
        <v>51592</v>
      </c>
      <c r="P23" s="73"/>
      <c r="Q23" s="73">
        <v>98647</v>
      </c>
      <c r="R23" s="73">
        <v>858</v>
      </c>
      <c r="S23" s="73">
        <f t="shared" ref="S23:S26" si="3">SUM(K23:R23)</f>
        <v>151097</v>
      </c>
    </row>
    <row r="24" spans="1:19">
      <c r="C24" t="s">
        <v>184</v>
      </c>
      <c r="K24" s="77">
        <v>23316</v>
      </c>
      <c r="L24" s="73">
        <v>10781</v>
      </c>
      <c r="M24" s="73">
        <v>3962</v>
      </c>
      <c r="N24">
        <v>54613</v>
      </c>
      <c r="O24" s="73"/>
      <c r="P24" s="73">
        <v>66856</v>
      </c>
      <c r="Q24" s="73"/>
      <c r="R24" s="73">
        <v>47404</v>
      </c>
      <c r="S24" s="73">
        <f t="shared" si="3"/>
        <v>206932</v>
      </c>
    </row>
    <row r="25" spans="1:19">
      <c r="C25" t="s">
        <v>27</v>
      </c>
      <c r="K25" s="78">
        <v>94371</v>
      </c>
      <c r="L25" s="73">
        <v>3499</v>
      </c>
      <c r="M25" s="73">
        <v>852</v>
      </c>
      <c r="N25">
        <v>67787</v>
      </c>
      <c r="O25" s="73"/>
      <c r="P25" s="73">
        <v>37298</v>
      </c>
      <c r="Q25" s="73">
        <v>229032</v>
      </c>
      <c r="R25" s="73">
        <v>480</v>
      </c>
      <c r="S25" s="73">
        <f t="shared" si="3"/>
        <v>433319</v>
      </c>
    </row>
    <row r="26" spans="1:19">
      <c r="C26" t="s">
        <v>133</v>
      </c>
      <c r="K26" s="73"/>
      <c r="L26" s="73"/>
      <c r="M26" s="73"/>
      <c r="O26" s="73"/>
      <c r="P26" s="73"/>
      <c r="Q26" s="73">
        <v>58759</v>
      </c>
      <c r="R26" s="73"/>
      <c r="S26" s="73">
        <f t="shared" si="3"/>
        <v>58759</v>
      </c>
    </row>
    <row r="27" spans="1:19">
      <c r="C27" t="s">
        <v>117</v>
      </c>
      <c r="K27" s="83">
        <v>193213</v>
      </c>
      <c r="L27" s="73"/>
      <c r="M27" s="73"/>
      <c r="O27" s="73"/>
      <c r="P27" s="73"/>
      <c r="Q27" s="73"/>
      <c r="R27" s="73"/>
      <c r="S27" s="73">
        <f>SUM(K27:R27)</f>
        <v>193213</v>
      </c>
    </row>
    <row r="28" spans="1:19">
      <c r="K28" s="73"/>
      <c r="L28" s="73"/>
      <c r="M28" s="73"/>
      <c r="N28" s="73"/>
      <c r="O28" s="73"/>
      <c r="P28" s="73"/>
      <c r="Q28" s="73"/>
      <c r="R28" s="73"/>
      <c r="S28" s="73"/>
    </row>
    <row r="29" spans="1:19" s="5" customFormat="1">
      <c r="B29" s="6"/>
      <c r="C29" s="6"/>
      <c r="D29" s="6"/>
      <c r="E29" s="6" t="s">
        <v>28</v>
      </c>
      <c r="K29" s="79">
        <f>SUM(K21:K27)</f>
        <v>481244</v>
      </c>
      <c r="L29" s="79">
        <f>SUM(L21:L27)</f>
        <v>18619</v>
      </c>
      <c r="M29" s="79">
        <f>SUM(M21:M27)</f>
        <v>15316</v>
      </c>
      <c r="N29" s="79">
        <f>SUM(N21:N28)</f>
        <v>326783</v>
      </c>
      <c r="O29" s="79">
        <f>SUM(O21:O27)</f>
        <v>270826</v>
      </c>
      <c r="P29" s="79">
        <f>SUM(P21:P27)</f>
        <v>164051</v>
      </c>
      <c r="Q29" s="79">
        <f>SUM(Q21:Q27)</f>
        <v>1053088</v>
      </c>
      <c r="R29" s="79">
        <f>SUM(R21:R27)</f>
        <v>347383</v>
      </c>
      <c r="S29" s="79">
        <f>SUM(S21:S27)</f>
        <v>2677310</v>
      </c>
    </row>
    <row r="30" spans="1:19">
      <c r="K30" s="73"/>
      <c r="L30" s="73"/>
      <c r="M30" s="73"/>
      <c r="N30" s="73"/>
      <c r="O30" s="73"/>
      <c r="P30" s="73"/>
      <c r="Q30" s="73"/>
      <c r="R30" s="73"/>
      <c r="S30" s="73"/>
    </row>
    <row r="31" spans="1:19">
      <c r="A31" s="71" t="s">
        <v>167</v>
      </c>
      <c r="K31" s="73"/>
      <c r="L31" s="73"/>
      <c r="M31" s="73"/>
      <c r="N31" s="73"/>
      <c r="O31" s="73"/>
      <c r="P31" s="73"/>
      <c r="Q31" s="73"/>
      <c r="R31" s="73"/>
      <c r="S31" s="73"/>
    </row>
    <row r="32" spans="1:19">
      <c r="C32" t="s">
        <v>132</v>
      </c>
      <c r="K32" s="88">
        <v>232623</v>
      </c>
      <c r="L32" s="88"/>
      <c r="M32" s="88"/>
      <c r="N32" s="88">
        <v>17777</v>
      </c>
      <c r="O32" s="88"/>
      <c r="P32" s="88">
        <v>57882</v>
      </c>
      <c r="Q32" s="88">
        <v>200789</v>
      </c>
      <c r="R32" s="88">
        <v>439320</v>
      </c>
      <c r="S32" s="88">
        <f>SUM(K32:R32)</f>
        <v>948391</v>
      </c>
    </row>
    <row r="33" spans="2:19">
      <c r="K33" s="73"/>
      <c r="L33" s="73"/>
      <c r="M33" s="73"/>
      <c r="N33" s="73"/>
      <c r="O33" s="73"/>
      <c r="P33" s="73"/>
      <c r="Q33" s="73"/>
      <c r="R33" s="73"/>
      <c r="S33" s="73"/>
    </row>
    <row r="34" spans="2:19">
      <c r="B34" t="s">
        <v>100</v>
      </c>
      <c r="K34" s="73"/>
      <c r="L34" s="73"/>
      <c r="M34" s="73"/>
      <c r="N34" s="73"/>
      <c r="O34" s="73"/>
      <c r="P34" s="73"/>
      <c r="Q34" s="73"/>
      <c r="R34" s="73"/>
      <c r="S34" s="73"/>
    </row>
    <row r="35" spans="2:19">
      <c r="C35" t="s">
        <v>101</v>
      </c>
      <c r="K35" s="73"/>
      <c r="L35" s="73">
        <v>1345</v>
      </c>
      <c r="M35" s="73"/>
      <c r="N35" s="73">
        <v>11368</v>
      </c>
      <c r="O35" s="73">
        <v>35461</v>
      </c>
      <c r="P35" s="73">
        <v>7768</v>
      </c>
      <c r="Q35" s="73"/>
      <c r="R35" s="73">
        <v>502</v>
      </c>
      <c r="S35" s="73">
        <f>SUM(K35:R35)</f>
        <v>56444</v>
      </c>
    </row>
    <row r="36" spans="2:19">
      <c r="C36" t="s">
        <v>118</v>
      </c>
      <c r="K36" s="111"/>
      <c r="L36" s="73">
        <v>10946795</v>
      </c>
      <c r="M36" s="73">
        <v>11455476</v>
      </c>
      <c r="N36" s="73">
        <v>13251391</v>
      </c>
      <c r="O36" s="73">
        <v>9673586</v>
      </c>
      <c r="P36" s="73">
        <v>1597783</v>
      </c>
      <c r="Q36" s="73"/>
      <c r="R36" s="73">
        <v>10785323</v>
      </c>
      <c r="S36" s="73">
        <f>SUM(K36:R36)</f>
        <v>57710354</v>
      </c>
    </row>
    <row r="37" spans="2:19">
      <c r="C37" t="s">
        <v>119</v>
      </c>
      <c r="K37" s="112">
        <v>1817</v>
      </c>
      <c r="L37" s="73"/>
      <c r="M37" s="73"/>
      <c r="N37" s="73"/>
      <c r="O37" s="73"/>
      <c r="P37" s="73"/>
      <c r="Q37" s="73"/>
      <c r="R37" s="73"/>
      <c r="S37" s="73">
        <f>SUM(K37:R37)</f>
        <v>1817</v>
      </c>
    </row>
    <row r="38" spans="2:19">
      <c r="C38" t="s">
        <v>48</v>
      </c>
      <c r="K38" s="86">
        <v>1287556</v>
      </c>
      <c r="L38" s="73"/>
      <c r="M38" s="73"/>
      <c r="N38" s="73"/>
      <c r="O38" s="73"/>
      <c r="P38" s="73"/>
      <c r="Q38" s="73">
        <v>-46857</v>
      </c>
      <c r="R38" s="73"/>
      <c r="S38" s="73">
        <f>SUM(K38:R38)</f>
        <v>1240699</v>
      </c>
    </row>
    <row r="39" spans="2:19">
      <c r="K39" s="73"/>
      <c r="L39" s="73"/>
      <c r="M39" s="73"/>
      <c r="N39" s="73"/>
      <c r="O39" s="73"/>
      <c r="P39" s="73"/>
      <c r="Q39" s="73"/>
      <c r="R39" s="73"/>
      <c r="S39" s="73"/>
    </row>
    <row r="40" spans="2:19" s="5" customFormat="1">
      <c r="D40" s="6"/>
      <c r="E40" s="6" t="s">
        <v>49</v>
      </c>
      <c r="K40" s="79">
        <f>SUM(K35:K38)</f>
        <v>1289373</v>
      </c>
      <c r="L40" s="79">
        <f t="shared" ref="L40:S40" si="4">SUM(L35:L38)</f>
        <v>10948140</v>
      </c>
      <c r="M40" s="79">
        <f t="shared" si="4"/>
        <v>11455476</v>
      </c>
      <c r="N40" s="79">
        <f t="shared" si="4"/>
        <v>13262759</v>
      </c>
      <c r="O40" s="79">
        <f t="shared" si="4"/>
        <v>9709047</v>
      </c>
      <c r="P40" s="79">
        <f t="shared" si="4"/>
        <v>1605551</v>
      </c>
      <c r="Q40" s="79">
        <f t="shared" si="4"/>
        <v>-46857</v>
      </c>
      <c r="R40" s="79">
        <f t="shared" si="4"/>
        <v>10785825</v>
      </c>
      <c r="S40" s="79">
        <f t="shared" si="4"/>
        <v>59009314</v>
      </c>
    </row>
    <row r="41" spans="2:19">
      <c r="K41" s="73"/>
      <c r="L41" s="73"/>
      <c r="M41" s="73"/>
      <c r="N41" s="73"/>
      <c r="O41" s="73"/>
      <c r="P41" s="73"/>
      <c r="Q41" s="73"/>
      <c r="R41" s="73"/>
      <c r="S41" s="73"/>
    </row>
    <row r="42" spans="2:19" s="7" customFormat="1">
      <c r="D42" s="8"/>
      <c r="E42" s="8" t="s">
        <v>50</v>
      </c>
      <c r="K42" s="81">
        <f>SUM(K40,K29,K32)</f>
        <v>2003240</v>
      </c>
      <c r="L42" s="81">
        <f t="shared" ref="L42:S42" si="5">SUM(L40,L29,L32)</f>
        <v>10966759</v>
      </c>
      <c r="M42" s="81">
        <f t="shared" si="5"/>
        <v>11470792</v>
      </c>
      <c r="N42" s="81">
        <f t="shared" si="5"/>
        <v>13607319</v>
      </c>
      <c r="O42" s="81">
        <f t="shared" si="5"/>
        <v>9979873</v>
      </c>
      <c r="P42" s="81">
        <f t="shared" si="5"/>
        <v>1827484</v>
      </c>
      <c r="Q42" s="81">
        <f t="shared" si="5"/>
        <v>1207020</v>
      </c>
      <c r="R42" s="81">
        <f t="shared" si="5"/>
        <v>11572528</v>
      </c>
      <c r="S42" s="81">
        <f t="shared" si="5"/>
        <v>62635015</v>
      </c>
    </row>
    <row r="46" spans="2:19">
      <c r="S46" s="97"/>
    </row>
    <row r="51" spans="19:19">
      <c r="S51" s="93"/>
    </row>
  </sheetData>
  <mergeCells count="2">
    <mergeCell ref="D1:K1"/>
    <mergeCell ref="D2:K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39"/>
  <sheetViews>
    <sheetView workbookViewId="0">
      <selection sqref="A1:XFD1048576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6.140625" customWidth="1"/>
    <col min="15" max="15" width="17.7109375" customWidth="1"/>
    <col min="16" max="16" width="16.7109375" customWidth="1"/>
    <col min="17" max="17" width="15.7109375" customWidth="1"/>
    <col min="18" max="18" width="17.28515625" customWidth="1"/>
    <col min="19" max="19" width="16.140625" customWidth="1"/>
    <col min="20" max="21" width="16.42578125" customWidth="1"/>
    <col min="22" max="22" width="17" customWidth="1"/>
    <col min="23" max="23" width="18.28515625" customWidth="1"/>
  </cols>
  <sheetData>
    <row r="1" spans="1:22" ht="18.75">
      <c r="D1" s="125" t="s">
        <v>714</v>
      </c>
      <c r="E1" s="125"/>
      <c r="F1" s="125"/>
      <c r="G1" s="125"/>
      <c r="H1" s="125"/>
      <c r="I1" s="125"/>
      <c r="J1" s="125"/>
      <c r="K1" s="125"/>
    </row>
    <row r="2" spans="1:22">
      <c r="D2" s="126" t="s">
        <v>265</v>
      </c>
      <c r="E2" s="126"/>
      <c r="F2" s="126"/>
      <c r="G2" s="126"/>
      <c r="H2" s="126"/>
      <c r="I2" s="126"/>
      <c r="J2" s="126"/>
      <c r="K2" s="126"/>
    </row>
    <row r="3" spans="1:22" ht="29.25" customHeight="1">
      <c r="D3" s="57"/>
      <c r="E3" s="57"/>
      <c r="F3" s="57"/>
      <c r="G3" s="57"/>
      <c r="H3" s="57"/>
      <c r="I3" s="57"/>
      <c r="J3" s="57"/>
      <c r="K3" s="126"/>
      <c r="L3" s="126"/>
      <c r="M3" s="126"/>
      <c r="N3" s="126"/>
      <c r="O3" s="57"/>
    </row>
    <row r="4" spans="1:22" ht="15" customHeight="1">
      <c r="K4" s="100"/>
      <c r="L4" s="100"/>
      <c r="M4" s="100"/>
      <c r="N4" s="100"/>
      <c r="O4" s="100"/>
    </row>
    <row r="5" spans="1:22" ht="45">
      <c r="K5" s="1" t="s">
        <v>52</v>
      </c>
      <c r="L5" s="1" t="s">
        <v>715</v>
      </c>
      <c r="M5" s="1" t="s">
        <v>716</v>
      </c>
      <c r="N5" s="1" t="s">
        <v>601</v>
      </c>
      <c r="O5" s="1" t="s">
        <v>717</v>
      </c>
      <c r="P5" s="1" t="s">
        <v>718</v>
      </c>
      <c r="Q5" s="1" t="s">
        <v>279</v>
      </c>
      <c r="R5" s="1" t="s">
        <v>719</v>
      </c>
      <c r="S5" s="1" t="s">
        <v>720</v>
      </c>
      <c r="T5" s="1" t="s">
        <v>8</v>
      </c>
      <c r="U5" s="1">
        <v>2013</v>
      </c>
      <c r="V5" s="1">
        <v>2012</v>
      </c>
    </row>
    <row r="6" spans="1:22">
      <c r="A6" t="s">
        <v>10</v>
      </c>
    </row>
    <row r="7" spans="1:22">
      <c r="B7" t="s">
        <v>163</v>
      </c>
      <c r="K7" s="72">
        <v>10539097</v>
      </c>
      <c r="L7" s="73">
        <v>839396</v>
      </c>
      <c r="M7" s="73">
        <v>1625066</v>
      </c>
      <c r="N7" s="73">
        <v>1415976</v>
      </c>
      <c r="O7" s="73">
        <v>766734</v>
      </c>
      <c r="P7" s="73">
        <v>1393251</v>
      </c>
      <c r="Q7" s="73">
        <v>10944</v>
      </c>
      <c r="R7" s="73">
        <v>1169382</v>
      </c>
      <c r="S7" s="73">
        <v>1041</v>
      </c>
      <c r="T7" s="73">
        <v>6136184</v>
      </c>
      <c r="U7" s="73">
        <f>SUM(K7:T7)</f>
        <v>23897071</v>
      </c>
      <c r="V7" s="73">
        <v>23444012</v>
      </c>
    </row>
    <row r="8" spans="1:22">
      <c r="B8" t="s">
        <v>721</v>
      </c>
      <c r="K8" s="73"/>
      <c r="L8" s="73"/>
      <c r="M8" s="73">
        <v>697947</v>
      </c>
      <c r="N8" s="73"/>
      <c r="O8" s="73">
        <v>548074</v>
      </c>
      <c r="P8" s="73"/>
      <c r="Q8" s="73"/>
      <c r="R8" s="73"/>
      <c r="S8" s="73"/>
      <c r="T8" s="73"/>
      <c r="U8" s="73">
        <f t="shared" ref="U8:U11" si="0">SUM(K8:T8)</f>
        <v>1246021</v>
      </c>
      <c r="V8" s="73">
        <v>1243260</v>
      </c>
    </row>
    <row r="9" spans="1:22">
      <c r="B9" t="s">
        <v>59</v>
      </c>
      <c r="K9" s="74">
        <v>654231</v>
      </c>
      <c r="L9" s="73">
        <v>681317</v>
      </c>
      <c r="M9" s="73"/>
      <c r="N9" s="73">
        <v>440496</v>
      </c>
      <c r="O9" s="73">
        <v>1462120</v>
      </c>
      <c r="P9" s="73"/>
      <c r="Q9" s="73">
        <v>46389</v>
      </c>
      <c r="R9" s="73">
        <v>1062386</v>
      </c>
      <c r="S9" s="73">
        <v>9814</v>
      </c>
      <c r="T9" s="73">
        <v>1775502</v>
      </c>
      <c r="U9" s="73">
        <f t="shared" si="0"/>
        <v>6132255</v>
      </c>
      <c r="V9" s="73">
        <v>5819491</v>
      </c>
    </row>
    <row r="10" spans="1:22">
      <c r="B10" t="s">
        <v>235</v>
      </c>
      <c r="K10" s="74">
        <v>25385</v>
      </c>
      <c r="L10" s="73"/>
      <c r="M10" s="73"/>
      <c r="N10" s="73"/>
      <c r="O10" s="73"/>
      <c r="P10" s="73"/>
      <c r="Q10" s="73"/>
      <c r="R10" s="73"/>
      <c r="S10" s="73"/>
      <c r="T10" s="73">
        <v>24762</v>
      </c>
      <c r="U10" s="73">
        <f t="shared" si="0"/>
        <v>50147</v>
      </c>
      <c r="V10" s="73">
        <v>6743</v>
      </c>
    </row>
    <row r="11" spans="1:22">
      <c r="B11" t="s">
        <v>47</v>
      </c>
      <c r="K11" s="73"/>
      <c r="L11" s="73"/>
      <c r="M11" s="73"/>
      <c r="N11" s="73"/>
      <c r="O11" s="73"/>
      <c r="P11" s="73"/>
      <c r="Q11" s="73"/>
      <c r="R11" s="73"/>
      <c r="S11" s="73">
        <v>21627</v>
      </c>
      <c r="T11" s="73"/>
      <c r="U11" s="73">
        <f t="shared" si="0"/>
        <v>21627</v>
      </c>
      <c r="V11" s="73"/>
    </row>
    <row r="12" spans="1:22"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</row>
    <row r="13" spans="1:22" s="3" customFormat="1">
      <c r="A13" s="2"/>
      <c r="B13" s="2"/>
      <c r="C13" s="2"/>
      <c r="D13" s="2"/>
      <c r="E13" s="2" t="s">
        <v>129</v>
      </c>
      <c r="K13" s="76">
        <f>SUM(K7:K11)</f>
        <v>11218713</v>
      </c>
      <c r="L13" s="76">
        <f>SUM(L7:L11)</f>
        <v>1520713</v>
      </c>
      <c r="M13" s="76">
        <f>SUM(M7:M11)</f>
        <v>2323013</v>
      </c>
      <c r="N13" s="76">
        <f>SUM(N7:N11)</f>
        <v>1856472</v>
      </c>
      <c r="O13" s="76">
        <f>SUM(O7:O11)</f>
        <v>2776928</v>
      </c>
      <c r="P13" s="76">
        <f t="shared" ref="P13:U13" si="1">SUM(P7:P11)</f>
        <v>1393251</v>
      </c>
      <c r="Q13" s="76">
        <f t="shared" si="1"/>
        <v>57333</v>
      </c>
      <c r="R13" s="76">
        <f t="shared" si="1"/>
        <v>2231768</v>
      </c>
      <c r="S13" s="76">
        <f t="shared" si="1"/>
        <v>32482</v>
      </c>
      <c r="T13" s="76">
        <f t="shared" si="1"/>
        <v>7936448</v>
      </c>
      <c r="U13" s="76">
        <f t="shared" si="1"/>
        <v>31347121</v>
      </c>
      <c r="V13" s="76">
        <f>SUM(V7:V11)</f>
        <v>30513506</v>
      </c>
    </row>
    <row r="14" spans="1:22"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</row>
    <row r="15" spans="1:22">
      <c r="A15" s="4" t="s">
        <v>21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</row>
    <row r="16" spans="1:22">
      <c r="B16" t="s">
        <v>22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r="17" spans="2:22">
      <c r="C17" t="s">
        <v>131</v>
      </c>
      <c r="K17" s="77">
        <v>237917</v>
      </c>
      <c r="L17" s="73">
        <v>44176</v>
      </c>
      <c r="M17" s="73">
        <v>212112</v>
      </c>
      <c r="N17" s="73">
        <v>27374</v>
      </c>
      <c r="O17" s="73">
        <v>29063</v>
      </c>
      <c r="P17" s="73">
        <v>3955</v>
      </c>
      <c r="Q17" s="73">
        <v>6572</v>
      </c>
      <c r="R17" s="73">
        <v>55810</v>
      </c>
      <c r="S17" s="73">
        <v>13942</v>
      </c>
      <c r="T17" s="73">
        <v>200606</v>
      </c>
      <c r="U17" s="73">
        <f>SUM(K17:T17)</f>
        <v>831527</v>
      </c>
      <c r="V17" s="73">
        <v>755784</v>
      </c>
    </row>
    <row r="18" spans="2:22">
      <c r="C18" t="s">
        <v>237</v>
      </c>
      <c r="K18" s="73"/>
      <c r="L18" s="73"/>
      <c r="M18" s="73"/>
      <c r="N18" s="73"/>
      <c r="O18" s="73">
        <v>18019</v>
      </c>
      <c r="P18" s="73"/>
      <c r="Q18" s="73">
        <v>25380</v>
      </c>
      <c r="R18" s="73"/>
      <c r="S18" s="73">
        <v>5</v>
      </c>
      <c r="T18" s="73">
        <v>6743</v>
      </c>
      <c r="U18" s="73">
        <f t="shared" ref="U18:U19" si="2">SUM(K18:T18)</f>
        <v>50147</v>
      </c>
      <c r="V18" s="73">
        <v>6743</v>
      </c>
    </row>
    <row r="19" spans="2:22">
      <c r="C19" t="s">
        <v>155</v>
      </c>
      <c r="K19" s="73"/>
      <c r="L19" s="73"/>
      <c r="M19" s="73"/>
      <c r="N19" s="73"/>
      <c r="O19" s="73"/>
      <c r="P19" s="73"/>
      <c r="Q19" s="73"/>
      <c r="R19" s="73"/>
      <c r="S19" s="73">
        <v>18536</v>
      </c>
      <c r="T19" s="73">
        <v>91473</v>
      </c>
      <c r="U19" s="73">
        <f t="shared" si="2"/>
        <v>110009</v>
      </c>
      <c r="V19" s="73">
        <v>2230</v>
      </c>
    </row>
    <row r="20" spans="2:22"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</row>
    <row r="21" spans="2:22" s="5" customFormat="1">
      <c r="B21" s="6"/>
      <c r="C21" s="6"/>
      <c r="D21" s="6"/>
      <c r="E21" s="6" t="s">
        <v>28</v>
      </c>
      <c r="K21" s="79">
        <f t="shared" ref="K21:V21" si="3">SUM(K17:K19)</f>
        <v>237917</v>
      </c>
      <c r="L21" s="79">
        <f t="shared" si="3"/>
        <v>44176</v>
      </c>
      <c r="M21" s="79">
        <f t="shared" si="3"/>
        <v>212112</v>
      </c>
      <c r="N21" s="79">
        <f t="shared" si="3"/>
        <v>27374</v>
      </c>
      <c r="O21" s="79">
        <f t="shared" si="3"/>
        <v>47082</v>
      </c>
      <c r="P21" s="79">
        <f t="shared" si="3"/>
        <v>3955</v>
      </c>
      <c r="Q21" s="79">
        <f t="shared" si="3"/>
        <v>31952</v>
      </c>
      <c r="R21" s="79">
        <f t="shared" si="3"/>
        <v>55810</v>
      </c>
      <c r="S21" s="79">
        <f t="shared" si="3"/>
        <v>32483</v>
      </c>
      <c r="T21" s="79">
        <f t="shared" si="3"/>
        <v>298822</v>
      </c>
      <c r="U21" s="79">
        <f t="shared" si="3"/>
        <v>991683</v>
      </c>
      <c r="V21" s="79">
        <f t="shared" si="3"/>
        <v>764757</v>
      </c>
    </row>
    <row r="22" spans="2:22"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</row>
    <row r="23" spans="2:22">
      <c r="B23" t="s">
        <v>31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</row>
    <row r="24" spans="2:22">
      <c r="C24" t="s">
        <v>32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</row>
    <row r="25" spans="2:22">
      <c r="D25" t="s">
        <v>722</v>
      </c>
      <c r="K25" s="73"/>
      <c r="L25" s="73"/>
      <c r="M25" s="73"/>
      <c r="N25" s="73"/>
      <c r="O25" s="73"/>
      <c r="P25" s="73"/>
      <c r="Q25" s="73"/>
      <c r="R25" s="73"/>
      <c r="S25" s="73"/>
      <c r="T25" s="73">
        <v>488571</v>
      </c>
      <c r="U25" s="73">
        <f>SUM(K25:T25)</f>
        <v>488571</v>
      </c>
      <c r="V25">
        <v>426722</v>
      </c>
    </row>
    <row r="26" spans="2:22">
      <c r="D26" t="s">
        <v>67</v>
      </c>
      <c r="K26" s="80">
        <v>1233</v>
      </c>
      <c r="L26" s="73"/>
      <c r="M26" s="73"/>
      <c r="N26" s="73"/>
      <c r="O26" s="73"/>
      <c r="P26" s="73"/>
      <c r="Q26" s="73">
        <v>25380</v>
      </c>
      <c r="R26" s="73"/>
      <c r="S26" s="73"/>
      <c r="T26" s="73"/>
      <c r="U26" s="73">
        <f t="shared" ref="U26:U35" si="4">SUM(K26:T26)</f>
        <v>26613</v>
      </c>
      <c r="V26" s="73">
        <v>256</v>
      </c>
    </row>
    <row r="27" spans="2:22">
      <c r="D27" t="s">
        <v>616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>
        <f t="shared" si="4"/>
        <v>0</v>
      </c>
      <c r="V27" s="73">
        <v>12453</v>
      </c>
    </row>
    <row r="28" spans="2:22">
      <c r="D28" t="s">
        <v>68</v>
      </c>
      <c r="K28" s="73"/>
      <c r="L28" s="73"/>
      <c r="M28" s="73"/>
      <c r="N28" s="73"/>
      <c r="O28" s="73">
        <v>2729846</v>
      </c>
      <c r="P28" s="73"/>
      <c r="Q28" s="73"/>
      <c r="R28" s="73"/>
      <c r="S28" s="73"/>
      <c r="T28" s="73">
        <v>3359236</v>
      </c>
      <c r="U28" s="73">
        <f t="shared" si="4"/>
        <v>6089082</v>
      </c>
      <c r="V28" s="73">
        <v>5834729</v>
      </c>
    </row>
    <row r="29" spans="2:22">
      <c r="D29" t="s">
        <v>69</v>
      </c>
      <c r="K29" s="73"/>
      <c r="L29" s="73"/>
      <c r="M29" s="73"/>
      <c r="N29" s="73"/>
      <c r="O29" s="73"/>
      <c r="P29" s="73"/>
      <c r="Q29" s="73"/>
      <c r="R29" s="73"/>
      <c r="S29" s="73"/>
      <c r="T29" s="73">
        <v>1942288</v>
      </c>
      <c r="U29" s="73">
        <f t="shared" si="4"/>
        <v>1942288</v>
      </c>
      <c r="V29" s="73">
        <v>1926031</v>
      </c>
    </row>
    <row r="30" spans="2:22">
      <c r="D30" t="s">
        <v>70</v>
      </c>
      <c r="K30" s="73"/>
      <c r="L30" s="73">
        <v>1476538</v>
      </c>
      <c r="M30" s="73">
        <v>2110901</v>
      </c>
      <c r="N30" s="73"/>
      <c r="O30" s="73"/>
      <c r="P30" s="73">
        <v>1389296</v>
      </c>
      <c r="Q30" s="73"/>
      <c r="R30" s="73"/>
      <c r="S30" s="73"/>
      <c r="T30" s="73">
        <v>182885</v>
      </c>
      <c r="U30" s="73">
        <f t="shared" si="4"/>
        <v>5159620</v>
      </c>
      <c r="V30" s="73">
        <v>4667537</v>
      </c>
    </row>
    <row r="31" spans="2:22">
      <c r="D31" t="s">
        <v>147</v>
      </c>
      <c r="K31" s="73"/>
      <c r="L31" s="73"/>
      <c r="M31" s="73"/>
      <c r="N31" s="73">
        <v>1829098</v>
      </c>
      <c r="O31" s="73"/>
      <c r="P31" s="73"/>
      <c r="Q31" s="73"/>
      <c r="R31" s="73"/>
      <c r="S31" s="73"/>
      <c r="T31" s="73">
        <v>442155</v>
      </c>
      <c r="U31" s="73">
        <f t="shared" si="4"/>
        <v>2271253</v>
      </c>
      <c r="V31" s="73">
        <v>2539704</v>
      </c>
    </row>
    <row r="32" spans="2:22">
      <c r="D32" t="s">
        <v>109</v>
      </c>
      <c r="K32" s="73"/>
      <c r="L32" s="73"/>
      <c r="M32" s="73"/>
      <c r="N32" s="73"/>
      <c r="O32" s="73"/>
      <c r="P32" s="73"/>
      <c r="Q32" s="73"/>
      <c r="R32" s="73">
        <v>2175958</v>
      </c>
      <c r="S32" s="73"/>
      <c r="T32" s="73">
        <v>99340</v>
      </c>
      <c r="U32" s="73">
        <f t="shared" si="4"/>
        <v>2275298</v>
      </c>
      <c r="V32" s="73">
        <v>2440742</v>
      </c>
    </row>
    <row r="33" spans="3:22">
      <c r="D33" t="s">
        <v>43</v>
      </c>
      <c r="K33" s="73"/>
      <c r="L33" s="73"/>
      <c r="M33" s="73"/>
      <c r="N33" s="73"/>
      <c r="O33" s="73"/>
      <c r="P33" s="73"/>
      <c r="Q33" s="73"/>
      <c r="R33" s="73"/>
      <c r="S33" s="73"/>
      <c r="T33" s="73">
        <v>1123151</v>
      </c>
      <c r="U33" s="73">
        <f t="shared" si="4"/>
        <v>1123151</v>
      </c>
      <c r="V33" s="73">
        <v>1186755</v>
      </c>
    </row>
    <row r="34" spans="3:22">
      <c r="D34" t="s">
        <v>530</v>
      </c>
      <c r="K34" s="80">
        <v>2213890</v>
      </c>
      <c r="L34" s="73"/>
      <c r="M34" s="73"/>
      <c r="N34" s="73"/>
      <c r="O34" s="73"/>
      <c r="P34" s="73"/>
      <c r="Q34" s="73"/>
      <c r="R34" s="73"/>
      <c r="S34" s="73"/>
      <c r="T34" s="73"/>
      <c r="U34" s="73">
        <f t="shared" si="4"/>
        <v>2213890</v>
      </c>
      <c r="V34" s="73">
        <v>2285219</v>
      </c>
    </row>
    <row r="35" spans="3:22">
      <c r="C35" t="s">
        <v>48</v>
      </c>
      <c r="K35" s="86">
        <v>8765673</v>
      </c>
      <c r="L35" s="73"/>
      <c r="M35" s="73"/>
      <c r="N35" s="73"/>
      <c r="O35" s="73"/>
      <c r="P35" s="73"/>
      <c r="Q35" s="73"/>
      <c r="R35" s="73"/>
      <c r="S35" s="73"/>
      <c r="T35" s="73"/>
      <c r="U35" s="73">
        <f t="shared" si="4"/>
        <v>8765673</v>
      </c>
      <c r="V35" s="73">
        <v>8428602</v>
      </c>
    </row>
    <row r="36" spans="3:22"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</row>
    <row r="37" spans="3:22" s="5" customFormat="1">
      <c r="D37" s="6"/>
      <c r="E37" s="6" t="s">
        <v>49</v>
      </c>
      <c r="K37" s="79">
        <f t="shared" ref="K37:P37" si="5">SUM(K24:K35)</f>
        <v>10980796</v>
      </c>
      <c r="L37" s="79">
        <f t="shared" si="5"/>
        <v>1476538</v>
      </c>
      <c r="M37" s="79">
        <f t="shared" si="5"/>
        <v>2110901</v>
      </c>
      <c r="N37" s="79">
        <f t="shared" si="5"/>
        <v>1829098</v>
      </c>
      <c r="O37" s="79">
        <f t="shared" si="5"/>
        <v>2729846</v>
      </c>
      <c r="P37" s="79">
        <f t="shared" si="5"/>
        <v>1389296</v>
      </c>
      <c r="Q37" s="79">
        <f t="shared" ref="Q37:U37" si="6">SUM(Q24:Q35)</f>
        <v>25380</v>
      </c>
      <c r="R37" s="79">
        <f t="shared" si="6"/>
        <v>2175958</v>
      </c>
      <c r="S37" s="79">
        <f t="shared" si="6"/>
        <v>0</v>
      </c>
      <c r="T37" s="79">
        <f t="shared" si="6"/>
        <v>7637626</v>
      </c>
      <c r="U37" s="79">
        <f t="shared" si="6"/>
        <v>30355439</v>
      </c>
      <c r="V37" s="79">
        <f>SUM(V25:V35)</f>
        <v>29748750</v>
      </c>
    </row>
    <row r="38" spans="3:22"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</row>
    <row r="39" spans="3:22" s="7" customFormat="1">
      <c r="D39" s="8"/>
      <c r="E39" s="8" t="s">
        <v>50</v>
      </c>
      <c r="K39" s="81">
        <f>K37+K21</f>
        <v>11218713</v>
      </c>
      <c r="L39" s="81">
        <f t="shared" ref="L39:V39" si="7">L37+L21</f>
        <v>1520714</v>
      </c>
      <c r="M39" s="81">
        <f t="shared" si="7"/>
        <v>2323013</v>
      </c>
      <c r="N39" s="81">
        <f t="shared" si="7"/>
        <v>1856472</v>
      </c>
      <c r="O39" s="81">
        <f t="shared" si="7"/>
        <v>2776928</v>
      </c>
      <c r="P39" s="81">
        <f t="shared" si="7"/>
        <v>1393251</v>
      </c>
      <c r="Q39" s="81">
        <f t="shared" si="7"/>
        <v>57332</v>
      </c>
      <c r="R39" s="81">
        <f t="shared" si="7"/>
        <v>2231768</v>
      </c>
      <c r="S39" s="81">
        <f t="shared" si="7"/>
        <v>32483</v>
      </c>
      <c r="T39" s="81">
        <f t="shared" si="7"/>
        <v>7936448</v>
      </c>
      <c r="U39" s="81">
        <f t="shared" si="7"/>
        <v>31347122</v>
      </c>
      <c r="V39" s="81">
        <f t="shared" si="7"/>
        <v>30513507</v>
      </c>
    </row>
  </sheetData>
  <mergeCells count="3">
    <mergeCell ref="D1:K1"/>
    <mergeCell ref="D2:K2"/>
    <mergeCell ref="K3:N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36"/>
  <sheetViews>
    <sheetView workbookViewId="0">
      <selection activeCell="J29" sqref="J29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85546875" customWidth="1"/>
    <col min="13" max="13" width="16.42578125" customWidth="1"/>
    <col min="14" max="14" width="16.7109375" customWidth="1"/>
    <col min="15" max="16" width="19" customWidth="1"/>
    <col min="17" max="18" width="19.42578125" customWidth="1"/>
    <col min="19" max="19" width="19.85546875" bestFit="1" customWidth="1"/>
  </cols>
  <sheetData>
    <row r="1" spans="1:19" ht="18.75">
      <c r="D1" s="125" t="s">
        <v>723</v>
      </c>
      <c r="E1" s="125"/>
      <c r="F1" s="125"/>
      <c r="G1" s="125"/>
      <c r="H1" s="125"/>
      <c r="I1" s="125"/>
      <c r="J1" s="125"/>
      <c r="K1" s="125"/>
    </row>
    <row r="2" spans="1:19">
      <c r="D2" s="126" t="s">
        <v>699</v>
      </c>
      <c r="E2" s="126"/>
      <c r="F2" s="126"/>
      <c r="G2" s="126"/>
      <c r="H2" s="126"/>
      <c r="I2" s="126"/>
      <c r="J2" s="126"/>
      <c r="K2" s="126"/>
    </row>
    <row r="4" spans="1:19" ht="45">
      <c r="K4" s="1" t="s">
        <v>52</v>
      </c>
      <c r="L4" s="1" t="s">
        <v>724</v>
      </c>
      <c r="M4" s="1" t="s">
        <v>725</v>
      </c>
      <c r="N4" s="1" t="s">
        <v>726</v>
      </c>
      <c r="O4" s="1" t="s">
        <v>258</v>
      </c>
      <c r="P4" s="1" t="s">
        <v>727</v>
      </c>
      <c r="Q4" s="1" t="s">
        <v>441</v>
      </c>
      <c r="R4" s="1" t="s">
        <v>58</v>
      </c>
      <c r="S4" s="1" t="s">
        <v>9</v>
      </c>
    </row>
    <row r="5" spans="1:19">
      <c r="A5" t="s">
        <v>10</v>
      </c>
    </row>
    <row r="6" spans="1:19">
      <c r="B6" t="s">
        <v>410</v>
      </c>
      <c r="K6" s="72">
        <v>645480</v>
      </c>
      <c r="L6" s="73">
        <v>274958</v>
      </c>
      <c r="M6" s="73"/>
      <c r="N6" s="73"/>
      <c r="O6" s="73"/>
      <c r="P6" s="73"/>
      <c r="Q6" s="73">
        <v>143671</v>
      </c>
      <c r="R6" s="73">
        <v>561922</v>
      </c>
      <c r="S6" s="73">
        <f t="shared" ref="S6:S12" si="0">SUM(K6:R6)</f>
        <v>1626031</v>
      </c>
    </row>
    <row r="7" spans="1:19">
      <c r="B7" t="s">
        <v>12</v>
      </c>
      <c r="K7" s="73"/>
      <c r="L7" s="73">
        <v>868108</v>
      </c>
      <c r="M7" s="73">
        <v>78133</v>
      </c>
      <c r="N7" s="73"/>
      <c r="O7" s="73"/>
      <c r="P7" s="73">
        <v>1185500</v>
      </c>
      <c r="Q7" s="73">
        <v>301111</v>
      </c>
      <c r="R7" s="73">
        <v>61640</v>
      </c>
      <c r="S7" s="73">
        <f t="shared" si="0"/>
        <v>2494492</v>
      </c>
    </row>
    <row r="8" spans="1:19">
      <c r="B8" t="s">
        <v>59</v>
      </c>
      <c r="K8" s="74">
        <v>551392</v>
      </c>
      <c r="L8" s="73"/>
      <c r="M8" s="73">
        <v>2344160</v>
      </c>
      <c r="N8" s="73">
        <v>165937</v>
      </c>
      <c r="O8" s="73">
        <v>24277</v>
      </c>
      <c r="P8" s="73">
        <v>151203</v>
      </c>
      <c r="Q8" s="73">
        <v>711772</v>
      </c>
      <c r="R8" s="73">
        <v>752941</v>
      </c>
      <c r="S8" s="73">
        <f t="shared" si="0"/>
        <v>4701682</v>
      </c>
    </row>
    <row r="9" spans="1:19">
      <c r="B9" t="s">
        <v>728</v>
      </c>
      <c r="K9" s="73"/>
      <c r="L9" s="73"/>
      <c r="M9" s="73"/>
      <c r="N9" s="73"/>
      <c r="O9" s="73"/>
      <c r="P9" s="73"/>
      <c r="Q9" s="73"/>
      <c r="R9" s="73">
        <v>114654</v>
      </c>
      <c r="S9" s="73">
        <f t="shared" si="0"/>
        <v>114654</v>
      </c>
    </row>
    <row r="10" spans="1:19">
      <c r="B10" t="s">
        <v>729</v>
      </c>
      <c r="K10" s="73"/>
      <c r="L10" s="73"/>
      <c r="M10" s="73"/>
      <c r="N10" s="73">
        <v>788477</v>
      </c>
      <c r="O10" s="73"/>
      <c r="P10" s="73"/>
      <c r="Q10" s="73"/>
      <c r="R10" s="73"/>
      <c r="S10" s="73">
        <f t="shared" si="0"/>
        <v>788477</v>
      </c>
    </row>
    <row r="11" spans="1:19">
      <c r="B11" t="s">
        <v>18</v>
      </c>
      <c r="K11" s="73"/>
      <c r="L11" s="73">
        <v>161283</v>
      </c>
      <c r="M11" s="73"/>
      <c r="N11" s="73">
        <v>262715</v>
      </c>
      <c r="O11" s="73"/>
      <c r="P11" s="73"/>
      <c r="Q11" s="73">
        <v>476162</v>
      </c>
      <c r="R11" s="73">
        <v>953414</v>
      </c>
      <c r="S11" s="73">
        <f t="shared" si="0"/>
        <v>1853574</v>
      </c>
    </row>
    <row r="12" spans="1:19">
      <c r="B12" t="s">
        <v>128</v>
      </c>
      <c r="K12" s="75">
        <v>40033</v>
      </c>
      <c r="L12" s="73"/>
      <c r="M12" s="73"/>
      <c r="N12" s="73"/>
      <c r="O12" s="73"/>
      <c r="P12" s="73"/>
      <c r="Q12" s="73"/>
      <c r="R12" s="73"/>
      <c r="S12" s="73">
        <f t="shared" si="0"/>
        <v>40033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 s="3" customFormat="1">
      <c r="A14" s="2"/>
      <c r="B14" s="2"/>
      <c r="C14" s="2"/>
      <c r="D14" s="2"/>
      <c r="E14" s="2" t="s">
        <v>20</v>
      </c>
      <c r="K14" s="76">
        <f t="shared" ref="K14:P14" si="1">SUM(K6:K12)</f>
        <v>1236905</v>
      </c>
      <c r="L14" s="76">
        <f t="shared" si="1"/>
        <v>1304349</v>
      </c>
      <c r="M14" s="76">
        <f t="shared" si="1"/>
        <v>2422293</v>
      </c>
      <c r="N14" s="76">
        <f t="shared" si="1"/>
        <v>1217129</v>
      </c>
      <c r="O14" s="76">
        <f t="shared" si="1"/>
        <v>24277</v>
      </c>
      <c r="P14" s="76">
        <f t="shared" si="1"/>
        <v>1336703</v>
      </c>
      <c r="Q14" s="76">
        <f>SUM(Q6:Q13)</f>
        <v>1632716</v>
      </c>
      <c r="R14" s="76">
        <f>SUM(R6:R12)</f>
        <v>2444571</v>
      </c>
      <c r="S14" s="76">
        <f>SUM(S6:S12)</f>
        <v>11618943</v>
      </c>
    </row>
    <row r="15" spans="1:19"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A16" s="4" t="s">
        <v>21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B17" t="s">
        <v>22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1:19">
      <c r="C18" t="s">
        <v>23</v>
      </c>
      <c r="K18" s="77">
        <v>397259</v>
      </c>
      <c r="L18" s="73"/>
      <c r="M18" s="73">
        <v>28461</v>
      </c>
      <c r="N18" s="73">
        <v>186000</v>
      </c>
      <c r="O18" s="73">
        <v>26972</v>
      </c>
      <c r="P18" s="73"/>
      <c r="Q18" s="73">
        <v>13299</v>
      </c>
      <c r="R18" s="73">
        <v>225741</v>
      </c>
      <c r="S18" s="73">
        <f>SUM(K18:R18)</f>
        <v>877732</v>
      </c>
    </row>
    <row r="19" spans="1:19">
      <c r="C19" t="s">
        <v>26</v>
      </c>
      <c r="K19" s="73"/>
      <c r="L19" s="73"/>
      <c r="M19" s="73"/>
      <c r="N19" s="73"/>
      <c r="O19" s="73"/>
      <c r="P19" s="73"/>
      <c r="Q19" s="73"/>
      <c r="R19" s="73">
        <v>342731</v>
      </c>
      <c r="S19" s="73">
        <f>SUM(K19:R19)</f>
        <v>342731</v>
      </c>
    </row>
    <row r="20" spans="1:19">
      <c r="C20" t="s">
        <v>27</v>
      </c>
      <c r="K20" s="78">
        <v>776037</v>
      </c>
      <c r="L20" s="73"/>
      <c r="M20" s="73">
        <v>312273</v>
      </c>
      <c r="N20" s="73"/>
      <c r="O20" s="73">
        <v>468106</v>
      </c>
      <c r="P20" s="73">
        <v>96271</v>
      </c>
      <c r="Q20" s="73"/>
      <c r="R20" s="73">
        <v>200887</v>
      </c>
      <c r="S20" s="73">
        <f>SUM(K20:R20)</f>
        <v>1853574</v>
      </c>
    </row>
    <row r="21" spans="1:19">
      <c r="C21" t="s">
        <v>730</v>
      </c>
      <c r="K21" s="83">
        <v>9587</v>
      </c>
      <c r="L21" s="73"/>
      <c r="M21" s="73">
        <v>40703</v>
      </c>
      <c r="N21" s="73"/>
      <c r="O21" s="73"/>
      <c r="P21" s="73"/>
      <c r="Q21" s="73">
        <v>25129</v>
      </c>
      <c r="R21" s="73">
        <v>5482</v>
      </c>
      <c r="S21" s="73">
        <f>SUM(K21:R21)</f>
        <v>80901</v>
      </c>
    </row>
    <row r="22" spans="1:19">
      <c r="C22" t="s">
        <v>133</v>
      </c>
      <c r="K22" s="73"/>
      <c r="L22" s="73"/>
      <c r="M22" s="73"/>
      <c r="N22" s="73">
        <v>890204</v>
      </c>
      <c r="O22" s="73"/>
      <c r="P22" s="73"/>
      <c r="Q22" s="73"/>
      <c r="R22" s="73">
        <v>19996</v>
      </c>
      <c r="S22" s="73">
        <f>SUM(K22:R22)</f>
        <v>910200</v>
      </c>
    </row>
    <row r="23" spans="1:19">
      <c r="K23" s="73"/>
      <c r="L23" s="73"/>
      <c r="M23" s="73"/>
      <c r="N23" s="73"/>
      <c r="O23" s="73"/>
      <c r="P23" s="73"/>
      <c r="Q23" s="73"/>
      <c r="R23" s="73"/>
      <c r="S23" s="73"/>
    </row>
    <row r="24" spans="1:19" s="5" customFormat="1">
      <c r="B24" s="6"/>
      <c r="C24" s="6"/>
      <c r="D24" s="6"/>
      <c r="E24" s="6" t="s">
        <v>28</v>
      </c>
      <c r="K24" s="79">
        <f t="shared" ref="K24:S24" si="2">SUM(K18:K22)</f>
        <v>1182883</v>
      </c>
      <c r="L24" s="79">
        <f t="shared" si="2"/>
        <v>0</v>
      </c>
      <c r="M24" s="79">
        <f t="shared" si="2"/>
        <v>381437</v>
      </c>
      <c r="N24" s="79">
        <f t="shared" si="2"/>
        <v>1076204</v>
      </c>
      <c r="O24" s="79">
        <f t="shared" si="2"/>
        <v>495078</v>
      </c>
      <c r="P24" s="79">
        <f t="shared" si="2"/>
        <v>96271</v>
      </c>
      <c r="Q24" s="79">
        <f t="shared" si="2"/>
        <v>38428</v>
      </c>
      <c r="R24" s="79">
        <f t="shared" si="2"/>
        <v>794837</v>
      </c>
      <c r="S24" s="79">
        <f t="shared" si="2"/>
        <v>4065138</v>
      </c>
    </row>
    <row r="25" spans="1:19"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A26" s="89" t="s">
        <v>731</v>
      </c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B27" t="s">
        <v>732</v>
      </c>
      <c r="K27" s="88">
        <v>48490</v>
      </c>
      <c r="L27" s="88"/>
      <c r="M27" s="88"/>
      <c r="N27" s="88"/>
      <c r="O27" s="88"/>
      <c r="P27" s="88"/>
      <c r="Q27" s="88"/>
      <c r="R27" s="88"/>
      <c r="S27" s="88">
        <f>SUM(K27:R27)</f>
        <v>48490</v>
      </c>
    </row>
    <row r="28" spans="1:19">
      <c r="C28" t="s">
        <v>381</v>
      </c>
      <c r="K28" s="88">
        <f>SUM(K27)</f>
        <v>48490</v>
      </c>
      <c r="L28" s="88"/>
      <c r="M28" s="88"/>
      <c r="N28" s="88"/>
      <c r="O28" s="88"/>
      <c r="P28" s="88"/>
      <c r="Q28" s="88"/>
      <c r="R28" s="88">
        <f>SUM(R27)</f>
        <v>0</v>
      </c>
      <c r="S28" s="88">
        <f>SUM(S27)</f>
        <v>48490</v>
      </c>
    </row>
    <row r="29" spans="1:19">
      <c r="K29" s="73"/>
      <c r="L29" s="73"/>
      <c r="M29" s="73"/>
      <c r="N29" s="73"/>
      <c r="O29" s="73"/>
      <c r="P29" s="73"/>
      <c r="Q29" s="73"/>
      <c r="R29" s="73"/>
      <c r="S29" s="73"/>
    </row>
    <row r="30" spans="1:19">
      <c r="B30" t="s">
        <v>100</v>
      </c>
      <c r="K30" s="73"/>
      <c r="L30" s="73"/>
      <c r="M30" s="73"/>
      <c r="N30" s="73"/>
      <c r="O30" s="73"/>
      <c r="P30" s="73"/>
      <c r="Q30" s="73"/>
      <c r="R30" s="73"/>
      <c r="S30" s="73"/>
    </row>
    <row r="31" spans="1:19">
      <c r="C31" t="s">
        <v>118</v>
      </c>
      <c r="K31" s="73"/>
      <c r="L31" s="73">
        <v>1304349</v>
      </c>
      <c r="M31" s="73">
        <v>2040856</v>
      </c>
      <c r="N31" s="73">
        <v>140925</v>
      </c>
      <c r="O31" s="73"/>
      <c r="P31" s="73">
        <v>1240432</v>
      </c>
      <c r="Q31" s="73">
        <v>1594288</v>
      </c>
      <c r="R31" s="73">
        <v>1662873</v>
      </c>
      <c r="S31" s="73">
        <f>SUM(K31:R31)</f>
        <v>7983723</v>
      </c>
    </row>
    <row r="32" spans="1:19">
      <c r="C32" t="s">
        <v>48</v>
      </c>
      <c r="K32" s="86">
        <v>5532</v>
      </c>
      <c r="L32" s="73"/>
      <c r="M32" s="73"/>
      <c r="N32" s="73"/>
      <c r="O32" s="73">
        <v>-470801</v>
      </c>
      <c r="P32" s="73"/>
      <c r="Q32" s="73"/>
      <c r="R32" s="73">
        <v>-13139</v>
      </c>
      <c r="S32" s="73">
        <f>SUM(K32:R32)</f>
        <v>-478408</v>
      </c>
    </row>
    <row r="33" spans="4:19">
      <c r="K33" s="73"/>
      <c r="L33" s="73"/>
      <c r="M33" s="73"/>
      <c r="N33" s="73"/>
      <c r="O33" s="73"/>
      <c r="P33" s="73"/>
      <c r="Q33" s="73"/>
      <c r="R33" s="73"/>
      <c r="S33" s="73"/>
    </row>
    <row r="34" spans="4:19" s="5" customFormat="1">
      <c r="D34" s="6"/>
      <c r="E34" s="6" t="s">
        <v>49</v>
      </c>
      <c r="K34" s="79">
        <f t="shared" ref="K34:S34" si="3">SUM(K31:K32)</f>
        <v>5532</v>
      </c>
      <c r="L34" s="79">
        <f t="shared" si="3"/>
        <v>1304349</v>
      </c>
      <c r="M34" s="79">
        <f t="shared" si="3"/>
        <v>2040856</v>
      </c>
      <c r="N34" s="79">
        <f t="shared" si="3"/>
        <v>140925</v>
      </c>
      <c r="O34" s="79">
        <f t="shared" si="3"/>
        <v>-470801</v>
      </c>
      <c r="P34" s="79">
        <f t="shared" si="3"/>
        <v>1240432</v>
      </c>
      <c r="Q34" s="79">
        <f t="shared" si="3"/>
        <v>1594288</v>
      </c>
      <c r="R34" s="79">
        <f t="shared" si="3"/>
        <v>1649734</v>
      </c>
      <c r="S34" s="79">
        <f t="shared" si="3"/>
        <v>7505315</v>
      </c>
    </row>
    <row r="35" spans="4:19">
      <c r="K35" s="73"/>
      <c r="L35" s="73"/>
      <c r="M35" s="73"/>
      <c r="N35" s="73"/>
      <c r="O35" s="73"/>
      <c r="P35" s="73"/>
      <c r="Q35" s="73"/>
      <c r="R35" s="73"/>
      <c r="S35" s="73"/>
    </row>
    <row r="36" spans="4:19" s="7" customFormat="1">
      <c r="D36" s="8"/>
      <c r="E36" s="8" t="s">
        <v>50</v>
      </c>
      <c r="K36" s="81">
        <f>SUM(K34,K24,K28)</f>
        <v>1236905</v>
      </c>
      <c r="L36" s="81">
        <f t="shared" ref="L36:S36" si="4">SUM(L34,L24,L28)</f>
        <v>1304349</v>
      </c>
      <c r="M36" s="81">
        <f t="shared" si="4"/>
        <v>2422293</v>
      </c>
      <c r="N36" s="81">
        <f t="shared" si="4"/>
        <v>1217129</v>
      </c>
      <c r="O36" s="81">
        <f t="shared" si="4"/>
        <v>24277</v>
      </c>
      <c r="P36" s="81">
        <f t="shared" si="4"/>
        <v>1336703</v>
      </c>
      <c r="Q36" s="81">
        <f t="shared" si="4"/>
        <v>1632716</v>
      </c>
      <c r="R36" s="81">
        <f t="shared" si="4"/>
        <v>2444571</v>
      </c>
      <c r="S36" s="81">
        <f t="shared" si="4"/>
        <v>11618943</v>
      </c>
    </row>
  </sheetData>
  <mergeCells count="2">
    <mergeCell ref="D1:K1"/>
    <mergeCell ref="D2:K2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34"/>
  <sheetViews>
    <sheetView topLeftCell="J1" workbookViewId="0">
      <selection activeCell="N35" sqref="N35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85546875" customWidth="1"/>
    <col min="13" max="13" width="16.42578125" customWidth="1"/>
    <col min="14" max="14" width="15.5703125" customWidth="1"/>
    <col min="15" max="15" width="17.140625" customWidth="1"/>
    <col min="16" max="16" width="17.28515625" customWidth="1"/>
  </cols>
  <sheetData>
    <row r="1" spans="1:16" ht="18.75">
      <c r="D1" s="125" t="s">
        <v>733</v>
      </c>
      <c r="E1" s="125"/>
      <c r="F1" s="125"/>
      <c r="G1" s="125"/>
      <c r="H1" s="125"/>
      <c r="I1" s="125"/>
      <c r="J1" s="125"/>
      <c r="K1" s="125"/>
    </row>
    <row r="2" spans="1:16">
      <c r="D2" s="126" t="s">
        <v>699</v>
      </c>
      <c r="E2" s="126"/>
      <c r="F2" s="126"/>
      <c r="G2" s="126"/>
      <c r="H2" s="126"/>
      <c r="I2" s="126"/>
      <c r="J2" s="126"/>
      <c r="K2" s="126"/>
    </row>
    <row r="4" spans="1:16" ht="30">
      <c r="K4" s="1" t="s">
        <v>52</v>
      </c>
      <c r="L4" s="1" t="s">
        <v>257</v>
      </c>
      <c r="M4" s="1" t="s">
        <v>124</v>
      </c>
      <c r="N4" s="1" t="s">
        <v>734</v>
      </c>
      <c r="O4" s="1" t="s">
        <v>310</v>
      </c>
      <c r="P4" s="1" t="s">
        <v>427</v>
      </c>
    </row>
    <row r="5" spans="1:16">
      <c r="A5" t="s">
        <v>10</v>
      </c>
    </row>
    <row r="6" spans="1:16">
      <c r="B6" t="s">
        <v>163</v>
      </c>
      <c r="K6" s="72">
        <v>776309</v>
      </c>
      <c r="L6" s="73">
        <v>262441</v>
      </c>
      <c r="M6" s="73">
        <v>968510</v>
      </c>
      <c r="N6" s="73">
        <v>813280</v>
      </c>
      <c r="O6" s="73">
        <v>2559958</v>
      </c>
      <c r="P6" s="73">
        <f>SUM(K6:O6)</f>
        <v>5380498</v>
      </c>
    </row>
    <row r="7" spans="1:16">
      <c r="B7" t="s">
        <v>12</v>
      </c>
      <c r="K7" s="77">
        <v>2211059</v>
      </c>
      <c r="L7" s="73"/>
      <c r="M7" s="73">
        <v>400000</v>
      </c>
      <c r="N7" s="73"/>
      <c r="O7" s="73"/>
      <c r="P7" s="73">
        <f>SUM(K7:O7)</f>
        <v>2611059</v>
      </c>
    </row>
    <row r="8" spans="1:16">
      <c r="B8" t="s">
        <v>59</v>
      </c>
      <c r="K8" s="74">
        <v>895341</v>
      </c>
      <c r="L8" s="73">
        <v>329596</v>
      </c>
      <c r="M8" s="73">
        <v>2612213</v>
      </c>
      <c r="N8" s="73">
        <v>605162</v>
      </c>
      <c r="O8" s="73">
        <v>919006</v>
      </c>
      <c r="P8" s="73">
        <f>SUM(K8:O8)</f>
        <v>5361318</v>
      </c>
    </row>
    <row r="9" spans="1:16">
      <c r="B9" t="s">
        <v>207</v>
      </c>
      <c r="K9" s="85">
        <v>269305</v>
      </c>
      <c r="L9" s="73"/>
      <c r="M9" s="73">
        <v>17903</v>
      </c>
      <c r="N9" s="73"/>
      <c r="O9" s="73"/>
      <c r="P9" s="73">
        <f>SUM(K9:O9)</f>
        <v>287208</v>
      </c>
    </row>
    <row r="10" spans="1:16">
      <c r="K10" s="73"/>
      <c r="L10" s="73"/>
      <c r="M10" s="73"/>
      <c r="N10" s="73"/>
      <c r="O10" s="73"/>
      <c r="P10" s="73"/>
    </row>
    <row r="11" spans="1:16" s="3" customFormat="1">
      <c r="A11" s="2"/>
      <c r="B11" s="2"/>
      <c r="C11" s="2"/>
      <c r="D11" s="2"/>
      <c r="E11" s="2" t="s">
        <v>20</v>
      </c>
      <c r="K11" s="76">
        <f>SUM(K6:K9)</f>
        <v>4152014</v>
      </c>
      <c r="L11" s="76">
        <f>SUM(L6:L9)</f>
        <v>592037</v>
      </c>
      <c r="M11" s="76">
        <f>SUM(M6:M9)</f>
        <v>3998626</v>
      </c>
      <c r="N11" s="76">
        <f>SUM(N6:N8)</f>
        <v>1418442</v>
      </c>
      <c r="O11" s="76">
        <f>SUM(O6:O8)</f>
        <v>3478964</v>
      </c>
      <c r="P11" s="76">
        <f>SUM(P6:P9)</f>
        <v>13640083</v>
      </c>
    </row>
    <row r="12" spans="1:16">
      <c r="K12" s="73"/>
      <c r="L12" s="73"/>
      <c r="M12" s="73"/>
      <c r="N12" s="73"/>
      <c r="O12" s="73"/>
      <c r="P12" s="73"/>
    </row>
    <row r="13" spans="1:16">
      <c r="A13" s="4" t="s">
        <v>21</v>
      </c>
      <c r="K13" s="73"/>
      <c r="L13" s="73"/>
      <c r="M13" s="73"/>
      <c r="N13" s="73"/>
      <c r="O13" s="73"/>
      <c r="P13" s="73"/>
    </row>
    <row r="14" spans="1:16">
      <c r="B14" t="s">
        <v>22</v>
      </c>
      <c r="K14" s="73"/>
      <c r="L14" s="73"/>
      <c r="M14" s="73"/>
      <c r="N14" s="73"/>
      <c r="O14" s="73"/>
      <c r="P14" s="73"/>
    </row>
    <row r="15" spans="1:16">
      <c r="C15" t="s">
        <v>735</v>
      </c>
      <c r="K15" s="114">
        <v>51724</v>
      </c>
      <c r="L15" s="73">
        <v>6005</v>
      </c>
      <c r="M15" s="73">
        <v>32220</v>
      </c>
      <c r="N15" s="73">
        <v>31163</v>
      </c>
      <c r="O15" s="73">
        <v>11283</v>
      </c>
      <c r="P15" s="73">
        <f>SUM(K15:O15)</f>
        <v>132395</v>
      </c>
    </row>
    <row r="16" spans="1:16">
      <c r="C16" t="s">
        <v>736</v>
      </c>
      <c r="K16" s="77">
        <v>30267</v>
      </c>
      <c r="L16" s="73"/>
      <c r="M16" s="73">
        <v>105027</v>
      </c>
      <c r="N16" s="73">
        <v>24331</v>
      </c>
      <c r="O16" s="73">
        <v>30842</v>
      </c>
      <c r="P16" s="73">
        <f>SUM(K16:O16)</f>
        <v>190467</v>
      </c>
    </row>
    <row r="17" spans="1:16">
      <c r="C17" t="s">
        <v>26</v>
      </c>
      <c r="K17" s="84">
        <v>11805</v>
      </c>
      <c r="L17" s="73"/>
      <c r="M17" s="73"/>
      <c r="N17" s="73"/>
      <c r="O17" s="73"/>
      <c r="P17" s="73">
        <f>SUM(K17:O17)</f>
        <v>11805</v>
      </c>
    </row>
    <row r="18" spans="1:16">
      <c r="C18" t="s">
        <v>95</v>
      </c>
      <c r="K18" s="78">
        <v>163911</v>
      </c>
      <c r="L18" s="73"/>
      <c r="M18" s="73"/>
      <c r="N18" s="73"/>
      <c r="O18" s="73"/>
      <c r="P18" s="73">
        <f>SUM(K18:O18)</f>
        <v>163911</v>
      </c>
    </row>
    <row r="19" spans="1:16">
      <c r="C19" t="s">
        <v>737</v>
      </c>
      <c r="K19" s="83">
        <v>7275</v>
      </c>
      <c r="L19" s="73"/>
      <c r="M19" s="73">
        <v>19695</v>
      </c>
      <c r="N19" s="73">
        <v>8039</v>
      </c>
      <c r="O19" s="73">
        <v>10910</v>
      </c>
      <c r="P19" s="73">
        <f>SUM(K19:O19)</f>
        <v>45919</v>
      </c>
    </row>
    <row r="20" spans="1:16">
      <c r="K20" s="73"/>
      <c r="L20" s="73"/>
      <c r="M20" s="73"/>
      <c r="N20" s="73"/>
      <c r="O20" s="73"/>
      <c r="P20" s="73"/>
    </row>
    <row r="21" spans="1:16" s="5" customFormat="1">
      <c r="B21" s="6"/>
      <c r="C21" s="6"/>
      <c r="D21" s="6"/>
      <c r="E21" s="6" t="s">
        <v>28</v>
      </c>
      <c r="K21" s="79">
        <f t="shared" ref="K21:P21" si="0">SUM(K15:K19)</f>
        <v>264982</v>
      </c>
      <c r="L21" s="79">
        <f t="shared" si="0"/>
        <v>6005</v>
      </c>
      <c r="M21" s="79">
        <f t="shared" si="0"/>
        <v>156942</v>
      </c>
      <c r="N21" s="79">
        <f t="shared" si="0"/>
        <v>63533</v>
      </c>
      <c r="O21" s="79">
        <f t="shared" si="0"/>
        <v>53035</v>
      </c>
      <c r="P21" s="79">
        <f t="shared" si="0"/>
        <v>544497</v>
      </c>
    </row>
    <row r="22" spans="1:16">
      <c r="K22" s="73"/>
      <c r="L22" s="73"/>
      <c r="M22" s="73"/>
      <c r="N22" s="73"/>
      <c r="O22" s="73"/>
      <c r="P22" s="73"/>
    </row>
    <row r="23" spans="1:16">
      <c r="A23" s="89" t="s">
        <v>738</v>
      </c>
      <c r="K23" s="73"/>
      <c r="L23" s="73"/>
      <c r="M23" s="73"/>
      <c r="N23" s="73"/>
      <c r="O23" s="73"/>
      <c r="P23" s="73"/>
    </row>
    <row r="24" spans="1:16">
      <c r="B24" t="s">
        <v>380</v>
      </c>
      <c r="K24" s="88">
        <v>24625</v>
      </c>
      <c r="L24" s="88"/>
      <c r="M24" s="88">
        <v>98923</v>
      </c>
      <c r="N24" s="88">
        <v>22917</v>
      </c>
      <c r="O24" s="88">
        <v>27490</v>
      </c>
      <c r="P24" s="88">
        <f>SUM(K24:O24)</f>
        <v>173955</v>
      </c>
    </row>
    <row r="25" spans="1:16">
      <c r="K25" s="73"/>
      <c r="L25" s="73"/>
      <c r="M25" s="73"/>
      <c r="N25" s="73"/>
      <c r="O25" s="73"/>
      <c r="P25" s="73"/>
    </row>
    <row r="26" spans="1:16">
      <c r="B26" t="s">
        <v>100</v>
      </c>
      <c r="K26" s="73"/>
      <c r="L26" s="73"/>
      <c r="M26" s="73"/>
      <c r="N26" s="73"/>
      <c r="O26" s="73"/>
      <c r="P26" s="73"/>
    </row>
    <row r="27" spans="1:16">
      <c r="C27" t="s">
        <v>382</v>
      </c>
      <c r="K27" s="80">
        <v>269305</v>
      </c>
      <c r="L27" s="73"/>
      <c r="M27" s="73">
        <v>17903</v>
      </c>
      <c r="N27" s="73"/>
      <c r="O27" s="73"/>
      <c r="P27" s="73">
        <f>SUM(K27:O27)</f>
        <v>287208</v>
      </c>
    </row>
    <row r="28" spans="1:16">
      <c r="C28" t="s">
        <v>118</v>
      </c>
      <c r="K28" s="73"/>
      <c r="L28" s="73">
        <v>586032</v>
      </c>
      <c r="M28" s="73">
        <v>3724858</v>
      </c>
      <c r="N28" s="73">
        <v>1331992</v>
      </c>
      <c r="O28" s="73">
        <v>3398439</v>
      </c>
      <c r="P28" s="73">
        <f>SUM(K28:O28)</f>
        <v>9041321</v>
      </c>
    </row>
    <row r="29" spans="1:16">
      <c r="C29" t="s">
        <v>304</v>
      </c>
      <c r="K29" s="80">
        <v>2000000</v>
      </c>
      <c r="L29" s="73"/>
      <c r="M29" s="73"/>
      <c r="N29" s="73"/>
      <c r="O29" s="73"/>
      <c r="P29" s="73">
        <f>SUM(K29:O29)</f>
        <v>2000000</v>
      </c>
    </row>
    <row r="30" spans="1:16">
      <c r="C30" t="s">
        <v>48</v>
      </c>
      <c r="K30" s="86">
        <v>1593102</v>
      </c>
      <c r="L30" s="73"/>
      <c r="M30" s="73"/>
      <c r="N30" s="73"/>
      <c r="O30" s="73"/>
      <c r="P30" s="73">
        <f>SUM(K30:O30)</f>
        <v>1593102</v>
      </c>
    </row>
    <row r="31" spans="1:16">
      <c r="K31" s="73"/>
      <c r="L31" s="73"/>
      <c r="M31" s="73"/>
      <c r="N31" s="73"/>
      <c r="O31" s="73"/>
      <c r="P31" s="73"/>
    </row>
    <row r="32" spans="1:16" s="5" customFormat="1">
      <c r="D32" s="6"/>
      <c r="E32" s="6" t="s">
        <v>49</v>
      </c>
      <c r="K32" s="79">
        <f>SUM(K27:K30)</f>
        <v>3862407</v>
      </c>
      <c r="L32" s="79">
        <f t="shared" ref="L32:M32" si="1">SUM(L27:L30)</f>
        <v>586032</v>
      </c>
      <c r="M32" s="79">
        <f t="shared" si="1"/>
        <v>3742761</v>
      </c>
      <c r="N32" s="79">
        <f>SUM(N27:N30)</f>
        <v>1331992</v>
      </c>
      <c r="O32" s="79">
        <f>SUM(O27:O30)</f>
        <v>3398439</v>
      </c>
      <c r="P32" s="79">
        <f>SUM(P27:P30)</f>
        <v>12921631</v>
      </c>
    </row>
    <row r="33" spans="4:16">
      <c r="K33" s="73"/>
      <c r="L33" s="73"/>
      <c r="M33" s="73"/>
      <c r="N33" s="73"/>
      <c r="O33" s="73"/>
      <c r="P33" s="73"/>
    </row>
    <row r="34" spans="4:16" s="7" customFormat="1">
      <c r="D34" s="8"/>
      <c r="E34" s="8" t="s">
        <v>50</v>
      </c>
      <c r="K34" s="81">
        <f t="shared" ref="K34:P34" si="2">K32+K24+K21</f>
        <v>4152014</v>
      </c>
      <c r="L34" s="81">
        <f t="shared" si="2"/>
        <v>592037</v>
      </c>
      <c r="M34" s="81">
        <f t="shared" si="2"/>
        <v>3998626</v>
      </c>
      <c r="N34" s="81">
        <f t="shared" si="2"/>
        <v>1418442</v>
      </c>
      <c r="O34" s="81">
        <f t="shared" si="2"/>
        <v>3478964</v>
      </c>
      <c r="P34" s="81">
        <f t="shared" si="2"/>
        <v>13640083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T47"/>
  <sheetViews>
    <sheetView workbookViewId="0">
      <selection activeCell="T40" sqref="T40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2" width="16.42578125" customWidth="1"/>
    <col min="13" max="13" width="15.140625" customWidth="1"/>
    <col min="14" max="14" width="16" customWidth="1"/>
    <col min="15" max="15" width="16.140625" customWidth="1"/>
    <col min="16" max="16" width="16.28515625" customWidth="1"/>
    <col min="17" max="18" width="15.140625" customWidth="1"/>
    <col min="19" max="19" width="17.7109375" customWidth="1"/>
    <col min="20" max="20" width="17.5703125" customWidth="1"/>
  </cols>
  <sheetData>
    <row r="1" spans="1:20" ht="18.75">
      <c r="D1" s="125" t="s">
        <v>739</v>
      </c>
      <c r="E1" s="125"/>
      <c r="F1" s="125"/>
      <c r="G1" s="125"/>
      <c r="H1" s="125"/>
      <c r="I1" s="125"/>
      <c r="J1" s="125"/>
      <c r="K1" s="125"/>
    </row>
    <row r="2" spans="1:20">
      <c r="D2" s="126" t="s">
        <v>1</v>
      </c>
      <c r="E2" s="126"/>
      <c r="F2" s="126"/>
      <c r="G2" s="126"/>
      <c r="H2" s="126"/>
      <c r="I2" s="126"/>
      <c r="J2" s="126"/>
      <c r="K2" s="126"/>
    </row>
    <row r="3" spans="1:20">
      <c r="D3" s="57"/>
      <c r="E3" s="57"/>
      <c r="F3" s="57"/>
      <c r="G3" s="57"/>
      <c r="H3" s="57"/>
      <c r="I3" s="57"/>
      <c r="J3" s="57"/>
      <c r="K3" s="57"/>
    </row>
    <row r="4" spans="1:20" ht="36.75" customHeight="1">
      <c r="P4" s="57"/>
      <c r="Q4" s="57"/>
      <c r="R4" s="57"/>
    </row>
    <row r="5" spans="1:20" ht="76.5" customHeight="1">
      <c r="K5" s="1" t="s">
        <v>159</v>
      </c>
      <c r="L5" s="1" t="s">
        <v>122</v>
      </c>
      <c r="M5" s="1" t="s">
        <v>740</v>
      </c>
      <c r="N5" s="1" t="s">
        <v>741</v>
      </c>
      <c r="O5" s="1" t="s">
        <v>742</v>
      </c>
      <c r="P5" s="1" t="s">
        <v>292</v>
      </c>
      <c r="Q5" s="1" t="s">
        <v>743</v>
      </c>
      <c r="R5" s="1" t="s">
        <v>225</v>
      </c>
      <c r="S5" s="1" t="s">
        <v>8</v>
      </c>
      <c r="T5" s="1" t="s">
        <v>427</v>
      </c>
    </row>
    <row r="6" spans="1:20">
      <c r="A6" t="s">
        <v>10</v>
      </c>
    </row>
    <row r="7" spans="1:20">
      <c r="B7" t="s">
        <v>163</v>
      </c>
      <c r="K7" s="72">
        <v>3061491</v>
      </c>
      <c r="L7" s="73">
        <v>1123439</v>
      </c>
      <c r="M7" s="73">
        <v>71889</v>
      </c>
      <c r="N7" s="73">
        <v>581287</v>
      </c>
      <c r="O7" s="73">
        <v>673304</v>
      </c>
      <c r="P7" s="73">
        <v>172973</v>
      </c>
      <c r="Q7" s="73">
        <v>4085</v>
      </c>
      <c r="R7" s="73">
        <v>673811</v>
      </c>
      <c r="S7" s="73">
        <v>1658493</v>
      </c>
      <c r="T7" s="73">
        <f t="shared" ref="T7:T13" si="0">SUM(K7:S7)</f>
        <v>8020772</v>
      </c>
    </row>
    <row r="8" spans="1:20">
      <c r="B8" t="s">
        <v>12</v>
      </c>
      <c r="K8" s="77">
        <v>6872350</v>
      </c>
      <c r="L8" s="73">
        <v>750000</v>
      </c>
      <c r="M8" s="73">
        <v>3789873</v>
      </c>
      <c r="N8" s="73">
        <v>700000</v>
      </c>
      <c r="O8" s="73">
        <v>400000</v>
      </c>
      <c r="P8" s="73"/>
      <c r="Q8" s="73"/>
      <c r="R8" s="73">
        <v>250000</v>
      </c>
      <c r="S8" s="73">
        <v>3200000</v>
      </c>
      <c r="T8" s="73">
        <f t="shared" si="0"/>
        <v>15962223</v>
      </c>
    </row>
    <row r="9" spans="1:20">
      <c r="B9" t="s">
        <v>744</v>
      </c>
      <c r="K9" s="77">
        <v>108000</v>
      </c>
      <c r="L9" s="73"/>
      <c r="M9" s="73"/>
      <c r="N9" s="73"/>
      <c r="O9" s="73"/>
      <c r="P9" s="73"/>
      <c r="Q9" s="73"/>
      <c r="R9" s="73"/>
      <c r="S9" s="73">
        <v>216000</v>
      </c>
      <c r="T9" s="73">
        <f t="shared" si="0"/>
        <v>324000</v>
      </c>
    </row>
    <row r="10" spans="1:20">
      <c r="B10" t="s">
        <v>13</v>
      </c>
      <c r="K10" s="74">
        <v>1140469</v>
      </c>
      <c r="L10" s="73">
        <v>2332779</v>
      </c>
      <c r="M10" s="73"/>
      <c r="N10" s="73">
        <v>971991</v>
      </c>
      <c r="O10" s="73">
        <v>971991</v>
      </c>
      <c r="P10" s="73"/>
      <c r="Q10" s="73"/>
      <c r="R10" s="73">
        <v>1619985</v>
      </c>
      <c r="S10" s="73">
        <v>505437</v>
      </c>
      <c r="T10" s="73">
        <f t="shared" si="0"/>
        <v>7542652</v>
      </c>
    </row>
    <row r="11" spans="1:20">
      <c r="B11" t="s">
        <v>388</v>
      </c>
      <c r="K11" s="72">
        <v>8820</v>
      </c>
      <c r="L11" s="73"/>
      <c r="M11" s="73"/>
      <c r="N11" s="73"/>
      <c r="O11" s="73"/>
      <c r="P11" s="73"/>
      <c r="Q11" s="73"/>
      <c r="R11" s="73"/>
      <c r="S11" s="73">
        <v>376082</v>
      </c>
      <c r="T11" s="73">
        <f t="shared" si="0"/>
        <v>384902</v>
      </c>
    </row>
    <row r="12" spans="1:20">
      <c r="B12" t="s">
        <v>60</v>
      </c>
      <c r="K12" s="75">
        <v>693500</v>
      </c>
      <c r="L12" s="73">
        <v>2411</v>
      </c>
      <c r="M12" s="73"/>
      <c r="N12" s="73"/>
      <c r="O12" s="73"/>
      <c r="P12" s="73">
        <v>70427</v>
      </c>
      <c r="Q12" s="73">
        <v>391844</v>
      </c>
      <c r="R12" s="73"/>
      <c r="S12" s="73">
        <v>515218</v>
      </c>
      <c r="T12" s="73">
        <f t="shared" si="0"/>
        <v>1673400</v>
      </c>
    </row>
    <row r="13" spans="1:20">
      <c r="B13" t="s">
        <v>15</v>
      </c>
      <c r="K13" s="74">
        <v>783</v>
      </c>
      <c r="L13" s="73"/>
      <c r="M13" s="73"/>
      <c r="N13" s="73"/>
      <c r="O13" s="73"/>
      <c r="P13" s="73"/>
      <c r="Q13" s="73"/>
      <c r="R13" s="73"/>
      <c r="S13" s="73"/>
      <c r="T13" s="73">
        <f t="shared" si="0"/>
        <v>783</v>
      </c>
    </row>
    <row r="14" spans="1:20"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spans="1:20" s="3" customFormat="1">
      <c r="A15" s="2"/>
      <c r="B15" s="2"/>
      <c r="C15" s="2"/>
      <c r="D15" s="2"/>
      <c r="E15" s="2" t="s">
        <v>129</v>
      </c>
      <c r="K15" s="76">
        <f t="shared" ref="K15:T15" si="1">SUM(K7:K13)</f>
        <v>11885413</v>
      </c>
      <c r="L15" s="76">
        <f t="shared" si="1"/>
        <v>4208629</v>
      </c>
      <c r="M15" s="76">
        <f t="shared" si="1"/>
        <v>3861762</v>
      </c>
      <c r="N15" s="76">
        <f t="shared" si="1"/>
        <v>2253278</v>
      </c>
      <c r="O15" s="76">
        <f t="shared" si="1"/>
        <v>2045295</v>
      </c>
      <c r="P15" s="76">
        <f t="shared" si="1"/>
        <v>243400</v>
      </c>
      <c r="Q15" s="76">
        <f t="shared" si="1"/>
        <v>395929</v>
      </c>
      <c r="R15" s="76">
        <f t="shared" si="1"/>
        <v>2543796</v>
      </c>
      <c r="S15" s="76">
        <f t="shared" si="1"/>
        <v>6471230</v>
      </c>
      <c r="T15" s="76">
        <f t="shared" si="1"/>
        <v>33908732</v>
      </c>
    </row>
    <row r="16" spans="1:20">
      <c r="K16" s="73"/>
      <c r="L16" s="73"/>
      <c r="M16" s="73"/>
      <c r="N16" s="73"/>
      <c r="O16" s="73"/>
      <c r="P16" s="73"/>
      <c r="Q16" s="73"/>
      <c r="R16" s="73"/>
      <c r="S16" s="73"/>
      <c r="T16" s="73"/>
    </row>
    <row r="17" spans="1:20">
      <c r="A17" s="4" t="s">
        <v>21</v>
      </c>
      <c r="K17" s="73"/>
      <c r="L17" s="73"/>
      <c r="M17" s="73"/>
      <c r="N17" s="73"/>
      <c r="O17" s="73"/>
      <c r="P17" s="73"/>
      <c r="Q17" s="73"/>
      <c r="R17" s="73"/>
      <c r="S17" s="73"/>
      <c r="T17" s="73"/>
    </row>
    <row r="18" spans="1:20">
      <c r="B18" t="s">
        <v>22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</row>
    <row r="19" spans="1:20">
      <c r="C19" t="s">
        <v>23</v>
      </c>
      <c r="K19" s="77">
        <v>166798</v>
      </c>
      <c r="L19" s="73">
        <v>4569</v>
      </c>
      <c r="M19" s="73"/>
      <c r="N19">
        <v>12443</v>
      </c>
      <c r="O19" s="73">
        <v>1769</v>
      </c>
      <c r="P19" s="73">
        <v>3316</v>
      </c>
      <c r="Q19" s="73">
        <v>93548</v>
      </c>
      <c r="R19" s="73">
        <v>10913</v>
      </c>
      <c r="S19" s="73">
        <v>263989</v>
      </c>
      <c r="T19" s="73">
        <f>SUM(K19:S19)</f>
        <v>557345</v>
      </c>
    </row>
    <row r="20" spans="1:20">
      <c r="K20" s="73"/>
      <c r="L20" s="73"/>
      <c r="M20" s="73"/>
      <c r="N20" s="73"/>
      <c r="O20" s="73"/>
      <c r="P20" s="73"/>
      <c r="Q20" s="73"/>
      <c r="R20" s="73"/>
      <c r="S20" s="73"/>
      <c r="T20" s="73"/>
    </row>
    <row r="21" spans="1:20" s="5" customFormat="1">
      <c r="B21" s="6"/>
      <c r="C21" s="6"/>
      <c r="D21" s="6"/>
      <c r="E21" s="6" t="s">
        <v>28</v>
      </c>
      <c r="K21" s="79">
        <f>SUM(K19:K19)</f>
        <v>166798</v>
      </c>
      <c r="L21" s="79">
        <f>SUM(L19:L19)</f>
        <v>4569</v>
      </c>
      <c r="M21" s="79">
        <f t="shared" ref="M21:R21" si="2">SUM(M19:M19)</f>
        <v>0</v>
      </c>
      <c r="N21" s="79">
        <f t="shared" si="2"/>
        <v>12443</v>
      </c>
      <c r="O21" s="79">
        <f t="shared" si="2"/>
        <v>1769</v>
      </c>
      <c r="P21" s="79">
        <f t="shared" si="2"/>
        <v>3316</v>
      </c>
      <c r="Q21" s="79">
        <f t="shared" si="2"/>
        <v>93548</v>
      </c>
      <c r="R21" s="79">
        <f t="shared" si="2"/>
        <v>10913</v>
      </c>
      <c r="S21" s="79">
        <f>SUM(S19:S19)</f>
        <v>263989</v>
      </c>
      <c r="T21" s="79">
        <f>SUM(T19:T19)</f>
        <v>557345</v>
      </c>
    </row>
    <row r="22" spans="1:20">
      <c r="K22" s="73"/>
      <c r="L22" s="73"/>
      <c r="M22" s="73"/>
      <c r="N22" s="73"/>
      <c r="O22" s="73"/>
      <c r="P22" s="73"/>
      <c r="Q22" s="73"/>
      <c r="R22" s="73"/>
      <c r="S22" s="73"/>
      <c r="T22" s="73"/>
    </row>
    <row r="23" spans="1:20">
      <c r="A23" s="71" t="s">
        <v>167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</row>
    <row r="24" spans="1:20">
      <c r="A24" s="71"/>
      <c r="C24" t="s">
        <v>97</v>
      </c>
      <c r="K24" s="73"/>
      <c r="L24" s="73"/>
      <c r="M24" s="73"/>
      <c r="N24" s="73"/>
      <c r="O24" s="73"/>
      <c r="P24" s="73"/>
      <c r="Q24" s="73"/>
      <c r="R24" s="73"/>
      <c r="S24" s="73">
        <v>349264</v>
      </c>
      <c r="T24" s="73">
        <f>SUM(K24:S24)</f>
        <v>349264</v>
      </c>
    </row>
    <row r="25" spans="1:20">
      <c r="C25" t="s">
        <v>186</v>
      </c>
      <c r="K25" s="88">
        <v>1297252</v>
      </c>
      <c r="L25" s="88">
        <v>2653472</v>
      </c>
      <c r="M25" s="88"/>
      <c r="N25" s="88">
        <v>1105613</v>
      </c>
      <c r="O25" s="88">
        <v>1105613</v>
      </c>
      <c r="P25" s="88"/>
      <c r="Q25" s="88"/>
      <c r="R25" s="88">
        <v>1842689</v>
      </c>
      <c r="S25" s="88">
        <v>574920</v>
      </c>
      <c r="T25" s="88">
        <f>SUM(K25:S25)</f>
        <v>8579559</v>
      </c>
    </row>
    <row r="26" spans="1:20"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spans="1:20" s="5" customFormat="1">
      <c r="B27" s="6"/>
      <c r="C27" s="6"/>
      <c r="D27" s="6"/>
      <c r="E27" s="6" t="s">
        <v>99</v>
      </c>
      <c r="K27" s="79">
        <f>SUM(K24:K25)</f>
        <v>1297252</v>
      </c>
      <c r="L27" s="79">
        <f t="shared" ref="L27:T27" si="3">SUM(L24:L25)</f>
        <v>2653472</v>
      </c>
      <c r="M27" s="79">
        <f t="shared" si="3"/>
        <v>0</v>
      </c>
      <c r="N27" s="79">
        <f t="shared" si="3"/>
        <v>1105613</v>
      </c>
      <c r="O27" s="79">
        <f t="shared" si="3"/>
        <v>1105613</v>
      </c>
      <c r="P27" s="79">
        <f t="shared" si="3"/>
        <v>0</v>
      </c>
      <c r="Q27" s="79">
        <f t="shared" si="3"/>
        <v>0</v>
      </c>
      <c r="R27" s="79">
        <f t="shared" si="3"/>
        <v>1842689</v>
      </c>
      <c r="S27" s="79">
        <f t="shared" si="3"/>
        <v>924184</v>
      </c>
      <c r="T27" s="79">
        <f t="shared" si="3"/>
        <v>8928823</v>
      </c>
    </row>
    <row r="28" spans="1:20">
      <c r="K28" s="73"/>
      <c r="L28" s="73"/>
      <c r="M28" s="73"/>
      <c r="N28" s="73"/>
      <c r="O28" s="73"/>
      <c r="P28" s="73"/>
      <c r="Q28" s="73"/>
      <c r="R28" s="73"/>
      <c r="S28" s="73"/>
      <c r="T28" s="73"/>
    </row>
    <row r="29" spans="1:20">
      <c r="B29" t="s">
        <v>100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</row>
    <row r="30" spans="1:20">
      <c r="C30" t="s">
        <v>745</v>
      </c>
      <c r="K30" s="80">
        <v>113570</v>
      </c>
      <c r="L30" s="73"/>
      <c r="M30" s="73">
        <v>3861762</v>
      </c>
      <c r="N30" s="73"/>
      <c r="O30" s="73"/>
      <c r="P30" s="73"/>
      <c r="Q30" s="73"/>
      <c r="R30" s="73"/>
      <c r="S30" s="73"/>
      <c r="T30" s="73">
        <f>SUM(K30:S30)</f>
        <v>3975332</v>
      </c>
    </row>
    <row r="31" spans="1:20">
      <c r="C31" t="s">
        <v>746</v>
      </c>
      <c r="K31" s="111"/>
      <c r="L31" s="73">
        <v>1550588</v>
      </c>
      <c r="M31" s="73"/>
      <c r="N31" s="73">
        <v>1135222</v>
      </c>
      <c r="O31" s="73">
        <v>937913</v>
      </c>
      <c r="P31" s="73"/>
      <c r="Q31" s="73"/>
      <c r="R31" s="73">
        <v>690194</v>
      </c>
      <c r="S31" s="73">
        <v>3250749</v>
      </c>
      <c r="T31" s="73">
        <f>SUM(K31:S31)</f>
        <v>7564666</v>
      </c>
    </row>
    <row r="32" spans="1:20">
      <c r="C32" t="s">
        <v>747</v>
      </c>
      <c r="K32" s="111"/>
      <c r="L32" s="73"/>
      <c r="M32" s="73"/>
      <c r="N32" s="73"/>
      <c r="O32" s="73"/>
      <c r="P32" s="73">
        <v>-3316</v>
      </c>
      <c r="Q32" s="73">
        <v>302381</v>
      </c>
      <c r="R32" s="73"/>
      <c r="S32" s="73">
        <v>2024969</v>
      </c>
      <c r="T32" s="73">
        <f>SUM(K32:S32)</f>
        <v>2324034</v>
      </c>
    </row>
    <row r="33" spans="3:20">
      <c r="C33" t="s">
        <v>748</v>
      </c>
      <c r="K33" s="73"/>
      <c r="L33" s="73"/>
      <c r="M33" s="73"/>
      <c r="N33" s="73"/>
      <c r="O33" s="73"/>
      <c r="P33" s="73">
        <v>243400</v>
      </c>
      <c r="Q33" s="73"/>
      <c r="R33" s="73"/>
      <c r="S33" s="73">
        <v>7339</v>
      </c>
      <c r="T33" s="73">
        <f>SUM(K33:S33)</f>
        <v>250739</v>
      </c>
    </row>
    <row r="34" spans="3:20">
      <c r="C34" t="s">
        <v>749</v>
      </c>
      <c r="K34" s="86">
        <v>10307793</v>
      </c>
      <c r="L34" s="73"/>
      <c r="M34" s="73"/>
      <c r="N34" s="73"/>
      <c r="O34" s="73"/>
      <c r="P34" s="73"/>
      <c r="Q34" s="73"/>
      <c r="R34" s="73"/>
      <c r="S34" s="73"/>
      <c r="T34" s="73">
        <f>SUM(K34:S34)</f>
        <v>10307793</v>
      </c>
    </row>
    <row r="35" spans="3:20">
      <c r="K35" s="73"/>
      <c r="L35" s="73"/>
      <c r="M35" s="73"/>
      <c r="N35" s="73"/>
      <c r="O35" s="73"/>
      <c r="P35" s="73"/>
      <c r="Q35" s="73"/>
      <c r="R35" s="73"/>
      <c r="S35" s="73"/>
      <c r="T35" s="73"/>
    </row>
    <row r="36" spans="3:20" s="5" customFormat="1">
      <c r="D36" s="6"/>
      <c r="E36" s="6" t="s">
        <v>49</v>
      </c>
      <c r="K36" s="79">
        <f>SUM(K30:K34)</f>
        <v>10421363</v>
      </c>
      <c r="L36" s="79">
        <f t="shared" ref="L36:T36" si="4">SUM(L30:L34)</f>
        <v>1550588</v>
      </c>
      <c r="M36" s="79">
        <f t="shared" si="4"/>
        <v>3861762</v>
      </c>
      <c r="N36" s="79">
        <f t="shared" si="4"/>
        <v>1135222</v>
      </c>
      <c r="O36" s="79">
        <f t="shared" si="4"/>
        <v>937913</v>
      </c>
      <c r="P36" s="79">
        <f t="shared" si="4"/>
        <v>240084</v>
      </c>
      <c r="Q36" s="79">
        <f t="shared" si="4"/>
        <v>302381</v>
      </c>
      <c r="R36" s="79">
        <f t="shared" si="4"/>
        <v>690194</v>
      </c>
      <c r="S36" s="79">
        <f t="shared" si="4"/>
        <v>5283057</v>
      </c>
      <c r="T36" s="79">
        <f t="shared" si="4"/>
        <v>24422564</v>
      </c>
    </row>
    <row r="37" spans="3:20">
      <c r="K37" s="73"/>
      <c r="L37" s="73"/>
      <c r="M37" s="73"/>
      <c r="N37" s="73"/>
      <c r="O37" s="73"/>
      <c r="P37" s="73"/>
      <c r="Q37" s="73"/>
      <c r="R37" s="73"/>
      <c r="S37" s="73"/>
      <c r="T37" s="73"/>
    </row>
    <row r="38" spans="3:20" s="7" customFormat="1">
      <c r="D38" s="8"/>
      <c r="E38" s="8" t="s">
        <v>50</v>
      </c>
      <c r="K38" s="81">
        <f>K36+K27+K21</f>
        <v>11885413</v>
      </c>
      <c r="L38" s="81">
        <f t="shared" ref="L38:T38" si="5">L36+L27+L21</f>
        <v>4208629</v>
      </c>
      <c r="M38" s="81">
        <f t="shared" si="5"/>
        <v>3861762</v>
      </c>
      <c r="N38" s="81">
        <f t="shared" si="5"/>
        <v>2253278</v>
      </c>
      <c r="O38" s="81">
        <f t="shared" si="5"/>
        <v>2045295</v>
      </c>
      <c r="P38" s="81">
        <f t="shared" si="5"/>
        <v>243400</v>
      </c>
      <c r="Q38" s="81">
        <f t="shared" si="5"/>
        <v>395929</v>
      </c>
      <c r="R38" s="81">
        <f t="shared" si="5"/>
        <v>2543796</v>
      </c>
      <c r="S38" s="81">
        <f t="shared" si="5"/>
        <v>6471230</v>
      </c>
      <c r="T38" s="81">
        <f t="shared" si="5"/>
        <v>33908732</v>
      </c>
    </row>
    <row r="42" spans="3:20">
      <c r="T42" s="97"/>
    </row>
    <row r="47" spans="3:20">
      <c r="T47" s="93"/>
    </row>
  </sheetData>
  <mergeCells count="2">
    <mergeCell ref="D1:K1"/>
    <mergeCell ref="D2:K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33"/>
  <sheetViews>
    <sheetView workbookViewId="0">
      <selection activeCell="Q30" sqref="Q30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85546875" customWidth="1"/>
    <col min="13" max="13" width="16.42578125" customWidth="1"/>
    <col min="14" max="14" width="16.7109375" customWidth="1"/>
    <col min="15" max="16" width="19" customWidth="1"/>
    <col min="17" max="17" width="19.42578125" customWidth="1"/>
    <col min="18" max="18" width="19.85546875" bestFit="1" customWidth="1"/>
  </cols>
  <sheetData>
    <row r="1" spans="1:18" ht="18.75">
      <c r="D1" s="125" t="s">
        <v>750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699</v>
      </c>
      <c r="E2" s="126"/>
      <c r="F2" s="126"/>
      <c r="G2" s="126"/>
      <c r="H2" s="126"/>
      <c r="I2" s="126"/>
      <c r="J2" s="126"/>
      <c r="K2" s="126"/>
    </row>
    <row r="4" spans="1:18" ht="30">
      <c r="K4" s="1" t="s">
        <v>52</v>
      </c>
      <c r="L4" s="1" t="s">
        <v>751</v>
      </c>
      <c r="M4" s="1" t="s">
        <v>112</v>
      </c>
      <c r="N4" s="1" t="s">
        <v>258</v>
      </c>
      <c r="O4" s="1" t="s">
        <v>752</v>
      </c>
      <c r="P4" s="1" t="s">
        <v>125</v>
      </c>
      <c r="Q4" s="1" t="s">
        <v>753</v>
      </c>
      <c r="R4" s="1" t="s">
        <v>427</v>
      </c>
    </row>
    <row r="5" spans="1:18">
      <c r="A5" t="s">
        <v>10</v>
      </c>
    </row>
    <row r="6" spans="1:18">
      <c r="B6" t="s">
        <v>163</v>
      </c>
      <c r="K6" s="72">
        <v>946735</v>
      </c>
      <c r="L6" s="73">
        <v>1488923</v>
      </c>
      <c r="M6" s="73">
        <v>1069939</v>
      </c>
      <c r="N6" s="73">
        <v>53</v>
      </c>
      <c r="O6" s="73">
        <v>287164</v>
      </c>
      <c r="P6" s="73">
        <v>38206</v>
      </c>
      <c r="Q6" s="73">
        <v>1601196</v>
      </c>
      <c r="R6" s="73">
        <f>SUM(K6:Q6)</f>
        <v>5432216</v>
      </c>
    </row>
    <row r="7" spans="1:18">
      <c r="B7" t="s">
        <v>59</v>
      </c>
      <c r="K7" s="74">
        <v>527882</v>
      </c>
      <c r="L7" s="73">
        <v>595640</v>
      </c>
      <c r="M7" s="73">
        <v>131507</v>
      </c>
      <c r="N7" s="73"/>
      <c r="O7" s="73">
        <v>9000</v>
      </c>
      <c r="P7" s="73"/>
      <c r="Q7" s="73">
        <v>200486</v>
      </c>
      <c r="R7" s="73">
        <f>SUM(K7:Q7)</f>
        <v>1464515</v>
      </c>
    </row>
    <row r="8" spans="1:18">
      <c r="B8" t="s">
        <v>18</v>
      </c>
      <c r="K8" s="75">
        <v>53991</v>
      </c>
      <c r="L8" s="73"/>
      <c r="M8" s="73"/>
      <c r="N8" s="73"/>
      <c r="O8" s="73"/>
      <c r="P8" s="73"/>
      <c r="Q8" s="73"/>
      <c r="R8" s="73">
        <f>SUM(K8:Q8)</f>
        <v>53991</v>
      </c>
    </row>
    <row r="9" spans="1:18">
      <c r="B9" t="s">
        <v>754</v>
      </c>
      <c r="K9" s="73"/>
      <c r="L9" s="73"/>
      <c r="M9" s="73">
        <v>696655</v>
      </c>
      <c r="N9" s="73"/>
      <c r="O9" s="73"/>
      <c r="P9" s="73"/>
      <c r="Q9" s="73"/>
      <c r="R9" s="73">
        <f>SUM(K9:Q9)</f>
        <v>696655</v>
      </c>
    </row>
    <row r="10" spans="1:18">
      <c r="K10" s="73"/>
      <c r="L10" s="73"/>
      <c r="M10" s="73"/>
      <c r="N10" s="73"/>
      <c r="O10" s="73"/>
      <c r="P10" s="73"/>
      <c r="Q10" s="73"/>
      <c r="R10" s="73"/>
    </row>
    <row r="11" spans="1:18" s="3" customFormat="1">
      <c r="A11" s="2"/>
      <c r="B11" s="2"/>
      <c r="C11" s="2"/>
      <c r="D11" s="2"/>
      <c r="E11" s="2" t="s">
        <v>20</v>
      </c>
      <c r="K11" s="76">
        <f t="shared" ref="K11:R11" si="0">SUM(K6:K9)</f>
        <v>1528608</v>
      </c>
      <c r="L11" s="76">
        <f t="shared" si="0"/>
        <v>2084563</v>
      </c>
      <c r="M11" s="76">
        <f t="shared" si="0"/>
        <v>1898101</v>
      </c>
      <c r="N11" s="76">
        <f t="shared" si="0"/>
        <v>53</v>
      </c>
      <c r="O11" s="76">
        <f t="shared" si="0"/>
        <v>296164</v>
      </c>
      <c r="P11" s="76">
        <f t="shared" si="0"/>
        <v>38206</v>
      </c>
      <c r="Q11" s="76">
        <f t="shared" si="0"/>
        <v>1801682</v>
      </c>
      <c r="R11" s="76">
        <f t="shared" si="0"/>
        <v>7647377</v>
      </c>
    </row>
    <row r="12" spans="1:18">
      <c r="K12" s="73"/>
      <c r="L12" s="73"/>
      <c r="M12" s="73"/>
      <c r="N12" s="73"/>
      <c r="O12" s="73"/>
      <c r="P12" s="73"/>
      <c r="Q12" s="73"/>
      <c r="R12" s="73"/>
    </row>
    <row r="13" spans="1:18">
      <c r="A13" s="4" t="s">
        <v>21</v>
      </c>
      <c r="K13" s="73"/>
      <c r="L13" s="73"/>
      <c r="M13" s="73"/>
      <c r="N13" s="73"/>
      <c r="O13" s="73"/>
      <c r="P13" s="73"/>
      <c r="Q13" s="73"/>
      <c r="R13" s="73"/>
    </row>
    <row r="14" spans="1:18">
      <c r="B14" t="s">
        <v>22</v>
      </c>
      <c r="K14" s="73"/>
      <c r="L14" s="73"/>
      <c r="M14" s="73"/>
      <c r="N14" s="73"/>
      <c r="O14" s="73"/>
      <c r="P14" s="73"/>
      <c r="Q14" s="73"/>
      <c r="R14" s="73"/>
    </row>
    <row r="15" spans="1:18">
      <c r="C15" t="s">
        <v>330</v>
      </c>
      <c r="K15" s="83">
        <v>16961</v>
      </c>
      <c r="L15" s="73"/>
      <c r="M15" s="73"/>
      <c r="N15" s="73"/>
      <c r="O15" s="73"/>
      <c r="P15" s="73"/>
      <c r="Q15" s="73">
        <v>8885</v>
      </c>
      <c r="R15" s="73">
        <f>SUM(K15:Q15)</f>
        <v>25846</v>
      </c>
    </row>
    <row r="16" spans="1:18">
      <c r="C16" t="s">
        <v>23</v>
      </c>
      <c r="K16" s="77">
        <v>49510</v>
      </c>
      <c r="L16" s="73">
        <v>51515</v>
      </c>
      <c r="M16" s="73">
        <v>30992</v>
      </c>
      <c r="N16" s="73"/>
      <c r="O16" s="73"/>
      <c r="P16" s="73">
        <v>2218</v>
      </c>
      <c r="Q16" s="73">
        <v>14487</v>
      </c>
      <c r="R16" s="73">
        <f>SUM(K16:Q16)</f>
        <v>148722</v>
      </c>
    </row>
    <row r="17" spans="1:18">
      <c r="C17" t="s">
        <v>24</v>
      </c>
      <c r="K17" s="73"/>
      <c r="L17" s="73"/>
      <c r="M17" s="73"/>
      <c r="N17" s="73"/>
      <c r="O17" s="73">
        <v>8690</v>
      </c>
      <c r="P17" s="73"/>
      <c r="Q17" s="73"/>
      <c r="R17" s="73">
        <f>SUM(K17:Q17)</f>
        <v>8690</v>
      </c>
    </row>
    <row r="18" spans="1:18">
      <c r="C18" t="s">
        <v>27</v>
      </c>
      <c r="K18" s="73"/>
      <c r="L18" s="73"/>
      <c r="M18" s="73"/>
      <c r="N18" s="73">
        <v>53991</v>
      </c>
      <c r="O18" s="73"/>
      <c r="P18" s="73"/>
      <c r="Q18" s="73"/>
      <c r="R18" s="73">
        <f>SUM(K18:Q18)</f>
        <v>53991</v>
      </c>
    </row>
    <row r="19" spans="1:18">
      <c r="K19" s="73"/>
      <c r="L19" s="73"/>
      <c r="M19" s="73"/>
      <c r="N19" s="73"/>
      <c r="O19" s="73"/>
      <c r="P19" s="73"/>
      <c r="Q19" s="73"/>
      <c r="R19" s="73"/>
    </row>
    <row r="20" spans="1:18" s="5" customFormat="1">
      <c r="B20" s="6"/>
      <c r="C20" s="6"/>
      <c r="D20" s="6"/>
      <c r="E20" s="6" t="s">
        <v>28</v>
      </c>
      <c r="K20" s="79">
        <f t="shared" ref="K20:R20" si="1">SUM(K15:K18)</f>
        <v>66471</v>
      </c>
      <c r="L20" s="79">
        <f t="shared" si="1"/>
        <v>51515</v>
      </c>
      <c r="M20" s="79">
        <f t="shared" si="1"/>
        <v>30992</v>
      </c>
      <c r="N20" s="79">
        <f t="shared" si="1"/>
        <v>53991</v>
      </c>
      <c r="O20" s="79">
        <f t="shared" si="1"/>
        <v>8690</v>
      </c>
      <c r="P20" s="79">
        <f t="shared" si="1"/>
        <v>2218</v>
      </c>
      <c r="Q20" s="79">
        <f t="shared" si="1"/>
        <v>23372</v>
      </c>
      <c r="R20" s="79">
        <f t="shared" si="1"/>
        <v>237249</v>
      </c>
    </row>
    <row r="21" spans="1:18">
      <c r="K21" s="73"/>
      <c r="L21" s="73"/>
      <c r="M21" s="73"/>
      <c r="N21" s="73"/>
      <c r="O21" s="73"/>
      <c r="P21" s="73"/>
      <c r="Q21" s="73"/>
      <c r="R21" s="73"/>
    </row>
    <row r="22" spans="1:18">
      <c r="A22" s="89" t="s">
        <v>731</v>
      </c>
      <c r="K22" s="73"/>
      <c r="L22" s="73"/>
      <c r="M22" s="73"/>
      <c r="N22" s="73"/>
      <c r="O22" s="73"/>
      <c r="P22" s="73"/>
      <c r="Q22" s="73"/>
      <c r="R22" s="73"/>
    </row>
    <row r="23" spans="1:18">
      <c r="B23" t="s">
        <v>755</v>
      </c>
      <c r="K23" s="88">
        <v>44504</v>
      </c>
      <c r="L23" s="88">
        <v>80156</v>
      </c>
      <c r="M23" s="88"/>
      <c r="N23" s="88"/>
      <c r="O23" s="88"/>
      <c r="P23" s="88">
        <v>35988</v>
      </c>
      <c r="Q23" s="88">
        <v>24104</v>
      </c>
      <c r="R23" s="88">
        <f>SUM(K23:Q23)</f>
        <v>184752</v>
      </c>
    </row>
    <row r="24" spans="1:18">
      <c r="C24" t="s">
        <v>381</v>
      </c>
      <c r="K24" s="88">
        <f>SUM(K23)</f>
        <v>44504</v>
      </c>
      <c r="L24" s="88">
        <f t="shared" ref="L24:Q24" si="2">SUM(L23)</f>
        <v>80156</v>
      </c>
      <c r="M24" s="88">
        <f t="shared" si="2"/>
        <v>0</v>
      </c>
      <c r="N24" s="88">
        <f t="shared" si="2"/>
        <v>0</v>
      </c>
      <c r="O24" s="88">
        <f t="shared" si="2"/>
        <v>0</v>
      </c>
      <c r="P24" s="88">
        <f t="shared" si="2"/>
        <v>35988</v>
      </c>
      <c r="Q24" s="88">
        <f t="shared" si="2"/>
        <v>24104</v>
      </c>
      <c r="R24" s="88">
        <f>SUM(R23)</f>
        <v>184752</v>
      </c>
    </row>
    <row r="25" spans="1:18">
      <c r="K25" s="73"/>
      <c r="L25" s="73"/>
      <c r="M25" s="73"/>
      <c r="N25" s="73"/>
      <c r="O25" s="73"/>
      <c r="P25" s="73"/>
      <c r="Q25" s="73"/>
      <c r="R25" s="73"/>
    </row>
    <row r="26" spans="1:18">
      <c r="B26" t="s">
        <v>100</v>
      </c>
      <c r="K26" s="73"/>
      <c r="L26" s="73"/>
      <c r="M26" s="73"/>
      <c r="N26" s="73"/>
      <c r="O26" s="73"/>
      <c r="P26" s="73"/>
      <c r="Q26" s="73"/>
      <c r="R26" s="73"/>
    </row>
    <row r="27" spans="1:18">
      <c r="C27" t="s">
        <v>48</v>
      </c>
      <c r="K27" s="86">
        <v>1363804</v>
      </c>
      <c r="L27" s="73"/>
      <c r="M27" s="73"/>
      <c r="N27" s="73"/>
      <c r="O27" s="73"/>
      <c r="P27" s="73"/>
      <c r="Q27" s="73"/>
      <c r="R27" s="73">
        <f>SUM(K27:Q27)</f>
        <v>1363804</v>
      </c>
    </row>
    <row r="28" spans="1:18">
      <c r="C28" t="s">
        <v>119</v>
      </c>
      <c r="K28" s="112">
        <v>53829</v>
      </c>
      <c r="L28" s="73"/>
      <c r="M28" s="73"/>
      <c r="N28" s="73"/>
      <c r="O28" s="73"/>
      <c r="P28" s="73"/>
      <c r="Q28" s="73"/>
      <c r="R28" s="73">
        <f>SUM(K28:Q28)</f>
        <v>53829</v>
      </c>
    </row>
    <row r="29" spans="1:18">
      <c r="C29" t="s">
        <v>118</v>
      </c>
      <c r="K29" s="73"/>
      <c r="L29" s="73">
        <v>1952892</v>
      </c>
      <c r="M29" s="73">
        <v>1867109</v>
      </c>
      <c r="N29" s="73">
        <v>-53938</v>
      </c>
      <c r="O29" s="73">
        <v>287474</v>
      </c>
      <c r="P29" s="73"/>
      <c r="Q29" s="73">
        <v>1754206</v>
      </c>
      <c r="R29" s="73">
        <f>SUM(K29:Q29)</f>
        <v>5807743</v>
      </c>
    </row>
    <row r="30" spans="1:18">
      <c r="K30" s="73"/>
      <c r="L30" s="73"/>
      <c r="M30" s="73"/>
      <c r="N30" s="73"/>
      <c r="O30" s="73"/>
      <c r="P30" s="73"/>
      <c r="Q30" s="73"/>
      <c r="R30" s="73"/>
    </row>
    <row r="31" spans="1:18" s="5" customFormat="1">
      <c r="D31" s="6"/>
      <c r="E31" s="6" t="s">
        <v>49</v>
      </c>
      <c r="K31" s="79">
        <f>SUM(K27:K29)</f>
        <v>1417633</v>
      </c>
      <c r="L31" s="79">
        <f t="shared" ref="L31:R31" si="3">SUM(L27:L29)</f>
        <v>1952892</v>
      </c>
      <c r="M31" s="79">
        <f t="shared" si="3"/>
        <v>1867109</v>
      </c>
      <c r="N31" s="79">
        <f t="shared" si="3"/>
        <v>-53938</v>
      </c>
      <c r="O31" s="79">
        <f t="shared" si="3"/>
        <v>287474</v>
      </c>
      <c r="P31" s="79">
        <f t="shared" si="3"/>
        <v>0</v>
      </c>
      <c r="Q31" s="79">
        <f t="shared" si="3"/>
        <v>1754206</v>
      </c>
      <c r="R31" s="79">
        <f t="shared" si="3"/>
        <v>7225376</v>
      </c>
    </row>
    <row r="32" spans="1:18">
      <c r="K32" s="73"/>
      <c r="L32" s="73"/>
      <c r="M32" s="73"/>
      <c r="N32" s="73"/>
      <c r="O32" s="73"/>
      <c r="P32" s="73"/>
      <c r="Q32" s="73"/>
      <c r="R32" s="73"/>
    </row>
    <row r="33" spans="4:18" s="7" customFormat="1">
      <c r="D33" s="8"/>
      <c r="E33" s="8" t="s">
        <v>50</v>
      </c>
      <c r="K33" s="81">
        <f t="shared" ref="K33:R33" si="4">SUM(K31,K20,K24)</f>
        <v>1528608</v>
      </c>
      <c r="L33" s="81">
        <f t="shared" si="4"/>
        <v>2084563</v>
      </c>
      <c r="M33" s="81">
        <f t="shared" si="4"/>
        <v>1898101</v>
      </c>
      <c r="N33" s="81">
        <f t="shared" si="4"/>
        <v>53</v>
      </c>
      <c r="O33" s="81">
        <f t="shared" si="4"/>
        <v>296164</v>
      </c>
      <c r="P33" s="81">
        <f t="shared" si="4"/>
        <v>38206</v>
      </c>
      <c r="Q33" s="81">
        <f t="shared" si="4"/>
        <v>1801682</v>
      </c>
      <c r="R33" s="81">
        <f t="shared" si="4"/>
        <v>7647377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R46"/>
  <sheetViews>
    <sheetView topLeftCell="A4" workbookViewId="0">
      <selection activeCell="M39" sqref="M39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2" width="16.42578125" customWidth="1"/>
    <col min="13" max="13" width="15.140625" customWidth="1"/>
    <col min="14" max="14" width="16" customWidth="1"/>
    <col min="15" max="15" width="16.140625" customWidth="1"/>
    <col min="16" max="16" width="16.28515625" customWidth="1"/>
    <col min="17" max="17" width="15.140625" customWidth="1"/>
    <col min="18" max="18" width="17.5703125" customWidth="1"/>
  </cols>
  <sheetData>
    <row r="1" spans="1:18" ht="18.75">
      <c r="D1" s="125" t="s">
        <v>756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1</v>
      </c>
      <c r="E2" s="126"/>
      <c r="F2" s="126"/>
      <c r="G2" s="126"/>
      <c r="H2" s="126"/>
      <c r="I2" s="126"/>
      <c r="J2" s="126"/>
      <c r="K2" s="126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 ht="49.5" customHeight="1">
      <c r="K4" s="1" t="s">
        <v>159</v>
      </c>
      <c r="L4" s="1" t="s">
        <v>757</v>
      </c>
      <c r="M4" s="1" t="s">
        <v>225</v>
      </c>
      <c r="N4" s="1" t="s">
        <v>758</v>
      </c>
      <c r="O4" s="1" t="s">
        <v>759</v>
      </c>
      <c r="P4" s="1" t="s">
        <v>760</v>
      </c>
      <c r="Q4" s="1" t="s">
        <v>551</v>
      </c>
      <c r="R4" s="1" t="s">
        <v>9</v>
      </c>
    </row>
    <row r="5" spans="1:18">
      <c r="A5" t="s">
        <v>10</v>
      </c>
    </row>
    <row r="6" spans="1:18">
      <c r="B6" t="s">
        <v>163</v>
      </c>
      <c r="K6" s="72">
        <v>486820</v>
      </c>
      <c r="L6" s="73">
        <v>18981</v>
      </c>
      <c r="M6" s="73">
        <v>174104</v>
      </c>
      <c r="N6" s="73"/>
      <c r="O6" s="73"/>
      <c r="P6" s="73">
        <v>850</v>
      </c>
      <c r="Q6" s="73">
        <v>393746</v>
      </c>
      <c r="R6" s="73">
        <f>SUM(K6:Q6)</f>
        <v>1074501</v>
      </c>
    </row>
    <row r="7" spans="1:18">
      <c r="B7" t="s">
        <v>12</v>
      </c>
      <c r="K7" s="77">
        <v>5004740</v>
      </c>
      <c r="L7" s="73">
        <v>883138</v>
      </c>
      <c r="M7" s="73">
        <v>333716</v>
      </c>
      <c r="N7" s="73">
        <v>1275464</v>
      </c>
      <c r="O7" s="73">
        <v>279019</v>
      </c>
      <c r="P7" s="73"/>
      <c r="Q7" s="73">
        <v>1832220</v>
      </c>
      <c r="R7" s="73">
        <f>SUM(K7:Q7)</f>
        <v>9608297</v>
      </c>
    </row>
    <row r="8" spans="1:18">
      <c r="B8" t="s">
        <v>189</v>
      </c>
      <c r="K8" s="85">
        <v>20724</v>
      </c>
      <c r="L8" s="73">
        <v>7531</v>
      </c>
      <c r="M8" s="73">
        <v>17882</v>
      </c>
      <c r="N8" s="73">
        <v>33465</v>
      </c>
      <c r="O8" s="73"/>
      <c r="P8" s="73"/>
      <c r="Q8" s="73">
        <v>25</v>
      </c>
      <c r="R8" s="73">
        <f>SUM(K8:Q8)</f>
        <v>79627</v>
      </c>
    </row>
    <row r="9" spans="1:18">
      <c r="B9" t="s">
        <v>180</v>
      </c>
      <c r="K9" s="73"/>
      <c r="L9" s="73"/>
      <c r="M9" s="73"/>
      <c r="N9" s="73"/>
      <c r="O9" s="73"/>
      <c r="P9" s="73"/>
      <c r="Q9" s="73"/>
      <c r="R9" s="73"/>
    </row>
    <row r="10" spans="1:18">
      <c r="C10" t="s">
        <v>313</v>
      </c>
      <c r="K10" s="74">
        <v>8459</v>
      </c>
      <c r="L10" s="73"/>
      <c r="M10" s="73">
        <v>1115</v>
      </c>
      <c r="N10" s="73"/>
      <c r="O10" s="73"/>
      <c r="P10" s="73"/>
      <c r="Q10" s="73">
        <v>10262</v>
      </c>
      <c r="R10" s="73">
        <f>SUM(K10:Q10)</f>
        <v>19836</v>
      </c>
    </row>
    <row r="11" spans="1:18">
      <c r="C11" t="s">
        <v>314</v>
      </c>
      <c r="K11" s="74">
        <v>951383</v>
      </c>
      <c r="L11" s="73">
        <v>749950</v>
      </c>
      <c r="M11" s="73">
        <v>436805</v>
      </c>
      <c r="N11" s="73">
        <v>1128312</v>
      </c>
      <c r="O11" s="73">
        <v>253495</v>
      </c>
      <c r="P11" s="73"/>
      <c r="Q11" s="73">
        <v>1069738</v>
      </c>
      <c r="R11" s="73">
        <f>SUM(K11:Q11)</f>
        <v>4589683</v>
      </c>
    </row>
    <row r="12" spans="1:18">
      <c r="B12" t="s">
        <v>18</v>
      </c>
      <c r="K12" s="75">
        <v>1113643</v>
      </c>
      <c r="L12" s="73"/>
      <c r="M12" s="73"/>
      <c r="N12" s="73">
        <v>39638</v>
      </c>
      <c r="O12" s="73"/>
      <c r="P12" s="73"/>
      <c r="Q12" s="73">
        <v>8103</v>
      </c>
      <c r="R12" s="73">
        <f>SUM(K12:Q12)</f>
        <v>1161384</v>
      </c>
    </row>
    <row r="13" spans="1:18">
      <c r="B13" t="s">
        <v>60</v>
      </c>
      <c r="K13" s="75">
        <v>28290</v>
      </c>
      <c r="L13" s="73"/>
      <c r="M13" s="73"/>
      <c r="N13" s="73">
        <v>41117</v>
      </c>
      <c r="O13" s="73"/>
      <c r="P13" s="73"/>
      <c r="Q13" s="73"/>
      <c r="R13" s="73">
        <f>SUM(K13:Q13)</f>
        <v>69407</v>
      </c>
    </row>
    <row r="14" spans="1:18">
      <c r="B14" t="s">
        <v>329</v>
      </c>
      <c r="K14" s="73"/>
      <c r="L14" s="73"/>
      <c r="M14" s="73"/>
      <c r="N14" s="73"/>
      <c r="O14" s="73"/>
      <c r="P14" s="73"/>
      <c r="Q14" s="73"/>
      <c r="R14" s="73"/>
    </row>
    <row r="15" spans="1:18">
      <c r="C15" t="s">
        <v>163</v>
      </c>
      <c r="K15" s="73"/>
      <c r="L15" s="73"/>
      <c r="M15" s="73"/>
      <c r="N15" s="73"/>
      <c r="O15" s="73"/>
      <c r="P15" s="73">
        <v>472</v>
      </c>
      <c r="Q15" s="73">
        <v>37600</v>
      </c>
      <c r="R15" s="73">
        <f t="shared" ref="R15" si="0">SUM(K15:Q15)</f>
        <v>38072</v>
      </c>
    </row>
    <row r="16" spans="1:18">
      <c r="C16" t="s">
        <v>12</v>
      </c>
      <c r="K16" s="73"/>
      <c r="L16" s="73"/>
      <c r="M16" s="73"/>
      <c r="N16" s="73"/>
      <c r="O16" s="73"/>
      <c r="P16" s="73">
        <v>2569524</v>
      </c>
      <c r="Q16" s="73">
        <v>156375</v>
      </c>
      <c r="R16" s="73">
        <f>SUM(K16:Q16)</f>
        <v>2725899</v>
      </c>
    </row>
    <row r="17" spans="1:18">
      <c r="K17" s="73"/>
      <c r="L17" s="73"/>
      <c r="M17" s="73"/>
      <c r="N17" s="73"/>
      <c r="O17" s="73"/>
      <c r="P17" s="73"/>
      <c r="Q17" s="73"/>
      <c r="R17" s="73"/>
    </row>
    <row r="18" spans="1:18" s="3" customFormat="1">
      <c r="A18" s="2"/>
      <c r="B18" s="2"/>
      <c r="C18" s="2"/>
      <c r="D18" s="2"/>
      <c r="E18" s="2" t="s">
        <v>129</v>
      </c>
      <c r="K18" s="76">
        <f t="shared" ref="K18:R18" si="1">SUM(K6:K16)</f>
        <v>7614059</v>
      </c>
      <c r="L18" s="76">
        <f t="shared" si="1"/>
        <v>1659600</v>
      </c>
      <c r="M18" s="76">
        <f t="shared" si="1"/>
        <v>963622</v>
      </c>
      <c r="N18" s="76">
        <f t="shared" si="1"/>
        <v>2517996</v>
      </c>
      <c r="O18" s="76">
        <f t="shared" si="1"/>
        <v>532514</v>
      </c>
      <c r="P18" s="76">
        <f t="shared" si="1"/>
        <v>2570846</v>
      </c>
      <c r="Q18" s="76">
        <f t="shared" si="1"/>
        <v>3508069</v>
      </c>
      <c r="R18" s="76">
        <f t="shared" si="1"/>
        <v>19366706</v>
      </c>
    </row>
    <row r="19" spans="1:18">
      <c r="K19" s="73"/>
      <c r="L19" s="73"/>
      <c r="M19" s="73"/>
      <c r="N19" s="73"/>
      <c r="O19" s="73"/>
      <c r="P19" s="73"/>
      <c r="Q19" s="73"/>
      <c r="R19" s="73"/>
    </row>
    <row r="20" spans="1:18">
      <c r="A20" s="4" t="s">
        <v>21</v>
      </c>
      <c r="K20" s="73"/>
      <c r="L20" s="73"/>
      <c r="M20" s="73"/>
      <c r="N20" s="73"/>
      <c r="O20" s="73"/>
      <c r="P20" s="73"/>
      <c r="Q20" s="73"/>
      <c r="R20" s="73"/>
    </row>
    <row r="21" spans="1:18">
      <c r="B21" t="s">
        <v>22</v>
      </c>
      <c r="K21" s="73"/>
      <c r="L21" s="73"/>
      <c r="M21" s="73"/>
      <c r="N21" s="73"/>
      <c r="O21" s="73"/>
      <c r="P21" s="73"/>
      <c r="Q21" s="73"/>
      <c r="R21" s="73"/>
    </row>
    <row r="22" spans="1:18">
      <c r="C22" t="s">
        <v>23</v>
      </c>
      <c r="K22" s="77">
        <v>56597</v>
      </c>
      <c r="L22" s="73">
        <v>43168</v>
      </c>
      <c r="M22" s="73">
        <v>23886</v>
      </c>
      <c r="N22">
        <v>15416</v>
      </c>
      <c r="O22" s="73">
        <v>314</v>
      </c>
      <c r="P22" s="73">
        <v>219830</v>
      </c>
      <c r="Q22" s="73">
        <v>33235</v>
      </c>
      <c r="R22" s="73">
        <f>SUM(K22:Q22)</f>
        <v>392446</v>
      </c>
    </row>
    <row r="23" spans="1:18">
      <c r="C23" t="s">
        <v>761</v>
      </c>
      <c r="K23" s="77">
        <v>77376</v>
      </c>
      <c r="L23" s="73">
        <v>627</v>
      </c>
      <c r="M23" s="73">
        <v>6836</v>
      </c>
      <c r="N23">
        <v>12816</v>
      </c>
      <c r="O23" s="73">
        <v>4833</v>
      </c>
      <c r="P23" s="73"/>
      <c r="Q23" s="73"/>
      <c r="R23" s="73">
        <f>SUM(K23:Q23)</f>
        <v>102488</v>
      </c>
    </row>
    <row r="24" spans="1:18">
      <c r="C24" t="s">
        <v>330</v>
      </c>
      <c r="K24" s="73"/>
      <c r="L24" s="73"/>
      <c r="M24" s="73"/>
      <c r="N24">
        <v>802910</v>
      </c>
      <c r="O24" s="73">
        <v>16702</v>
      </c>
      <c r="P24" s="73"/>
      <c r="Q24" s="73">
        <v>53181</v>
      </c>
      <c r="R24" s="73">
        <f>SUM(K24:Q24)</f>
        <v>872793</v>
      </c>
    </row>
    <row r="25" spans="1:18">
      <c r="C25" t="s">
        <v>27</v>
      </c>
      <c r="K25" s="78">
        <v>84137</v>
      </c>
      <c r="L25" s="73">
        <v>37766</v>
      </c>
      <c r="M25" s="73">
        <v>521567</v>
      </c>
      <c r="N25">
        <v>94004</v>
      </c>
      <c r="O25" s="73">
        <v>451409</v>
      </c>
      <c r="P25" s="73"/>
      <c r="Q25" s="73">
        <v>39250</v>
      </c>
      <c r="R25" s="73">
        <f>SUM(K25:Q25)</f>
        <v>1228133</v>
      </c>
    </row>
    <row r="26" spans="1:18">
      <c r="K26" s="73"/>
      <c r="L26" s="73"/>
      <c r="M26" s="73"/>
      <c r="N26" s="73"/>
      <c r="O26" s="73"/>
      <c r="P26" s="73"/>
      <c r="Q26" s="73"/>
      <c r="R26" s="73"/>
    </row>
    <row r="27" spans="1:18" s="5" customFormat="1">
      <c r="B27" s="6"/>
      <c r="C27" s="6"/>
      <c r="D27" s="6"/>
      <c r="E27" s="6" t="s">
        <v>28</v>
      </c>
      <c r="K27" s="79">
        <f>SUM(K22:K25)</f>
        <v>218110</v>
      </c>
      <c r="L27" s="79">
        <f>SUM(L22:L25)</f>
        <v>81561</v>
      </c>
      <c r="M27" s="79">
        <f>SUM(M22:M25)</f>
        <v>552289</v>
      </c>
      <c r="N27" s="79">
        <f>SUM(N22:N26)</f>
        <v>925146</v>
      </c>
      <c r="O27" s="79">
        <f>SUM(O22:O25)</f>
        <v>473258</v>
      </c>
      <c r="P27" s="79">
        <f>SUM(P22:P25)</f>
        <v>219830</v>
      </c>
      <c r="Q27" s="79">
        <f>SUM(Q22:Q25)</f>
        <v>125666</v>
      </c>
      <c r="R27" s="79">
        <f>SUM(R22:R25)</f>
        <v>2595860</v>
      </c>
    </row>
    <row r="28" spans="1:18">
      <c r="K28" s="73"/>
      <c r="L28" s="73"/>
      <c r="M28" s="73"/>
      <c r="N28" s="73"/>
      <c r="O28" s="73"/>
      <c r="P28" s="73"/>
      <c r="Q28" s="73"/>
      <c r="R28" s="73"/>
    </row>
    <row r="29" spans="1:18">
      <c r="B29" t="s">
        <v>100</v>
      </c>
      <c r="K29" s="73"/>
      <c r="L29" s="73"/>
      <c r="M29" s="73"/>
      <c r="N29" s="73"/>
      <c r="O29" s="73"/>
      <c r="P29" s="73"/>
      <c r="Q29" s="73"/>
      <c r="R29" s="73"/>
    </row>
    <row r="30" spans="1:18">
      <c r="C30" t="s">
        <v>101</v>
      </c>
      <c r="K30" s="80">
        <v>20724</v>
      </c>
      <c r="L30" s="73">
        <v>7531</v>
      </c>
      <c r="M30" s="73">
        <v>17882</v>
      </c>
      <c r="N30" s="73">
        <v>33465</v>
      </c>
      <c r="O30" s="73"/>
      <c r="P30" s="73"/>
      <c r="Q30" s="73">
        <v>25</v>
      </c>
      <c r="R30" s="73">
        <f>SUM(K30:Q30)</f>
        <v>79627</v>
      </c>
    </row>
    <row r="31" spans="1:18">
      <c r="C31" t="s">
        <v>118</v>
      </c>
      <c r="K31" s="111"/>
      <c r="L31" s="73">
        <v>1570508</v>
      </c>
      <c r="M31" s="73">
        <v>393451</v>
      </c>
      <c r="N31" s="73">
        <v>1559385</v>
      </c>
      <c r="O31" s="73">
        <v>59256</v>
      </c>
      <c r="P31" s="73">
        <v>2351016</v>
      </c>
      <c r="Q31" s="73">
        <v>2142813</v>
      </c>
      <c r="R31" s="73">
        <f>SUM(K31:Q31)</f>
        <v>8076429</v>
      </c>
    </row>
    <row r="32" spans="1:18">
      <c r="C32" t="s">
        <v>304</v>
      </c>
      <c r="K32" s="80">
        <v>2569266</v>
      </c>
      <c r="L32" s="73"/>
      <c r="M32" s="73"/>
      <c r="N32" s="73"/>
      <c r="O32" s="73"/>
      <c r="P32" s="73"/>
      <c r="Q32" s="73">
        <v>1794</v>
      </c>
      <c r="R32" s="73">
        <f>SUM(K32:Q32)</f>
        <v>2571060</v>
      </c>
    </row>
    <row r="33" spans="3:18">
      <c r="C33" t="s">
        <v>48</v>
      </c>
      <c r="K33" s="86">
        <v>4805959</v>
      </c>
      <c r="L33" s="73"/>
      <c r="M33" s="73"/>
      <c r="N33" s="73"/>
      <c r="O33" s="73"/>
      <c r="P33" s="73"/>
      <c r="Q33" s="73">
        <v>1237771</v>
      </c>
      <c r="R33" s="73">
        <f>SUM(K33:Q33)</f>
        <v>6043730</v>
      </c>
    </row>
    <row r="34" spans="3:18">
      <c r="K34" s="73"/>
      <c r="L34" s="73"/>
      <c r="M34" s="73"/>
      <c r="N34" s="73"/>
      <c r="O34" s="73"/>
      <c r="P34" s="73"/>
      <c r="Q34" s="73"/>
      <c r="R34" s="73"/>
    </row>
    <row r="35" spans="3:18" s="5" customFormat="1">
      <c r="D35" s="6"/>
      <c r="E35" s="6" t="s">
        <v>49</v>
      </c>
      <c r="K35" s="79">
        <f>SUM(K30:K33)</f>
        <v>7395949</v>
      </c>
      <c r="L35" s="79">
        <f t="shared" ref="L35:R35" si="2">SUM(L30:L33)</f>
        <v>1578039</v>
      </c>
      <c r="M35" s="79">
        <f t="shared" si="2"/>
        <v>411333</v>
      </c>
      <c r="N35" s="79">
        <f t="shared" si="2"/>
        <v>1592850</v>
      </c>
      <c r="O35" s="79">
        <f t="shared" si="2"/>
        <v>59256</v>
      </c>
      <c r="P35" s="79">
        <f t="shared" si="2"/>
        <v>2351016</v>
      </c>
      <c r="Q35" s="79">
        <f t="shared" si="2"/>
        <v>3382403</v>
      </c>
      <c r="R35" s="79">
        <f t="shared" si="2"/>
        <v>16770846</v>
      </c>
    </row>
    <row r="36" spans="3:18">
      <c r="K36" s="73"/>
      <c r="L36" s="73"/>
      <c r="M36" s="73"/>
      <c r="N36" s="73"/>
      <c r="O36" s="73"/>
      <c r="P36" s="73"/>
      <c r="Q36" s="73"/>
      <c r="R36" s="73"/>
    </row>
    <row r="37" spans="3:18" s="7" customFormat="1">
      <c r="D37" s="8"/>
      <c r="E37" s="8" t="s">
        <v>50</v>
      </c>
      <c r="K37" s="81">
        <f>K35+K27</f>
        <v>7614059</v>
      </c>
      <c r="L37" s="81">
        <f t="shared" ref="L37:R37" si="3">L35+L27</f>
        <v>1659600</v>
      </c>
      <c r="M37" s="81">
        <f t="shared" si="3"/>
        <v>963622</v>
      </c>
      <c r="N37" s="81">
        <f t="shared" si="3"/>
        <v>2517996</v>
      </c>
      <c r="O37" s="81">
        <f t="shared" si="3"/>
        <v>532514</v>
      </c>
      <c r="P37" s="81">
        <f t="shared" si="3"/>
        <v>2570846</v>
      </c>
      <c r="Q37" s="81">
        <f t="shared" si="3"/>
        <v>3508069</v>
      </c>
      <c r="R37" s="81">
        <f t="shared" si="3"/>
        <v>19366706</v>
      </c>
    </row>
    <row r="41" spans="3:18">
      <c r="R41" s="97"/>
    </row>
    <row r="46" spans="3:18">
      <c r="R46" s="93"/>
    </row>
  </sheetData>
  <mergeCells count="2">
    <mergeCell ref="D1:K1"/>
    <mergeCell ref="D2:K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35"/>
  <sheetViews>
    <sheetView workbookViewId="0">
      <selection activeCell="Q32" sqref="Q32"/>
    </sheetView>
  </sheetViews>
  <sheetFormatPr defaultRowHeight="15"/>
  <cols>
    <col min="1" max="1" width="3.5703125" customWidth="1"/>
    <col min="2" max="2" width="3.28515625" customWidth="1"/>
    <col min="3" max="4" width="3.5703125" customWidth="1"/>
    <col min="5" max="5" width="3.7109375" customWidth="1"/>
    <col min="6" max="7" width="3.85546875" customWidth="1"/>
    <col min="8" max="9" width="9.140625" customWidth="1"/>
    <col min="10" max="10" width="15.5703125" customWidth="1"/>
    <col min="11" max="11" width="16.28515625" customWidth="1"/>
    <col min="12" max="13" width="16.42578125" customWidth="1"/>
    <col min="14" max="14" width="16.140625" customWidth="1"/>
    <col min="15" max="15" width="17.7109375" customWidth="1"/>
    <col min="16" max="17" width="16.42578125" customWidth="1"/>
    <col min="18" max="18" width="17" customWidth="1"/>
    <col min="19" max="19" width="18.28515625" customWidth="1"/>
  </cols>
  <sheetData>
    <row r="1" spans="1:18" ht="18.75">
      <c r="D1" s="125" t="s">
        <v>762</v>
      </c>
      <c r="E1" s="125"/>
      <c r="F1" s="125"/>
      <c r="G1" s="125"/>
      <c r="H1" s="125"/>
      <c r="I1" s="125"/>
      <c r="J1" s="125"/>
      <c r="K1" s="125"/>
    </row>
    <row r="2" spans="1:18">
      <c r="D2" s="126" t="s">
        <v>265</v>
      </c>
      <c r="E2" s="126"/>
      <c r="F2" s="126"/>
      <c r="G2" s="126"/>
      <c r="H2" s="126"/>
      <c r="I2" s="126"/>
      <c r="J2" s="126"/>
      <c r="K2" s="126"/>
    </row>
    <row r="3" spans="1:18" ht="29.25" customHeight="1">
      <c r="D3" s="57"/>
      <c r="E3" s="57"/>
      <c r="F3" s="57"/>
      <c r="G3" s="57"/>
      <c r="H3" s="57"/>
      <c r="I3" s="57"/>
      <c r="J3" s="57"/>
      <c r="K3" s="126"/>
      <c r="L3" s="126"/>
      <c r="M3" s="126"/>
      <c r="N3" s="126"/>
      <c r="O3" s="57"/>
    </row>
    <row r="4" spans="1:18" ht="15" customHeight="1">
      <c r="K4" s="100"/>
      <c r="L4" s="100"/>
      <c r="M4" s="100"/>
      <c r="N4" s="100"/>
      <c r="O4" s="100"/>
    </row>
    <row r="5" spans="1:18" ht="45">
      <c r="K5" s="1" t="s">
        <v>52</v>
      </c>
      <c r="L5" s="1" t="s">
        <v>276</v>
      </c>
      <c r="M5" s="1" t="s">
        <v>447</v>
      </c>
      <c r="N5" s="1" t="s">
        <v>441</v>
      </c>
      <c r="O5" s="1" t="s">
        <v>4</v>
      </c>
      <c r="P5" s="1" t="s">
        <v>8</v>
      </c>
      <c r="Q5" s="1" t="s">
        <v>527</v>
      </c>
      <c r="R5" s="1" t="s">
        <v>528</v>
      </c>
    </row>
    <row r="6" spans="1:18">
      <c r="A6" t="s">
        <v>10</v>
      </c>
    </row>
    <row r="7" spans="1:18">
      <c r="B7" t="s">
        <v>163</v>
      </c>
      <c r="K7" s="72">
        <v>366455</v>
      </c>
      <c r="L7" s="73"/>
      <c r="M7" s="73">
        <v>485366</v>
      </c>
      <c r="N7" s="73">
        <v>842717</v>
      </c>
      <c r="O7" s="73">
        <v>702077</v>
      </c>
      <c r="P7" s="73">
        <v>1722187</v>
      </c>
      <c r="Q7" s="73">
        <f>SUM(K7:P7)</f>
        <v>4118802</v>
      </c>
      <c r="R7" s="73">
        <v>5537124</v>
      </c>
    </row>
    <row r="8" spans="1:18">
      <c r="B8" t="s">
        <v>59</v>
      </c>
      <c r="K8" s="74">
        <v>426148</v>
      </c>
      <c r="L8" s="73">
        <v>471204</v>
      </c>
      <c r="M8" s="73">
        <v>196906</v>
      </c>
      <c r="N8" s="73">
        <v>489479</v>
      </c>
      <c r="O8" s="73">
        <v>358895</v>
      </c>
      <c r="P8" s="73">
        <v>291543</v>
      </c>
      <c r="Q8" s="73">
        <f>SUM(K8:P8)</f>
        <v>2234175</v>
      </c>
      <c r="R8" s="73">
        <v>2483756</v>
      </c>
    </row>
    <row r="9" spans="1:18">
      <c r="B9" t="s">
        <v>235</v>
      </c>
      <c r="K9" s="74">
        <v>9701</v>
      </c>
      <c r="L9" s="73"/>
      <c r="M9" s="73"/>
      <c r="N9" s="73"/>
      <c r="O9" s="73">
        <v>452893</v>
      </c>
      <c r="P9" s="73"/>
      <c r="Q9" s="73">
        <f>SUM(K9:P9)</f>
        <v>462594</v>
      </c>
      <c r="R9" s="73">
        <v>557222</v>
      </c>
    </row>
    <row r="10" spans="1:18">
      <c r="K10" s="73"/>
      <c r="L10" s="73"/>
      <c r="M10" s="73"/>
      <c r="N10" s="73"/>
      <c r="O10" s="73"/>
      <c r="P10" s="73"/>
      <c r="Q10" s="73"/>
      <c r="R10" s="73"/>
    </row>
    <row r="11" spans="1:18" s="3" customFormat="1">
      <c r="A11" s="2"/>
      <c r="B11" s="2"/>
      <c r="C11" s="2"/>
      <c r="D11" s="2"/>
      <c r="E11" s="2" t="s">
        <v>129</v>
      </c>
      <c r="K11" s="76">
        <f t="shared" ref="K11:R11" si="0">SUM(K7:K9)</f>
        <v>802304</v>
      </c>
      <c r="L11" s="76">
        <f t="shared" si="0"/>
        <v>471204</v>
      </c>
      <c r="M11" s="76">
        <f t="shared" si="0"/>
        <v>682272</v>
      </c>
      <c r="N11" s="76">
        <f t="shared" si="0"/>
        <v>1332196</v>
      </c>
      <c r="O11" s="76">
        <f t="shared" si="0"/>
        <v>1513865</v>
      </c>
      <c r="P11" s="76">
        <f t="shared" si="0"/>
        <v>2013730</v>
      </c>
      <c r="Q11" s="76">
        <f t="shared" si="0"/>
        <v>6815571</v>
      </c>
      <c r="R11" s="76">
        <f t="shared" si="0"/>
        <v>8578102</v>
      </c>
    </row>
    <row r="12" spans="1:18">
      <c r="K12" s="73"/>
      <c r="L12" s="73"/>
      <c r="M12" s="73"/>
      <c r="N12" s="73"/>
      <c r="O12" s="73"/>
      <c r="P12" s="73"/>
      <c r="Q12" s="73"/>
      <c r="R12" s="73"/>
    </row>
    <row r="13" spans="1:18">
      <c r="A13" s="4" t="s">
        <v>21</v>
      </c>
      <c r="K13" s="73"/>
      <c r="L13" s="73"/>
      <c r="M13" s="73"/>
      <c r="N13" s="73"/>
      <c r="O13" s="73"/>
      <c r="P13" s="73"/>
      <c r="Q13" s="73"/>
      <c r="R13" s="73"/>
    </row>
    <row r="14" spans="1:18">
      <c r="B14" t="s">
        <v>22</v>
      </c>
      <c r="K14" s="73"/>
      <c r="L14" s="73"/>
      <c r="M14" s="73"/>
      <c r="N14" s="73"/>
      <c r="O14" s="73"/>
      <c r="P14" s="73"/>
      <c r="Q14" s="73"/>
      <c r="R14" s="73"/>
    </row>
    <row r="15" spans="1:18">
      <c r="C15" t="s">
        <v>23</v>
      </c>
      <c r="K15" s="77">
        <v>9517</v>
      </c>
      <c r="L15" s="73">
        <v>10052</v>
      </c>
      <c r="M15" s="73">
        <v>7813</v>
      </c>
      <c r="N15" s="73">
        <v>31034</v>
      </c>
      <c r="O15" s="73">
        <v>10767</v>
      </c>
      <c r="P15" s="73">
        <v>13528</v>
      </c>
      <c r="Q15" s="73">
        <f>SUM(K15:P15)</f>
        <v>82711</v>
      </c>
      <c r="R15" s="73">
        <v>511135</v>
      </c>
    </row>
    <row r="16" spans="1:18">
      <c r="C16" t="s">
        <v>237</v>
      </c>
      <c r="K16" s="73"/>
      <c r="L16" s="73">
        <v>452893</v>
      </c>
      <c r="M16" s="73"/>
      <c r="N16" s="73"/>
      <c r="O16" s="73"/>
      <c r="P16" s="73">
        <v>9701</v>
      </c>
      <c r="Q16" s="73">
        <f>SUM(K16:P16)</f>
        <v>462594</v>
      </c>
      <c r="R16" s="73">
        <v>557222</v>
      </c>
    </row>
    <row r="17" spans="2:18">
      <c r="K17" s="73"/>
      <c r="L17" s="73"/>
      <c r="M17" s="73"/>
      <c r="N17" s="73"/>
      <c r="O17" s="73"/>
      <c r="P17" s="73"/>
      <c r="Q17" s="73"/>
      <c r="R17" s="73"/>
    </row>
    <row r="18" spans="2:18" s="5" customFormat="1">
      <c r="B18" s="6"/>
      <c r="C18" s="6"/>
      <c r="D18" s="6"/>
      <c r="E18" s="6" t="s">
        <v>28</v>
      </c>
      <c r="K18" s="79">
        <f t="shared" ref="K18:R18" si="1">SUM(K15:K16)</f>
        <v>9517</v>
      </c>
      <c r="L18" s="79">
        <f t="shared" si="1"/>
        <v>462945</v>
      </c>
      <c r="M18" s="79">
        <f t="shared" si="1"/>
        <v>7813</v>
      </c>
      <c r="N18" s="79">
        <f t="shared" si="1"/>
        <v>31034</v>
      </c>
      <c r="O18" s="79">
        <f t="shared" si="1"/>
        <v>10767</v>
      </c>
      <c r="P18" s="79">
        <f t="shared" si="1"/>
        <v>23229</v>
      </c>
      <c r="Q18" s="79">
        <f t="shared" si="1"/>
        <v>545305</v>
      </c>
      <c r="R18" s="79">
        <f t="shared" si="1"/>
        <v>1068357</v>
      </c>
    </row>
    <row r="19" spans="2:18">
      <c r="K19" s="73"/>
      <c r="L19" s="73"/>
      <c r="M19" s="73"/>
      <c r="N19" s="73"/>
      <c r="O19" s="73"/>
      <c r="P19" s="73"/>
      <c r="Q19" s="73"/>
      <c r="R19" s="73"/>
    </row>
    <row r="20" spans="2:18">
      <c r="B20" t="s">
        <v>763</v>
      </c>
      <c r="K20" s="88"/>
      <c r="L20" s="88"/>
      <c r="M20" s="88"/>
      <c r="N20" s="88"/>
      <c r="O20" s="88"/>
      <c r="P20" s="88">
        <v>32101</v>
      </c>
      <c r="Q20" s="88">
        <f>SUM(K20:P20)</f>
        <v>32101</v>
      </c>
      <c r="R20" s="88">
        <v>16731</v>
      </c>
    </row>
    <row r="21" spans="2:18">
      <c r="K21" s="73"/>
      <c r="L21" s="73"/>
      <c r="M21" s="73"/>
      <c r="N21" s="73"/>
      <c r="O21" s="73"/>
      <c r="P21" s="73"/>
      <c r="Q21" s="73"/>
      <c r="R21" s="73"/>
    </row>
    <row r="22" spans="2:18">
      <c r="B22" t="s">
        <v>31</v>
      </c>
      <c r="K22" s="73"/>
      <c r="L22" s="73"/>
      <c r="M22" s="73"/>
      <c r="N22" s="73"/>
      <c r="O22" s="73"/>
      <c r="P22" s="73"/>
      <c r="Q22" s="73"/>
      <c r="R22" s="73"/>
    </row>
    <row r="23" spans="2:18">
      <c r="C23" t="s">
        <v>32</v>
      </c>
      <c r="K23" s="73"/>
      <c r="L23" s="73"/>
      <c r="M23" s="73"/>
      <c r="N23" s="73"/>
      <c r="O23" s="73"/>
      <c r="P23" s="73"/>
      <c r="Q23" s="73"/>
      <c r="R23" s="73"/>
    </row>
    <row r="24" spans="2:18">
      <c r="D24" t="s">
        <v>67</v>
      </c>
      <c r="K24" s="73"/>
      <c r="L24" s="73"/>
      <c r="M24" s="73"/>
      <c r="N24" s="73"/>
      <c r="O24" s="73"/>
      <c r="P24" s="73">
        <v>5480</v>
      </c>
      <c r="Q24" s="73">
        <f>SUM(K24:P24)</f>
        <v>5480</v>
      </c>
      <c r="R24" s="73">
        <v>140</v>
      </c>
    </row>
    <row r="25" spans="2:18">
      <c r="D25" t="s">
        <v>147</v>
      </c>
      <c r="K25" s="73"/>
      <c r="L25" s="73"/>
      <c r="M25" s="73">
        <v>674458</v>
      </c>
      <c r="N25" s="73"/>
      <c r="O25" s="73"/>
      <c r="P25" s="73"/>
      <c r="Q25" s="73">
        <f>SUM(K25:P25)</f>
        <v>674458</v>
      </c>
      <c r="R25" s="73">
        <v>769552</v>
      </c>
    </row>
    <row r="26" spans="2:18">
      <c r="D26" t="s">
        <v>109</v>
      </c>
      <c r="K26" s="73"/>
      <c r="L26" s="73"/>
      <c r="M26" s="73"/>
      <c r="N26" s="73">
        <v>1301162</v>
      </c>
      <c r="O26" s="73"/>
      <c r="P26" s="73"/>
      <c r="Q26" s="73">
        <f>SUM(K26:P26)</f>
        <v>1301162</v>
      </c>
      <c r="R26" s="73">
        <v>1785157</v>
      </c>
    </row>
    <row r="27" spans="2:18">
      <c r="D27" t="s">
        <v>764</v>
      </c>
      <c r="K27" s="73"/>
      <c r="L27" s="73">
        <v>8259</v>
      </c>
      <c r="M27" s="73"/>
      <c r="N27" s="73"/>
      <c r="O27" s="73">
        <v>1503098</v>
      </c>
      <c r="P27" s="73"/>
      <c r="Q27" s="73">
        <f>SUM(K27:P27)</f>
        <v>1511357</v>
      </c>
      <c r="R27" s="73">
        <v>1164480</v>
      </c>
    </row>
    <row r="28" spans="2:18">
      <c r="D28" t="s">
        <v>765</v>
      </c>
      <c r="K28" s="80">
        <v>251910</v>
      </c>
      <c r="L28" s="73"/>
      <c r="M28" s="73"/>
      <c r="N28" s="73"/>
      <c r="O28" s="73"/>
      <c r="P28" s="73"/>
      <c r="Q28" s="73">
        <f t="shared" ref="Q28:Q31" si="2">SUM(K28:P28)</f>
        <v>251910</v>
      </c>
      <c r="R28" s="73">
        <v>200000</v>
      </c>
    </row>
    <row r="29" spans="2:18">
      <c r="D29" t="s">
        <v>43</v>
      </c>
      <c r="K29" s="73"/>
      <c r="L29" s="73"/>
      <c r="M29" s="73"/>
      <c r="N29" s="73"/>
      <c r="O29" s="73"/>
      <c r="P29" s="73">
        <v>334565</v>
      </c>
      <c r="Q29" s="73">
        <f t="shared" si="2"/>
        <v>334565</v>
      </c>
      <c r="R29" s="73">
        <v>295087</v>
      </c>
    </row>
    <row r="30" spans="2:18">
      <c r="D30" t="s">
        <v>349</v>
      </c>
      <c r="K30" s="73"/>
      <c r="L30" s="73"/>
      <c r="M30" s="73"/>
      <c r="N30" s="73"/>
      <c r="O30" s="73"/>
      <c r="P30" s="73">
        <v>1618355</v>
      </c>
      <c r="Q30" s="73">
        <f t="shared" si="2"/>
        <v>1618355</v>
      </c>
      <c r="R30" s="73">
        <v>2415052</v>
      </c>
    </row>
    <row r="31" spans="2:18">
      <c r="C31" t="s">
        <v>48</v>
      </c>
      <c r="K31" s="86">
        <v>540878</v>
      </c>
      <c r="L31" s="73"/>
      <c r="M31" s="73"/>
      <c r="N31" s="73"/>
      <c r="O31" s="73"/>
      <c r="P31" s="73"/>
      <c r="Q31" s="73">
        <f t="shared" si="2"/>
        <v>540878</v>
      </c>
      <c r="R31" s="73">
        <v>839809</v>
      </c>
    </row>
    <row r="32" spans="2:18">
      <c r="K32" s="73"/>
      <c r="L32" s="73"/>
      <c r="M32" s="73"/>
      <c r="N32" s="73"/>
      <c r="O32" s="73"/>
      <c r="P32" s="73"/>
      <c r="Q32" s="73"/>
      <c r="R32" s="73"/>
    </row>
    <row r="33" spans="4:18" s="5" customFormat="1">
      <c r="D33" s="6"/>
      <c r="E33" s="6" t="s">
        <v>49</v>
      </c>
      <c r="K33" s="79">
        <f t="shared" ref="K33:Q33" si="3">SUM(K23:K31)</f>
        <v>792788</v>
      </c>
      <c r="L33" s="79">
        <f t="shared" si="3"/>
        <v>8259</v>
      </c>
      <c r="M33" s="79">
        <f t="shared" si="3"/>
        <v>674458</v>
      </c>
      <c r="N33" s="79">
        <f t="shared" si="3"/>
        <v>1301162</v>
      </c>
      <c r="O33" s="79">
        <f t="shared" si="3"/>
        <v>1503098</v>
      </c>
      <c r="P33" s="79">
        <f t="shared" si="3"/>
        <v>1958400</v>
      </c>
      <c r="Q33" s="79">
        <f t="shared" si="3"/>
        <v>6238165</v>
      </c>
      <c r="R33" s="79">
        <f>SUM(R24:R31)</f>
        <v>7469277</v>
      </c>
    </row>
    <row r="34" spans="4:18">
      <c r="K34" s="73"/>
      <c r="L34" s="73"/>
      <c r="M34" s="73"/>
      <c r="N34" s="73"/>
      <c r="O34" s="73"/>
      <c r="P34" s="73"/>
      <c r="Q34" s="73"/>
      <c r="R34" s="73"/>
    </row>
    <row r="35" spans="4:18" s="7" customFormat="1">
      <c r="D35" s="8"/>
      <c r="E35" s="8" t="s">
        <v>50</v>
      </c>
      <c r="K35" s="81">
        <f>K33+K18+K20</f>
        <v>802305</v>
      </c>
      <c r="L35" s="81">
        <f t="shared" ref="L35:R35" si="4">L33+L18+L20</f>
        <v>471204</v>
      </c>
      <c r="M35" s="81">
        <f t="shared" si="4"/>
        <v>682271</v>
      </c>
      <c r="N35" s="81">
        <f t="shared" si="4"/>
        <v>1332196</v>
      </c>
      <c r="O35" s="81">
        <f t="shared" si="4"/>
        <v>1513865</v>
      </c>
      <c r="P35" s="81">
        <f t="shared" si="4"/>
        <v>2013730</v>
      </c>
      <c r="Q35" s="81">
        <f t="shared" si="4"/>
        <v>6815571</v>
      </c>
      <c r="R35" s="81">
        <f t="shared" si="4"/>
        <v>8554365</v>
      </c>
    </row>
  </sheetData>
  <mergeCells count="3">
    <mergeCell ref="D1:K1"/>
    <mergeCell ref="D2:K2"/>
    <mergeCell ref="K3:N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A73"/>
  <sheetViews>
    <sheetView tabSelected="1" topLeftCell="A19" zoomScale="70" zoomScaleNormal="70" workbookViewId="0">
      <selection activeCell="A36" sqref="A36:XFD36"/>
    </sheetView>
  </sheetViews>
  <sheetFormatPr defaultRowHeight="15"/>
  <cols>
    <col min="1" max="1" width="21.42578125" customWidth="1"/>
    <col min="2" max="2" width="13.140625" customWidth="1"/>
    <col min="3" max="3" width="13.7109375" bestFit="1" customWidth="1"/>
    <col min="4" max="4" width="13" bestFit="1" customWidth="1"/>
    <col min="5" max="5" width="12.28515625" customWidth="1"/>
    <col min="6" max="6" width="14.5703125" bestFit="1" customWidth="1"/>
    <col min="7" max="7" width="12" bestFit="1" customWidth="1"/>
    <col min="8" max="8" width="15.140625" bestFit="1" customWidth="1"/>
    <col min="9" max="9" width="22.42578125" customWidth="1"/>
    <col min="10" max="10" width="11.5703125" bestFit="1" customWidth="1"/>
    <col min="11" max="11" width="13.85546875" bestFit="1" customWidth="1"/>
    <col min="12" max="12" width="18.140625" bestFit="1" customWidth="1"/>
    <col min="13" max="13" width="18.85546875" bestFit="1" customWidth="1"/>
    <col min="14" max="14" width="18.5703125" bestFit="1" customWidth="1"/>
    <col min="15" max="15" width="24.42578125" bestFit="1" customWidth="1"/>
    <col min="16" max="16" width="17" bestFit="1" customWidth="1"/>
    <col min="17" max="17" width="23.42578125" bestFit="1" customWidth="1"/>
    <col min="18" max="18" width="11.5703125" bestFit="1" customWidth="1"/>
    <col min="19" max="19" width="13.28515625" customWidth="1"/>
    <col min="20" max="20" width="18.140625" bestFit="1" customWidth="1"/>
    <col min="21" max="21" width="16.85546875" bestFit="1" customWidth="1"/>
    <col min="22" max="22" width="26.42578125" bestFit="1" customWidth="1"/>
    <col min="23" max="23" width="29.140625" bestFit="1" customWidth="1"/>
    <col min="24" max="24" width="28.85546875" bestFit="1" customWidth="1"/>
    <col min="25" max="25" width="43.5703125" bestFit="1" customWidth="1"/>
    <col min="26" max="26" width="11.5703125" bestFit="1" customWidth="1"/>
    <col min="27" max="27" width="17.5703125" customWidth="1"/>
  </cols>
  <sheetData>
    <row r="1" spans="1:27" ht="16.5" customHeight="1" thickBot="1">
      <c r="A1" s="9" t="s">
        <v>766</v>
      </c>
      <c r="B1" s="10"/>
      <c r="C1" s="10"/>
      <c r="D1" s="10"/>
      <c r="E1" s="10"/>
      <c r="F1" s="10"/>
      <c r="G1" s="10"/>
      <c r="H1" s="10"/>
      <c r="I1" s="10"/>
      <c r="J1" s="11"/>
      <c r="K1" s="12"/>
      <c r="L1" s="12"/>
      <c r="M1" s="13"/>
      <c r="N1" s="13"/>
      <c r="O1" s="13"/>
      <c r="P1" s="14"/>
      <c r="Q1" s="13"/>
      <c r="R1" s="11"/>
      <c r="S1" s="12"/>
      <c r="T1" s="12"/>
      <c r="U1" s="15"/>
      <c r="V1" s="16"/>
      <c r="W1" s="16"/>
      <c r="X1" s="16"/>
      <c r="Y1" s="16"/>
      <c r="Z1" s="16"/>
      <c r="AA1" s="17"/>
    </row>
    <row r="2" spans="1:27" ht="19.5" thickBot="1">
      <c r="A2" s="18"/>
      <c r="B2" s="19" t="s">
        <v>10</v>
      </c>
      <c r="C2" s="20"/>
      <c r="D2" s="20"/>
      <c r="E2" s="20"/>
      <c r="F2" s="20"/>
      <c r="G2" s="20"/>
      <c r="H2" s="20"/>
      <c r="I2" s="20"/>
      <c r="J2" s="21"/>
      <c r="K2" s="22"/>
      <c r="L2" s="22"/>
      <c r="M2" s="23" t="s">
        <v>22</v>
      </c>
      <c r="N2" s="14"/>
      <c r="O2" s="14"/>
      <c r="P2" s="14"/>
      <c r="Q2" s="14"/>
      <c r="R2" s="24"/>
      <c r="S2" s="22"/>
      <c r="T2" s="22"/>
      <c r="U2" s="25"/>
      <c r="V2" s="15"/>
      <c r="W2" s="15"/>
      <c r="X2" s="15"/>
      <c r="Y2" s="15"/>
      <c r="Z2" s="15"/>
      <c r="AA2" s="26"/>
    </row>
    <row r="3" spans="1:27" ht="19.5" thickBot="1">
      <c r="A3" s="27"/>
      <c r="B3" s="130" t="s">
        <v>767</v>
      </c>
      <c r="C3" s="130"/>
      <c r="D3" s="130"/>
      <c r="E3" s="130"/>
      <c r="F3" s="130"/>
      <c r="G3" s="131" t="s">
        <v>768</v>
      </c>
      <c r="H3" s="132"/>
      <c r="I3" s="20"/>
      <c r="J3" s="28"/>
      <c r="K3" s="29"/>
      <c r="L3" s="31"/>
      <c r="M3" s="133" t="s">
        <v>769</v>
      </c>
      <c r="N3" s="134"/>
      <c r="O3" s="134"/>
      <c r="P3" s="135"/>
      <c r="Q3" s="14"/>
      <c r="R3" s="30"/>
      <c r="S3" s="29"/>
      <c r="T3" s="31"/>
      <c r="U3" s="32" t="s">
        <v>770</v>
      </c>
      <c r="V3" s="33"/>
      <c r="W3" s="15"/>
      <c r="X3" s="15"/>
      <c r="Y3" s="15"/>
      <c r="Z3" s="15"/>
      <c r="AA3" s="34"/>
    </row>
    <row r="4" spans="1:27" ht="48" thickBot="1">
      <c r="A4" s="35" t="s">
        <v>771</v>
      </c>
      <c r="B4" s="36" t="s">
        <v>11</v>
      </c>
      <c r="C4" s="37" t="s">
        <v>12</v>
      </c>
      <c r="D4" s="38" t="s">
        <v>59</v>
      </c>
      <c r="E4" s="67" t="s">
        <v>61</v>
      </c>
      <c r="F4" s="39" t="s">
        <v>772</v>
      </c>
      <c r="G4" s="40" t="s">
        <v>773</v>
      </c>
      <c r="H4" s="41" t="s">
        <v>774</v>
      </c>
      <c r="I4" s="42" t="s">
        <v>775</v>
      </c>
      <c r="J4" s="43" t="s">
        <v>776</v>
      </c>
      <c r="K4" s="44" t="s">
        <v>776</v>
      </c>
      <c r="L4" s="108" t="s">
        <v>777</v>
      </c>
      <c r="M4" s="45" t="s">
        <v>778</v>
      </c>
      <c r="N4" s="46" t="s">
        <v>779</v>
      </c>
      <c r="O4" s="47" t="s">
        <v>780</v>
      </c>
      <c r="P4" s="48" t="s">
        <v>781</v>
      </c>
      <c r="Q4" s="49" t="s">
        <v>782</v>
      </c>
      <c r="R4" s="43" t="s">
        <v>776</v>
      </c>
      <c r="S4" s="44" t="s">
        <v>776</v>
      </c>
      <c r="T4" s="108" t="s">
        <v>660</v>
      </c>
      <c r="U4" s="50" t="s">
        <v>783</v>
      </c>
      <c r="V4" s="51" t="s">
        <v>784</v>
      </c>
      <c r="W4" s="52" t="s">
        <v>785</v>
      </c>
      <c r="X4" s="53" t="s">
        <v>786</v>
      </c>
      <c r="Y4" s="54" t="s">
        <v>787</v>
      </c>
      <c r="Z4" s="43" t="s">
        <v>776</v>
      </c>
      <c r="AA4" s="44" t="s">
        <v>776</v>
      </c>
    </row>
    <row r="5" spans="1:27" ht="15" customHeight="1" thickBot="1">
      <c r="A5" s="55" t="s">
        <v>788</v>
      </c>
      <c r="J5" s="56"/>
      <c r="K5" s="57"/>
      <c r="L5" s="58" t="s">
        <v>789</v>
      </c>
      <c r="R5" s="56"/>
      <c r="S5" s="57"/>
      <c r="T5" s="58" t="s">
        <v>789</v>
      </c>
      <c r="Z5" s="56"/>
      <c r="AA5" s="57"/>
    </row>
    <row r="6" spans="1:27" ht="15" customHeight="1">
      <c r="A6" s="59" t="s">
        <v>790</v>
      </c>
      <c r="J6" s="56"/>
      <c r="K6" s="57"/>
      <c r="L6" s="106"/>
      <c r="R6" s="56"/>
      <c r="S6" s="57"/>
      <c r="T6" s="106"/>
      <c r="Z6" s="56"/>
      <c r="AA6" s="57"/>
    </row>
    <row r="7" spans="1:27" ht="15" customHeight="1">
      <c r="A7" s="68" t="s">
        <v>791</v>
      </c>
      <c r="B7" s="61">
        <f>Acadia!K6</f>
        <v>284024</v>
      </c>
      <c r="C7" s="61">
        <f>Acadia!K7</f>
        <v>107505</v>
      </c>
      <c r="D7" s="61">
        <f>Acadia!K8+Acadia!K10</f>
        <v>239527</v>
      </c>
      <c r="E7" s="61">
        <v>0</v>
      </c>
      <c r="F7" s="61">
        <v>0</v>
      </c>
      <c r="G7" s="61">
        <f>Acadia!K12+Acadia!K13+Acadia!K14</f>
        <v>2098144</v>
      </c>
      <c r="H7" s="61">
        <f>Lafourche!K6</f>
        <v>0</v>
      </c>
      <c r="I7" s="61">
        <f t="shared" ref="I7:I8" si="0">SUM(B7:H7)</f>
        <v>2729200</v>
      </c>
      <c r="J7" s="70" t="str">
        <f t="shared" ref="J7:J8" si="1">IF(I7=K7, "ok", "check")</f>
        <v>ok</v>
      </c>
      <c r="K7" s="60">
        <f>Acadia!K16</f>
        <v>2729200</v>
      </c>
      <c r="L7" s="107">
        <f>Acadia!C29</f>
        <v>0</v>
      </c>
      <c r="M7" s="61">
        <f>Acadia!K20+Acadia!K22</f>
        <v>383672</v>
      </c>
      <c r="N7" s="61">
        <v>0</v>
      </c>
      <c r="O7" s="61">
        <v>0</v>
      </c>
      <c r="P7" s="61">
        <f>Lafourche!K17</f>
        <v>0</v>
      </c>
      <c r="Q7" s="61">
        <f t="shared" ref="Q7:Q8" si="2">SUM(M7:P7)</f>
        <v>383672</v>
      </c>
      <c r="R7" s="70" t="str">
        <f t="shared" ref="R7:R8" si="3">IF(Q7=S7, "ok", "check")</f>
        <v>ok</v>
      </c>
      <c r="S7" s="60">
        <f>Acadia!K26</f>
        <v>383672</v>
      </c>
      <c r="T7" s="107">
        <f>Acadia!K29</f>
        <v>0</v>
      </c>
      <c r="U7" s="61">
        <f>Acadia!K33</f>
        <v>547451</v>
      </c>
      <c r="V7" s="61">
        <v>0</v>
      </c>
      <c r="W7" s="61">
        <f>Acadia!K48</f>
        <v>1798077</v>
      </c>
      <c r="X7" s="61">
        <f t="shared" ref="X7" si="4">SUM(U7:W7)</f>
        <v>2345528</v>
      </c>
      <c r="Y7" s="61">
        <f t="shared" ref="Y7:Y8" si="5">SUM(Q7+X7+T7)</f>
        <v>2729200</v>
      </c>
      <c r="Z7" s="70" t="str">
        <f t="shared" ref="Z7:Z8" si="6">IF(Y7=AA7, "ok", "check")</f>
        <v>ok</v>
      </c>
      <c r="AA7" s="60">
        <f>Acadia!K52</f>
        <v>2729200</v>
      </c>
    </row>
    <row r="8" spans="1:27" ht="15" customHeight="1">
      <c r="A8" s="68" t="s">
        <v>792</v>
      </c>
      <c r="B8" s="61">
        <f>Allen!K6</f>
        <v>333065</v>
      </c>
      <c r="C8" s="61">
        <v>0</v>
      </c>
      <c r="D8" s="61">
        <f>Allen!K7</f>
        <v>246603</v>
      </c>
      <c r="E8" s="61">
        <v>0</v>
      </c>
      <c r="F8" s="61">
        <v>0</v>
      </c>
      <c r="G8" s="61">
        <f>Allen!K8+Allen!K10</f>
        <v>371487</v>
      </c>
      <c r="H8" s="61">
        <f>Allen!K11</f>
        <v>4443</v>
      </c>
      <c r="I8" s="61">
        <f t="shared" si="0"/>
        <v>955598</v>
      </c>
      <c r="J8" s="70" t="str">
        <f t="shared" si="1"/>
        <v>ok</v>
      </c>
      <c r="K8" s="60">
        <f>Allen!K13</f>
        <v>955598</v>
      </c>
      <c r="L8" s="107">
        <f>Allen!C24</f>
        <v>0</v>
      </c>
      <c r="M8" s="61">
        <f>Allen!K17</f>
        <v>99341</v>
      </c>
      <c r="N8" s="61">
        <v>0</v>
      </c>
      <c r="O8" s="61">
        <f>Allen!K19</f>
        <v>4923</v>
      </c>
      <c r="P8" s="61">
        <v>0</v>
      </c>
      <c r="Q8" s="61">
        <f t="shared" si="2"/>
        <v>104264</v>
      </c>
      <c r="R8" s="70" t="str">
        <f t="shared" si="3"/>
        <v>ok</v>
      </c>
      <c r="S8" s="60">
        <f>Allen!K21</f>
        <v>104264</v>
      </c>
      <c r="T8" s="107">
        <f>Allen!K24</f>
        <v>19870</v>
      </c>
      <c r="U8" s="61">
        <f>Allen!K27</f>
        <v>4443</v>
      </c>
      <c r="V8" s="61">
        <v>0</v>
      </c>
      <c r="W8" s="61">
        <f>Allen!K44</f>
        <v>827021</v>
      </c>
      <c r="X8" s="61">
        <f t="shared" ref="X8" si="7">SUM(U8:W8)</f>
        <v>831464</v>
      </c>
      <c r="Y8" s="61">
        <f t="shared" si="5"/>
        <v>955598</v>
      </c>
      <c r="Z8" s="70" t="str">
        <f t="shared" si="6"/>
        <v>ok</v>
      </c>
      <c r="AA8" s="60">
        <f>Allen!K48</f>
        <v>955598</v>
      </c>
    </row>
    <row r="9" spans="1:27" ht="15" customHeight="1">
      <c r="A9" s="68" t="s">
        <v>793</v>
      </c>
      <c r="B9" s="61">
        <f>Ascension!K6</f>
        <v>7650256</v>
      </c>
      <c r="C9" s="61">
        <f>SUM(Ascension!K7)</f>
        <v>13771194</v>
      </c>
      <c r="D9" s="61">
        <f>SUM(Ascension!K9+Ascension!K10+Ascension!K11)</f>
        <v>7107893</v>
      </c>
      <c r="E9" s="61">
        <v>0</v>
      </c>
      <c r="F9" s="61">
        <f>SUM(Ascension!K19)</f>
        <v>54900</v>
      </c>
      <c r="G9" s="61">
        <f>SUM(Ascension!K13+Ascension!K14+Ascension!K15+Ascension!K16+Ascension!K17)</f>
        <v>1465633</v>
      </c>
      <c r="H9" s="61">
        <v>0</v>
      </c>
      <c r="I9" s="61">
        <f t="shared" ref="I9:I22" si="8">SUM(B9:H9)</f>
        <v>30049876</v>
      </c>
      <c r="J9" s="70" t="str">
        <f t="shared" ref="J9:J65" si="9">IF(I9=K9, "ok", "check")</f>
        <v>ok</v>
      </c>
      <c r="K9" s="60">
        <f>SUM(Ascension!K21)</f>
        <v>30049876</v>
      </c>
      <c r="L9" s="107"/>
      <c r="M9" s="61">
        <f>SUM(Ascension!K25+Ascension!K26+Ascension!K27)</f>
        <v>1036640</v>
      </c>
      <c r="N9" s="61">
        <v>0</v>
      </c>
      <c r="O9" s="61">
        <f>SUM(Ascension!K30)</f>
        <v>1140432</v>
      </c>
      <c r="P9" s="61">
        <f>Ascension!K29+Ascension!K32</f>
        <v>4646297</v>
      </c>
      <c r="Q9" s="61">
        <f t="shared" ref="Q9:Q22" si="10">SUM(M9:P9)</f>
        <v>6823369</v>
      </c>
      <c r="R9" s="70" t="str">
        <f t="shared" ref="R9:R65" si="11">IF(Q9=S9, "ok", "check")</f>
        <v>ok</v>
      </c>
      <c r="S9" s="60">
        <f>SUM(Ascension!K34)</f>
        <v>6823369</v>
      </c>
      <c r="T9" s="107">
        <f>Ascension!K37+Ascension!K38</f>
        <v>146392</v>
      </c>
      <c r="U9" s="61">
        <f>Ascension!K52</f>
        <v>122986</v>
      </c>
      <c r="V9" s="61">
        <f>Ascension!K55+Ascension!K58+Ascension!K60</f>
        <v>6181003</v>
      </c>
      <c r="W9" s="61">
        <f>Ascension!K61</f>
        <v>16776126</v>
      </c>
      <c r="X9" s="61">
        <f t="shared" ref="X9:X14" si="12">SUM(U9:W9)</f>
        <v>23080115</v>
      </c>
      <c r="Y9" s="61">
        <f>SUM(Q9+X9+T9)</f>
        <v>30049876</v>
      </c>
      <c r="Z9" s="70" t="str">
        <f t="shared" ref="Z9:Z65" si="13">IF(Y9=AA9, "ok", "check")</f>
        <v>ok</v>
      </c>
      <c r="AA9" s="60">
        <f>Ascension!K65</f>
        <v>30049876</v>
      </c>
    </row>
    <row r="10" spans="1:27" ht="15" customHeight="1">
      <c r="A10" s="68" t="s">
        <v>794</v>
      </c>
      <c r="B10" s="61">
        <f>SUM(Assumption!K6)</f>
        <v>1169651</v>
      </c>
      <c r="C10" s="61">
        <f>SUM(Assumption!K7)</f>
        <v>4863676</v>
      </c>
      <c r="D10" s="61">
        <f>SUM(Assumption!K8)</f>
        <v>1037836</v>
      </c>
      <c r="E10" s="61">
        <v>0</v>
      </c>
      <c r="F10" s="61">
        <v>0</v>
      </c>
      <c r="G10" s="61">
        <f>SUM(Assumption!K9)</f>
        <v>697185</v>
      </c>
      <c r="H10" s="61">
        <v>0</v>
      </c>
      <c r="I10" s="61">
        <f t="shared" si="8"/>
        <v>7768348</v>
      </c>
      <c r="J10" s="70" t="str">
        <f t="shared" si="9"/>
        <v>ok</v>
      </c>
      <c r="K10" s="60">
        <f>SUM(Assumption!K12)</f>
        <v>7768348</v>
      </c>
      <c r="L10" s="107"/>
      <c r="M10" s="61">
        <f>SUM(Assumption!K16+Assumption!K17)</f>
        <v>46425</v>
      </c>
      <c r="N10" s="61">
        <v>0</v>
      </c>
      <c r="O10" s="61">
        <f>SUM(Assumption!K18)</f>
        <v>8766</v>
      </c>
      <c r="P10" s="61">
        <f>SUM(Assumption!K19)</f>
        <v>165591</v>
      </c>
      <c r="Q10" s="61">
        <f t="shared" si="10"/>
        <v>220782</v>
      </c>
      <c r="R10" s="70" t="str">
        <f t="shared" si="11"/>
        <v>ok</v>
      </c>
      <c r="S10" s="60">
        <f>SUM(Assumption!K21)</f>
        <v>220782</v>
      </c>
      <c r="T10" s="107">
        <v>0</v>
      </c>
      <c r="U10" s="61">
        <v>0</v>
      </c>
      <c r="V10" s="61">
        <f>SUM(Assumption!K25)</f>
        <v>19345</v>
      </c>
      <c r="W10" s="61">
        <f>SUM(Assumption!K26)</f>
        <v>7528221</v>
      </c>
      <c r="X10" s="61">
        <f t="shared" si="12"/>
        <v>7547566</v>
      </c>
      <c r="Y10" s="61">
        <f t="shared" ref="Y10:Y65" si="14">SUM(Q10+X10+T10)</f>
        <v>7768348</v>
      </c>
      <c r="Z10" s="70" t="str">
        <f t="shared" si="13"/>
        <v>ok</v>
      </c>
      <c r="AA10" s="60">
        <f>SUM(Assumption!K30)</f>
        <v>7768348</v>
      </c>
    </row>
    <row r="11" spans="1:27" ht="15" customHeight="1">
      <c r="A11" s="68" t="s">
        <v>795</v>
      </c>
      <c r="B11" s="61">
        <f>Avoyelles!K7</f>
        <v>666471</v>
      </c>
      <c r="C11" s="61">
        <v>0</v>
      </c>
      <c r="D11" s="61">
        <f>Avoyelles!K8</f>
        <v>342206</v>
      </c>
      <c r="E11" s="61">
        <v>0</v>
      </c>
      <c r="F11" s="61">
        <f>Avoyelles!K10</f>
        <v>23691</v>
      </c>
      <c r="G11" s="61">
        <f>Avoyelles!K9</f>
        <v>199650</v>
      </c>
      <c r="H11" s="61">
        <v>0</v>
      </c>
      <c r="I11" s="61">
        <f t="shared" si="8"/>
        <v>1232018</v>
      </c>
      <c r="J11" s="70" t="str">
        <f t="shared" ref="J11:J22" si="15">IF(I11=K11, "ok", "check")</f>
        <v>ok</v>
      </c>
      <c r="K11" s="60">
        <f>Avoyelles!K12</f>
        <v>1232018</v>
      </c>
      <c r="L11" s="107"/>
      <c r="M11" s="61">
        <f>Avoyelles!K18</f>
        <v>161498</v>
      </c>
      <c r="N11" s="61">
        <v>0</v>
      </c>
      <c r="O11" s="61">
        <v>0</v>
      </c>
      <c r="P11" s="61">
        <v>0</v>
      </c>
      <c r="Q11" s="61">
        <f t="shared" si="10"/>
        <v>161498</v>
      </c>
      <c r="R11" s="70" t="str">
        <f t="shared" ref="R11:R22" si="16">IF(Q11=S11, "ok", "check")</f>
        <v>ok</v>
      </c>
      <c r="S11" s="60">
        <f>Avoyelles!K22</f>
        <v>161498</v>
      </c>
      <c r="T11" s="107">
        <f>SUM(Jefferson!K30)</f>
        <v>0</v>
      </c>
      <c r="U11" s="61">
        <f>Avoyelles!K27</f>
        <v>23691</v>
      </c>
      <c r="V11" s="61">
        <v>0</v>
      </c>
      <c r="W11" s="61">
        <f>Avoyelles!K29</f>
        <v>1046829</v>
      </c>
      <c r="X11" s="61">
        <f t="shared" si="12"/>
        <v>1070520</v>
      </c>
      <c r="Y11" s="61">
        <f t="shared" ref="Y11:Y15" si="17">SUM(Q11+X11+T11)</f>
        <v>1232018</v>
      </c>
      <c r="Z11" s="70" t="str">
        <f t="shared" ref="Z11:Z22" si="18">IF(Y11=AA11, "ok", "check")</f>
        <v>ok</v>
      </c>
      <c r="AA11" s="60">
        <f>Avoyelles!K33</f>
        <v>1232018</v>
      </c>
    </row>
    <row r="12" spans="1:27" ht="15" customHeight="1">
      <c r="A12" s="68" t="s">
        <v>796</v>
      </c>
      <c r="B12" s="61">
        <f>Beauregard!K6</f>
        <v>630917</v>
      </c>
      <c r="C12" s="61">
        <v>0</v>
      </c>
      <c r="D12" s="61">
        <f>Beauregard!K7+Beauregard!K8</f>
        <v>1139711</v>
      </c>
      <c r="E12" s="61">
        <f>Beauregard!K9</f>
        <v>32875</v>
      </c>
      <c r="F12" s="61">
        <v>0</v>
      </c>
      <c r="G12" s="61">
        <f>SUM(Assumption!K11)</f>
        <v>0</v>
      </c>
      <c r="H12" s="61">
        <v>0</v>
      </c>
      <c r="I12" s="61">
        <f t="shared" ref="I12" si="19">SUM(B12:H12)</f>
        <v>1803503</v>
      </c>
      <c r="J12" s="70" t="str">
        <f t="shared" si="15"/>
        <v>ok</v>
      </c>
      <c r="K12" s="60">
        <f>Beauregard!K11</f>
        <v>1803503</v>
      </c>
      <c r="L12" s="107"/>
      <c r="M12" s="61">
        <f>Beauregard!K15</f>
        <v>188832</v>
      </c>
      <c r="N12" s="61">
        <v>0</v>
      </c>
      <c r="O12" s="61">
        <f>SUM(Assumption!K20)</f>
        <v>0</v>
      </c>
      <c r="P12" s="61">
        <f>Beauregard!K16</f>
        <v>164679</v>
      </c>
      <c r="Q12" s="61">
        <f t="shared" ref="Q12" si="20">SUM(M12:P12)</f>
        <v>353511</v>
      </c>
      <c r="R12" s="70" t="str">
        <f t="shared" si="16"/>
        <v>ok</v>
      </c>
      <c r="S12" s="60">
        <f>Beauregard!K19</f>
        <v>353511</v>
      </c>
      <c r="T12" s="107">
        <f>Beauregard!K22</f>
        <v>44721</v>
      </c>
      <c r="U12" s="61">
        <f>Beauregard!K25</f>
        <v>32875</v>
      </c>
      <c r="V12" s="61">
        <f>SUM(Assumption!K27)</f>
        <v>0</v>
      </c>
      <c r="W12" s="61">
        <f>Beauregard!K36</f>
        <v>1372396</v>
      </c>
      <c r="X12" s="61">
        <f t="shared" ref="X12" si="21">SUM(U12:W12)</f>
        <v>1405271</v>
      </c>
      <c r="Y12" s="61">
        <f t="shared" si="17"/>
        <v>1803503</v>
      </c>
      <c r="Z12" s="70" t="str">
        <f t="shared" si="18"/>
        <v>ok</v>
      </c>
      <c r="AA12" s="60">
        <f>Beauregard!K40</f>
        <v>1803503</v>
      </c>
    </row>
    <row r="13" spans="1:27" ht="15" customHeight="1">
      <c r="A13" s="68" t="s">
        <v>797</v>
      </c>
      <c r="B13" s="61">
        <f>Bienville!K7</f>
        <v>4224843</v>
      </c>
      <c r="C13" s="61">
        <v>0</v>
      </c>
      <c r="D13" s="61">
        <f>Bienville!K8</f>
        <v>1912568</v>
      </c>
      <c r="E13" s="61">
        <v>0</v>
      </c>
      <c r="F13" s="61">
        <v>0</v>
      </c>
      <c r="G13" s="61">
        <v>0</v>
      </c>
      <c r="H13" s="61">
        <v>0</v>
      </c>
      <c r="I13" s="61">
        <f t="shared" si="8"/>
        <v>6137411</v>
      </c>
      <c r="J13" s="70" t="str">
        <f t="shared" si="15"/>
        <v>ok</v>
      </c>
      <c r="K13" s="60">
        <f>Bienville!K10</f>
        <v>6137411</v>
      </c>
      <c r="L13" s="107"/>
      <c r="M13" s="61">
        <f>Bienville!K14+Bienville!K15</f>
        <v>79305</v>
      </c>
      <c r="N13" s="61">
        <f>Bienville!K16</f>
        <v>70000</v>
      </c>
      <c r="O13" s="61">
        <v>0</v>
      </c>
      <c r="P13" s="61">
        <v>0</v>
      </c>
      <c r="Q13" s="61">
        <f t="shared" si="10"/>
        <v>149305</v>
      </c>
      <c r="R13" s="70" t="str">
        <f t="shared" si="16"/>
        <v>ok</v>
      </c>
      <c r="S13" s="60">
        <f>Bienville!K18</f>
        <v>149305</v>
      </c>
      <c r="T13" s="107">
        <f>SUM(Jefferson!K30)</f>
        <v>0</v>
      </c>
      <c r="U13" s="61">
        <f>SUM(Jefferson!K34+Jefferson!K35)</f>
        <v>0</v>
      </c>
      <c r="V13" s="61">
        <v>0</v>
      </c>
      <c r="W13" s="61">
        <f>Bienville!K28</f>
        <v>5988106</v>
      </c>
      <c r="X13" s="61">
        <f t="shared" si="12"/>
        <v>5988106</v>
      </c>
      <c r="Y13" s="61">
        <f t="shared" si="17"/>
        <v>6137411</v>
      </c>
      <c r="Z13" s="70" t="str">
        <f t="shared" si="18"/>
        <v>ok</v>
      </c>
      <c r="AA13" s="60">
        <f>Bienville!K32</f>
        <v>6137411</v>
      </c>
    </row>
    <row r="14" spans="1:27" ht="15" customHeight="1">
      <c r="A14" s="68" t="s">
        <v>798</v>
      </c>
      <c r="B14" s="61">
        <f>Bossier!K7</f>
        <v>3553861</v>
      </c>
      <c r="C14" s="61">
        <v>0</v>
      </c>
      <c r="D14" s="61">
        <f>Bossier!K8</f>
        <v>2732041</v>
      </c>
      <c r="E14" s="61">
        <v>0</v>
      </c>
      <c r="F14" s="61">
        <v>0</v>
      </c>
      <c r="G14" s="61">
        <f>Bossier!K10</f>
        <v>129211</v>
      </c>
      <c r="H14" s="61">
        <v>0</v>
      </c>
      <c r="I14" s="61">
        <f t="shared" si="8"/>
        <v>6415113</v>
      </c>
      <c r="J14" s="70" t="str">
        <f t="shared" si="15"/>
        <v>ok</v>
      </c>
      <c r="K14" s="60">
        <f>Bossier!K13</f>
        <v>6415113</v>
      </c>
      <c r="L14" s="107"/>
      <c r="M14" s="61">
        <f>Bossier!K17</f>
        <v>309582</v>
      </c>
      <c r="N14" s="61">
        <v>0</v>
      </c>
      <c r="O14" s="61">
        <f>Bossier!K18</f>
        <v>6373</v>
      </c>
      <c r="P14" s="61">
        <v>0</v>
      </c>
      <c r="Q14" s="61">
        <f t="shared" si="10"/>
        <v>315955</v>
      </c>
      <c r="R14" s="70" t="str">
        <f t="shared" si="16"/>
        <v>ok</v>
      </c>
      <c r="S14" s="60">
        <f>Bossier!K20</f>
        <v>315955</v>
      </c>
      <c r="T14" s="107">
        <f>Bossier!K27</f>
        <v>217243</v>
      </c>
      <c r="U14" s="61">
        <v>0</v>
      </c>
      <c r="V14" s="61">
        <f>Bossier!K32</f>
        <v>2285906</v>
      </c>
      <c r="W14" s="61">
        <f>Bossier!K33</f>
        <v>3596009</v>
      </c>
      <c r="X14" s="61">
        <f t="shared" si="12"/>
        <v>5881915</v>
      </c>
      <c r="Y14" s="61">
        <f t="shared" si="17"/>
        <v>6415113</v>
      </c>
      <c r="Z14" s="70" t="str">
        <f t="shared" si="18"/>
        <v>ok</v>
      </c>
      <c r="AA14" s="60">
        <f>Bossier!K37</f>
        <v>6415113</v>
      </c>
    </row>
    <row r="15" spans="1:27" ht="15" customHeight="1">
      <c r="A15" s="68" t="s">
        <v>799</v>
      </c>
      <c r="B15" s="61">
        <f>Caddo!K6</f>
        <v>4590414</v>
      </c>
      <c r="C15" s="61">
        <f>Caddo!K7</f>
        <v>41057969</v>
      </c>
      <c r="D15" s="61">
        <f>Caddo!K9+Caddo!K11+Caddo!K12</f>
        <v>6358448</v>
      </c>
      <c r="E15" s="61">
        <v>0</v>
      </c>
      <c r="F15" s="61">
        <v>0</v>
      </c>
      <c r="G15" s="61">
        <f>Caddo!K13+Caddo!K14</f>
        <v>1348831</v>
      </c>
      <c r="H15" s="61">
        <v>0</v>
      </c>
      <c r="I15" s="61">
        <f t="shared" si="8"/>
        <v>53355662</v>
      </c>
      <c r="J15" s="70" t="str">
        <f t="shared" si="15"/>
        <v>ok</v>
      </c>
      <c r="K15" s="60">
        <f>Caddo!K18</f>
        <v>53355662</v>
      </c>
      <c r="L15" s="107"/>
      <c r="M15" s="61">
        <f>Caddo!K22+Caddo!K23</f>
        <v>269645</v>
      </c>
      <c r="N15" s="61">
        <f>Caddo!K26</f>
        <v>73941</v>
      </c>
      <c r="O15" s="61">
        <f>Caddo!K28</f>
        <v>4906</v>
      </c>
      <c r="P15" s="61">
        <v>0</v>
      </c>
      <c r="Q15" s="61">
        <f t="shared" si="10"/>
        <v>348492</v>
      </c>
      <c r="R15" s="70" t="str">
        <f t="shared" si="16"/>
        <v>ok</v>
      </c>
      <c r="S15" s="60">
        <f>Caddo!K30</f>
        <v>348492</v>
      </c>
      <c r="T15" s="107">
        <f>Caddo!K36</f>
        <v>53502</v>
      </c>
      <c r="U15" s="61">
        <f>Caddo!K52</f>
        <v>36963755</v>
      </c>
      <c r="V15" s="61">
        <f>Caddo!K56+Caddo!K57</f>
        <v>606046</v>
      </c>
      <c r="W15" s="61">
        <f>Caddo!K58</f>
        <v>15383867</v>
      </c>
      <c r="X15" s="61">
        <f t="shared" ref="X15" si="22">SUM(U15:W15)</f>
        <v>52953668</v>
      </c>
      <c r="Y15" s="61">
        <f t="shared" si="17"/>
        <v>53355662</v>
      </c>
      <c r="Z15" s="70" t="str">
        <f t="shared" si="18"/>
        <v>ok</v>
      </c>
      <c r="AA15" s="60">
        <f>Caddo!K62</f>
        <v>53355662</v>
      </c>
    </row>
    <row r="16" spans="1:27" ht="15" customHeight="1">
      <c r="A16" s="68" t="s">
        <v>800</v>
      </c>
      <c r="B16" s="61">
        <f>Calcasieu!K6</f>
        <v>14067607</v>
      </c>
      <c r="C16" s="61">
        <f>Calcasieu!K7</f>
        <v>43137940</v>
      </c>
      <c r="D16" s="61">
        <f>Calcasieu!K9+Calcasieu!K11+Calcasieu!K12+Calcasieu!K13+Calcasieu!K16+Calcasieu!K18</f>
        <v>14490711</v>
      </c>
      <c r="E16" s="61">
        <v>0</v>
      </c>
      <c r="F16" s="61">
        <v>0</v>
      </c>
      <c r="G16" s="61">
        <f>Calcasieu!K14+Calcasieu!K15</f>
        <v>1998229</v>
      </c>
      <c r="H16" s="61">
        <f>Calcasieu!K17</f>
        <v>201</v>
      </c>
      <c r="I16" s="61">
        <f t="shared" si="8"/>
        <v>73694688</v>
      </c>
      <c r="J16" s="70" t="str">
        <f t="shared" si="15"/>
        <v>ok</v>
      </c>
      <c r="K16" s="60">
        <f>Calcasieu!K21</f>
        <v>73694688</v>
      </c>
      <c r="L16" s="107"/>
      <c r="M16" s="61">
        <f>Calcasieu!K25+Calcasieu!K26+Calcasieu!K27</f>
        <v>1779445</v>
      </c>
      <c r="N16" s="61">
        <v>0</v>
      </c>
      <c r="O16" s="61">
        <f>Calcasieu!K28</f>
        <v>58606</v>
      </c>
      <c r="P16" s="61">
        <f>Calcasieu!K33</f>
        <v>86366</v>
      </c>
      <c r="Q16" s="61">
        <f t="shared" si="10"/>
        <v>1924417</v>
      </c>
      <c r="R16" s="70" t="str">
        <f t="shared" si="16"/>
        <v>ok</v>
      </c>
      <c r="S16" s="60">
        <f>Calcasieu!K35</f>
        <v>1924417</v>
      </c>
      <c r="T16" s="107">
        <f>Calcasieu!K40</f>
        <v>10947710</v>
      </c>
      <c r="U16" s="61">
        <f>Calcasieu!K44+Calcasieu!K46+Calcasieu!K47+Calcasieu!K49</f>
        <v>629055</v>
      </c>
      <c r="V16" s="61">
        <f>Calcasieu!K55+Calcasieu!K56+Calcasieu!K57+Calcasieu!K58+Calcasieu!K59+Calcasieu!K60+Calcasieu!K61</f>
        <v>32223821</v>
      </c>
      <c r="W16" s="61">
        <f>Calcasieu!K62</f>
        <v>27969685</v>
      </c>
      <c r="X16" s="61">
        <f t="shared" ref="X16:X18" si="23">SUM(U16:W16)</f>
        <v>60822561</v>
      </c>
      <c r="Y16" s="61">
        <f t="shared" ref="Y16:Y18" si="24">SUM(Q16+X16+T16)</f>
        <v>73694688</v>
      </c>
      <c r="Z16" s="70" t="str">
        <f t="shared" si="18"/>
        <v>ok</v>
      </c>
      <c r="AA16" s="60">
        <f>Calcasieu!K66</f>
        <v>73694688</v>
      </c>
    </row>
    <row r="17" spans="1:27" ht="15" customHeight="1">
      <c r="A17" s="68" t="s">
        <v>801</v>
      </c>
      <c r="B17" s="61">
        <f>Caldwell!K7</f>
        <v>1153518</v>
      </c>
      <c r="C17" s="61">
        <v>0</v>
      </c>
      <c r="D17" s="61">
        <f>Caldwell!K8</f>
        <v>411401</v>
      </c>
      <c r="E17" s="61">
        <v>0</v>
      </c>
      <c r="F17" s="61">
        <v>0</v>
      </c>
      <c r="G17" s="61">
        <f>Caldwell!K9</f>
        <v>2700</v>
      </c>
      <c r="H17" s="61">
        <v>0</v>
      </c>
      <c r="I17" s="61">
        <f t="shared" si="8"/>
        <v>1567619</v>
      </c>
      <c r="J17" s="70" t="str">
        <f t="shared" si="15"/>
        <v>ok</v>
      </c>
      <c r="K17" s="60">
        <f>Caldwell!K11</f>
        <v>1567619</v>
      </c>
      <c r="L17" s="107"/>
      <c r="M17" s="61">
        <f>Caldwell!K15+Caldwell!K16+Caldwell!K17</f>
        <v>111716</v>
      </c>
      <c r="N17" s="61">
        <f>Caldwell!K18</f>
        <v>62054</v>
      </c>
      <c r="O17" s="61">
        <v>0</v>
      </c>
      <c r="P17" s="61">
        <v>0</v>
      </c>
      <c r="Q17" s="61">
        <f t="shared" si="10"/>
        <v>173770</v>
      </c>
      <c r="R17" s="70" t="str">
        <f t="shared" si="16"/>
        <v>ok</v>
      </c>
      <c r="S17" s="60">
        <f>Caldwell!K20</f>
        <v>173770</v>
      </c>
      <c r="T17" s="107">
        <f>SUM(Jefferson!K30)</f>
        <v>0</v>
      </c>
      <c r="U17" s="61">
        <v>0</v>
      </c>
      <c r="V17" s="61">
        <v>0</v>
      </c>
      <c r="W17" s="61">
        <f>Caldwell!K23</f>
        <v>1393849</v>
      </c>
      <c r="X17" s="61">
        <f t="shared" si="23"/>
        <v>1393849</v>
      </c>
      <c r="Y17" s="61">
        <f t="shared" si="24"/>
        <v>1567619</v>
      </c>
      <c r="Z17" s="70" t="str">
        <f t="shared" si="18"/>
        <v>ok</v>
      </c>
      <c r="AA17" s="60">
        <f>Caldwell!K28</f>
        <v>1567619</v>
      </c>
    </row>
    <row r="18" spans="1:27" ht="15" customHeight="1">
      <c r="A18" s="68" t="s">
        <v>802</v>
      </c>
      <c r="B18" s="61">
        <f>Cameron!K6</f>
        <v>10742848</v>
      </c>
      <c r="C18" s="61">
        <v>0</v>
      </c>
      <c r="D18" s="61">
        <f>Cameron!K7+Cameron!K10</f>
        <v>16921446</v>
      </c>
      <c r="E18" s="61">
        <f>Cameron!K8</f>
        <v>1793767</v>
      </c>
      <c r="F18" s="61">
        <f>Cameron!K9</f>
        <v>21195</v>
      </c>
      <c r="G18" s="61">
        <v>0</v>
      </c>
      <c r="H18" s="61">
        <v>0</v>
      </c>
      <c r="I18" s="61">
        <f t="shared" si="8"/>
        <v>29479256</v>
      </c>
      <c r="J18" s="70" t="str">
        <f t="shared" si="15"/>
        <v>ok</v>
      </c>
      <c r="K18" s="60">
        <f>Cameron!K12</f>
        <v>29479256</v>
      </c>
      <c r="L18" s="107"/>
      <c r="M18" s="61">
        <f>Cameron!K18+Cameron!K21</f>
        <v>6148636</v>
      </c>
      <c r="N18" s="61">
        <f>Cameron!K20</f>
        <v>7413</v>
      </c>
      <c r="O18" s="61">
        <f>Cameron!K19</f>
        <v>3695066</v>
      </c>
      <c r="P18" s="61">
        <v>0</v>
      </c>
      <c r="Q18" s="61">
        <f t="shared" si="10"/>
        <v>9851115</v>
      </c>
      <c r="R18" s="70" t="str">
        <f t="shared" si="16"/>
        <v>ok</v>
      </c>
      <c r="S18" s="60">
        <f>Cameron!K23</f>
        <v>9851115</v>
      </c>
      <c r="T18" s="107">
        <f>SUM(Jefferson!K30)</f>
        <v>0</v>
      </c>
      <c r="U18" s="61">
        <f>Cameron!K29+Cameron!K30+Cameron!K45</f>
        <v>2036282</v>
      </c>
      <c r="V18" s="61">
        <v>0</v>
      </c>
      <c r="W18" s="61">
        <f>Cameron!K52</f>
        <v>17591859</v>
      </c>
      <c r="X18" s="61">
        <f t="shared" si="23"/>
        <v>19628141</v>
      </c>
      <c r="Y18" s="61">
        <f t="shared" si="24"/>
        <v>29479256</v>
      </c>
      <c r="Z18" s="70" t="str">
        <f t="shared" si="18"/>
        <v>ok</v>
      </c>
      <c r="AA18" s="60">
        <f>Cameron!K56</f>
        <v>29479256</v>
      </c>
    </row>
    <row r="19" spans="1:27" ht="15" customHeight="1">
      <c r="A19" s="68" t="s">
        <v>803</v>
      </c>
      <c r="B19" s="61">
        <f>Catahoula!K6</f>
        <v>634725</v>
      </c>
      <c r="C19" s="61">
        <f>Lafourche!K3</f>
        <v>0</v>
      </c>
      <c r="D19" s="61">
        <f>Catahoula!K9</f>
        <v>870802</v>
      </c>
      <c r="E19" s="61">
        <v>0</v>
      </c>
      <c r="F19" s="61">
        <f>Catahoula!K13</f>
        <v>33515</v>
      </c>
      <c r="G19" s="61">
        <v>0</v>
      </c>
      <c r="H19" s="61">
        <v>0</v>
      </c>
      <c r="I19" s="61">
        <f t="shared" si="8"/>
        <v>1539042</v>
      </c>
      <c r="J19" s="70" t="str">
        <f t="shared" si="15"/>
        <v>ok</v>
      </c>
      <c r="K19" s="60">
        <f>Catahoula!K15</f>
        <v>1539042</v>
      </c>
      <c r="L19" s="107"/>
      <c r="M19" s="61">
        <f>Catahoula!K19+Catahoula!K20</f>
        <v>464490</v>
      </c>
      <c r="N19" s="61">
        <v>0</v>
      </c>
      <c r="O19" s="61">
        <f>Lafourche!K17+Lafourche!K18</f>
        <v>0</v>
      </c>
      <c r="P19" s="61">
        <v>0</v>
      </c>
      <c r="Q19" s="61">
        <f t="shared" si="10"/>
        <v>464490</v>
      </c>
      <c r="R19" s="70" t="str">
        <f t="shared" si="16"/>
        <v>ok</v>
      </c>
      <c r="S19" s="60">
        <f>Catahoula!K22</f>
        <v>464490</v>
      </c>
      <c r="T19" s="107">
        <f>Catahoula!K25</f>
        <v>54080</v>
      </c>
      <c r="U19" s="61">
        <f>Catahoula!K31+Catahoula!K32</f>
        <v>102840</v>
      </c>
      <c r="V19" s="61">
        <v>0</v>
      </c>
      <c r="W19" s="61">
        <f>Catahoula!K33</f>
        <v>917632</v>
      </c>
      <c r="X19" s="61">
        <f t="shared" ref="X19:X22" si="25">SUM(U19:W19)</f>
        <v>1020472</v>
      </c>
      <c r="Y19" s="61">
        <f t="shared" ref="Y19" si="26">SUM(Q19+X19+T19)</f>
        <v>1539042</v>
      </c>
      <c r="Z19" s="70" t="str">
        <f t="shared" si="18"/>
        <v>ok</v>
      </c>
      <c r="AA19" s="60">
        <f>Catahoula!K37</f>
        <v>1539042</v>
      </c>
    </row>
    <row r="20" spans="1:27" ht="15" customHeight="1">
      <c r="A20" s="68" t="s">
        <v>804</v>
      </c>
      <c r="B20" s="61">
        <f>Claiborne!K6</f>
        <v>3274232</v>
      </c>
      <c r="C20" s="61">
        <f>Claiborne!K7</f>
        <v>7643</v>
      </c>
      <c r="D20" s="61">
        <f>Claiborne!K8</f>
        <v>622061</v>
      </c>
      <c r="E20" s="61">
        <v>0</v>
      </c>
      <c r="F20" s="61">
        <f>Claiborne!K10</f>
        <v>113163</v>
      </c>
      <c r="G20" s="61">
        <f>Claiborne!K9</f>
        <v>1094</v>
      </c>
      <c r="H20" s="61">
        <v>0</v>
      </c>
      <c r="I20" s="61">
        <f t="shared" si="8"/>
        <v>4018193</v>
      </c>
      <c r="J20" s="70" t="str">
        <f t="shared" si="15"/>
        <v>ok</v>
      </c>
      <c r="K20" s="60">
        <f>Claiborne!K12</f>
        <v>4018193</v>
      </c>
      <c r="L20" s="107"/>
      <c r="M20" s="61">
        <f>Claiborne!K16</f>
        <v>205075</v>
      </c>
      <c r="N20" s="61">
        <v>0</v>
      </c>
      <c r="O20" s="61">
        <f>Claiborne!K18</f>
        <v>2343</v>
      </c>
      <c r="P20" s="61">
        <v>0</v>
      </c>
      <c r="Q20" s="61">
        <f t="shared" si="10"/>
        <v>207418</v>
      </c>
      <c r="R20" s="70" t="str">
        <f t="shared" si="16"/>
        <v>ok</v>
      </c>
      <c r="S20" s="60">
        <f>Claiborne!K20</f>
        <v>207418</v>
      </c>
      <c r="T20" s="107">
        <f>Claiborne!K25</f>
        <v>68100</v>
      </c>
      <c r="U20" s="61">
        <f>Claiborne!K28</f>
        <v>592115</v>
      </c>
      <c r="V20" s="61">
        <v>0</v>
      </c>
      <c r="W20" s="61">
        <f>Claiborne!K29</f>
        <v>3150560</v>
      </c>
      <c r="X20" s="61">
        <f t="shared" si="25"/>
        <v>3742675</v>
      </c>
      <c r="Y20" s="61">
        <f t="shared" ref="Y20:Y22" si="27">SUM(Q20+X20+T20)</f>
        <v>4018193</v>
      </c>
      <c r="Z20" s="70" t="str">
        <f t="shared" si="18"/>
        <v>ok</v>
      </c>
      <c r="AA20" s="60">
        <f>Claiborne!K33</f>
        <v>4018193</v>
      </c>
    </row>
    <row r="21" spans="1:27" ht="15" customHeight="1">
      <c r="A21" s="68" t="s">
        <v>805</v>
      </c>
      <c r="B21" s="61">
        <f>Concordia!K7</f>
        <v>2454254</v>
      </c>
      <c r="C21" s="61">
        <v>0</v>
      </c>
      <c r="D21" s="61">
        <f>Concordia!K9</f>
        <v>767695</v>
      </c>
      <c r="E21" s="61">
        <v>0</v>
      </c>
      <c r="F21" s="61">
        <f>Concordia!K10</f>
        <v>1904</v>
      </c>
      <c r="G21" s="61">
        <v>0</v>
      </c>
      <c r="H21" s="61">
        <v>0</v>
      </c>
      <c r="I21" s="61">
        <f t="shared" si="8"/>
        <v>3223853</v>
      </c>
      <c r="J21" s="70" t="str">
        <f t="shared" si="15"/>
        <v>ok</v>
      </c>
      <c r="K21" s="60">
        <f>Concordia!K12</f>
        <v>3223853</v>
      </c>
      <c r="L21" s="107"/>
      <c r="M21" s="61">
        <f>Concordia!K16</f>
        <v>38787</v>
      </c>
      <c r="N21" s="61">
        <v>0</v>
      </c>
      <c r="O21" s="61">
        <v>0</v>
      </c>
      <c r="P21" s="61">
        <v>0</v>
      </c>
      <c r="Q21" s="61">
        <f t="shared" si="10"/>
        <v>38787</v>
      </c>
      <c r="R21" s="70" t="str">
        <f t="shared" si="16"/>
        <v>ok</v>
      </c>
      <c r="S21" s="60">
        <f>Concordia!K18</f>
        <v>38787</v>
      </c>
      <c r="T21" s="107">
        <v>0</v>
      </c>
      <c r="U21" s="61">
        <v>0</v>
      </c>
      <c r="V21" s="61">
        <v>0</v>
      </c>
      <c r="W21" s="61">
        <f>Concordia!K26</f>
        <v>3185066</v>
      </c>
      <c r="X21" s="61">
        <f t="shared" si="25"/>
        <v>3185066</v>
      </c>
      <c r="Y21" s="61">
        <f t="shared" si="27"/>
        <v>3223853</v>
      </c>
      <c r="Z21" s="70" t="str">
        <f t="shared" si="18"/>
        <v>ok</v>
      </c>
      <c r="AA21" s="60">
        <f>Concordia!K30</f>
        <v>3223853</v>
      </c>
    </row>
    <row r="22" spans="1:27" ht="15" customHeight="1">
      <c r="A22" s="68" t="s">
        <v>806</v>
      </c>
      <c r="B22" s="61">
        <f>DeSoto!K6</f>
        <v>1330631</v>
      </c>
      <c r="C22" s="61">
        <f>DeSoto!K7</f>
        <v>5807752</v>
      </c>
      <c r="D22" s="61">
        <f>DeSoto!K8</f>
        <v>4018916</v>
      </c>
      <c r="E22" s="61">
        <v>0</v>
      </c>
      <c r="F22" s="61">
        <v>0</v>
      </c>
      <c r="G22" s="61">
        <f>DeSoto!K10+DeSoto!K11</f>
        <v>1369698</v>
      </c>
      <c r="H22" s="61">
        <v>0</v>
      </c>
      <c r="I22" s="61">
        <f t="shared" si="8"/>
        <v>12526997</v>
      </c>
      <c r="J22" s="70" t="str">
        <f t="shared" si="15"/>
        <v>ok</v>
      </c>
      <c r="K22" s="60">
        <f>DeSoto!K14</f>
        <v>12526997</v>
      </c>
      <c r="L22" s="107"/>
      <c r="M22" s="61">
        <f>DeSoto!K18</f>
        <v>270768</v>
      </c>
      <c r="N22" s="61">
        <v>0</v>
      </c>
      <c r="O22" s="61">
        <f>DeSoto!K21</f>
        <v>4</v>
      </c>
      <c r="P22" s="61">
        <f>DeSoto!K20+DeSoto!K23</f>
        <v>32322</v>
      </c>
      <c r="Q22" s="61">
        <f t="shared" si="10"/>
        <v>303094</v>
      </c>
      <c r="R22" s="70" t="str">
        <f t="shared" si="16"/>
        <v>ok</v>
      </c>
      <c r="S22" s="60">
        <f>DeSoto!K25</f>
        <v>303094</v>
      </c>
      <c r="T22" s="107">
        <f>DeSoto!K30</f>
        <v>168000</v>
      </c>
      <c r="U22" s="61">
        <v>0</v>
      </c>
      <c r="V22" s="61">
        <v>0</v>
      </c>
      <c r="W22" s="61">
        <f>DeSoto!K45</f>
        <v>12055903</v>
      </c>
      <c r="X22" s="61">
        <f t="shared" si="25"/>
        <v>12055903</v>
      </c>
      <c r="Y22" s="61">
        <f t="shared" si="27"/>
        <v>12526997</v>
      </c>
      <c r="Z22" s="70" t="str">
        <f t="shared" si="18"/>
        <v>ok</v>
      </c>
      <c r="AA22" s="60">
        <f>DeSoto!K49</f>
        <v>12526997</v>
      </c>
    </row>
    <row r="23" spans="1:27" ht="15" customHeight="1">
      <c r="A23" s="68" t="s">
        <v>807</v>
      </c>
      <c r="B23" s="61">
        <f>'East Baton Rouge'!K6</f>
        <v>52185904</v>
      </c>
      <c r="C23" s="61">
        <f>'East Baton Rouge'!K7</f>
        <v>54315942</v>
      </c>
      <c r="D23" s="61">
        <f>'East Baton Rouge'!K8+'East Baton Rouge'!K9+'East Baton Rouge'!K10+'East Baton Rouge'!K11+'East Baton Rouge'!K12+'East Baton Rouge'!K13+'East Baton Rouge'!K16</f>
        <v>30186738</v>
      </c>
      <c r="E23" s="61">
        <f>'East Baton Rouge'!K17</f>
        <v>615439</v>
      </c>
      <c r="F23" s="61">
        <v>0</v>
      </c>
      <c r="G23" s="61">
        <f>'East Baton Rouge'!K14+'East Baton Rouge'!K15</f>
        <v>28109381</v>
      </c>
      <c r="H23" s="61">
        <v>0</v>
      </c>
      <c r="I23" s="61">
        <f>SUM(B23:H23)</f>
        <v>165413404</v>
      </c>
      <c r="J23" s="70" t="str">
        <f t="shared" ref="J23:J27" si="28">IF(I23=K23, "ok", "check")</f>
        <v>ok</v>
      </c>
      <c r="K23" s="60">
        <f>'East Baton Rouge'!K19</f>
        <v>165413404</v>
      </c>
      <c r="L23" s="107"/>
      <c r="M23" s="61">
        <f>'East Baton Rouge'!K23+'East Baton Rouge'!K26</f>
        <v>23140621</v>
      </c>
      <c r="N23" s="61">
        <f>'East Baton Rouge'!K27</f>
        <v>13000</v>
      </c>
      <c r="O23" s="61">
        <f>'East Baton Rouge'!K25</f>
        <v>7095596</v>
      </c>
      <c r="P23" s="61">
        <f>'East Baton Rouge'!K28</f>
        <v>22364573</v>
      </c>
      <c r="Q23" s="61">
        <f t="shared" ref="Q23:Q27" si="29">SUM(M23:P23)</f>
        <v>52613790</v>
      </c>
      <c r="R23" s="70" t="str">
        <f t="shared" ref="R23:R27" si="30">IF(Q23=S23, "ok", "check")</f>
        <v>ok</v>
      </c>
      <c r="S23" s="60">
        <f>'East Baton Rouge'!K30</f>
        <v>52613790</v>
      </c>
      <c r="T23" s="107">
        <f>'East Baton Rouge'!K37</f>
        <v>1452983</v>
      </c>
      <c r="U23" s="61">
        <f>'East Baton Rouge'!K40+'East Baton Rouge'!K41+'East Baton Rouge'!K42</f>
        <v>65711968</v>
      </c>
      <c r="V23" s="61">
        <f>'East Baton Rouge'!K43</f>
        <v>29980644</v>
      </c>
      <c r="W23" s="61">
        <f>'East Baton Rouge'!K44</f>
        <v>15654019</v>
      </c>
      <c r="X23" s="61">
        <f t="shared" ref="X23:X27" si="31">SUM(U23:W23)</f>
        <v>111346631</v>
      </c>
      <c r="Y23" s="61">
        <f t="shared" si="14"/>
        <v>165413404</v>
      </c>
      <c r="Z23" s="70" t="str">
        <f t="shared" ref="Z23:Z27" si="32">IF(Y23=AA23, "ok", "check")</f>
        <v>ok</v>
      </c>
      <c r="AA23" s="60">
        <f>'East Baton Rouge'!K48</f>
        <v>165413404</v>
      </c>
    </row>
    <row r="24" spans="1:27" ht="15" customHeight="1">
      <c r="A24" s="68" t="s">
        <v>808</v>
      </c>
      <c r="B24" s="61">
        <f>'East Carroll'!K6</f>
        <v>336645</v>
      </c>
      <c r="C24" s="61">
        <f>SUM(Lafayette!K4)</f>
        <v>0</v>
      </c>
      <c r="D24" s="61">
        <f>'East Carroll'!K8+'East Carroll'!K9</f>
        <v>833385</v>
      </c>
      <c r="E24" s="61">
        <v>0</v>
      </c>
      <c r="F24" s="61">
        <v>0</v>
      </c>
      <c r="G24" s="61">
        <v>0</v>
      </c>
      <c r="H24" s="61">
        <v>0</v>
      </c>
      <c r="I24" s="61">
        <f t="shared" ref="I24:I27" si="33">SUM(B24:H24)</f>
        <v>1170030</v>
      </c>
      <c r="J24" s="70" t="str">
        <f t="shared" si="28"/>
        <v>ok</v>
      </c>
      <c r="K24" s="60">
        <f>'East Carroll'!K11</f>
        <v>1170030</v>
      </c>
      <c r="L24" s="107"/>
      <c r="M24" s="61">
        <f>'East Carroll'!K15+'East Carroll'!K16</f>
        <v>198651</v>
      </c>
      <c r="N24" s="61">
        <v>0</v>
      </c>
      <c r="O24" s="61">
        <v>0</v>
      </c>
      <c r="P24" s="61">
        <v>0</v>
      </c>
      <c r="Q24" s="61">
        <f t="shared" si="29"/>
        <v>198651</v>
      </c>
      <c r="R24" s="70" t="str">
        <f t="shared" si="30"/>
        <v>ok</v>
      </c>
      <c r="S24" s="60">
        <f>'East Carroll'!K18</f>
        <v>198651</v>
      </c>
      <c r="T24" s="107">
        <v>0</v>
      </c>
      <c r="U24" s="61">
        <f>SUM(Lafayette!K37+Lafayette!K41)</f>
        <v>0</v>
      </c>
      <c r="V24" s="61">
        <f>SUM(Lafayette!K45)</f>
        <v>0</v>
      </c>
      <c r="W24" s="61">
        <f>'East Carroll'!K22</f>
        <v>971379</v>
      </c>
      <c r="X24" s="61">
        <f t="shared" si="31"/>
        <v>971379</v>
      </c>
      <c r="Y24" s="61">
        <f t="shared" ref="Y24:Y27" si="34">SUM(Q24+X24+T24)</f>
        <v>1170030</v>
      </c>
      <c r="Z24" s="70" t="str">
        <f t="shared" si="32"/>
        <v>ok</v>
      </c>
      <c r="AA24" s="60">
        <f>'East Carroll'!K26</f>
        <v>1170030</v>
      </c>
    </row>
    <row r="25" spans="1:27" ht="15" customHeight="1">
      <c r="A25" s="68" t="s">
        <v>809</v>
      </c>
      <c r="B25" s="61">
        <f>'East Feliciana'!K6</f>
        <v>1090218.07</v>
      </c>
      <c r="C25" s="61">
        <v>0</v>
      </c>
      <c r="D25" s="61">
        <f>'East Feliciana'!K8+'East Feliciana'!K9</f>
        <v>348028.1</v>
      </c>
      <c r="E25" s="61">
        <v>0</v>
      </c>
      <c r="F25" s="61">
        <v>0</v>
      </c>
      <c r="G25" s="61">
        <f>'East Feliciana'!K10+'East Feliciana'!K11</f>
        <v>265021.62</v>
      </c>
      <c r="H25" s="61">
        <v>0</v>
      </c>
      <c r="I25" s="61">
        <f t="shared" si="33"/>
        <v>1703267.79</v>
      </c>
      <c r="J25" s="70" t="str">
        <f t="shared" si="28"/>
        <v>ok</v>
      </c>
      <c r="K25" s="60">
        <f>'East Feliciana'!K13</f>
        <v>1703267.79</v>
      </c>
      <c r="L25" s="107"/>
      <c r="M25" s="61">
        <f>'East Feliciana'!K17</f>
        <v>60416.02</v>
      </c>
      <c r="N25" s="61">
        <v>0</v>
      </c>
      <c r="O25" s="61">
        <v>0</v>
      </c>
      <c r="P25" s="61">
        <v>0</v>
      </c>
      <c r="Q25" s="61">
        <f t="shared" si="29"/>
        <v>60416.02</v>
      </c>
      <c r="R25" s="70" t="str">
        <f t="shared" si="30"/>
        <v>ok</v>
      </c>
      <c r="S25" s="60">
        <f>'East Feliciana'!K21</f>
        <v>60416.02</v>
      </c>
      <c r="T25" s="107">
        <v>0</v>
      </c>
      <c r="U25" s="61">
        <f>'East Feliciana'!K26+'East Feliciana'!K29+'East Feliciana'!K32</f>
        <v>209955.91</v>
      </c>
      <c r="V25" s="61">
        <v>0</v>
      </c>
      <c r="W25" s="61">
        <f>'East Feliciana'!K33</f>
        <v>1432895.86</v>
      </c>
      <c r="X25" s="61">
        <f t="shared" si="31"/>
        <v>1642851.77</v>
      </c>
      <c r="Y25" s="61">
        <f t="shared" ref="Y25" si="35">SUM(Q25+X25+T25)</f>
        <v>1703267.79</v>
      </c>
      <c r="Z25" s="70" t="str">
        <f t="shared" si="32"/>
        <v>ok</v>
      </c>
      <c r="AA25" s="60">
        <f>'East Feliciana'!K37</f>
        <v>1703267.79</v>
      </c>
    </row>
    <row r="26" spans="1:27" ht="15" customHeight="1">
      <c r="A26" s="68" t="s">
        <v>810</v>
      </c>
      <c r="B26" s="61">
        <f>Evangeline!K6</f>
        <v>566864</v>
      </c>
      <c r="C26" s="61">
        <f>Morehouse!K2</f>
        <v>0</v>
      </c>
      <c r="D26" s="61">
        <f>Evangeline!K7</f>
        <v>851112</v>
      </c>
      <c r="E26" s="61">
        <v>0</v>
      </c>
      <c r="F26" s="61">
        <f>Evangeline!K10</f>
        <v>15960</v>
      </c>
      <c r="G26" s="61">
        <f>Evangeline!K8+Evangeline!K9</f>
        <v>322889</v>
      </c>
      <c r="H26" s="61">
        <v>0</v>
      </c>
      <c r="I26" s="61">
        <f t="shared" si="33"/>
        <v>1756825</v>
      </c>
      <c r="J26" s="70" t="str">
        <f t="shared" si="28"/>
        <v>ok</v>
      </c>
      <c r="K26" s="60">
        <f>Evangeline!K14</f>
        <v>1756825</v>
      </c>
      <c r="L26" s="107"/>
      <c r="M26" s="61">
        <f>Evangeline!K19+Evangeline!K22+Evangeline!K23</f>
        <v>536641</v>
      </c>
      <c r="N26" s="61">
        <v>0</v>
      </c>
      <c r="O26" s="61">
        <f>Morehouse!K13</f>
        <v>0</v>
      </c>
      <c r="P26" s="61">
        <v>0</v>
      </c>
      <c r="Q26" s="61">
        <f t="shared" si="29"/>
        <v>536641</v>
      </c>
      <c r="R26" s="70" t="str">
        <f t="shared" si="30"/>
        <v>ok</v>
      </c>
      <c r="S26" s="60">
        <f>Evangeline!K26</f>
        <v>536641</v>
      </c>
      <c r="T26" s="107">
        <v>0</v>
      </c>
      <c r="U26" s="61">
        <v>0</v>
      </c>
      <c r="V26" s="61">
        <v>0</v>
      </c>
      <c r="W26" s="61">
        <f>Evangeline!K40</f>
        <v>1220184</v>
      </c>
      <c r="X26" s="61">
        <f t="shared" si="31"/>
        <v>1220184</v>
      </c>
      <c r="Y26" s="61">
        <f t="shared" si="34"/>
        <v>1756825</v>
      </c>
      <c r="Z26" s="70" t="str">
        <f t="shared" si="32"/>
        <v>ok</v>
      </c>
      <c r="AA26" s="60">
        <f>Evangeline!K44</f>
        <v>1756825</v>
      </c>
    </row>
    <row r="27" spans="1:27" ht="15" customHeight="1">
      <c r="A27" s="68" t="s">
        <v>811</v>
      </c>
      <c r="B27" s="61">
        <f>Franklin!K6</f>
        <v>229344</v>
      </c>
      <c r="C27" s="61">
        <f>Livingston!K3</f>
        <v>0</v>
      </c>
      <c r="D27" s="61">
        <f>Franklin!K7</f>
        <v>255196</v>
      </c>
      <c r="E27" s="61">
        <v>0</v>
      </c>
      <c r="F27" s="61">
        <f>Livingston!K12</f>
        <v>0</v>
      </c>
      <c r="G27" s="61">
        <f>Franklin!K9</f>
        <v>104161</v>
      </c>
      <c r="H27" s="61">
        <v>0</v>
      </c>
      <c r="I27" s="61">
        <f t="shared" si="33"/>
        <v>588701</v>
      </c>
      <c r="J27" s="70" t="str">
        <f t="shared" si="28"/>
        <v>ok</v>
      </c>
      <c r="K27" s="60">
        <f>Franklin!K11</f>
        <v>588701</v>
      </c>
      <c r="L27" s="107"/>
      <c r="M27" s="61">
        <f>Franklin!K15+Franklin!K16</f>
        <v>76248</v>
      </c>
      <c r="N27" s="61">
        <f>Livingston!K24</f>
        <v>0</v>
      </c>
      <c r="O27" s="61">
        <f>Franklin!K17</f>
        <v>23716</v>
      </c>
      <c r="P27" s="61">
        <v>0</v>
      </c>
      <c r="Q27" s="61">
        <f t="shared" si="29"/>
        <v>99964</v>
      </c>
      <c r="R27" s="70" t="str">
        <f t="shared" si="30"/>
        <v>ok</v>
      </c>
      <c r="S27" s="60">
        <f>Franklin!K20</f>
        <v>99964</v>
      </c>
      <c r="T27" s="107">
        <v>0</v>
      </c>
      <c r="U27" s="61">
        <v>0</v>
      </c>
      <c r="V27" s="61">
        <v>0</v>
      </c>
      <c r="W27" s="61">
        <f>Franklin!K33</f>
        <v>488737</v>
      </c>
      <c r="X27" s="61">
        <f t="shared" si="31"/>
        <v>488737</v>
      </c>
      <c r="Y27" s="61">
        <f t="shared" si="34"/>
        <v>588701</v>
      </c>
      <c r="Z27" s="70" t="str">
        <f t="shared" si="32"/>
        <v>ok</v>
      </c>
      <c r="AA27" s="60">
        <f>Franklin!K37</f>
        <v>588701</v>
      </c>
    </row>
    <row r="28" spans="1:27" ht="15" customHeight="1">
      <c r="A28" s="68" t="s">
        <v>812</v>
      </c>
      <c r="B28" s="61">
        <f>Grant!K6</f>
        <v>316101</v>
      </c>
      <c r="C28" s="61">
        <v>0</v>
      </c>
      <c r="D28" s="61">
        <f>Grant!K7+Grant!K8</f>
        <v>422994</v>
      </c>
      <c r="E28" s="61">
        <v>0</v>
      </c>
      <c r="F28" s="61">
        <v>0</v>
      </c>
      <c r="G28" s="61">
        <v>0</v>
      </c>
      <c r="H28" s="61">
        <v>0</v>
      </c>
      <c r="I28" s="61">
        <f t="shared" ref="I28:I29" si="36">SUM(B28:H28)</f>
        <v>739095</v>
      </c>
      <c r="J28" s="70" t="str">
        <f t="shared" ref="J28:J29" si="37">IF(I28=K28, "ok", "check")</f>
        <v>ok</v>
      </c>
      <c r="K28" s="60">
        <f>Grant!K10</f>
        <v>739095</v>
      </c>
      <c r="L28" s="107"/>
      <c r="M28" s="61">
        <f>Grant!K14+Grant!K15</f>
        <v>130801</v>
      </c>
      <c r="N28" s="61">
        <f>Grant!K16</f>
        <v>2266</v>
      </c>
      <c r="O28" s="61">
        <v>0</v>
      </c>
      <c r="P28" s="61">
        <v>0</v>
      </c>
      <c r="Q28" s="61">
        <f t="shared" ref="Q28:Q29" si="38">SUM(M28:P28)</f>
        <v>133067</v>
      </c>
      <c r="R28" s="70" t="str">
        <f t="shared" ref="R28:R29" si="39">IF(Q28=S28, "ok", "check")</f>
        <v>ok</v>
      </c>
      <c r="S28" s="60">
        <f>Grant!K18</f>
        <v>133067</v>
      </c>
      <c r="T28" s="107">
        <v>0</v>
      </c>
      <c r="U28" s="61">
        <v>0</v>
      </c>
      <c r="V28" s="61">
        <v>0</v>
      </c>
      <c r="W28" s="61">
        <f>Grant!K30</f>
        <v>606028</v>
      </c>
      <c r="X28" s="61">
        <f t="shared" ref="X28:X29" si="40">SUM(U28:W28)</f>
        <v>606028</v>
      </c>
      <c r="Y28" s="61">
        <f t="shared" ref="Y28:Y29" si="41">SUM(Q28+X28+T28)</f>
        <v>739095</v>
      </c>
      <c r="Z28" s="70" t="str">
        <f t="shared" ref="Z28:Z29" si="42">IF(Y28=AA28, "ok", "check")</f>
        <v>ok</v>
      </c>
      <c r="AA28" s="60">
        <f>Grant!K34</f>
        <v>739095</v>
      </c>
    </row>
    <row r="29" spans="1:27" ht="15" customHeight="1">
      <c r="A29" s="68" t="s">
        <v>813</v>
      </c>
      <c r="B29" s="61">
        <f>Iberia!K6</f>
        <v>1706810</v>
      </c>
      <c r="C29" s="61">
        <v>0</v>
      </c>
      <c r="D29" s="61">
        <f>Iberia!K8</f>
        <v>1156120</v>
      </c>
      <c r="E29" s="61">
        <v>0</v>
      </c>
      <c r="F29" s="61">
        <f>Iberia!K10</f>
        <v>1056944</v>
      </c>
      <c r="G29" s="61">
        <f>Iberia!K9+Iberia!K11</f>
        <v>364155</v>
      </c>
      <c r="H29" s="61">
        <v>0</v>
      </c>
      <c r="I29" s="61">
        <f t="shared" si="36"/>
        <v>4284029</v>
      </c>
      <c r="J29" s="70" t="str">
        <f t="shared" si="37"/>
        <v>ok</v>
      </c>
      <c r="K29" s="60">
        <f>Iberia!K13</f>
        <v>4284029</v>
      </c>
      <c r="L29" s="107"/>
      <c r="M29" s="61">
        <f>Iberia!K17+Iberia!K18</f>
        <v>215479</v>
      </c>
      <c r="N29" s="61">
        <v>0</v>
      </c>
      <c r="O29" s="61">
        <f>Iberia!K22+Iberia!K23</f>
        <v>48807</v>
      </c>
      <c r="P29" s="61">
        <v>0</v>
      </c>
      <c r="Q29" s="61">
        <f t="shared" si="38"/>
        <v>264286</v>
      </c>
      <c r="R29" s="70" t="str">
        <f t="shared" si="39"/>
        <v>ok</v>
      </c>
      <c r="S29" s="60">
        <f>Iberia!K26</f>
        <v>264286</v>
      </c>
      <c r="T29" s="107">
        <v>0</v>
      </c>
      <c r="U29" s="61">
        <f>Iberia!K31</f>
        <v>515153</v>
      </c>
      <c r="V29" s="61">
        <f>Iberia!K32</f>
        <v>2038654</v>
      </c>
      <c r="W29" s="61">
        <f>Iberia!K33</f>
        <v>1465936</v>
      </c>
      <c r="X29" s="61">
        <f t="shared" si="40"/>
        <v>4019743</v>
      </c>
      <c r="Y29" s="61">
        <f t="shared" si="41"/>
        <v>4284029</v>
      </c>
      <c r="Z29" s="70" t="str">
        <f t="shared" si="42"/>
        <v>ok</v>
      </c>
      <c r="AA29" s="60">
        <f>Iberia!K37</f>
        <v>4284029</v>
      </c>
    </row>
    <row r="30" spans="1:27" ht="15" customHeight="1">
      <c r="A30" s="68" t="s">
        <v>814</v>
      </c>
      <c r="B30" s="61">
        <f>Iberville!K7+Iberville!K11</f>
        <v>1930428</v>
      </c>
      <c r="C30" s="61">
        <v>0</v>
      </c>
      <c r="D30" s="61">
        <f>Iberville!K8</f>
        <v>2344775</v>
      </c>
      <c r="E30" s="61">
        <v>0</v>
      </c>
      <c r="F30" s="61">
        <v>0</v>
      </c>
      <c r="G30" s="61">
        <f>SUM(Iberville!K10)</f>
        <v>427702</v>
      </c>
      <c r="H30" s="61">
        <f>SUM(Iberville!K9)</f>
        <v>431673</v>
      </c>
      <c r="I30" s="61">
        <f t="shared" ref="I30:I45" si="43">SUM(B30:H30)</f>
        <v>5134578</v>
      </c>
      <c r="J30" s="70" t="str">
        <f t="shared" si="9"/>
        <v>ok</v>
      </c>
      <c r="K30" s="60">
        <f>SUM(Iberville!K14)</f>
        <v>5134578</v>
      </c>
      <c r="L30" s="107"/>
      <c r="M30" s="61">
        <f>SUM(Iberville!K18+Iberville!K20)</f>
        <v>959650</v>
      </c>
      <c r="N30" s="61">
        <v>0</v>
      </c>
      <c r="O30" s="61">
        <v>0</v>
      </c>
      <c r="P30" s="61">
        <v>0</v>
      </c>
      <c r="Q30" s="61">
        <f t="shared" ref="Q30:Q45" si="44">SUM(M30:P30)</f>
        <v>959650</v>
      </c>
      <c r="R30" s="70" t="str">
        <f t="shared" si="11"/>
        <v>ok</v>
      </c>
      <c r="S30" s="60">
        <f>SUM(Iberville!K22)</f>
        <v>959650</v>
      </c>
      <c r="T30" s="107">
        <v>0</v>
      </c>
      <c r="U30" s="61">
        <f>SUM(Iberville!K25+Iberville!K26)</f>
        <v>581673</v>
      </c>
      <c r="V30" s="61">
        <v>0</v>
      </c>
      <c r="W30" s="61">
        <f>SUM(Iberville!K29)</f>
        <v>3593255</v>
      </c>
      <c r="X30" s="61">
        <f t="shared" ref="X30:X44" si="45">SUM(U30:W30)</f>
        <v>4174928</v>
      </c>
      <c r="Y30" s="61">
        <f t="shared" si="14"/>
        <v>5134578</v>
      </c>
      <c r="Z30" s="70" t="str">
        <f t="shared" si="13"/>
        <v>ok</v>
      </c>
      <c r="AA30" s="60">
        <f>SUM(Iberville!K33)</f>
        <v>5134578</v>
      </c>
    </row>
    <row r="31" spans="1:27" ht="15" customHeight="1">
      <c r="A31" s="68" t="s">
        <v>815</v>
      </c>
      <c r="B31" s="61">
        <f>Jackson!K6</f>
        <v>2555510</v>
      </c>
      <c r="C31" s="61">
        <v>0</v>
      </c>
      <c r="D31" s="61">
        <f>Jackson!K7+Jackson!K8</f>
        <v>1363659</v>
      </c>
      <c r="E31" s="61">
        <v>0</v>
      </c>
      <c r="F31" s="61">
        <v>0</v>
      </c>
      <c r="G31" s="61">
        <v>0</v>
      </c>
      <c r="H31" s="61">
        <f>Jackson!K9</f>
        <v>4916</v>
      </c>
      <c r="I31" s="61">
        <f t="shared" si="43"/>
        <v>3924085</v>
      </c>
      <c r="J31" s="70" t="str">
        <f t="shared" si="9"/>
        <v>ok</v>
      </c>
      <c r="K31" s="60">
        <f>Jackson!K11</f>
        <v>3924085</v>
      </c>
      <c r="L31" s="107"/>
      <c r="M31" s="61">
        <f>Jackson!K15</f>
        <v>83471</v>
      </c>
      <c r="N31" s="61">
        <f>Grant!K19</f>
        <v>0</v>
      </c>
      <c r="O31" s="61">
        <v>0</v>
      </c>
      <c r="P31" s="61">
        <f>Jackson!K17</f>
        <v>4525</v>
      </c>
      <c r="Q31" s="61">
        <f t="shared" si="44"/>
        <v>87996</v>
      </c>
      <c r="R31" s="70" t="str">
        <f t="shared" si="11"/>
        <v>ok</v>
      </c>
      <c r="S31" s="60">
        <f>Jackson!K19</f>
        <v>87996</v>
      </c>
      <c r="T31" s="107">
        <f>Jackson!K23</f>
        <v>98282</v>
      </c>
      <c r="U31" s="61">
        <f>Jackson!K26+Jackson!K27+Jackson!K28</f>
        <v>1298129</v>
      </c>
      <c r="V31" s="61">
        <v>0</v>
      </c>
      <c r="W31" s="61">
        <f>Jackson!K29</f>
        <v>2439678</v>
      </c>
      <c r="X31" s="61">
        <f t="shared" si="45"/>
        <v>3737807</v>
      </c>
      <c r="Y31" s="61">
        <f t="shared" si="14"/>
        <v>3924085</v>
      </c>
      <c r="Z31" s="70" t="str">
        <f t="shared" si="13"/>
        <v>ok</v>
      </c>
      <c r="AA31" s="60">
        <f>Jackson!K33</f>
        <v>3924085</v>
      </c>
    </row>
    <row r="32" spans="1:27" ht="15" customHeight="1">
      <c r="A32" s="68" t="s">
        <v>816</v>
      </c>
      <c r="B32" s="61">
        <f>SUM(Jefferson!K7)</f>
        <v>3791000</v>
      </c>
      <c r="C32" s="61">
        <v>0</v>
      </c>
      <c r="D32" s="61">
        <f>SUM(Jefferson!K13+Jefferson!K14+Jefferson!K15)</f>
        <v>18209000</v>
      </c>
      <c r="E32" s="61">
        <v>0</v>
      </c>
      <c r="F32" s="61">
        <f>SUM(Jefferson!K9+Jefferson!K17)</f>
        <v>14199000</v>
      </c>
      <c r="G32" s="61">
        <v>0</v>
      </c>
      <c r="H32" s="61">
        <v>0</v>
      </c>
      <c r="I32" s="61">
        <f t="shared" si="43"/>
        <v>36199000</v>
      </c>
      <c r="J32" s="70" t="str">
        <f t="shared" si="9"/>
        <v>ok</v>
      </c>
      <c r="K32" s="60">
        <f>SUM(Jefferson!K19)</f>
        <v>36199000</v>
      </c>
      <c r="L32" s="107"/>
      <c r="M32" s="61">
        <f>SUM(Jefferson!K23+Jefferson!K24+Jefferson!K27)</f>
        <v>6085000</v>
      </c>
      <c r="N32" s="61">
        <v>0</v>
      </c>
      <c r="O32" s="61">
        <v>0</v>
      </c>
      <c r="P32" s="61">
        <f>SUM(Jefferson!K26)</f>
        <v>81000</v>
      </c>
      <c r="Q32" s="61">
        <f t="shared" si="44"/>
        <v>6166000</v>
      </c>
      <c r="R32" s="70" t="str">
        <f t="shared" si="11"/>
        <v>ok</v>
      </c>
      <c r="S32" s="60">
        <f>SUM(Jefferson!K29)</f>
        <v>6166000</v>
      </c>
      <c r="T32" s="107">
        <f>SUM(Jefferson!K33)</f>
        <v>4065000</v>
      </c>
      <c r="U32" s="61">
        <f>SUM(Jefferson!K37+Jefferson!K38)</f>
        <v>11593000</v>
      </c>
      <c r="V32" s="61">
        <v>0</v>
      </c>
      <c r="W32" s="61">
        <f>SUM(Jefferson!K40)</f>
        <v>14374000</v>
      </c>
      <c r="X32" s="61">
        <f t="shared" si="45"/>
        <v>25967000</v>
      </c>
      <c r="Y32" s="61">
        <f t="shared" si="14"/>
        <v>36198000</v>
      </c>
      <c r="Z32" s="70" t="str">
        <f t="shared" si="13"/>
        <v>ok</v>
      </c>
      <c r="AA32" s="60">
        <f>SUM(Jefferson!K44)</f>
        <v>36198000</v>
      </c>
    </row>
    <row r="33" spans="1:27" ht="15" customHeight="1">
      <c r="A33" s="68" t="s">
        <v>817</v>
      </c>
      <c r="B33" s="61">
        <f>'Jefferson Davis'!K6</f>
        <v>6873169</v>
      </c>
      <c r="C33" s="61">
        <f>'Jefferson Davis'!K7</f>
        <v>674530</v>
      </c>
      <c r="D33" s="61">
        <f>'Jefferson Davis'!K8</f>
        <v>38483</v>
      </c>
      <c r="E33" s="61">
        <v>0</v>
      </c>
      <c r="F33" s="61">
        <f>Livingston!K13</f>
        <v>0</v>
      </c>
      <c r="G33" s="61">
        <f>'Jefferson Davis'!K9</f>
        <v>31870</v>
      </c>
      <c r="H33" s="61">
        <v>0</v>
      </c>
      <c r="I33" s="61">
        <f>SUM(B33:H33)</f>
        <v>7618052</v>
      </c>
      <c r="J33" s="70" t="str">
        <f>IF(I33=K33, "ok", "check")</f>
        <v>ok</v>
      </c>
      <c r="K33" s="60">
        <f>'Jefferson Davis'!K12</f>
        <v>7618052</v>
      </c>
      <c r="L33" s="107"/>
      <c r="M33" s="61">
        <f>'Jefferson Davis'!K16+'Jefferson Davis'!K19</f>
        <v>156065</v>
      </c>
      <c r="N33" s="61">
        <v>0</v>
      </c>
      <c r="O33" s="61">
        <f>'Jefferson Davis'!K18+'Jefferson Davis'!K20</f>
        <v>388344</v>
      </c>
      <c r="P33" s="61">
        <v>0</v>
      </c>
      <c r="Q33" s="61">
        <f>SUM(M33:P33)</f>
        <v>544409</v>
      </c>
      <c r="R33" s="70" t="str">
        <f>IF(Q33=S33, "ok", "check")</f>
        <v>ok</v>
      </c>
      <c r="S33" s="60">
        <f>'Jefferson Davis'!K22</f>
        <v>544409</v>
      </c>
      <c r="T33" s="107">
        <f>'Jefferson Davis'!K25</f>
        <v>30672</v>
      </c>
      <c r="U33" s="61">
        <f>Livingston!K33+Livingston!K39</f>
        <v>0</v>
      </c>
      <c r="V33" s="61">
        <f>'Jefferson Davis'!K36</f>
        <v>538003</v>
      </c>
      <c r="W33" s="61">
        <f>'Jefferson Davis'!K37</f>
        <v>6504968</v>
      </c>
      <c r="X33" s="61">
        <f>SUM(U33:W33)</f>
        <v>7042971</v>
      </c>
      <c r="Y33" s="61">
        <f t="shared" ref="Y33" si="46">SUM(Q33+X33+T33)</f>
        <v>7618052</v>
      </c>
      <c r="Z33" s="70" t="str">
        <f>IF(Y33=AA33, "ok", "check")</f>
        <v>ok</v>
      </c>
      <c r="AA33" s="60">
        <f>'Jefferson Davis'!K41</f>
        <v>7618052</v>
      </c>
    </row>
    <row r="34" spans="1:27" ht="15" customHeight="1">
      <c r="A34" s="68" t="s">
        <v>818</v>
      </c>
      <c r="B34" s="61">
        <f>SUM(Lafayette!K6)</f>
        <v>1116295</v>
      </c>
      <c r="C34" s="61">
        <f>SUM(Lafayette!K7)</f>
        <v>26766265</v>
      </c>
      <c r="D34" s="61">
        <f>SUM(Lafayette!K8+Lafayette!K12)</f>
        <v>1452726</v>
      </c>
      <c r="E34" s="61">
        <v>0</v>
      </c>
      <c r="F34" s="61">
        <v>0</v>
      </c>
      <c r="G34" s="61">
        <f>SUM(Lafayette!K13+Lafayette!K14+Lafayette!K15)</f>
        <v>4828274</v>
      </c>
      <c r="H34" s="61">
        <f>SUM(Lafayette!K17)</f>
        <v>2583</v>
      </c>
      <c r="I34" s="61">
        <f t="shared" si="43"/>
        <v>34166143</v>
      </c>
      <c r="J34" s="70" t="str">
        <f t="shared" si="9"/>
        <v>ok</v>
      </c>
      <c r="K34" s="60">
        <f>SUM(Lafayette!K19)</f>
        <v>34166143</v>
      </c>
      <c r="L34" s="107"/>
      <c r="M34" s="61">
        <f>Lafayette!K24+Lafayette!K25+Lafayette!K26+Lafayette!K28+Lafayette!K29</f>
        <v>4338341</v>
      </c>
      <c r="N34" s="61">
        <f>SUM(Lafayette!K33)</f>
        <v>6461</v>
      </c>
      <c r="O34" s="61">
        <f>SUM(Lafayette!K30+Lafayette!K31)</f>
        <v>1162359</v>
      </c>
      <c r="P34" s="61">
        <v>0</v>
      </c>
      <c r="Q34" s="61">
        <f t="shared" si="44"/>
        <v>5507161</v>
      </c>
      <c r="R34" s="70" t="str">
        <f t="shared" si="11"/>
        <v>ok</v>
      </c>
      <c r="S34" s="60">
        <f>SUM(Lafayette!K35)</f>
        <v>5507161</v>
      </c>
      <c r="T34" s="107">
        <v>0</v>
      </c>
      <c r="U34" s="61">
        <f>SUM(Lafayette!K40+Lafayette!K44)</f>
        <v>1284493</v>
      </c>
      <c r="V34" s="61">
        <f>SUM(Lafayette!K48)</f>
        <v>1158166</v>
      </c>
      <c r="W34" s="61">
        <f>SUM(Lafayette!K49)</f>
        <v>26216323</v>
      </c>
      <c r="X34" s="61">
        <f t="shared" si="45"/>
        <v>28658982</v>
      </c>
      <c r="Y34" s="61">
        <f t="shared" si="14"/>
        <v>34166143</v>
      </c>
      <c r="Z34" s="70" t="str">
        <f t="shared" si="13"/>
        <v>ok</v>
      </c>
      <c r="AA34" s="60">
        <f>SUM(Lafayette!K53)</f>
        <v>34166143</v>
      </c>
    </row>
    <row r="35" spans="1:27" ht="15" customHeight="1">
      <c r="A35" s="68" t="s">
        <v>819</v>
      </c>
      <c r="B35" s="61">
        <f>Lafourche!K7</f>
        <v>2330101</v>
      </c>
      <c r="C35" s="61">
        <f>Lafourche!K8</f>
        <v>91</v>
      </c>
      <c r="D35" s="61">
        <f>Lafourche!K9</f>
        <v>779641</v>
      </c>
      <c r="E35" s="61">
        <v>0</v>
      </c>
      <c r="F35" s="61">
        <v>0</v>
      </c>
      <c r="G35" s="61">
        <f>Lafourche!K10+Lafourche!K11</f>
        <v>19204123</v>
      </c>
      <c r="H35" s="61">
        <f>Lafourche!K13</f>
        <v>17300</v>
      </c>
      <c r="I35" s="61">
        <f t="shared" ref="I35:I37" si="47">SUM(B35:H35)</f>
        <v>22331256</v>
      </c>
      <c r="J35" s="70" t="str">
        <f t="shared" ref="J35:J37" si="48">IF(I35=K35, "ok", "check")</f>
        <v>ok</v>
      </c>
      <c r="K35" s="60">
        <f>Lafourche!K15</f>
        <v>22331256</v>
      </c>
      <c r="L35" s="107"/>
      <c r="M35" s="61">
        <f>Lafourche!K19+Lafourche!K20+Lafourche!K21</f>
        <v>435577</v>
      </c>
      <c r="N35" s="61">
        <v>0</v>
      </c>
      <c r="O35" s="61">
        <f>Lafourche!K22+Lafourche!K23</f>
        <v>18971849</v>
      </c>
      <c r="P35" s="61">
        <f>Lafourche!K24</f>
        <v>2103</v>
      </c>
      <c r="Q35" s="61">
        <f t="shared" ref="Q35:Q37" si="49">SUM(M35:P35)</f>
        <v>19409529</v>
      </c>
      <c r="R35" s="70" t="str">
        <f t="shared" ref="R35:R37" si="50">IF(Q35=S35, "ok", "check")</f>
        <v>ok</v>
      </c>
      <c r="S35" s="60">
        <f>Lafourche!K26</f>
        <v>19409529</v>
      </c>
      <c r="T35" s="107">
        <v>0</v>
      </c>
      <c r="U35" s="61">
        <f>Lafourche!K29</f>
        <v>17300</v>
      </c>
      <c r="V35" s="61">
        <v>0</v>
      </c>
      <c r="W35" s="61">
        <f>Lafourche!K40</f>
        <v>2904427</v>
      </c>
      <c r="X35" s="61">
        <f t="shared" ref="X35" si="51">SUM(U35:W35)</f>
        <v>2921727</v>
      </c>
      <c r="Y35" s="61">
        <f t="shared" ref="Y35:Y37" si="52">SUM(Q35+X35+T35)</f>
        <v>22331256</v>
      </c>
      <c r="Z35" s="70" t="str">
        <f t="shared" ref="Z35:Z37" si="53">IF(Y35=AA35, "ok", "check")</f>
        <v>ok</v>
      </c>
      <c r="AA35" s="60">
        <f>Lafourche!K44</f>
        <v>22331256</v>
      </c>
    </row>
    <row r="36" spans="1:27" ht="15" customHeight="1">
      <c r="A36" s="68" t="s">
        <v>820</v>
      </c>
      <c r="B36" s="61">
        <f>LaSalle!K6</f>
        <v>346112</v>
      </c>
      <c r="C36" s="61">
        <v>0</v>
      </c>
      <c r="D36" s="61">
        <f>LaSalle!K8</f>
        <v>377587</v>
      </c>
      <c r="E36" s="61">
        <v>0</v>
      </c>
      <c r="F36" s="61">
        <f>Iberia!K15</f>
        <v>0</v>
      </c>
      <c r="G36" s="61">
        <f>Iberia!K14+Iberia!K16</f>
        <v>0</v>
      </c>
      <c r="H36" s="61">
        <v>0</v>
      </c>
      <c r="I36" s="61">
        <f>SUM(B36:H36)</f>
        <v>723699</v>
      </c>
      <c r="J36" s="70" t="str">
        <f>IF(I36=K36, "ok", "check")</f>
        <v>ok</v>
      </c>
      <c r="K36" s="60">
        <f>LaSalle!K10</f>
        <v>723699</v>
      </c>
      <c r="L36" s="107"/>
      <c r="M36" s="61">
        <f>LaSalle!K15+LaSalle!K16</f>
        <v>91305</v>
      </c>
      <c r="N36" s="61">
        <v>0</v>
      </c>
      <c r="O36" s="61">
        <f>Iberia!K27+Iberia!K28</f>
        <v>0</v>
      </c>
      <c r="P36" s="61">
        <v>0</v>
      </c>
      <c r="Q36" s="61">
        <f>SUM(M36:P36)</f>
        <v>91305</v>
      </c>
      <c r="R36" s="70" t="str">
        <f>IF(Q36=S36, "ok", "check")</f>
        <v>ok</v>
      </c>
      <c r="S36" s="60">
        <f>LaSalle!K18</f>
        <v>91305</v>
      </c>
      <c r="T36" s="107">
        <v>0</v>
      </c>
      <c r="U36" s="61">
        <f>LaSalle!K27</f>
        <v>4262</v>
      </c>
      <c r="V36" s="61">
        <v>0</v>
      </c>
      <c r="W36" s="61">
        <f>LaSalle!K28</f>
        <v>628132</v>
      </c>
      <c r="X36" s="61">
        <f>SUM(U36:W36)</f>
        <v>632394</v>
      </c>
      <c r="Y36" s="61">
        <f>SUM(Q36+X36+T36)</f>
        <v>723699</v>
      </c>
      <c r="Z36" s="70" t="str">
        <f>IF(Y36=AA36, "ok", "check")</f>
        <v>ok</v>
      </c>
      <c r="AA36" s="60">
        <f>LaSalle!K32</f>
        <v>723699</v>
      </c>
    </row>
    <row r="37" spans="1:27" ht="15" customHeight="1">
      <c r="A37" s="68" t="s">
        <v>821</v>
      </c>
      <c r="B37" s="61">
        <f>Lincoln!K6</f>
        <v>971435</v>
      </c>
      <c r="C37" s="61">
        <f>Lincoln!K7</f>
        <v>2056263</v>
      </c>
      <c r="D37" s="61">
        <f>Lincoln!K8</f>
        <v>1108654</v>
      </c>
      <c r="E37" s="61">
        <v>0</v>
      </c>
      <c r="F37" s="61">
        <v>0</v>
      </c>
      <c r="G37" s="61">
        <f>Lincoln!K10+Lincoln!K11</f>
        <v>356648</v>
      </c>
      <c r="H37" s="61">
        <f>Lincoln!K9</f>
        <v>3008</v>
      </c>
      <c r="I37" s="61">
        <f t="shared" si="47"/>
        <v>4496008</v>
      </c>
      <c r="J37" s="70" t="str">
        <f t="shared" si="48"/>
        <v>ok</v>
      </c>
      <c r="K37" s="60">
        <f>Lincoln!K14</f>
        <v>4496008</v>
      </c>
      <c r="L37" s="107"/>
      <c r="M37" s="61">
        <f>Lincoln!K18</f>
        <v>284999</v>
      </c>
      <c r="N37" s="61">
        <v>0</v>
      </c>
      <c r="O37" s="61">
        <f>Lincoln!K19+Lincoln!K20</f>
        <v>879230</v>
      </c>
      <c r="P37" s="61">
        <v>0</v>
      </c>
      <c r="Q37" s="61">
        <f t="shared" si="49"/>
        <v>1164229</v>
      </c>
      <c r="R37" s="70" t="str">
        <f t="shared" si="50"/>
        <v>ok</v>
      </c>
      <c r="S37" s="60">
        <f>Lincoln!K22</f>
        <v>1164229</v>
      </c>
      <c r="T37" s="107">
        <f>Orleans!K37</f>
        <v>0</v>
      </c>
      <c r="U37" s="61">
        <f>Lincoln!K25</f>
        <v>3008</v>
      </c>
      <c r="V37" s="61">
        <f>SUM(Orleans!K43)</f>
        <v>0</v>
      </c>
      <c r="W37" s="61">
        <f>Lincoln!K29</f>
        <v>3328771</v>
      </c>
      <c r="X37" s="61">
        <f t="shared" ref="X37" si="54">SUM(U37:W37)</f>
        <v>3331779</v>
      </c>
      <c r="Y37" s="61">
        <f t="shared" si="52"/>
        <v>4496008</v>
      </c>
      <c r="Z37" s="70" t="str">
        <f t="shared" si="53"/>
        <v>ok</v>
      </c>
      <c r="AA37" s="60">
        <f>Lincoln!K33</f>
        <v>4496008</v>
      </c>
    </row>
    <row r="38" spans="1:27" ht="15" customHeight="1">
      <c r="A38" s="68" t="s">
        <v>822</v>
      </c>
      <c r="B38" s="61">
        <f>Livingston!K7+Livingston!K11</f>
        <v>564152</v>
      </c>
      <c r="C38" s="61">
        <f>Livingston!K8</f>
        <v>71227</v>
      </c>
      <c r="D38" s="61">
        <f>Livingston!K9</f>
        <v>489489</v>
      </c>
      <c r="E38" s="61">
        <f>Livingston!K13</f>
        <v>0</v>
      </c>
      <c r="F38" s="61">
        <f>Livingston!K17</f>
        <v>3431708</v>
      </c>
      <c r="G38" s="61">
        <f>Livingston!K16+Livingston!K15</f>
        <v>6263094</v>
      </c>
      <c r="H38" s="61">
        <v>0</v>
      </c>
      <c r="I38" s="61">
        <f t="shared" ref="I38:I41" si="55">SUM(B38:H38)</f>
        <v>10819670</v>
      </c>
      <c r="J38" s="70" t="str">
        <f t="shared" ref="J38:J41" si="56">IF(I38=K38, "ok", "check")</f>
        <v>ok</v>
      </c>
      <c r="K38" s="60">
        <f>Livingston!K19</f>
        <v>10819670</v>
      </c>
      <c r="L38" s="107"/>
      <c r="M38" s="61">
        <f>Livingston!K23+Livingston!K25</f>
        <v>1079266</v>
      </c>
      <c r="N38" s="61">
        <f>Livingston!K29</f>
        <v>19700</v>
      </c>
      <c r="O38" s="61">
        <f>Livingston!K28+Livingston!K27</f>
        <v>894210</v>
      </c>
      <c r="P38" s="61">
        <v>0</v>
      </c>
      <c r="Q38" s="61">
        <f t="shared" ref="Q38:Q41" si="57">SUM(M38:P38)</f>
        <v>1993176</v>
      </c>
      <c r="R38" s="70" t="str">
        <f t="shared" ref="R38:R41" si="58">IF(Q38=S38, "ok", "check")</f>
        <v>ok</v>
      </c>
      <c r="S38" s="60">
        <f>Livingston!K32</f>
        <v>1993176</v>
      </c>
      <c r="T38" s="107">
        <v>0</v>
      </c>
      <c r="U38" s="61">
        <f>Livingston!K37+Livingston!K43</f>
        <v>3524492</v>
      </c>
      <c r="V38" s="61">
        <f>Livingston!K47+Livingston!K48+Livingston!K55</f>
        <v>285846</v>
      </c>
      <c r="W38" s="61">
        <f>Livingston!K56</f>
        <v>5016156</v>
      </c>
      <c r="X38" s="61">
        <f t="shared" ref="X38:X41" si="59">SUM(U38:W38)</f>
        <v>8826494</v>
      </c>
      <c r="Y38" s="61">
        <f t="shared" si="14"/>
        <v>10819670</v>
      </c>
      <c r="Z38" s="70" t="str">
        <f t="shared" ref="Z38:Z41" si="60">IF(Y38=AA38, "ok", "check")</f>
        <v>ok</v>
      </c>
      <c r="AA38" s="60">
        <f>Livingston!K60</f>
        <v>10819670</v>
      </c>
    </row>
    <row r="39" spans="1:27" ht="15" customHeight="1">
      <c r="A39" s="68" t="s">
        <v>823</v>
      </c>
      <c r="B39" s="61">
        <f>Madison!K7</f>
        <v>144718</v>
      </c>
      <c r="C39" s="61">
        <f>SUM(Plaquemines!K5)</f>
        <v>0</v>
      </c>
      <c r="D39" s="61">
        <f>Madison!K9+Madison!K10</f>
        <v>824703</v>
      </c>
      <c r="E39" s="61">
        <v>0</v>
      </c>
      <c r="F39" s="61">
        <v>0</v>
      </c>
      <c r="G39" s="61">
        <v>0</v>
      </c>
      <c r="H39" s="61">
        <v>0</v>
      </c>
      <c r="I39" s="61">
        <f t="shared" si="55"/>
        <v>969421</v>
      </c>
      <c r="J39" s="70" t="str">
        <f t="shared" si="56"/>
        <v>ok</v>
      </c>
      <c r="K39" s="60">
        <f>Madison!K12</f>
        <v>969421</v>
      </c>
      <c r="L39" s="107"/>
      <c r="M39" s="61">
        <f>Madison!K16+Madison!K17</f>
        <v>113802</v>
      </c>
      <c r="N39" s="61">
        <f>SUM(Plaquemines!K16)</f>
        <v>0</v>
      </c>
      <c r="O39" s="61">
        <v>0</v>
      </c>
      <c r="P39" s="61">
        <v>0</v>
      </c>
      <c r="Q39" s="61">
        <f t="shared" si="57"/>
        <v>113802</v>
      </c>
      <c r="R39" s="70" t="str">
        <f t="shared" si="58"/>
        <v>ok</v>
      </c>
      <c r="S39" s="60">
        <f>Madison!K19</f>
        <v>113802</v>
      </c>
      <c r="T39" s="107">
        <v>0</v>
      </c>
      <c r="U39" s="61">
        <v>0</v>
      </c>
      <c r="V39" s="61">
        <v>0</v>
      </c>
      <c r="W39" s="61">
        <f>Madison!K23</f>
        <v>855619</v>
      </c>
      <c r="X39" s="61">
        <f t="shared" si="59"/>
        <v>855619</v>
      </c>
      <c r="Y39" s="61">
        <f t="shared" ref="Y39" si="61">SUM(Q39+X39+T39)</f>
        <v>969421</v>
      </c>
      <c r="Z39" s="70" t="str">
        <f t="shared" si="60"/>
        <v>ok</v>
      </c>
      <c r="AA39" s="60">
        <f>Madison!K27</f>
        <v>969421</v>
      </c>
    </row>
    <row r="40" spans="1:27" ht="15" customHeight="1">
      <c r="A40" s="68" t="s">
        <v>824</v>
      </c>
      <c r="B40" s="61">
        <v>0</v>
      </c>
      <c r="C40" s="61">
        <f>Morehouse!K8</f>
        <v>25000</v>
      </c>
      <c r="D40" s="61">
        <f>Morehouse!K9</f>
        <v>564067</v>
      </c>
      <c r="E40" s="61">
        <v>0</v>
      </c>
      <c r="F40" s="61">
        <v>0</v>
      </c>
      <c r="G40" s="61">
        <f>Morehouse!K10</f>
        <v>73462</v>
      </c>
      <c r="H40" s="61">
        <f>SUM(Lafayette!K20)</f>
        <v>0</v>
      </c>
      <c r="I40" s="61">
        <f t="shared" si="55"/>
        <v>662529</v>
      </c>
      <c r="J40" s="70" t="str">
        <f t="shared" si="56"/>
        <v>ok</v>
      </c>
      <c r="K40" s="60">
        <f>Morehouse!K12</f>
        <v>662529</v>
      </c>
      <c r="L40" s="107"/>
      <c r="M40" s="61">
        <f>Morehouse!K17</f>
        <v>175162</v>
      </c>
      <c r="N40" s="61">
        <f>SUM(Lafayette!K36)</f>
        <v>0</v>
      </c>
      <c r="O40" s="61">
        <f>Morehouse!K19</f>
        <v>49393</v>
      </c>
      <c r="P40" s="61">
        <f>Morehouse!K16+Morehouse!K18</f>
        <v>1581115</v>
      </c>
      <c r="Q40" s="61">
        <f t="shared" si="57"/>
        <v>1805670</v>
      </c>
      <c r="R40" s="70" t="str">
        <f t="shared" si="58"/>
        <v>ok</v>
      </c>
      <c r="S40" s="60">
        <f>Morehouse!K21</f>
        <v>1805670</v>
      </c>
      <c r="T40" s="107">
        <f>Morehouse!K24</f>
        <v>529535</v>
      </c>
      <c r="U40" s="61">
        <v>0</v>
      </c>
      <c r="V40" s="61">
        <v>0</v>
      </c>
      <c r="W40" s="61">
        <f>Morehouse!K29</f>
        <v>-1672676</v>
      </c>
      <c r="X40" s="61">
        <f t="shared" si="59"/>
        <v>-1672676</v>
      </c>
      <c r="Y40" s="61">
        <f t="shared" ref="Y40:Y41" si="62">SUM(Q40+X40+T40)</f>
        <v>662529</v>
      </c>
      <c r="Z40" s="70" t="str">
        <f t="shared" si="60"/>
        <v>ok</v>
      </c>
      <c r="AA40" s="60">
        <f>Morehouse!K33</f>
        <v>662529</v>
      </c>
    </row>
    <row r="41" spans="1:27" ht="15" customHeight="1">
      <c r="A41" s="68" t="s">
        <v>825</v>
      </c>
      <c r="B41" s="61">
        <f>Natchitoches!K7</f>
        <v>711107</v>
      </c>
      <c r="C41" s="61">
        <f>'St. Bernard'!K4</f>
        <v>0</v>
      </c>
      <c r="D41" s="61">
        <f>Natchitoches!K8</f>
        <v>1066676</v>
      </c>
      <c r="E41" s="61">
        <v>0</v>
      </c>
      <c r="F41" s="61">
        <v>0</v>
      </c>
      <c r="G41" s="61">
        <v>0</v>
      </c>
      <c r="H41" s="61">
        <v>0</v>
      </c>
      <c r="I41" s="61">
        <f t="shared" si="55"/>
        <v>1777783</v>
      </c>
      <c r="J41" s="70" t="str">
        <f t="shared" si="56"/>
        <v>ok</v>
      </c>
      <c r="K41" s="60">
        <f>Natchitoches!K11</f>
        <v>1777783</v>
      </c>
      <c r="L41" s="107"/>
      <c r="M41" s="61">
        <f>Natchitoches!K16+Natchitoches!K17</f>
        <v>346921</v>
      </c>
      <c r="N41" s="61">
        <v>0</v>
      </c>
      <c r="O41" s="61">
        <f>'St. Bernard'!K22</f>
        <v>0</v>
      </c>
      <c r="P41" s="61">
        <v>0</v>
      </c>
      <c r="Q41" s="61">
        <f t="shared" si="57"/>
        <v>346921</v>
      </c>
      <c r="R41" s="70" t="str">
        <f t="shared" si="58"/>
        <v>ok</v>
      </c>
      <c r="S41" s="60">
        <f>Natchitoches!K21</f>
        <v>346921</v>
      </c>
      <c r="T41" s="107">
        <v>0</v>
      </c>
      <c r="U41" s="61">
        <v>0</v>
      </c>
      <c r="V41" s="61">
        <v>0</v>
      </c>
      <c r="W41" s="61">
        <f>Natchitoches!K25</f>
        <v>1430862</v>
      </c>
      <c r="X41" s="61">
        <f t="shared" si="59"/>
        <v>1430862</v>
      </c>
      <c r="Y41" s="61">
        <f t="shared" si="62"/>
        <v>1777783</v>
      </c>
      <c r="Z41" s="70" t="str">
        <f t="shared" si="60"/>
        <v>ok</v>
      </c>
      <c r="AA41" s="60">
        <f>Natchitoches!K29</f>
        <v>1777783</v>
      </c>
    </row>
    <row r="42" spans="1:27" ht="15" customHeight="1">
      <c r="A42" s="68" t="s">
        <v>826</v>
      </c>
      <c r="B42" s="61">
        <f>Orleans!K7</f>
        <v>13309000</v>
      </c>
      <c r="C42" s="61">
        <f>Orleans!K8</f>
        <v>1372000</v>
      </c>
      <c r="D42" s="61">
        <f>Orleans!K10+Orleans!K11+Orleans!K12+Orleans!K13</f>
        <v>37882000</v>
      </c>
      <c r="E42" s="61">
        <v>0</v>
      </c>
      <c r="F42" s="61">
        <f>Orleans!K20</f>
        <v>4000</v>
      </c>
      <c r="G42" s="61">
        <f>Orleans!K16+Orleans!K17+Orleans!K18+Orleans!K19</f>
        <v>36424000</v>
      </c>
      <c r="H42" s="61">
        <v>0</v>
      </c>
      <c r="I42" s="61">
        <f t="shared" si="43"/>
        <v>88991000</v>
      </c>
      <c r="J42" s="70" t="str">
        <f t="shared" si="9"/>
        <v>ok</v>
      </c>
      <c r="K42" s="60">
        <f>SUM(Orleans!K22)</f>
        <v>88991000</v>
      </c>
      <c r="L42" s="107"/>
      <c r="M42" s="61">
        <f>SUM(Orleans!K26)</f>
        <v>32039000</v>
      </c>
      <c r="N42" s="61">
        <f>SUM(Orleans!K33)</f>
        <v>0</v>
      </c>
      <c r="O42" s="61">
        <f>SUM(Orleans!K29+Orleans!K30+Orleans!K31)</f>
        <v>31294000</v>
      </c>
      <c r="P42" s="61">
        <v>0</v>
      </c>
      <c r="Q42" s="61">
        <f t="shared" si="44"/>
        <v>63333000</v>
      </c>
      <c r="R42" s="70" t="str">
        <f t="shared" si="11"/>
        <v>ok</v>
      </c>
      <c r="S42" s="60">
        <f>SUM(Orleans!K35)</f>
        <v>63333000</v>
      </c>
      <c r="T42" s="107">
        <f>Orleans!K40</f>
        <v>8702000</v>
      </c>
      <c r="U42" s="61">
        <f>Orleans!K45</f>
        <v>6036000</v>
      </c>
      <c r="V42" s="61">
        <f>SUM(Orleans!K46)</f>
        <v>0</v>
      </c>
      <c r="W42" s="61">
        <f>Orleans!K47</f>
        <v>10920000</v>
      </c>
      <c r="X42" s="61">
        <f t="shared" si="45"/>
        <v>16956000</v>
      </c>
      <c r="Y42" s="61">
        <f t="shared" si="14"/>
        <v>88991000</v>
      </c>
      <c r="Z42" s="70" t="str">
        <f t="shared" si="13"/>
        <v>ok</v>
      </c>
      <c r="AA42" s="60">
        <f>SUM(Orleans!K51)</f>
        <v>88991000</v>
      </c>
    </row>
    <row r="43" spans="1:27" ht="15" customHeight="1">
      <c r="A43" s="68" t="s">
        <v>827</v>
      </c>
      <c r="B43" s="61">
        <f>Ouachita!K7</f>
        <v>2380204</v>
      </c>
      <c r="C43" s="61">
        <f>Ouachita!K8</f>
        <v>2750000</v>
      </c>
      <c r="D43" s="61">
        <f>Ouachita!K10+Ouachita!K13</f>
        <v>3354305</v>
      </c>
      <c r="E43" s="61">
        <f>Ouachita!K17</f>
        <v>5747</v>
      </c>
      <c r="F43" s="61">
        <v>0</v>
      </c>
      <c r="G43" s="61">
        <f>Ouachita!K14+Ouachita!K15</f>
        <v>1898756</v>
      </c>
      <c r="H43" s="61">
        <f>Ouachita!K16</f>
        <v>45</v>
      </c>
      <c r="I43" s="61">
        <f t="shared" si="43"/>
        <v>10389057</v>
      </c>
      <c r="J43" s="70" t="str">
        <f t="shared" si="9"/>
        <v>ok</v>
      </c>
      <c r="K43" s="60">
        <f>Ouachita!K19</f>
        <v>10389057</v>
      </c>
      <c r="L43" s="107"/>
      <c r="M43" s="61">
        <f>Ouachita!K23</f>
        <v>1001520</v>
      </c>
      <c r="N43" s="61">
        <f>Ouachita!K25</f>
        <v>317461</v>
      </c>
      <c r="O43" s="61">
        <f>Ouachita!K24</f>
        <v>138336</v>
      </c>
      <c r="P43" s="61">
        <f>Ouachita!K26</f>
        <v>3470</v>
      </c>
      <c r="Q43" s="61">
        <f t="shared" si="44"/>
        <v>1460787</v>
      </c>
      <c r="R43" s="70" t="str">
        <f t="shared" si="11"/>
        <v>ok</v>
      </c>
      <c r="S43" s="60">
        <f>Ouachita!K28</f>
        <v>1460787</v>
      </c>
      <c r="T43" s="107">
        <f>Morehouse!K27</f>
        <v>0</v>
      </c>
      <c r="U43" s="61">
        <f>Ouachita!K32+Ouachita!K33+Ouachita!K36</f>
        <v>4107561</v>
      </c>
      <c r="V43" s="61">
        <v>0</v>
      </c>
      <c r="W43" s="61">
        <f>Ouachita!K37</f>
        <v>4820709</v>
      </c>
      <c r="X43" s="61">
        <f t="shared" si="45"/>
        <v>8928270</v>
      </c>
      <c r="Y43" s="61">
        <f t="shared" ref="Y43" si="63">SUM(Q43+X43+T43)</f>
        <v>10389057</v>
      </c>
      <c r="Z43" s="70" t="str">
        <f t="shared" si="13"/>
        <v>ok</v>
      </c>
      <c r="AA43" s="60">
        <f>Ouachita!K41</f>
        <v>10389057</v>
      </c>
    </row>
    <row r="44" spans="1:27" ht="15" customHeight="1">
      <c r="A44" s="68" t="s">
        <v>828</v>
      </c>
      <c r="B44" s="61">
        <f>SUM(Plaquemines!K7)</f>
        <v>15002557</v>
      </c>
      <c r="C44" s="61">
        <f>SUM(Plaquemines!K8)</f>
        <v>876035</v>
      </c>
      <c r="D44" s="61">
        <f>SUM(Plaquemines!K9)</f>
        <v>19315448</v>
      </c>
      <c r="E44" s="61">
        <v>0</v>
      </c>
      <c r="F44" s="61">
        <f>SUM(Plaquemines!K12)</f>
        <v>2073727</v>
      </c>
      <c r="G44" s="61">
        <f>SUM(Plaquemines!K10)</f>
        <v>42684293</v>
      </c>
      <c r="H44" s="61">
        <f>SUM(Plaquemines!K11)</f>
        <v>904373</v>
      </c>
      <c r="I44" s="61">
        <f t="shared" si="43"/>
        <v>80856433</v>
      </c>
      <c r="J44" s="70" t="str">
        <f t="shared" si="9"/>
        <v>ok</v>
      </c>
      <c r="K44" s="60">
        <f>SUM(Plaquemines!K14)</f>
        <v>80856433</v>
      </c>
      <c r="L44" s="107"/>
      <c r="M44" s="61">
        <f>SUM(Plaquemines!K18+Plaquemines!K20)</f>
        <v>7728352</v>
      </c>
      <c r="N44" s="61">
        <f>SUM(Plaquemines!K19)</f>
        <v>0</v>
      </c>
      <c r="O44" s="61">
        <f>SUM(Plaquemines!K21+Plaquemines!K22)</f>
        <v>96363</v>
      </c>
      <c r="P44" s="61">
        <f>SUM(Plaquemines!K23)</f>
        <v>839837</v>
      </c>
      <c r="Q44" s="61">
        <f t="shared" si="44"/>
        <v>8664552</v>
      </c>
      <c r="R44" s="70" t="str">
        <f t="shared" si="11"/>
        <v>ok</v>
      </c>
      <c r="S44" s="60">
        <f>SUM(Plaquemines!K25)</f>
        <v>8664552</v>
      </c>
      <c r="T44" s="107">
        <f>Plaquemines!K28</f>
        <v>3757812</v>
      </c>
      <c r="U44" s="61">
        <f>SUM(Plaquemines!K31+Plaquemines!K32+Plaquemines!K33)</f>
        <v>72548952</v>
      </c>
      <c r="V44" s="61">
        <f>SUM(Plaquemines!K34)</f>
        <v>1672432</v>
      </c>
      <c r="W44" s="61">
        <f>SUM(Plaquemines!K35)</f>
        <v>-5787315</v>
      </c>
      <c r="X44" s="61">
        <f t="shared" si="45"/>
        <v>68434069</v>
      </c>
      <c r="Y44" s="61">
        <f t="shared" si="14"/>
        <v>80856433</v>
      </c>
      <c r="Z44" s="70" t="str">
        <f t="shared" si="13"/>
        <v>ok</v>
      </c>
      <c r="AA44" s="60">
        <f>SUM(Plaquemines!K39)</f>
        <v>80856433</v>
      </c>
    </row>
    <row r="45" spans="1:27" ht="15" customHeight="1">
      <c r="A45" s="68" t="s">
        <v>829</v>
      </c>
      <c r="B45" s="61">
        <f>'Pointe Coupee'!K7</f>
        <v>237950</v>
      </c>
      <c r="C45" s="61">
        <v>0</v>
      </c>
      <c r="D45" s="61">
        <f>'Pointe Coupee'!K9</f>
        <v>1370598</v>
      </c>
      <c r="E45" s="61">
        <v>0</v>
      </c>
      <c r="F45" s="61">
        <f>'Pointe Coupee'!K13</f>
        <v>8585</v>
      </c>
      <c r="G45" s="61">
        <f>'Pointe Coupee'!K10+'Pointe Coupee'!K11</f>
        <v>2472419</v>
      </c>
      <c r="H45" s="61">
        <f>'Pointe Coupee'!K12</f>
        <v>62339</v>
      </c>
      <c r="I45" s="61">
        <f t="shared" si="43"/>
        <v>4151891</v>
      </c>
      <c r="J45" s="70" t="str">
        <f t="shared" si="9"/>
        <v>ok</v>
      </c>
      <c r="K45" s="60">
        <f>'Pointe Coupee'!K15</f>
        <v>4151891</v>
      </c>
      <c r="L45" s="107"/>
      <c r="M45" s="61">
        <f>'Pointe Coupee'!K19</f>
        <v>602549</v>
      </c>
      <c r="N45" s="61">
        <v>0</v>
      </c>
      <c r="O45" s="61">
        <f>'Pointe Coupee'!K20+'Pointe Coupee'!K21</f>
        <v>3397609</v>
      </c>
      <c r="P45" s="61">
        <v>0</v>
      </c>
      <c r="Q45" s="61">
        <f t="shared" si="44"/>
        <v>4000158</v>
      </c>
      <c r="R45" s="70" t="str">
        <f t="shared" si="11"/>
        <v>ok</v>
      </c>
      <c r="S45" s="60">
        <f>'Pointe Coupee'!K23</f>
        <v>4000158</v>
      </c>
      <c r="T45" s="107">
        <f>'Pointe Coupee'!K26</f>
        <v>2473</v>
      </c>
      <c r="U45" s="61">
        <f>'Pointe Coupee'!K30</f>
        <v>149260</v>
      </c>
      <c r="V45" s="61">
        <v>0</v>
      </c>
      <c r="W45" s="61">
        <f>Lafourche!K45</f>
        <v>0</v>
      </c>
      <c r="X45" s="61">
        <f t="shared" ref="X45:X48" si="64">SUM(U45:W45)</f>
        <v>149260</v>
      </c>
      <c r="Y45" s="61">
        <f t="shared" si="14"/>
        <v>4151891</v>
      </c>
      <c r="Z45" s="70" t="str">
        <f t="shared" si="13"/>
        <v>ok</v>
      </c>
      <c r="AA45" s="60">
        <f>'Pointe Coupee'!K35</f>
        <v>4151891</v>
      </c>
    </row>
    <row r="46" spans="1:27" ht="15" customHeight="1">
      <c r="A46" s="68" t="s">
        <v>830</v>
      </c>
      <c r="B46" s="61">
        <f>Rapides!K7</f>
        <v>3068852</v>
      </c>
      <c r="C46" s="61">
        <v>0</v>
      </c>
      <c r="D46" s="61">
        <f>Rapides!K8+Rapides!K9</f>
        <v>2782578</v>
      </c>
      <c r="E46" s="61">
        <v>0</v>
      </c>
      <c r="F46" s="61">
        <f>Orleans!K23</f>
        <v>0</v>
      </c>
      <c r="G46" s="61">
        <v>0</v>
      </c>
      <c r="H46" s="61">
        <v>0</v>
      </c>
      <c r="I46" s="61">
        <f t="shared" ref="I46:I48" si="65">SUM(B46:H46)</f>
        <v>5851430</v>
      </c>
      <c r="J46" s="70" t="str">
        <f t="shared" ref="J46:J48" si="66">IF(I46=K46, "ok", "check")</f>
        <v>ok</v>
      </c>
      <c r="K46" s="60">
        <f>Rapides!K12</f>
        <v>5851430</v>
      </c>
      <c r="L46" s="107"/>
      <c r="M46" s="61">
        <f>Rapides!K16+Rapides!K17</f>
        <v>590993</v>
      </c>
      <c r="N46" s="61">
        <f>SUM(Orleans!K36)</f>
        <v>0</v>
      </c>
      <c r="O46" s="61">
        <f>SUM(Orleans!K32+Orleans!K33+Orleans!K34)</f>
        <v>0</v>
      </c>
      <c r="P46" s="61">
        <v>0</v>
      </c>
      <c r="Q46" s="61">
        <f t="shared" ref="Q46:Q48" si="67">SUM(M46:P46)</f>
        <v>590993</v>
      </c>
      <c r="R46" s="70" t="str">
        <f t="shared" ref="R46:R48" si="68">IF(Q46=S46, "ok", "check")</f>
        <v>ok</v>
      </c>
      <c r="S46" s="60">
        <f>Rapides!K20</f>
        <v>590993</v>
      </c>
      <c r="T46" s="107">
        <f>Orleans!K43</f>
        <v>0</v>
      </c>
      <c r="U46" s="61">
        <f>Rapides!K25+Rapides!K26+Rapides!K31</f>
        <v>1474293</v>
      </c>
      <c r="V46" s="61">
        <v>0</v>
      </c>
      <c r="W46" s="61">
        <f>Rapides!K32</f>
        <v>3786144</v>
      </c>
      <c r="X46" s="61">
        <f t="shared" si="64"/>
        <v>5260437</v>
      </c>
      <c r="Y46" s="61">
        <f t="shared" ref="Y46:Y47" si="69">SUM(Q46+X46+T46)</f>
        <v>5851430</v>
      </c>
      <c r="Z46" s="70" t="str">
        <f t="shared" ref="Z46:Z48" si="70">IF(Y46=AA46, "ok", "check")</f>
        <v>ok</v>
      </c>
      <c r="AA46" s="60">
        <f>Rapides!K36</f>
        <v>5851430</v>
      </c>
    </row>
    <row r="47" spans="1:27" ht="15" customHeight="1">
      <c r="A47" s="68" t="s">
        <v>831</v>
      </c>
      <c r="B47" s="61">
        <f>'Red River'!K6</f>
        <v>4372969</v>
      </c>
      <c r="C47" s="61">
        <v>0</v>
      </c>
      <c r="D47" s="61">
        <f>'Red River'!K8</f>
        <v>1175017</v>
      </c>
      <c r="E47" s="61"/>
      <c r="F47" s="61">
        <f>Orleans!K24</f>
        <v>0</v>
      </c>
      <c r="G47" s="61">
        <f>'Red River'!K9</f>
        <v>31662</v>
      </c>
      <c r="H47" s="61">
        <f>'Red River'!K10</f>
        <v>9185</v>
      </c>
      <c r="I47" s="61">
        <f t="shared" si="65"/>
        <v>5588833</v>
      </c>
      <c r="J47" s="70" t="str">
        <f t="shared" si="66"/>
        <v>ok</v>
      </c>
      <c r="K47" s="60">
        <f>'Red River'!K12</f>
        <v>5588833</v>
      </c>
      <c r="L47" s="107"/>
      <c r="M47" s="61">
        <f>'Red River'!K16</f>
        <v>143962</v>
      </c>
      <c r="N47" s="61">
        <f>SUM(Orleans!K37)</f>
        <v>0</v>
      </c>
      <c r="O47" s="61">
        <v>0</v>
      </c>
      <c r="P47" s="61">
        <v>0</v>
      </c>
      <c r="Q47" s="61">
        <f t="shared" si="67"/>
        <v>143962</v>
      </c>
      <c r="R47" s="70" t="str">
        <f t="shared" si="68"/>
        <v>ok</v>
      </c>
      <c r="S47" s="60">
        <f>'Red River'!K19</f>
        <v>143962</v>
      </c>
      <c r="T47" s="107">
        <f>'Red River'!K21</f>
        <v>87620</v>
      </c>
      <c r="U47" s="61">
        <f>'Red River'!K25+'Red River'!K28</f>
        <v>2597912</v>
      </c>
      <c r="V47" s="61">
        <f>SUM(Orleans!K50)</f>
        <v>0</v>
      </c>
      <c r="W47" s="61">
        <f>'Red River'!K38</f>
        <v>2759339</v>
      </c>
      <c r="X47" s="61">
        <f t="shared" si="64"/>
        <v>5357251</v>
      </c>
      <c r="Y47" s="61">
        <f t="shared" si="69"/>
        <v>5588833</v>
      </c>
      <c r="Z47" s="70" t="str">
        <f t="shared" si="70"/>
        <v>ok</v>
      </c>
      <c r="AA47" s="60">
        <f>'Red River'!K42</f>
        <v>5588833</v>
      </c>
    </row>
    <row r="48" spans="1:27" ht="15" customHeight="1">
      <c r="A48" s="68" t="s">
        <v>832</v>
      </c>
      <c r="B48" s="61">
        <f>Richland!K7</f>
        <v>1633419</v>
      </c>
      <c r="C48" s="61">
        <v>0</v>
      </c>
      <c r="D48" s="61">
        <f>Richland!K8</f>
        <v>1120447</v>
      </c>
      <c r="E48" s="61">
        <v>0</v>
      </c>
      <c r="F48" s="61">
        <f>Orleans!K25</f>
        <v>0</v>
      </c>
      <c r="G48" s="61">
        <v>0</v>
      </c>
      <c r="H48" s="61">
        <v>0</v>
      </c>
      <c r="I48" s="61">
        <f t="shared" si="65"/>
        <v>2753866</v>
      </c>
      <c r="J48" s="70" t="str">
        <f t="shared" si="66"/>
        <v>ok</v>
      </c>
      <c r="K48" s="60">
        <f>Richland!K11</f>
        <v>2753866</v>
      </c>
      <c r="L48" s="107"/>
      <c r="M48" s="61">
        <f>Richland!K15</f>
        <v>28572</v>
      </c>
      <c r="N48" s="61">
        <v>0</v>
      </c>
      <c r="O48" s="61">
        <f>Richland!K17</f>
        <v>4501</v>
      </c>
      <c r="P48" s="61">
        <f>Richland!K16</f>
        <v>94972</v>
      </c>
      <c r="Q48" s="61">
        <f t="shared" si="67"/>
        <v>128045</v>
      </c>
      <c r="R48" s="70" t="str">
        <f t="shared" si="68"/>
        <v>ok</v>
      </c>
      <c r="S48" s="60">
        <f>Richland!K19</f>
        <v>128045</v>
      </c>
      <c r="T48" s="107">
        <f>Richland!K22</f>
        <v>1101174</v>
      </c>
      <c r="U48" s="61">
        <v>0</v>
      </c>
      <c r="V48" s="61">
        <v>0</v>
      </c>
      <c r="W48" s="61">
        <f>Richland!K26</f>
        <v>1524647</v>
      </c>
      <c r="X48" s="61">
        <f t="shared" si="64"/>
        <v>1524647</v>
      </c>
      <c r="Y48" s="61">
        <f t="shared" ref="Y48" si="71">SUM(Q48+X48+T48)</f>
        <v>2753866</v>
      </c>
      <c r="Z48" s="70" t="str">
        <f t="shared" si="70"/>
        <v>ok</v>
      </c>
      <c r="AA48" s="60">
        <f>Richland!K30</f>
        <v>2753866</v>
      </c>
    </row>
    <row r="49" spans="1:27" ht="15" customHeight="1">
      <c r="A49" s="68" t="s">
        <v>833</v>
      </c>
      <c r="B49" s="61">
        <f>Sabine!K7</f>
        <v>3374636</v>
      </c>
      <c r="C49" s="61">
        <v>0</v>
      </c>
      <c r="D49" s="61">
        <f>Sabine!K8+Sabine!K9</f>
        <v>1362848</v>
      </c>
      <c r="E49" s="61">
        <v>0</v>
      </c>
      <c r="F49" s="61">
        <v>0</v>
      </c>
      <c r="G49" s="61">
        <f>'Red River'!K11</f>
        <v>0</v>
      </c>
      <c r="H49" s="61">
        <v>0</v>
      </c>
      <c r="I49" s="61">
        <f t="shared" ref="I49" si="72">SUM(B49:H49)</f>
        <v>4737484</v>
      </c>
      <c r="J49" s="70" t="str">
        <f t="shared" ref="J49" si="73">IF(I49=K49, "ok", "check")</f>
        <v>ok</v>
      </c>
      <c r="K49" s="60">
        <f>Sabine!K11</f>
        <v>4737484</v>
      </c>
      <c r="L49" s="107"/>
      <c r="M49" s="61">
        <f>Sabine!K15</f>
        <v>57685</v>
      </c>
      <c r="N49" s="61">
        <f>SUM(Orleans!K39)</f>
        <v>0</v>
      </c>
      <c r="O49" s="61">
        <v>0</v>
      </c>
      <c r="P49" s="61">
        <v>0</v>
      </c>
      <c r="Q49" s="61">
        <f t="shared" ref="Q49" si="74">SUM(M49:P49)</f>
        <v>57685</v>
      </c>
      <c r="R49" s="70" t="str">
        <f t="shared" ref="R49" si="75">IF(Q49=S49, "ok", "check")</f>
        <v>ok</v>
      </c>
      <c r="S49" s="60">
        <f>Sabine!K18</f>
        <v>57685</v>
      </c>
      <c r="T49" s="107">
        <f>'Red River'!K23</f>
        <v>0</v>
      </c>
      <c r="U49" s="61">
        <f>'Red River'!K27+'Red River'!K30</f>
        <v>0</v>
      </c>
      <c r="V49" s="61">
        <f>SUM(Orleans!K52)</f>
        <v>0</v>
      </c>
      <c r="W49" s="61">
        <f>Sabine!K22</f>
        <v>4679800</v>
      </c>
      <c r="X49" s="61">
        <f t="shared" ref="X49" si="76">SUM(U49:W49)</f>
        <v>4679800</v>
      </c>
      <c r="Y49" s="61">
        <f t="shared" ref="Y49" si="77">SUM(Q49+X49+T49)</f>
        <v>4737485</v>
      </c>
      <c r="Z49" s="70" t="str">
        <f t="shared" ref="Z49" si="78">IF(Y49=AA49, "ok", "check")</f>
        <v>ok</v>
      </c>
      <c r="AA49" s="60">
        <f>Sabine!K26</f>
        <v>4737485</v>
      </c>
    </row>
    <row r="50" spans="1:27" ht="15" customHeight="1">
      <c r="A50" s="68" t="s">
        <v>834</v>
      </c>
      <c r="B50" s="61">
        <f>'St. Bernard'!K7</f>
        <v>4180606</v>
      </c>
      <c r="C50" s="61">
        <f>'St. Bernard'!K8</f>
        <v>5326500</v>
      </c>
      <c r="D50" s="61">
        <f>'St. Bernard'!K10+'St. Bernard'!K11+'St. Bernard'!K12+'St. Bernard'!K13+'St. Bernard'!K14</f>
        <v>4418574</v>
      </c>
      <c r="E50" s="61">
        <v>0</v>
      </c>
      <c r="F50" s="61">
        <f>'St. Bernard'!K17</f>
        <v>9714</v>
      </c>
      <c r="G50" s="61">
        <f>'St. Bernard'!K15</f>
        <v>9104788</v>
      </c>
      <c r="H50" s="61">
        <f>'St. Bernard'!K16</f>
        <v>84990</v>
      </c>
      <c r="I50" s="61">
        <f t="shared" ref="I50:I59" si="79">SUM(B50:H50)</f>
        <v>23125172</v>
      </c>
      <c r="J50" s="70" t="str">
        <f t="shared" si="9"/>
        <v>ok</v>
      </c>
      <c r="K50" s="60">
        <f>'St. Bernard'!K19</f>
        <v>23125172</v>
      </c>
      <c r="L50" s="107"/>
      <c r="M50" s="61">
        <f>'St. Bernard'!K23+'St. Bernard'!K24+'St. Bernard'!K25</f>
        <v>2259994</v>
      </c>
      <c r="N50" s="61">
        <v>0</v>
      </c>
      <c r="O50" s="61">
        <f>'St. Bernard'!K26</f>
        <v>8760076</v>
      </c>
      <c r="P50" s="61">
        <f>'St. Bernard'!K27</f>
        <v>3150000</v>
      </c>
      <c r="Q50" s="61">
        <f t="shared" ref="Q50:Q59" si="80">SUM(M50:P50)</f>
        <v>14170070</v>
      </c>
      <c r="R50" s="70" t="str">
        <f t="shared" si="11"/>
        <v>ok</v>
      </c>
      <c r="S50" s="60">
        <f>'St. Bernard'!K29</f>
        <v>14170070</v>
      </c>
      <c r="T50" s="107">
        <f>'St. Bernard'!K31</f>
        <v>6342461</v>
      </c>
      <c r="U50" s="61">
        <f>'St. Bernard'!K35+'St. Bernard'!K37</f>
        <v>176175</v>
      </c>
      <c r="V50" s="61">
        <v>0</v>
      </c>
      <c r="W50" s="61">
        <f>'St. Bernard'!K52</f>
        <v>2436466</v>
      </c>
      <c r="X50" s="61">
        <f t="shared" ref="X50:X59" si="81">SUM(U50:W50)</f>
        <v>2612641</v>
      </c>
      <c r="Y50" s="61">
        <f t="shared" si="14"/>
        <v>23125172</v>
      </c>
      <c r="Z50" s="70" t="str">
        <f t="shared" si="13"/>
        <v>ok</v>
      </c>
      <c r="AA50" s="60">
        <f>'St. Bernard'!K56</f>
        <v>23125172</v>
      </c>
    </row>
    <row r="51" spans="1:27" ht="15" customHeight="1">
      <c r="A51" s="68" t="s">
        <v>835</v>
      </c>
      <c r="B51" s="61">
        <f>SUM('St. Charles'!K7)</f>
        <v>1886129</v>
      </c>
      <c r="C51" s="61">
        <f>SUM('St. Charles'!K8)</f>
        <v>40234565</v>
      </c>
      <c r="D51" s="61">
        <f>SUM('St. Charles'!K10+'St. Charles'!K11+'St. Charles'!K12+'St. Charles'!K13)</f>
        <v>6489931</v>
      </c>
      <c r="E51" s="61">
        <v>0</v>
      </c>
      <c r="F51" s="61">
        <f>SUM('St. Charles'!K18)</f>
        <v>2170</v>
      </c>
      <c r="G51" s="61">
        <f>SUM('St. Charles'!K14+'St. Charles'!K15+'St. Charles'!K16)</f>
        <v>1156345</v>
      </c>
      <c r="H51" s="61">
        <f>SUM('St. Charles'!K17)</f>
        <v>556807</v>
      </c>
      <c r="I51" s="61">
        <f t="shared" si="79"/>
        <v>50325947</v>
      </c>
      <c r="J51" s="70" t="str">
        <f t="shared" si="9"/>
        <v>ok</v>
      </c>
      <c r="K51" s="60">
        <f>SUM('St. Charles'!K20)</f>
        <v>50325947</v>
      </c>
      <c r="L51" s="107"/>
      <c r="M51" s="61">
        <f>SUM('St. Charles'!K24+'St. Charles'!K25)</f>
        <v>3914505</v>
      </c>
      <c r="N51" s="61">
        <v>0</v>
      </c>
      <c r="O51" s="61">
        <f>SUM('St. Charles'!K26+'St. Charles'!K28)</f>
        <v>149952</v>
      </c>
      <c r="P51" s="61">
        <f>SUM('St. Charles'!K29)</f>
        <v>852690</v>
      </c>
      <c r="Q51" s="61">
        <f t="shared" si="80"/>
        <v>4917147</v>
      </c>
      <c r="R51" s="70" t="str">
        <f t="shared" si="11"/>
        <v>ok</v>
      </c>
      <c r="S51" s="60">
        <f>SUM('St. Charles'!K31)</f>
        <v>4917147</v>
      </c>
      <c r="T51" s="107">
        <f>'St. Charles'!K36</f>
        <v>3857754</v>
      </c>
      <c r="U51" s="61">
        <f>SUM('St. Charles'!K39+'St. Charles'!K40+'St. Charles'!K41)</f>
        <v>11947959</v>
      </c>
      <c r="V51" s="61">
        <f>SUM('St. Charles'!K42)</f>
        <v>21550766</v>
      </c>
      <c r="W51" s="61">
        <f>SUM('St. Charles'!K43)</f>
        <v>8052321</v>
      </c>
      <c r="X51" s="61">
        <f t="shared" si="81"/>
        <v>41551046</v>
      </c>
      <c r="Y51" s="61">
        <f t="shared" si="14"/>
        <v>50325947</v>
      </c>
      <c r="Z51" s="70" t="str">
        <f t="shared" si="13"/>
        <v>ok</v>
      </c>
      <c r="AA51" s="60">
        <f>SUM('St. Charles'!K47)</f>
        <v>50325947</v>
      </c>
    </row>
    <row r="52" spans="1:27" ht="15" customHeight="1">
      <c r="A52" s="68" t="s">
        <v>836</v>
      </c>
      <c r="B52" s="61">
        <f>'St. Helena'!K6</f>
        <v>572576</v>
      </c>
      <c r="C52" s="61">
        <v>0</v>
      </c>
      <c r="D52" s="61">
        <f>'St. Helena'!K8</f>
        <v>362286</v>
      </c>
      <c r="E52" s="61">
        <v>0</v>
      </c>
      <c r="F52" s="61">
        <f>SUM(Plaquemines!K15)</f>
        <v>0</v>
      </c>
      <c r="G52" s="61">
        <f>'St. Helena'!K9</f>
        <v>224619</v>
      </c>
      <c r="H52" s="61">
        <v>0</v>
      </c>
      <c r="I52" s="61">
        <f t="shared" si="79"/>
        <v>1159481</v>
      </c>
      <c r="J52" s="70" t="str">
        <f t="shared" ref="J52" si="82">IF(I52=K52, "ok", "check")</f>
        <v>ok</v>
      </c>
      <c r="K52" s="60">
        <f>'St. Helena'!K12</f>
        <v>1159481</v>
      </c>
      <c r="L52" s="107"/>
      <c r="M52" s="61">
        <f>'St. Helena'!K16</f>
        <v>89242</v>
      </c>
      <c r="N52" s="61">
        <v>0</v>
      </c>
      <c r="O52" s="61">
        <v>0</v>
      </c>
      <c r="P52" s="61">
        <f>'St. Helena'!K17</f>
        <v>3751</v>
      </c>
      <c r="Q52" s="61">
        <f t="shared" ref="Q52" si="83">SUM(M52:P52)</f>
        <v>92993</v>
      </c>
      <c r="R52" s="70" t="str">
        <f t="shared" ref="R52" si="84">IF(Q52=S52, "ok", "check")</f>
        <v>ok</v>
      </c>
      <c r="S52" s="60">
        <f>'St. Helena'!K20</f>
        <v>92993</v>
      </c>
      <c r="T52" s="107">
        <v>0</v>
      </c>
      <c r="U52" s="61">
        <v>0</v>
      </c>
      <c r="V52" s="61">
        <v>0</v>
      </c>
      <c r="W52" s="61">
        <f>'St. Helena'!K24</f>
        <v>1066488</v>
      </c>
      <c r="X52" s="61">
        <f t="shared" ref="X52" si="85">SUM(U52:W52)</f>
        <v>1066488</v>
      </c>
      <c r="Y52" s="61">
        <f t="shared" ref="Y52" si="86">SUM(Q52+X52+T52)</f>
        <v>1159481</v>
      </c>
      <c r="Z52" s="70" t="str">
        <f t="shared" ref="Z52" si="87">IF(Y52=AA52, "ok", "check")</f>
        <v>ok</v>
      </c>
      <c r="AA52" s="60">
        <f>'St. Helena'!K28</f>
        <v>1159481</v>
      </c>
    </row>
    <row r="53" spans="1:27" ht="15" customHeight="1">
      <c r="A53" s="68" t="s">
        <v>837</v>
      </c>
      <c r="B53" s="61">
        <f>'St. James'!K7</f>
        <v>4427207</v>
      </c>
      <c r="C53" s="61">
        <f>SUM('St. James'!K8)</f>
        <v>132105</v>
      </c>
      <c r="D53" s="61">
        <f>SUM('St. James'!K9)</f>
        <v>4627510</v>
      </c>
      <c r="E53" s="61">
        <f>SUM('St. James'!K11)</f>
        <v>35049</v>
      </c>
      <c r="F53" s="61">
        <v>0</v>
      </c>
      <c r="G53" s="61">
        <f>SUM('St. James'!K10)</f>
        <v>671240</v>
      </c>
      <c r="H53" s="61">
        <v>0</v>
      </c>
      <c r="I53" s="61">
        <f t="shared" si="79"/>
        <v>9893111</v>
      </c>
      <c r="J53" s="70" t="str">
        <f t="shared" si="9"/>
        <v>ok</v>
      </c>
      <c r="K53" s="60">
        <f>SUM('St. James'!K13)</f>
        <v>9893111</v>
      </c>
      <c r="L53" s="107"/>
      <c r="M53" s="61">
        <f>SUM('St. James'!K17+'St. James'!K18)</f>
        <v>1255641</v>
      </c>
      <c r="N53" s="61">
        <v>0</v>
      </c>
      <c r="O53" s="61">
        <f>SUM('St. James'!K19)</f>
        <v>4684</v>
      </c>
      <c r="P53" s="61">
        <v>0</v>
      </c>
      <c r="Q53" s="61">
        <f t="shared" si="80"/>
        <v>1260325</v>
      </c>
      <c r="R53" s="70" t="str">
        <f t="shared" si="11"/>
        <v>ok</v>
      </c>
      <c r="S53" s="60">
        <f>SUM('St. James'!K22)</f>
        <v>1260325</v>
      </c>
      <c r="T53" s="107">
        <v>0</v>
      </c>
      <c r="U53" s="61">
        <f>SUM('St. James'!K25+'St. James'!K30)</f>
        <v>4405242</v>
      </c>
      <c r="V53" s="61">
        <v>0</v>
      </c>
      <c r="W53" s="61">
        <f>SUM('St. James'!K43)</f>
        <v>4227544</v>
      </c>
      <c r="X53" s="61">
        <f t="shared" si="81"/>
        <v>8632786</v>
      </c>
      <c r="Y53" s="61">
        <f t="shared" si="14"/>
        <v>9893111</v>
      </c>
      <c r="Z53" s="70" t="str">
        <f t="shared" si="13"/>
        <v>ok</v>
      </c>
      <c r="AA53" s="60">
        <f>SUM('St. James'!K47)</f>
        <v>9893111</v>
      </c>
    </row>
    <row r="54" spans="1:27" ht="15" customHeight="1">
      <c r="A54" s="68" t="s">
        <v>838</v>
      </c>
      <c r="B54" s="61">
        <f>'St. John the Baptist'!K6</f>
        <v>161547</v>
      </c>
      <c r="C54" s="61">
        <v>0</v>
      </c>
      <c r="D54" s="61">
        <f>'St. John the Baptist'!K8+'St. John the Baptist'!K9+'St. John the Baptist'!K10</f>
        <v>2247327</v>
      </c>
      <c r="E54" s="61">
        <v>0</v>
      </c>
      <c r="F54" s="61">
        <v>0</v>
      </c>
      <c r="G54" s="61">
        <f>'St. John the Baptist'!K12+'St. John the Baptist'!K13</f>
        <v>1737253</v>
      </c>
      <c r="H54" s="61">
        <f>'St. John the Baptist'!K14</f>
        <v>45599</v>
      </c>
      <c r="I54" s="61">
        <f t="shared" si="79"/>
        <v>4191726</v>
      </c>
      <c r="J54" s="70" t="str">
        <f t="shared" si="9"/>
        <v>ok</v>
      </c>
      <c r="K54" s="60">
        <f>'St. John the Baptist'!K16</f>
        <v>4191726</v>
      </c>
      <c r="L54" s="107"/>
      <c r="M54" s="61">
        <f>'St. John the Baptist'!K20</f>
        <v>617444</v>
      </c>
      <c r="N54" s="61">
        <v>0</v>
      </c>
      <c r="O54" s="61">
        <f>'St. John the Baptist'!K22</f>
        <v>1393948</v>
      </c>
      <c r="P54" s="61">
        <f>'St. John the Baptist'!K23</f>
        <v>417</v>
      </c>
      <c r="Q54" s="61">
        <f t="shared" si="80"/>
        <v>2011809</v>
      </c>
      <c r="R54" s="70" t="str">
        <f t="shared" si="11"/>
        <v>ok</v>
      </c>
      <c r="S54" s="60">
        <f>'St. John the Baptist'!K25</f>
        <v>2011809</v>
      </c>
      <c r="T54" s="107">
        <f>'St. John the Baptist'!K28</f>
        <v>0</v>
      </c>
      <c r="U54" s="61">
        <f>'St. John the Baptist'!K33</f>
        <v>45599</v>
      </c>
      <c r="V54" s="61"/>
      <c r="W54" s="61">
        <f>'St. John the Baptist'!K36</f>
        <v>2134318</v>
      </c>
      <c r="X54" s="61">
        <f t="shared" si="81"/>
        <v>2179917</v>
      </c>
      <c r="Y54" s="61">
        <f t="shared" si="14"/>
        <v>4191726</v>
      </c>
      <c r="Z54" s="70" t="str">
        <f t="shared" si="13"/>
        <v>ok</v>
      </c>
      <c r="AA54" s="60">
        <f>'St. John the Baptist'!K40</f>
        <v>4191726</v>
      </c>
    </row>
    <row r="55" spans="1:27" ht="15" customHeight="1">
      <c r="A55" s="68" t="s">
        <v>839</v>
      </c>
      <c r="B55" s="61">
        <f>'St. Landry'!K6</f>
        <v>1006494</v>
      </c>
      <c r="C55" s="61">
        <v>0</v>
      </c>
      <c r="D55" s="61">
        <f>'St. Landry'!K7</f>
        <v>2266186</v>
      </c>
      <c r="E55" s="61">
        <v>0</v>
      </c>
      <c r="F55" s="61">
        <v>0</v>
      </c>
      <c r="G55" s="61">
        <f>'St. Landry'!K9+'St. Landry'!K10+'St. Landry'!K11+'St. Landry'!K12</f>
        <v>518772</v>
      </c>
      <c r="H55" s="61">
        <f>'St. Landry'!K8</f>
        <v>24303</v>
      </c>
      <c r="I55" s="61">
        <f t="shared" ref="I55:I56" si="88">SUM(B55:H55)</f>
        <v>3815755</v>
      </c>
      <c r="J55" s="70" t="str">
        <f t="shared" ref="J55:J56" si="89">IF(I55=K55, "ok", "check")</f>
        <v>ok</v>
      </c>
      <c r="K55" s="60">
        <f>'St. Landry'!K14</f>
        <v>3815755</v>
      </c>
      <c r="L55" s="107"/>
      <c r="M55" s="61">
        <f>'St. Landry'!K18+'St. Landry'!K19</f>
        <v>849876</v>
      </c>
      <c r="N55" s="61">
        <v>0</v>
      </c>
      <c r="O55" s="61">
        <f>'St. Landry'!K21+'St. Landry'!K22+'St. Landry'!K23</f>
        <v>222011</v>
      </c>
      <c r="P55" s="61">
        <v>0</v>
      </c>
      <c r="Q55" s="61">
        <f t="shared" ref="Q55:Q56" si="90">SUM(M55:P55)</f>
        <v>1071887</v>
      </c>
      <c r="R55" s="70" t="str">
        <f t="shared" ref="R55:R56" si="91">IF(Q55=S55, "ok", "check")</f>
        <v>ok</v>
      </c>
      <c r="S55" s="60">
        <f>'St. Landry'!K25</f>
        <v>1071887</v>
      </c>
      <c r="T55" s="107">
        <v>0</v>
      </c>
      <c r="U55" s="61">
        <f>'St. Landry'!K29+'St. Landry'!K33+'St. Landry'!K34+'St. Landry'!K38</f>
        <v>687818</v>
      </c>
      <c r="V55" s="61">
        <f>'St. Landry'!K42+'St. Landry'!K43+'St. Landry'!K45+'St. Landry'!K46+'St. Landry'!K47</f>
        <v>364317</v>
      </c>
      <c r="W55" s="61">
        <f>'St. Landry'!K48</f>
        <v>1691733</v>
      </c>
      <c r="X55" s="61">
        <f t="shared" ref="X55:X56" si="92">SUM(U55:W55)</f>
        <v>2743868</v>
      </c>
      <c r="Y55" s="61">
        <f t="shared" ref="Y55" si="93">SUM(Q55+X55+T55)</f>
        <v>3815755</v>
      </c>
      <c r="Z55" s="70" t="str">
        <f t="shared" ref="Z55:Z56" si="94">IF(Y55=AA55, "ok", "check")</f>
        <v>ok</v>
      </c>
      <c r="AA55" s="60">
        <f>'St. Landry'!K52</f>
        <v>3815755</v>
      </c>
    </row>
    <row r="56" spans="1:27" ht="15" customHeight="1">
      <c r="A56" s="68" t="s">
        <v>840</v>
      </c>
      <c r="B56" s="61">
        <f>'St. Martin'!K7</f>
        <v>5092141</v>
      </c>
      <c r="C56" s="61">
        <v>0</v>
      </c>
      <c r="D56" s="61">
        <f>'St. Martin'!K8</f>
        <v>853321</v>
      </c>
      <c r="E56" s="61">
        <f>SUM('St. James'!K14)</f>
        <v>0</v>
      </c>
      <c r="F56" s="61">
        <v>0</v>
      </c>
      <c r="G56" s="61">
        <f>'St. Martin'!K9</f>
        <v>183431</v>
      </c>
      <c r="H56" s="61">
        <v>0</v>
      </c>
      <c r="I56" s="61">
        <f t="shared" si="88"/>
        <v>6128893</v>
      </c>
      <c r="J56" s="70" t="str">
        <f t="shared" si="89"/>
        <v>ok</v>
      </c>
      <c r="K56" s="60">
        <f>'St. Martin'!K12</f>
        <v>6128893</v>
      </c>
      <c r="L56" s="107"/>
      <c r="M56" s="61">
        <f>'St. Martin'!K16+'St. Martin'!K17</f>
        <v>186583</v>
      </c>
      <c r="N56" s="61">
        <v>0</v>
      </c>
      <c r="O56" s="61">
        <f>'St. Martin'!K18</f>
        <v>1619718</v>
      </c>
      <c r="P56" s="61">
        <f>'St. Martin'!K20</f>
        <v>217436</v>
      </c>
      <c r="Q56" s="61">
        <f t="shared" si="90"/>
        <v>2023737</v>
      </c>
      <c r="R56" s="70" t="str">
        <f t="shared" si="91"/>
        <v>ok</v>
      </c>
      <c r="S56" s="60">
        <f>'St. Martin'!K22</f>
        <v>2023737</v>
      </c>
      <c r="T56" s="107">
        <f>'St. Martin'!K25</f>
        <v>46150</v>
      </c>
      <c r="U56" s="61">
        <v>0</v>
      </c>
      <c r="V56" s="61">
        <v>0</v>
      </c>
      <c r="W56" s="61">
        <f>'St. Martin'!K46</f>
        <v>4059006</v>
      </c>
      <c r="X56" s="61">
        <f t="shared" si="92"/>
        <v>4059006</v>
      </c>
      <c r="Y56" s="61">
        <f t="shared" ref="Y56" si="95">SUM(Q56+X56+T56)</f>
        <v>6128893</v>
      </c>
      <c r="Z56" s="70" t="str">
        <f t="shared" si="94"/>
        <v>ok</v>
      </c>
      <c r="AA56" s="60">
        <f>'St. Martin'!K50</f>
        <v>6128893</v>
      </c>
    </row>
    <row r="57" spans="1:27" ht="15" customHeight="1">
      <c r="A57" s="68" t="s">
        <v>841</v>
      </c>
      <c r="B57" s="61">
        <f>SUM('St. Mary'!K7)</f>
        <v>224283</v>
      </c>
      <c r="C57" s="61">
        <v>0</v>
      </c>
      <c r="D57" s="61">
        <f>SUM('St. Mary'!K9)</f>
        <v>494223</v>
      </c>
      <c r="E57" s="61">
        <v>0</v>
      </c>
      <c r="F57" s="61">
        <f>'St. Mary'!K12</f>
        <v>246000</v>
      </c>
      <c r="G57" s="61">
        <f>SUM('St. Mary'!K10+'St. Mary'!K11)</f>
        <v>4914916</v>
      </c>
      <c r="H57" s="61">
        <v>0</v>
      </c>
      <c r="I57" s="61">
        <f t="shared" si="79"/>
        <v>5879422</v>
      </c>
      <c r="J57" s="70" t="str">
        <f t="shared" si="9"/>
        <v>ok</v>
      </c>
      <c r="K57" s="60">
        <f>SUM('St. Mary'!K15)</f>
        <v>5879422</v>
      </c>
      <c r="L57" s="107"/>
      <c r="M57" s="61">
        <f>SUM('St. Mary'!K19+'St. Mary'!K21)</f>
        <v>635184</v>
      </c>
      <c r="N57" s="61">
        <v>0</v>
      </c>
      <c r="O57" s="61">
        <v>0</v>
      </c>
      <c r="P57" s="61">
        <f>SUM('St. Mary'!K23)</f>
        <v>3391452</v>
      </c>
      <c r="Q57" s="61">
        <f t="shared" si="80"/>
        <v>4026636</v>
      </c>
      <c r="R57" s="70" t="str">
        <f t="shared" si="11"/>
        <v>ok</v>
      </c>
      <c r="S57" s="60">
        <f>SUM('St. Mary'!K25)</f>
        <v>4026636</v>
      </c>
      <c r="T57" s="107">
        <v>0</v>
      </c>
      <c r="U57" s="61">
        <f>SUM('St. Mary'!K28)</f>
        <v>1550000</v>
      </c>
      <c r="V57" s="61">
        <v>0</v>
      </c>
      <c r="W57" s="61">
        <f>SUM('St. Mary'!K43)</f>
        <v>302786</v>
      </c>
      <c r="X57" s="61">
        <f t="shared" si="81"/>
        <v>1852786</v>
      </c>
      <c r="Y57" s="61">
        <f t="shared" si="14"/>
        <v>5879422</v>
      </c>
      <c r="Z57" s="70" t="str">
        <f t="shared" si="13"/>
        <v>ok</v>
      </c>
      <c r="AA57" s="60">
        <f>SUM('St. Mary'!K47)</f>
        <v>5879422</v>
      </c>
    </row>
    <row r="58" spans="1:27" ht="15" customHeight="1">
      <c r="A58" s="68" t="s">
        <v>842</v>
      </c>
      <c r="B58" s="61">
        <f>SUM('St. Tammany'!K7)</f>
        <v>937582</v>
      </c>
      <c r="C58" s="61">
        <f>SUM('St. Tammany'!K8)</f>
        <v>6644390</v>
      </c>
      <c r="D58" s="61">
        <f>SUM('St. Tammany'!K10+'St. Tammany'!K12)</f>
        <v>5889936</v>
      </c>
      <c r="E58" s="61">
        <v>0</v>
      </c>
      <c r="F58" s="61">
        <v>0</v>
      </c>
      <c r="G58" s="61">
        <f>SUM('St. Tammany'!K13)</f>
        <v>24006</v>
      </c>
      <c r="H58" s="61">
        <f>SUM('St. Tammany'!K14)</f>
        <v>5861</v>
      </c>
      <c r="I58" s="61">
        <f t="shared" si="79"/>
        <v>13501775</v>
      </c>
      <c r="J58" s="70" t="str">
        <f t="shared" si="9"/>
        <v>ok</v>
      </c>
      <c r="K58" s="60">
        <f>SUM('St. Tammany'!K17)</f>
        <v>13501775</v>
      </c>
      <c r="L58" s="107"/>
      <c r="M58" s="61">
        <f>SUM('St. Tammany'!K21)</f>
        <v>1969499</v>
      </c>
      <c r="N58" s="61">
        <f>SUM('St. Tammany'!K24)</f>
        <v>8410</v>
      </c>
      <c r="O58" s="61">
        <v>0</v>
      </c>
      <c r="P58" s="61">
        <f>SUM('St. Tammany'!K25)</f>
        <v>1513798</v>
      </c>
      <c r="Q58" s="61">
        <f t="shared" si="80"/>
        <v>3491707</v>
      </c>
      <c r="R58" s="70" t="str">
        <f t="shared" si="11"/>
        <v>ok</v>
      </c>
      <c r="S58" s="60">
        <f>SUM('St. Tammany'!K27)</f>
        <v>3491707</v>
      </c>
      <c r="T58" s="107">
        <v>0</v>
      </c>
      <c r="U58" s="61">
        <f>SUM('St. Tammany'!K30)</f>
        <v>5861</v>
      </c>
      <c r="V58" s="61">
        <v>0</v>
      </c>
      <c r="W58" s="61">
        <f>SUM('St. Tammany'!K33)</f>
        <v>10004207</v>
      </c>
      <c r="X58" s="61">
        <f t="shared" si="81"/>
        <v>10010068</v>
      </c>
      <c r="Y58" s="61">
        <f t="shared" si="14"/>
        <v>13501775</v>
      </c>
      <c r="Z58" s="70" t="str">
        <f t="shared" si="13"/>
        <v>ok</v>
      </c>
      <c r="AA58" s="60">
        <f>SUM('St. Tammany'!K37)</f>
        <v>13501775</v>
      </c>
    </row>
    <row r="59" spans="1:27" ht="15" customHeight="1">
      <c r="A59" s="68" t="s">
        <v>843</v>
      </c>
      <c r="B59" s="61">
        <f>SUM(Tangipahoa!K7+Tangipahoa!K11)</f>
        <v>599628</v>
      </c>
      <c r="C59" s="61">
        <v>0</v>
      </c>
      <c r="D59" s="61">
        <f>SUM(Tangipahoa!K8)</f>
        <v>1760197</v>
      </c>
      <c r="E59" s="61">
        <v>0</v>
      </c>
      <c r="F59" s="61">
        <v>0</v>
      </c>
      <c r="G59" s="61">
        <f>SUM(Tangipahoa!K9+Tangipahoa!K10)</f>
        <v>370792</v>
      </c>
      <c r="H59" s="61">
        <v>0</v>
      </c>
      <c r="I59" s="61">
        <f t="shared" si="79"/>
        <v>2730617</v>
      </c>
      <c r="J59" s="70" t="str">
        <f t="shared" si="9"/>
        <v>ok</v>
      </c>
      <c r="K59" s="60">
        <f>SUM(Tangipahoa!K13)</f>
        <v>2730617</v>
      </c>
      <c r="L59" s="107"/>
      <c r="M59" s="61">
        <f>SUM(Tangipahoa!K18)</f>
        <v>543569</v>
      </c>
      <c r="N59" s="61">
        <v>0</v>
      </c>
      <c r="O59" s="61">
        <f>SUM(Tangipahoa!K19+Tangipahoa!K20)</f>
        <v>430031</v>
      </c>
      <c r="P59" s="61">
        <v>0</v>
      </c>
      <c r="Q59" s="61">
        <f t="shared" si="80"/>
        <v>973600</v>
      </c>
      <c r="R59" s="70" t="str">
        <f t="shared" si="11"/>
        <v>ok</v>
      </c>
      <c r="S59" s="60">
        <f>SUM(Tangipahoa!K22)</f>
        <v>973600</v>
      </c>
      <c r="T59" s="107">
        <v>0</v>
      </c>
      <c r="U59" s="61">
        <f>SUM(Tangipahoa!K30+Tangipahoa!K31)</f>
        <v>563082</v>
      </c>
      <c r="V59" s="61">
        <f>SUM(Tangipahoa!K32)</f>
        <v>65678</v>
      </c>
      <c r="W59" s="61">
        <f>SUM(Tangipahoa!K33)</f>
        <v>1128257</v>
      </c>
      <c r="X59" s="61">
        <f t="shared" si="81"/>
        <v>1757017</v>
      </c>
      <c r="Y59" s="61">
        <f t="shared" si="14"/>
        <v>2730617</v>
      </c>
      <c r="Z59" s="70" t="str">
        <f t="shared" si="13"/>
        <v>ok</v>
      </c>
      <c r="AA59" s="60">
        <f>SUM(Tangipahoa!K37)</f>
        <v>2730617</v>
      </c>
    </row>
    <row r="60" spans="1:27" ht="15" customHeight="1">
      <c r="A60" s="68" t="s">
        <v>844</v>
      </c>
      <c r="B60" s="61">
        <f>Tensas!K7</f>
        <v>647472</v>
      </c>
      <c r="C60" s="61">
        <v>0</v>
      </c>
      <c r="D60" s="61">
        <f>Tensas!K8</f>
        <v>267562</v>
      </c>
      <c r="E60" s="61">
        <v>0</v>
      </c>
      <c r="F60" s="61">
        <v>0</v>
      </c>
      <c r="G60" s="61">
        <f>SUM('St. Mary'!K13+'St. Mary'!K14)</f>
        <v>0</v>
      </c>
      <c r="H60" s="61">
        <v>0</v>
      </c>
      <c r="I60" s="61">
        <f t="shared" ref="I60" si="96">SUM(B60:H60)</f>
        <v>915034</v>
      </c>
      <c r="J60" s="70" t="str">
        <f t="shared" ref="J60" si="97">IF(I60=K60, "ok", "check")</f>
        <v>ok</v>
      </c>
      <c r="K60" s="60">
        <f>Tensas!K14</f>
        <v>915034</v>
      </c>
      <c r="L60" s="107"/>
      <c r="M60" s="61">
        <f>Tensas!K18</f>
        <v>24370</v>
      </c>
      <c r="N60" s="61">
        <v>0</v>
      </c>
      <c r="O60" s="61">
        <f>Tensas!K20</f>
        <v>85140</v>
      </c>
      <c r="P60" s="61">
        <f>SUM('St. Mary'!K26)</f>
        <v>0</v>
      </c>
      <c r="Q60" s="61">
        <f t="shared" ref="Q60" si="98">SUM(M60:P60)</f>
        <v>109510</v>
      </c>
      <c r="R60" s="70" t="str">
        <f t="shared" ref="R60" si="99">IF(Q60=S60, "ok", "check")</f>
        <v>ok</v>
      </c>
      <c r="S60" s="60">
        <f>Tensas!K23</f>
        <v>109510</v>
      </c>
      <c r="T60" s="107">
        <v>0</v>
      </c>
      <c r="U60" s="61">
        <f>SUM('St. Mary'!K31)</f>
        <v>0</v>
      </c>
      <c r="V60" s="61">
        <v>0</v>
      </c>
      <c r="W60" s="61">
        <f>Tensas!K32</f>
        <v>805524</v>
      </c>
      <c r="X60" s="61">
        <f t="shared" ref="X60" si="100">SUM(U60:W60)</f>
        <v>805524</v>
      </c>
      <c r="Y60" s="61">
        <f t="shared" ref="Y60" si="101">SUM(Q60+X60+T60)</f>
        <v>915034</v>
      </c>
      <c r="Z60" s="70" t="str">
        <f t="shared" ref="Z60" si="102">IF(Y60=AA60, "ok", "check")</f>
        <v>ok</v>
      </c>
      <c r="AA60" s="60">
        <f>Tensas!K36</f>
        <v>915034</v>
      </c>
    </row>
    <row r="61" spans="1:27" ht="15" customHeight="1">
      <c r="A61" s="68" t="s">
        <v>845</v>
      </c>
      <c r="B61" s="61">
        <f>SUM(Terrebonne!K7+Terrebonne!K21)</f>
        <v>2215998</v>
      </c>
      <c r="C61" s="61">
        <f>SUM(Terrebonne!K8)</f>
        <v>7394525</v>
      </c>
      <c r="D61" s="61">
        <f>SUM(Terrebonne!K11+Terrebonne!K12+Terrebonne!K13)</f>
        <v>957871</v>
      </c>
      <c r="E61" s="61">
        <v>0</v>
      </c>
      <c r="F61" s="61">
        <f>SUM(Terrebonne!K19)</f>
        <v>3421</v>
      </c>
      <c r="G61" s="61">
        <f>SUM(Terrebonne!K15+Terrebonne!K16+Terrebonne!K17)</f>
        <v>43204490</v>
      </c>
      <c r="H61" s="61">
        <v>0</v>
      </c>
      <c r="I61" s="61">
        <f t="shared" ref="I61:I67" si="103">SUM(B61:H61)</f>
        <v>53776305</v>
      </c>
      <c r="J61" s="70" t="str">
        <f t="shared" si="9"/>
        <v>ok</v>
      </c>
      <c r="K61" s="60">
        <f>SUM(Terrebonne!K23)</f>
        <v>53776305</v>
      </c>
      <c r="L61" s="107"/>
      <c r="M61" s="61">
        <f>SUM(Terrebonne!K27)</f>
        <v>711436</v>
      </c>
      <c r="N61" s="61">
        <v>0</v>
      </c>
      <c r="O61" s="61">
        <f>SUM(Terrebonne!K31+Terrebonne!K32+Terrebonne!K33)</f>
        <v>36457318</v>
      </c>
      <c r="P61" s="61">
        <f>Terrebonne!K28+Terrebonne!K29</f>
        <v>2560376</v>
      </c>
      <c r="Q61" s="61">
        <f t="shared" ref="Q61:Q67" si="104">SUM(M61:P61)</f>
        <v>39729130</v>
      </c>
      <c r="R61" s="70" t="str">
        <f t="shared" si="11"/>
        <v>ok</v>
      </c>
      <c r="S61" s="60">
        <f>SUM(Terrebonne!K37)</f>
        <v>39729130</v>
      </c>
      <c r="T61" s="107">
        <v>0</v>
      </c>
      <c r="U61" s="61">
        <f>Terrebonne!K41+Terrebonne!K43+Terrebonne!K44</f>
        <v>2298066</v>
      </c>
      <c r="V61" s="61">
        <f>Terrebonne!K55+Terrebonne!K56+Terrebonne!K57+Terrebonne!K58+Terrebonne!K59</f>
        <v>1466412</v>
      </c>
      <c r="W61" s="61">
        <f>SUM(Terrebonne!K66)</f>
        <v>10282697</v>
      </c>
      <c r="X61" s="61">
        <f t="shared" ref="X61:X67" si="105">SUM(U61:W61)</f>
        <v>14047175</v>
      </c>
      <c r="Y61" s="61">
        <f t="shared" si="14"/>
        <v>53776305</v>
      </c>
      <c r="Z61" s="70" t="str">
        <f t="shared" si="13"/>
        <v>ok</v>
      </c>
      <c r="AA61" s="60">
        <f>SUM(Terrebonne!K70)</f>
        <v>53776305</v>
      </c>
    </row>
    <row r="62" spans="1:27" ht="15" customHeight="1">
      <c r="A62" s="68" t="s">
        <v>846</v>
      </c>
      <c r="B62" s="61">
        <f>Union!K6</f>
        <v>437663</v>
      </c>
      <c r="C62" s="61">
        <f>Union!K7</f>
        <v>499160</v>
      </c>
      <c r="D62" s="61">
        <f>Union!K8</f>
        <v>863953</v>
      </c>
      <c r="E62" s="61">
        <v>0</v>
      </c>
      <c r="F62" s="61">
        <v>0</v>
      </c>
      <c r="G62" s="61">
        <v>0</v>
      </c>
      <c r="H62" s="61">
        <v>0</v>
      </c>
      <c r="I62" s="61">
        <f t="shared" si="103"/>
        <v>1800776</v>
      </c>
      <c r="J62" s="70" t="str">
        <f t="shared" ref="J62:J64" si="106">IF(I62=K62, "ok", "check")</f>
        <v>ok</v>
      </c>
      <c r="K62" s="60">
        <f>Union!K10</f>
        <v>1800776</v>
      </c>
      <c r="L62" s="107"/>
      <c r="M62" s="61">
        <f>Union!K15+Union!K16</f>
        <v>465850</v>
      </c>
      <c r="N62" s="61">
        <v>0</v>
      </c>
      <c r="O62" s="61">
        <v>0</v>
      </c>
      <c r="P62" s="61">
        <v>0</v>
      </c>
      <c r="Q62" s="61">
        <f t="shared" si="104"/>
        <v>465850</v>
      </c>
      <c r="R62" s="70" t="str">
        <f t="shared" ref="R62:R64" si="107">IF(Q62=S62, "ok", "check")</f>
        <v>ok</v>
      </c>
      <c r="S62" s="60">
        <f>Union!K19</f>
        <v>465850</v>
      </c>
      <c r="T62" s="107">
        <v>0</v>
      </c>
      <c r="U62" s="61">
        <v>0</v>
      </c>
      <c r="V62" s="61">
        <v>0</v>
      </c>
      <c r="W62" s="61">
        <f>Union!K26</f>
        <v>1334926</v>
      </c>
      <c r="X62" s="61">
        <f t="shared" si="105"/>
        <v>1334926</v>
      </c>
      <c r="Y62" s="61">
        <f t="shared" ref="Y62:Y64" si="108">SUM(Q62+X62+T62)</f>
        <v>1800776</v>
      </c>
      <c r="Z62" s="70" t="str">
        <f t="shared" ref="Z62:Z64" si="109">IF(Y62=AA62, "ok", "check")</f>
        <v>ok</v>
      </c>
      <c r="AA62" s="60">
        <f>Union!K30</f>
        <v>1800776</v>
      </c>
    </row>
    <row r="63" spans="1:27" ht="15" customHeight="1">
      <c r="A63" s="68" t="s">
        <v>847</v>
      </c>
      <c r="B63" s="61">
        <f>Vermillion!K7</f>
        <v>499063</v>
      </c>
      <c r="C63" s="61">
        <v>0</v>
      </c>
      <c r="D63" s="61">
        <f>Vermillion!K9+Vermillion!K14</f>
        <v>83664</v>
      </c>
      <c r="E63" s="61">
        <v>0</v>
      </c>
      <c r="F63" s="61">
        <v>0</v>
      </c>
      <c r="G63" s="61">
        <f>Vermillion!K11+Vermillion!K12+Vermillion!K13</f>
        <v>1420513</v>
      </c>
      <c r="H63" s="61">
        <v>0</v>
      </c>
      <c r="I63" s="61">
        <f t="shared" si="103"/>
        <v>2003240</v>
      </c>
      <c r="J63" s="70" t="str">
        <f t="shared" si="106"/>
        <v>ok</v>
      </c>
      <c r="K63" s="60">
        <f>Vermillion!K17</f>
        <v>2003240</v>
      </c>
      <c r="L63" s="107"/>
      <c r="M63" s="61">
        <f>Vermillion!K21+Vermillion!K22+Vermillion!K24</f>
        <v>193660</v>
      </c>
      <c r="N63" s="61">
        <v>0</v>
      </c>
      <c r="O63" s="61">
        <f>Vermillion!K25</f>
        <v>94371</v>
      </c>
      <c r="P63" s="61">
        <f>Vermillion!K27</f>
        <v>193213</v>
      </c>
      <c r="Q63" s="61">
        <f t="shared" si="104"/>
        <v>481244</v>
      </c>
      <c r="R63" s="70" t="str">
        <f t="shared" si="107"/>
        <v>ok</v>
      </c>
      <c r="S63" s="60">
        <f>Vermillion!K29</f>
        <v>481244</v>
      </c>
      <c r="T63" s="107">
        <f>Vermillion!K32</f>
        <v>232623</v>
      </c>
      <c r="U63" s="61">
        <f>SUM('St. Mary'!K34)</f>
        <v>0</v>
      </c>
      <c r="V63" s="61">
        <f>Vermillion!K37</f>
        <v>1817</v>
      </c>
      <c r="W63" s="61">
        <f>Vermillion!K38</f>
        <v>1287556</v>
      </c>
      <c r="X63" s="61">
        <f t="shared" si="105"/>
        <v>1289373</v>
      </c>
      <c r="Y63" s="61">
        <f t="shared" si="108"/>
        <v>2003240</v>
      </c>
      <c r="Z63" s="70" t="str">
        <f t="shared" si="109"/>
        <v>ok</v>
      </c>
      <c r="AA63" s="60">
        <f>Vermillion!K42</f>
        <v>2003240</v>
      </c>
    </row>
    <row r="64" spans="1:27" ht="15" customHeight="1">
      <c r="A64" s="68" t="s">
        <v>848</v>
      </c>
      <c r="B64" s="61">
        <f>Vernon!K7</f>
        <v>10539097</v>
      </c>
      <c r="C64" s="61">
        <v>0</v>
      </c>
      <c r="D64" s="61">
        <f>Vernon!K9+Vernon!K10</f>
        <v>679616</v>
      </c>
      <c r="E64" s="61">
        <v>0</v>
      </c>
      <c r="F64" s="61">
        <f>SUM(Terrebonne!K22)</f>
        <v>0</v>
      </c>
      <c r="G64" s="61">
        <v>0</v>
      </c>
      <c r="H64" s="61">
        <v>0</v>
      </c>
      <c r="I64" s="61">
        <f t="shared" ref="I64" si="110">SUM(B64:H64)</f>
        <v>11218713</v>
      </c>
      <c r="J64" s="70" t="str">
        <f t="shared" si="106"/>
        <v>ok</v>
      </c>
      <c r="K64" s="60">
        <f>Vernon!K13</f>
        <v>11218713</v>
      </c>
      <c r="L64" s="107"/>
      <c r="M64" s="61">
        <f>Vernon!K17</f>
        <v>237917</v>
      </c>
      <c r="N64" s="61">
        <v>0</v>
      </c>
      <c r="O64" s="61">
        <f>SUM(Terrebonne!K34+Terrebonne!K35+Terrebonne!K36)</f>
        <v>0</v>
      </c>
      <c r="P64" s="61">
        <v>0</v>
      </c>
      <c r="Q64" s="61">
        <f t="shared" ref="Q64" si="111">SUM(M64:P64)</f>
        <v>237917</v>
      </c>
      <c r="R64" s="70" t="str">
        <f t="shared" si="107"/>
        <v>ok</v>
      </c>
      <c r="S64" s="60">
        <f>Vernon!K21</f>
        <v>237917</v>
      </c>
      <c r="T64" s="107">
        <v>0</v>
      </c>
      <c r="U64" s="61">
        <f>Vernon!K26+Vernon!K34</f>
        <v>2215123</v>
      </c>
      <c r="V64" s="61">
        <v>0</v>
      </c>
      <c r="W64" s="61">
        <f>Vernon!K35</f>
        <v>8765673</v>
      </c>
      <c r="X64" s="61">
        <f t="shared" ref="X64" si="112">SUM(U64:W64)</f>
        <v>10980796</v>
      </c>
      <c r="Y64" s="61">
        <f t="shared" si="108"/>
        <v>11218713</v>
      </c>
      <c r="Z64" s="70" t="str">
        <f t="shared" si="109"/>
        <v>ok</v>
      </c>
      <c r="AA64" s="60">
        <f>Vernon!K39</f>
        <v>11218713</v>
      </c>
    </row>
    <row r="65" spans="1:27" ht="15" customHeight="1">
      <c r="A65" s="68" t="s">
        <v>849</v>
      </c>
      <c r="B65" s="61">
        <f>SUM(Washington!K6)</f>
        <v>645480</v>
      </c>
      <c r="C65" s="61">
        <v>0</v>
      </c>
      <c r="D65" s="61">
        <f>SUM(Washington!K8)</f>
        <v>551392</v>
      </c>
      <c r="E65" s="61">
        <v>0</v>
      </c>
      <c r="F65" s="61">
        <v>0</v>
      </c>
      <c r="G65" s="61">
        <f>SUM(Washington!K12)</f>
        <v>40033</v>
      </c>
      <c r="H65" s="61">
        <v>0</v>
      </c>
      <c r="I65" s="61">
        <f t="shared" si="103"/>
        <v>1236905</v>
      </c>
      <c r="J65" s="70" t="str">
        <f t="shared" si="9"/>
        <v>ok</v>
      </c>
      <c r="K65" s="60">
        <f>SUM(Washington!K14)</f>
        <v>1236905</v>
      </c>
      <c r="L65" s="107"/>
      <c r="M65" s="61">
        <f>SUM(Washington!K18)</f>
        <v>397259</v>
      </c>
      <c r="N65" s="61">
        <v>0</v>
      </c>
      <c r="O65" s="61">
        <f>SUM(Washington!K20)</f>
        <v>776037</v>
      </c>
      <c r="P65" s="61">
        <f>SUM(Washington!K21)</f>
        <v>9587</v>
      </c>
      <c r="Q65" s="61">
        <f t="shared" si="104"/>
        <v>1182883</v>
      </c>
      <c r="R65" s="70" t="str">
        <f t="shared" si="11"/>
        <v>ok</v>
      </c>
      <c r="S65" s="60">
        <f>SUM(Washington!K24)</f>
        <v>1182883</v>
      </c>
      <c r="T65" s="107">
        <f>SUM(Washington!K28)</f>
        <v>48490</v>
      </c>
      <c r="U65" s="61">
        <v>0</v>
      </c>
      <c r="V65" s="61">
        <v>0</v>
      </c>
      <c r="W65" s="61">
        <f>SUM(Washington!K32)</f>
        <v>5532</v>
      </c>
      <c r="X65" s="61">
        <f t="shared" si="105"/>
        <v>5532</v>
      </c>
      <c r="Y65" s="61">
        <f t="shared" si="14"/>
        <v>1236905</v>
      </c>
      <c r="Z65" s="70" t="str">
        <f t="shared" si="13"/>
        <v>ok</v>
      </c>
      <c r="AA65" s="60">
        <f>SUM(Washington!K36)</f>
        <v>1236905</v>
      </c>
    </row>
    <row r="66" spans="1:27" ht="15" customHeight="1">
      <c r="A66" s="68" t="s">
        <v>850</v>
      </c>
      <c r="B66" s="61">
        <f>Webster!K6</f>
        <v>776309</v>
      </c>
      <c r="C66" s="61">
        <f>Webster!K7</f>
        <v>2211059</v>
      </c>
      <c r="D66" s="61">
        <f>Webster!K8</f>
        <v>895341</v>
      </c>
      <c r="E66" s="61">
        <v>0</v>
      </c>
      <c r="F66" s="61">
        <v>0</v>
      </c>
      <c r="G66" s="61">
        <f>SUM(Tangipahoa!K16+Tangipahoa!K17)</f>
        <v>0</v>
      </c>
      <c r="H66" s="61">
        <f>Webster!K9</f>
        <v>269305</v>
      </c>
      <c r="I66" s="61">
        <f t="shared" si="103"/>
        <v>4152014</v>
      </c>
      <c r="J66" s="70" t="str">
        <f t="shared" ref="J66:J69" si="113">IF(I66=K66, "ok", "check")</f>
        <v>ok</v>
      </c>
      <c r="K66" s="60">
        <f>Webster!K11</f>
        <v>4152014</v>
      </c>
      <c r="L66" s="107"/>
      <c r="M66" s="61">
        <f>Webster!K15+Webster!K16</f>
        <v>81991</v>
      </c>
      <c r="N66" s="61">
        <f>Webster!K17</f>
        <v>11805</v>
      </c>
      <c r="O66" s="61">
        <f>Webster!K18</f>
        <v>163911</v>
      </c>
      <c r="P66" s="61">
        <f>Webster!K19</f>
        <v>7275</v>
      </c>
      <c r="Q66" s="61">
        <f t="shared" si="104"/>
        <v>264982</v>
      </c>
      <c r="R66" s="70" t="str">
        <f t="shared" ref="R66:R69" si="114">IF(Q66=S66, "ok", "check")</f>
        <v>ok</v>
      </c>
      <c r="S66" s="60">
        <f>Webster!K21</f>
        <v>264982</v>
      </c>
      <c r="T66" s="107">
        <f>Webster!K24</f>
        <v>24625</v>
      </c>
      <c r="U66" s="61">
        <f>Webster!K27+Webster!K29</f>
        <v>2269305</v>
      </c>
      <c r="V66" s="61">
        <f>SUM(Tangipahoa!K39)</f>
        <v>0</v>
      </c>
      <c r="W66" s="61">
        <f>Webster!K30</f>
        <v>1593102</v>
      </c>
      <c r="X66" s="61">
        <f t="shared" si="105"/>
        <v>3862407</v>
      </c>
      <c r="Y66" s="61">
        <f t="shared" ref="Y66:Y69" si="115">SUM(Q66+X66+T66)</f>
        <v>4152014</v>
      </c>
      <c r="Z66" s="70" t="str">
        <f t="shared" ref="Z66:Z69" si="116">IF(Y66=AA66, "ok", "check")</f>
        <v>ok</v>
      </c>
      <c r="AA66" s="60">
        <f>Webster!K34</f>
        <v>4152014</v>
      </c>
    </row>
    <row r="67" spans="1:27" ht="15" customHeight="1">
      <c r="A67" s="68" t="s">
        <v>851</v>
      </c>
      <c r="B67" s="61">
        <f>'West Baton Rouge'!K7+'West Baton Rouge'!K11</f>
        <v>3070311</v>
      </c>
      <c r="C67" s="61">
        <f>'West Baton Rouge'!K8+'West Baton Rouge'!K9</f>
        <v>6980350</v>
      </c>
      <c r="D67" s="61">
        <f>'West Baton Rouge'!K10+'West Baton Rouge'!K13</f>
        <v>1141252</v>
      </c>
      <c r="E67" s="61">
        <v>0</v>
      </c>
      <c r="F67" s="61">
        <f>SUM(Terrebonne!K25)</f>
        <v>0</v>
      </c>
      <c r="G67" s="61">
        <f>'West Baton Rouge'!K12</f>
        <v>693500</v>
      </c>
      <c r="H67" s="61">
        <v>0</v>
      </c>
      <c r="I67" s="61">
        <f t="shared" si="103"/>
        <v>11885413</v>
      </c>
      <c r="J67" s="70" t="str">
        <f t="shared" si="113"/>
        <v>ok</v>
      </c>
      <c r="K67" s="60">
        <f>'West Baton Rouge'!K15</f>
        <v>11885413</v>
      </c>
      <c r="L67" s="107"/>
      <c r="M67" s="61">
        <f>'West Baton Rouge'!K19</f>
        <v>166798</v>
      </c>
      <c r="N67" s="61">
        <v>0</v>
      </c>
      <c r="O67" s="61">
        <v>0</v>
      </c>
      <c r="P67" s="61">
        <v>0</v>
      </c>
      <c r="Q67" s="61">
        <f t="shared" si="104"/>
        <v>166798</v>
      </c>
      <c r="R67" s="70" t="str">
        <f t="shared" si="114"/>
        <v>ok</v>
      </c>
      <c r="S67" s="60">
        <f>'West Baton Rouge'!K21</f>
        <v>166798</v>
      </c>
      <c r="T67" s="107">
        <f>'West Baton Rouge'!K27</f>
        <v>1297252</v>
      </c>
      <c r="U67" s="61">
        <f>'West Baton Rouge'!K30</f>
        <v>113570</v>
      </c>
      <c r="V67" s="61">
        <v>0</v>
      </c>
      <c r="W67" s="61">
        <f>'West Baton Rouge'!K34</f>
        <v>10307793</v>
      </c>
      <c r="X67" s="61">
        <f t="shared" si="105"/>
        <v>10421363</v>
      </c>
      <c r="Y67" s="61">
        <f t="shared" si="115"/>
        <v>11885413</v>
      </c>
      <c r="Z67" s="70" t="str">
        <f t="shared" si="116"/>
        <v>ok</v>
      </c>
      <c r="AA67" s="60">
        <f>'West Baton Rouge'!K38</f>
        <v>11885413</v>
      </c>
    </row>
    <row r="68" spans="1:27" ht="15" customHeight="1">
      <c r="A68" s="68" t="s">
        <v>852</v>
      </c>
      <c r="B68" s="61">
        <f>'West Carroll'!K6</f>
        <v>946735</v>
      </c>
      <c r="C68" s="61">
        <v>0</v>
      </c>
      <c r="D68" s="61">
        <f>'West Carroll'!K7</f>
        <v>527882</v>
      </c>
      <c r="E68" s="61">
        <v>0</v>
      </c>
      <c r="F68" s="61">
        <v>0</v>
      </c>
      <c r="G68" s="61">
        <f>'West Carroll'!K8</f>
        <v>53991</v>
      </c>
      <c r="H68" s="61">
        <v>0</v>
      </c>
      <c r="I68" s="61">
        <f t="shared" ref="I68:I70" si="117">SUM(B68:H68)</f>
        <v>1528608</v>
      </c>
      <c r="J68" s="70" t="str">
        <f t="shared" si="113"/>
        <v>ok</v>
      </c>
      <c r="K68" s="60">
        <f>'West Carroll'!K11</f>
        <v>1528608</v>
      </c>
      <c r="L68" s="107"/>
      <c r="M68" s="61">
        <f>'West Carroll'!K16</f>
        <v>49510</v>
      </c>
      <c r="N68" s="61">
        <v>0</v>
      </c>
      <c r="O68" s="61">
        <f>SUM(Washington!K23)</f>
        <v>0</v>
      </c>
      <c r="P68" s="61">
        <f>'West Carroll'!K15</f>
        <v>16961</v>
      </c>
      <c r="Q68" s="61">
        <f t="shared" ref="Q68:Q70" si="118">SUM(M68:P68)</f>
        <v>66471</v>
      </c>
      <c r="R68" s="70" t="str">
        <f t="shared" si="114"/>
        <v>ok</v>
      </c>
      <c r="S68" s="60">
        <f>'West Carroll'!K20</f>
        <v>66471</v>
      </c>
      <c r="T68" s="107">
        <f>'West Carroll'!K24</f>
        <v>44504</v>
      </c>
      <c r="U68" s="61">
        <v>0</v>
      </c>
      <c r="V68" s="61">
        <f>'West Carroll'!K28</f>
        <v>53829</v>
      </c>
      <c r="W68" s="61">
        <f>'West Carroll'!K27</f>
        <v>1363804</v>
      </c>
      <c r="X68" s="61">
        <f t="shared" ref="X68:X70" si="119">SUM(U68:W68)</f>
        <v>1417633</v>
      </c>
      <c r="Y68" s="61">
        <f t="shared" si="115"/>
        <v>1528608</v>
      </c>
      <c r="Z68" s="70" t="str">
        <f t="shared" si="116"/>
        <v>ok</v>
      </c>
      <c r="AA68" s="60">
        <f>'West Carroll'!K33</f>
        <v>1528608</v>
      </c>
    </row>
    <row r="69" spans="1:27" ht="15" customHeight="1">
      <c r="A69" s="68" t="s">
        <v>853</v>
      </c>
      <c r="B69" s="61">
        <f>'West Feliciana'!K6</f>
        <v>486820</v>
      </c>
      <c r="C69" s="61">
        <f>'West Feliciana'!K7</f>
        <v>5004740</v>
      </c>
      <c r="D69" s="61">
        <f>'West Feliciana'!K10+'West Feliciana'!K11</f>
        <v>959842</v>
      </c>
      <c r="E69" s="61">
        <v>0</v>
      </c>
      <c r="F69" s="61">
        <v>0</v>
      </c>
      <c r="G69" s="61">
        <f>'West Feliciana'!K12+'West Feliciana'!K13</f>
        <v>1141933</v>
      </c>
      <c r="H69" s="61">
        <f>'West Feliciana'!K8</f>
        <v>20724</v>
      </c>
      <c r="I69" s="61">
        <f t="shared" si="117"/>
        <v>7614059</v>
      </c>
      <c r="J69" s="70" t="str">
        <f t="shared" si="113"/>
        <v>ok</v>
      </c>
      <c r="K69" s="60">
        <f>'West Feliciana'!K18</f>
        <v>7614059</v>
      </c>
      <c r="L69" s="107"/>
      <c r="M69" s="61">
        <f>'West Feliciana'!K22+'West Feliciana'!K23</f>
        <v>133973</v>
      </c>
      <c r="N69" s="61">
        <v>0</v>
      </c>
      <c r="O69" s="61">
        <f>'West Feliciana'!K25</f>
        <v>84137</v>
      </c>
      <c r="P69" s="61">
        <v>0</v>
      </c>
      <c r="Q69" s="61">
        <f t="shared" ref="Q69" si="120">SUM(M69:P69)</f>
        <v>218110</v>
      </c>
      <c r="R69" s="70" t="str">
        <f t="shared" si="114"/>
        <v>ok</v>
      </c>
      <c r="S69" s="60">
        <f>'West Feliciana'!K27</f>
        <v>218110</v>
      </c>
      <c r="T69" s="107">
        <v>0</v>
      </c>
      <c r="U69" s="61">
        <f>'West Feliciana'!K30+'West Feliciana'!K32</f>
        <v>2589990</v>
      </c>
      <c r="V69" s="61">
        <v>0</v>
      </c>
      <c r="W69" s="61">
        <f>'West Feliciana'!K33</f>
        <v>4805959</v>
      </c>
      <c r="X69" s="61">
        <f t="shared" ref="X69" si="121">SUM(U69:W69)</f>
        <v>7395949</v>
      </c>
      <c r="Y69" s="61">
        <f t="shared" si="115"/>
        <v>7614059</v>
      </c>
      <c r="Z69" s="70" t="str">
        <f t="shared" si="116"/>
        <v>ok</v>
      </c>
      <c r="AA69" s="60">
        <f>'West Feliciana'!K37</f>
        <v>7614059</v>
      </c>
    </row>
    <row r="70" spans="1:27" ht="15" customHeight="1">
      <c r="A70" s="68" t="s">
        <v>854</v>
      </c>
      <c r="B70" s="61">
        <f>Winn!K7</f>
        <v>366455</v>
      </c>
      <c r="C70" s="61">
        <f>Webster!K10</f>
        <v>0</v>
      </c>
      <c r="D70" s="61">
        <f>Winn!K8+Winn!K9</f>
        <v>435849</v>
      </c>
      <c r="E70" s="61">
        <v>0</v>
      </c>
      <c r="F70" s="61">
        <v>0</v>
      </c>
      <c r="G70" s="61">
        <v>0</v>
      </c>
      <c r="H70" s="61">
        <f>Webster!K12</f>
        <v>0</v>
      </c>
      <c r="I70" s="61">
        <f t="shared" si="117"/>
        <v>802304</v>
      </c>
      <c r="J70" s="70" t="str">
        <f t="shared" ref="J70" si="122">IF(I70=K70, "ok", "check")</f>
        <v>ok</v>
      </c>
      <c r="K70" s="60">
        <f>Winn!K11</f>
        <v>802304</v>
      </c>
      <c r="L70" s="107">
        <v>0</v>
      </c>
      <c r="M70" s="61">
        <f>Winn!K15</f>
        <v>9517</v>
      </c>
      <c r="N70" s="61">
        <f>Webster!K20</f>
        <v>0</v>
      </c>
      <c r="O70" s="61">
        <v>0</v>
      </c>
      <c r="P70" s="61">
        <f>Webster!K22</f>
        <v>0</v>
      </c>
      <c r="Q70" s="61">
        <f t="shared" si="118"/>
        <v>9517</v>
      </c>
      <c r="R70" s="70" t="str">
        <f t="shared" ref="R70" si="123">IF(Q70=S70, "ok", "check")</f>
        <v>ok</v>
      </c>
      <c r="S70" s="60">
        <f>Winn!K18</f>
        <v>9517</v>
      </c>
      <c r="T70" s="107">
        <v>0</v>
      </c>
      <c r="U70" s="61">
        <f>Winn!K28</f>
        <v>251910</v>
      </c>
      <c r="V70" s="61">
        <f>SUM(Tangipahoa!K42)</f>
        <v>0</v>
      </c>
      <c r="W70" s="61">
        <f>Winn!K31</f>
        <v>540878</v>
      </c>
      <c r="X70" s="61">
        <f t="shared" si="119"/>
        <v>792788</v>
      </c>
      <c r="Y70" s="61">
        <f t="shared" ref="Y70" si="124">SUM(Q70+X70+T70)</f>
        <v>802305</v>
      </c>
      <c r="Z70" s="70" t="str">
        <f t="shared" ref="Z70" si="125">IF(Y70=AA70, "ok", "check")</f>
        <v>ok</v>
      </c>
      <c r="AA70" s="60">
        <f>Winn!K35</f>
        <v>802305</v>
      </c>
    </row>
    <row r="71" spans="1:27" ht="15" customHeight="1">
      <c r="A71" s="62"/>
      <c r="J71" s="56"/>
      <c r="K71" s="57"/>
      <c r="R71" s="56"/>
      <c r="S71" s="57"/>
      <c r="Z71" s="56"/>
      <c r="AA71" s="57"/>
    </row>
    <row r="72" spans="1:27" ht="15" customHeight="1">
      <c r="A72" s="63" t="s">
        <v>427</v>
      </c>
      <c r="B72" s="64">
        <f>SUM(B7:B70)</f>
        <v>217626413.06999999</v>
      </c>
      <c r="C72" s="64">
        <f t="shared" ref="C72:I72" si="126">SUM(C7:C70)</f>
        <v>272088426</v>
      </c>
      <c r="D72" s="64">
        <f t="shared" si="126"/>
        <v>227029854.09999999</v>
      </c>
      <c r="E72" s="64">
        <f t="shared" si="126"/>
        <v>2482877</v>
      </c>
      <c r="F72" s="64">
        <f t="shared" si="126"/>
        <v>21299597</v>
      </c>
      <c r="G72" s="64">
        <f t="shared" si="126"/>
        <v>219004394.62</v>
      </c>
      <c r="H72" s="64">
        <f t="shared" si="126"/>
        <v>2447655</v>
      </c>
      <c r="I72" s="64">
        <f t="shared" si="126"/>
        <v>961979216.78999996</v>
      </c>
      <c r="J72" s="69" t="str">
        <f>IF(I72=K72, "ok", "check")</f>
        <v>ok</v>
      </c>
      <c r="K72" s="66">
        <f>SUM(K7:K70)</f>
        <v>961979216.78999996</v>
      </c>
      <c r="L72" s="66">
        <f t="shared" ref="L72" si="127">SUM(L7:L70)</f>
        <v>0</v>
      </c>
      <c r="M72" s="66">
        <f t="shared" ref="M72:Q72" si="128">SUM(M7:M70)</f>
        <v>107088724.02000001</v>
      </c>
      <c r="N72" s="66">
        <f t="shared" si="128"/>
        <v>592511</v>
      </c>
      <c r="O72" s="66">
        <f t="shared" si="128"/>
        <v>119607066</v>
      </c>
      <c r="P72" s="66">
        <f t="shared" si="128"/>
        <v>41983806</v>
      </c>
      <c r="Q72" s="66">
        <f t="shared" si="128"/>
        <v>269272107.01999998</v>
      </c>
      <c r="R72" s="65" t="str">
        <f>IF(Q72=S72, "ok", "check")</f>
        <v>ok</v>
      </c>
      <c r="S72" s="66">
        <f>SUM(S7:S70)</f>
        <v>269272107.01999998</v>
      </c>
      <c r="T72" s="66">
        <f t="shared" ref="T72:Y72" si="129">SUM(T7:T70)</f>
        <v>43441028</v>
      </c>
      <c r="U72" s="66">
        <f t="shared" si="129"/>
        <v>241832604.91</v>
      </c>
      <c r="V72" s="66">
        <f t="shared" si="129"/>
        <v>100492685</v>
      </c>
      <c r="W72" s="66">
        <f t="shared" si="129"/>
        <v>306939793.86000001</v>
      </c>
      <c r="X72" s="66">
        <f t="shared" si="129"/>
        <v>649265083.76999998</v>
      </c>
      <c r="Y72" s="66">
        <f t="shared" si="129"/>
        <v>961978218.78999996</v>
      </c>
      <c r="Z72" s="65" t="str">
        <f t="shared" ref="Z72" si="130">IF(Y72=AA72, "ok", "check")</f>
        <v>ok</v>
      </c>
      <c r="AA72" s="66">
        <f>SUM(AA7:AA70)</f>
        <v>961978218.78999996</v>
      </c>
    </row>
    <row r="73" spans="1:27">
      <c r="B73" t="s">
        <v>855</v>
      </c>
    </row>
  </sheetData>
  <mergeCells count="3">
    <mergeCell ref="B3:F3"/>
    <mergeCell ref="G3:H3"/>
    <mergeCell ref="M3:P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6E7C3A01C2A47A437981BA5A3419C" ma:contentTypeVersion="11" ma:contentTypeDescription="Create a new document." ma:contentTypeScope="" ma:versionID="d554655ad64208c1d6e2effa97f27dc4">
  <xsd:schema xmlns:xsd="http://www.w3.org/2001/XMLSchema" xmlns:xs="http://www.w3.org/2001/XMLSchema" xmlns:p="http://schemas.microsoft.com/office/2006/metadata/properties" xmlns:ns2="a04dc2bb-3752-482a-bef8-a3d7520562f3" xmlns:ns3="07258940-cd77-4b7c-bf02-282e7e1fade8" xmlns:ns4="a09b295e-4c54-4020-9012-76e6da7e7cd2" targetNamespace="http://schemas.microsoft.com/office/2006/metadata/properties" ma:root="true" ma:fieldsID="df42f594409b0399f47f761bc5024e7c" ns2:_="" ns3:_="" ns4:_="">
    <xsd:import namespace="a04dc2bb-3752-482a-bef8-a3d7520562f3"/>
    <xsd:import namespace="07258940-cd77-4b7c-bf02-282e7e1fade8"/>
    <xsd:import namespace="a09b295e-4c54-4020-9012-76e6da7e7c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c2bb-3752-482a-bef8-a3d75205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58940-cd77-4b7c-bf02-282e7e1fade8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b295e-4c54-4020-9012-76e6da7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SharedWithUsers xmlns="a04dc2bb-3752-482a-bef8-a3d7520562f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38A4021-DE85-4E6A-914C-E02B069955CC}"/>
</file>

<file path=customXml/itemProps2.xml><?xml version="1.0" encoding="utf-8"?>
<ds:datastoreItem xmlns:ds="http://schemas.openxmlformats.org/officeDocument/2006/customXml" ds:itemID="{F79CAC36-D4E1-4037-9E58-0FF815D8E650}"/>
</file>

<file path=customXml/itemProps3.xml><?xml version="1.0" encoding="utf-8"?>
<ds:datastoreItem xmlns:ds="http://schemas.openxmlformats.org/officeDocument/2006/customXml" ds:itemID="{DA74479D-D49B-478A-ABF2-CA9C18870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lnorwa2</dc:creator>
  <cp:keywords/>
  <dc:description/>
  <cp:lastModifiedBy>Luftig, Valerio</cp:lastModifiedBy>
  <cp:revision/>
  <dcterms:created xsi:type="dcterms:W3CDTF">2011-10-31T16:14:35Z</dcterms:created>
  <dcterms:modified xsi:type="dcterms:W3CDTF">2025-06-17T20:22:48Z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0x0101009346E7C3A01C2A47A437981BA5A3419C</vt:lpwstr>
  </property>
</Properties>
</file>